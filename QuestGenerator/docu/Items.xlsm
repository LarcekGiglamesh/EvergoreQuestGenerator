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M:\Eigene Dateien\Evergore\server\devtools\database_neu\"/>
    </mc:Choice>
  </mc:AlternateContent>
  <bookViews>
    <workbookView xWindow="0" yWindow="0" windowWidth="16380" windowHeight="8190" tabRatio="862" activeTab="1"/>
  </bookViews>
  <sheets>
    <sheet name="Brainstorming" sheetId="1" r:id="rId1"/>
    <sheet name="Gegenstände" sheetId="2" r:id="rId2"/>
    <sheet name="Baupläne" sheetId="3" r:id="rId3"/>
    <sheet name="Gebäude" sheetId="4" r:id="rId4"/>
    <sheet name="Berechnungen" sheetId="5" r:id="rId5"/>
    <sheet name="Magische Items" sheetId="6" r:id="rId6"/>
    <sheet name="Ränge" sheetId="7" r:id="rId7"/>
    <sheet name="Preise" sheetId="8" r:id="rId8"/>
    <sheet name="Glossar" sheetId="9" r:id="rId9"/>
    <sheet name="data_item" sheetId="10" r:id="rId10"/>
    <sheet name="data_recipe" sheetId="11" r:id="rId11"/>
    <sheet name="data_build" sheetId="12" r:id="rId12"/>
  </sheets>
  <calcPr calcId="152511"/>
</workbook>
</file>

<file path=xl/calcChain.xml><?xml version="1.0" encoding="utf-8"?>
<calcChain xmlns="http://schemas.openxmlformats.org/spreadsheetml/2006/main">
  <c r="A665" i="10" l="1"/>
  <c r="B665" i="10"/>
  <c r="D665" i="10"/>
  <c r="E665" i="10"/>
  <c r="F665" i="10"/>
  <c r="G665" i="10"/>
  <c r="H665" i="10"/>
  <c r="I665" i="10"/>
  <c r="K665" i="10"/>
  <c r="L665" i="10"/>
  <c r="M665" i="10"/>
  <c r="N665" i="10"/>
  <c r="O665" i="10"/>
  <c r="P665" i="10"/>
  <c r="Q665" i="10"/>
  <c r="R665" i="10"/>
  <c r="S665" i="10"/>
  <c r="T665" i="10"/>
  <c r="U665" i="10"/>
  <c r="V665" i="10"/>
  <c r="W665" i="10"/>
  <c r="AB665" i="10"/>
  <c r="AC665" i="10"/>
  <c r="AD665" i="10"/>
  <c r="A666" i="10"/>
  <c r="B666" i="10"/>
  <c r="D666" i="10"/>
  <c r="E666" i="10"/>
  <c r="F666" i="10"/>
  <c r="G666" i="10"/>
  <c r="H666" i="10"/>
  <c r="I666" i="10"/>
  <c r="K666" i="10"/>
  <c r="L666" i="10"/>
  <c r="M666" i="10"/>
  <c r="N666" i="10"/>
  <c r="O666" i="10"/>
  <c r="P666" i="10"/>
  <c r="Q666" i="10"/>
  <c r="R666" i="10"/>
  <c r="S666" i="10"/>
  <c r="T666" i="10"/>
  <c r="U666" i="10"/>
  <c r="V666" i="10"/>
  <c r="W666" i="10"/>
  <c r="AB666" i="10"/>
  <c r="AC666" i="10"/>
  <c r="AD666" i="10"/>
  <c r="A667" i="10"/>
  <c r="B667" i="10"/>
  <c r="D667" i="10"/>
  <c r="E667" i="10"/>
  <c r="F667" i="10"/>
  <c r="G667" i="10"/>
  <c r="H667" i="10"/>
  <c r="I667" i="10"/>
  <c r="K667" i="10"/>
  <c r="L667" i="10"/>
  <c r="M667" i="10"/>
  <c r="N667" i="10"/>
  <c r="O667" i="10"/>
  <c r="P667" i="10"/>
  <c r="Q667" i="10"/>
  <c r="R667" i="10"/>
  <c r="S667" i="10"/>
  <c r="T667" i="10"/>
  <c r="U667" i="10"/>
  <c r="V667" i="10"/>
  <c r="W667" i="10"/>
  <c r="AB667" i="10"/>
  <c r="AC667" i="10"/>
  <c r="AD667" i="10"/>
  <c r="A668" i="10"/>
  <c r="B668" i="10"/>
  <c r="D668" i="10"/>
  <c r="E668" i="10"/>
  <c r="F668" i="10"/>
  <c r="G668" i="10"/>
  <c r="H668" i="10"/>
  <c r="I668" i="10"/>
  <c r="K668" i="10"/>
  <c r="L668" i="10"/>
  <c r="M668" i="10"/>
  <c r="N668" i="10"/>
  <c r="O668" i="10"/>
  <c r="P668" i="10"/>
  <c r="Q668" i="10"/>
  <c r="R668" i="10"/>
  <c r="S668" i="10"/>
  <c r="T668" i="10"/>
  <c r="U668" i="10"/>
  <c r="V668" i="10"/>
  <c r="W668" i="10"/>
  <c r="AB668" i="10"/>
  <c r="AC668" i="10"/>
  <c r="AD668" i="10"/>
  <c r="A669" i="10"/>
  <c r="B669" i="10"/>
  <c r="D669" i="10"/>
  <c r="E669" i="10"/>
  <c r="F669" i="10"/>
  <c r="G669" i="10"/>
  <c r="H669" i="10"/>
  <c r="I669" i="10"/>
  <c r="K669" i="10"/>
  <c r="L669" i="10"/>
  <c r="M669" i="10"/>
  <c r="N669" i="10"/>
  <c r="O669" i="10"/>
  <c r="P669" i="10"/>
  <c r="Q669" i="10"/>
  <c r="R669" i="10"/>
  <c r="S669" i="10"/>
  <c r="T669" i="10"/>
  <c r="U669" i="10"/>
  <c r="V669" i="10"/>
  <c r="W669" i="10"/>
  <c r="AB669" i="10"/>
  <c r="AC669" i="10"/>
  <c r="AD669" i="10"/>
  <c r="A670" i="10"/>
  <c r="B670" i="10"/>
  <c r="D670" i="10"/>
  <c r="E670" i="10"/>
  <c r="F670" i="10"/>
  <c r="G670" i="10"/>
  <c r="H670" i="10"/>
  <c r="I670" i="10"/>
  <c r="J670" i="10"/>
  <c r="K670" i="10"/>
  <c r="L670" i="10"/>
  <c r="M670" i="10"/>
  <c r="N670" i="10"/>
  <c r="O670" i="10"/>
  <c r="P670" i="10"/>
  <c r="Q670" i="10"/>
  <c r="R670" i="10"/>
  <c r="S670" i="10"/>
  <c r="T670" i="10"/>
  <c r="U670" i="10"/>
  <c r="V670" i="10"/>
  <c r="W670" i="10"/>
  <c r="AB670" i="10"/>
  <c r="AC670" i="10"/>
  <c r="AD670" i="10"/>
  <c r="A671" i="10"/>
  <c r="B671" i="10"/>
  <c r="D671" i="10"/>
  <c r="E671" i="10"/>
  <c r="F671" i="10"/>
  <c r="G671" i="10"/>
  <c r="H671" i="10"/>
  <c r="I671" i="10"/>
  <c r="K671" i="10"/>
  <c r="L671" i="10"/>
  <c r="M671" i="10"/>
  <c r="N671" i="10"/>
  <c r="O671" i="10"/>
  <c r="P671" i="10"/>
  <c r="Q671" i="10"/>
  <c r="R671" i="10"/>
  <c r="S671" i="10"/>
  <c r="T671" i="10"/>
  <c r="U671" i="10"/>
  <c r="V671" i="10"/>
  <c r="W671" i="10"/>
  <c r="AB671" i="10"/>
  <c r="AC671" i="10"/>
  <c r="AD671" i="10"/>
  <c r="A672" i="10"/>
  <c r="B672" i="10"/>
  <c r="D672" i="10"/>
  <c r="E672" i="10"/>
  <c r="F672" i="10"/>
  <c r="G672" i="10"/>
  <c r="H672" i="10"/>
  <c r="I672" i="10"/>
  <c r="K672" i="10"/>
  <c r="L672" i="10"/>
  <c r="M672" i="10"/>
  <c r="N672" i="10"/>
  <c r="O672" i="10"/>
  <c r="P672" i="10"/>
  <c r="Q672" i="10"/>
  <c r="R672" i="10"/>
  <c r="S672" i="10"/>
  <c r="T672" i="10"/>
  <c r="U672" i="10"/>
  <c r="V672" i="10"/>
  <c r="W672" i="10"/>
  <c r="AB672" i="10"/>
  <c r="AC672" i="10"/>
  <c r="AD672" i="10"/>
  <c r="A673" i="10"/>
  <c r="B673" i="10"/>
  <c r="D673" i="10"/>
  <c r="E673" i="10"/>
  <c r="F673" i="10"/>
  <c r="G673" i="10"/>
  <c r="H673" i="10"/>
  <c r="I673" i="10"/>
  <c r="K673" i="10"/>
  <c r="L673" i="10"/>
  <c r="M673" i="10"/>
  <c r="N673" i="10"/>
  <c r="O673" i="10"/>
  <c r="P673" i="10"/>
  <c r="Q673" i="10"/>
  <c r="R673" i="10"/>
  <c r="S673" i="10"/>
  <c r="T673" i="10"/>
  <c r="U673" i="10"/>
  <c r="V673" i="10"/>
  <c r="W673" i="10"/>
  <c r="AB673" i="10"/>
  <c r="AC673" i="10"/>
  <c r="AD673" i="10"/>
  <c r="A674" i="10"/>
  <c r="B674" i="10"/>
  <c r="D674" i="10"/>
  <c r="E674" i="10"/>
  <c r="F674" i="10"/>
  <c r="G674" i="10"/>
  <c r="H674" i="10"/>
  <c r="I674" i="10"/>
  <c r="K674" i="10"/>
  <c r="L674" i="10"/>
  <c r="M674" i="10"/>
  <c r="N674" i="10"/>
  <c r="O674" i="10"/>
  <c r="P674" i="10"/>
  <c r="Q674" i="10"/>
  <c r="R674" i="10"/>
  <c r="S674" i="10"/>
  <c r="T674" i="10"/>
  <c r="U674" i="10"/>
  <c r="V674" i="10"/>
  <c r="W674" i="10"/>
  <c r="AB674" i="10"/>
  <c r="AC674" i="10"/>
  <c r="AD674" i="10"/>
  <c r="A675" i="10"/>
  <c r="B675" i="10"/>
  <c r="D675" i="10"/>
  <c r="E675" i="10"/>
  <c r="F675" i="10"/>
  <c r="G675" i="10"/>
  <c r="H675" i="10"/>
  <c r="I675" i="10"/>
  <c r="K675" i="10"/>
  <c r="L675" i="10"/>
  <c r="M675" i="10"/>
  <c r="N675" i="10"/>
  <c r="O675" i="10"/>
  <c r="P675" i="10"/>
  <c r="Q675" i="10"/>
  <c r="R675" i="10"/>
  <c r="S675" i="10"/>
  <c r="T675" i="10"/>
  <c r="U675" i="10"/>
  <c r="V675" i="10"/>
  <c r="W675" i="10"/>
  <c r="AB675" i="10"/>
  <c r="AC675" i="10"/>
  <c r="AD675" i="10"/>
  <c r="A676" i="10"/>
  <c r="B676" i="10"/>
  <c r="D676" i="10"/>
  <c r="E676" i="10"/>
  <c r="F676" i="10"/>
  <c r="G676" i="10"/>
  <c r="H676" i="10"/>
  <c r="I676" i="10"/>
  <c r="J676" i="10"/>
  <c r="K676" i="10"/>
  <c r="L676" i="10"/>
  <c r="M676" i="10"/>
  <c r="N676" i="10"/>
  <c r="O676" i="10"/>
  <c r="P676" i="10"/>
  <c r="Q676" i="10"/>
  <c r="R676" i="10"/>
  <c r="S676" i="10"/>
  <c r="T676" i="10"/>
  <c r="U676" i="10"/>
  <c r="V676" i="10"/>
  <c r="W676" i="10"/>
  <c r="AB676" i="10"/>
  <c r="AC676" i="10"/>
  <c r="AD676" i="10"/>
  <c r="A677" i="10"/>
  <c r="B677" i="10"/>
  <c r="D677" i="10"/>
  <c r="E677" i="10"/>
  <c r="F677" i="10"/>
  <c r="G677" i="10"/>
  <c r="H677" i="10"/>
  <c r="I677" i="10"/>
  <c r="K677" i="10"/>
  <c r="L677" i="10"/>
  <c r="M677" i="10"/>
  <c r="N677" i="10"/>
  <c r="O677" i="10"/>
  <c r="P677" i="10"/>
  <c r="Q677" i="10"/>
  <c r="R677" i="10"/>
  <c r="S677" i="10"/>
  <c r="T677" i="10"/>
  <c r="U677" i="10"/>
  <c r="V677" i="10"/>
  <c r="W677" i="10"/>
  <c r="AB677" i="10"/>
  <c r="AC677" i="10"/>
  <c r="AD677" i="10"/>
  <c r="A678" i="10"/>
  <c r="B678" i="10"/>
  <c r="D678" i="10"/>
  <c r="E678" i="10"/>
  <c r="F678" i="10"/>
  <c r="G678" i="10"/>
  <c r="H678" i="10"/>
  <c r="I678" i="10"/>
  <c r="K678" i="10"/>
  <c r="L678" i="10"/>
  <c r="M678" i="10"/>
  <c r="N678" i="10"/>
  <c r="O678" i="10"/>
  <c r="P678" i="10"/>
  <c r="Q678" i="10"/>
  <c r="R678" i="10"/>
  <c r="S678" i="10"/>
  <c r="T678" i="10"/>
  <c r="U678" i="10"/>
  <c r="V678" i="10"/>
  <c r="W678" i="10"/>
  <c r="AB678" i="10"/>
  <c r="AC678" i="10"/>
  <c r="AD678" i="10"/>
  <c r="A679" i="10"/>
  <c r="B679" i="10"/>
  <c r="D679" i="10"/>
  <c r="E679" i="10"/>
  <c r="F679" i="10"/>
  <c r="G679" i="10"/>
  <c r="H679" i="10"/>
  <c r="I679" i="10"/>
  <c r="K679" i="10"/>
  <c r="L679" i="10"/>
  <c r="M679" i="10"/>
  <c r="N679" i="10"/>
  <c r="O679" i="10"/>
  <c r="P679" i="10"/>
  <c r="Q679" i="10"/>
  <c r="R679" i="10"/>
  <c r="S679" i="10"/>
  <c r="T679" i="10"/>
  <c r="U679" i="10"/>
  <c r="V679" i="10"/>
  <c r="W679" i="10"/>
  <c r="AB679" i="10"/>
  <c r="AC679" i="10"/>
  <c r="AD679" i="10"/>
  <c r="A680" i="10"/>
  <c r="B680" i="10"/>
  <c r="D680" i="10"/>
  <c r="E680" i="10"/>
  <c r="F680" i="10"/>
  <c r="G680" i="10"/>
  <c r="H680" i="10"/>
  <c r="I680" i="10"/>
  <c r="K680" i="10"/>
  <c r="L680" i="10"/>
  <c r="M680" i="10"/>
  <c r="N680" i="10"/>
  <c r="O680" i="10"/>
  <c r="P680" i="10"/>
  <c r="Q680" i="10"/>
  <c r="R680" i="10"/>
  <c r="S680" i="10"/>
  <c r="T680" i="10"/>
  <c r="U680" i="10"/>
  <c r="V680" i="10"/>
  <c r="W680" i="10"/>
  <c r="AB680" i="10"/>
  <c r="AC680" i="10"/>
  <c r="AD680" i="10"/>
  <c r="A681" i="10"/>
  <c r="B681" i="10"/>
  <c r="D681" i="10"/>
  <c r="E681" i="10"/>
  <c r="F681" i="10"/>
  <c r="G681" i="10"/>
  <c r="H681" i="10"/>
  <c r="I681" i="10"/>
  <c r="K681" i="10"/>
  <c r="L681" i="10"/>
  <c r="M681" i="10"/>
  <c r="N681" i="10"/>
  <c r="O681" i="10"/>
  <c r="P681" i="10"/>
  <c r="Q681" i="10"/>
  <c r="R681" i="10"/>
  <c r="S681" i="10"/>
  <c r="T681" i="10"/>
  <c r="U681" i="10"/>
  <c r="V681" i="10"/>
  <c r="W681" i="10"/>
  <c r="AB681" i="10"/>
  <c r="AC681" i="10"/>
  <c r="AD681" i="10"/>
  <c r="A682" i="10"/>
  <c r="B682" i="10"/>
  <c r="D682" i="10"/>
  <c r="E682" i="10"/>
  <c r="F682" i="10"/>
  <c r="G682" i="10"/>
  <c r="H682" i="10"/>
  <c r="I682" i="10"/>
  <c r="J682" i="10"/>
  <c r="K682" i="10"/>
  <c r="L682" i="10"/>
  <c r="M682" i="10"/>
  <c r="N682" i="10"/>
  <c r="O682" i="10"/>
  <c r="P682" i="10"/>
  <c r="Q682" i="10"/>
  <c r="R682" i="10"/>
  <c r="S682" i="10"/>
  <c r="T682" i="10"/>
  <c r="U682" i="10"/>
  <c r="V682" i="10"/>
  <c r="W682" i="10"/>
  <c r="AB682" i="10"/>
  <c r="AC682" i="10"/>
  <c r="AD682" i="10"/>
  <c r="A683" i="10"/>
  <c r="B683" i="10"/>
  <c r="D683" i="10"/>
  <c r="E683" i="10"/>
  <c r="F683" i="10"/>
  <c r="G683" i="10"/>
  <c r="H683" i="10"/>
  <c r="I683" i="10"/>
  <c r="K683" i="10"/>
  <c r="L683" i="10"/>
  <c r="M683" i="10"/>
  <c r="N683" i="10"/>
  <c r="O683" i="10"/>
  <c r="P683" i="10"/>
  <c r="Q683" i="10"/>
  <c r="R683" i="10"/>
  <c r="S683" i="10"/>
  <c r="T683" i="10"/>
  <c r="U683" i="10"/>
  <c r="V683" i="10"/>
  <c r="W683" i="10"/>
  <c r="AB683" i="10"/>
  <c r="AC683" i="10"/>
  <c r="AD683" i="10"/>
  <c r="A684" i="10"/>
  <c r="B684" i="10"/>
  <c r="D684" i="10"/>
  <c r="E684" i="10"/>
  <c r="F684" i="10"/>
  <c r="G684" i="10"/>
  <c r="H684" i="10"/>
  <c r="I684" i="10"/>
  <c r="K684" i="10"/>
  <c r="L684" i="10"/>
  <c r="M684" i="10"/>
  <c r="N684" i="10"/>
  <c r="O684" i="10"/>
  <c r="P684" i="10"/>
  <c r="Q684" i="10"/>
  <c r="R684" i="10"/>
  <c r="S684" i="10"/>
  <c r="T684" i="10"/>
  <c r="U684" i="10"/>
  <c r="V684" i="10"/>
  <c r="W684" i="10"/>
  <c r="AB684" i="10"/>
  <c r="AC684" i="10"/>
  <c r="AD684" i="10"/>
  <c r="A685" i="10"/>
  <c r="B685" i="10"/>
  <c r="D685" i="10"/>
  <c r="E685" i="10"/>
  <c r="F685" i="10"/>
  <c r="G685" i="10"/>
  <c r="H685" i="10"/>
  <c r="I685" i="10"/>
  <c r="K685" i="10"/>
  <c r="L685" i="10"/>
  <c r="M685" i="10"/>
  <c r="N685" i="10"/>
  <c r="O685" i="10"/>
  <c r="P685" i="10"/>
  <c r="Q685" i="10"/>
  <c r="R685" i="10"/>
  <c r="S685" i="10"/>
  <c r="T685" i="10"/>
  <c r="U685" i="10"/>
  <c r="V685" i="10"/>
  <c r="W685" i="10"/>
  <c r="AB685" i="10"/>
  <c r="AC685" i="10"/>
  <c r="AD685" i="10"/>
  <c r="A686" i="10"/>
  <c r="B686" i="10"/>
  <c r="D686" i="10"/>
  <c r="E686" i="10"/>
  <c r="F686" i="10"/>
  <c r="G686" i="10"/>
  <c r="H686" i="10"/>
  <c r="I686" i="10"/>
  <c r="K686" i="10"/>
  <c r="L686" i="10"/>
  <c r="M686" i="10"/>
  <c r="N686" i="10"/>
  <c r="O686" i="10"/>
  <c r="P686" i="10"/>
  <c r="Q686" i="10"/>
  <c r="R686" i="10"/>
  <c r="S686" i="10"/>
  <c r="T686" i="10"/>
  <c r="U686" i="10"/>
  <c r="V686" i="10"/>
  <c r="W686" i="10"/>
  <c r="AB686" i="10"/>
  <c r="AC686" i="10"/>
  <c r="AD686" i="10"/>
  <c r="A687" i="10"/>
  <c r="B687" i="10"/>
  <c r="D687" i="10"/>
  <c r="E687" i="10"/>
  <c r="F687" i="10"/>
  <c r="G687" i="10"/>
  <c r="H687" i="10"/>
  <c r="I687" i="10"/>
  <c r="J687" i="10"/>
  <c r="K687" i="10"/>
  <c r="L687" i="10"/>
  <c r="M687" i="10"/>
  <c r="N687" i="10"/>
  <c r="O687" i="10"/>
  <c r="P687" i="10"/>
  <c r="Q687" i="10"/>
  <c r="R687" i="10"/>
  <c r="S687" i="10"/>
  <c r="T687" i="10"/>
  <c r="U687" i="10"/>
  <c r="V687" i="10"/>
  <c r="W687" i="10"/>
  <c r="AB687" i="10"/>
  <c r="AC687" i="10"/>
  <c r="AD687" i="10"/>
  <c r="A688" i="10"/>
  <c r="B688" i="10"/>
  <c r="D688" i="10"/>
  <c r="E688" i="10"/>
  <c r="F688" i="10"/>
  <c r="G688" i="10"/>
  <c r="H688" i="10"/>
  <c r="I688" i="10"/>
  <c r="K688" i="10"/>
  <c r="L688" i="10"/>
  <c r="M688" i="10"/>
  <c r="N688" i="10"/>
  <c r="O688" i="10"/>
  <c r="P688" i="10"/>
  <c r="Q688" i="10"/>
  <c r="R688" i="10"/>
  <c r="S688" i="10"/>
  <c r="T688" i="10"/>
  <c r="U688" i="10"/>
  <c r="V688" i="10"/>
  <c r="W688" i="10"/>
  <c r="AB688" i="10"/>
  <c r="AC688" i="10"/>
  <c r="AD688" i="10"/>
  <c r="A689" i="10"/>
  <c r="B689" i="10"/>
  <c r="D689" i="10"/>
  <c r="E689" i="10"/>
  <c r="F689" i="10"/>
  <c r="G689" i="10"/>
  <c r="H689" i="10"/>
  <c r="I689" i="10"/>
  <c r="K689" i="10"/>
  <c r="L689" i="10"/>
  <c r="M689" i="10"/>
  <c r="N689" i="10"/>
  <c r="O689" i="10"/>
  <c r="P689" i="10"/>
  <c r="Q689" i="10"/>
  <c r="R689" i="10"/>
  <c r="S689" i="10"/>
  <c r="T689" i="10"/>
  <c r="U689" i="10"/>
  <c r="V689" i="10"/>
  <c r="W689" i="10"/>
  <c r="AB689" i="10"/>
  <c r="AC689" i="10"/>
  <c r="AD689" i="10"/>
  <c r="A690" i="10"/>
  <c r="B690" i="10"/>
  <c r="D690" i="10"/>
  <c r="E690" i="10"/>
  <c r="F690" i="10"/>
  <c r="G690" i="10"/>
  <c r="H690" i="10"/>
  <c r="I690" i="10"/>
  <c r="K690" i="10"/>
  <c r="L690" i="10"/>
  <c r="M690" i="10"/>
  <c r="N690" i="10"/>
  <c r="O690" i="10"/>
  <c r="P690" i="10"/>
  <c r="Q690" i="10"/>
  <c r="R690" i="10"/>
  <c r="S690" i="10"/>
  <c r="T690" i="10"/>
  <c r="U690" i="10"/>
  <c r="V690" i="10"/>
  <c r="W690" i="10"/>
  <c r="AB690" i="10"/>
  <c r="AC690" i="10"/>
  <c r="AD690" i="10"/>
  <c r="A691" i="10"/>
  <c r="B691" i="10"/>
  <c r="D691" i="10"/>
  <c r="E691" i="10"/>
  <c r="F691" i="10"/>
  <c r="G691" i="10"/>
  <c r="H691" i="10"/>
  <c r="I691" i="10"/>
  <c r="K691" i="10"/>
  <c r="L691" i="10"/>
  <c r="M691" i="10"/>
  <c r="N691" i="10"/>
  <c r="O691" i="10"/>
  <c r="P691" i="10"/>
  <c r="Q691" i="10"/>
  <c r="R691" i="10"/>
  <c r="S691" i="10"/>
  <c r="T691" i="10"/>
  <c r="U691" i="10"/>
  <c r="V691" i="10"/>
  <c r="W691" i="10"/>
  <c r="AB691" i="10"/>
  <c r="AC691" i="10"/>
  <c r="AD691" i="10"/>
  <c r="A692" i="10"/>
  <c r="B692" i="10"/>
  <c r="D692" i="10"/>
  <c r="E692" i="10"/>
  <c r="F692" i="10"/>
  <c r="G692" i="10"/>
  <c r="H692" i="10"/>
  <c r="I692" i="10"/>
  <c r="K692" i="10"/>
  <c r="L692" i="10"/>
  <c r="M692" i="10"/>
  <c r="N692" i="10"/>
  <c r="O692" i="10"/>
  <c r="P692" i="10"/>
  <c r="Q692" i="10"/>
  <c r="R692" i="10"/>
  <c r="S692" i="10"/>
  <c r="T692" i="10"/>
  <c r="U692" i="10"/>
  <c r="V692" i="10"/>
  <c r="W692" i="10"/>
  <c r="AB692" i="10"/>
  <c r="AC692" i="10"/>
  <c r="AD692" i="10"/>
  <c r="A693" i="10"/>
  <c r="B693" i="10"/>
  <c r="D693" i="10"/>
  <c r="E693" i="10"/>
  <c r="F693" i="10"/>
  <c r="G693" i="10"/>
  <c r="H693" i="10"/>
  <c r="I693" i="10"/>
  <c r="J693" i="10"/>
  <c r="K693" i="10"/>
  <c r="L693" i="10"/>
  <c r="M693" i="10"/>
  <c r="N693" i="10"/>
  <c r="O693" i="10"/>
  <c r="P693" i="10"/>
  <c r="Q693" i="10"/>
  <c r="R693" i="10"/>
  <c r="S693" i="10"/>
  <c r="T693" i="10"/>
  <c r="U693" i="10"/>
  <c r="V693" i="10"/>
  <c r="W693" i="10"/>
  <c r="AB693" i="10"/>
  <c r="AC693" i="10"/>
  <c r="AD693" i="10"/>
  <c r="A694" i="10"/>
  <c r="B694" i="10"/>
  <c r="D694" i="10"/>
  <c r="E694" i="10"/>
  <c r="F694" i="10"/>
  <c r="G694" i="10"/>
  <c r="H694" i="10"/>
  <c r="I694" i="10"/>
  <c r="K694" i="10"/>
  <c r="L694" i="10"/>
  <c r="M694" i="10"/>
  <c r="N694" i="10"/>
  <c r="O694" i="10"/>
  <c r="P694" i="10"/>
  <c r="Q694" i="10"/>
  <c r="R694" i="10"/>
  <c r="S694" i="10"/>
  <c r="T694" i="10"/>
  <c r="U694" i="10"/>
  <c r="V694" i="10"/>
  <c r="W694" i="10"/>
  <c r="AB694" i="10"/>
  <c r="AC694" i="10"/>
  <c r="AD694" i="10"/>
  <c r="A695" i="10"/>
  <c r="B695" i="10"/>
  <c r="D695" i="10"/>
  <c r="E695" i="10"/>
  <c r="F695" i="10"/>
  <c r="G695" i="10"/>
  <c r="H695" i="10"/>
  <c r="I695" i="10"/>
  <c r="K695" i="10"/>
  <c r="L695" i="10"/>
  <c r="M695" i="10"/>
  <c r="N695" i="10"/>
  <c r="O695" i="10"/>
  <c r="P695" i="10"/>
  <c r="Q695" i="10"/>
  <c r="R695" i="10"/>
  <c r="S695" i="10"/>
  <c r="T695" i="10"/>
  <c r="U695" i="10"/>
  <c r="V695" i="10"/>
  <c r="W695" i="10"/>
  <c r="AB695" i="10"/>
  <c r="AC695" i="10"/>
  <c r="AD695" i="10"/>
  <c r="A696" i="10"/>
  <c r="B696" i="10"/>
  <c r="D696" i="10"/>
  <c r="E696" i="10"/>
  <c r="F696" i="10"/>
  <c r="G696" i="10"/>
  <c r="H696" i="10"/>
  <c r="I696" i="10"/>
  <c r="K696" i="10"/>
  <c r="L696" i="10"/>
  <c r="M696" i="10"/>
  <c r="N696" i="10"/>
  <c r="O696" i="10"/>
  <c r="P696" i="10"/>
  <c r="Q696" i="10"/>
  <c r="R696" i="10"/>
  <c r="S696" i="10"/>
  <c r="T696" i="10"/>
  <c r="U696" i="10"/>
  <c r="V696" i="10"/>
  <c r="W696" i="10"/>
  <c r="AB696" i="10"/>
  <c r="AC696" i="10"/>
  <c r="AD696" i="10"/>
  <c r="A697" i="10"/>
  <c r="B697" i="10"/>
  <c r="D697" i="10"/>
  <c r="E697" i="10"/>
  <c r="F697" i="10"/>
  <c r="G697" i="10"/>
  <c r="H697" i="10"/>
  <c r="I697" i="10"/>
  <c r="K697" i="10"/>
  <c r="L697" i="10"/>
  <c r="M697" i="10"/>
  <c r="N697" i="10"/>
  <c r="O697" i="10"/>
  <c r="P697" i="10"/>
  <c r="Q697" i="10"/>
  <c r="R697" i="10"/>
  <c r="S697" i="10"/>
  <c r="T697" i="10"/>
  <c r="U697" i="10"/>
  <c r="V697" i="10"/>
  <c r="W697" i="10"/>
  <c r="AB697" i="10"/>
  <c r="AC697" i="10"/>
  <c r="AD697" i="10"/>
  <c r="A698" i="10"/>
  <c r="B698" i="10"/>
  <c r="D698" i="10"/>
  <c r="E698" i="10"/>
  <c r="F698" i="10"/>
  <c r="G698" i="10"/>
  <c r="H698" i="10"/>
  <c r="I698" i="10"/>
  <c r="K698" i="10"/>
  <c r="L698" i="10"/>
  <c r="M698" i="10"/>
  <c r="N698" i="10"/>
  <c r="O698" i="10"/>
  <c r="P698" i="10"/>
  <c r="Q698" i="10"/>
  <c r="R698" i="10"/>
  <c r="S698" i="10"/>
  <c r="T698" i="10"/>
  <c r="U698" i="10"/>
  <c r="V698" i="10"/>
  <c r="W698" i="10"/>
  <c r="AB698" i="10"/>
  <c r="AC698" i="10"/>
  <c r="AD698" i="10"/>
  <c r="A699" i="10"/>
  <c r="B699" i="10"/>
  <c r="D699" i="10"/>
  <c r="E699" i="10"/>
  <c r="F699" i="10"/>
  <c r="G699" i="10"/>
  <c r="H699" i="10"/>
  <c r="I699" i="10"/>
  <c r="J699" i="10"/>
  <c r="K699" i="10"/>
  <c r="L699" i="10"/>
  <c r="M699" i="10"/>
  <c r="N699" i="10"/>
  <c r="O699" i="10"/>
  <c r="P699" i="10"/>
  <c r="Q699" i="10"/>
  <c r="R699" i="10"/>
  <c r="S699" i="10"/>
  <c r="T699" i="10"/>
  <c r="U699" i="10"/>
  <c r="V699" i="10"/>
  <c r="W699" i="10"/>
  <c r="AB699" i="10"/>
  <c r="AC699" i="10"/>
  <c r="AD699" i="10"/>
  <c r="A700" i="10"/>
  <c r="B700" i="10"/>
  <c r="D700" i="10"/>
  <c r="E700" i="10"/>
  <c r="F700" i="10"/>
  <c r="G700" i="10"/>
  <c r="H700" i="10"/>
  <c r="I700" i="10"/>
  <c r="K700" i="10"/>
  <c r="L700" i="10"/>
  <c r="M700" i="10"/>
  <c r="N700" i="10"/>
  <c r="O700" i="10"/>
  <c r="P700" i="10"/>
  <c r="Q700" i="10"/>
  <c r="R700" i="10"/>
  <c r="S700" i="10"/>
  <c r="T700" i="10"/>
  <c r="U700" i="10"/>
  <c r="V700" i="10"/>
  <c r="W700" i="10"/>
  <c r="AB700" i="10"/>
  <c r="AC700" i="10"/>
  <c r="AD700" i="10"/>
  <c r="A701" i="10"/>
  <c r="B701" i="10"/>
  <c r="D701" i="10"/>
  <c r="E701" i="10"/>
  <c r="F701" i="10"/>
  <c r="G701" i="10"/>
  <c r="H701" i="10"/>
  <c r="I701" i="10"/>
  <c r="K701" i="10"/>
  <c r="L701" i="10"/>
  <c r="M701" i="10"/>
  <c r="N701" i="10"/>
  <c r="O701" i="10"/>
  <c r="P701" i="10"/>
  <c r="Q701" i="10"/>
  <c r="R701" i="10"/>
  <c r="S701" i="10"/>
  <c r="T701" i="10"/>
  <c r="U701" i="10"/>
  <c r="V701" i="10"/>
  <c r="W701" i="10"/>
  <c r="AB701" i="10"/>
  <c r="AC701" i="10"/>
  <c r="AD701" i="10"/>
  <c r="A702" i="10"/>
  <c r="B702" i="10"/>
  <c r="D702" i="10"/>
  <c r="E702" i="10"/>
  <c r="F702" i="10"/>
  <c r="G702" i="10"/>
  <c r="H702" i="10"/>
  <c r="I702" i="10"/>
  <c r="K702" i="10"/>
  <c r="L702" i="10"/>
  <c r="M702" i="10"/>
  <c r="N702" i="10"/>
  <c r="O702" i="10"/>
  <c r="P702" i="10"/>
  <c r="Q702" i="10"/>
  <c r="R702" i="10"/>
  <c r="S702" i="10"/>
  <c r="T702" i="10"/>
  <c r="U702" i="10"/>
  <c r="V702" i="10"/>
  <c r="W702" i="10"/>
  <c r="AB702" i="10"/>
  <c r="AC702" i="10"/>
  <c r="AD702" i="10"/>
  <c r="A703" i="10"/>
  <c r="B703" i="10"/>
  <c r="D703" i="10"/>
  <c r="E703" i="10"/>
  <c r="F703" i="10"/>
  <c r="G703" i="10"/>
  <c r="H703" i="10"/>
  <c r="I703" i="10"/>
  <c r="K703" i="10"/>
  <c r="L703" i="10"/>
  <c r="M703" i="10"/>
  <c r="N703" i="10"/>
  <c r="O703" i="10"/>
  <c r="P703" i="10"/>
  <c r="Q703" i="10"/>
  <c r="R703" i="10"/>
  <c r="S703" i="10"/>
  <c r="T703" i="10"/>
  <c r="U703" i="10"/>
  <c r="V703" i="10"/>
  <c r="W703" i="10"/>
  <c r="AB703" i="10"/>
  <c r="AC703" i="10"/>
  <c r="AD703" i="10"/>
  <c r="A704" i="10"/>
  <c r="B704" i="10"/>
  <c r="D704" i="10"/>
  <c r="E704" i="10"/>
  <c r="F704" i="10"/>
  <c r="G704" i="10"/>
  <c r="H704" i="10"/>
  <c r="I704" i="10"/>
  <c r="J704" i="10"/>
  <c r="K704" i="10"/>
  <c r="L704" i="10"/>
  <c r="M704" i="10"/>
  <c r="N704" i="10"/>
  <c r="O704" i="10"/>
  <c r="P704" i="10"/>
  <c r="Q704" i="10"/>
  <c r="R704" i="10"/>
  <c r="S704" i="10"/>
  <c r="T704" i="10"/>
  <c r="U704" i="10"/>
  <c r="V704" i="10"/>
  <c r="W704" i="10"/>
  <c r="AB704" i="10"/>
  <c r="AC704" i="10"/>
  <c r="AD704" i="10"/>
  <c r="A705" i="10"/>
  <c r="B705" i="10"/>
  <c r="D705" i="10"/>
  <c r="E705" i="10"/>
  <c r="F705" i="10"/>
  <c r="G705" i="10"/>
  <c r="H705" i="10"/>
  <c r="I705" i="10"/>
  <c r="K705" i="10"/>
  <c r="L705" i="10"/>
  <c r="M705" i="10"/>
  <c r="N705" i="10"/>
  <c r="O705" i="10"/>
  <c r="P705" i="10"/>
  <c r="Q705" i="10"/>
  <c r="R705" i="10"/>
  <c r="S705" i="10"/>
  <c r="T705" i="10"/>
  <c r="U705" i="10"/>
  <c r="V705" i="10"/>
  <c r="W705" i="10"/>
  <c r="AB705" i="10"/>
  <c r="AC705" i="10"/>
  <c r="AD705" i="10"/>
  <c r="A706" i="10"/>
  <c r="B706" i="10"/>
  <c r="D706" i="10"/>
  <c r="E706" i="10"/>
  <c r="F706" i="10"/>
  <c r="G706" i="10"/>
  <c r="H706" i="10"/>
  <c r="I706" i="10"/>
  <c r="K706" i="10"/>
  <c r="L706" i="10"/>
  <c r="M706" i="10"/>
  <c r="N706" i="10"/>
  <c r="O706" i="10"/>
  <c r="P706" i="10"/>
  <c r="Q706" i="10"/>
  <c r="R706" i="10"/>
  <c r="S706" i="10"/>
  <c r="T706" i="10"/>
  <c r="U706" i="10"/>
  <c r="V706" i="10"/>
  <c r="W706" i="10"/>
  <c r="AB706" i="10"/>
  <c r="AC706" i="10"/>
  <c r="AD706" i="10"/>
  <c r="A707" i="10"/>
  <c r="B707" i="10"/>
  <c r="D707" i="10"/>
  <c r="E707" i="10"/>
  <c r="F707" i="10"/>
  <c r="G707" i="10"/>
  <c r="H707" i="10"/>
  <c r="I707" i="10"/>
  <c r="K707" i="10"/>
  <c r="L707" i="10"/>
  <c r="M707" i="10"/>
  <c r="N707" i="10"/>
  <c r="O707" i="10"/>
  <c r="P707" i="10"/>
  <c r="Q707" i="10"/>
  <c r="R707" i="10"/>
  <c r="S707" i="10"/>
  <c r="T707" i="10"/>
  <c r="U707" i="10"/>
  <c r="V707" i="10"/>
  <c r="W707" i="10"/>
  <c r="AB707" i="10"/>
  <c r="AC707" i="10"/>
  <c r="AD707" i="10"/>
  <c r="A708" i="10"/>
  <c r="B708" i="10"/>
  <c r="D708" i="10"/>
  <c r="E708" i="10"/>
  <c r="F708" i="10"/>
  <c r="G708" i="10"/>
  <c r="H708" i="10"/>
  <c r="I708" i="10"/>
  <c r="K708" i="10"/>
  <c r="L708" i="10"/>
  <c r="M708" i="10"/>
  <c r="N708" i="10"/>
  <c r="O708" i="10"/>
  <c r="P708" i="10"/>
  <c r="Q708" i="10"/>
  <c r="R708" i="10"/>
  <c r="S708" i="10"/>
  <c r="T708" i="10"/>
  <c r="U708" i="10"/>
  <c r="V708" i="10"/>
  <c r="W708" i="10"/>
  <c r="AB708" i="10"/>
  <c r="AC708" i="10"/>
  <c r="AD708" i="10"/>
  <c r="A709" i="10"/>
  <c r="B709" i="10"/>
  <c r="D709" i="10"/>
  <c r="E709" i="10"/>
  <c r="F709" i="10"/>
  <c r="G709" i="10"/>
  <c r="H709" i="10"/>
  <c r="I709" i="10"/>
  <c r="K709" i="10"/>
  <c r="L709" i="10"/>
  <c r="M709" i="10"/>
  <c r="N709" i="10"/>
  <c r="O709" i="10"/>
  <c r="P709" i="10"/>
  <c r="Q709" i="10"/>
  <c r="R709" i="10"/>
  <c r="S709" i="10"/>
  <c r="T709" i="10"/>
  <c r="U709" i="10"/>
  <c r="V709" i="10"/>
  <c r="W709" i="10"/>
  <c r="AB709" i="10"/>
  <c r="AC709" i="10"/>
  <c r="AD709" i="10"/>
  <c r="A710" i="10"/>
  <c r="B710" i="10"/>
  <c r="D710" i="10"/>
  <c r="E710" i="10"/>
  <c r="F710" i="10"/>
  <c r="G710" i="10"/>
  <c r="H710" i="10"/>
  <c r="I710" i="10"/>
  <c r="J710" i="10"/>
  <c r="K710" i="10"/>
  <c r="L710" i="10"/>
  <c r="M710" i="10"/>
  <c r="N710" i="10"/>
  <c r="O710" i="10"/>
  <c r="P710" i="10"/>
  <c r="Q710" i="10"/>
  <c r="R710" i="10"/>
  <c r="S710" i="10"/>
  <c r="T710" i="10"/>
  <c r="U710" i="10"/>
  <c r="V710" i="10"/>
  <c r="W710" i="10"/>
  <c r="AB710" i="10"/>
  <c r="AC710" i="10"/>
  <c r="AD710" i="10"/>
  <c r="A711" i="10"/>
  <c r="B711" i="10"/>
  <c r="D711" i="10"/>
  <c r="E711" i="10"/>
  <c r="F711" i="10"/>
  <c r="G711" i="10"/>
  <c r="H711" i="10"/>
  <c r="I711" i="10"/>
  <c r="K711" i="10"/>
  <c r="L711" i="10"/>
  <c r="M711" i="10"/>
  <c r="N711" i="10"/>
  <c r="O711" i="10"/>
  <c r="P711" i="10"/>
  <c r="Q711" i="10"/>
  <c r="R711" i="10"/>
  <c r="S711" i="10"/>
  <c r="T711" i="10"/>
  <c r="U711" i="10"/>
  <c r="V711" i="10"/>
  <c r="W711" i="10"/>
  <c r="AB711" i="10"/>
  <c r="AC711" i="10"/>
  <c r="AD711" i="10"/>
  <c r="A712" i="10"/>
  <c r="B712" i="10"/>
  <c r="D712" i="10"/>
  <c r="E712" i="10"/>
  <c r="F712" i="10"/>
  <c r="G712" i="10"/>
  <c r="H712" i="10"/>
  <c r="I712" i="10"/>
  <c r="K712" i="10"/>
  <c r="L712" i="10"/>
  <c r="M712" i="10"/>
  <c r="N712" i="10"/>
  <c r="O712" i="10"/>
  <c r="P712" i="10"/>
  <c r="Q712" i="10"/>
  <c r="R712" i="10"/>
  <c r="S712" i="10"/>
  <c r="T712" i="10"/>
  <c r="U712" i="10"/>
  <c r="V712" i="10"/>
  <c r="W712" i="10"/>
  <c r="AB712" i="10"/>
  <c r="AC712" i="10"/>
  <c r="AD712" i="10"/>
  <c r="A713" i="10"/>
  <c r="B713" i="10"/>
  <c r="D713" i="10"/>
  <c r="E713" i="10"/>
  <c r="F713" i="10"/>
  <c r="G713" i="10"/>
  <c r="H713" i="10"/>
  <c r="I713" i="10"/>
  <c r="K713" i="10"/>
  <c r="L713" i="10"/>
  <c r="M713" i="10"/>
  <c r="N713" i="10"/>
  <c r="O713" i="10"/>
  <c r="P713" i="10"/>
  <c r="Q713" i="10"/>
  <c r="R713" i="10"/>
  <c r="S713" i="10"/>
  <c r="T713" i="10"/>
  <c r="U713" i="10"/>
  <c r="V713" i="10"/>
  <c r="W713" i="10"/>
  <c r="AB713" i="10"/>
  <c r="AC713" i="10"/>
  <c r="AD713" i="10"/>
  <c r="A714" i="10"/>
  <c r="B714" i="10"/>
  <c r="D714" i="10"/>
  <c r="E714" i="10"/>
  <c r="F714" i="10"/>
  <c r="G714" i="10"/>
  <c r="H714" i="10"/>
  <c r="I714" i="10"/>
  <c r="K714" i="10"/>
  <c r="L714" i="10"/>
  <c r="M714" i="10"/>
  <c r="N714" i="10"/>
  <c r="O714" i="10"/>
  <c r="P714" i="10"/>
  <c r="Q714" i="10"/>
  <c r="R714" i="10"/>
  <c r="S714" i="10"/>
  <c r="T714" i="10"/>
  <c r="U714" i="10"/>
  <c r="V714" i="10"/>
  <c r="W714" i="10"/>
  <c r="AB714" i="10"/>
  <c r="AC714" i="10"/>
  <c r="AD714" i="10"/>
  <c r="A715" i="10"/>
  <c r="B715" i="10"/>
  <c r="D715" i="10"/>
  <c r="E715" i="10"/>
  <c r="F715" i="10"/>
  <c r="G715" i="10"/>
  <c r="H715" i="10"/>
  <c r="I715" i="10"/>
  <c r="J715" i="10"/>
  <c r="K715" i="10"/>
  <c r="L715" i="10"/>
  <c r="M715" i="10"/>
  <c r="N715" i="10"/>
  <c r="O715" i="10"/>
  <c r="P715" i="10"/>
  <c r="Q715" i="10"/>
  <c r="R715" i="10"/>
  <c r="S715" i="10"/>
  <c r="T715" i="10"/>
  <c r="U715" i="10"/>
  <c r="V715" i="10"/>
  <c r="W715" i="10"/>
  <c r="AB715" i="10"/>
  <c r="AC715" i="10"/>
  <c r="AD715" i="10"/>
  <c r="A716" i="10"/>
  <c r="B716" i="10"/>
  <c r="D716" i="10"/>
  <c r="E716" i="10"/>
  <c r="F716" i="10"/>
  <c r="G716" i="10"/>
  <c r="H716" i="10"/>
  <c r="I716" i="10"/>
  <c r="K716" i="10"/>
  <c r="L716" i="10"/>
  <c r="M716" i="10"/>
  <c r="N716" i="10"/>
  <c r="O716" i="10"/>
  <c r="P716" i="10"/>
  <c r="Q716" i="10"/>
  <c r="R716" i="10"/>
  <c r="S716" i="10"/>
  <c r="T716" i="10"/>
  <c r="U716" i="10"/>
  <c r="V716" i="10"/>
  <c r="W716" i="10"/>
  <c r="AB716" i="10"/>
  <c r="AC716" i="10"/>
  <c r="AD716" i="10"/>
  <c r="A717" i="10"/>
  <c r="B717" i="10"/>
  <c r="D717" i="10"/>
  <c r="E717" i="10"/>
  <c r="F717" i="10"/>
  <c r="G717" i="10"/>
  <c r="H717" i="10"/>
  <c r="I717" i="10"/>
  <c r="K717" i="10"/>
  <c r="L717" i="10"/>
  <c r="M717" i="10"/>
  <c r="N717" i="10"/>
  <c r="O717" i="10"/>
  <c r="P717" i="10"/>
  <c r="Q717" i="10"/>
  <c r="R717" i="10"/>
  <c r="S717" i="10"/>
  <c r="T717" i="10"/>
  <c r="U717" i="10"/>
  <c r="V717" i="10"/>
  <c r="W717" i="10"/>
  <c r="AB717" i="10"/>
  <c r="AC717" i="10"/>
  <c r="AD717" i="10"/>
  <c r="A718" i="10"/>
  <c r="B718" i="10"/>
  <c r="D718" i="10"/>
  <c r="E718" i="10"/>
  <c r="F718" i="10"/>
  <c r="G718" i="10"/>
  <c r="H718" i="10"/>
  <c r="I718" i="10"/>
  <c r="K718" i="10"/>
  <c r="L718" i="10"/>
  <c r="M718" i="10"/>
  <c r="N718" i="10"/>
  <c r="O718" i="10"/>
  <c r="P718" i="10"/>
  <c r="Q718" i="10"/>
  <c r="R718" i="10"/>
  <c r="S718" i="10"/>
  <c r="T718" i="10"/>
  <c r="U718" i="10"/>
  <c r="V718" i="10"/>
  <c r="W718" i="10"/>
  <c r="AB718" i="10"/>
  <c r="AC718" i="10"/>
  <c r="AD718" i="10"/>
  <c r="A719" i="10"/>
  <c r="B719" i="10"/>
  <c r="D719" i="10"/>
  <c r="E719" i="10"/>
  <c r="F719" i="10"/>
  <c r="G719" i="10"/>
  <c r="H719" i="10"/>
  <c r="I719" i="10"/>
  <c r="K719" i="10"/>
  <c r="L719" i="10"/>
  <c r="M719" i="10"/>
  <c r="N719" i="10"/>
  <c r="O719" i="10"/>
  <c r="P719" i="10"/>
  <c r="Q719" i="10"/>
  <c r="R719" i="10"/>
  <c r="S719" i="10"/>
  <c r="T719" i="10"/>
  <c r="U719" i="10"/>
  <c r="V719" i="10"/>
  <c r="W719" i="10"/>
  <c r="AB719" i="10"/>
  <c r="AC719" i="10"/>
  <c r="AD719" i="10"/>
  <c r="A720" i="10"/>
  <c r="B720" i="10"/>
  <c r="D720" i="10"/>
  <c r="E720" i="10"/>
  <c r="F720" i="10"/>
  <c r="G720" i="10"/>
  <c r="H720" i="10"/>
  <c r="I720" i="10"/>
  <c r="K720" i="10"/>
  <c r="L720" i="10"/>
  <c r="M720" i="10"/>
  <c r="N720" i="10"/>
  <c r="O720" i="10"/>
  <c r="P720" i="10"/>
  <c r="Q720" i="10"/>
  <c r="R720" i="10"/>
  <c r="S720" i="10"/>
  <c r="T720" i="10"/>
  <c r="U720" i="10"/>
  <c r="V720" i="10"/>
  <c r="W720" i="10"/>
  <c r="AB720" i="10"/>
  <c r="AC720" i="10"/>
  <c r="AD720" i="10"/>
  <c r="A721" i="10"/>
  <c r="B721" i="10"/>
  <c r="D721" i="10"/>
  <c r="E721" i="10"/>
  <c r="F721" i="10"/>
  <c r="G721" i="10"/>
  <c r="H721" i="10"/>
  <c r="I721" i="10"/>
  <c r="J721" i="10"/>
  <c r="K721" i="10"/>
  <c r="L721" i="10"/>
  <c r="M721" i="10"/>
  <c r="N721" i="10"/>
  <c r="O721" i="10"/>
  <c r="P721" i="10"/>
  <c r="Q721" i="10"/>
  <c r="R721" i="10"/>
  <c r="S721" i="10"/>
  <c r="T721" i="10"/>
  <c r="U721" i="10"/>
  <c r="V721" i="10"/>
  <c r="W721" i="10"/>
  <c r="AB721" i="10"/>
  <c r="AC721" i="10"/>
  <c r="AD721" i="10"/>
  <c r="A722" i="10"/>
  <c r="B722" i="10"/>
  <c r="D722" i="10"/>
  <c r="E722" i="10"/>
  <c r="F722" i="10"/>
  <c r="G722" i="10"/>
  <c r="H722" i="10"/>
  <c r="I722" i="10"/>
  <c r="K722" i="10"/>
  <c r="L722" i="10"/>
  <c r="M722" i="10"/>
  <c r="N722" i="10"/>
  <c r="O722" i="10"/>
  <c r="P722" i="10"/>
  <c r="Q722" i="10"/>
  <c r="R722" i="10"/>
  <c r="S722" i="10"/>
  <c r="T722" i="10"/>
  <c r="U722" i="10"/>
  <c r="V722" i="10"/>
  <c r="W722" i="10"/>
  <c r="AB722" i="10"/>
  <c r="AC722" i="10"/>
  <c r="AD722" i="10"/>
  <c r="A723" i="10"/>
  <c r="B723" i="10"/>
  <c r="D723" i="10"/>
  <c r="E723" i="10"/>
  <c r="F723" i="10"/>
  <c r="G723" i="10"/>
  <c r="H723" i="10"/>
  <c r="I723" i="10"/>
  <c r="K723" i="10"/>
  <c r="L723" i="10"/>
  <c r="M723" i="10"/>
  <c r="N723" i="10"/>
  <c r="O723" i="10"/>
  <c r="P723" i="10"/>
  <c r="Q723" i="10"/>
  <c r="R723" i="10"/>
  <c r="S723" i="10"/>
  <c r="T723" i="10"/>
  <c r="U723" i="10"/>
  <c r="V723" i="10"/>
  <c r="W723" i="10"/>
  <c r="AB723" i="10"/>
  <c r="AC723" i="10"/>
  <c r="AD723" i="10"/>
  <c r="A724" i="10"/>
  <c r="B724" i="10"/>
  <c r="D724" i="10"/>
  <c r="E724" i="10"/>
  <c r="F724" i="10"/>
  <c r="G724" i="10"/>
  <c r="H724" i="10"/>
  <c r="I724" i="10"/>
  <c r="K724" i="10"/>
  <c r="L724" i="10"/>
  <c r="M724" i="10"/>
  <c r="N724" i="10"/>
  <c r="O724" i="10"/>
  <c r="P724" i="10"/>
  <c r="Q724" i="10"/>
  <c r="R724" i="10"/>
  <c r="S724" i="10"/>
  <c r="T724" i="10"/>
  <c r="U724" i="10"/>
  <c r="V724" i="10"/>
  <c r="W724" i="10"/>
  <c r="AB724" i="10"/>
  <c r="AC724" i="10"/>
  <c r="AD724" i="10"/>
  <c r="A725" i="10"/>
  <c r="B725" i="10"/>
  <c r="D725" i="10"/>
  <c r="E725" i="10"/>
  <c r="F725" i="10"/>
  <c r="G725" i="10"/>
  <c r="H725" i="10"/>
  <c r="I725" i="10"/>
  <c r="K725" i="10"/>
  <c r="L725" i="10"/>
  <c r="M725" i="10"/>
  <c r="N725" i="10"/>
  <c r="O725" i="10"/>
  <c r="P725" i="10"/>
  <c r="Q725" i="10"/>
  <c r="R725" i="10"/>
  <c r="S725" i="10"/>
  <c r="T725" i="10"/>
  <c r="U725" i="10"/>
  <c r="V725" i="10"/>
  <c r="W725" i="10"/>
  <c r="AB725" i="10"/>
  <c r="AC725" i="10"/>
  <c r="AD725" i="10"/>
  <c r="A726" i="10"/>
  <c r="B726" i="10"/>
  <c r="D726" i="10"/>
  <c r="E726" i="10"/>
  <c r="F726" i="10"/>
  <c r="G726" i="10"/>
  <c r="H726" i="10"/>
  <c r="I726" i="10"/>
  <c r="K726" i="10"/>
  <c r="L726" i="10"/>
  <c r="M726" i="10"/>
  <c r="N726" i="10"/>
  <c r="O726" i="10"/>
  <c r="P726" i="10"/>
  <c r="Q726" i="10"/>
  <c r="R726" i="10"/>
  <c r="S726" i="10"/>
  <c r="T726" i="10"/>
  <c r="U726" i="10"/>
  <c r="V726" i="10"/>
  <c r="W726" i="10"/>
  <c r="AB726" i="10"/>
  <c r="AC726" i="10"/>
  <c r="AD726" i="10"/>
  <c r="A727" i="10"/>
  <c r="B727" i="10"/>
  <c r="D727" i="10"/>
  <c r="E727" i="10"/>
  <c r="F727" i="10"/>
  <c r="G727" i="10"/>
  <c r="H727" i="10"/>
  <c r="I727" i="10"/>
  <c r="J727" i="10"/>
  <c r="K727" i="10"/>
  <c r="L727" i="10"/>
  <c r="M727" i="10"/>
  <c r="N727" i="10"/>
  <c r="O727" i="10"/>
  <c r="P727" i="10"/>
  <c r="Q727" i="10"/>
  <c r="R727" i="10"/>
  <c r="S727" i="10"/>
  <c r="T727" i="10"/>
  <c r="U727" i="10"/>
  <c r="V727" i="10"/>
  <c r="W727" i="10"/>
  <c r="AB727" i="10"/>
  <c r="AC727" i="10"/>
  <c r="AD727" i="10"/>
  <c r="A728" i="10"/>
  <c r="B728" i="10"/>
  <c r="D728" i="10"/>
  <c r="E728" i="10"/>
  <c r="F728" i="10"/>
  <c r="G728" i="10"/>
  <c r="H728" i="10"/>
  <c r="I728" i="10"/>
  <c r="K728" i="10"/>
  <c r="L728" i="10"/>
  <c r="M728" i="10"/>
  <c r="N728" i="10"/>
  <c r="O728" i="10"/>
  <c r="P728" i="10"/>
  <c r="Q728" i="10"/>
  <c r="R728" i="10"/>
  <c r="S728" i="10"/>
  <c r="T728" i="10"/>
  <c r="U728" i="10"/>
  <c r="V728" i="10"/>
  <c r="W728" i="10"/>
  <c r="AB728" i="10"/>
  <c r="AC728" i="10"/>
  <c r="AD728" i="10"/>
  <c r="A729" i="10"/>
  <c r="B729" i="10"/>
  <c r="D729" i="10"/>
  <c r="E729" i="10"/>
  <c r="F729" i="10"/>
  <c r="G729" i="10"/>
  <c r="H729" i="10"/>
  <c r="I729" i="10"/>
  <c r="K729" i="10"/>
  <c r="L729" i="10"/>
  <c r="M729" i="10"/>
  <c r="N729" i="10"/>
  <c r="O729" i="10"/>
  <c r="P729" i="10"/>
  <c r="Q729" i="10"/>
  <c r="R729" i="10"/>
  <c r="S729" i="10"/>
  <c r="T729" i="10"/>
  <c r="U729" i="10"/>
  <c r="V729" i="10"/>
  <c r="W729" i="10"/>
  <c r="AB729" i="10"/>
  <c r="AC729" i="10"/>
  <c r="AD729" i="10"/>
  <c r="A730" i="10"/>
  <c r="B730" i="10"/>
  <c r="D730" i="10"/>
  <c r="E730" i="10"/>
  <c r="F730" i="10"/>
  <c r="G730" i="10"/>
  <c r="H730" i="10"/>
  <c r="I730" i="10"/>
  <c r="K730" i="10"/>
  <c r="L730" i="10"/>
  <c r="M730" i="10"/>
  <c r="N730" i="10"/>
  <c r="O730" i="10"/>
  <c r="P730" i="10"/>
  <c r="Q730" i="10"/>
  <c r="R730" i="10"/>
  <c r="S730" i="10"/>
  <c r="T730" i="10"/>
  <c r="U730" i="10"/>
  <c r="V730" i="10"/>
  <c r="W730" i="10"/>
  <c r="AB730" i="10"/>
  <c r="AC730" i="10"/>
  <c r="AD730" i="10"/>
  <c r="A731" i="10"/>
  <c r="B731" i="10"/>
  <c r="D731" i="10"/>
  <c r="E731" i="10"/>
  <c r="F731" i="10"/>
  <c r="G731" i="10"/>
  <c r="H731" i="10"/>
  <c r="I731" i="10"/>
  <c r="K731" i="10"/>
  <c r="L731" i="10"/>
  <c r="M731" i="10"/>
  <c r="N731" i="10"/>
  <c r="O731" i="10"/>
  <c r="P731" i="10"/>
  <c r="Q731" i="10"/>
  <c r="R731" i="10"/>
  <c r="S731" i="10"/>
  <c r="T731" i="10"/>
  <c r="U731" i="10"/>
  <c r="V731" i="10"/>
  <c r="W731" i="10"/>
  <c r="AB731" i="10"/>
  <c r="AC731" i="10"/>
  <c r="AD731" i="10"/>
  <c r="A732" i="10"/>
  <c r="B732" i="10"/>
  <c r="D732" i="10"/>
  <c r="E732" i="10"/>
  <c r="F732" i="10"/>
  <c r="G732" i="10"/>
  <c r="H732" i="10"/>
  <c r="I732" i="10"/>
  <c r="K732" i="10"/>
  <c r="L732" i="10"/>
  <c r="M732" i="10"/>
  <c r="N732" i="10"/>
  <c r="O732" i="10"/>
  <c r="P732" i="10"/>
  <c r="Q732" i="10"/>
  <c r="R732" i="10"/>
  <c r="S732" i="10"/>
  <c r="T732" i="10"/>
  <c r="U732" i="10"/>
  <c r="V732" i="10"/>
  <c r="W732" i="10"/>
  <c r="AB732" i="10"/>
  <c r="AC732" i="10"/>
  <c r="AD732" i="10"/>
  <c r="A733" i="10"/>
  <c r="B733" i="10"/>
  <c r="D733" i="10"/>
  <c r="E733" i="10"/>
  <c r="F733" i="10"/>
  <c r="G733" i="10"/>
  <c r="H733" i="10"/>
  <c r="I733" i="10"/>
  <c r="J733" i="10"/>
  <c r="K733" i="10"/>
  <c r="L733" i="10"/>
  <c r="M733" i="10"/>
  <c r="N733" i="10"/>
  <c r="O733" i="10"/>
  <c r="P733" i="10"/>
  <c r="Q733" i="10"/>
  <c r="R733" i="10"/>
  <c r="S733" i="10"/>
  <c r="T733" i="10"/>
  <c r="U733" i="10"/>
  <c r="V733" i="10"/>
  <c r="W733" i="10"/>
  <c r="AB733" i="10"/>
  <c r="AC733" i="10"/>
  <c r="AD733" i="10"/>
  <c r="A734" i="10"/>
  <c r="B734" i="10"/>
  <c r="D734" i="10"/>
  <c r="E734" i="10"/>
  <c r="F734" i="10"/>
  <c r="G734" i="10"/>
  <c r="H734" i="10"/>
  <c r="I734" i="10"/>
  <c r="K734" i="10"/>
  <c r="L734" i="10"/>
  <c r="M734" i="10"/>
  <c r="N734" i="10"/>
  <c r="O734" i="10"/>
  <c r="P734" i="10"/>
  <c r="Q734" i="10"/>
  <c r="R734" i="10"/>
  <c r="S734" i="10"/>
  <c r="T734" i="10"/>
  <c r="U734" i="10"/>
  <c r="V734" i="10"/>
  <c r="W734" i="10"/>
  <c r="AB734" i="10"/>
  <c r="AC734" i="10"/>
  <c r="AD734" i="10"/>
  <c r="A735" i="10"/>
  <c r="B735" i="10"/>
  <c r="D735" i="10"/>
  <c r="E735" i="10"/>
  <c r="F735" i="10"/>
  <c r="G735" i="10"/>
  <c r="H735" i="10"/>
  <c r="I735" i="10"/>
  <c r="K735" i="10"/>
  <c r="L735" i="10"/>
  <c r="M735" i="10"/>
  <c r="N735" i="10"/>
  <c r="O735" i="10"/>
  <c r="P735" i="10"/>
  <c r="Q735" i="10"/>
  <c r="R735" i="10"/>
  <c r="S735" i="10"/>
  <c r="T735" i="10"/>
  <c r="U735" i="10"/>
  <c r="V735" i="10"/>
  <c r="W735" i="10"/>
  <c r="AB735" i="10"/>
  <c r="AC735" i="10"/>
  <c r="AD735" i="10"/>
  <c r="A736" i="10"/>
  <c r="B736" i="10"/>
  <c r="D736" i="10"/>
  <c r="E736" i="10"/>
  <c r="F736" i="10"/>
  <c r="G736" i="10"/>
  <c r="H736" i="10"/>
  <c r="I736" i="10"/>
  <c r="K736" i="10"/>
  <c r="L736" i="10"/>
  <c r="M736" i="10"/>
  <c r="N736" i="10"/>
  <c r="O736" i="10"/>
  <c r="P736" i="10"/>
  <c r="Q736" i="10"/>
  <c r="R736" i="10"/>
  <c r="S736" i="10"/>
  <c r="T736" i="10"/>
  <c r="U736" i="10"/>
  <c r="V736" i="10"/>
  <c r="W736" i="10"/>
  <c r="AB736" i="10"/>
  <c r="AC736" i="10"/>
  <c r="AD736" i="10"/>
  <c r="A737" i="10"/>
  <c r="B737" i="10"/>
  <c r="D737" i="10"/>
  <c r="E737" i="10"/>
  <c r="F737" i="10"/>
  <c r="G737" i="10"/>
  <c r="H737" i="10"/>
  <c r="I737" i="10"/>
  <c r="K737" i="10"/>
  <c r="L737" i="10"/>
  <c r="M737" i="10"/>
  <c r="N737" i="10"/>
  <c r="O737" i="10"/>
  <c r="P737" i="10"/>
  <c r="Q737" i="10"/>
  <c r="R737" i="10"/>
  <c r="S737" i="10"/>
  <c r="T737" i="10"/>
  <c r="U737" i="10"/>
  <c r="V737" i="10"/>
  <c r="W737" i="10"/>
  <c r="AB737" i="10"/>
  <c r="AC737" i="10"/>
  <c r="AD737" i="10"/>
  <c r="A738" i="10"/>
  <c r="B738" i="10"/>
  <c r="D738" i="10"/>
  <c r="E738" i="10"/>
  <c r="F738" i="10"/>
  <c r="G738" i="10"/>
  <c r="H738" i="10"/>
  <c r="I738" i="10"/>
  <c r="K738" i="10"/>
  <c r="L738" i="10"/>
  <c r="M738" i="10"/>
  <c r="N738" i="10"/>
  <c r="O738" i="10"/>
  <c r="P738" i="10"/>
  <c r="Q738" i="10"/>
  <c r="R738" i="10"/>
  <c r="S738" i="10"/>
  <c r="T738" i="10"/>
  <c r="U738" i="10"/>
  <c r="V738" i="10"/>
  <c r="W738" i="10"/>
  <c r="AB738" i="10"/>
  <c r="AC738" i="10"/>
  <c r="AD738" i="10"/>
  <c r="A739" i="10"/>
  <c r="B739" i="10"/>
  <c r="D739" i="10"/>
  <c r="E739" i="10"/>
  <c r="F739" i="10"/>
  <c r="G739" i="10"/>
  <c r="H739" i="10"/>
  <c r="I739" i="10"/>
  <c r="K739" i="10"/>
  <c r="L739" i="10"/>
  <c r="M739" i="10"/>
  <c r="N739" i="10"/>
  <c r="O739" i="10"/>
  <c r="P739" i="10"/>
  <c r="Q739" i="10"/>
  <c r="R739" i="10"/>
  <c r="S739" i="10"/>
  <c r="T739" i="10"/>
  <c r="U739" i="10"/>
  <c r="V739" i="10"/>
  <c r="W739" i="10"/>
  <c r="AB739" i="10"/>
  <c r="AC739" i="10"/>
  <c r="AD739" i="10"/>
  <c r="A740" i="10"/>
  <c r="B740" i="10"/>
  <c r="D740" i="10"/>
  <c r="E740" i="10"/>
  <c r="F740" i="10"/>
  <c r="G740" i="10"/>
  <c r="H740" i="10"/>
  <c r="I740" i="10"/>
  <c r="K740" i="10"/>
  <c r="L740" i="10"/>
  <c r="M740" i="10"/>
  <c r="N740" i="10"/>
  <c r="O740" i="10"/>
  <c r="P740" i="10"/>
  <c r="Q740" i="10"/>
  <c r="R740" i="10"/>
  <c r="S740" i="10"/>
  <c r="T740" i="10"/>
  <c r="U740" i="10"/>
  <c r="V740" i="10"/>
  <c r="W740" i="10"/>
  <c r="AB740" i="10"/>
  <c r="AC740" i="10"/>
  <c r="AD740" i="10"/>
  <c r="A741" i="10"/>
  <c r="B741" i="10"/>
  <c r="D741" i="10"/>
  <c r="E741" i="10"/>
  <c r="F741" i="10"/>
  <c r="G741" i="10"/>
  <c r="H741" i="10"/>
  <c r="I741" i="10"/>
  <c r="K741" i="10"/>
  <c r="L741" i="10"/>
  <c r="M741" i="10"/>
  <c r="N741" i="10"/>
  <c r="O741" i="10"/>
  <c r="P741" i="10"/>
  <c r="Q741" i="10"/>
  <c r="R741" i="10"/>
  <c r="S741" i="10"/>
  <c r="T741" i="10"/>
  <c r="U741" i="10"/>
  <c r="V741" i="10"/>
  <c r="W741" i="10"/>
  <c r="AB741" i="10"/>
  <c r="AC741" i="10"/>
  <c r="AD741" i="10"/>
  <c r="A742" i="10"/>
  <c r="B742" i="10"/>
  <c r="D742" i="10"/>
  <c r="E742" i="10"/>
  <c r="F742" i="10"/>
  <c r="G742" i="10"/>
  <c r="H742" i="10"/>
  <c r="I742" i="10"/>
  <c r="K742" i="10"/>
  <c r="L742" i="10"/>
  <c r="M742" i="10"/>
  <c r="N742" i="10"/>
  <c r="O742" i="10"/>
  <c r="P742" i="10"/>
  <c r="Q742" i="10"/>
  <c r="R742" i="10"/>
  <c r="S742" i="10"/>
  <c r="T742" i="10"/>
  <c r="U742" i="10"/>
  <c r="V742" i="10"/>
  <c r="W742" i="10"/>
  <c r="AB742" i="10"/>
  <c r="AC742" i="10"/>
  <c r="AD742" i="10"/>
  <c r="A743" i="10"/>
  <c r="B743" i="10"/>
  <c r="D743" i="10"/>
  <c r="E743" i="10"/>
  <c r="F743" i="10"/>
  <c r="G743" i="10"/>
  <c r="H743" i="10"/>
  <c r="I743" i="10"/>
  <c r="K743" i="10"/>
  <c r="L743" i="10"/>
  <c r="M743" i="10"/>
  <c r="N743" i="10"/>
  <c r="O743" i="10"/>
  <c r="P743" i="10"/>
  <c r="Q743" i="10"/>
  <c r="R743" i="10"/>
  <c r="S743" i="10"/>
  <c r="T743" i="10"/>
  <c r="U743" i="10"/>
  <c r="V743" i="10"/>
  <c r="W743" i="10"/>
  <c r="AB743" i="10"/>
  <c r="AC743" i="10"/>
  <c r="AD743" i="10"/>
  <c r="A744" i="10"/>
  <c r="B744" i="10"/>
  <c r="D744" i="10"/>
  <c r="E744" i="10"/>
  <c r="F744" i="10"/>
  <c r="G744" i="10"/>
  <c r="H744" i="10"/>
  <c r="I744" i="10"/>
  <c r="K744" i="10"/>
  <c r="L744" i="10"/>
  <c r="M744" i="10"/>
  <c r="N744" i="10"/>
  <c r="O744" i="10"/>
  <c r="P744" i="10"/>
  <c r="Q744" i="10"/>
  <c r="R744" i="10"/>
  <c r="S744" i="10"/>
  <c r="T744" i="10"/>
  <c r="U744" i="10"/>
  <c r="V744" i="10"/>
  <c r="W744" i="10"/>
  <c r="AB744" i="10"/>
  <c r="AC744" i="10"/>
  <c r="AD744" i="10"/>
  <c r="A745" i="10"/>
  <c r="B745" i="10"/>
  <c r="D745" i="10"/>
  <c r="E745" i="10"/>
  <c r="F745" i="10"/>
  <c r="G745" i="10"/>
  <c r="H745" i="10"/>
  <c r="I745" i="10"/>
  <c r="K745" i="10"/>
  <c r="L745" i="10"/>
  <c r="M745" i="10"/>
  <c r="N745" i="10"/>
  <c r="O745" i="10"/>
  <c r="P745" i="10"/>
  <c r="Q745" i="10"/>
  <c r="R745" i="10"/>
  <c r="S745" i="10"/>
  <c r="T745" i="10"/>
  <c r="U745" i="10"/>
  <c r="V745" i="10"/>
  <c r="W745" i="10"/>
  <c r="AB745" i="10"/>
  <c r="AC745" i="10"/>
  <c r="AD745" i="10"/>
  <c r="A746" i="10"/>
  <c r="B746" i="10"/>
  <c r="D746" i="10"/>
  <c r="E746" i="10"/>
  <c r="F746" i="10"/>
  <c r="G746" i="10"/>
  <c r="H746" i="10"/>
  <c r="I746" i="10"/>
  <c r="K746" i="10"/>
  <c r="L746" i="10"/>
  <c r="M746" i="10"/>
  <c r="N746" i="10"/>
  <c r="O746" i="10"/>
  <c r="P746" i="10"/>
  <c r="Q746" i="10"/>
  <c r="R746" i="10"/>
  <c r="S746" i="10"/>
  <c r="T746" i="10"/>
  <c r="U746" i="10"/>
  <c r="V746" i="10"/>
  <c r="W746" i="10"/>
  <c r="AB746" i="10"/>
  <c r="AC746" i="10"/>
  <c r="AD746" i="10"/>
  <c r="A747" i="10"/>
  <c r="B747" i="10"/>
  <c r="D747" i="10"/>
  <c r="E747" i="10"/>
  <c r="F747" i="10"/>
  <c r="G747" i="10"/>
  <c r="H747" i="10"/>
  <c r="I747" i="10"/>
  <c r="K747" i="10"/>
  <c r="L747" i="10"/>
  <c r="M747" i="10"/>
  <c r="N747" i="10"/>
  <c r="O747" i="10"/>
  <c r="P747" i="10"/>
  <c r="Q747" i="10"/>
  <c r="R747" i="10"/>
  <c r="S747" i="10"/>
  <c r="T747" i="10"/>
  <c r="U747" i="10"/>
  <c r="V747" i="10"/>
  <c r="W747" i="10"/>
  <c r="AB747" i="10"/>
  <c r="AC747" i="10"/>
  <c r="AD747" i="10"/>
  <c r="A748" i="10"/>
  <c r="B748" i="10"/>
  <c r="D748" i="10"/>
  <c r="E748" i="10"/>
  <c r="F748" i="10"/>
  <c r="G748" i="10"/>
  <c r="H748" i="10"/>
  <c r="I748" i="10"/>
  <c r="K748" i="10"/>
  <c r="L748" i="10"/>
  <c r="M748" i="10"/>
  <c r="N748" i="10"/>
  <c r="O748" i="10"/>
  <c r="P748" i="10"/>
  <c r="Q748" i="10"/>
  <c r="R748" i="10"/>
  <c r="S748" i="10"/>
  <c r="T748" i="10"/>
  <c r="U748" i="10"/>
  <c r="V748" i="10"/>
  <c r="W748" i="10"/>
  <c r="AB748" i="10"/>
  <c r="AC748" i="10"/>
  <c r="AD748" i="10"/>
  <c r="A749" i="10"/>
  <c r="B749" i="10"/>
  <c r="D749" i="10"/>
  <c r="E749" i="10"/>
  <c r="F749" i="10"/>
  <c r="G749" i="10"/>
  <c r="H749" i="10"/>
  <c r="I749" i="10"/>
  <c r="K749" i="10"/>
  <c r="L749" i="10"/>
  <c r="M749" i="10"/>
  <c r="N749" i="10"/>
  <c r="O749" i="10"/>
  <c r="P749" i="10"/>
  <c r="Q749" i="10"/>
  <c r="R749" i="10"/>
  <c r="S749" i="10"/>
  <c r="T749" i="10"/>
  <c r="U749" i="10"/>
  <c r="V749" i="10"/>
  <c r="W749" i="10"/>
  <c r="AB749" i="10"/>
  <c r="AC749" i="10"/>
  <c r="AD749" i="10"/>
  <c r="A750" i="10"/>
  <c r="B750" i="10"/>
  <c r="D750" i="10"/>
  <c r="E750" i="10"/>
  <c r="F750" i="10"/>
  <c r="G750" i="10"/>
  <c r="H750" i="10"/>
  <c r="I750" i="10"/>
  <c r="K750" i="10"/>
  <c r="L750" i="10"/>
  <c r="M750" i="10"/>
  <c r="N750" i="10"/>
  <c r="O750" i="10"/>
  <c r="P750" i="10"/>
  <c r="Q750" i="10"/>
  <c r="R750" i="10"/>
  <c r="S750" i="10"/>
  <c r="T750" i="10"/>
  <c r="U750" i="10"/>
  <c r="V750" i="10"/>
  <c r="W750" i="10"/>
  <c r="AB750" i="10"/>
  <c r="AC750" i="10"/>
  <c r="AD750" i="10"/>
  <c r="A751" i="10"/>
  <c r="B751" i="10"/>
  <c r="D751" i="10"/>
  <c r="E751" i="10"/>
  <c r="F751" i="10"/>
  <c r="G751" i="10"/>
  <c r="H751" i="10"/>
  <c r="I751" i="10"/>
  <c r="K751" i="10"/>
  <c r="L751" i="10"/>
  <c r="M751" i="10"/>
  <c r="N751" i="10"/>
  <c r="O751" i="10"/>
  <c r="P751" i="10"/>
  <c r="Q751" i="10"/>
  <c r="R751" i="10"/>
  <c r="S751" i="10"/>
  <c r="T751" i="10"/>
  <c r="U751" i="10"/>
  <c r="V751" i="10"/>
  <c r="W751" i="10"/>
  <c r="AB751" i="10"/>
  <c r="AC751" i="10"/>
  <c r="AD751" i="10"/>
  <c r="A752" i="10"/>
  <c r="B752" i="10"/>
  <c r="D752" i="10"/>
  <c r="E752" i="10"/>
  <c r="F752" i="10"/>
  <c r="G752" i="10"/>
  <c r="H752" i="10"/>
  <c r="I752" i="10"/>
  <c r="K752" i="10"/>
  <c r="L752" i="10"/>
  <c r="M752" i="10"/>
  <c r="N752" i="10"/>
  <c r="O752" i="10"/>
  <c r="P752" i="10"/>
  <c r="Q752" i="10"/>
  <c r="R752" i="10"/>
  <c r="S752" i="10"/>
  <c r="T752" i="10"/>
  <c r="U752" i="10"/>
  <c r="V752" i="10"/>
  <c r="W752" i="10"/>
  <c r="AB752" i="10"/>
  <c r="AC752" i="10"/>
  <c r="AD752" i="10"/>
  <c r="A753" i="10"/>
  <c r="B753" i="10"/>
  <c r="D753" i="10"/>
  <c r="E753" i="10"/>
  <c r="F753" i="10"/>
  <c r="G753" i="10"/>
  <c r="H753" i="10"/>
  <c r="I753" i="10"/>
  <c r="K753" i="10"/>
  <c r="L753" i="10"/>
  <c r="M753" i="10"/>
  <c r="N753" i="10"/>
  <c r="O753" i="10"/>
  <c r="P753" i="10"/>
  <c r="Q753" i="10"/>
  <c r="R753" i="10"/>
  <c r="S753" i="10"/>
  <c r="T753" i="10"/>
  <c r="U753" i="10"/>
  <c r="V753" i="10"/>
  <c r="W753" i="10"/>
  <c r="AB753" i="10"/>
  <c r="AC753" i="10"/>
  <c r="AD753" i="10"/>
  <c r="A754" i="10"/>
  <c r="B754" i="10"/>
  <c r="D754" i="10"/>
  <c r="E754" i="10"/>
  <c r="F754" i="10"/>
  <c r="G754" i="10"/>
  <c r="H754" i="10"/>
  <c r="I754" i="10"/>
  <c r="K754" i="10"/>
  <c r="L754" i="10"/>
  <c r="M754" i="10"/>
  <c r="N754" i="10"/>
  <c r="O754" i="10"/>
  <c r="P754" i="10"/>
  <c r="Q754" i="10"/>
  <c r="R754" i="10"/>
  <c r="S754" i="10"/>
  <c r="T754" i="10"/>
  <c r="U754" i="10"/>
  <c r="V754" i="10"/>
  <c r="W754" i="10"/>
  <c r="AB754" i="10"/>
  <c r="AC754" i="10"/>
  <c r="AD754" i="10"/>
  <c r="A755" i="10"/>
  <c r="B755" i="10"/>
  <c r="D755" i="10"/>
  <c r="E755" i="10"/>
  <c r="F755" i="10"/>
  <c r="G755" i="10"/>
  <c r="H755" i="10"/>
  <c r="I755" i="10"/>
  <c r="K755" i="10"/>
  <c r="L755" i="10"/>
  <c r="M755" i="10"/>
  <c r="N755" i="10"/>
  <c r="O755" i="10"/>
  <c r="P755" i="10"/>
  <c r="Q755" i="10"/>
  <c r="R755" i="10"/>
  <c r="S755" i="10"/>
  <c r="T755" i="10"/>
  <c r="U755" i="10"/>
  <c r="V755" i="10"/>
  <c r="W755" i="10"/>
  <c r="AB755" i="10"/>
  <c r="AC755" i="10"/>
  <c r="AD755" i="10"/>
  <c r="A756" i="10"/>
  <c r="B756" i="10"/>
  <c r="D756" i="10"/>
  <c r="E756" i="10"/>
  <c r="F756" i="10"/>
  <c r="G756" i="10"/>
  <c r="H756" i="10"/>
  <c r="I756" i="10"/>
  <c r="K756" i="10"/>
  <c r="L756" i="10"/>
  <c r="M756" i="10"/>
  <c r="N756" i="10"/>
  <c r="O756" i="10"/>
  <c r="P756" i="10"/>
  <c r="Q756" i="10"/>
  <c r="R756" i="10"/>
  <c r="S756" i="10"/>
  <c r="T756" i="10"/>
  <c r="U756" i="10"/>
  <c r="V756" i="10"/>
  <c r="W756" i="10"/>
  <c r="AB756" i="10"/>
  <c r="AC756" i="10"/>
  <c r="AD756" i="10"/>
  <c r="A757" i="10"/>
  <c r="B757" i="10"/>
  <c r="D757" i="10"/>
  <c r="E757" i="10"/>
  <c r="F757" i="10"/>
  <c r="G757" i="10"/>
  <c r="H757" i="10"/>
  <c r="I757" i="10"/>
  <c r="K757" i="10"/>
  <c r="L757" i="10"/>
  <c r="M757" i="10"/>
  <c r="N757" i="10"/>
  <c r="O757" i="10"/>
  <c r="P757" i="10"/>
  <c r="Q757" i="10"/>
  <c r="R757" i="10"/>
  <c r="S757" i="10"/>
  <c r="T757" i="10"/>
  <c r="U757" i="10"/>
  <c r="V757" i="10"/>
  <c r="W757" i="10"/>
  <c r="AB757" i="10"/>
  <c r="AC757" i="10"/>
  <c r="AD757" i="10"/>
  <c r="A758" i="10"/>
  <c r="B758" i="10"/>
  <c r="D758" i="10"/>
  <c r="E758" i="10"/>
  <c r="F758" i="10"/>
  <c r="G758" i="10"/>
  <c r="H758" i="10"/>
  <c r="I758" i="10"/>
  <c r="K758" i="10"/>
  <c r="L758" i="10"/>
  <c r="M758" i="10"/>
  <c r="N758" i="10"/>
  <c r="O758" i="10"/>
  <c r="P758" i="10"/>
  <c r="Q758" i="10"/>
  <c r="R758" i="10"/>
  <c r="S758" i="10"/>
  <c r="T758" i="10"/>
  <c r="U758" i="10"/>
  <c r="V758" i="10"/>
  <c r="W758" i="10"/>
  <c r="AB758" i="10"/>
  <c r="AC758" i="10"/>
  <c r="AD758" i="10"/>
  <c r="A759" i="10"/>
  <c r="B759" i="10"/>
  <c r="D759" i="10"/>
  <c r="E759" i="10"/>
  <c r="F759" i="10"/>
  <c r="G759" i="10"/>
  <c r="H759" i="10"/>
  <c r="I759" i="10"/>
  <c r="J759" i="10"/>
  <c r="K759" i="10"/>
  <c r="L759" i="10"/>
  <c r="M759" i="10"/>
  <c r="N759" i="10"/>
  <c r="O759" i="10"/>
  <c r="P759" i="10"/>
  <c r="Q759" i="10"/>
  <c r="R759" i="10"/>
  <c r="S759" i="10"/>
  <c r="T759" i="10"/>
  <c r="U759" i="10"/>
  <c r="V759" i="10"/>
  <c r="W759" i="10"/>
  <c r="AB759" i="10"/>
  <c r="AC759" i="10"/>
  <c r="AD759" i="10"/>
  <c r="A760" i="10"/>
  <c r="B760" i="10"/>
  <c r="D760" i="10"/>
  <c r="E760" i="10"/>
  <c r="F760" i="10"/>
  <c r="G760" i="10"/>
  <c r="H760" i="10"/>
  <c r="I760" i="10"/>
  <c r="K760" i="10"/>
  <c r="L760" i="10"/>
  <c r="M760" i="10"/>
  <c r="N760" i="10"/>
  <c r="O760" i="10"/>
  <c r="P760" i="10"/>
  <c r="Q760" i="10"/>
  <c r="R760" i="10"/>
  <c r="S760" i="10"/>
  <c r="T760" i="10"/>
  <c r="U760" i="10"/>
  <c r="V760" i="10"/>
  <c r="W760" i="10"/>
  <c r="AB760" i="10"/>
  <c r="AC760" i="10"/>
  <c r="AD760" i="10"/>
  <c r="A761" i="10"/>
  <c r="B761" i="10"/>
  <c r="D761" i="10"/>
  <c r="E761" i="10"/>
  <c r="F761" i="10"/>
  <c r="G761" i="10"/>
  <c r="H761" i="10"/>
  <c r="I761" i="10"/>
  <c r="K761" i="10"/>
  <c r="L761" i="10"/>
  <c r="M761" i="10"/>
  <c r="N761" i="10"/>
  <c r="O761" i="10"/>
  <c r="P761" i="10"/>
  <c r="Q761" i="10"/>
  <c r="R761" i="10"/>
  <c r="S761" i="10"/>
  <c r="T761" i="10"/>
  <c r="U761" i="10"/>
  <c r="V761" i="10"/>
  <c r="W761" i="10"/>
  <c r="AB761" i="10"/>
  <c r="AC761" i="10"/>
  <c r="AD761" i="10"/>
  <c r="A762" i="10"/>
  <c r="B762" i="10"/>
  <c r="D762" i="10"/>
  <c r="E762" i="10"/>
  <c r="F762" i="10"/>
  <c r="G762" i="10"/>
  <c r="H762" i="10"/>
  <c r="I762" i="10"/>
  <c r="K762" i="10"/>
  <c r="L762" i="10"/>
  <c r="M762" i="10"/>
  <c r="N762" i="10"/>
  <c r="O762" i="10"/>
  <c r="P762" i="10"/>
  <c r="Q762" i="10"/>
  <c r="R762" i="10"/>
  <c r="S762" i="10"/>
  <c r="T762" i="10"/>
  <c r="U762" i="10"/>
  <c r="V762" i="10"/>
  <c r="W762" i="10"/>
  <c r="AB762" i="10"/>
  <c r="AC762" i="10"/>
  <c r="AD762" i="10"/>
  <c r="A763" i="10"/>
  <c r="B763" i="10"/>
  <c r="D763" i="10"/>
  <c r="E763" i="10"/>
  <c r="F763" i="10"/>
  <c r="G763" i="10"/>
  <c r="H763" i="10"/>
  <c r="I763" i="10"/>
  <c r="K763" i="10"/>
  <c r="L763" i="10"/>
  <c r="M763" i="10"/>
  <c r="N763" i="10"/>
  <c r="O763" i="10"/>
  <c r="P763" i="10"/>
  <c r="Q763" i="10"/>
  <c r="R763" i="10"/>
  <c r="S763" i="10"/>
  <c r="T763" i="10"/>
  <c r="U763" i="10"/>
  <c r="V763" i="10"/>
  <c r="W763" i="10"/>
  <c r="AB763" i="10"/>
  <c r="AC763" i="10"/>
  <c r="AD763" i="10"/>
  <c r="A764" i="10"/>
  <c r="B764" i="10"/>
  <c r="D764" i="10"/>
  <c r="E764" i="10"/>
  <c r="F764" i="10"/>
  <c r="G764" i="10"/>
  <c r="H764" i="10"/>
  <c r="I764" i="10"/>
  <c r="K764" i="10"/>
  <c r="L764" i="10"/>
  <c r="M764" i="10"/>
  <c r="N764" i="10"/>
  <c r="O764" i="10"/>
  <c r="P764" i="10"/>
  <c r="Q764" i="10"/>
  <c r="R764" i="10"/>
  <c r="S764" i="10"/>
  <c r="T764" i="10"/>
  <c r="U764" i="10"/>
  <c r="V764" i="10"/>
  <c r="W764" i="10"/>
  <c r="AB764" i="10"/>
  <c r="AC764" i="10"/>
  <c r="AD764" i="10"/>
  <c r="A765" i="10"/>
  <c r="B765" i="10"/>
  <c r="D765" i="10"/>
  <c r="E765" i="10"/>
  <c r="F765" i="10"/>
  <c r="G765" i="10"/>
  <c r="H765" i="10"/>
  <c r="I765" i="10"/>
  <c r="K765" i="10"/>
  <c r="L765" i="10"/>
  <c r="M765" i="10"/>
  <c r="N765" i="10"/>
  <c r="O765" i="10"/>
  <c r="P765" i="10"/>
  <c r="Q765" i="10"/>
  <c r="R765" i="10"/>
  <c r="S765" i="10"/>
  <c r="T765" i="10"/>
  <c r="U765" i="10"/>
  <c r="V765" i="10"/>
  <c r="W765" i="10"/>
  <c r="AB765" i="10"/>
  <c r="AC765" i="10"/>
  <c r="AD765" i="10"/>
  <c r="A766" i="10"/>
  <c r="B766" i="10"/>
  <c r="D766" i="10"/>
  <c r="E766" i="10"/>
  <c r="F766" i="10"/>
  <c r="G766" i="10"/>
  <c r="H766" i="10"/>
  <c r="I766" i="10"/>
  <c r="K766" i="10"/>
  <c r="L766" i="10"/>
  <c r="M766" i="10"/>
  <c r="N766" i="10"/>
  <c r="O766" i="10"/>
  <c r="P766" i="10"/>
  <c r="Q766" i="10"/>
  <c r="R766" i="10"/>
  <c r="S766" i="10"/>
  <c r="T766" i="10"/>
  <c r="U766" i="10"/>
  <c r="V766" i="10"/>
  <c r="W766" i="10"/>
  <c r="AB766" i="10"/>
  <c r="AC766" i="10"/>
  <c r="AD766" i="10"/>
  <c r="A767" i="10"/>
  <c r="B767" i="10"/>
  <c r="D767" i="10"/>
  <c r="E767" i="10"/>
  <c r="F767" i="10"/>
  <c r="G767" i="10"/>
  <c r="H767" i="10"/>
  <c r="I767" i="10"/>
  <c r="K767" i="10"/>
  <c r="L767" i="10"/>
  <c r="M767" i="10"/>
  <c r="N767" i="10"/>
  <c r="O767" i="10"/>
  <c r="P767" i="10"/>
  <c r="Q767" i="10"/>
  <c r="R767" i="10"/>
  <c r="S767" i="10"/>
  <c r="T767" i="10"/>
  <c r="U767" i="10"/>
  <c r="V767" i="10"/>
  <c r="W767" i="10"/>
  <c r="AB767" i="10"/>
  <c r="AC767" i="10"/>
  <c r="AD767" i="10"/>
  <c r="A768" i="10"/>
  <c r="B768" i="10"/>
  <c r="D768" i="10"/>
  <c r="E768" i="10"/>
  <c r="F768" i="10"/>
  <c r="G768" i="10"/>
  <c r="H768" i="10"/>
  <c r="I768" i="10"/>
  <c r="K768" i="10"/>
  <c r="L768" i="10"/>
  <c r="M768" i="10"/>
  <c r="N768" i="10"/>
  <c r="O768" i="10"/>
  <c r="P768" i="10"/>
  <c r="Q768" i="10"/>
  <c r="R768" i="10"/>
  <c r="S768" i="10"/>
  <c r="T768" i="10"/>
  <c r="U768" i="10"/>
  <c r="V768" i="10"/>
  <c r="W768" i="10"/>
  <c r="AB768" i="10"/>
  <c r="AC768" i="10"/>
  <c r="AD768" i="10"/>
  <c r="A769" i="10"/>
  <c r="B769" i="10"/>
  <c r="D769" i="10"/>
  <c r="E769" i="10"/>
  <c r="F769" i="10"/>
  <c r="G769" i="10"/>
  <c r="H769" i="10"/>
  <c r="I769" i="10"/>
  <c r="K769" i="10"/>
  <c r="L769" i="10"/>
  <c r="M769" i="10"/>
  <c r="N769" i="10"/>
  <c r="O769" i="10"/>
  <c r="P769" i="10"/>
  <c r="Q769" i="10"/>
  <c r="R769" i="10"/>
  <c r="S769" i="10"/>
  <c r="T769" i="10"/>
  <c r="U769" i="10"/>
  <c r="V769" i="10"/>
  <c r="W769" i="10"/>
  <c r="AB769" i="10"/>
  <c r="AC769" i="10"/>
  <c r="AD769" i="10"/>
  <c r="A770" i="10"/>
  <c r="B770" i="10"/>
  <c r="D770" i="10"/>
  <c r="E770" i="10"/>
  <c r="F770" i="10"/>
  <c r="G770" i="10"/>
  <c r="H770" i="10"/>
  <c r="I770" i="10"/>
  <c r="K770" i="10"/>
  <c r="L770" i="10"/>
  <c r="M770" i="10"/>
  <c r="N770" i="10"/>
  <c r="O770" i="10"/>
  <c r="P770" i="10"/>
  <c r="Q770" i="10"/>
  <c r="R770" i="10"/>
  <c r="S770" i="10"/>
  <c r="T770" i="10"/>
  <c r="U770" i="10"/>
  <c r="V770" i="10"/>
  <c r="W770" i="10"/>
  <c r="AB770" i="10"/>
  <c r="AC770" i="10"/>
  <c r="AD770" i="10"/>
  <c r="A771" i="10"/>
  <c r="B771" i="10"/>
  <c r="D771" i="10"/>
  <c r="E771" i="10"/>
  <c r="F771" i="10"/>
  <c r="G771" i="10"/>
  <c r="H771" i="10"/>
  <c r="I771" i="10"/>
  <c r="K771" i="10"/>
  <c r="L771" i="10"/>
  <c r="M771" i="10"/>
  <c r="N771" i="10"/>
  <c r="O771" i="10"/>
  <c r="P771" i="10"/>
  <c r="Q771" i="10"/>
  <c r="R771" i="10"/>
  <c r="S771" i="10"/>
  <c r="T771" i="10"/>
  <c r="U771" i="10"/>
  <c r="V771" i="10"/>
  <c r="W771" i="10"/>
  <c r="AB771" i="10"/>
  <c r="AC771" i="10"/>
  <c r="AD771" i="10"/>
  <c r="A772" i="10"/>
  <c r="B772" i="10"/>
  <c r="D772" i="10"/>
  <c r="E772" i="10"/>
  <c r="F772" i="10"/>
  <c r="G772" i="10"/>
  <c r="H772" i="10"/>
  <c r="I772" i="10"/>
  <c r="K772" i="10"/>
  <c r="L772" i="10"/>
  <c r="M772" i="10"/>
  <c r="N772" i="10"/>
  <c r="O772" i="10"/>
  <c r="P772" i="10"/>
  <c r="Q772" i="10"/>
  <c r="R772" i="10"/>
  <c r="S772" i="10"/>
  <c r="T772" i="10"/>
  <c r="U772" i="10"/>
  <c r="V772" i="10"/>
  <c r="W772" i="10"/>
  <c r="AB772" i="10"/>
  <c r="AC772" i="10"/>
  <c r="AD772" i="10"/>
  <c r="A773" i="10"/>
  <c r="B773" i="10"/>
  <c r="D773" i="10"/>
  <c r="E773" i="10"/>
  <c r="F773" i="10"/>
  <c r="G773" i="10"/>
  <c r="H773" i="10"/>
  <c r="I773" i="10"/>
  <c r="K773" i="10"/>
  <c r="L773" i="10"/>
  <c r="M773" i="10"/>
  <c r="N773" i="10"/>
  <c r="O773" i="10"/>
  <c r="P773" i="10"/>
  <c r="Q773" i="10"/>
  <c r="R773" i="10"/>
  <c r="S773" i="10"/>
  <c r="T773" i="10"/>
  <c r="U773" i="10"/>
  <c r="V773" i="10"/>
  <c r="W773" i="10"/>
  <c r="AB773" i="10"/>
  <c r="AC773" i="10"/>
  <c r="AD773" i="10"/>
  <c r="A774" i="10"/>
  <c r="B774" i="10"/>
  <c r="D774" i="10"/>
  <c r="E774" i="10"/>
  <c r="F774" i="10"/>
  <c r="G774" i="10"/>
  <c r="H774" i="10"/>
  <c r="I774" i="10"/>
  <c r="K774" i="10"/>
  <c r="L774" i="10"/>
  <c r="M774" i="10"/>
  <c r="N774" i="10"/>
  <c r="O774" i="10"/>
  <c r="P774" i="10"/>
  <c r="Q774" i="10"/>
  <c r="R774" i="10"/>
  <c r="S774" i="10"/>
  <c r="T774" i="10"/>
  <c r="U774" i="10"/>
  <c r="V774" i="10"/>
  <c r="W774" i="10"/>
  <c r="AB774" i="10"/>
  <c r="AC774" i="10"/>
  <c r="AD774" i="10"/>
  <c r="A775" i="10"/>
  <c r="B775" i="10"/>
  <c r="D775" i="10"/>
  <c r="E775" i="10"/>
  <c r="F775" i="10"/>
  <c r="G775" i="10"/>
  <c r="H775" i="10"/>
  <c r="I775" i="10"/>
  <c r="K775" i="10"/>
  <c r="L775" i="10"/>
  <c r="M775" i="10"/>
  <c r="N775" i="10"/>
  <c r="O775" i="10"/>
  <c r="P775" i="10"/>
  <c r="Q775" i="10"/>
  <c r="R775" i="10"/>
  <c r="S775" i="10"/>
  <c r="T775" i="10"/>
  <c r="U775" i="10"/>
  <c r="V775" i="10"/>
  <c r="W775" i="10"/>
  <c r="AB775" i="10"/>
  <c r="AC775" i="10"/>
  <c r="AD775" i="10"/>
  <c r="A776" i="10"/>
  <c r="B776" i="10"/>
  <c r="D776" i="10"/>
  <c r="E776" i="10"/>
  <c r="F776" i="10"/>
  <c r="G776" i="10"/>
  <c r="H776" i="10"/>
  <c r="I776" i="10"/>
  <c r="K776" i="10"/>
  <c r="L776" i="10"/>
  <c r="M776" i="10"/>
  <c r="N776" i="10"/>
  <c r="O776" i="10"/>
  <c r="P776" i="10"/>
  <c r="Q776" i="10"/>
  <c r="R776" i="10"/>
  <c r="S776" i="10"/>
  <c r="T776" i="10"/>
  <c r="U776" i="10"/>
  <c r="V776" i="10"/>
  <c r="W776" i="10"/>
  <c r="AB776" i="10"/>
  <c r="AC776" i="10"/>
  <c r="AD776" i="10"/>
  <c r="A777" i="10"/>
  <c r="B777" i="10"/>
  <c r="D777" i="10"/>
  <c r="E777" i="10"/>
  <c r="F777" i="10"/>
  <c r="G777" i="10"/>
  <c r="H777" i="10"/>
  <c r="I777" i="10"/>
  <c r="K777" i="10"/>
  <c r="L777" i="10"/>
  <c r="M777" i="10"/>
  <c r="N777" i="10"/>
  <c r="O777" i="10"/>
  <c r="P777" i="10"/>
  <c r="Q777" i="10"/>
  <c r="R777" i="10"/>
  <c r="S777" i="10"/>
  <c r="T777" i="10"/>
  <c r="U777" i="10"/>
  <c r="V777" i="10"/>
  <c r="W777" i="10"/>
  <c r="AB777" i="10"/>
  <c r="AC777" i="10"/>
  <c r="AD777" i="10"/>
  <c r="A778" i="10"/>
  <c r="B778" i="10"/>
  <c r="D778" i="10"/>
  <c r="E778" i="10"/>
  <c r="F778" i="10"/>
  <c r="G778" i="10"/>
  <c r="H778" i="10"/>
  <c r="I778" i="10"/>
  <c r="K778" i="10"/>
  <c r="L778" i="10"/>
  <c r="M778" i="10"/>
  <c r="N778" i="10"/>
  <c r="O778" i="10"/>
  <c r="P778" i="10"/>
  <c r="Q778" i="10"/>
  <c r="R778" i="10"/>
  <c r="S778" i="10"/>
  <c r="T778" i="10"/>
  <c r="U778" i="10"/>
  <c r="V778" i="10"/>
  <c r="W778" i="10"/>
  <c r="AB778" i="10"/>
  <c r="AC778" i="10"/>
  <c r="AD778" i="10"/>
  <c r="A779" i="10"/>
  <c r="B779" i="10"/>
  <c r="D779" i="10"/>
  <c r="E779" i="10"/>
  <c r="F779" i="10"/>
  <c r="G779" i="10"/>
  <c r="H779" i="10"/>
  <c r="I779" i="10"/>
  <c r="K779" i="10"/>
  <c r="L779" i="10"/>
  <c r="M779" i="10"/>
  <c r="N779" i="10"/>
  <c r="O779" i="10"/>
  <c r="P779" i="10"/>
  <c r="Q779" i="10"/>
  <c r="R779" i="10"/>
  <c r="S779" i="10"/>
  <c r="T779" i="10"/>
  <c r="U779" i="10"/>
  <c r="V779" i="10"/>
  <c r="W779" i="10"/>
  <c r="AB779" i="10"/>
  <c r="AC779" i="10"/>
  <c r="AD779" i="10"/>
  <c r="A780" i="10"/>
  <c r="B780" i="10"/>
  <c r="D780" i="10"/>
  <c r="E780" i="10"/>
  <c r="F780" i="10"/>
  <c r="G780" i="10"/>
  <c r="H780" i="10"/>
  <c r="I780" i="10"/>
  <c r="K780" i="10"/>
  <c r="L780" i="10"/>
  <c r="M780" i="10"/>
  <c r="N780" i="10"/>
  <c r="O780" i="10"/>
  <c r="P780" i="10"/>
  <c r="Q780" i="10"/>
  <c r="R780" i="10"/>
  <c r="S780" i="10"/>
  <c r="T780" i="10"/>
  <c r="U780" i="10"/>
  <c r="V780" i="10"/>
  <c r="W780" i="10"/>
  <c r="AB780" i="10"/>
  <c r="AC780" i="10"/>
  <c r="AD780" i="10"/>
  <c r="A781" i="10"/>
  <c r="B781" i="10"/>
  <c r="D781" i="10"/>
  <c r="E781" i="10"/>
  <c r="F781" i="10"/>
  <c r="G781" i="10"/>
  <c r="H781" i="10"/>
  <c r="I781" i="10"/>
  <c r="K781" i="10"/>
  <c r="L781" i="10"/>
  <c r="M781" i="10"/>
  <c r="N781" i="10"/>
  <c r="O781" i="10"/>
  <c r="P781" i="10"/>
  <c r="Q781" i="10"/>
  <c r="R781" i="10"/>
  <c r="S781" i="10"/>
  <c r="T781" i="10"/>
  <c r="U781" i="10"/>
  <c r="V781" i="10"/>
  <c r="W781" i="10"/>
  <c r="AB781" i="10"/>
  <c r="AC781" i="10"/>
  <c r="AD781" i="10"/>
  <c r="A782" i="10"/>
  <c r="B782" i="10"/>
  <c r="D782" i="10"/>
  <c r="E782" i="10"/>
  <c r="F782" i="10"/>
  <c r="G782" i="10"/>
  <c r="H782" i="10"/>
  <c r="I782" i="10"/>
  <c r="K782" i="10"/>
  <c r="L782" i="10"/>
  <c r="M782" i="10"/>
  <c r="N782" i="10"/>
  <c r="O782" i="10"/>
  <c r="P782" i="10"/>
  <c r="Q782" i="10"/>
  <c r="R782" i="10"/>
  <c r="S782" i="10"/>
  <c r="T782" i="10"/>
  <c r="U782" i="10"/>
  <c r="V782" i="10"/>
  <c r="W782" i="10"/>
  <c r="AB782" i="10"/>
  <c r="AC782" i="10"/>
  <c r="AD782" i="10"/>
  <c r="A783" i="10"/>
  <c r="B783" i="10"/>
  <c r="D783" i="10"/>
  <c r="E783" i="10"/>
  <c r="F783" i="10"/>
  <c r="G783" i="10"/>
  <c r="H783" i="10"/>
  <c r="I783" i="10"/>
  <c r="K783" i="10"/>
  <c r="L783" i="10"/>
  <c r="M783" i="10"/>
  <c r="N783" i="10"/>
  <c r="O783" i="10"/>
  <c r="P783" i="10"/>
  <c r="Q783" i="10"/>
  <c r="R783" i="10"/>
  <c r="S783" i="10"/>
  <c r="T783" i="10"/>
  <c r="U783" i="10"/>
  <c r="V783" i="10"/>
  <c r="W783" i="10"/>
  <c r="AB783" i="10"/>
  <c r="AC783" i="10"/>
  <c r="AD783" i="10"/>
  <c r="A784" i="10"/>
  <c r="B784" i="10"/>
  <c r="D784" i="10"/>
  <c r="E784" i="10"/>
  <c r="F784" i="10"/>
  <c r="G784" i="10"/>
  <c r="H784" i="10"/>
  <c r="I784" i="10"/>
  <c r="K784" i="10"/>
  <c r="L784" i="10"/>
  <c r="M784" i="10"/>
  <c r="N784" i="10"/>
  <c r="O784" i="10"/>
  <c r="P784" i="10"/>
  <c r="Q784" i="10"/>
  <c r="R784" i="10"/>
  <c r="S784" i="10"/>
  <c r="T784" i="10"/>
  <c r="U784" i="10"/>
  <c r="V784" i="10"/>
  <c r="W784" i="10"/>
  <c r="AB784" i="10"/>
  <c r="AC784" i="10"/>
  <c r="AD784" i="10"/>
  <c r="A785" i="10"/>
  <c r="B785" i="10"/>
  <c r="D785" i="10"/>
  <c r="E785" i="10"/>
  <c r="F785" i="10"/>
  <c r="G785" i="10"/>
  <c r="H785" i="10"/>
  <c r="I785" i="10"/>
  <c r="J785" i="10"/>
  <c r="K785" i="10"/>
  <c r="L785" i="10"/>
  <c r="M785" i="10"/>
  <c r="N785" i="10"/>
  <c r="O785" i="10"/>
  <c r="P785" i="10"/>
  <c r="Q785" i="10"/>
  <c r="R785" i="10"/>
  <c r="S785" i="10"/>
  <c r="T785" i="10"/>
  <c r="U785" i="10"/>
  <c r="V785" i="10"/>
  <c r="W785" i="10"/>
  <c r="AB785" i="10"/>
  <c r="AC785" i="10"/>
  <c r="AD785" i="10"/>
  <c r="A786" i="10"/>
  <c r="B786" i="10"/>
  <c r="D786" i="10"/>
  <c r="E786" i="10"/>
  <c r="F786" i="10"/>
  <c r="G786" i="10"/>
  <c r="H786" i="10"/>
  <c r="I786" i="10"/>
  <c r="K786" i="10"/>
  <c r="L786" i="10"/>
  <c r="M786" i="10"/>
  <c r="N786" i="10"/>
  <c r="O786" i="10"/>
  <c r="P786" i="10"/>
  <c r="Q786" i="10"/>
  <c r="R786" i="10"/>
  <c r="S786" i="10"/>
  <c r="T786" i="10"/>
  <c r="U786" i="10"/>
  <c r="V786" i="10"/>
  <c r="W786" i="10"/>
  <c r="AB786" i="10"/>
  <c r="AC786" i="10"/>
  <c r="AD786" i="10"/>
  <c r="A787" i="10"/>
  <c r="B787" i="10"/>
  <c r="D787" i="10"/>
  <c r="E787" i="10"/>
  <c r="F787" i="10"/>
  <c r="G787" i="10"/>
  <c r="H787" i="10"/>
  <c r="I787" i="10"/>
  <c r="K787" i="10"/>
  <c r="L787" i="10"/>
  <c r="M787" i="10"/>
  <c r="N787" i="10"/>
  <c r="O787" i="10"/>
  <c r="P787" i="10"/>
  <c r="Q787" i="10"/>
  <c r="R787" i="10"/>
  <c r="S787" i="10"/>
  <c r="T787" i="10"/>
  <c r="U787" i="10"/>
  <c r="V787" i="10"/>
  <c r="W787" i="10"/>
  <c r="AB787" i="10"/>
  <c r="AC787" i="10"/>
  <c r="AD787" i="10"/>
  <c r="A788" i="10"/>
  <c r="B788" i="10"/>
  <c r="D788" i="10"/>
  <c r="E788" i="10"/>
  <c r="F788" i="10"/>
  <c r="G788" i="10"/>
  <c r="H788" i="10"/>
  <c r="I788" i="10"/>
  <c r="K788" i="10"/>
  <c r="L788" i="10"/>
  <c r="M788" i="10"/>
  <c r="N788" i="10"/>
  <c r="O788" i="10"/>
  <c r="P788" i="10"/>
  <c r="Q788" i="10"/>
  <c r="R788" i="10"/>
  <c r="S788" i="10"/>
  <c r="T788" i="10"/>
  <c r="U788" i="10"/>
  <c r="V788" i="10"/>
  <c r="W788" i="10"/>
  <c r="AB788" i="10"/>
  <c r="AC788" i="10"/>
  <c r="AD788" i="10"/>
  <c r="A789" i="10"/>
  <c r="B789" i="10"/>
  <c r="D789" i="10"/>
  <c r="E789" i="10"/>
  <c r="F789" i="10"/>
  <c r="G789" i="10"/>
  <c r="H789" i="10"/>
  <c r="I789" i="10"/>
  <c r="K789" i="10"/>
  <c r="L789" i="10"/>
  <c r="M789" i="10"/>
  <c r="N789" i="10"/>
  <c r="O789" i="10"/>
  <c r="P789" i="10"/>
  <c r="Q789" i="10"/>
  <c r="R789" i="10"/>
  <c r="S789" i="10"/>
  <c r="T789" i="10"/>
  <c r="U789" i="10"/>
  <c r="V789" i="10"/>
  <c r="W789" i="10"/>
  <c r="AB789" i="10"/>
  <c r="AC789" i="10"/>
  <c r="AD789" i="10"/>
  <c r="A790" i="10"/>
  <c r="B790" i="10"/>
  <c r="D790" i="10"/>
  <c r="E790" i="10"/>
  <c r="F790" i="10"/>
  <c r="G790" i="10"/>
  <c r="H790" i="10"/>
  <c r="I790" i="10"/>
  <c r="K790" i="10"/>
  <c r="L790" i="10"/>
  <c r="M790" i="10"/>
  <c r="N790" i="10"/>
  <c r="O790" i="10"/>
  <c r="P790" i="10"/>
  <c r="Q790" i="10"/>
  <c r="R790" i="10"/>
  <c r="S790" i="10"/>
  <c r="T790" i="10"/>
  <c r="U790" i="10"/>
  <c r="V790" i="10"/>
  <c r="W790" i="10"/>
  <c r="AB790" i="10"/>
  <c r="AC790" i="10"/>
  <c r="AD790" i="10"/>
  <c r="A791" i="10"/>
  <c r="B791" i="10"/>
  <c r="D791" i="10"/>
  <c r="E791" i="10"/>
  <c r="F791" i="10"/>
  <c r="G791" i="10"/>
  <c r="H791" i="10"/>
  <c r="I791" i="10"/>
  <c r="K791" i="10"/>
  <c r="L791" i="10"/>
  <c r="M791" i="10"/>
  <c r="N791" i="10"/>
  <c r="O791" i="10"/>
  <c r="P791" i="10"/>
  <c r="Q791" i="10"/>
  <c r="R791" i="10"/>
  <c r="S791" i="10"/>
  <c r="T791" i="10"/>
  <c r="U791" i="10"/>
  <c r="V791" i="10"/>
  <c r="W791" i="10"/>
  <c r="AB791" i="10"/>
  <c r="AC791" i="10"/>
  <c r="AD791" i="10"/>
  <c r="A792" i="10"/>
  <c r="B792" i="10"/>
  <c r="D792" i="10"/>
  <c r="E792" i="10"/>
  <c r="F792" i="10"/>
  <c r="G792" i="10"/>
  <c r="H792" i="10"/>
  <c r="I792" i="10"/>
  <c r="K792" i="10"/>
  <c r="L792" i="10"/>
  <c r="M792" i="10"/>
  <c r="N792" i="10"/>
  <c r="O792" i="10"/>
  <c r="P792" i="10"/>
  <c r="Q792" i="10"/>
  <c r="R792" i="10"/>
  <c r="S792" i="10"/>
  <c r="T792" i="10"/>
  <c r="U792" i="10"/>
  <c r="V792" i="10"/>
  <c r="W792" i="10"/>
  <c r="AB792" i="10"/>
  <c r="AC792" i="10"/>
  <c r="AD792" i="10"/>
  <c r="A793" i="10"/>
  <c r="B793" i="10"/>
  <c r="D793" i="10"/>
  <c r="E793" i="10"/>
  <c r="F793" i="10"/>
  <c r="G793" i="10"/>
  <c r="H793" i="10"/>
  <c r="I793" i="10"/>
  <c r="K793" i="10"/>
  <c r="L793" i="10"/>
  <c r="M793" i="10"/>
  <c r="N793" i="10"/>
  <c r="O793" i="10"/>
  <c r="P793" i="10"/>
  <c r="Q793" i="10"/>
  <c r="R793" i="10"/>
  <c r="S793" i="10"/>
  <c r="T793" i="10"/>
  <c r="U793" i="10"/>
  <c r="V793" i="10"/>
  <c r="W793" i="10"/>
  <c r="AB793" i="10"/>
  <c r="AC793" i="10"/>
  <c r="AD793" i="10"/>
  <c r="A794" i="10"/>
  <c r="B794" i="10"/>
  <c r="D794" i="10"/>
  <c r="E794" i="10"/>
  <c r="F794" i="10"/>
  <c r="G794" i="10"/>
  <c r="H794" i="10"/>
  <c r="I794" i="10"/>
  <c r="K794" i="10"/>
  <c r="L794" i="10"/>
  <c r="M794" i="10"/>
  <c r="N794" i="10"/>
  <c r="O794" i="10"/>
  <c r="P794" i="10"/>
  <c r="Q794" i="10"/>
  <c r="R794" i="10"/>
  <c r="S794" i="10"/>
  <c r="T794" i="10"/>
  <c r="U794" i="10"/>
  <c r="V794" i="10"/>
  <c r="W794" i="10"/>
  <c r="AB794" i="10"/>
  <c r="AC794" i="10"/>
  <c r="AD794" i="10"/>
  <c r="A795" i="10"/>
  <c r="B795" i="10"/>
  <c r="D795" i="10"/>
  <c r="E795" i="10"/>
  <c r="F795" i="10"/>
  <c r="G795" i="10"/>
  <c r="H795" i="10"/>
  <c r="I795" i="10"/>
  <c r="K795" i="10"/>
  <c r="L795" i="10"/>
  <c r="M795" i="10"/>
  <c r="N795" i="10"/>
  <c r="O795" i="10"/>
  <c r="P795" i="10"/>
  <c r="Q795" i="10"/>
  <c r="R795" i="10"/>
  <c r="S795" i="10"/>
  <c r="T795" i="10"/>
  <c r="U795" i="10"/>
  <c r="V795" i="10"/>
  <c r="W795" i="10"/>
  <c r="AB795" i="10"/>
  <c r="AC795" i="10"/>
  <c r="AD795" i="10"/>
  <c r="A796" i="10"/>
  <c r="B796" i="10"/>
  <c r="D796" i="10"/>
  <c r="E796" i="10"/>
  <c r="F796" i="10"/>
  <c r="G796" i="10"/>
  <c r="H796" i="10"/>
  <c r="I796" i="10"/>
  <c r="K796" i="10"/>
  <c r="L796" i="10"/>
  <c r="M796" i="10"/>
  <c r="N796" i="10"/>
  <c r="O796" i="10"/>
  <c r="P796" i="10"/>
  <c r="Q796" i="10"/>
  <c r="R796" i="10"/>
  <c r="S796" i="10"/>
  <c r="T796" i="10"/>
  <c r="U796" i="10"/>
  <c r="V796" i="10"/>
  <c r="W796" i="10"/>
  <c r="AB796" i="10"/>
  <c r="AC796" i="10"/>
  <c r="AD796" i="10"/>
  <c r="A797" i="10"/>
  <c r="B797" i="10"/>
  <c r="D797" i="10"/>
  <c r="E797" i="10"/>
  <c r="F797" i="10"/>
  <c r="G797" i="10"/>
  <c r="H797" i="10"/>
  <c r="I797" i="10"/>
  <c r="K797" i="10"/>
  <c r="L797" i="10"/>
  <c r="M797" i="10"/>
  <c r="N797" i="10"/>
  <c r="O797" i="10"/>
  <c r="P797" i="10"/>
  <c r="Q797" i="10"/>
  <c r="R797" i="10"/>
  <c r="S797" i="10"/>
  <c r="T797" i="10"/>
  <c r="U797" i="10"/>
  <c r="V797" i="10"/>
  <c r="W797" i="10"/>
  <c r="AB797" i="10"/>
  <c r="AC797" i="10"/>
  <c r="AD797" i="10"/>
  <c r="A798" i="10"/>
  <c r="B798" i="10"/>
  <c r="D798" i="10"/>
  <c r="E798" i="10"/>
  <c r="F798" i="10"/>
  <c r="G798" i="10"/>
  <c r="H798" i="10"/>
  <c r="I798" i="10"/>
  <c r="K798" i="10"/>
  <c r="L798" i="10"/>
  <c r="M798" i="10"/>
  <c r="N798" i="10"/>
  <c r="O798" i="10"/>
  <c r="P798" i="10"/>
  <c r="Q798" i="10"/>
  <c r="R798" i="10"/>
  <c r="S798" i="10"/>
  <c r="T798" i="10"/>
  <c r="U798" i="10"/>
  <c r="V798" i="10"/>
  <c r="W798" i="10"/>
  <c r="AB798" i="10"/>
  <c r="AC798" i="10"/>
  <c r="AD798" i="10"/>
  <c r="A799" i="10"/>
  <c r="B799" i="10"/>
  <c r="D799" i="10"/>
  <c r="E799" i="10"/>
  <c r="F799" i="10"/>
  <c r="G799" i="10"/>
  <c r="H799" i="10"/>
  <c r="I799" i="10"/>
  <c r="K799" i="10"/>
  <c r="L799" i="10"/>
  <c r="M799" i="10"/>
  <c r="N799" i="10"/>
  <c r="O799" i="10"/>
  <c r="P799" i="10"/>
  <c r="Q799" i="10"/>
  <c r="R799" i="10"/>
  <c r="S799" i="10"/>
  <c r="T799" i="10"/>
  <c r="U799" i="10"/>
  <c r="V799" i="10"/>
  <c r="W799" i="10"/>
  <c r="AB799" i="10"/>
  <c r="AC799" i="10"/>
  <c r="AD799" i="10"/>
  <c r="A800" i="10"/>
  <c r="B800" i="10"/>
  <c r="D800" i="10"/>
  <c r="E800" i="10"/>
  <c r="F800" i="10"/>
  <c r="G800" i="10"/>
  <c r="H800" i="10"/>
  <c r="I800" i="10"/>
  <c r="K800" i="10"/>
  <c r="L800" i="10"/>
  <c r="M800" i="10"/>
  <c r="N800" i="10"/>
  <c r="O800" i="10"/>
  <c r="P800" i="10"/>
  <c r="Q800" i="10"/>
  <c r="R800" i="10"/>
  <c r="S800" i="10"/>
  <c r="T800" i="10"/>
  <c r="U800" i="10"/>
  <c r="V800" i="10"/>
  <c r="W800" i="10"/>
  <c r="AB800" i="10"/>
  <c r="AC800" i="10"/>
  <c r="AD800" i="10"/>
  <c r="A801" i="10"/>
  <c r="B801" i="10"/>
  <c r="D801" i="10"/>
  <c r="E801" i="10"/>
  <c r="F801" i="10"/>
  <c r="G801" i="10"/>
  <c r="H801" i="10"/>
  <c r="I801" i="10"/>
  <c r="K801" i="10"/>
  <c r="L801" i="10"/>
  <c r="M801" i="10"/>
  <c r="N801" i="10"/>
  <c r="O801" i="10"/>
  <c r="P801" i="10"/>
  <c r="Q801" i="10"/>
  <c r="R801" i="10"/>
  <c r="S801" i="10"/>
  <c r="T801" i="10"/>
  <c r="U801" i="10"/>
  <c r="V801" i="10"/>
  <c r="W801" i="10"/>
  <c r="AB801" i="10"/>
  <c r="AC801" i="10"/>
  <c r="AD801" i="10"/>
  <c r="A802" i="10"/>
  <c r="B802" i="10"/>
  <c r="D802" i="10"/>
  <c r="E802" i="10"/>
  <c r="F802" i="10"/>
  <c r="G802" i="10"/>
  <c r="H802" i="10"/>
  <c r="I802" i="10"/>
  <c r="K802" i="10"/>
  <c r="L802" i="10"/>
  <c r="M802" i="10"/>
  <c r="N802" i="10"/>
  <c r="O802" i="10"/>
  <c r="P802" i="10"/>
  <c r="Q802" i="10"/>
  <c r="R802" i="10"/>
  <c r="S802" i="10"/>
  <c r="T802" i="10"/>
  <c r="U802" i="10"/>
  <c r="V802" i="10"/>
  <c r="W802" i="10"/>
  <c r="AB802" i="10"/>
  <c r="AC802" i="10"/>
  <c r="AD802" i="10"/>
  <c r="A803" i="10"/>
  <c r="B803" i="10"/>
  <c r="D803" i="10"/>
  <c r="E803" i="10"/>
  <c r="F803" i="10"/>
  <c r="G803" i="10"/>
  <c r="H803" i="10"/>
  <c r="I803" i="10"/>
  <c r="K803" i="10"/>
  <c r="L803" i="10"/>
  <c r="M803" i="10"/>
  <c r="N803" i="10"/>
  <c r="O803" i="10"/>
  <c r="P803" i="10"/>
  <c r="Q803" i="10"/>
  <c r="R803" i="10"/>
  <c r="S803" i="10"/>
  <c r="T803" i="10"/>
  <c r="U803" i="10"/>
  <c r="V803" i="10"/>
  <c r="W803" i="10"/>
  <c r="AB803" i="10"/>
  <c r="AC803" i="10"/>
  <c r="AD803" i="10"/>
  <c r="A804" i="10"/>
  <c r="B804" i="10"/>
  <c r="D804" i="10"/>
  <c r="E804" i="10"/>
  <c r="F804" i="10"/>
  <c r="G804" i="10"/>
  <c r="H804" i="10"/>
  <c r="I804" i="10"/>
  <c r="K804" i="10"/>
  <c r="L804" i="10"/>
  <c r="M804" i="10"/>
  <c r="N804" i="10"/>
  <c r="O804" i="10"/>
  <c r="P804" i="10"/>
  <c r="Q804" i="10"/>
  <c r="R804" i="10"/>
  <c r="S804" i="10"/>
  <c r="T804" i="10"/>
  <c r="U804" i="10"/>
  <c r="V804" i="10"/>
  <c r="W804" i="10"/>
  <c r="AB804" i="10"/>
  <c r="AC804" i="10"/>
  <c r="AD804" i="10"/>
  <c r="A805" i="10"/>
  <c r="B805" i="10"/>
  <c r="D805" i="10"/>
  <c r="E805" i="10"/>
  <c r="F805" i="10"/>
  <c r="G805" i="10"/>
  <c r="H805" i="10"/>
  <c r="I805" i="10"/>
  <c r="K805" i="10"/>
  <c r="L805" i="10"/>
  <c r="M805" i="10"/>
  <c r="N805" i="10"/>
  <c r="O805" i="10"/>
  <c r="P805" i="10"/>
  <c r="Q805" i="10"/>
  <c r="R805" i="10"/>
  <c r="S805" i="10"/>
  <c r="T805" i="10"/>
  <c r="U805" i="10"/>
  <c r="V805" i="10"/>
  <c r="W805" i="10"/>
  <c r="AB805" i="10"/>
  <c r="AC805" i="10"/>
  <c r="AD805" i="10"/>
  <c r="A806" i="10"/>
  <c r="B806" i="10"/>
  <c r="D806" i="10"/>
  <c r="E806" i="10"/>
  <c r="F806" i="10"/>
  <c r="G806" i="10"/>
  <c r="H806" i="10"/>
  <c r="I806" i="10"/>
  <c r="K806" i="10"/>
  <c r="L806" i="10"/>
  <c r="M806" i="10"/>
  <c r="N806" i="10"/>
  <c r="O806" i="10"/>
  <c r="P806" i="10"/>
  <c r="Q806" i="10"/>
  <c r="R806" i="10"/>
  <c r="S806" i="10"/>
  <c r="T806" i="10"/>
  <c r="U806" i="10"/>
  <c r="V806" i="10"/>
  <c r="W806" i="10"/>
  <c r="AB806" i="10"/>
  <c r="AC806" i="10"/>
  <c r="AD806" i="10"/>
  <c r="A807" i="10"/>
  <c r="B807" i="10"/>
  <c r="D807" i="10"/>
  <c r="E807" i="10"/>
  <c r="F807" i="10"/>
  <c r="G807" i="10"/>
  <c r="H807" i="10"/>
  <c r="I807" i="10"/>
  <c r="K807" i="10"/>
  <c r="L807" i="10"/>
  <c r="M807" i="10"/>
  <c r="N807" i="10"/>
  <c r="O807" i="10"/>
  <c r="P807" i="10"/>
  <c r="Q807" i="10"/>
  <c r="R807" i="10"/>
  <c r="S807" i="10"/>
  <c r="T807" i="10"/>
  <c r="U807" i="10"/>
  <c r="V807" i="10"/>
  <c r="W807" i="10"/>
  <c r="AB807" i="10"/>
  <c r="AC807" i="10"/>
  <c r="AD807" i="10"/>
  <c r="A808" i="10"/>
  <c r="B808" i="10"/>
  <c r="D808" i="10"/>
  <c r="E808" i="10"/>
  <c r="F808" i="10"/>
  <c r="G808" i="10"/>
  <c r="H808" i="10"/>
  <c r="I808" i="10"/>
  <c r="K808" i="10"/>
  <c r="L808" i="10"/>
  <c r="M808" i="10"/>
  <c r="N808" i="10"/>
  <c r="O808" i="10"/>
  <c r="P808" i="10"/>
  <c r="Q808" i="10"/>
  <c r="R808" i="10"/>
  <c r="S808" i="10"/>
  <c r="T808" i="10"/>
  <c r="U808" i="10"/>
  <c r="V808" i="10"/>
  <c r="W808" i="10"/>
  <c r="AB808" i="10"/>
  <c r="AC808" i="10"/>
  <c r="AD808" i="10"/>
  <c r="A809" i="10"/>
  <c r="B809" i="10"/>
  <c r="D809" i="10"/>
  <c r="E809" i="10"/>
  <c r="F809" i="10"/>
  <c r="G809" i="10"/>
  <c r="H809" i="10"/>
  <c r="I809" i="10"/>
  <c r="K809" i="10"/>
  <c r="L809" i="10"/>
  <c r="M809" i="10"/>
  <c r="N809" i="10"/>
  <c r="O809" i="10"/>
  <c r="P809" i="10"/>
  <c r="Q809" i="10"/>
  <c r="R809" i="10"/>
  <c r="S809" i="10"/>
  <c r="T809" i="10"/>
  <c r="U809" i="10"/>
  <c r="V809" i="10"/>
  <c r="W809" i="10"/>
  <c r="AB809" i="10"/>
  <c r="AC809" i="10"/>
  <c r="AD809" i="10"/>
  <c r="A810" i="10"/>
  <c r="B810" i="10"/>
  <c r="D810" i="10"/>
  <c r="E810" i="10"/>
  <c r="F810" i="10"/>
  <c r="G810" i="10"/>
  <c r="H810" i="10"/>
  <c r="I810" i="10"/>
  <c r="K810" i="10"/>
  <c r="L810" i="10"/>
  <c r="M810" i="10"/>
  <c r="N810" i="10"/>
  <c r="O810" i="10"/>
  <c r="P810" i="10"/>
  <c r="Q810" i="10"/>
  <c r="R810" i="10"/>
  <c r="S810" i="10"/>
  <c r="T810" i="10"/>
  <c r="U810" i="10"/>
  <c r="V810" i="10"/>
  <c r="W810" i="10"/>
  <c r="AB810" i="10"/>
  <c r="AC810" i="10"/>
  <c r="AD810" i="10"/>
  <c r="A811" i="10"/>
  <c r="B811" i="10"/>
  <c r="D811" i="10"/>
  <c r="E811" i="10"/>
  <c r="F811" i="10"/>
  <c r="G811" i="10"/>
  <c r="H811" i="10"/>
  <c r="I811" i="10"/>
  <c r="J811" i="10"/>
  <c r="K811" i="10"/>
  <c r="L811" i="10"/>
  <c r="M811" i="10"/>
  <c r="N811" i="10"/>
  <c r="O811" i="10"/>
  <c r="P811" i="10"/>
  <c r="Q811" i="10"/>
  <c r="R811" i="10"/>
  <c r="S811" i="10"/>
  <c r="T811" i="10"/>
  <c r="U811" i="10"/>
  <c r="V811" i="10"/>
  <c r="W811" i="10"/>
  <c r="AB811" i="10"/>
  <c r="AC811" i="10"/>
  <c r="AD811" i="10"/>
  <c r="A812" i="10"/>
  <c r="B812" i="10"/>
  <c r="D812" i="10"/>
  <c r="E812" i="10"/>
  <c r="F812" i="10"/>
  <c r="G812" i="10"/>
  <c r="H812" i="10"/>
  <c r="I812" i="10"/>
  <c r="K812" i="10"/>
  <c r="L812" i="10"/>
  <c r="M812" i="10"/>
  <c r="N812" i="10"/>
  <c r="O812" i="10"/>
  <c r="P812" i="10"/>
  <c r="Q812" i="10"/>
  <c r="R812" i="10"/>
  <c r="S812" i="10"/>
  <c r="T812" i="10"/>
  <c r="U812" i="10"/>
  <c r="V812" i="10"/>
  <c r="W812" i="10"/>
  <c r="AB812" i="10"/>
  <c r="AC812" i="10"/>
  <c r="AD812" i="10"/>
  <c r="A813" i="10"/>
  <c r="B813" i="10"/>
  <c r="D813" i="10"/>
  <c r="E813" i="10"/>
  <c r="F813" i="10"/>
  <c r="G813" i="10"/>
  <c r="H813" i="10"/>
  <c r="I813" i="10"/>
  <c r="K813" i="10"/>
  <c r="L813" i="10"/>
  <c r="M813" i="10"/>
  <c r="N813" i="10"/>
  <c r="O813" i="10"/>
  <c r="P813" i="10"/>
  <c r="Q813" i="10"/>
  <c r="R813" i="10"/>
  <c r="S813" i="10"/>
  <c r="T813" i="10"/>
  <c r="U813" i="10"/>
  <c r="V813" i="10"/>
  <c r="W813" i="10"/>
  <c r="AB813" i="10"/>
  <c r="AC813" i="10"/>
  <c r="AD813" i="10"/>
  <c r="A814" i="10"/>
  <c r="B814" i="10"/>
  <c r="D814" i="10"/>
  <c r="E814" i="10"/>
  <c r="F814" i="10"/>
  <c r="G814" i="10"/>
  <c r="H814" i="10"/>
  <c r="I814" i="10"/>
  <c r="K814" i="10"/>
  <c r="L814" i="10"/>
  <c r="M814" i="10"/>
  <c r="N814" i="10"/>
  <c r="O814" i="10"/>
  <c r="P814" i="10"/>
  <c r="Q814" i="10"/>
  <c r="R814" i="10"/>
  <c r="S814" i="10"/>
  <c r="T814" i="10"/>
  <c r="U814" i="10"/>
  <c r="V814" i="10"/>
  <c r="W814" i="10"/>
  <c r="AB814" i="10"/>
  <c r="AC814" i="10"/>
  <c r="AD814" i="10"/>
  <c r="A815" i="10"/>
  <c r="B815" i="10"/>
  <c r="D815" i="10"/>
  <c r="E815" i="10"/>
  <c r="F815" i="10"/>
  <c r="G815" i="10"/>
  <c r="H815" i="10"/>
  <c r="I815" i="10"/>
  <c r="K815" i="10"/>
  <c r="L815" i="10"/>
  <c r="M815" i="10"/>
  <c r="N815" i="10"/>
  <c r="O815" i="10"/>
  <c r="P815" i="10"/>
  <c r="Q815" i="10"/>
  <c r="R815" i="10"/>
  <c r="S815" i="10"/>
  <c r="T815" i="10"/>
  <c r="U815" i="10"/>
  <c r="V815" i="10"/>
  <c r="W815" i="10"/>
  <c r="AB815" i="10"/>
  <c r="AC815" i="10"/>
  <c r="AD815" i="10"/>
  <c r="A816" i="10"/>
  <c r="B816" i="10"/>
  <c r="D816" i="10"/>
  <c r="E816" i="10"/>
  <c r="F816" i="10"/>
  <c r="G816" i="10"/>
  <c r="H816" i="10"/>
  <c r="I816" i="10"/>
  <c r="K816" i="10"/>
  <c r="L816" i="10"/>
  <c r="M816" i="10"/>
  <c r="N816" i="10"/>
  <c r="O816" i="10"/>
  <c r="P816" i="10"/>
  <c r="Q816" i="10"/>
  <c r="R816" i="10"/>
  <c r="S816" i="10"/>
  <c r="T816" i="10"/>
  <c r="U816" i="10"/>
  <c r="V816" i="10"/>
  <c r="W816" i="10"/>
  <c r="AB816" i="10"/>
  <c r="AC816" i="10"/>
  <c r="AD816" i="10"/>
  <c r="A817" i="10"/>
  <c r="B817" i="10"/>
  <c r="D817" i="10"/>
  <c r="E817" i="10"/>
  <c r="F817" i="10"/>
  <c r="G817" i="10"/>
  <c r="H817" i="10"/>
  <c r="I817" i="10"/>
  <c r="J817" i="10"/>
  <c r="K817" i="10"/>
  <c r="L817" i="10"/>
  <c r="M817" i="10"/>
  <c r="N817" i="10"/>
  <c r="O817" i="10"/>
  <c r="P817" i="10"/>
  <c r="Q817" i="10"/>
  <c r="R817" i="10"/>
  <c r="S817" i="10"/>
  <c r="T817" i="10"/>
  <c r="U817" i="10"/>
  <c r="V817" i="10"/>
  <c r="W817" i="10"/>
  <c r="AB817" i="10"/>
  <c r="AC817" i="10"/>
  <c r="AD817" i="10"/>
  <c r="A818" i="10"/>
  <c r="B818" i="10"/>
  <c r="D818" i="10"/>
  <c r="E818" i="10"/>
  <c r="F818" i="10"/>
  <c r="G818" i="10"/>
  <c r="H818" i="10"/>
  <c r="I818" i="10"/>
  <c r="K818" i="10"/>
  <c r="L818" i="10"/>
  <c r="M818" i="10"/>
  <c r="N818" i="10"/>
  <c r="O818" i="10"/>
  <c r="P818" i="10"/>
  <c r="Q818" i="10"/>
  <c r="R818" i="10"/>
  <c r="S818" i="10"/>
  <c r="T818" i="10"/>
  <c r="U818" i="10"/>
  <c r="V818" i="10"/>
  <c r="W818" i="10"/>
  <c r="AB818" i="10"/>
  <c r="AC818" i="10"/>
  <c r="AD818" i="10"/>
  <c r="A819" i="10"/>
  <c r="B819" i="10"/>
  <c r="D819" i="10"/>
  <c r="E819" i="10"/>
  <c r="F819" i="10"/>
  <c r="G819" i="10"/>
  <c r="H819" i="10"/>
  <c r="I819" i="10"/>
  <c r="K819" i="10"/>
  <c r="L819" i="10"/>
  <c r="M819" i="10"/>
  <c r="N819" i="10"/>
  <c r="O819" i="10"/>
  <c r="P819" i="10"/>
  <c r="Q819" i="10"/>
  <c r="R819" i="10"/>
  <c r="S819" i="10"/>
  <c r="T819" i="10"/>
  <c r="U819" i="10"/>
  <c r="V819" i="10"/>
  <c r="W819" i="10"/>
  <c r="AB819" i="10"/>
  <c r="AC819" i="10"/>
  <c r="AD819" i="10"/>
  <c r="A820" i="10"/>
  <c r="B820" i="10"/>
  <c r="D820" i="10"/>
  <c r="E820" i="10"/>
  <c r="F820" i="10"/>
  <c r="G820" i="10"/>
  <c r="H820" i="10"/>
  <c r="I820" i="10"/>
  <c r="K820" i="10"/>
  <c r="L820" i="10"/>
  <c r="M820" i="10"/>
  <c r="N820" i="10"/>
  <c r="O820" i="10"/>
  <c r="P820" i="10"/>
  <c r="Q820" i="10"/>
  <c r="R820" i="10"/>
  <c r="S820" i="10"/>
  <c r="T820" i="10"/>
  <c r="U820" i="10"/>
  <c r="V820" i="10"/>
  <c r="W820" i="10"/>
  <c r="AB820" i="10"/>
  <c r="AC820" i="10"/>
  <c r="AD820" i="10"/>
  <c r="A821" i="10"/>
  <c r="B821" i="10"/>
  <c r="D821" i="10"/>
  <c r="E821" i="10"/>
  <c r="F821" i="10"/>
  <c r="G821" i="10"/>
  <c r="H821" i="10"/>
  <c r="I821" i="10"/>
  <c r="K821" i="10"/>
  <c r="L821" i="10"/>
  <c r="M821" i="10"/>
  <c r="N821" i="10"/>
  <c r="O821" i="10"/>
  <c r="P821" i="10"/>
  <c r="Q821" i="10"/>
  <c r="R821" i="10"/>
  <c r="S821" i="10"/>
  <c r="T821" i="10"/>
  <c r="U821" i="10"/>
  <c r="V821" i="10"/>
  <c r="W821" i="10"/>
  <c r="AB821" i="10"/>
  <c r="AC821" i="10"/>
  <c r="AD821" i="10"/>
  <c r="A822" i="10"/>
  <c r="B822" i="10"/>
  <c r="D822" i="10"/>
  <c r="E822" i="10"/>
  <c r="F822" i="10"/>
  <c r="G822" i="10"/>
  <c r="H822" i="10"/>
  <c r="I822" i="10"/>
  <c r="K822" i="10"/>
  <c r="L822" i="10"/>
  <c r="M822" i="10"/>
  <c r="N822" i="10"/>
  <c r="O822" i="10"/>
  <c r="P822" i="10"/>
  <c r="Q822" i="10"/>
  <c r="R822" i="10"/>
  <c r="S822" i="10"/>
  <c r="T822" i="10"/>
  <c r="U822" i="10"/>
  <c r="V822" i="10"/>
  <c r="W822" i="10"/>
  <c r="AB822" i="10"/>
  <c r="AC822" i="10"/>
  <c r="AD822" i="10"/>
  <c r="A823" i="10"/>
  <c r="B823" i="10"/>
  <c r="D823" i="10"/>
  <c r="E823" i="10"/>
  <c r="F823" i="10"/>
  <c r="G823" i="10"/>
  <c r="H823" i="10"/>
  <c r="I823" i="10"/>
  <c r="J823" i="10"/>
  <c r="K823" i="10"/>
  <c r="L823" i="10"/>
  <c r="M823" i="10"/>
  <c r="N823" i="10"/>
  <c r="O823" i="10"/>
  <c r="P823" i="10"/>
  <c r="Q823" i="10"/>
  <c r="R823" i="10"/>
  <c r="S823" i="10"/>
  <c r="T823" i="10"/>
  <c r="U823" i="10"/>
  <c r="V823" i="10"/>
  <c r="W823" i="10"/>
  <c r="AB823" i="10"/>
  <c r="AC823" i="10"/>
  <c r="AD823" i="10"/>
  <c r="A824" i="10"/>
  <c r="B824" i="10"/>
  <c r="D824" i="10"/>
  <c r="E824" i="10"/>
  <c r="F824" i="10"/>
  <c r="G824" i="10"/>
  <c r="H824" i="10"/>
  <c r="I824" i="10"/>
  <c r="K824" i="10"/>
  <c r="L824" i="10"/>
  <c r="M824" i="10"/>
  <c r="N824" i="10"/>
  <c r="O824" i="10"/>
  <c r="P824" i="10"/>
  <c r="Q824" i="10"/>
  <c r="R824" i="10"/>
  <c r="S824" i="10"/>
  <c r="T824" i="10"/>
  <c r="U824" i="10"/>
  <c r="V824" i="10"/>
  <c r="W824" i="10"/>
  <c r="AB824" i="10"/>
  <c r="AC824" i="10"/>
  <c r="AD824" i="10"/>
  <c r="A825" i="10"/>
  <c r="B825" i="10"/>
  <c r="D825" i="10"/>
  <c r="E825" i="10"/>
  <c r="F825" i="10"/>
  <c r="G825" i="10"/>
  <c r="H825" i="10"/>
  <c r="I825" i="10"/>
  <c r="K825" i="10"/>
  <c r="L825" i="10"/>
  <c r="M825" i="10"/>
  <c r="N825" i="10"/>
  <c r="O825" i="10"/>
  <c r="P825" i="10"/>
  <c r="Q825" i="10"/>
  <c r="R825" i="10"/>
  <c r="S825" i="10"/>
  <c r="T825" i="10"/>
  <c r="U825" i="10"/>
  <c r="V825" i="10"/>
  <c r="W825" i="10"/>
  <c r="AB825" i="10"/>
  <c r="AC825" i="10"/>
  <c r="AD825" i="10"/>
  <c r="A826" i="10"/>
  <c r="B826" i="10"/>
  <c r="D826" i="10"/>
  <c r="E826" i="10"/>
  <c r="F826" i="10"/>
  <c r="G826" i="10"/>
  <c r="H826" i="10"/>
  <c r="I826" i="10"/>
  <c r="K826" i="10"/>
  <c r="L826" i="10"/>
  <c r="M826" i="10"/>
  <c r="N826" i="10"/>
  <c r="O826" i="10"/>
  <c r="P826" i="10"/>
  <c r="Q826" i="10"/>
  <c r="R826" i="10"/>
  <c r="S826" i="10"/>
  <c r="T826" i="10"/>
  <c r="U826" i="10"/>
  <c r="V826" i="10"/>
  <c r="W826" i="10"/>
  <c r="AB826" i="10"/>
  <c r="AC826" i="10"/>
  <c r="AD826" i="10"/>
  <c r="A827" i="10"/>
  <c r="B827" i="10"/>
  <c r="D827" i="10"/>
  <c r="E827" i="10"/>
  <c r="F827" i="10"/>
  <c r="G827" i="10"/>
  <c r="H827" i="10"/>
  <c r="I827" i="10"/>
  <c r="K827" i="10"/>
  <c r="L827" i="10"/>
  <c r="M827" i="10"/>
  <c r="N827" i="10"/>
  <c r="O827" i="10"/>
  <c r="P827" i="10"/>
  <c r="Q827" i="10"/>
  <c r="R827" i="10"/>
  <c r="S827" i="10"/>
  <c r="T827" i="10"/>
  <c r="U827" i="10"/>
  <c r="V827" i="10"/>
  <c r="W827" i="10"/>
  <c r="AB827" i="10"/>
  <c r="AC827" i="10"/>
  <c r="AD827" i="10"/>
  <c r="A828" i="10"/>
  <c r="B828" i="10"/>
  <c r="D828" i="10"/>
  <c r="E828" i="10"/>
  <c r="F828" i="10"/>
  <c r="G828" i="10"/>
  <c r="H828" i="10"/>
  <c r="I828" i="10"/>
  <c r="K828" i="10"/>
  <c r="L828" i="10"/>
  <c r="M828" i="10"/>
  <c r="N828" i="10"/>
  <c r="O828" i="10"/>
  <c r="P828" i="10"/>
  <c r="Q828" i="10"/>
  <c r="R828" i="10"/>
  <c r="S828" i="10"/>
  <c r="T828" i="10"/>
  <c r="U828" i="10"/>
  <c r="V828" i="10"/>
  <c r="W828" i="10"/>
  <c r="AB828" i="10"/>
  <c r="AC828" i="10"/>
  <c r="AD828" i="10"/>
  <c r="A829" i="10"/>
  <c r="B829" i="10"/>
  <c r="D829" i="10"/>
  <c r="E829" i="10"/>
  <c r="F829" i="10"/>
  <c r="G829" i="10"/>
  <c r="H829" i="10"/>
  <c r="I829" i="10"/>
  <c r="J829" i="10"/>
  <c r="K829" i="10"/>
  <c r="L829" i="10"/>
  <c r="M829" i="10"/>
  <c r="N829" i="10"/>
  <c r="O829" i="10"/>
  <c r="P829" i="10"/>
  <c r="Q829" i="10"/>
  <c r="R829" i="10"/>
  <c r="S829" i="10"/>
  <c r="T829" i="10"/>
  <c r="U829" i="10"/>
  <c r="V829" i="10"/>
  <c r="W829" i="10"/>
  <c r="AB829" i="10"/>
  <c r="AC829" i="10"/>
  <c r="AD829" i="10"/>
  <c r="A830" i="10"/>
  <c r="B830" i="10"/>
  <c r="D830" i="10"/>
  <c r="E830" i="10"/>
  <c r="F830" i="10"/>
  <c r="G830" i="10"/>
  <c r="H830" i="10"/>
  <c r="I830" i="10"/>
  <c r="K830" i="10"/>
  <c r="L830" i="10"/>
  <c r="M830" i="10"/>
  <c r="N830" i="10"/>
  <c r="O830" i="10"/>
  <c r="P830" i="10"/>
  <c r="Q830" i="10"/>
  <c r="R830" i="10"/>
  <c r="S830" i="10"/>
  <c r="T830" i="10"/>
  <c r="U830" i="10"/>
  <c r="V830" i="10"/>
  <c r="W830" i="10"/>
  <c r="AB830" i="10"/>
  <c r="AC830" i="10"/>
  <c r="AD830" i="10"/>
  <c r="A831" i="10"/>
  <c r="B831" i="10"/>
  <c r="D831" i="10"/>
  <c r="E831" i="10"/>
  <c r="F831" i="10"/>
  <c r="G831" i="10"/>
  <c r="H831" i="10"/>
  <c r="I831" i="10"/>
  <c r="K831" i="10"/>
  <c r="L831" i="10"/>
  <c r="M831" i="10"/>
  <c r="N831" i="10"/>
  <c r="O831" i="10"/>
  <c r="P831" i="10"/>
  <c r="Q831" i="10"/>
  <c r="R831" i="10"/>
  <c r="S831" i="10"/>
  <c r="T831" i="10"/>
  <c r="U831" i="10"/>
  <c r="V831" i="10"/>
  <c r="W831" i="10"/>
  <c r="AB831" i="10"/>
  <c r="AC831" i="10"/>
  <c r="AD831" i="10"/>
  <c r="A832" i="10"/>
  <c r="B832" i="10"/>
  <c r="D832" i="10"/>
  <c r="E832" i="10"/>
  <c r="F832" i="10"/>
  <c r="G832" i="10"/>
  <c r="H832" i="10"/>
  <c r="I832" i="10"/>
  <c r="K832" i="10"/>
  <c r="L832" i="10"/>
  <c r="M832" i="10"/>
  <c r="N832" i="10"/>
  <c r="O832" i="10"/>
  <c r="P832" i="10"/>
  <c r="Q832" i="10"/>
  <c r="R832" i="10"/>
  <c r="S832" i="10"/>
  <c r="T832" i="10"/>
  <c r="U832" i="10"/>
  <c r="V832" i="10"/>
  <c r="W832" i="10"/>
  <c r="AB832" i="10"/>
  <c r="AC832" i="10"/>
  <c r="AD832" i="10"/>
  <c r="A833" i="10"/>
  <c r="B833" i="10"/>
  <c r="D833" i="10"/>
  <c r="E833" i="10"/>
  <c r="F833" i="10"/>
  <c r="G833" i="10"/>
  <c r="H833" i="10"/>
  <c r="I833" i="10"/>
  <c r="K833" i="10"/>
  <c r="L833" i="10"/>
  <c r="M833" i="10"/>
  <c r="N833" i="10"/>
  <c r="O833" i="10"/>
  <c r="P833" i="10"/>
  <c r="Q833" i="10"/>
  <c r="R833" i="10"/>
  <c r="S833" i="10"/>
  <c r="T833" i="10"/>
  <c r="U833" i="10"/>
  <c r="V833" i="10"/>
  <c r="W833" i="10"/>
  <c r="AB833" i="10"/>
  <c r="AC833" i="10"/>
  <c r="AD833" i="10"/>
  <c r="A834" i="10"/>
  <c r="B834" i="10"/>
  <c r="D834" i="10"/>
  <c r="E834" i="10"/>
  <c r="F834" i="10"/>
  <c r="G834" i="10"/>
  <c r="H834" i="10"/>
  <c r="I834" i="10"/>
  <c r="K834" i="10"/>
  <c r="L834" i="10"/>
  <c r="M834" i="10"/>
  <c r="N834" i="10"/>
  <c r="O834" i="10"/>
  <c r="P834" i="10"/>
  <c r="Q834" i="10"/>
  <c r="R834" i="10"/>
  <c r="S834" i="10"/>
  <c r="T834" i="10"/>
  <c r="U834" i="10"/>
  <c r="V834" i="10"/>
  <c r="W834" i="10"/>
  <c r="AB834" i="10"/>
  <c r="AC834" i="10"/>
  <c r="AD834" i="10"/>
  <c r="A835" i="10"/>
  <c r="B835" i="10"/>
  <c r="D835" i="10"/>
  <c r="E835" i="10"/>
  <c r="F835" i="10"/>
  <c r="G835" i="10"/>
  <c r="H835" i="10"/>
  <c r="I835" i="10"/>
  <c r="J835" i="10"/>
  <c r="K835" i="10"/>
  <c r="L835" i="10"/>
  <c r="M835" i="10"/>
  <c r="N835" i="10"/>
  <c r="O835" i="10"/>
  <c r="P835" i="10"/>
  <c r="Q835" i="10"/>
  <c r="R835" i="10"/>
  <c r="S835" i="10"/>
  <c r="T835" i="10"/>
  <c r="U835" i="10"/>
  <c r="V835" i="10"/>
  <c r="W835" i="10"/>
  <c r="AB835" i="10"/>
  <c r="AC835" i="10"/>
  <c r="AD835" i="10"/>
  <c r="A836" i="10"/>
  <c r="B836" i="10"/>
  <c r="D836" i="10"/>
  <c r="E836" i="10"/>
  <c r="F836" i="10"/>
  <c r="G836" i="10"/>
  <c r="H836" i="10"/>
  <c r="I836" i="10"/>
  <c r="K836" i="10"/>
  <c r="L836" i="10"/>
  <c r="M836" i="10"/>
  <c r="N836" i="10"/>
  <c r="O836" i="10"/>
  <c r="P836" i="10"/>
  <c r="Q836" i="10"/>
  <c r="R836" i="10"/>
  <c r="S836" i="10"/>
  <c r="T836" i="10"/>
  <c r="U836" i="10"/>
  <c r="V836" i="10"/>
  <c r="W836" i="10"/>
  <c r="AB836" i="10"/>
  <c r="AC836" i="10"/>
  <c r="AD836" i="10"/>
  <c r="A837" i="10"/>
  <c r="B837" i="10"/>
  <c r="D837" i="10"/>
  <c r="E837" i="10"/>
  <c r="F837" i="10"/>
  <c r="G837" i="10"/>
  <c r="H837" i="10"/>
  <c r="I837" i="10"/>
  <c r="K837" i="10"/>
  <c r="L837" i="10"/>
  <c r="M837" i="10"/>
  <c r="N837" i="10"/>
  <c r="O837" i="10"/>
  <c r="P837" i="10"/>
  <c r="Q837" i="10"/>
  <c r="R837" i="10"/>
  <c r="S837" i="10"/>
  <c r="T837" i="10"/>
  <c r="U837" i="10"/>
  <c r="V837" i="10"/>
  <c r="W837" i="10"/>
  <c r="AB837" i="10"/>
  <c r="AC837" i="10"/>
  <c r="AD837" i="10"/>
  <c r="A838" i="10"/>
  <c r="B838" i="10"/>
  <c r="D838" i="10"/>
  <c r="E838" i="10"/>
  <c r="F838" i="10"/>
  <c r="G838" i="10"/>
  <c r="H838" i="10"/>
  <c r="I838" i="10"/>
  <c r="K838" i="10"/>
  <c r="L838" i="10"/>
  <c r="M838" i="10"/>
  <c r="N838" i="10"/>
  <c r="O838" i="10"/>
  <c r="P838" i="10"/>
  <c r="Q838" i="10"/>
  <c r="R838" i="10"/>
  <c r="S838" i="10"/>
  <c r="T838" i="10"/>
  <c r="U838" i="10"/>
  <c r="V838" i="10"/>
  <c r="W838" i="10"/>
  <c r="AB838" i="10"/>
  <c r="AC838" i="10"/>
  <c r="AD838" i="10"/>
  <c r="A839" i="10"/>
  <c r="B839" i="10"/>
  <c r="D839" i="10"/>
  <c r="E839" i="10"/>
  <c r="F839" i="10"/>
  <c r="G839" i="10"/>
  <c r="H839" i="10"/>
  <c r="I839" i="10"/>
  <c r="K839" i="10"/>
  <c r="L839" i="10"/>
  <c r="M839" i="10"/>
  <c r="N839" i="10"/>
  <c r="O839" i="10"/>
  <c r="P839" i="10"/>
  <c r="Q839" i="10"/>
  <c r="R839" i="10"/>
  <c r="S839" i="10"/>
  <c r="T839" i="10"/>
  <c r="U839" i="10"/>
  <c r="V839" i="10"/>
  <c r="W839" i="10"/>
  <c r="AB839" i="10"/>
  <c r="AC839" i="10"/>
  <c r="AD839" i="10"/>
  <c r="A840" i="10"/>
  <c r="B840" i="10"/>
  <c r="D840" i="10"/>
  <c r="E840" i="10"/>
  <c r="F840" i="10"/>
  <c r="G840" i="10"/>
  <c r="H840" i="10"/>
  <c r="I840" i="10"/>
  <c r="K840" i="10"/>
  <c r="L840" i="10"/>
  <c r="M840" i="10"/>
  <c r="N840" i="10"/>
  <c r="O840" i="10"/>
  <c r="P840" i="10"/>
  <c r="Q840" i="10"/>
  <c r="R840" i="10"/>
  <c r="S840" i="10"/>
  <c r="T840" i="10"/>
  <c r="U840" i="10"/>
  <c r="V840" i="10"/>
  <c r="W840" i="10"/>
  <c r="AB840" i="10"/>
  <c r="AC840" i="10"/>
  <c r="AD840" i="10"/>
  <c r="A841" i="10"/>
  <c r="B841" i="10"/>
  <c r="D841" i="10"/>
  <c r="E841" i="10"/>
  <c r="F841" i="10"/>
  <c r="G841" i="10"/>
  <c r="H841" i="10"/>
  <c r="I841" i="10"/>
  <c r="J841" i="10"/>
  <c r="K841" i="10"/>
  <c r="L841" i="10"/>
  <c r="M841" i="10"/>
  <c r="N841" i="10"/>
  <c r="O841" i="10"/>
  <c r="P841" i="10"/>
  <c r="Q841" i="10"/>
  <c r="R841" i="10"/>
  <c r="S841" i="10"/>
  <c r="T841" i="10"/>
  <c r="U841" i="10"/>
  <c r="V841" i="10"/>
  <c r="W841" i="10"/>
  <c r="AB841" i="10"/>
  <c r="AC841" i="10"/>
  <c r="AD841" i="10"/>
  <c r="A842" i="10"/>
  <c r="B842" i="10"/>
  <c r="D842" i="10"/>
  <c r="E842" i="10"/>
  <c r="F842" i="10"/>
  <c r="G842" i="10"/>
  <c r="H842" i="10"/>
  <c r="I842" i="10"/>
  <c r="K842" i="10"/>
  <c r="L842" i="10"/>
  <c r="M842" i="10"/>
  <c r="N842" i="10"/>
  <c r="O842" i="10"/>
  <c r="P842" i="10"/>
  <c r="Q842" i="10"/>
  <c r="R842" i="10"/>
  <c r="S842" i="10"/>
  <c r="T842" i="10"/>
  <c r="U842" i="10"/>
  <c r="V842" i="10"/>
  <c r="W842" i="10"/>
  <c r="AB842" i="10"/>
  <c r="AC842" i="10"/>
  <c r="AD842" i="10"/>
  <c r="A843" i="10"/>
  <c r="B843" i="10"/>
  <c r="D843" i="10"/>
  <c r="E843" i="10"/>
  <c r="F843" i="10"/>
  <c r="G843" i="10"/>
  <c r="H843" i="10"/>
  <c r="I843" i="10"/>
  <c r="K843" i="10"/>
  <c r="L843" i="10"/>
  <c r="M843" i="10"/>
  <c r="N843" i="10"/>
  <c r="O843" i="10"/>
  <c r="P843" i="10"/>
  <c r="Q843" i="10"/>
  <c r="R843" i="10"/>
  <c r="S843" i="10"/>
  <c r="T843" i="10"/>
  <c r="U843" i="10"/>
  <c r="V843" i="10"/>
  <c r="W843" i="10"/>
  <c r="AB843" i="10"/>
  <c r="AC843" i="10"/>
  <c r="AD843" i="10"/>
  <c r="A844" i="10"/>
  <c r="B844" i="10"/>
  <c r="D844" i="10"/>
  <c r="E844" i="10"/>
  <c r="F844" i="10"/>
  <c r="G844" i="10"/>
  <c r="H844" i="10"/>
  <c r="I844" i="10"/>
  <c r="K844" i="10"/>
  <c r="L844" i="10"/>
  <c r="M844" i="10"/>
  <c r="N844" i="10"/>
  <c r="O844" i="10"/>
  <c r="P844" i="10"/>
  <c r="Q844" i="10"/>
  <c r="R844" i="10"/>
  <c r="S844" i="10"/>
  <c r="T844" i="10"/>
  <c r="U844" i="10"/>
  <c r="V844" i="10"/>
  <c r="W844" i="10"/>
  <c r="AB844" i="10"/>
  <c r="AC844" i="10"/>
  <c r="AD844" i="10"/>
  <c r="A845" i="10"/>
  <c r="B845" i="10"/>
  <c r="D845" i="10"/>
  <c r="E845" i="10"/>
  <c r="F845" i="10"/>
  <c r="G845" i="10"/>
  <c r="H845" i="10"/>
  <c r="I845" i="10"/>
  <c r="K845" i="10"/>
  <c r="L845" i="10"/>
  <c r="M845" i="10"/>
  <c r="N845" i="10"/>
  <c r="O845" i="10"/>
  <c r="P845" i="10"/>
  <c r="Q845" i="10"/>
  <c r="R845" i="10"/>
  <c r="S845" i="10"/>
  <c r="T845" i="10"/>
  <c r="U845" i="10"/>
  <c r="V845" i="10"/>
  <c r="W845" i="10"/>
  <c r="AB845" i="10"/>
  <c r="AC845" i="10"/>
  <c r="AD845" i="10"/>
  <c r="A846" i="10"/>
  <c r="B846" i="10"/>
  <c r="D846" i="10"/>
  <c r="E846" i="10"/>
  <c r="F846" i="10"/>
  <c r="G846" i="10"/>
  <c r="H846" i="10"/>
  <c r="I846" i="10"/>
  <c r="K846" i="10"/>
  <c r="L846" i="10"/>
  <c r="M846" i="10"/>
  <c r="N846" i="10"/>
  <c r="O846" i="10"/>
  <c r="P846" i="10"/>
  <c r="Q846" i="10"/>
  <c r="R846" i="10"/>
  <c r="S846" i="10"/>
  <c r="T846" i="10"/>
  <c r="U846" i="10"/>
  <c r="V846" i="10"/>
  <c r="W846" i="10"/>
  <c r="AB846" i="10"/>
  <c r="AC846" i="10"/>
  <c r="AD846" i="10"/>
  <c r="A847" i="10"/>
  <c r="B847" i="10"/>
  <c r="D847" i="10"/>
  <c r="E847" i="10"/>
  <c r="F847" i="10"/>
  <c r="G847" i="10"/>
  <c r="H847" i="10"/>
  <c r="I847" i="10"/>
  <c r="J847" i="10"/>
  <c r="K847" i="10"/>
  <c r="L847" i="10"/>
  <c r="M847" i="10"/>
  <c r="N847" i="10"/>
  <c r="O847" i="10"/>
  <c r="P847" i="10"/>
  <c r="Q847" i="10"/>
  <c r="R847" i="10"/>
  <c r="S847" i="10"/>
  <c r="T847" i="10"/>
  <c r="U847" i="10"/>
  <c r="V847" i="10"/>
  <c r="W847" i="10"/>
  <c r="AB847" i="10"/>
  <c r="AC847" i="10"/>
  <c r="AD847" i="10"/>
  <c r="A848" i="10"/>
  <c r="B848" i="10"/>
  <c r="D848" i="10"/>
  <c r="E848" i="10"/>
  <c r="F848" i="10"/>
  <c r="G848" i="10"/>
  <c r="H848" i="10"/>
  <c r="I848" i="10"/>
  <c r="J848" i="10"/>
  <c r="K848" i="10"/>
  <c r="L848" i="10"/>
  <c r="M848" i="10"/>
  <c r="N848" i="10"/>
  <c r="O848" i="10"/>
  <c r="P848" i="10"/>
  <c r="Q848" i="10"/>
  <c r="R848" i="10"/>
  <c r="S848" i="10"/>
  <c r="T848" i="10"/>
  <c r="U848" i="10"/>
  <c r="V848" i="10"/>
  <c r="W848" i="10"/>
  <c r="AB848" i="10"/>
  <c r="AC848" i="10"/>
  <c r="AD848" i="10"/>
  <c r="A849" i="10"/>
  <c r="B849" i="10"/>
  <c r="D849" i="10"/>
  <c r="E849" i="10"/>
  <c r="F849" i="10"/>
  <c r="G849" i="10"/>
  <c r="H849" i="10"/>
  <c r="I849" i="10"/>
  <c r="J849" i="10"/>
  <c r="K849" i="10"/>
  <c r="L849" i="10"/>
  <c r="M849" i="10"/>
  <c r="N849" i="10"/>
  <c r="O849" i="10"/>
  <c r="P849" i="10"/>
  <c r="Q849" i="10"/>
  <c r="R849" i="10"/>
  <c r="S849" i="10"/>
  <c r="T849" i="10"/>
  <c r="U849" i="10"/>
  <c r="V849" i="10"/>
  <c r="W849" i="10"/>
  <c r="AB849" i="10"/>
  <c r="AC849" i="10"/>
  <c r="AD849" i="10"/>
  <c r="A850" i="10"/>
  <c r="B850" i="10"/>
  <c r="D850" i="10"/>
  <c r="E850" i="10"/>
  <c r="F850" i="10"/>
  <c r="G850" i="10"/>
  <c r="H850" i="10"/>
  <c r="I850" i="10"/>
  <c r="J850" i="10"/>
  <c r="K850" i="10"/>
  <c r="L850" i="10"/>
  <c r="M850" i="10"/>
  <c r="N850" i="10"/>
  <c r="O850" i="10"/>
  <c r="P850" i="10"/>
  <c r="Q850" i="10"/>
  <c r="R850" i="10"/>
  <c r="S850" i="10"/>
  <c r="T850" i="10"/>
  <c r="U850" i="10"/>
  <c r="V850" i="10"/>
  <c r="W850" i="10"/>
  <c r="AB850" i="10"/>
  <c r="AC850" i="10"/>
  <c r="AD850" i="10"/>
  <c r="A851" i="10"/>
  <c r="B851" i="10"/>
  <c r="D851" i="10"/>
  <c r="E851" i="10"/>
  <c r="F851" i="10"/>
  <c r="G851" i="10"/>
  <c r="H851" i="10"/>
  <c r="I851" i="10"/>
  <c r="J851" i="10"/>
  <c r="K851" i="10"/>
  <c r="L851" i="10"/>
  <c r="M851" i="10"/>
  <c r="N851" i="10"/>
  <c r="O851" i="10"/>
  <c r="P851" i="10"/>
  <c r="Q851" i="10"/>
  <c r="R851" i="10"/>
  <c r="S851" i="10"/>
  <c r="T851" i="10"/>
  <c r="U851" i="10"/>
  <c r="V851" i="10"/>
  <c r="W851" i="10"/>
  <c r="AB851" i="10"/>
  <c r="AC851" i="10"/>
  <c r="AD851" i="10"/>
  <c r="A852" i="10"/>
  <c r="B852" i="10"/>
  <c r="D852" i="10"/>
  <c r="E852" i="10"/>
  <c r="F852" i="10"/>
  <c r="G852" i="10"/>
  <c r="H852" i="10"/>
  <c r="I852" i="10"/>
  <c r="J852" i="10"/>
  <c r="K852" i="10"/>
  <c r="L852" i="10"/>
  <c r="M852" i="10"/>
  <c r="N852" i="10"/>
  <c r="O852" i="10"/>
  <c r="P852" i="10"/>
  <c r="Q852" i="10"/>
  <c r="R852" i="10"/>
  <c r="S852" i="10"/>
  <c r="T852" i="10"/>
  <c r="U852" i="10"/>
  <c r="V852" i="10"/>
  <c r="W852" i="10"/>
  <c r="AB852" i="10"/>
  <c r="AC852" i="10"/>
  <c r="AD852" i="10"/>
  <c r="A853" i="10"/>
  <c r="B853" i="10"/>
  <c r="D853" i="10"/>
  <c r="E853" i="10"/>
  <c r="F853" i="10"/>
  <c r="G853" i="10"/>
  <c r="H853" i="10"/>
  <c r="I853" i="10"/>
  <c r="J853" i="10"/>
  <c r="K853" i="10"/>
  <c r="L853" i="10"/>
  <c r="M853" i="10"/>
  <c r="N853" i="10"/>
  <c r="O853" i="10"/>
  <c r="P853" i="10"/>
  <c r="Q853" i="10"/>
  <c r="R853" i="10"/>
  <c r="S853" i="10"/>
  <c r="T853" i="10"/>
  <c r="U853" i="10"/>
  <c r="V853" i="10"/>
  <c r="W853" i="10"/>
  <c r="AB853" i="10"/>
  <c r="AC853" i="10"/>
  <c r="AD853" i="10"/>
  <c r="A854" i="10"/>
  <c r="B854" i="10"/>
  <c r="D854" i="10"/>
  <c r="E854" i="10"/>
  <c r="F854" i="10"/>
  <c r="G854" i="10"/>
  <c r="H854" i="10"/>
  <c r="I854" i="10"/>
  <c r="J854" i="10"/>
  <c r="K854" i="10"/>
  <c r="L854" i="10"/>
  <c r="M854" i="10"/>
  <c r="N854" i="10"/>
  <c r="O854" i="10"/>
  <c r="P854" i="10"/>
  <c r="Q854" i="10"/>
  <c r="R854" i="10"/>
  <c r="S854" i="10"/>
  <c r="T854" i="10"/>
  <c r="U854" i="10"/>
  <c r="V854" i="10"/>
  <c r="W854" i="10"/>
  <c r="AB854" i="10"/>
  <c r="AC854" i="10"/>
  <c r="AD854" i="10"/>
  <c r="A855" i="10"/>
  <c r="B855" i="10"/>
  <c r="D855" i="10"/>
  <c r="E855" i="10"/>
  <c r="F855" i="10"/>
  <c r="G855" i="10"/>
  <c r="H855" i="10"/>
  <c r="I855" i="10"/>
  <c r="J855" i="10"/>
  <c r="K855" i="10"/>
  <c r="L855" i="10"/>
  <c r="M855" i="10"/>
  <c r="N855" i="10"/>
  <c r="O855" i="10"/>
  <c r="P855" i="10"/>
  <c r="Q855" i="10"/>
  <c r="R855" i="10"/>
  <c r="S855" i="10"/>
  <c r="T855" i="10"/>
  <c r="U855" i="10"/>
  <c r="V855" i="10"/>
  <c r="W855" i="10"/>
  <c r="AB855" i="10"/>
  <c r="AC855" i="10"/>
  <c r="AD855" i="10"/>
  <c r="A856" i="10"/>
  <c r="B856" i="10"/>
  <c r="D856" i="10"/>
  <c r="E856" i="10"/>
  <c r="F856" i="10"/>
  <c r="G856" i="10"/>
  <c r="H856" i="10"/>
  <c r="I856" i="10"/>
  <c r="J856" i="10"/>
  <c r="K856" i="10"/>
  <c r="L856" i="10"/>
  <c r="M856" i="10"/>
  <c r="N856" i="10"/>
  <c r="O856" i="10"/>
  <c r="P856" i="10"/>
  <c r="Q856" i="10"/>
  <c r="R856" i="10"/>
  <c r="S856" i="10"/>
  <c r="T856" i="10"/>
  <c r="U856" i="10"/>
  <c r="V856" i="10"/>
  <c r="W856" i="10"/>
  <c r="AB856" i="10"/>
  <c r="AC856" i="10"/>
  <c r="AD856" i="10"/>
  <c r="A857" i="10"/>
  <c r="B857" i="10"/>
  <c r="D857" i="10"/>
  <c r="E857" i="10"/>
  <c r="F857" i="10"/>
  <c r="G857" i="10"/>
  <c r="H857" i="10"/>
  <c r="I857" i="10"/>
  <c r="J857" i="10"/>
  <c r="K857" i="10"/>
  <c r="L857" i="10"/>
  <c r="M857" i="10"/>
  <c r="N857" i="10"/>
  <c r="O857" i="10"/>
  <c r="P857" i="10"/>
  <c r="Q857" i="10"/>
  <c r="R857" i="10"/>
  <c r="S857" i="10"/>
  <c r="T857" i="10"/>
  <c r="U857" i="10"/>
  <c r="V857" i="10"/>
  <c r="W857" i="10"/>
  <c r="AB857" i="10"/>
  <c r="AC857" i="10"/>
  <c r="AD857" i="10"/>
  <c r="A858" i="10"/>
  <c r="B858" i="10"/>
  <c r="D858" i="10"/>
  <c r="E858" i="10"/>
  <c r="F858" i="10"/>
  <c r="G858" i="10"/>
  <c r="H858" i="10"/>
  <c r="I858" i="10"/>
  <c r="J858" i="10"/>
  <c r="K858" i="10"/>
  <c r="L858" i="10"/>
  <c r="M858" i="10"/>
  <c r="N858" i="10"/>
  <c r="O858" i="10"/>
  <c r="P858" i="10"/>
  <c r="Q858" i="10"/>
  <c r="R858" i="10"/>
  <c r="S858" i="10"/>
  <c r="T858" i="10"/>
  <c r="U858" i="10"/>
  <c r="V858" i="10"/>
  <c r="W858" i="10"/>
  <c r="AB858" i="10"/>
  <c r="AC858" i="10"/>
  <c r="AD858" i="10"/>
  <c r="A859" i="10"/>
  <c r="B859" i="10"/>
  <c r="D859" i="10"/>
  <c r="E859" i="10"/>
  <c r="F859" i="10"/>
  <c r="G859" i="10"/>
  <c r="H859" i="10"/>
  <c r="I859" i="10"/>
  <c r="J859" i="10"/>
  <c r="K859" i="10"/>
  <c r="L859" i="10"/>
  <c r="M859" i="10"/>
  <c r="N859" i="10"/>
  <c r="O859" i="10"/>
  <c r="P859" i="10"/>
  <c r="Q859" i="10"/>
  <c r="R859" i="10"/>
  <c r="S859" i="10"/>
  <c r="T859" i="10"/>
  <c r="U859" i="10"/>
  <c r="V859" i="10"/>
  <c r="W859" i="10"/>
  <c r="AB859" i="10"/>
  <c r="AC859" i="10"/>
  <c r="AD859" i="10"/>
  <c r="A860" i="10"/>
  <c r="B860" i="10"/>
  <c r="D860" i="10"/>
  <c r="E860" i="10"/>
  <c r="F860" i="10"/>
  <c r="G860" i="10"/>
  <c r="H860" i="10"/>
  <c r="I860" i="10"/>
  <c r="J860" i="10"/>
  <c r="K860" i="10"/>
  <c r="L860" i="10"/>
  <c r="M860" i="10"/>
  <c r="N860" i="10"/>
  <c r="O860" i="10"/>
  <c r="P860" i="10"/>
  <c r="Q860" i="10"/>
  <c r="R860" i="10"/>
  <c r="S860" i="10"/>
  <c r="T860" i="10"/>
  <c r="U860" i="10"/>
  <c r="V860" i="10"/>
  <c r="W860" i="10"/>
  <c r="AB860" i="10"/>
  <c r="AC860" i="10"/>
  <c r="AD860" i="10"/>
  <c r="A861" i="10"/>
  <c r="B861" i="10"/>
  <c r="D861" i="10"/>
  <c r="E861" i="10"/>
  <c r="F861" i="10"/>
  <c r="G861" i="10"/>
  <c r="H861" i="10"/>
  <c r="I861" i="10"/>
  <c r="J861" i="10"/>
  <c r="K861" i="10"/>
  <c r="L861" i="10"/>
  <c r="M861" i="10"/>
  <c r="N861" i="10"/>
  <c r="O861" i="10"/>
  <c r="P861" i="10"/>
  <c r="Q861" i="10"/>
  <c r="R861" i="10"/>
  <c r="S861" i="10"/>
  <c r="T861" i="10"/>
  <c r="U861" i="10"/>
  <c r="V861" i="10"/>
  <c r="W861" i="10"/>
  <c r="AB861" i="10"/>
  <c r="AC861" i="10"/>
  <c r="AD861" i="10"/>
  <c r="A862" i="10"/>
  <c r="B862" i="10"/>
  <c r="D862" i="10"/>
  <c r="E862" i="10"/>
  <c r="F862" i="10"/>
  <c r="G862" i="10"/>
  <c r="H862" i="10"/>
  <c r="I862" i="10"/>
  <c r="J862" i="10"/>
  <c r="K862" i="10"/>
  <c r="L862" i="10"/>
  <c r="M862" i="10"/>
  <c r="N862" i="10"/>
  <c r="O862" i="10"/>
  <c r="P862" i="10"/>
  <c r="Q862" i="10"/>
  <c r="R862" i="10"/>
  <c r="S862" i="10"/>
  <c r="T862" i="10"/>
  <c r="U862" i="10"/>
  <c r="V862" i="10"/>
  <c r="W862" i="10"/>
  <c r="AB862" i="10"/>
  <c r="AC862" i="10"/>
  <c r="AD862" i="10"/>
  <c r="A863" i="10"/>
  <c r="B863" i="10"/>
  <c r="D863" i="10"/>
  <c r="E863" i="10"/>
  <c r="F863" i="10"/>
  <c r="G863" i="10"/>
  <c r="H863" i="10"/>
  <c r="I863" i="10"/>
  <c r="J863" i="10"/>
  <c r="K863" i="10"/>
  <c r="L863" i="10"/>
  <c r="M863" i="10"/>
  <c r="N863" i="10"/>
  <c r="O863" i="10"/>
  <c r="P863" i="10"/>
  <c r="Q863" i="10"/>
  <c r="R863" i="10"/>
  <c r="S863" i="10"/>
  <c r="T863" i="10"/>
  <c r="U863" i="10"/>
  <c r="V863" i="10"/>
  <c r="W863" i="10"/>
  <c r="AB863" i="10"/>
  <c r="AC863" i="10"/>
  <c r="AD863" i="10"/>
  <c r="A864" i="10"/>
  <c r="B864" i="10"/>
  <c r="D864" i="10"/>
  <c r="E864" i="10"/>
  <c r="F864" i="10"/>
  <c r="G864" i="10"/>
  <c r="H864" i="10"/>
  <c r="I864" i="10"/>
  <c r="J864" i="10"/>
  <c r="K864" i="10"/>
  <c r="L864" i="10"/>
  <c r="M864" i="10"/>
  <c r="N864" i="10"/>
  <c r="O864" i="10"/>
  <c r="P864" i="10"/>
  <c r="Q864" i="10"/>
  <c r="R864" i="10"/>
  <c r="S864" i="10"/>
  <c r="T864" i="10"/>
  <c r="U864" i="10"/>
  <c r="V864" i="10"/>
  <c r="W864" i="10"/>
  <c r="AB864" i="10"/>
  <c r="AC864" i="10"/>
  <c r="AD864" i="10"/>
  <c r="A865" i="10"/>
  <c r="B865" i="10"/>
  <c r="D865" i="10"/>
  <c r="E865" i="10"/>
  <c r="F865" i="10"/>
  <c r="G865" i="10"/>
  <c r="H865" i="10"/>
  <c r="I865" i="10"/>
  <c r="J865" i="10"/>
  <c r="K865" i="10"/>
  <c r="L865" i="10"/>
  <c r="M865" i="10"/>
  <c r="N865" i="10"/>
  <c r="O865" i="10"/>
  <c r="P865" i="10"/>
  <c r="Q865" i="10"/>
  <c r="R865" i="10"/>
  <c r="S865" i="10"/>
  <c r="T865" i="10"/>
  <c r="U865" i="10"/>
  <c r="V865" i="10"/>
  <c r="W865" i="10"/>
  <c r="AB865" i="10"/>
  <c r="AC865" i="10"/>
  <c r="AD865" i="10"/>
  <c r="A866" i="10"/>
  <c r="B866" i="10"/>
  <c r="D866" i="10"/>
  <c r="E866" i="10"/>
  <c r="F866" i="10"/>
  <c r="G866" i="10"/>
  <c r="H866" i="10"/>
  <c r="I866" i="10"/>
  <c r="J866" i="10"/>
  <c r="K866" i="10"/>
  <c r="L866" i="10"/>
  <c r="M866" i="10"/>
  <c r="N866" i="10"/>
  <c r="O866" i="10"/>
  <c r="P866" i="10"/>
  <c r="Q866" i="10"/>
  <c r="R866" i="10"/>
  <c r="S866" i="10"/>
  <c r="T866" i="10"/>
  <c r="U866" i="10"/>
  <c r="V866" i="10"/>
  <c r="W866" i="10"/>
  <c r="AB866" i="10"/>
  <c r="AC866" i="10"/>
  <c r="AD866" i="10"/>
  <c r="A867" i="10"/>
  <c r="B867" i="10"/>
  <c r="D867" i="10"/>
  <c r="E867" i="10"/>
  <c r="F867" i="10"/>
  <c r="G867" i="10"/>
  <c r="H867" i="10"/>
  <c r="I867" i="10"/>
  <c r="J867" i="10"/>
  <c r="K867" i="10"/>
  <c r="L867" i="10"/>
  <c r="M867" i="10"/>
  <c r="N867" i="10"/>
  <c r="O867" i="10"/>
  <c r="P867" i="10"/>
  <c r="Q867" i="10"/>
  <c r="R867" i="10"/>
  <c r="S867" i="10"/>
  <c r="T867" i="10"/>
  <c r="U867" i="10"/>
  <c r="V867" i="10"/>
  <c r="W867" i="10"/>
  <c r="AB867" i="10"/>
  <c r="AC867" i="10"/>
  <c r="AD867" i="10"/>
  <c r="A868" i="10"/>
  <c r="B868" i="10"/>
  <c r="D868" i="10"/>
  <c r="E868" i="10"/>
  <c r="F868" i="10"/>
  <c r="G868" i="10"/>
  <c r="H868" i="10"/>
  <c r="I868" i="10"/>
  <c r="J868" i="10"/>
  <c r="K868" i="10"/>
  <c r="L868" i="10"/>
  <c r="M868" i="10"/>
  <c r="N868" i="10"/>
  <c r="O868" i="10"/>
  <c r="P868" i="10"/>
  <c r="Q868" i="10"/>
  <c r="R868" i="10"/>
  <c r="S868" i="10"/>
  <c r="T868" i="10"/>
  <c r="U868" i="10"/>
  <c r="V868" i="10"/>
  <c r="W868" i="10"/>
  <c r="AB868" i="10"/>
  <c r="AC868" i="10"/>
  <c r="AD868" i="10"/>
  <c r="A869" i="10"/>
  <c r="B869" i="10"/>
  <c r="D869" i="10"/>
  <c r="E869" i="10"/>
  <c r="F869" i="10"/>
  <c r="G869" i="10"/>
  <c r="H869" i="10"/>
  <c r="I869" i="10"/>
  <c r="J869" i="10"/>
  <c r="K869" i="10"/>
  <c r="L869" i="10"/>
  <c r="M869" i="10"/>
  <c r="N869" i="10"/>
  <c r="O869" i="10"/>
  <c r="P869" i="10"/>
  <c r="Q869" i="10"/>
  <c r="R869" i="10"/>
  <c r="S869" i="10"/>
  <c r="T869" i="10"/>
  <c r="U869" i="10"/>
  <c r="V869" i="10"/>
  <c r="W869" i="10"/>
  <c r="AB869" i="10"/>
  <c r="AC869" i="10"/>
  <c r="AD869" i="10"/>
  <c r="A870" i="10"/>
  <c r="B870" i="10"/>
  <c r="D870" i="10"/>
  <c r="E870" i="10"/>
  <c r="F870" i="10"/>
  <c r="G870" i="10"/>
  <c r="H870" i="10"/>
  <c r="I870" i="10"/>
  <c r="J870" i="10"/>
  <c r="K870" i="10"/>
  <c r="L870" i="10"/>
  <c r="M870" i="10"/>
  <c r="N870" i="10"/>
  <c r="O870" i="10"/>
  <c r="P870" i="10"/>
  <c r="Q870" i="10"/>
  <c r="R870" i="10"/>
  <c r="S870" i="10"/>
  <c r="T870" i="10"/>
  <c r="U870" i="10"/>
  <c r="V870" i="10"/>
  <c r="W870" i="10"/>
  <c r="AB870" i="10"/>
  <c r="AC870" i="10"/>
  <c r="AD870" i="10"/>
  <c r="A871" i="10"/>
  <c r="B871" i="10"/>
  <c r="D871" i="10"/>
  <c r="E871" i="10"/>
  <c r="F871" i="10"/>
  <c r="G871" i="10"/>
  <c r="H871" i="10"/>
  <c r="I871" i="10"/>
  <c r="J871" i="10"/>
  <c r="K871" i="10"/>
  <c r="L871" i="10"/>
  <c r="M871" i="10"/>
  <c r="N871" i="10"/>
  <c r="O871" i="10"/>
  <c r="P871" i="10"/>
  <c r="Q871" i="10"/>
  <c r="R871" i="10"/>
  <c r="S871" i="10"/>
  <c r="T871" i="10"/>
  <c r="U871" i="10"/>
  <c r="V871" i="10"/>
  <c r="W871" i="10"/>
  <c r="AB871" i="10"/>
  <c r="AC871" i="10"/>
  <c r="AD871" i="10"/>
  <c r="A872" i="10"/>
  <c r="B872" i="10"/>
  <c r="D872" i="10"/>
  <c r="E872" i="10"/>
  <c r="F872" i="10"/>
  <c r="G872" i="10"/>
  <c r="H872" i="10"/>
  <c r="I872" i="10"/>
  <c r="J872" i="10"/>
  <c r="K872" i="10"/>
  <c r="L872" i="10"/>
  <c r="M872" i="10"/>
  <c r="N872" i="10"/>
  <c r="O872" i="10"/>
  <c r="P872" i="10"/>
  <c r="Q872" i="10"/>
  <c r="R872" i="10"/>
  <c r="S872" i="10"/>
  <c r="T872" i="10"/>
  <c r="U872" i="10"/>
  <c r="V872" i="10"/>
  <c r="W872" i="10"/>
  <c r="AB872" i="10"/>
  <c r="AC872" i="10"/>
  <c r="AD872" i="10"/>
  <c r="A873" i="10"/>
  <c r="B873" i="10"/>
  <c r="D873" i="10"/>
  <c r="E873" i="10"/>
  <c r="F873" i="10"/>
  <c r="G873" i="10"/>
  <c r="H873" i="10"/>
  <c r="I873" i="10"/>
  <c r="J873" i="10"/>
  <c r="K873" i="10"/>
  <c r="L873" i="10"/>
  <c r="M873" i="10"/>
  <c r="N873" i="10"/>
  <c r="O873" i="10"/>
  <c r="P873" i="10"/>
  <c r="Q873" i="10"/>
  <c r="R873" i="10"/>
  <c r="S873" i="10"/>
  <c r="T873" i="10"/>
  <c r="U873" i="10"/>
  <c r="V873" i="10"/>
  <c r="W873" i="10"/>
  <c r="AB873" i="10"/>
  <c r="AC873" i="10"/>
  <c r="AD873" i="10"/>
  <c r="A874" i="10"/>
  <c r="B874" i="10"/>
  <c r="D874" i="10"/>
  <c r="E874" i="10"/>
  <c r="F874" i="10"/>
  <c r="G874" i="10"/>
  <c r="H874" i="10"/>
  <c r="I874" i="10"/>
  <c r="J874" i="10"/>
  <c r="K874" i="10"/>
  <c r="L874" i="10"/>
  <c r="M874" i="10"/>
  <c r="N874" i="10"/>
  <c r="O874" i="10"/>
  <c r="P874" i="10"/>
  <c r="Q874" i="10"/>
  <c r="R874" i="10"/>
  <c r="S874" i="10"/>
  <c r="T874" i="10"/>
  <c r="U874" i="10"/>
  <c r="V874" i="10"/>
  <c r="W874" i="10"/>
  <c r="AB874" i="10"/>
  <c r="AC874" i="10"/>
  <c r="AD874" i="10"/>
  <c r="A875" i="10"/>
  <c r="B875" i="10"/>
  <c r="D875" i="10"/>
  <c r="E875" i="10"/>
  <c r="F875" i="10"/>
  <c r="G875" i="10"/>
  <c r="H875" i="10"/>
  <c r="I875" i="10"/>
  <c r="J875" i="10"/>
  <c r="K875" i="10"/>
  <c r="L875" i="10"/>
  <c r="M875" i="10"/>
  <c r="N875" i="10"/>
  <c r="O875" i="10"/>
  <c r="P875" i="10"/>
  <c r="Q875" i="10"/>
  <c r="R875" i="10"/>
  <c r="S875" i="10"/>
  <c r="T875" i="10"/>
  <c r="U875" i="10"/>
  <c r="V875" i="10"/>
  <c r="W875" i="10"/>
  <c r="AB875" i="10"/>
  <c r="AC875" i="10"/>
  <c r="AD875" i="10"/>
  <c r="A876" i="10"/>
  <c r="B876" i="10"/>
  <c r="D876" i="10"/>
  <c r="E876" i="10"/>
  <c r="F876" i="10"/>
  <c r="G876" i="10"/>
  <c r="H876" i="10"/>
  <c r="I876" i="10"/>
  <c r="J876" i="10"/>
  <c r="K876" i="10"/>
  <c r="L876" i="10"/>
  <c r="M876" i="10"/>
  <c r="N876" i="10"/>
  <c r="O876" i="10"/>
  <c r="P876" i="10"/>
  <c r="Q876" i="10"/>
  <c r="R876" i="10"/>
  <c r="S876" i="10"/>
  <c r="T876" i="10"/>
  <c r="U876" i="10"/>
  <c r="V876" i="10"/>
  <c r="W876" i="10"/>
  <c r="AB876" i="10"/>
  <c r="AC876" i="10"/>
  <c r="AD876" i="10"/>
  <c r="A877" i="10"/>
  <c r="B877" i="10"/>
  <c r="D877" i="10"/>
  <c r="E877" i="10"/>
  <c r="F877" i="10"/>
  <c r="G877" i="10"/>
  <c r="H877" i="10"/>
  <c r="I877" i="10"/>
  <c r="J877" i="10"/>
  <c r="K877" i="10"/>
  <c r="L877" i="10"/>
  <c r="M877" i="10"/>
  <c r="N877" i="10"/>
  <c r="O877" i="10"/>
  <c r="P877" i="10"/>
  <c r="Q877" i="10"/>
  <c r="R877" i="10"/>
  <c r="S877" i="10"/>
  <c r="T877" i="10"/>
  <c r="U877" i="10"/>
  <c r="V877" i="10"/>
  <c r="W877" i="10"/>
  <c r="AB877" i="10"/>
  <c r="AC877" i="10"/>
  <c r="AD877" i="10"/>
  <c r="A878" i="10"/>
  <c r="B878" i="10"/>
  <c r="D878" i="10"/>
  <c r="E878" i="10"/>
  <c r="F878" i="10"/>
  <c r="G878" i="10"/>
  <c r="H878" i="10"/>
  <c r="I878" i="10"/>
  <c r="J878" i="10"/>
  <c r="K878" i="10"/>
  <c r="L878" i="10"/>
  <c r="M878" i="10"/>
  <c r="N878" i="10"/>
  <c r="O878" i="10"/>
  <c r="P878" i="10"/>
  <c r="Q878" i="10"/>
  <c r="R878" i="10"/>
  <c r="S878" i="10"/>
  <c r="T878" i="10"/>
  <c r="U878" i="10"/>
  <c r="V878" i="10"/>
  <c r="W878" i="10"/>
  <c r="AB878" i="10"/>
  <c r="AC878" i="10"/>
  <c r="AD878" i="10"/>
  <c r="A879" i="10"/>
  <c r="B879" i="10"/>
  <c r="D879" i="10"/>
  <c r="E879" i="10"/>
  <c r="F879" i="10"/>
  <c r="G879" i="10"/>
  <c r="H879" i="10"/>
  <c r="I879" i="10"/>
  <c r="J879" i="10"/>
  <c r="K879" i="10"/>
  <c r="L879" i="10"/>
  <c r="M879" i="10"/>
  <c r="N879" i="10"/>
  <c r="O879" i="10"/>
  <c r="P879" i="10"/>
  <c r="Q879" i="10"/>
  <c r="R879" i="10"/>
  <c r="S879" i="10"/>
  <c r="T879" i="10"/>
  <c r="U879" i="10"/>
  <c r="V879" i="10"/>
  <c r="W879" i="10"/>
  <c r="AB879" i="10"/>
  <c r="AC879" i="10"/>
  <c r="AD879" i="10"/>
  <c r="A880" i="10"/>
  <c r="B880" i="10"/>
  <c r="D880" i="10"/>
  <c r="E880" i="10"/>
  <c r="F880" i="10"/>
  <c r="G880" i="10"/>
  <c r="H880" i="10"/>
  <c r="I880" i="10"/>
  <c r="J880" i="10"/>
  <c r="K880" i="10"/>
  <c r="L880" i="10"/>
  <c r="M880" i="10"/>
  <c r="N880" i="10"/>
  <c r="O880" i="10"/>
  <c r="P880" i="10"/>
  <c r="Q880" i="10"/>
  <c r="R880" i="10"/>
  <c r="S880" i="10"/>
  <c r="T880" i="10"/>
  <c r="U880" i="10"/>
  <c r="V880" i="10"/>
  <c r="W880" i="10"/>
  <c r="AB880" i="10"/>
  <c r="AC880" i="10"/>
  <c r="AD880" i="10"/>
  <c r="A881" i="10"/>
  <c r="B881" i="10"/>
  <c r="D881" i="10"/>
  <c r="E881" i="10"/>
  <c r="F881" i="10"/>
  <c r="G881" i="10"/>
  <c r="H881" i="10"/>
  <c r="I881" i="10"/>
  <c r="J881" i="10"/>
  <c r="K881" i="10"/>
  <c r="L881" i="10"/>
  <c r="M881" i="10"/>
  <c r="N881" i="10"/>
  <c r="O881" i="10"/>
  <c r="P881" i="10"/>
  <c r="Q881" i="10"/>
  <c r="R881" i="10"/>
  <c r="S881" i="10"/>
  <c r="T881" i="10"/>
  <c r="U881" i="10"/>
  <c r="V881" i="10"/>
  <c r="W881" i="10"/>
  <c r="AB881" i="10"/>
  <c r="AC881" i="10"/>
  <c r="AD881" i="10"/>
  <c r="A882" i="10"/>
  <c r="B882" i="10"/>
  <c r="D882" i="10"/>
  <c r="E882" i="10"/>
  <c r="F882" i="10"/>
  <c r="G882" i="10"/>
  <c r="H882" i="10"/>
  <c r="I882" i="10"/>
  <c r="J882" i="10"/>
  <c r="K882" i="10"/>
  <c r="L882" i="10"/>
  <c r="M882" i="10"/>
  <c r="N882" i="10"/>
  <c r="O882" i="10"/>
  <c r="P882" i="10"/>
  <c r="Q882" i="10"/>
  <c r="R882" i="10"/>
  <c r="S882" i="10"/>
  <c r="T882" i="10"/>
  <c r="U882" i="10"/>
  <c r="V882" i="10"/>
  <c r="W882" i="10"/>
  <c r="AB882" i="10"/>
  <c r="AC882" i="10"/>
  <c r="AD882" i="10"/>
  <c r="A883" i="10"/>
  <c r="B883" i="10"/>
  <c r="D883" i="10"/>
  <c r="E883" i="10"/>
  <c r="F883" i="10"/>
  <c r="G883" i="10"/>
  <c r="H883" i="10"/>
  <c r="I883" i="10"/>
  <c r="J883" i="10"/>
  <c r="K883" i="10"/>
  <c r="L883" i="10"/>
  <c r="M883" i="10"/>
  <c r="N883" i="10"/>
  <c r="O883" i="10"/>
  <c r="P883" i="10"/>
  <c r="Q883" i="10"/>
  <c r="R883" i="10"/>
  <c r="S883" i="10"/>
  <c r="T883" i="10"/>
  <c r="U883" i="10"/>
  <c r="V883" i="10"/>
  <c r="W883" i="10"/>
  <c r="AB883" i="10"/>
  <c r="AC883" i="10"/>
  <c r="AD883" i="10"/>
  <c r="A884" i="10"/>
  <c r="B884" i="10"/>
  <c r="D884" i="10"/>
  <c r="E884" i="10"/>
  <c r="F884" i="10"/>
  <c r="G884" i="10"/>
  <c r="H884" i="10"/>
  <c r="I884" i="10"/>
  <c r="J884" i="10"/>
  <c r="K884" i="10"/>
  <c r="L884" i="10"/>
  <c r="M884" i="10"/>
  <c r="N884" i="10"/>
  <c r="O884" i="10"/>
  <c r="P884" i="10"/>
  <c r="Q884" i="10"/>
  <c r="R884" i="10"/>
  <c r="S884" i="10"/>
  <c r="T884" i="10"/>
  <c r="U884" i="10"/>
  <c r="V884" i="10"/>
  <c r="W884" i="10"/>
  <c r="AB884" i="10"/>
  <c r="AC884" i="10"/>
  <c r="AD884" i="10"/>
  <c r="A885" i="10"/>
  <c r="B885" i="10"/>
  <c r="D885" i="10"/>
  <c r="E885" i="10"/>
  <c r="F885" i="10"/>
  <c r="G885" i="10"/>
  <c r="H885" i="10"/>
  <c r="I885" i="10"/>
  <c r="J885" i="10"/>
  <c r="K885" i="10"/>
  <c r="L885" i="10"/>
  <c r="M885" i="10"/>
  <c r="N885" i="10"/>
  <c r="O885" i="10"/>
  <c r="P885" i="10"/>
  <c r="Q885" i="10"/>
  <c r="R885" i="10"/>
  <c r="S885" i="10"/>
  <c r="T885" i="10"/>
  <c r="U885" i="10"/>
  <c r="V885" i="10"/>
  <c r="W885" i="10"/>
  <c r="AB885" i="10"/>
  <c r="AC885" i="10"/>
  <c r="AD885" i="10"/>
  <c r="A886" i="10"/>
  <c r="B886" i="10"/>
  <c r="D886" i="10"/>
  <c r="E886" i="10"/>
  <c r="F886" i="10"/>
  <c r="G886" i="10"/>
  <c r="H886" i="10"/>
  <c r="I886" i="10"/>
  <c r="J886" i="10"/>
  <c r="K886" i="10"/>
  <c r="L886" i="10"/>
  <c r="M886" i="10"/>
  <c r="N886" i="10"/>
  <c r="O886" i="10"/>
  <c r="P886" i="10"/>
  <c r="Q886" i="10"/>
  <c r="R886" i="10"/>
  <c r="S886" i="10"/>
  <c r="T886" i="10"/>
  <c r="U886" i="10"/>
  <c r="V886" i="10"/>
  <c r="W886" i="10"/>
  <c r="AB886" i="10"/>
  <c r="AC886" i="10"/>
  <c r="AD886" i="10"/>
  <c r="A887" i="10"/>
  <c r="B887" i="10"/>
  <c r="D887" i="10"/>
  <c r="E887" i="10"/>
  <c r="F887" i="10"/>
  <c r="G887" i="10"/>
  <c r="H887" i="10"/>
  <c r="I887" i="10"/>
  <c r="J887" i="10"/>
  <c r="K887" i="10"/>
  <c r="L887" i="10"/>
  <c r="M887" i="10"/>
  <c r="N887" i="10"/>
  <c r="O887" i="10"/>
  <c r="P887" i="10"/>
  <c r="Q887" i="10"/>
  <c r="R887" i="10"/>
  <c r="S887" i="10"/>
  <c r="T887" i="10"/>
  <c r="U887" i="10"/>
  <c r="V887" i="10"/>
  <c r="W887" i="10"/>
  <c r="AB887" i="10"/>
  <c r="AC887" i="10"/>
  <c r="AD887" i="10"/>
  <c r="A888" i="10"/>
  <c r="B888" i="10"/>
  <c r="D888" i="10"/>
  <c r="E888" i="10"/>
  <c r="F888" i="10"/>
  <c r="G888" i="10"/>
  <c r="H888" i="10"/>
  <c r="I888" i="10"/>
  <c r="J888" i="10"/>
  <c r="K888" i="10"/>
  <c r="L888" i="10"/>
  <c r="M888" i="10"/>
  <c r="N888" i="10"/>
  <c r="O888" i="10"/>
  <c r="P888" i="10"/>
  <c r="Q888" i="10"/>
  <c r="R888" i="10"/>
  <c r="S888" i="10"/>
  <c r="T888" i="10"/>
  <c r="U888" i="10"/>
  <c r="V888" i="10"/>
  <c r="W888" i="10"/>
  <c r="AB888" i="10"/>
  <c r="AC888" i="10"/>
  <c r="AD888" i="10"/>
  <c r="A889" i="10"/>
  <c r="B889" i="10"/>
  <c r="D889" i="10"/>
  <c r="E889" i="10"/>
  <c r="F889" i="10"/>
  <c r="G889" i="10"/>
  <c r="H889" i="10"/>
  <c r="I889" i="10"/>
  <c r="J889" i="10"/>
  <c r="K889" i="10"/>
  <c r="L889" i="10"/>
  <c r="M889" i="10"/>
  <c r="N889" i="10"/>
  <c r="O889" i="10"/>
  <c r="P889" i="10"/>
  <c r="Q889" i="10"/>
  <c r="R889" i="10"/>
  <c r="S889" i="10"/>
  <c r="T889" i="10"/>
  <c r="U889" i="10"/>
  <c r="V889" i="10"/>
  <c r="W889" i="10"/>
  <c r="AB889" i="10"/>
  <c r="AC889" i="10"/>
  <c r="AD889" i="10"/>
  <c r="A664" i="10" l="1"/>
  <c r="B664" i="10"/>
  <c r="D664" i="10"/>
  <c r="E664" i="10"/>
  <c r="F664" i="10"/>
  <c r="G664" i="10"/>
  <c r="H664" i="10"/>
  <c r="I664" i="10"/>
  <c r="J664" i="10"/>
  <c r="K664" i="10"/>
  <c r="L664" i="10"/>
  <c r="M664" i="10"/>
  <c r="N664" i="10"/>
  <c r="O664" i="10"/>
  <c r="P664" i="10"/>
  <c r="Q664" i="10"/>
  <c r="R664" i="10"/>
  <c r="S664" i="10"/>
  <c r="T664" i="10"/>
  <c r="U664" i="10"/>
  <c r="V664" i="10"/>
  <c r="W664" i="10"/>
  <c r="AB664" i="10"/>
  <c r="AC664" i="10"/>
  <c r="AD664" i="10"/>
  <c r="AA580" i="2" l="1"/>
  <c r="AA581" i="2"/>
  <c r="AA582" i="2"/>
  <c r="AA583" i="2"/>
  <c r="AA579" i="2"/>
  <c r="AA570" i="2"/>
  <c r="AA571" i="2"/>
  <c r="AA572" i="2"/>
  <c r="AA573" i="2"/>
  <c r="AA574" i="2"/>
  <c r="AA575" i="2"/>
  <c r="AA576" i="2"/>
  <c r="AA577" i="2"/>
  <c r="AA578" i="2"/>
  <c r="AA569" i="2"/>
  <c r="AA596" i="2"/>
  <c r="AA597" i="2"/>
  <c r="AA598" i="2"/>
  <c r="AA599" i="2"/>
  <c r="AA595" i="2"/>
  <c r="AA586" i="2"/>
  <c r="AA587" i="2"/>
  <c r="AA588" i="2"/>
  <c r="AA589" i="2"/>
  <c r="AA590" i="2"/>
  <c r="AA591" i="2"/>
  <c r="AA592" i="2"/>
  <c r="AA593" i="2"/>
  <c r="AA594" i="2"/>
  <c r="AA585" i="2"/>
  <c r="R280" i="2" l="1"/>
  <c r="R282" i="2"/>
  <c r="R283" i="2"/>
  <c r="R284" i="2"/>
  <c r="R285" i="2"/>
  <c r="R286" i="2"/>
  <c r="R287" i="2"/>
  <c r="R288" i="2"/>
  <c r="R289" i="2"/>
  <c r="R290" i="2"/>
  <c r="R291" i="2"/>
  <c r="A574" i="11"/>
  <c r="B574" i="11"/>
  <c r="C574" i="11"/>
  <c r="D574" i="11"/>
  <c r="E574" i="11"/>
  <c r="F574" i="11"/>
  <c r="G574" i="11"/>
  <c r="H574" i="11"/>
  <c r="I574" i="11"/>
  <c r="J574" i="11"/>
  <c r="L574" i="11"/>
  <c r="K574" i="11" s="1"/>
  <c r="N574" i="11"/>
  <c r="M574" i="11" s="1"/>
  <c r="P574" i="11"/>
  <c r="O574" i="11" s="1"/>
  <c r="R574" i="11"/>
  <c r="Q574" i="11" s="1"/>
  <c r="T574" i="11"/>
  <c r="S574" i="11" s="1"/>
  <c r="A575" i="11"/>
  <c r="C575" i="11"/>
  <c r="D575" i="11"/>
  <c r="E575" i="11"/>
  <c r="G575" i="11"/>
  <c r="H575" i="11"/>
  <c r="J575" i="11"/>
  <c r="L575" i="11"/>
  <c r="N575" i="11"/>
  <c r="O575" i="11"/>
  <c r="P575" i="11"/>
  <c r="R575" i="11"/>
  <c r="Q575" i="11"/>
  <c r="T575" i="11"/>
  <c r="A576" i="11"/>
  <c r="C576" i="11"/>
  <c r="D576" i="11"/>
  <c r="E576" i="11"/>
  <c r="G576" i="11"/>
  <c r="H576" i="11"/>
  <c r="J576" i="11"/>
  <c r="L576" i="11"/>
  <c r="N576" i="11"/>
  <c r="P576" i="11"/>
  <c r="O576" i="11" s="1"/>
  <c r="R576" i="11"/>
  <c r="Q576" i="11" s="1"/>
  <c r="T576" i="11"/>
  <c r="A577" i="11"/>
  <c r="C577" i="11"/>
  <c r="D577" i="11"/>
  <c r="E577" i="11"/>
  <c r="G577" i="11"/>
  <c r="H577" i="11"/>
  <c r="J577" i="11"/>
  <c r="L577" i="11"/>
  <c r="N577" i="11"/>
  <c r="P577" i="11"/>
  <c r="R577" i="11"/>
  <c r="Q577" i="11"/>
  <c r="T577" i="11"/>
  <c r="A578" i="11"/>
  <c r="C578" i="11"/>
  <c r="D578" i="11"/>
  <c r="E578" i="11"/>
  <c r="G578" i="11"/>
  <c r="H578" i="11"/>
  <c r="J578" i="11"/>
  <c r="L578" i="11"/>
  <c r="N578" i="11"/>
  <c r="P578" i="11"/>
  <c r="R578" i="11"/>
  <c r="Q578" i="11" s="1"/>
  <c r="T578" i="11"/>
  <c r="A579" i="11"/>
  <c r="C579" i="11"/>
  <c r="D579" i="11"/>
  <c r="E579" i="11"/>
  <c r="G579" i="11"/>
  <c r="H579" i="11"/>
  <c r="J579" i="11"/>
  <c r="L579" i="11"/>
  <c r="N579" i="11"/>
  <c r="P579" i="11"/>
  <c r="R579" i="11"/>
  <c r="T579" i="11"/>
  <c r="A45" i="11"/>
  <c r="C45" i="11"/>
  <c r="D45" i="11"/>
  <c r="E45" i="11"/>
  <c r="F45" i="11"/>
  <c r="G45" i="11"/>
  <c r="H45" i="11"/>
  <c r="J45" i="11"/>
  <c r="L45" i="11"/>
  <c r="N45" i="11"/>
  <c r="P45" i="11"/>
  <c r="R45" i="11"/>
  <c r="Q45" i="11"/>
  <c r="T45" i="11"/>
  <c r="S45" i="11" s="1"/>
  <c r="A46" i="11"/>
  <c r="C46" i="11"/>
  <c r="D46" i="11"/>
  <c r="E46" i="11"/>
  <c r="F46" i="11"/>
  <c r="G46" i="11"/>
  <c r="H46" i="11"/>
  <c r="J46" i="11"/>
  <c r="L46" i="11"/>
  <c r="K46" i="11" s="1"/>
  <c r="N46" i="11"/>
  <c r="P46" i="11"/>
  <c r="R46" i="11"/>
  <c r="Q46" i="11"/>
  <c r="T46" i="11"/>
  <c r="S46" i="11" s="1"/>
  <c r="A47" i="11"/>
  <c r="B47" i="11"/>
  <c r="C47" i="11"/>
  <c r="D47" i="11"/>
  <c r="E47" i="11"/>
  <c r="F47" i="11"/>
  <c r="G47" i="11"/>
  <c r="H47" i="11"/>
  <c r="I47" i="11"/>
  <c r="J47" i="11"/>
  <c r="L47" i="11"/>
  <c r="K47" i="11" s="1"/>
  <c r="N47" i="11"/>
  <c r="M47" i="11"/>
  <c r="P47" i="11"/>
  <c r="O47" i="11" s="1"/>
  <c r="R47" i="11"/>
  <c r="Q47" i="11"/>
  <c r="T47" i="11"/>
  <c r="S47" i="11" s="1"/>
  <c r="A48" i="11"/>
  <c r="C48" i="11"/>
  <c r="D48" i="11"/>
  <c r="E48" i="11"/>
  <c r="F48" i="11"/>
  <c r="G48" i="11"/>
  <c r="H48" i="11"/>
  <c r="J48" i="11"/>
  <c r="L48" i="11"/>
  <c r="N48" i="11"/>
  <c r="P48" i="11"/>
  <c r="R48" i="11"/>
  <c r="Q48" i="11"/>
  <c r="T48" i="11"/>
  <c r="S48" i="11" s="1"/>
  <c r="A49" i="11"/>
  <c r="C49" i="11"/>
  <c r="D49" i="11"/>
  <c r="E49" i="11"/>
  <c r="F49" i="11"/>
  <c r="G49" i="11"/>
  <c r="H49" i="11"/>
  <c r="J49" i="11"/>
  <c r="L49" i="11"/>
  <c r="N49" i="11"/>
  <c r="M49" i="11"/>
  <c r="P49" i="11"/>
  <c r="R49" i="11"/>
  <c r="Q49" i="11"/>
  <c r="T49" i="11"/>
  <c r="S49" i="11" s="1"/>
  <c r="A50" i="11"/>
  <c r="C50" i="11"/>
  <c r="D50" i="11"/>
  <c r="E50" i="11"/>
  <c r="F50" i="11"/>
  <c r="G50" i="11"/>
  <c r="H50" i="11"/>
  <c r="J50" i="11"/>
  <c r="L50" i="11"/>
  <c r="N50" i="11"/>
  <c r="P50" i="11"/>
  <c r="R50" i="11"/>
  <c r="Q50" i="11"/>
  <c r="T50" i="11"/>
  <c r="S50" i="11" s="1"/>
  <c r="A51" i="11"/>
  <c r="C51" i="11"/>
  <c r="D51" i="11"/>
  <c r="E51" i="11"/>
  <c r="F51" i="11"/>
  <c r="G51" i="11"/>
  <c r="H51" i="11"/>
  <c r="J51" i="11"/>
  <c r="L51" i="11"/>
  <c r="K51" i="11" s="1"/>
  <c r="N51" i="11"/>
  <c r="P51" i="11"/>
  <c r="R51" i="11"/>
  <c r="Q51" i="11"/>
  <c r="T51" i="11"/>
  <c r="S51" i="11" s="1"/>
  <c r="A52" i="11"/>
  <c r="B52" i="11"/>
  <c r="C52" i="11"/>
  <c r="D52" i="11"/>
  <c r="E52" i="11"/>
  <c r="F52" i="11"/>
  <c r="G52" i="11"/>
  <c r="H52" i="11"/>
  <c r="I52" i="11"/>
  <c r="J52" i="11"/>
  <c r="L52" i="11"/>
  <c r="K52" i="11" s="1"/>
  <c r="N52" i="11"/>
  <c r="M52" i="11"/>
  <c r="P52" i="11"/>
  <c r="O52" i="11" s="1"/>
  <c r="R52" i="11"/>
  <c r="Q52" i="11"/>
  <c r="T52" i="11"/>
  <c r="S52" i="11" s="1"/>
  <c r="A53" i="11"/>
  <c r="C53" i="11"/>
  <c r="D53" i="11"/>
  <c r="E53" i="11"/>
  <c r="F53" i="11"/>
  <c r="G53" i="11"/>
  <c r="H53" i="11"/>
  <c r="J53" i="11"/>
  <c r="L53" i="11"/>
  <c r="N53" i="11"/>
  <c r="P53" i="11"/>
  <c r="R53" i="11"/>
  <c r="Q53" i="11"/>
  <c r="T53" i="11"/>
  <c r="S53" i="11" s="1"/>
  <c r="A54" i="11"/>
  <c r="C54" i="11"/>
  <c r="D54" i="11"/>
  <c r="E54" i="11"/>
  <c r="F54" i="11"/>
  <c r="G54" i="11"/>
  <c r="H54" i="11"/>
  <c r="J54" i="11"/>
  <c r="L54" i="11"/>
  <c r="N54" i="11"/>
  <c r="M54" i="11"/>
  <c r="P54" i="11"/>
  <c r="R54" i="11"/>
  <c r="Q54" i="11"/>
  <c r="T54" i="11"/>
  <c r="S54" i="11" s="1"/>
  <c r="A55" i="11"/>
  <c r="C55" i="11"/>
  <c r="D55" i="11"/>
  <c r="E55" i="11"/>
  <c r="F55" i="11"/>
  <c r="G55" i="11"/>
  <c r="H55" i="11"/>
  <c r="J55" i="11"/>
  <c r="L55" i="11"/>
  <c r="N55" i="11"/>
  <c r="P55" i="11"/>
  <c r="R55" i="11"/>
  <c r="Q55" i="11"/>
  <c r="T55" i="11"/>
  <c r="S55" i="11" s="1"/>
  <c r="A56" i="11"/>
  <c r="C56" i="11"/>
  <c r="D56" i="11"/>
  <c r="E56" i="11"/>
  <c r="F56" i="11"/>
  <c r="G56" i="11"/>
  <c r="H56" i="11"/>
  <c r="J56" i="11"/>
  <c r="L56" i="11"/>
  <c r="K56" i="11" s="1"/>
  <c r="N56" i="11"/>
  <c r="P56" i="11"/>
  <c r="R56" i="11"/>
  <c r="Q56" i="11"/>
  <c r="T56" i="11"/>
  <c r="S56" i="11" s="1"/>
  <c r="A57" i="11"/>
  <c r="B57" i="11"/>
  <c r="C57" i="11"/>
  <c r="D57" i="11"/>
  <c r="E57" i="11"/>
  <c r="F57" i="11"/>
  <c r="G57" i="11"/>
  <c r="H57" i="11"/>
  <c r="I57" i="11"/>
  <c r="J57" i="11"/>
  <c r="L57" i="11"/>
  <c r="K57" i="11" s="1"/>
  <c r="N57" i="11"/>
  <c r="M57" i="11"/>
  <c r="P57" i="11"/>
  <c r="O57" i="11" s="1"/>
  <c r="R57" i="11"/>
  <c r="Q57" i="11"/>
  <c r="T57" i="11"/>
  <c r="S57" i="11" s="1"/>
  <c r="A58" i="11"/>
  <c r="C58" i="11"/>
  <c r="D58" i="11"/>
  <c r="E58" i="11"/>
  <c r="F58" i="11"/>
  <c r="G58" i="11"/>
  <c r="H58" i="11"/>
  <c r="J58" i="11"/>
  <c r="L58" i="11"/>
  <c r="N58" i="11"/>
  <c r="P58" i="11"/>
  <c r="O58" i="11" s="1"/>
  <c r="R58" i="11"/>
  <c r="Q58" i="11"/>
  <c r="T58" i="11"/>
  <c r="S58" i="11" s="1"/>
  <c r="A59" i="11"/>
  <c r="C59" i="11"/>
  <c r="D59" i="11"/>
  <c r="E59" i="11"/>
  <c r="F59" i="11"/>
  <c r="G59" i="11"/>
  <c r="H59" i="11"/>
  <c r="J59" i="11"/>
  <c r="L59" i="11"/>
  <c r="N59" i="11"/>
  <c r="P59" i="11"/>
  <c r="O59" i="11" s="1"/>
  <c r="R59" i="11"/>
  <c r="Q59" i="11"/>
  <c r="T59" i="11"/>
  <c r="S59" i="11" s="1"/>
  <c r="A60" i="11"/>
  <c r="C60" i="11"/>
  <c r="D60" i="11"/>
  <c r="E60" i="11"/>
  <c r="F60" i="11"/>
  <c r="G60" i="11"/>
  <c r="H60" i="11"/>
  <c r="J60" i="11"/>
  <c r="L60" i="11"/>
  <c r="N60" i="11"/>
  <c r="P60" i="11"/>
  <c r="R60" i="11"/>
  <c r="Q60" i="11"/>
  <c r="T60" i="11"/>
  <c r="S60" i="11" s="1"/>
  <c r="A61" i="11"/>
  <c r="C61" i="11"/>
  <c r="D61" i="11"/>
  <c r="E61" i="11"/>
  <c r="F61" i="11"/>
  <c r="G61" i="11"/>
  <c r="H61" i="11"/>
  <c r="J61" i="11"/>
  <c r="L61" i="11"/>
  <c r="N61" i="11"/>
  <c r="P61" i="11"/>
  <c r="R61" i="11"/>
  <c r="Q61" i="11"/>
  <c r="T61" i="11"/>
  <c r="S61" i="11" s="1"/>
  <c r="A62" i="11"/>
  <c r="C62" i="11"/>
  <c r="D62" i="11"/>
  <c r="E62" i="11"/>
  <c r="F62" i="11"/>
  <c r="G62" i="11"/>
  <c r="H62" i="11"/>
  <c r="J62" i="11"/>
  <c r="L62" i="11"/>
  <c r="N62" i="11"/>
  <c r="P62" i="11"/>
  <c r="R62" i="11"/>
  <c r="T62" i="11"/>
  <c r="S62" i="11" s="1"/>
  <c r="A63" i="11"/>
  <c r="C63" i="11"/>
  <c r="D63" i="11"/>
  <c r="E63" i="11"/>
  <c r="F63" i="11"/>
  <c r="G63" i="11"/>
  <c r="H63" i="11"/>
  <c r="J63" i="11"/>
  <c r="L63" i="11"/>
  <c r="N63" i="11"/>
  <c r="P63" i="11"/>
  <c r="O63" i="11" s="1"/>
  <c r="R63" i="11"/>
  <c r="Q63" i="11"/>
  <c r="T63" i="11"/>
  <c r="S63" i="11" s="1"/>
  <c r="A64" i="11"/>
  <c r="C64" i="11"/>
  <c r="D64" i="11"/>
  <c r="E64" i="11"/>
  <c r="F64" i="11"/>
  <c r="G64" i="11"/>
  <c r="H64" i="11"/>
  <c r="J64" i="11"/>
  <c r="L64" i="11"/>
  <c r="N64" i="11"/>
  <c r="P64" i="11"/>
  <c r="O64" i="11" s="1"/>
  <c r="R64" i="11"/>
  <c r="Q64" i="11" s="1"/>
  <c r="T64" i="11"/>
  <c r="S64" i="11" s="1"/>
  <c r="A65" i="11"/>
  <c r="C65" i="11"/>
  <c r="D65" i="11"/>
  <c r="E65" i="11"/>
  <c r="F65" i="11"/>
  <c r="G65" i="11"/>
  <c r="H65" i="11"/>
  <c r="J65" i="11"/>
  <c r="L65" i="11"/>
  <c r="N65" i="11"/>
  <c r="P65" i="11"/>
  <c r="R65" i="11"/>
  <c r="Q65" i="11"/>
  <c r="T65" i="11"/>
  <c r="S65" i="11" s="1"/>
  <c r="A66" i="11"/>
  <c r="C66" i="11"/>
  <c r="D66" i="11"/>
  <c r="E66" i="11"/>
  <c r="F66" i="11"/>
  <c r="G66" i="11"/>
  <c r="H66" i="11"/>
  <c r="J66" i="11"/>
  <c r="L66" i="11"/>
  <c r="N66" i="11"/>
  <c r="P66" i="11"/>
  <c r="R66" i="11"/>
  <c r="Q66" i="11" s="1"/>
  <c r="T66" i="11"/>
  <c r="S66" i="11"/>
  <c r="A67" i="11"/>
  <c r="C67" i="11"/>
  <c r="D67" i="11"/>
  <c r="E67" i="11"/>
  <c r="F67" i="11"/>
  <c r="G67" i="11"/>
  <c r="H67" i="11"/>
  <c r="J67" i="11"/>
  <c r="L67" i="11"/>
  <c r="N67" i="11"/>
  <c r="P67" i="11"/>
  <c r="R67" i="11"/>
  <c r="T67" i="11"/>
  <c r="S67" i="11"/>
  <c r="A68" i="11"/>
  <c r="B68" i="11"/>
  <c r="C68" i="11"/>
  <c r="D68" i="11"/>
  <c r="E68" i="11"/>
  <c r="F68" i="11"/>
  <c r="G68" i="11"/>
  <c r="H68" i="11"/>
  <c r="I68" i="11"/>
  <c r="J68" i="11"/>
  <c r="L68" i="11"/>
  <c r="K68" i="11"/>
  <c r="N68" i="11"/>
  <c r="M68" i="11"/>
  <c r="P68" i="11"/>
  <c r="O68" i="11"/>
  <c r="R68" i="11"/>
  <c r="Q68" i="11" s="1"/>
  <c r="T68" i="11"/>
  <c r="S68" i="11"/>
  <c r="A69" i="11"/>
  <c r="C69" i="11"/>
  <c r="D69" i="11"/>
  <c r="E69" i="11"/>
  <c r="F69" i="11"/>
  <c r="G69" i="11"/>
  <c r="H69" i="11"/>
  <c r="J69" i="11"/>
  <c r="L69" i="11"/>
  <c r="N69" i="11"/>
  <c r="P69" i="11"/>
  <c r="O69" i="11" s="1"/>
  <c r="R69" i="11"/>
  <c r="Q69" i="11" s="1"/>
  <c r="T69" i="11"/>
  <c r="S69" i="11" s="1"/>
  <c r="A70" i="11"/>
  <c r="C70" i="11"/>
  <c r="D70" i="11"/>
  <c r="E70" i="11"/>
  <c r="F70" i="11"/>
  <c r="G70" i="11"/>
  <c r="H70" i="11"/>
  <c r="J70" i="11"/>
  <c r="L70" i="11"/>
  <c r="N70" i="11"/>
  <c r="P70" i="11"/>
  <c r="O70" i="11"/>
  <c r="R70" i="11"/>
  <c r="Q70" i="11" s="1"/>
  <c r="T70" i="11"/>
  <c r="S70" i="11"/>
  <c r="A71" i="11"/>
  <c r="C71" i="11"/>
  <c r="D71" i="11"/>
  <c r="E71" i="11"/>
  <c r="F71" i="11"/>
  <c r="G71" i="11"/>
  <c r="H71" i="11"/>
  <c r="J71" i="11"/>
  <c r="L71" i="11"/>
  <c r="N71" i="11"/>
  <c r="P71" i="11"/>
  <c r="Q71" i="11"/>
  <c r="R71" i="11"/>
  <c r="T71" i="11"/>
  <c r="S71" i="11" s="1"/>
  <c r="A72" i="11"/>
  <c r="C72" i="11"/>
  <c r="D72" i="11"/>
  <c r="E72" i="11"/>
  <c r="F72" i="11"/>
  <c r="G72" i="11"/>
  <c r="H72" i="11"/>
  <c r="J72" i="11"/>
  <c r="L72" i="11"/>
  <c r="N72" i="11"/>
  <c r="P72" i="11"/>
  <c r="R72" i="11"/>
  <c r="Q72" i="11" s="1"/>
  <c r="T72" i="11"/>
  <c r="S72" i="11"/>
  <c r="A73" i="11"/>
  <c r="C73" i="11"/>
  <c r="D73" i="11"/>
  <c r="E73" i="11"/>
  <c r="F73" i="11"/>
  <c r="G73" i="11"/>
  <c r="H73" i="11"/>
  <c r="J73" i="11"/>
  <c r="L73" i="11"/>
  <c r="N73" i="11"/>
  <c r="P73" i="11"/>
  <c r="R73" i="11"/>
  <c r="S73" i="11"/>
  <c r="T73" i="11"/>
  <c r="A74" i="11"/>
  <c r="B74" i="11"/>
  <c r="C74" i="11"/>
  <c r="D74" i="11"/>
  <c r="E74" i="11"/>
  <c r="F74" i="11"/>
  <c r="G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A75" i="11"/>
  <c r="C75" i="11"/>
  <c r="D75" i="11"/>
  <c r="E75" i="11"/>
  <c r="F75" i="11"/>
  <c r="G75" i="11"/>
  <c r="H75" i="11"/>
  <c r="J75" i="11"/>
  <c r="L75" i="11"/>
  <c r="N75" i="11"/>
  <c r="P75" i="11"/>
  <c r="O75" i="11" s="1"/>
  <c r="R75" i="11"/>
  <c r="Q75" i="11" s="1"/>
  <c r="T75" i="11"/>
  <c r="S75" i="11" s="1"/>
  <c r="A76" i="11"/>
  <c r="C76" i="11"/>
  <c r="D76" i="11"/>
  <c r="E76" i="11"/>
  <c r="F76" i="11"/>
  <c r="G76" i="11"/>
  <c r="H76" i="11"/>
  <c r="J76" i="11"/>
  <c r="L76" i="11"/>
  <c r="N76" i="11"/>
  <c r="O76" i="11"/>
  <c r="P76" i="11"/>
  <c r="Q76" i="11"/>
  <c r="R76" i="11"/>
  <c r="S76" i="11"/>
  <c r="T76" i="11"/>
  <c r="A77" i="11"/>
  <c r="C77" i="11"/>
  <c r="D77" i="11"/>
  <c r="E77" i="11"/>
  <c r="F77" i="11"/>
  <c r="G77" i="11"/>
  <c r="H77" i="11"/>
  <c r="J77" i="11"/>
  <c r="L77" i="11"/>
  <c r="N77" i="11"/>
  <c r="P77" i="11"/>
  <c r="R77" i="11"/>
  <c r="Q77" i="11" s="1"/>
  <c r="T77" i="11"/>
  <c r="S77" i="11" s="1"/>
  <c r="A78" i="11"/>
  <c r="C78" i="11"/>
  <c r="D78" i="11"/>
  <c r="E78" i="11"/>
  <c r="F78" i="11"/>
  <c r="G78" i="11"/>
  <c r="H78" i="11"/>
  <c r="J78" i="11"/>
  <c r="L78" i="11"/>
  <c r="N78" i="11"/>
  <c r="P78" i="11"/>
  <c r="Q78" i="11"/>
  <c r="R78" i="11"/>
  <c r="S78" i="11"/>
  <c r="T78" i="11"/>
  <c r="A79" i="11"/>
  <c r="C79" i="11"/>
  <c r="D79" i="11"/>
  <c r="E79" i="11"/>
  <c r="F79" i="11"/>
  <c r="G79" i="11"/>
  <c r="H79" i="11"/>
  <c r="J79" i="11"/>
  <c r="L79" i="11"/>
  <c r="N79" i="11"/>
  <c r="P79" i="11"/>
  <c r="R79" i="11"/>
  <c r="T79" i="11"/>
  <c r="S79" i="11" s="1"/>
  <c r="A80" i="11"/>
  <c r="B80" i="11"/>
  <c r="C80" i="11"/>
  <c r="D80" i="11"/>
  <c r="E80" i="11"/>
  <c r="F80" i="11"/>
  <c r="G80" i="11"/>
  <c r="H80" i="11"/>
  <c r="I80" i="11"/>
  <c r="J80" i="11"/>
  <c r="L80" i="11"/>
  <c r="K80" i="11" s="1"/>
  <c r="N80" i="11"/>
  <c r="M80" i="11" s="1"/>
  <c r="P80" i="11"/>
  <c r="O80" i="11" s="1"/>
  <c r="R80" i="11"/>
  <c r="Q80" i="11" s="1"/>
  <c r="T80" i="11"/>
  <c r="S80" i="11" s="1"/>
  <c r="A81" i="11"/>
  <c r="C81" i="11"/>
  <c r="D81" i="11"/>
  <c r="E81" i="11"/>
  <c r="F81" i="11"/>
  <c r="G81" i="11"/>
  <c r="H81" i="11"/>
  <c r="J81" i="11"/>
  <c r="L81" i="11"/>
  <c r="N81" i="11"/>
  <c r="O81" i="11"/>
  <c r="P81" i="11"/>
  <c r="Q81" i="11"/>
  <c r="R81" i="11"/>
  <c r="S81" i="11"/>
  <c r="T81" i="11"/>
  <c r="A82" i="11"/>
  <c r="C82" i="11"/>
  <c r="D82" i="11"/>
  <c r="E82" i="11"/>
  <c r="F82" i="11"/>
  <c r="G82" i="11"/>
  <c r="H82" i="11"/>
  <c r="J82" i="11"/>
  <c r="L82" i="11"/>
  <c r="N82" i="11"/>
  <c r="P82" i="11"/>
  <c r="O82" i="11" s="1"/>
  <c r="R82" i="11"/>
  <c r="Q82" i="11" s="1"/>
  <c r="T82" i="11"/>
  <c r="S82" i="11" s="1"/>
  <c r="A83" i="11"/>
  <c r="C83" i="11"/>
  <c r="D83" i="11"/>
  <c r="E83" i="11"/>
  <c r="F83" i="11"/>
  <c r="G83" i="11"/>
  <c r="H83" i="11"/>
  <c r="J83" i="11"/>
  <c r="L83" i="11"/>
  <c r="N83" i="11"/>
  <c r="P83" i="11"/>
  <c r="R83" i="11"/>
  <c r="Q83" i="11" s="1"/>
  <c r="S83" i="11"/>
  <c r="T83" i="11"/>
  <c r="A84" i="11"/>
  <c r="C84" i="11"/>
  <c r="D84" i="11"/>
  <c r="E84" i="11"/>
  <c r="F84" i="11"/>
  <c r="G84" i="11"/>
  <c r="H84" i="11"/>
  <c r="J84" i="11"/>
  <c r="L84" i="11"/>
  <c r="N84" i="11"/>
  <c r="P84" i="11"/>
  <c r="R84" i="11"/>
  <c r="Q84" i="11" s="1"/>
  <c r="S84" i="11"/>
  <c r="T84" i="11"/>
  <c r="A85" i="11"/>
  <c r="C85" i="11"/>
  <c r="D85" i="11"/>
  <c r="E85" i="11"/>
  <c r="F85" i="11"/>
  <c r="G85" i="11"/>
  <c r="H85" i="11"/>
  <c r="J85" i="11"/>
  <c r="L85" i="11"/>
  <c r="N85" i="11"/>
  <c r="P85" i="11"/>
  <c r="R85" i="11"/>
  <c r="T85" i="11"/>
  <c r="S85" i="11" s="1"/>
  <c r="A86" i="11"/>
  <c r="B86" i="11"/>
  <c r="C86" i="11"/>
  <c r="D86" i="11"/>
  <c r="E86" i="11"/>
  <c r="F86" i="11"/>
  <c r="G86" i="11"/>
  <c r="H86" i="11"/>
  <c r="I86" i="11"/>
  <c r="J86" i="11"/>
  <c r="L86" i="11"/>
  <c r="K86" i="11" s="1"/>
  <c r="M86" i="11"/>
  <c r="N86" i="11"/>
  <c r="P86" i="11"/>
  <c r="O86" i="11" s="1"/>
  <c r="Q86" i="11"/>
  <c r="R86" i="11"/>
  <c r="T86" i="11"/>
  <c r="S86" i="11" s="1"/>
  <c r="A87" i="11"/>
  <c r="C87" i="11"/>
  <c r="D87" i="11"/>
  <c r="E87" i="11"/>
  <c r="F87" i="11"/>
  <c r="G87" i="11"/>
  <c r="H87" i="11"/>
  <c r="J87" i="11"/>
  <c r="L87" i="11"/>
  <c r="N87" i="11"/>
  <c r="P87" i="11"/>
  <c r="O87" i="11" s="1"/>
  <c r="R87" i="11"/>
  <c r="Q87" i="11" s="1"/>
  <c r="T87" i="11"/>
  <c r="S87" i="11" s="1"/>
  <c r="A88" i="11"/>
  <c r="C88" i="11"/>
  <c r="D88" i="11"/>
  <c r="E88" i="11"/>
  <c r="F88" i="11"/>
  <c r="G88" i="11"/>
  <c r="H88" i="11"/>
  <c r="J88" i="11"/>
  <c r="L88" i="11"/>
  <c r="N88" i="11"/>
  <c r="O88" i="11"/>
  <c r="P88" i="11"/>
  <c r="R88" i="11"/>
  <c r="Q88" i="11" s="1"/>
  <c r="S88" i="11"/>
  <c r="T88" i="11"/>
  <c r="A89" i="11"/>
  <c r="C89" i="11"/>
  <c r="D89" i="11"/>
  <c r="E89" i="11"/>
  <c r="F89" i="11"/>
  <c r="G89" i="11"/>
  <c r="H89" i="11"/>
  <c r="J89" i="11"/>
  <c r="L89" i="11"/>
  <c r="N89" i="11"/>
  <c r="P89" i="11"/>
  <c r="O89" i="11" s="1"/>
  <c r="R89" i="11"/>
  <c r="Q89" i="11" s="1"/>
  <c r="T89" i="11"/>
  <c r="S89" i="11" s="1"/>
  <c r="A90" i="11"/>
  <c r="C90" i="11"/>
  <c r="D90" i="11"/>
  <c r="E90" i="11"/>
  <c r="F90" i="11"/>
  <c r="G90" i="11"/>
  <c r="H90" i="11"/>
  <c r="J90" i="11"/>
  <c r="L90" i="11"/>
  <c r="N90" i="11"/>
  <c r="P90" i="11"/>
  <c r="O90" i="11" s="1"/>
  <c r="Q90" i="11"/>
  <c r="R90" i="11"/>
  <c r="T90" i="11"/>
  <c r="S90" i="11" s="1"/>
  <c r="A91" i="11"/>
  <c r="C91" i="11"/>
  <c r="D91" i="11"/>
  <c r="E91" i="11"/>
  <c r="F91" i="11"/>
  <c r="G91" i="11"/>
  <c r="H91" i="11"/>
  <c r="J91" i="11"/>
  <c r="L91" i="11"/>
  <c r="N91" i="11"/>
  <c r="P91" i="11"/>
  <c r="R91" i="11"/>
  <c r="Q91" i="11" s="1"/>
  <c r="T91" i="11"/>
  <c r="S91" i="11" s="1"/>
  <c r="A92" i="11"/>
  <c r="C92" i="11"/>
  <c r="D92" i="11"/>
  <c r="E92" i="11"/>
  <c r="F92" i="11"/>
  <c r="G92" i="11"/>
  <c r="H92" i="11"/>
  <c r="J92" i="11"/>
  <c r="L92" i="11"/>
  <c r="N92" i="11"/>
  <c r="P92" i="11"/>
  <c r="R92" i="11"/>
  <c r="Q92" i="11" s="1"/>
  <c r="S92" i="11"/>
  <c r="T92" i="11"/>
  <c r="A93" i="11"/>
  <c r="C93" i="11"/>
  <c r="D93" i="11"/>
  <c r="E93" i="11"/>
  <c r="F93" i="11"/>
  <c r="G93" i="11"/>
  <c r="H93" i="11"/>
  <c r="J93" i="11"/>
  <c r="L93" i="11"/>
  <c r="N93" i="11"/>
  <c r="P93" i="11"/>
  <c r="R93" i="11"/>
  <c r="Q93" i="11" s="1"/>
  <c r="S93" i="11"/>
  <c r="T93" i="11"/>
  <c r="A94" i="11"/>
  <c r="C94" i="11"/>
  <c r="D94" i="11"/>
  <c r="E94" i="11"/>
  <c r="F94" i="11"/>
  <c r="G94" i="11"/>
  <c r="H94" i="11"/>
  <c r="J94" i="11"/>
  <c r="L94" i="11"/>
  <c r="N94" i="11"/>
  <c r="P94" i="11"/>
  <c r="Q94" i="11"/>
  <c r="R94" i="11"/>
  <c r="T94" i="11"/>
  <c r="S94" i="11" s="1"/>
  <c r="A95" i="11"/>
  <c r="C95" i="11"/>
  <c r="D95" i="11"/>
  <c r="E95" i="11"/>
  <c r="F95" i="11"/>
  <c r="G95" i="11"/>
  <c r="H95" i="11"/>
  <c r="J95" i="11"/>
  <c r="L95" i="11"/>
  <c r="N95" i="11"/>
  <c r="P95" i="11"/>
  <c r="R95" i="11"/>
  <c r="T95" i="11"/>
  <c r="S95" i="11" s="1"/>
  <c r="A96" i="11"/>
  <c r="C96" i="11"/>
  <c r="D96" i="11"/>
  <c r="E96" i="11"/>
  <c r="F96" i="11"/>
  <c r="G96" i="11"/>
  <c r="H96" i="11"/>
  <c r="J96" i="11"/>
  <c r="L96" i="11"/>
  <c r="N96" i="11"/>
  <c r="P96" i="11"/>
  <c r="R96" i="11"/>
  <c r="S96" i="11"/>
  <c r="T96" i="11"/>
  <c r="A97" i="11"/>
  <c r="B97" i="11"/>
  <c r="C97" i="11"/>
  <c r="D97" i="11"/>
  <c r="E97" i="11"/>
  <c r="F97" i="11"/>
  <c r="G97" i="11"/>
  <c r="H97" i="11"/>
  <c r="I97" i="11"/>
  <c r="J97" i="11"/>
  <c r="K97" i="11"/>
  <c r="L97" i="11"/>
  <c r="N97" i="11"/>
  <c r="M97" i="11" s="1"/>
  <c r="O97" i="11"/>
  <c r="P97" i="11"/>
  <c r="R97" i="11"/>
  <c r="Q97" i="11" s="1"/>
  <c r="S97" i="11"/>
  <c r="T97" i="11"/>
  <c r="A98" i="11"/>
  <c r="C98" i="11"/>
  <c r="D98" i="11"/>
  <c r="E98" i="11"/>
  <c r="F98" i="11"/>
  <c r="G98" i="11"/>
  <c r="H98" i="11"/>
  <c r="J98" i="11"/>
  <c r="L98" i="11"/>
  <c r="N98" i="11"/>
  <c r="P98" i="11"/>
  <c r="O98" i="11" s="1"/>
  <c r="R98" i="11"/>
  <c r="Q98" i="11" s="1"/>
  <c r="T98" i="11"/>
  <c r="S98" i="11" s="1"/>
  <c r="A99" i="11"/>
  <c r="C99" i="11"/>
  <c r="D99" i="11"/>
  <c r="E99" i="11"/>
  <c r="F99" i="11"/>
  <c r="G99" i="11"/>
  <c r="H99" i="11"/>
  <c r="J99" i="11"/>
  <c r="L99" i="11"/>
  <c r="N99" i="11"/>
  <c r="P99" i="11"/>
  <c r="O99" i="11" s="1"/>
  <c r="Q99" i="11"/>
  <c r="R99" i="11"/>
  <c r="T99" i="11"/>
  <c r="S99" i="11" s="1"/>
  <c r="A100" i="11"/>
  <c r="C100" i="11"/>
  <c r="D100" i="11"/>
  <c r="E100" i="11"/>
  <c r="F100" i="11"/>
  <c r="G100" i="11"/>
  <c r="H100" i="11"/>
  <c r="J100" i="11"/>
  <c r="L100" i="11"/>
  <c r="N100" i="11"/>
  <c r="P100" i="11"/>
  <c r="R100" i="11"/>
  <c r="Q100" i="11" s="1"/>
  <c r="T100" i="11"/>
  <c r="S100" i="11" s="1"/>
  <c r="A101" i="11"/>
  <c r="C101" i="11"/>
  <c r="D101" i="11"/>
  <c r="E101" i="11"/>
  <c r="F101" i="11"/>
  <c r="G101" i="11"/>
  <c r="H101" i="11"/>
  <c r="J101" i="11"/>
  <c r="L101" i="11"/>
  <c r="N101" i="11"/>
  <c r="P101" i="11"/>
  <c r="R101" i="11"/>
  <c r="Q101" i="11" s="1"/>
  <c r="S101" i="11"/>
  <c r="T101" i="11"/>
  <c r="A102" i="11"/>
  <c r="C102" i="11"/>
  <c r="D102" i="11"/>
  <c r="E102" i="11"/>
  <c r="F102" i="11"/>
  <c r="G102" i="11"/>
  <c r="H102" i="11"/>
  <c r="J102" i="11"/>
  <c r="L102" i="11"/>
  <c r="N102" i="11"/>
  <c r="P102" i="11"/>
  <c r="R102" i="11"/>
  <c r="Q102" i="11" s="1"/>
  <c r="S102" i="11"/>
  <c r="T102" i="11"/>
  <c r="A103" i="11"/>
  <c r="C103" i="11"/>
  <c r="D103" i="11"/>
  <c r="E103" i="11"/>
  <c r="F103" i="11"/>
  <c r="G103" i="11"/>
  <c r="H103" i="11"/>
  <c r="J103" i="11"/>
  <c r="L103" i="11"/>
  <c r="N103" i="11"/>
  <c r="P103" i="11"/>
  <c r="Q103" i="11"/>
  <c r="R103" i="11"/>
  <c r="T103" i="11"/>
  <c r="S103" i="11" s="1"/>
  <c r="A104" i="11"/>
  <c r="C104" i="11"/>
  <c r="D104" i="11"/>
  <c r="E104" i="11"/>
  <c r="F104" i="11"/>
  <c r="G104" i="11"/>
  <c r="H104" i="11"/>
  <c r="J104" i="11"/>
  <c r="L104" i="11"/>
  <c r="N104" i="11"/>
  <c r="P104" i="11"/>
  <c r="R104" i="11"/>
  <c r="T104" i="11"/>
  <c r="S104" i="11" s="1"/>
  <c r="A105" i="11"/>
  <c r="C105" i="11"/>
  <c r="D105" i="11"/>
  <c r="E105" i="11"/>
  <c r="F105" i="11"/>
  <c r="G105" i="11"/>
  <c r="H105" i="11"/>
  <c r="J105" i="11"/>
  <c r="L105" i="11"/>
  <c r="N105" i="11"/>
  <c r="P105" i="11"/>
  <c r="R105" i="11"/>
  <c r="S105" i="11"/>
  <c r="T105" i="11"/>
  <c r="A106" i="11"/>
  <c r="B106" i="11"/>
  <c r="C106" i="11"/>
  <c r="D106" i="11"/>
  <c r="E106" i="11"/>
  <c r="F106" i="11"/>
  <c r="G106" i="11"/>
  <c r="H106" i="11"/>
  <c r="I106" i="11"/>
  <c r="J106" i="11"/>
  <c r="K106" i="11"/>
  <c r="L106" i="11"/>
  <c r="N106" i="11"/>
  <c r="M106" i="11" s="1"/>
  <c r="O106" i="11"/>
  <c r="P106" i="11"/>
  <c r="R106" i="11"/>
  <c r="Q106" i="11" s="1"/>
  <c r="S106" i="11"/>
  <c r="T106" i="11"/>
  <c r="A107" i="11"/>
  <c r="C107" i="11"/>
  <c r="D107" i="11"/>
  <c r="E107" i="11"/>
  <c r="F107" i="11"/>
  <c r="G107" i="11"/>
  <c r="H107" i="11"/>
  <c r="J107" i="11"/>
  <c r="L107" i="11"/>
  <c r="N107" i="11"/>
  <c r="P107" i="11"/>
  <c r="O107" i="11" s="1"/>
  <c r="R107" i="11"/>
  <c r="Q107" i="11" s="1"/>
  <c r="T107" i="11"/>
  <c r="S107" i="11" s="1"/>
  <c r="A108" i="11"/>
  <c r="C108" i="11"/>
  <c r="D108" i="11"/>
  <c r="E108" i="11"/>
  <c r="F108" i="11"/>
  <c r="G108" i="11"/>
  <c r="H108" i="11"/>
  <c r="J108" i="11"/>
  <c r="L108" i="11"/>
  <c r="N108" i="11"/>
  <c r="P108" i="11"/>
  <c r="O108" i="11" s="1"/>
  <c r="Q108" i="11"/>
  <c r="R108" i="11"/>
  <c r="T108" i="11"/>
  <c r="S108" i="11" s="1"/>
  <c r="A109" i="11"/>
  <c r="C109" i="11"/>
  <c r="D109" i="11"/>
  <c r="E109" i="11"/>
  <c r="F109" i="11"/>
  <c r="G109" i="11"/>
  <c r="H109" i="11"/>
  <c r="J109" i="11"/>
  <c r="L109" i="11"/>
  <c r="N109" i="11"/>
  <c r="P109" i="11"/>
  <c r="O109" i="11" s="1"/>
  <c r="R109" i="11"/>
  <c r="Q109" i="11" s="1"/>
  <c r="T109" i="11"/>
  <c r="S109" i="11" s="1"/>
  <c r="A110" i="11"/>
  <c r="C110" i="11"/>
  <c r="D110" i="11"/>
  <c r="E110" i="11"/>
  <c r="F110" i="11"/>
  <c r="G110" i="11"/>
  <c r="H110" i="11"/>
  <c r="J110" i="11"/>
  <c r="L110" i="11"/>
  <c r="N110" i="11"/>
  <c r="O110" i="11"/>
  <c r="P110" i="11"/>
  <c r="R110" i="11"/>
  <c r="Q110" i="11" s="1"/>
  <c r="S110" i="11"/>
  <c r="T110" i="11"/>
  <c r="A111" i="11"/>
  <c r="C111" i="11"/>
  <c r="D111" i="11"/>
  <c r="E111" i="11"/>
  <c r="F111" i="11"/>
  <c r="G111" i="11"/>
  <c r="H111" i="11"/>
  <c r="J111" i="11"/>
  <c r="L111" i="11"/>
  <c r="N111" i="11"/>
  <c r="P111" i="11"/>
  <c r="R111" i="11"/>
  <c r="Q111" i="11" s="1"/>
  <c r="S111" i="11"/>
  <c r="T111" i="11"/>
  <c r="A112" i="11"/>
  <c r="C112" i="11"/>
  <c r="D112" i="11"/>
  <c r="E112" i="11"/>
  <c r="F112" i="11"/>
  <c r="G112" i="11"/>
  <c r="H112" i="11"/>
  <c r="J112" i="11"/>
  <c r="L112" i="11"/>
  <c r="N112" i="11"/>
  <c r="P112" i="11"/>
  <c r="Q112" i="11"/>
  <c r="R112" i="11"/>
  <c r="T112" i="11"/>
  <c r="S112" i="11" s="1"/>
  <c r="A113" i="11"/>
  <c r="C113" i="11"/>
  <c r="D113" i="11"/>
  <c r="E113" i="11"/>
  <c r="F113" i="11"/>
  <c r="G113" i="11"/>
  <c r="H113" i="11"/>
  <c r="J113" i="11"/>
  <c r="L113" i="11"/>
  <c r="N113" i="11"/>
  <c r="P113" i="11"/>
  <c r="R113" i="11"/>
  <c r="Q113" i="11" s="1"/>
  <c r="T113" i="11"/>
  <c r="S113" i="11" s="1"/>
  <c r="A114" i="11"/>
  <c r="C114" i="11"/>
  <c r="D114" i="11"/>
  <c r="E114" i="11"/>
  <c r="F114" i="11"/>
  <c r="G114" i="11"/>
  <c r="H114" i="11"/>
  <c r="J114" i="11"/>
  <c r="L114" i="11"/>
  <c r="N114" i="11"/>
  <c r="P114" i="11"/>
  <c r="R114" i="11"/>
  <c r="Q114" i="11" s="1"/>
  <c r="S114" i="11"/>
  <c r="T114" i="11"/>
  <c r="A115" i="11"/>
  <c r="C115" i="11"/>
  <c r="D115" i="11"/>
  <c r="E115" i="11"/>
  <c r="F115" i="11"/>
  <c r="G115" i="11"/>
  <c r="H115" i="11"/>
  <c r="J115" i="11"/>
  <c r="L115" i="11"/>
  <c r="N115" i="11"/>
  <c r="P115" i="11"/>
  <c r="R115" i="11"/>
  <c r="T115" i="11"/>
  <c r="S115" i="11" s="1"/>
  <c r="A116" i="11"/>
  <c r="C116" i="11"/>
  <c r="D116" i="11"/>
  <c r="E116" i="11"/>
  <c r="F116" i="11"/>
  <c r="G116" i="11"/>
  <c r="H116" i="11"/>
  <c r="J116" i="11"/>
  <c r="L116" i="11"/>
  <c r="N116" i="11"/>
  <c r="P116" i="11"/>
  <c r="R116" i="11"/>
  <c r="T116" i="11"/>
  <c r="S116" i="11" s="1"/>
  <c r="A117" i="11"/>
  <c r="B117" i="11"/>
  <c r="C117" i="11"/>
  <c r="D117" i="11"/>
  <c r="E117" i="11"/>
  <c r="F117" i="11"/>
  <c r="G117" i="11"/>
  <c r="H117" i="11"/>
  <c r="I117" i="11"/>
  <c r="J117" i="11"/>
  <c r="L117" i="11"/>
  <c r="K117" i="11" s="1"/>
  <c r="M117" i="11"/>
  <c r="N117" i="11"/>
  <c r="P117" i="11"/>
  <c r="O117" i="11" s="1"/>
  <c r="Q117" i="11"/>
  <c r="R117" i="11"/>
  <c r="T117" i="11"/>
  <c r="S117" i="11" s="1"/>
  <c r="A118" i="11"/>
  <c r="C118" i="11"/>
  <c r="D118" i="11"/>
  <c r="E118" i="11"/>
  <c r="F118" i="11"/>
  <c r="G118" i="11"/>
  <c r="H118" i="11"/>
  <c r="J118" i="11"/>
  <c r="L118" i="11"/>
  <c r="N118" i="11"/>
  <c r="P118" i="11"/>
  <c r="O118" i="11" s="1"/>
  <c r="R118" i="11"/>
  <c r="Q118" i="11" s="1"/>
  <c r="T118" i="11"/>
  <c r="S118" i="11" s="1"/>
  <c r="A119" i="11"/>
  <c r="C119" i="11"/>
  <c r="D119" i="11"/>
  <c r="E119" i="11"/>
  <c r="F119" i="11"/>
  <c r="G119" i="11"/>
  <c r="H119" i="11"/>
  <c r="J119" i="11"/>
  <c r="L119" i="11"/>
  <c r="N119" i="11"/>
  <c r="O119" i="11"/>
  <c r="P119" i="11"/>
  <c r="R119" i="11"/>
  <c r="Q119" i="11" s="1"/>
  <c r="S119" i="11"/>
  <c r="T119" i="11"/>
  <c r="A120" i="11"/>
  <c r="C120" i="11"/>
  <c r="D120" i="11"/>
  <c r="E120" i="11"/>
  <c r="F120" i="11"/>
  <c r="G120" i="11"/>
  <c r="H120" i="11"/>
  <c r="J120" i="11"/>
  <c r="L120" i="11"/>
  <c r="N120" i="11"/>
  <c r="P120" i="11"/>
  <c r="O120" i="11" s="1"/>
  <c r="R120" i="11"/>
  <c r="Q120" i="11" s="1"/>
  <c r="T120" i="11"/>
  <c r="S120" i="11" s="1"/>
  <c r="A121" i="11"/>
  <c r="C121" i="11"/>
  <c r="D121" i="11"/>
  <c r="E121" i="11"/>
  <c r="F121" i="11"/>
  <c r="G121" i="11"/>
  <c r="H121" i="11"/>
  <c r="J121" i="11"/>
  <c r="L121" i="11"/>
  <c r="N121" i="11"/>
  <c r="P121" i="11"/>
  <c r="O121" i="11" s="1"/>
  <c r="Q121" i="11"/>
  <c r="R121" i="11"/>
  <c r="T121" i="11"/>
  <c r="S121" i="11" s="1"/>
  <c r="A122" i="11"/>
  <c r="C122" i="11"/>
  <c r="D122" i="11"/>
  <c r="E122" i="11"/>
  <c r="F122" i="11"/>
  <c r="G122" i="11"/>
  <c r="H122" i="11"/>
  <c r="J122" i="11"/>
  <c r="L122" i="11"/>
  <c r="N122" i="11"/>
  <c r="P122" i="11"/>
  <c r="R122" i="11"/>
  <c r="Q122" i="11" s="1"/>
  <c r="T122" i="11"/>
  <c r="S122" i="11" s="1"/>
  <c r="A123" i="11"/>
  <c r="C123" i="11"/>
  <c r="D123" i="11"/>
  <c r="E123" i="11"/>
  <c r="F123" i="11"/>
  <c r="G123" i="11"/>
  <c r="H123" i="11"/>
  <c r="J123" i="11"/>
  <c r="L123" i="11"/>
  <c r="N123" i="11"/>
  <c r="P123" i="11"/>
  <c r="R123" i="11"/>
  <c r="Q123" i="11" s="1"/>
  <c r="S123" i="11"/>
  <c r="T123" i="11"/>
  <c r="A124" i="11"/>
  <c r="C124" i="11"/>
  <c r="D124" i="11"/>
  <c r="E124" i="11"/>
  <c r="F124" i="11"/>
  <c r="G124" i="11"/>
  <c r="H124" i="11"/>
  <c r="J124" i="11"/>
  <c r="L124" i="11"/>
  <c r="N124" i="11"/>
  <c r="P124" i="11"/>
  <c r="R124" i="11"/>
  <c r="Q124" i="11" s="1"/>
  <c r="T124" i="11"/>
  <c r="S124" i="11" s="1"/>
  <c r="A125" i="11"/>
  <c r="C125" i="11"/>
  <c r="D125" i="11"/>
  <c r="E125" i="11"/>
  <c r="F125" i="11"/>
  <c r="G125" i="11"/>
  <c r="H125" i="11"/>
  <c r="J125" i="11"/>
  <c r="L125" i="11"/>
  <c r="N125" i="11"/>
  <c r="P125" i="11"/>
  <c r="Q125" i="11"/>
  <c r="R125" i="11"/>
  <c r="T125" i="11"/>
  <c r="S125" i="11" s="1"/>
  <c r="A126" i="11"/>
  <c r="C126" i="11"/>
  <c r="D126" i="11"/>
  <c r="E126" i="11"/>
  <c r="F126" i="11"/>
  <c r="G126" i="11"/>
  <c r="H126" i="11"/>
  <c r="J126" i="11"/>
  <c r="L126" i="11"/>
  <c r="N126" i="11"/>
  <c r="P126" i="11"/>
  <c r="R126" i="11"/>
  <c r="T126" i="11"/>
  <c r="S126" i="11" s="1"/>
  <c r="A127" i="11"/>
  <c r="C127" i="11"/>
  <c r="D127" i="11"/>
  <c r="E127" i="11"/>
  <c r="F127" i="11"/>
  <c r="G127" i="11"/>
  <c r="H127" i="11"/>
  <c r="J127" i="11"/>
  <c r="L127" i="11"/>
  <c r="N127" i="11"/>
  <c r="P127" i="11"/>
  <c r="R127" i="11"/>
  <c r="S127" i="11"/>
  <c r="T127" i="11"/>
  <c r="A128" i="11"/>
  <c r="B128" i="11"/>
  <c r="C128" i="11"/>
  <c r="D128" i="11"/>
  <c r="E128" i="11"/>
  <c r="F128" i="11"/>
  <c r="G128" i="11"/>
  <c r="H128" i="11"/>
  <c r="I128" i="11"/>
  <c r="J128" i="11"/>
  <c r="K128" i="11"/>
  <c r="L128" i="11"/>
  <c r="N128" i="11"/>
  <c r="M128" i="11" s="1"/>
  <c r="O128" i="11"/>
  <c r="P128" i="11"/>
  <c r="R128" i="11"/>
  <c r="Q128" i="11" s="1"/>
  <c r="S128" i="11"/>
  <c r="T128" i="11"/>
  <c r="A129" i="11"/>
  <c r="C129" i="11"/>
  <c r="D129" i="11"/>
  <c r="E129" i="11"/>
  <c r="F129" i="11"/>
  <c r="G129" i="11"/>
  <c r="H129" i="11"/>
  <c r="J129" i="11"/>
  <c r="L129" i="11"/>
  <c r="N129" i="11"/>
  <c r="P129" i="11"/>
  <c r="O129" i="11" s="1"/>
  <c r="R129" i="11"/>
  <c r="Q129" i="11" s="1"/>
  <c r="S129" i="11"/>
  <c r="T129" i="11"/>
  <c r="A130" i="11"/>
  <c r="C130" i="11"/>
  <c r="D130" i="11"/>
  <c r="E130" i="11"/>
  <c r="F130" i="11"/>
  <c r="G130" i="11"/>
  <c r="H130" i="11"/>
  <c r="J130" i="11"/>
  <c r="L130" i="11"/>
  <c r="N130" i="11"/>
  <c r="P130" i="11"/>
  <c r="O130" i="11" s="1"/>
  <c r="Q130" i="11"/>
  <c r="R130" i="11"/>
  <c r="T130" i="11"/>
  <c r="S130" i="11" s="1"/>
  <c r="A131" i="11"/>
  <c r="C131" i="11"/>
  <c r="D131" i="11"/>
  <c r="E131" i="11"/>
  <c r="F131" i="11"/>
  <c r="G131" i="11"/>
  <c r="H131" i="11"/>
  <c r="J131" i="11"/>
  <c r="L131" i="11"/>
  <c r="N131" i="11"/>
  <c r="P131" i="11"/>
  <c r="R131" i="11"/>
  <c r="Q131" i="11" s="1"/>
  <c r="T131" i="11"/>
  <c r="S131" i="11" s="1"/>
  <c r="A132" i="11"/>
  <c r="C132" i="11"/>
  <c r="D132" i="11"/>
  <c r="E132" i="11"/>
  <c r="F132" i="11"/>
  <c r="G132" i="11"/>
  <c r="H132" i="11"/>
  <c r="J132" i="11"/>
  <c r="L132" i="11"/>
  <c r="N132" i="11"/>
  <c r="P132" i="11"/>
  <c r="R132" i="11"/>
  <c r="Q132" i="11" s="1"/>
  <c r="S132" i="11"/>
  <c r="T132" i="11"/>
  <c r="A133" i="11"/>
  <c r="C133" i="11"/>
  <c r="D133" i="11"/>
  <c r="E133" i="11"/>
  <c r="F133" i="11"/>
  <c r="G133" i="11"/>
  <c r="H133" i="11"/>
  <c r="J133" i="11"/>
  <c r="L133" i="11"/>
  <c r="N133" i="11"/>
  <c r="P133" i="11"/>
  <c r="R133" i="11"/>
  <c r="Q133" i="11" s="1"/>
  <c r="S133" i="11"/>
  <c r="T133" i="11"/>
  <c r="A134" i="11"/>
  <c r="C134" i="11"/>
  <c r="D134" i="11"/>
  <c r="E134" i="11"/>
  <c r="F134" i="11"/>
  <c r="G134" i="11"/>
  <c r="H134" i="11"/>
  <c r="J134" i="11"/>
  <c r="L134" i="11"/>
  <c r="N134" i="11"/>
  <c r="P134" i="11"/>
  <c r="Q134" i="11"/>
  <c r="R134" i="11"/>
  <c r="T134" i="11"/>
  <c r="S134" i="11" s="1"/>
  <c r="A135" i="11"/>
  <c r="C135" i="11"/>
  <c r="D135" i="11"/>
  <c r="E135" i="11"/>
  <c r="F135" i="11"/>
  <c r="G135" i="11"/>
  <c r="H135" i="11"/>
  <c r="J135" i="11"/>
  <c r="L135" i="11"/>
  <c r="N135" i="11"/>
  <c r="P135" i="11"/>
  <c r="R135" i="11"/>
  <c r="T135" i="11"/>
  <c r="S135" i="11" s="1"/>
  <c r="A136" i="11"/>
  <c r="C136" i="11"/>
  <c r="D136" i="11"/>
  <c r="E136" i="11"/>
  <c r="F136" i="11"/>
  <c r="G136" i="11"/>
  <c r="H136" i="11"/>
  <c r="J136" i="11"/>
  <c r="L136" i="11"/>
  <c r="N136" i="11"/>
  <c r="P136" i="11"/>
  <c r="R136" i="11"/>
  <c r="S136" i="11"/>
  <c r="T136" i="11"/>
  <c r="A137" i="11"/>
  <c r="B137" i="11"/>
  <c r="C137" i="11"/>
  <c r="D137" i="11"/>
  <c r="E137" i="11"/>
  <c r="F137" i="11"/>
  <c r="G137" i="11"/>
  <c r="H137" i="11"/>
  <c r="I137" i="11"/>
  <c r="J137" i="11"/>
  <c r="K137" i="11"/>
  <c r="L137" i="11"/>
  <c r="N137" i="11"/>
  <c r="M137" i="11" s="1"/>
  <c r="O137" i="11"/>
  <c r="P137" i="11"/>
  <c r="R137" i="11"/>
  <c r="Q137" i="11" s="1"/>
  <c r="S137" i="11"/>
  <c r="T137" i="11"/>
  <c r="A138" i="11"/>
  <c r="C138" i="11"/>
  <c r="D138" i="11"/>
  <c r="E138" i="11"/>
  <c r="F138" i="11"/>
  <c r="G138" i="11"/>
  <c r="H138" i="11"/>
  <c r="J138" i="11"/>
  <c r="L138" i="11"/>
  <c r="N138" i="11"/>
  <c r="P138" i="11"/>
  <c r="O138" i="11" s="1"/>
  <c r="R138" i="11"/>
  <c r="Q138" i="11" s="1"/>
  <c r="S138" i="11"/>
  <c r="T138" i="11"/>
  <c r="A139" i="11"/>
  <c r="C139" i="11"/>
  <c r="D139" i="11"/>
  <c r="E139" i="11"/>
  <c r="F139" i="11"/>
  <c r="G139" i="11"/>
  <c r="H139" i="11"/>
  <c r="J139" i="11"/>
  <c r="L139" i="11"/>
  <c r="N139" i="11"/>
  <c r="P139" i="11"/>
  <c r="O139" i="11" s="1"/>
  <c r="Q139" i="11"/>
  <c r="R139" i="11"/>
  <c r="T139" i="11"/>
  <c r="S139" i="11" s="1"/>
  <c r="A140" i="11"/>
  <c r="C140" i="11"/>
  <c r="D140" i="11"/>
  <c r="E140" i="11"/>
  <c r="F140" i="11"/>
  <c r="G140" i="11"/>
  <c r="H140" i="11"/>
  <c r="J140" i="11"/>
  <c r="L140" i="11"/>
  <c r="N140" i="11"/>
  <c r="P140" i="11"/>
  <c r="O140" i="11" s="1"/>
  <c r="R140" i="11"/>
  <c r="Q140" i="11" s="1"/>
  <c r="T140" i="11"/>
  <c r="S140" i="11" s="1"/>
  <c r="A141" i="11"/>
  <c r="C141" i="11"/>
  <c r="D141" i="11"/>
  <c r="E141" i="11"/>
  <c r="F141" i="11"/>
  <c r="G141" i="11"/>
  <c r="H141" i="11"/>
  <c r="J141" i="11"/>
  <c r="L141" i="11"/>
  <c r="N141" i="11"/>
  <c r="O141" i="11"/>
  <c r="P141" i="11"/>
  <c r="R141" i="11"/>
  <c r="Q141" i="11" s="1"/>
  <c r="S141" i="11"/>
  <c r="T141" i="11"/>
  <c r="A142" i="11"/>
  <c r="C142" i="11"/>
  <c r="D142" i="11"/>
  <c r="E142" i="11"/>
  <c r="F142" i="11"/>
  <c r="G142" i="11"/>
  <c r="H142" i="11"/>
  <c r="J142" i="11"/>
  <c r="L142" i="11"/>
  <c r="N142" i="11"/>
  <c r="P142" i="11"/>
  <c r="R142" i="11"/>
  <c r="Q142" i="11" s="1"/>
  <c r="S142" i="11"/>
  <c r="T142" i="11"/>
  <c r="A143" i="11"/>
  <c r="C143" i="11"/>
  <c r="D143" i="11"/>
  <c r="E143" i="11"/>
  <c r="F143" i="11"/>
  <c r="G143" i="11"/>
  <c r="H143" i="11"/>
  <c r="J143" i="11"/>
  <c r="L143" i="11"/>
  <c r="N143" i="11"/>
  <c r="P143" i="11"/>
  <c r="Q143" i="11"/>
  <c r="R143" i="11"/>
  <c r="T143" i="11"/>
  <c r="S143" i="11" s="1"/>
  <c r="A144" i="11"/>
  <c r="C144" i="11"/>
  <c r="D144" i="11"/>
  <c r="E144" i="11"/>
  <c r="F144" i="11"/>
  <c r="G144" i="11"/>
  <c r="H144" i="11"/>
  <c r="J144" i="11"/>
  <c r="L144" i="11"/>
  <c r="N144" i="11"/>
  <c r="P144" i="11"/>
  <c r="R144" i="11"/>
  <c r="Q144" i="11" s="1"/>
  <c r="T144" i="11"/>
  <c r="S144" i="11" s="1"/>
  <c r="A145" i="11"/>
  <c r="C145" i="11"/>
  <c r="D145" i="11"/>
  <c r="E145" i="11"/>
  <c r="F145" i="11"/>
  <c r="G145" i="11"/>
  <c r="H145" i="11"/>
  <c r="J145" i="11"/>
  <c r="L145" i="11"/>
  <c r="N145" i="11"/>
  <c r="P145" i="11"/>
  <c r="R145" i="11"/>
  <c r="Q145" i="11" s="1"/>
  <c r="S145" i="11"/>
  <c r="T145" i="11"/>
  <c r="A146" i="11"/>
  <c r="C146" i="11"/>
  <c r="D146" i="11"/>
  <c r="E146" i="11"/>
  <c r="F146" i="11"/>
  <c r="G146" i="11"/>
  <c r="H146" i="11"/>
  <c r="J146" i="11"/>
  <c r="L146" i="11"/>
  <c r="N146" i="11"/>
  <c r="P146" i="11"/>
  <c r="R146" i="11"/>
  <c r="S146" i="11"/>
  <c r="T146" i="11"/>
  <c r="A147" i="11"/>
  <c r="C147" i="11"/>
  <c r="D147" i="11"/>
  <c r="E147" i="11"/>
  <c r="F147" i="11"/>
  <c r="G147" i="11"/>
  <c r="H147" i="11"/>
  <c r="J147" i="11"/>
  <c r="L147" i="11"/>
  <c r="N147" i="11"/>
  <c r="P147" i="11"/>
  <c r="R147" i="11"/>
  <c r="T147" i="11"/>
  <c r="S147" i="11" s="1"/>
  <c r="A148" i="11"/>
  <c r="B148" i="11"/>
  <c r="C148" i="11"/>
  <c r="D148" i="11"/>
  <c r="E148" i="11"/>
  <c r="F148" i="11"/>
  <c r="G148" i="11"/>
  <c r="H148" i="11"/>
  <c r="I148" i="11"/>
  <c r="J148" i="11"/>
  <c r="L148" i="11"/>
  <c r="K148" i="11" s="1"/>
  <c r="M148" i="11"/>
  <c r="N148" i="11"/>
  <c r="P148" i="11"/>
  <c r="O148" i="11" s="1"/>
  <c r="Q148" i="11"/>
  <c r="R148" i="11"/>
  <c r="T148" i="11"/>
  <c r="S148" i="11" s="1"/>
  <c r="A149" i="11"/>
  <c r="C149" i="11"/>
  <c r="D149" i="11"/>
  <c r="E149" i="11"/>
  <c r="F149" i="11"/>
  <c r="G149" i="11"/>
  <c r="H149" i="11"/>
  <c r="J149" i="11"/>
  <c r="L149" i="11"/>
  <c r="N149" i="11"/>
  <c r="P149" i="11"/>
  <c r="O149" i="11" s="1"/>
  <c r="R149" i="11"/>
  <c r="Q149" i="11" s="1"/>
  <c r="T149" i="11"/>
  <c r="S149" i="11" s="1"/>
  <c r="A150" i="11"/>
  <c r="C150" i="11"/>
  <c r="D150" i="11"/>
  <c r="E150" i="11"/>
  <c r="F150" i="11"/>
  <c r="G150" i="11"/>
  <c r="H150" i="11"/>
  <c r="J150" i="11"/>
  <c r="L150" i="11"/>
  <c r="N150" i="11"/>
  <c r="O150" i="11"/>
  <c r="P150" i="11"/>
  <c r="R150" i="11"/>
  <c r="Q150" i="11" s="1"/>
  <c r="S150" i="11"/>
  <c r="T150" i="11"/>
  <c r="A151" i="11"/>
  <c r="C151" i="11"/>
  <c r="D151" i="11"/>
  <c r="E151" i="11"/>
  <c r="F151" i="11"/>
  <c r="G151" i="11"/>
  <c r="H151" i="11"/>
  <c r="J151" i="11"/>
  <c r="L151" i="11"/>
  <c r="N151" i="11"/>
  <c r="P151" i="11"/>
  <c r="R151" i="11"/>
  <c r="Q151" i="11" s="1"/>
  <c r="S151" i="11"/>
  <c r="T151" i="11"/>
  <c r="A152" i="11"/>
  <c r="C152" i="11"/>
  <c r="D152" i="11"/>
  <c r="E152" i="11"/>
  <c r="F152" i="11"/>
  <c r="G152" i="11"/>
  <c r="H152" i="11"/>
  <c r="J152" i="11"/>
  <c r="L152" i="11"/>
  <c r="N152" i="11"/>
  <c r="P152" i="11"/>
  <c r="Q152" i="11"/>
  <c r="R152" i="11"/>
  <c r="T152" i="11"/>
  <c r="S152" i="11" s="1"/>
  <c r="A153" i="11"/>
  <c r="C153" i="11"/>
  <c r="D153" i="11"/>
  <c r="E153" i="11"/>
  <c r="F153" i="11"/>
  <c r="G153" i="11"/>
  <c r="H153" i="11"/>
  <c r="J153" i="11"/>
  <c r="L153" i="11"/>
  <c r="N153" i="11"/>
  <c r="P153" i="11"/>
  <c r="R153" i="11"/>
  <c r="Q153" i="11" s="1"/>
  <c r="T153" i="11"/>
  <c r="S153" i="11" s="1"/>
  <c r="A154" i="11"/>
  <c r="C154" i="11"/>
  <c r="D154" i="11"/>
  <c r="E154" i="11"/>
  <c r="F154" i="11"/>
  <c r="G154" i="11"/>
  <c r="H154" i="11"/>
  <c r="J154" i="11"/>
  <c r="L154" i="11"/>
  <c r="N154" i="11"/>
  <c r="P154" i="11"/>
  <c r="R154" i="11"/>
  <c r="Q154" i="11" s="1"/>
  <c r="S154" i="11"/>
  <c r="T154" i="11"/>
  <c r="A155" i="11"/>
  <c r="C155" i="11"/>
  <c r="D155" i="11"/>
  <c r="E155" i="11"/>
  <c r="F155" i="11"/>
  <c r="G155" i="11"/>
  <c r="H155" i="11"/>
  <c r="J155" i="11"/>
  <c r="L155" i="11"/>
  <c r="N155" i="11"/>
  <c r="P155" i="11"/>
  <c r="R155" i="11"/>
  <c r="S155" i="11"/>
  <c r="T155" i="11"/>
  <c r="A156" i="11"/>
  <c r="C156" i="11"/>
  <c r="D156" i="11"/>
  <c r="E156" i="11"/>
  <c r="F156" i="11"/>
  <c r="G156" i="11"/>
  <c r="H156" i="11"/>
  <c r="J156" i="11"/>
  <c r="L156" i="11"/>
  <c r="N156" i="11"/>
  <c r="P156" i="11"/>
  <c r="R156" i="11"/>
  <c r="T156" i="11"/>
  <c r="S156" i="11" s="1"/>
  <c r="A157" i="11"/>
  <c r="B157" i="11"/>
  <c r="C157" i="11"/>
  <c r="D157" i="11"/>
  <c r="E157" i="11"/>
  <c r="F157" i="11"/>
  <c r="G157" i="11"/>
  <c r="H157" i="11"/>
  <c r="I157" i="11"/>
  <c r="J157" i="11"/>
  <c r="L157" i="11"/>
  <c r="K157" i="11" s="1"/>
  <c r="M157" i="11"/>
  <c r="N157" i="11"/>
  <c r="P157" i="11"/>
  <c r="O157" i="11" s="1"/>
  <c r="Q157" i="11"/>
  <c r="R157" i="11"/>
  <c r="T157" i="11"/>
  <c r="S157" i="11" s="1"/>
  <c r="A158" i="11"/>
  <c r="C158" i="11"/>
  <c r="D158" i="11"/>
  <c r="E158" i="11"/>
  <c r="F158" i="11"/>
  <c r="G158" i="11"/>
  <c r="H158" i="11"/>
  <c r="J158" i="11"/>
  <c r="L158" i="11"/>
  <c r="N158" i="11"/>
  <c r="P158" i="11"/>
  <c r="O158" i="11" s="1"/>
  <c r="R158" i="11"/>
  <c r="Q158" i="11" s="1"/>
  <c r="T158" i="11"/>
  <c r="S158" i="11" s="1"/>
  <c r="A159" i="11"/>
  <c r="C159" i="11"/>
  <c r="D159" i="11"/>
  <c r="E159" i="11"/>
  <c r="F159" i="11"/>
  <c r="G159" i="11"/>
  <c r="H159" i="11"/>
  <c r="J159" i="11"/>
  <c r="L159" i="11"/>
  <c r="N159" i="11"/>
  <c r="O159" i="11"/>
  <c r="P159" i="11"/>
  <c r="R159" i="11"/>
  <c r="Q159" i="11" s="1"/>
  <c r="S159" i="11"/>
  <c r="T159" i="11"/>
  <c r="A160" i="11"/>
  <c r="C160" i="11"/>
  <c r="D160" i="11"/>
  <c r="E160" i="11"/>
  <c r="F160" i="11"/>
  <c r="G160" i="11"/>
  <c r="H160" i="11"/>
  <c r="J160" i="11"/>
  <c r="L160" i="11"/>
  <c r="N160" i="11"/>
  <c r="P160" i="11"/>
  <c r="O160" i="11" s="1"/>
  <c r="R160" i="11"/>
  <c r="Q160" i="11" s="1"/>
  <c r="S160" i="11"/>
  <c r="T160" i="11"/>
  <c r="A161" i="11"/>
  <c r="C161" i="11"/>
  <c r="D161" i="11"/>
  <c r="E161" i="11"/>
  <c r="F161" i="11"/>
  <c r="G161" i="11"/>
  <c r="H161" i="11"/>
  <c r="J161" i="11"/>
  <c r="L161" i="11"/>
  <c r="N161" i="11"/>
  <c r="P161" i="11"/>
  <c r="O161" i="11" s="1"/>
  <c r="Q161" i="11"/>
  <c r="R161" i="11"/>
  <c r="T161" i="11"/>
  <c r="S161" i="11" s="1"/>
  <c r="A162" i="11"/>
  <c r="C162" i="11"/>
  <c r="D162" i="11"/>
  <c r="E162" i="11"/>
  <c r="F162" i="11"/>
  <c r="G162" i="11"/>
  <c r="H162" i="11"/>
  <c r="J162" i="11"/>
  <c r="L162" i="11"/>
  <c r="N162" i="11"/>
  <c r="P162" i="11"/>
  <c r="R162" i="11"/>
  <c r="Q162" i="11" s="1"/>
  <c r="T162" i="11"/>
  <c r="S162" i="11" s="1"/>
  <c r="A163" i="11"/>
  <c r="C163" i="11"/>
  <c r="D163" i="11"/>
  <c r="E163" i="11"/>
  <c r="F163" i="11"/>
  <c r="G163" i="11"/>
  <c r="H163" i="11"/>
  <c r="J163" i="11"/>
  <c r="L163" i="11"/>
  <c r="N163" i="11"/>
  <c r="P163" i="11"/>
  <c r="Q163" i="11"/>
  <c r="R163" i="11"/>
  <c r="S163" i="11"/>
  <c r="T163" i="11"/>
  <c r="A164" i="11"/>
  <c r="C164" i="11"/>
  <c r="D164" i="11"/>
  <c r="E164" i="11"/>
  <c r="F164" i="11"/>
  <c r="G164" i="11"/>
  <c r="H164" i="11"/>
  <c r="J164" i="11"/>
  <c r="L164" i="11"/>
  <c r="N164" i="11"/>
  <c r="P164" i="11"/>
  <c r="R164" i="11"/>
  <c r="Q164" i="11" s="1"/>
  <c r="T164" i="11"/>
  <c r="S164" i="11" s="1"/>
  <c r="A165" i="11"/>
  <c r="C165" i="11"/>
  <c r="D165" i="11"/>
  <c r="E165" i="11"/>
  <c r="F165" i="11"/>
  <c r="G165" i="11"/>
  <c r="H165" i="11"/>
  <c r="J165" i="11"/>
  <c r="L165" i="11"/>
  <c r="N165" i="11"/>
  <c r="P165" i="11"/>
  <c r="Q165" i="11"/>
  <c r="R165" i="11"/>
  <c r="S165" i="11"/>
  <c r="T165" i="11"/>
  <c r="A166" i="11"/>
  <c r="C166" i="11"/>
  <c r="D166" i="11"/>
  <c r="E166" i="11"/>
  <c r="F166" i="11"/>
  <c r="G166" i="11"/>
  <c r="H166" i="11"/>
  <c r="J166" i="11"/>
  <c r="L166" i="11"/>
  <c r="N166" i="11"/>
  <c r="P166" i="11"/>
  <c r="R166" i="11"/>
  <c r="T166" i="11"/>
  <c r="S166" i="11" s="1"/>
  <c r="A167" i="11"/>
  <c r="C167" i="11"/>
  <c r="D167" i="11"/>
  <c r="E167" i="11"/>
  <c r="F167" i="11"/>
  <c r="G167" i="11"/>
  <c r="H167" i="11"/>
  <c r="J167" i="11"/>
  <c r="L167" i="11"/>
  <c r="N167" i="11"/>
  <c r="P167" i="11"/>
  <c r="R167" i="11"/>
  <c r="S167" i="11"/>
  <c r="T167" i="11"/>
  <c r="A168" i="11"/>
  <c r="B168" i="11"/>
  <c r="C168" i="11"/>
  <c r="D168" i="11"/>
  <c r="E168" i="11"/>
  <c r="F168" i="11"/>
  <c r="G168" i="11"/>
  <c r="H168" i="11"/>
  <c r="I168" i="11"/>
  <c r="J168" i="11"/>
  <c r="K168" i="11"/>
  <c r="L168" i="11"/>
  <c r="M168" i="11"/>
  <c r="N168" i="11"/>
  <c r="O168" i="11"/>
  <c r="P168" i="11"/>
  <c r="Q168" i="11"/>
  <c r="R168" i="11"/>
  <c r="S168" i="11"/>
  <c r="T168" i="11"/>
  <c r="A169" i="11"/>
  <c r="C169" i="11"/>
  <c r="D169" i="11"/>
  <c r="E169" i="11"/>
  <c r="F169" i="11"/>
  <c r="G169" i="11"/>
  <c r="H169" i="11"/>
  <c r="J169" i="11"/>
  <c r="L169" i="11"/>
  <c r="N169" i="11"/>
  <c r="P169" i="11"/>
  <c r="O169" i="11" s="1"/>
  <c r="R169" i="11"/>
  <c r="Q169" i="11" s="1"/>
  <c r="T169" i="11"/>
  <c r="S169" i="11" s="1"/>
  <c r="A170" i="11"/>
  <c r="C170" i="11"/>
  <c r="D170" i="11"/>
  <c r="E170" i="11"/>
  <c r="F170" i="11"/>
  <c r="G170" i="11"/>
  <c r="H170" i="11"/>
  <c r="J170" i="11"/>
  <c r="L170" i="11"/>
  <c r="N170" i="11"/>
  <c r="O170" i="11"/>
  <c r="P170" i="11"/>
  <c r="Q170" i="11"/>
  <c r="R170" i="11"/>
  <c r="S170" i="11"/>
  <c r="T170" i="11"/>
  <c r="A171" i="11"/>
  <c r="C171" i="11"/>
  <c r="D171" i="11"/>
  <c r="E171" i="11"/>
  <c r="F171" i="11"/>
  <c r="G171" i="11"/>
  <c r="H171" i="11"/>
  <c r="J171" i="11"/>
  <c r="L171" i="11"/>
  <c r="N171" i="11"/>
  <c r="P171" i="11"/>
  <c r="O171" i="11" s="1"/>
  <c r="R171" i="11"/>
  <c r="Q171" i="11" s="1"/>
  <c r="T171" i="11"/>
  <c r="S171" i="11" s="1"/>
  <c r="A172" i="11"/>
  <c r="C172" i="11"/>
  <c r="D172" i="11"/>
  <c r="E172" i="11"/>
  <c r="F172" i="11"/>
  <c r="G172" i="11"/>
  <c r="H172" i="11"/>
  <c r="J172" i="11"/>
  <c r="L172" i="11"/>
  <c r="N172" i="11"/>
  <c r="O172" i="11"/>
  <c r="P172" i="11"/>
  <c r="Q172" i="11"/>
  <c r="R172" i="11"/>
  <c r="S172" i="11"/>
  <c r="T172" i="11"/>
  <c r="A173" i="11"/>
  <c r="C173" i="11"/>
  <c r="D173" i="11"/>
  <c r="E173" i="11"/>
  <c r="F173" i="11"/>
  <c r="G173" i="11"/>
  <c r="H173" i="11"/>
  <c r="J173" i="11"/>
  <c r="L173" i="11"/>
  <c r="N173" i="11"/>
  <c r="P173" i="11"/>
  <c r="R173" i="11"/>
  <c r="Q173" i="11" s="1"/>
  <c r="T173" i="11"/>
  <c r="S173" i="11" s="1"/>
  <c r="A174" i="11"/>
  <c r="C174" i="11"/>
  <c r="D174" i="11"/>
  <c r="E174" i="11"/>
  <c r="F174" i="11"/>
  <c r="G174" i="11"/>
  <c r="H174" i="11"/>
  <c r="J174" i="11"/>
  <c r="L174" i="11"/>
  <c r="N174" i="11"/>
  <c r="P174" i="11"/>
  <c r="Q174" i="11"/>
  <c r="R174" i="11"/>
  <c r="S174" i="11"/>
  <c r="T174" i="11"/>
  <c r="A175" i="11"/>
  <c r="C175" i="11"/>
  <c r="D175" i="11"/>
  <c r="E175" i="11"/>
  <c r="F175" i="11"/>
  <c r="G175" i="11"/>
  <c r="H175" i="11"/>
  <c r="J175" i="11"/>
  <c r="L175" i="11"/>
  <c r="N175" i="11"/>
  <c r="P175" i="11"/>
  <c r="R175" i="11"/>
  <c r="Q175" i="11" s="1"/>
  <c r="T175" i="11"/>
  <c r="S175" i="11" s="1"/>
  <c r="A176" i="11"/>
  <c r="C176" i="11"/>
  <c r="D176" i="11"/>
  <c r="E176" i="11"/>
  <c r="F176" i="11"/>
  <c r="G176" i="11"/>
  <c r="H176" i="11"/>
  <c r="J176" i="11"/>
  <c r="L176" i="11"/>
  <c r="N176" i="11"/>
  <c r="P176" i="11"/>
  <c r="Q176" i="11"/>
  <c r="R176" i="11"/>
  <c r="S176" i="11"/>
  <c r="T176" i="11"/>
  <c r="A177" i="11"/>
  <c r="C177" i="11"/>
  <c r="D177" i="11"/>
  <c r="E177" i="11"/>
  <c r="F177" i="11"/>
  <c r="G177" i="11"/>
  <c r="H177" i="11"/>
  <c r="J177" i="11"/>
  <c r="L177" i="11"/>
  <c r="N177" i="11"/>
  <c r="P177" i="11"/>
  <c r="R177" i="11"/>
  <c r="T177" i="11"/>
  <c r="S177" i="11" s="1"/>
  <c r="A178" i="11"/>
  <c r="C178" i="11"/>
  <c r="D178" i="11"/>
  <c r="E178" i="11"/>
  <c r="F178" i="11"/>
  <c r="G178" i="11"/>
  <c r="H178" i="11"/>
  <c r="J178" i="11"/>
  <c r="L178" i="11"/>
  <c r="N178" i="11"/>
  <c r="P178" i="11"/>
  <c r="R178" i="11"/>
  <c r="S178" i="11"/>
  <c r="T178" i="11"/>
  <c r="A179" i="11"/>
  <c r="B179" i="11"/>
  <c r="C179" i="11"/>
  <c r="D179" i="11"/>
  <c r="E179" i="11"/>
  <c r="F179" i="11"/>
  <c r="G179" i="11"/>
  <c r="H179" i="11"/>
  <c r="I179" i="11"/>
  <c r="J179" i="11"/>
  <c r="K179" i="11"/>
  <c r="L179" i="11"/>
  <c r="M179" i="11"/>
  <c r="N179" i="11"/>
  <c r="O179" i="11"/>
  <c r="P179" i="11"/>
  <c r="Q179" i="11"/>
  <c r="R179" i="11"/>
  <c r="S179" i="11"/>
  <c r="T179" i="11"/>
  <c r="A180" i="11"/>
  <c r="C180" i="11"/>
  <c r="D180" i="11"/>
  <c r="E180" i="11"/>
  <c r="F180" i="11"/>
  <c r="G180" i="11"/>
  <c r="H180" i="11"/>
  <c r="J180" i="11"/>
  <c r="L180" i="11"/>
  <c r="N180" i="11"/>
  <c r="P180" i="11"/>
  <c r="O180" i="11" s="1"/>
  <c r="R180" i="11"/>
  <c r="Q180" i="11" s="1"/>
  <c r="T180" i="11"/>
  <c r="S180" i="11" s="1"/>
  <c r="A181" i="11"/>
  <c r="C181" i="11"/>
  <c r="D181" i="11"/>
  <c r="E181" i="11"/>
  <c r="F181" i="11"/>
  <c r="G181" i="11"/>
  <c r="H181" i="11"/>
  <c r="J181" i="11"/>
  <c r="L181" i="11"/>
  <c r="N181" i="11"/>
  <c r="O181" i="11"/>
  <c r="P181" i="11"/>
  <c r="Q181" i="11"/>
  <c r="R181" i="11"/>
  <c r="S181" i="11"/>
  <c r="T181" i="11"/>
  <c r="A182" i="11"/>
  <c r="C182" i="11"/>
  <c r="D182" i="11"/>
  <c r="E182" i="11"/>
  <c r="F182" i="11"/>
  <c r="G182" i="11"/>
  <c r="H182" i="11"/>
  <c r="J182" i="11"/>
  <c r="L182" i="11"/>
  <c r="N182" i="11"/>
  <c r="P182" i="11"/>
  <c r="O182" i="11" s="1"/>
  <c r="R182" i="11"/>
  <c r="Q182" i="11" s="1"/>
  <c r="T182" i="11"/>
  <c r="S182" i="11" s="1"/>
  <c r="A183" i="11"/>
  <c r="C183" i="11"/>
  <c r="D183" i="11"/>
  <c r="E183" i="11"/>
  <c r="F183" i="11"/>
  <c r="G183" i="11"/>
  <c r="H183" i="11"/>
  <c r="J183" i="11"/>
  <c r="L183" i="11"/>
  <c r="N183" i="11"/>
  <c r="O183" i="11"/>
  <c r="P183" i="11"/>
  <c r="Q183" i="11"/>
  <c r="R183" i="11"/>
  <c r="S183" i="11"/>
  <c r="T183" i="11"/>
  <c r="A184" i="11"/>
  <c r="C184" i="11"/>
  <c r="D184" i="11"/>
  <c r="E184" i="11"/>
  <c r="F184" i="11"/>
  <c r="G184" i="11"/>
  <c r="H184" i="11"/>
  <c r="J184" i="11"/>
  <c r="L184" i="11"/>
  <c r="N184" i="11"/>
  <c r="P184" i="11"/>
  <c r="R184" i="11"/>
  <c r="Q184" i="11" s="1"/>
  <c r="T184" i="11"/>
  <c r="S184" i="11" s="1"/>
  <c r="A185" i="11"/>
  <c r="C185" i="11"/>
  <c r="D185" i="11"/>
  <c r="E185" i="11"/>
  <c r="F185" i="11"/>
  <c r="G185" i="11"/>
  <c r="H185" i="11"/>
  <c r="J185" i="11"/>
  <c r="L185" i="11"/>
  <c r="N185" i="11"/>
  <c r="P185" i="11"/>
  <c r="Q185" i="11"/>
  <c r="R185" i="11"/>
  <c r="S185" i="11"/>
  <c r="T185" i="11"/>
  <c r="A186" i="11"/>
  <c r="C186" i="11"/>
  <c r="D186" i="11"/>
  <c r="E186" i="11"/>
  <c r="F186" i="11"/>
  <c r="G186" i="11"/>
  <c r="H186" i="11"/>
  <c r="J186" i="11"/>
  <c r="L186" i="11"/>
  <c r="N186" i="11"/>
  <c r="P186" i="11"/>
  <c r="R186" i="11"/>
  <c r="Q186" i="11" s="1"/>
  <c r="T186" i="11"/>
  <c r="S186" i="11" s="1"/>
  <c r="A187" i="11"/>
  <c r="C187" i="11"/>
  <c r="D187" i="11"/>
  <c r="E187" i="11"/>
  <c r="F187" i="11"/>
  <c r="G187" i="11"/>
  <c r="H187" i="11"/>
  <c r="J187" i="11"/>
  <c r="L187" i="11"/>
  <c r="N187" i="11"/>
  <c r="P187" i="11"/>
  <c r="Q187" i="11"/>
  <c r="R187" i="11"/>
  <c r="S187" i="11"/>
  <c r="T187" i="11"/>
  <c r="A188" i="11"/>
  <c r="C188" i="11"/>
  <c r="D188" i="11"/>
  <c r="E188" i="11"/>
  <c r="F188" i="11"/>
  <c r="G188" i="11"/>
  <c r="H188" i="11"/>
  <c r="J188" i="11"/>
  <c r="L188" i="11"/>
  <c r="N188" i="11"/>
  <c r="P188" i="11"/>
  <c r="R188" i="11"/>
  <c r="T188" i="11"/>
  <c r="S188" i="11" s="1"/>
  <c r="A189" i="11"/>
  <c r="C189" i="11"/>
  <c r="D189" i="11"/>
  <c r="E189" i="11"/>
  <c r="F189" i="11"/>
  <c r="G189" i="11"/>
  <c r="H189" i="11"/>
  <c r="J189" i="11"/>
  <c r="L189" i="11"/>
  <c r="N189" i="11"/>
  <c r="P189" i="11"/>
  <c r="R189" i="11"/>
  <c r="S189" i="11"/>
  <c r="T189" i="11"/>
  <c r="A190" i="11"/>
  <c r="B190" i="11"/>
  <c r="C190" i="11"/>
  <c r="D190" i="11"/>
  <c r="E190" i="11"/>
  <c r="F190" i="11"/>
  <c r="G190" i="11"/>
  <c r="H190" i="11"/>
  <c r="I190" i="11"/>
  <c r="J190" i="11"/>
  <c r="K190" i="11"/>
  <c r="L190" i="11"/>
  <c r="M190" i="11"/>
  <c r="N190" i="11"/>
  <c r="O190" i="11"/>
  <c r="P190" i="11"/>
  <c r="Q190" i="11"/>
  <c r="R190" i="11"/>
  <c r="S190" i="11"/>
  <c r="T190" i="11"/>
  <c r="A191" i="11"/>
  <c r="C191" i="11"/>
  <c r="D191" i="11"/>
  <c r="E191" i="11"/>
  <c r="F191" i="11"/>
  <c r="G191" i="11"/>
  <c r="H191" i="11"/>
  <c r="J191" i="11"/>
  <c r="L191" i="11"/>
  <c r="N191" i="11"/>
  <c r="P191" i="11"/>
  <c r="O191" i="11" s="1"/>
  <c r="Q191" i="11"/>
  <c r="R191" i="11"/>
  <c r="T191" i="11"/>
  <c r="S191" i="11" s="1"/>
  <c r="A192" i="11"/>
  <c r="C192" i="11"/>
  <c r="D192" i="11"/>
  <c r="E192" i="11"/>
  <c r="F192" i="11"/>
  <c r="G192" i="11"/>
  <c r="H192" i="11"/>
  <c r="J192" i="11"/>
  <c r="L192" i="11"/>
  <c r="N192" i="11"/>
  <c r="O192" i="11"/>
  <c r="P192" i="11"/>
  <c r="Q192" i="11"/>
  <c r="R192" i="11"/>
  <c r="S192" i="11"/>
  <c r="T192" i="11"/>
  <c r="A193" i="11"/>
  <c r="C193" i="11"/>
  <c r="D193" i="11"/>
  <c r="E193" i="11"/>
  <c r="F193" i="11"/>
  <c r="G193" i="11"/>
  <c r="H193" i="11"/>
  <c r="J193" i="11"/>
  <c r="L193" i="11"/>
  <c r="N193" i="11"/>
  <c r="O193" i="11"/>
  <c r="P193" i="11"/>
  <c r="R193" i="11"/>
  <c r="Q193" i="11" s="1"/>
  <c r="T193" i="11"/>
  <c r="S193" i="11" s="1"/>
  <c r="A194" i="11"/>
  <c r="C194" i="11"/>
  <c r="D194" i="11"/>
  <c r="E194" i="11"/>
  <c r="F194" i="11"/>
  <c r="G194" i="11"/>
  <c r="H194" i="11"/>
  <c r="J194" i="11"/>
  <c r="L194" i="11"/>
  <c r="N194" i="11"/>
  <c r="O194" i="11"/>
  <c r="P194" i="11"/>
  <c r="Q194" i="11"/>
  <c r="R194" i="11"/>
  <c r="S194" i="11"/>
  <c r="T194" i="11"/>
  <c r="A195" i="11"/>
  <c r="C195" i="11"/>
  <c r="D195" i="11"/>
  <c r="E195" i="11"/>
  <c r="F195" i="11"/>
  <c r="G195" i="11"/>
  <c r="H195" i="11"/>
  <c r="J195" i="11"/>
  <c r="L195" i="11"/>
  <c r="N195" i="11"/>
  <c r="P195" i="11"/>
  <c r="O195" i="11" s="1"/>
  <c r="Q195" i="11"/>
  <c r="R195" i="11"/>
  <c r="T195" i="11"/>
  <c r="S195" i="11" s="1"/>
  <c r="A196" i="11"/>
  <c r="C196" i="11"/>
  <c r="D196" i="11"/>
  <c r="E196" i="11"/>
  <c r="F196" i="11"/>
  <c r="G196" i="11"/>
  <c r="H196" i="11"/>
  <c r="J196" i="11"/>
  <c r="L196" i="11"/>
  <c r="N196" i="11"/>
  <c r="O196" i="11"/>
  <c r="P196" i="11"/>
  <c r="Q196" i="11"/>
  <c r="R196" i="11"/>
  <c r="S196" i="11"/>
  <c r="T196" i="11"/>
  <c r="A197" i="11"/>
  <c r="C197" i="11"/>
  <c r="D197" i="11"/>
  <c r="E197" i="11"/>
  <c r="F197" i="11"/>
  <c r="G197" i="11"/>
  <c r="H197" i="11"/>
  <c r="J197" i="11"/>
  <c r="L197" i="11"/>
  <c r="N197" i="11"/>
  <c r="O197" i="11"/>
  <c r="P197" i="11"/>
  <c r="R197" i="11"/>
  <c r="Q197" i="11" s="1"/>
  <c r="T197" i="11"/>
  <c r="S197" i="11" s="1"/>
  <c r="A198" i="11"/>
  <c r="C198" i="11"/>
  <c r="D198" i="11"/>
  <c r="E198" i="11"/>
  <c r="F198" i="11"/>
  <c r="G198" i="11"/>
  <c r="H198" i="11"/>
  <c r="J198" i="11"/>
  <c r="L198" i="11"/>
  <c r="N198" i="11"/>
  <c r="O198" i="11"/>
  <c r="P198" i="11"/>
  <c r="Q198" i="11"/>
  <c r="R198" i="11"/>
  <c r="S198" i="11"/>
  <c r="T198" i="11"/>
  <c r="A199" i="11"/>
  <c r="C199" i="11"/>
  <c r="D199" i="11"/>
  <c r="E199" i="11"/>
  <c r="F199" i="11"/>
  <c r="G199" i="11"/>
  <c r="H199" i="11"/>
  <c r="J199" i="11"/>
  <c r="L199" i="11"/>
  <c r="N199" i="11"/>
  <c r="P199" i="11"/>
  <c r="O199" i="11" s="1"/>
  <c r="Q199" i="11"/>
  <c r="R199" i="11"/>
  <c r="T199" i="11"/>
  <c r="S199" i="11" s="1"/>
  <c r="A200" i="11"/>
  <c r="C200" i="11"/>
  <c r="D200" i="11"/>
  <c r="E200" i="11"/>
  <c r="F200" i="11"/>
  <c r="G200" i="11"/>
  <c r="H200" i="11"/>
  <c r="J200" i="11"/>
  <c r="L200" i="11"/>
  <c r="N200" i="11"/>
  <c r="O200" i="11"/>
  <c r="P200" i="11"/>
  <c r="Q200" i="11"/>
  <c r="R200" i="11"/>
  <c r="S200" i="11"/>
  <c r="T200" i="11"/>
  <c r="A201" i="11"/>
  <c r="C201" i="11"/>
  <c r="D201" i="11"/>
  <c r="E201" i="11"/>
  <c r="F201" i="11"/>
  <c r="G201" i="11"/>
  <c r="H201" i="11"/>
  <c r="J201" i="11"/>
  <c r="L201" i="11"/>
  <c r="N201" i="11"/>
  <c r="O201" i="11"/>
  <c r="P201" i="11"/>
  <c r="R201" i="11"/>
  <c r="Q201" i="11" s="1"/>
  <c r="T201" i="11"/>
  <c r="S201" i="11" s="1"/>
  <c r="A202" i="11"/>
  <c r="C202" i="11"/>
  <c r="D202" i="11"/>
  <c r="E202" i="11"/>
  <c r="F202" i="11"/>
  <c r="G202" i="11"/>
  <c r="H202" i="11"/>
  <c r="J202" i="11"/>
  <c r="L202" i="11"/>
  <c r="N202" i="11"/>
  <c r="O202" i="11"/>
  <c r="P202" i="11"/>
  <c r="Q202" i="11"/>
  <c r="R202" i="11"/>
  <c r="S202" i="11"/>
  <c r="T202" i="11"/>
  <c r="A203" i="11"/>
  <c r="C203" i="11"/>
  <c r="D203" i="11"/>
  <c r="E203" i="11"/>
  <c r="F203" i="11"/>
  <c r="G203" i="11"/>
  <c r="H203" i="11"/>
  <c r="J203" i="11"/>
  <c r="L203" i="11"/>
  <c r="N203" i="11"/>
  <c r="P203" i="11"/>
  <c r="O203" i="11" s="1"/>
  <c r="Q203" i="11"/>
  <c r="R203" i="11"/>
  <c r="T203" i="11"/>
  <c r="S203" i="11" s="1"/>
  <c r="A204" i="11"/>
  <c r="C204" i="11"/>
  <c r="D204" i="11"/>
  <c r="E204" i="11"/>
  <c r="F204" i="11"/>
  <c r="G204" i="11"/>
  <c r="H204" i="11"/>
  <c r="J204" i="11"/>
  <c r="L204" i="11"/>
  <c r="N204" i="11"/>
  <c r="O204" i="11"/>
  <c r="P204" i="11"/>
  <c r="Q204" i="11"/>
  <c r="R204" i="11"/>
  <c r="S204" i="11"/>
  <c r="T204" i="11"/>
  <c r="A205" i="11"/>
  <c r="C205" i="11"/>
  <c r="D205" i="11"/>
  <c r="E205" i="11"/>
  <c r="F205" i="11"/>
  <c r="G205" i="11"/>
  <c r="H205" i="11"/>
  <c r="J205" i="11"/>
  <c r="L205" i="11"/>
  <c r="N205" i="11"/>
  <c r="O205" i="11"/>
  <c r="P205" i="11"/>
  <c r="R205" i="11"/>
  <c r="Q205" i="11" s="1"/>
  <c r="T205" i="11"/>
  <c r="S205" i="11" s="1"/>
  <c r="A206" i="11"/>
  <c r="C206" i="11"/>
  <c r="D206" i="11"/>
  <c r="E206" i="11"/>
  <c r="F206" i="11"/>
  <c r="G206" i="11"/>
  <c r="H206" i="11"/>
  <c r="J206" i="11"/>
  <c r="L206" i="11"/>
  <c r="N206" i="11"/>
  <c r="O206" i="11"/>
  <c r="P206" i="11"/>
  <c r="Q206" i="11"/>
  <c r="R206" i="11"/>
  <c r="S206" i="11"/>
  <c r="T206" i="11"/>
  <c r="A207" i="11"/>
  <c r="C207" i="11"/>
  <c r="D207" i="11"/>
  <c r="E207" i="11"/>
  <c r="F207" i="11"/>
  <c r="G207" i="11"/>
  <c r="H207" i="11"/>
  <c r="J207" i="11"/>
  <c r="L207" i="11"/>
  <c r="N207" i="11"/>
  <c r="P207" i="11"/>
  <c r="O207" i="11" s="1"/>
  <c r="Q207" i="11"/>
  <c r="R207" i="11"/>
  <c r="T207" i="11"/>
  <c r="S207" i="11" s="1"/>
  <c r="A208" i="11"/>
  <c r="C208" i="11"/>
  <c r="D208" i="11"/>
  <c r="E208" i="11"/>
  <c r="F208" i="11"/>
  <c r="G208" i="11"/>
  <c r="H208" i="11"/>
  <c r="J208" i="11"/>
  <c r="L208" i="11"/>
  <c r="N208" i="11"/>
  <c r="O208" i="11"/>
  <c r="P208" i="11"/>
  <c r="Q208" i="11"/>
  <c r="R208" i="11"/>
  <c r="S208" i="11"/>
  <c r="T208" i="11"/>
  <c r="A209" i="11"/>
  <c r="C209" i="11"/>
  <c r="D209" i="11"/>
  <c r="E209" i="11"/>
  <c r="F209" i="11"/>
  <c r="G209" i="11"/>
  <c r="H209" i="11"/>
  <c r="J209" i="11"/>
  <c r="L209" i="11"/>
  <c r="N209" i="11"/>
  <c r="O209" i="11"/>
  <c r="P209" i="11"/>
  <c r="R209" i="11"/>
  <c r="Q209" i="11" s="1"/>
  <c r="T209" i="11"/>
  <c r="S209" i="11" s="1"/>
  <c r="A210" i="11"/>
  <c r="C210" i="11"/>
  <c r="D210" i="11"/>
  <c r="E210" i="11"/>
  <c r="F210" i="11"/>
  <c r="G210" i="11"/>
  <c r="H210" i="11"/>
  <c r="J210" i="11"/>
  <c r="L210" i="11"/>
  <c r="N210" i="11"/>
  <c r="O210" i="11"/>
  <c r="P210" i="11"/>
  <c r="Q210" i="11"/>
  <c r="R210" i="11"/>
  <c r="S210" i="11"/>
  <c r="T210" i="11"/>
  <c r="A211" i="11"/>
  <c r="C211" i="11"/>
  <c r="D211" i="11"/>
  <c r="E211" i="11"/>
  <c r="F211" i="11"/>
  <c r="G211" i="11"/>
  <c r="H211" i="11"/>
  <c r="J211" i="11"/>
  <c r="L211" i="11"/>
  <c r="N211" i="11"/>
  <c r="P211" i="11"/>
  <c r="Q211" i="11"/>
  <c r="R211" i="11"/>
  <c r="T211" i="11"/>
  <c r="S211" i="11" s="1"/>
  <c r="A212" i="11"/>
  <c r="C212" i="11"/>
  <c r="D212" i="11"/>
  <c r="E212" i="11"/>
  <c r="F212" i="11"/>
  <c r="G212" i="11"/>
  <c r="H212" i="11"/>
  <c r="J212" i="11"/>
  <c r="L212" i="11"/>
  <c r="N212" i="11"/>
  <c r="P212" i="11"/>
  <c r="Q212" i="11"/>
  <c r="R212" i="11"/>
  <c r="S212" i="11"/>
  <c r="T212" i="11"/>
  <c r="A213" i="11"/>
  <c r="C213" i="11"/>
  <c r="D213" i="11"/>
  <c r="E213" i="11"/>
  <c r="F213" i="11"/>
  <c r="G213" i="11"/>
  <c r="H213" i="11"/>
  <c r="J213" i="11"/>
  <c r="L213" i="11"/>
  <c r="N213" i="11"/>
  <c r="P213" i="11"/>
  <c r="R213" i="11"/>
  <c r="Q213" i="11" s="1"/>
  <c r="T213" i="11"/>
  <c r="S213" i="11" s="1"/>
  <c r="A214" i="11"/>
  <c r="C214" i="11"/>
  <c r="D214" i="11"/>
  <c r="E214" i="11"/>
  <c r="F214" i="11"/>
  <c r="G214" i="11"/>
  <c r="H214" i="11"/>
  <c r="J214" i="11"/>
  <c r="L214" i="11"/>
  <c r="N214" i="11"/>
  <c r="P214" i="11"/>
  <c r="Q214" i="11"/>
  <c r="R214" i="11"/>
  <c r="S214" i="11"/>
  <c r="T214" i="11"/>
  <c r="A215" i="11"/>
  <c r="C215" i="11"/>
  <c r="D215" i="11"/>
  <c r="E215" i="11"/>
  <c r="F215" i="11"/>
  <c r="G215" i="11"/>
  <c r="H215" i="11"/>
  <c r="J215" i="11"/>
  <c r="L215" i="11"/>
  <c r="N215" i="11"/>
  <c r="P215" i="11"/>
  <c r="Q215" i="11"/>
  <c r="R215" i="11"/>
  <c r="T215" i="11"/>
  <c r="S215" i="11" s="1"/>
  <c r="A216" i="11"/>
  <c r="C216" i="11"/>
  <c r="D216" i="11"/>
  <c r="E216" i="11"/>
  <c r="F216" i="11"/>
  <c r="G216" i="11"/>
  <c r="H216" i="11"/>
  <c r="J216" i="11"/>
  <c r="L216" i="11"/>
  <c r="N216" i="11"/>
  <c r="P216" i="11"/>
  <c r="Q216" i="11"/>
  <c r="R216" i="11"/>
  <c r="S216" i="11"/>
  <c r="T216" i="11"/>
  <c r="A217" i="11"/>
  <c r="C217" i="11"/>
  <c r="D217" i="11"/>
  <c r="E217" i="11"/>
  <c r="F217" i="11"/>
  <c r="G217" i="11"/>
  <c r="H217" i="11"/>
  <c r="J217" i="11"/>
  <c r="L217" i="11"/>
  <c r="N217" i="11"/>
  <c r="P217" i="11"/>
  <c r="R217" i="11"/>
  <c r="Q217" i="11" s="1"/>
  <c r="T217" i="11"/>
  <c r="S217" i="11" s="1"/>
  <c r="A218" i="11"/>
  <c r="C218" i="11"/>
  <c r="D218" i="11"/>
  <c r="E218" i="11"/>
  <c r="F218" i="11"/>
  <c r="G218" i="11"/>
  <c r="H218" i="11"/>
  <c r="J218" i="11"/>
  <c r="L218" i="11"/>
  <c r="N218" i="11"/>
  <c r="P218" i="11"/>
  <c r="Q218" i="11"/>
  <c r="R218" i="11"/>
  <c r="S218" i="11"/>
  <c r="T218" i="11"/>
  <c r="A219" i="11"/>
  <c r="C219" i="11"/>
  <c r="D219" i="11"/>
  <c r="E219" i="11"/>
  <c r="F219" i="11"/>
  <c r="G219" i="11"/>
  <c r="H219" i="11"/>
  <c r="J219" i="11"/>
  <c r="L219" i="11"/>
  <c r="N219" i="11"/>
  <c r="P219" i="11"/>
  <c r="Q219" i="11"/>
  <c r="R219" i="11"/>
  <c r="T219" i="11"/>
  <c r="S219" i="11" s="1"/>
  <c r="A220" i="11"/>
  <c r="C220" i="11"/>
  <c r="D220" i="11"/>
  <c r="E220" i="11"/>
  <c r="F220" i="11"/>
  <c r="G220" i="11"/>
  <c r="H220" i="11"/>
  <c r="J220" i="11"/>
  <c r="L220" i="11"/>
  <c r="N220" i="11"/>
  <c r="P220" i="11"/>
  <c r="Q220" i="11"/>
  <c r="R220" i="11"/>
  <c r="S220" i="11"/>
  <c r="T220" i="11"/>
  <c r="A221" i="11"/>
  <c r="C221" i="11"/>
  <c r="D221" i="11"/>
  <c r="E221" i="11"/>
  <c r="F221" i="11"/>
  <c r="G221" i="11"/>
  <c r="H221" i="11"/>
  <c r="J221" i="11"/>
  <c r="L221" i="11"/>
  <c r="N221" i="11"/>
  <c r="P221" i="11"/>
  <c r="R221" i="11"/>
  <c r="Q221" i="11" s="1"/>
  <c r="T221" i="11"/>
  <c r="S221" i="11" s="1"/>
  <c r="A222" i="11"/>
  <c r="C222" i="11"/>
  <c r="D222" i="11"/>
  <c r="E222" i="11"/>
  <c r="F222" i="11"/>
  <c r="G222" i="11"/>
  <c r="H222" i="11"/>
  <c r="J222" i="11"/>
  <c r="L222" i="11"/>
  <c r="N222" i="11"/>
  <c r="P222" i="11"/>
  <c r="Q222" i="11"/>
  <c r="R222" i="11"/>
  <c r="S222" i="11"/>
  <c r="T222" i="11"/>
  <c r="A223" i="11"/>
  <c r="C223" i="11"/>
  <c r="D223" i="11"/>
  <c r="E223" i="11"/>
  <c r="F223" i="11"/>
  <c r="G223" i="11"/>
  <c r="H223" i="11"/>
  <c r="J223" i="11"/>
  <c r="L223" i="11"/>
  <c r="N223" i="11"/>
  <c r="P223" i="11"/>
  <c r="Q223" i="11"/>
  <c r="R223" i="11"/>
  <c r="T223" i="11"/>
  <c r="S223" i="11" s="1"/>
  <c r="A224" i="11"/>
  <c r="C224" i="11"/>
  <c r="D224" i="11"/>
  <c r="E224" i="11"/>
  <c r="F224" i="11"/>
  <c r="G224" i="11"/>
  <c r="H224" i="11"/>
  <c r="J224" i="11"/>
  <c r="L224" i="11"/>
  <c r="N224" i="11"/>
  <c r="P224" i="11"/>
  <c r="Q224" i="11"/>
  <c r="R224" i="11"/>
  <c r="S224" i="11"/>
  <c r="T224" i="11"/>
  <c r="A225" i="11"/>
  <c r="C225" i="11"/>
  <c r="D225" i="11"/>
  <c r="E225" i="11"/>
  <c r="F225" i="11"/>
  <c r="G225" i="11"/>
  <c r="H225" i="11"/>
  <c r="J225" i="11"/>
  <c r="L225" i="11"/>
  <c r="N225" i="11"/>
  <c r="P225" i="11"/>
  <c r="R225" i="11"/>
  <c r="Q225" i="11" s="1"/>
  <c r="T225" i="11"/>
  <c r="S225" i="11" s="1"/>
  <c r="A226" i="11"/>
  <c r="C226" i="11"/>
  <c r="D226" i="11"/>
  <c r="E226" i="11"/>
  <c r="F226" i="11"/>
  <c r="G226" i="11"/>
  <c r="H226" i="11"/>
  <c r="J226" i="11"/>
  <c r="L226" i="11"/>
  <c r="N226" i="11"/>
  <c r="P226" i="11"/>
  <c r="Q226" i="11"/>
  <c r="R226" i="11"/>
  <c r="S226" i="11"/>
  <c r="T226" i="11"/>
  <c r="A227" i="11"/>
  <c r="C227" i="11"/>
  <c r="D227" i="11"/>
  <c r="E227" i="11"/>
  <c r="F227" i="11"/>
  <c r="G227" i="11"/>
  <c r="H227" i="11"/>
  <c r="J227" i="11"/>
  <c r="L227" i="11"/>
  <c r="N227" i="11"/>
  <c r="P227" i="11"/>
  <c r="Q227" i="11"/>
  <c r="R227" i="11"/>
  <c r="T227" i="11"/>
  <c r="S227" i="11" s="1"/>
  <c r="A228" i="11"/>
  <c r="C228" i="11"/>
  <c r="D228" i="11"/>
  <c r="E228" i="11"/>
  <c r="F228" i="11"/>
  <c r="G228" i="11"/>
  <c r="H228" i="11"/>
  <c r="J228" i="11"/>
  <c r="L228" i="11"/>
  <c r="N228" i="11"/>
  <c r="P228" i="11"/>
  <c r="Q228" i="11"/>
  <c r="R228" i="11"/>
  <c r="S228" i="11"/>
  <c r="T228" i="11"/>
  <c r="A229" i="11"/>
  <c r="C229" i="11"/>
  <c r="D229" i="11"/>
  <c r="E229" i="11"/>
  <c r="F229" i="11"/>
  <c r="G229" i="11"/>
  <c r="H229" i="11"/>
  <c r="J229" i="11"/>
  <c r="L229" i="11"/>
  <c r="N229" i="11"/>
  <c r="P229" i="11"/>
  <c r="R229" i="11"/>
  <c r="Q229" i="11" s="1"/>
  <c r="T229" i="11"/>
  <c r="S229" i="11" s="1"/>
  <c r="A230" i="11"/>
  <c r="C230" i="11"/>
  <c r="D230" i="11"/>
  <c r="E230" i="11"/>
  <c r="F230" i="11"/>
  <c r="G230" i="11"/>
  <c r="H230" i="11"/>
  <c r="J230" i="11"/>
  <c r="L230" i="11"/>
  <c r="N230" i="11"/>
  <c r="P230" i="11"/>
  <c r="Q230" i="11"/>
  <c r="R230" i="11"/>
  <c r="S230" i="11"/>
  <c r="T230" i="11"/>
  <c r="A231" i="11"/>
  <c r="C231" i="11"/>
  <c r="D231" i="11"/>
  <c r="E231" i="11"/>
  <c r="F231" i="11"/>
  <c r="G231" i="11"/>
  <c r="H231" i="11"/>
  <c r="J231" i="11"/>
  <c r="L231" i="11"/>
  <c r="N231" i="11"/>
  <c r="P231" i="11"/>
  <c r="R231" i="11"/>
  <c r="T231" i="11"/>
  <c r="S231" i="11" s="1"/>
  <c r="A232" i="11"/>
  <c r="C232" i="11"/>
  <c r="D232" i="11"/>
  <c r="E232" i="11"/>
  <c r="F232" i="11"/>
  <c r="G232" i="11"/>
  <c r="H232" i="11"/>
  <c r="J232" i="11"/>
  <c r="L232" i="11"/>
  <c r="N232" i="11"/>
  <c r="P232" i="11"/>
  <c r="R232" i="11"/>
  <c r="S232" i="11"/>
  <c r="T232" i="11"/>
  <c r="A233" i="11"/>
  <c r="C233" i="11"/>
  <c r="D233" i="11"/>
  <c r="E233" i="11"/>
  <c r="F233" i="11"/>
  <c r="G233" i="11"/>
  <c r="H233" i="11"/>
  <c r="J233" i="11"/>
  <c r="L233" i="11"/>
  <c r="N233" i="11"/>
  <c r="P233" i="11"/>
  <c r="R233" i="11"/>
  <c r="T233" i="11"/>
  <c r="S233" i="11" s="1"/>
  <c r="A234" i="11"/>
  <c r="C234" i="11"/>
  <c r="D234" i="11"/>
  <c r="E234" i="11"/>
  <c r="F234" i="11"/>
  <c r="G234" i="11"/>
  <c r="H234" i="11"/>
  <c r="J234" i="11"/>
  <c r="L234" i="11"/>
  <c r="N234" i="11"/>
  <c r="P234" i="11"/>
  <c r="R234" i="11"/>
  <c r="S234" i="11"/>
  <c r="T234" i="11"/>
  <c r="A235" i="11"/>
  <c r="C235" i="11"/>
  <c r="D235" i="11"/>
  <c r="E235" i="11"/>
  <c r="F235" i="11"/>
  <c r="G235" i="11"/>
  <c r="H235" i="11"/>
  <c r="J235" i="11"/>
  <c r="L235" i="11"/>
  <c r="N235" i="11"/>
  <c r="P235" i="11"/>
  <c r="R235" i="11"/>
  <c r="T235" i="11"/>
  <c r="S235" i="11" s="1"/>
  <c r="A236" i="11"/>
  <c r="C236" i="11"/>
  <c r="D236" i="11"/>
  <c r="E236" i="11"/>
  <c r="F236" i="11"/>
  <c r="G236" i="11"/>
  <c r="H236" i="11"/>
  <c r="J236" i="11"/>
  <c r="L236" i="11"/>
  <c r="N236" i="11"/>
  <c r="P236" i="11"/>
  <c r="R236" i="11"/>
  <c r="S236" i="11"/>
  <c r="T236" i="11"/>
  <c r="A237" i="11"/>
  <c r="C237" i="11"/>
  <c r="D237" i="11"/>
  <c r="E237" i="11"/>
  <c r="F237" i="11"/>
  <c r="G237" i="11"/>
  <c r="H237" i="11"/>
  <c r="J237" i="11"/>
  <c r="L237" i="11"/>
  <c r="N237" i="11"/>
  <c r="P237" i="11"/>
  <c r="R237" i="11"/>
  <c r="S237" i="11"/>
  <c r="T237" i="11"/>
  <c r="A238" i="11"/>
  <c r="C238" i="11"/>
  <c r="D238" i="11"/>
  <c r="E238" i="11"/>
  <c r="F238" i="11"/>
  <c r="G238" i="11"/>
  <c r="H238" i="11"/>
  <c r="J238" i="11"/>
  <c r="L238" i="11"/>
  <c r="N238" i="11"/>
  <c r="P238" i="11"/>
  <c r="R238" i="11"/>
  <c r="T238" i="11"/>
  <c r="S238" i="11" s="1"/>
  <c r="A239" i="11"/>
  <c r="C239" i="11"/>
  <c r="D239" i="11"/>
  <c r="E239" i="11"/>
  <c r="F239" i="11"/>
  <c r="G239" i="11"/>
  <c r="H239" i="11"/>
  <c r="J239" i="11"/>
  <c r="L239" i="11"/>
  <c r="N239" i="11"/>
  <c r="P239" i="11"/>
  <c r="R239" i="11"/>
  <c r="S239" i="11"/>
  <c r="T239" i="11"/>
  <c r="A240" i="11"/>
  <c r="C240" i="11"/>
  <c r="D240" i="11"/>
  <c r="E240" i="11"/>
  <c r="F240" i="11"/>
  <c r="G240" i="11"/>
  <c r="H240" i="11"/>
  <c r="J240" i="11"/>
  <c r="L240" i="11"/>
  <c r="N240" i="11"/>
  <c r="P240" i="11"/>
  <c r="R240" i="11"/>
  <c r="T240" i="11"/>
  <c r="S240" i="11" s="1"/>
  <c r="A241" i="11"/>
  <c r="B241" i="11"/>
  <c r="C241" i="11"/>
  <c r="D241" i="11"/>
  <c r="E241" i="11"/>
  <c r="F241" i="11"/>
  <c r="G241" i="11"/>
  <c r="H241" i="11"/>
  <c r="I241" i="11"/>
  <c r="J241" i="11"/>
  <c r="L241" i="11"/>
  <c r="K241" i="11" s="1"/>
  <c r="N241" i="11"/>
  <c r="M241" i="11" s="1"/>
  <c r="P241" i="11"/>
  <c r="O241" i="11" s="1"/>
  <c r="R241" i="11"/>
  <c r="Q241" i="11" s="1"/>
  <c r="T241" i="11"/>
  <c r="S241" i="11" s="1"/>
  <c r="A242" i="11"/>
  <c r="C242" i="11"/>
  <c r="D242" i="11"/>
  <c r="E242" i="11"/>
  <c r="F242" i="11"/>
  <c r="G242" i="11"/>
  <c r="H242" i="11"/>
  <c r="J242" i="11"/>
  <c r="L242" i="11"/>
  <c r="N242" i="11"/>
  <c r="O242" i="11"/>
  <c r="P242" i="11"/>
  <c r="Q242" i="11"/>
  <c r="R242" i="11"/>
  <c r="S242" i="11"/>
  <c r="T242" i="11"/>
  <c r="A243" i="11"/>
  <c r="C243" i="11"/>
  <c r="D243" i="11"/>
  <c r="E243" i="11"/>
  <c r="F243" i="11"/>
  <c r="G243" i="11"/>
  <c r="H243" i="11"/>
  <c r="J243" i="11"/>
  <c r="L243" i="11"/>
  <c r="N243" i="11"/>
  <c r="P243" i="11"/>
  <c r="O243" i="11" s="1"/>
  <c r="R243" i="11"/>
  <c r="Q243" i="11" s="1"/>
  <c r="T243" i="11"/>
  <c r="S243" i="11" s="1"/>
  <c r="A244" i="11"/>
  <c r="C244" i="11"/>
  <c r="D244" i="11"/>
  <c r="E244" i="11"/>
  <c r="F244" i="11"/>
  <c r="G244" i="11"/>
  <c r="H244" i="11"/>
  <c r="J244" i="11"/>
  <c r="L244" i="11"/>
  <c r="N244" i="11"/>
  <c r="O244" i="11"/>
  <c r="P244" i="11"/>
  <c r="Q244" i="11"/>
  <c r="R244" i="11"/>
  <c r="S244" i="11"/>
  <c r="T244" i="11"/>
  <c r="A245" i="11"/>
  <c r="C245" i="11"/>
  <c r="D245" i="11"/>
  <c r="E245" i="11"/>
  <c r="F245" i="11"/>
  <c r="G245" i="11"/>
  <c r="H245" i="11"/>
  <c r="J245" i="11"/>
  <c r="L245" i="11"/>
  <c r="N245" i="11"/>
  <c r="P245" i="11"/>
  <c r="O245" i="11" s="1"/>
  <c r="R245" i="11"/>
  <c r="Q245" i="11" s="1"/>
  <c r="T245" i="11"/>
  <c r="S245" i="11" s="1"/>
  <c r="A246" i="11"/>
  <c r="C246" i="11"/>
  <c r="D246" i="11"/>
  <c r="E246" i="11"/>
  <c r="F246" i="11"/>
  <c r="G246" i="11"/>
  <c r="H246" i="11"/>
  <c r="J246" i="11"/>
  <c r="L246" i="11"/>
  <c r="N246" i="11"/>
  <c r="O246" i="11"/>
  <c r="P246" i="11"/>
  <c r="Q246" i="11"/>
  <c r="R246" i="11"/>
  <c r="S246" i="11"/>
  <c r="T246" i="11"/>
  <c r="A247" i="11"/>
  <c r="C247" i="11"/>
  <c r="D247" i="11"/>
  <c r="E247" i="11"/>
  <c r="F247" i="11"/>
  <c r="G247" i="11"/>
  <c r="H247" i="11"/>
  <c r="J247" i="11"/>
  <c r="L247" i="11"/>
  <c r="N247" i="11"/>
  <c r="P247" i="11"/>
  <c r="O247" i="11" s="1"/>
  <c r="R247" i="11"/>
  <c r="Q247" i="11" s="1"/>
  <c r="T247" i="11"/>
  <c r="S247" i="11" s="1"/>
  <c r="A248" i="11"/>
  <c r="C248" i="11"/>
  <c r="D248" i="11"/>
  <c r="E248" i="11"/>
  <c r="F248" i="11"/>
  <c r="G248" i="11"/>
  <c r="H248" i="11"/>
  <c r="J248" i="11"/>
  <c r="L248" i="11"/>
  <c r="N248" i="11"/>
  <c r="O248" i="11"/>
  <c r="P248" i="11"/>
  <c r="Q248" i="11"/>
  <c r="R248" i="11"/>
  <c r="S248" i="11"/>
  <c r="T248" i="11"/>
  <c r="A249" i="11"/>
  <c r="C249" i="11"/>
  <c r="D249" i="11"/>
  <c r="E249" i="11"/>
  <c r="F249" i="11"/>
  <c r="G249" i="11"/>
  <c r="H249" i="11"/>
  <c r="J249" i="11"/>
  <c r="L249" i="11"/>
  <c r="N249" i="11"/>
  <c r="P249" i="11"/>
  <c r="O249" i="11" s="1"/>
  <c r="R249" i="11"/>
  <c r="Q249" i="11" s="1"/>
  <c r="T249" i="11"/>
  <c r="S249" i="11" s="1"/>
  <c r="A250" i="11"/>
  <c r="C250" i="11"/>
  <c r="D250" i="11"/>
  <c r="E250" i="11"/>
  <c r="F250" i="11"/>
  <c r="G250" i="11"/>
  <c r="H250" i="11"/>
  <c r="J250" i="11"/>
  <c r="L250" i="11"/>
  <c r="N250" i="11"/>
  <c r="O250" i="11"/>
  <c r="P250" i="11"/>
  <c r="Q250" i="11"/>
  <c r="R250" i="11"/>
  <c r="S250" i="11"/>
  <c r="T250" i="11"/>
  <c r="A251" i="11"/>
  <c r="C251" i="11"/>
  <c r="D251" i="11"/>
  <c r="E251" i="11"/>
  <c r="F251" i="11"/>
  <c r="G251" i="11"/>
  <c r="H251" i="11"/>
  <c r="J251" i="11"/>
  <c r="L251" i="11"/>
  <c r="N251" i="11"/>
  <c r="P251" i="11"/>
  <c r="O251" i="11" s="1"/>
  <c r="R251" i="11"/>
  <c r="Q251" i="11" s="1"/>
  <c r="T251" i="11"/>
  <c r="S251" i="11" s="1"/>
  <c r="A252" i="11"/>
  <c r="C252" i="11"/>
  <c r="D252" i="11"/>
  <c r="E252" i="11"/>
  <c r="F252" i="11"/>
  <c r="G252" i="11"/>
  <c r="H252" i="11"/>
  <c r="J252" i="11"/>
  <c r="L252" i="11"/>
  <c r="N252" i="11"/>
  <c r="O252" i="11"/>
  <c r="P252" i="11"/>
  <c r="Q252" i="11"/>
  <c r="R252" i="11"/>
  <c r="S252" i="11"/>
  <c r="T252" i="11"/>
  <c r="A253" i="11"/>
  <c r="C253" i="11"/>
  <c r="D253" i="11"/>
  <c r="E253" i="11"/>
  <c r="F253" i="11"/>
  <c r="G253" i="11"/>
  <c r="H253" i="11"/>
  <c r="J253" i="11"/>
  <c r="L253" i="11"/>
  <c r="N253" i="11"/>
  <c r="P253" i="11"/>
  <c r="O253" i="11" s="1"/>
  <c r="R253" i="11"/>
  <c r="Q253" i="11" s="1"/>
  <c r="T253" i="11"/>
  <c r="S253" i="11" s="1"/>
  <c r="A254" i="11"/>
  <c r="C254" i="11"/>
  <c r="D254" i="11"/>
  <c r="E254" i="11"/>
  <c r="F254" i="11"/>
  <c r="G254" i="11"/>
  <c r="H254" i="11"/>
  <c r="J254" i="11"/>
  <c r="L254" i="11"/>
  <c r="N254" i="11"/>
  <c r="O254" i="11"/>
  <c r="P254" i="11"/>
  <c r="Q254" i="11"/>
  <c r="R254" i="11"/>
  <c r="S254" i="11"/>
  <c r="T254" i="11"/>
  <c r="A255" i="11"/>
  <c r="C255" i="11"/>
  <c r="D255" i="11"/>
  <c r="E255" i="11"/>
  <c r="F255" i="11"/>
  <c r="G255" i="11"/>
  <c r="H255" i="11"/>
  <c r="J255" i="11"/>
  <c r="L255" i="11"/>
  <c r="N255" i="11"/>
  <c r="P255" i="11"/>
  <c r="O255" i="11" s="1"/>
  <c r="R255" i="11"/>
  <c r="Q255" i="11" s="1"/>
  <c r="T255" i="11"/>
  <c r="S255" i="11" s="1"/>
  <c r="A256" i="11"/>
  <c r="C256" i="11"/>
  <c r="D256" i="11"/>
  <c r="E256" i="11"/>
  <c r="F256" i="11"/>
  <c r="G256" i="11"/>
  <c r="H256" i="11"/>
  <c r="J256" i="11"/>
  <c r="L256" i="11"/>
  <c r="N256" i="11"/>
  <c r="O256" i="11"/>
  <c r="P256" i="11"/>
  <c r="Q256" i="11"/>
  <c r="R256" i="11"/>
  <c r="S256" i="11"/>
  <c r="T256" i="11"/>
  <c r="A257" i="11"/>
  <c r="C257" i="11"/>
  <c r="D257" i="11"/>
  <c r="E257" i="11"/>
  <c r="F257" i="11"/>
  <c r="G257" i="11"/>
  <c r="H257" i="11"/>
  <c r="J257" i="11"/>
  <c r="L257" i="11"/>
  <c r="N257" i="11"/>
  <c r="P257" i="11"/>
  <c r="O257" i="11" s="1"/>
  <c r="R257" i="11"/>
  <c r="Q257" i="11" s="1"/>
  <c r="T257" i="11"/>
  <c r="S257" i="11" s="1"/>
  <c r="A258" i="11"/>
  <c r="C258" i="11"/>
  <c r="D258" i="11"/>
  <c r="E258" i="11"/>
  <c r="F258" i="11"/>
  <c r="G258" i="11"/>
  <c r="H258" i="11"/>
  <c r="J258" i="11"/>
  <c r="L258" i="11"/>
  <c r="N258" i="11"/>
  <c r="O258" i="11"/>
  <c r="P258" i="11"/>
  <c r="Q258" i="11"/>
  <c r="R258" i="11"/>
  <c r="S258" i="11"/>
  <c r="T258" i="11"/>
  <c r="A259" i="11"/>
  <c r="C259" i="11"/>
  <c r="D259" i="11"/>
  <c r="E259" i="11"/>
  <c r="F259" i="11"/>
  <c r="G259" i="11"/>
  <c r="H259" i="11"/>
  <c r="J259" i="11"/>
  <c r="L259" i="11"/>
  <c r="N259" i="11"/>
  <c r="P259" i="11"/>
  <c r="O259" i="11" s="1"/>
  <c r="R259" i="11"/>
  <c r="Q259" i="11" s="1"/>
  <c r="T259" i="11"/>
  <c r="S259" i="11" s="1"/>
  <c r="A260" i="11"/>
  <c r="C260" i="11"/>
  <c r="D260" i="11"/>
  <c r="E260" i="11"/>
  <c r="F260" i="11"/>
  <c r="G260" i="11"/>
  <c r="H260" i="11"/>
  <c r="J260" i="11"/>
  <c r="L260" i="11"/>
  <c r="N260" i="11"/>
  <c r="O260" i="11"/>
  <c r="P260" i="11"/>
  <c r="Q260" i="11"/>
  <c r="R260" i="11"/>
  <c r="S260" i="11"/>
  <c r="T260" i="11"/>
  <c r="A261" i="11"/>
  <c r="C261" i="11"/>
  <c r="D261" i="11"/>
  <c r="E261" i="11"/>
  <c r="F261" i="11"/>
  <c r="G261" i="11"/>
  <c r="H261" i="11"/>
  <c r="J261" i="11"/>
  <c r="L261" i="11"/>
  <c r="N261" i="11"/>
  <c r="P261" i="11"/>
  <c r="O261" i="11" s="1"/>
  <c r="R261" i="11"/>
  <c r="Q261" i="11" s="1"/>
  <c r="T261" i="11"/>
  <c r="S261" i="11" s="1"/>
  <c r="A262" i="11"/>
  <c r="C262" i="11"/>
  <c r="D262" i="11"/>
  <c r="E262" i="11"/>
  <c r="F262" i="11"/>
  <c r="G262" i="11"/>
  <c r="H262" i="11"/>
  <c r="J262" i="11"/>
  <c r="L262" i="11"/>
  <c r="N262" i="11"/>
  <c r="P262" i="11"/>
  <c r="Q262" i="11"/>
  <c r="R262" i="11"/>
  <c r="S262" i="11"/>
  <c r="T262" i="11"/>
  <c r="A263" i="11"/>
  <c r="C263" i="11"/>
  <c r="D263" i="11"/>
  <c r="E263" i="11"/>
  <c r="F263" i="11"/>
  <c r="G263" i="11"/>
  <c r="H263" i="11"/>
  <c r="J263" i="11"/>
  <c r="L263" i="11"/>
  <c r="N263" i="11"/>
  <c r="P263" i="11"/>
  <c r="R263" i="11"/>
  <c r="Q263" i="11" s="1"/>
  <c r="T263" i="11"/>
  <c r="S263" i="11" s="1"/>
  <c r="A264" i="11"/>
  <c r="C264" i="11"/>
  <c r="D264" i="11"/>
  <c r="E264" i="11"/>
  <c r="F264" i="11"/>
  <c r="G264" i="11"/>
  <c r="H264" i="11"/>
  <c r="J264" i="11"/>
  <c r="L264" i="11"/>
  <c r="N264" i="11"/>
  <c r="P264" i="11"/>
  <c r="Q264" i="11"/>
  <c r="R264" i="11"/>
  <c r="S264" i="11"/>
  <c r="T264" i="11"/>
  <c r="A265" i="11"/>
  <c r="C265" i="11"/>
  <c r="D265" i="11"/>
  <c r="E265" i="11"/>
  <c r="F265" i="11"/>
  <c r="G265" i="11"/>
  <c r="H265" i="11"/>
  <c r="J265" i="11"/>
  <c r="L265" i="11"/>
  <c r="N265" i="11"/>
  <c r="P265" i="11"/>
  <c r="R265" i="11"/>
  <c r="Q265" i="11" s="1"/>
  <c r="T265" i="11"/>
  <c r="S265" i="11" s="1"/>
  <c r="A266" i="11"/>
  <c r="C266" i="11"/>
  <c r="D266" i="11"/>
  <c r="E266" i="11"/>
  <c r="F266" i="11"/>
  <c r="G266" i="11"/>
  <c r="H266" i="11"/>
  <c r="J266" i="11"/>
  <c r="L266" i="11"/>
  <c r="N266" i="11"/>
  <c r="P266" i="11"/>
  <c r="Q266" i="11"/>
  <c r="R266" i="11"/>
  <c r="S266" i="11"/>
  <c r="T266" i="11"/>
  <c r="A267" i="11"/>
  <c r="C267" i="11"/>
  <c r="D267" i="11"/>
  <c r="E267" i="11"/>
  <c r="F267" i="11"/>
  <c r="G267" i="11"/>
  <c r="H267" i="11"/>
  <c r="J267" i="11"/>
  <c r="L267" i="11"/>
  <c r="N267" i="11"/>
  <c r="P267" i="11"/>
  <c r="R267" i="11"/>
  <c r="Q267" i="11" s="1"/>
  <c r="T267" i="11"/>
  <c r="S267" i="11" s="1"/>
  <c r="A268" i="11"/>
  <c r="C268" i="11"/>
  <c r="D268" i="11"/>
  <c r="E268" i="11"/>
  <c r="F268" i="11"/>
  <c r="G268" i="11"/>
  <c r="H268" i="11"/>
  <c r="J268" i="11"/>
  <c r="L268" i="11"/>
  <c r="N268" i="11"/>
  <c r="P268" i="11"/>
  <c r="Q268" i="11"/>
  <c r="R268" i="11"/>
  <c r="S268" i="11"/>
  <c r="T268" i="11"/>
  <c r="A269" i="11"/>
  <c r="C269" i="11"/>
  <c r="D269" i="11"/>
  <c r="E269" i="11"/>
  <c r="F269" i="11"/>
  <c r="G269" i="11"/>
  <c r="H269" i="11"/>
  <c r="J269" i="11"/>
  <c r="L269" i="11"/>
  <c r="N269" i="11"/>
  <c r="P269" i="11"/>
  <c r="R269" i="11"/>
  <c r="Q269" i="11" s="1"/>
  <c r="T269" i="11"/>
  <c r="S269" i="11" s="1"/>
  <c r="A270" i="11"/>
  <c r="C270" i="11"/>
  <c r="D270" i="11"/>
  <c r="E270" i="11"/>
  <c r="F270" i="11"/>
  <c r="G270" i="11"/>
  <c r="H270" i="11"/>
  <c r="J270" i="11"/>
  <c r="L270" i="11"/>
  <c r="N270" i="11"/>
  <c r="P270" i="11"/>
  <c r="Q270" i="11"/>
  <c r="R270" i="11"/>
  <c r="S270" i="11"/>
  <c r="T270" i="11"/>
  <c r="A271" i="11"/>
  <c r="C271" i="11"/>
  <c r="D271" i="11"/>
  <c r="E271" i="11"/>
  <c r="F271" i="11"/>
  <c r="G271" i="11"/>
  <c r="H271" i="11"/>
  <c r="J271" i="11"/>
  <c r="L271" i="11"/>
  <c r="N271" i="11"/>
  <c r="P271" i="11"/>
  <c r="R271" i="11"/>
  <c r="Q271" i="11" s="1"/>
  <c r="T271" i="11"/>
  <c r="S271" i="11" s="1"/>
  <c r="A272" i="11"/>
  <c r="C272" i="11"/>
  <c r="D272" i="11"/>
  <c r="E272" i="11"/>
  <c r="F272" i="11"/>
  <c r="G272" i="11"/>
  <c r="H272" i="11"/>
  <c r="J272" i="11"/>
  <c r="L272" i="11"/>
  <c r="N272" i="11"/>
  <c r="P272" i="11"/>
  <c r="Q272" i="11"/>
  <c r="R272" i="11"/>
  <c r="S272" i="11"/>
  <c r="T272" i="11"/>
  <c r="A273" i="11"/>
  <c r="C273" i="11"/>
  <c r="D273" i="11"/>
  <c r="E273" i="11"/>
  <c r="F273" i="11"/>
  <c r="G273" i="11"/>
  <c r="H273" i="11"/>
  <c r="J273" i="11"/>
  <c r="L273" i="11"/>
  <c r="N273" i="11"/>
  <c r="P273" i="11"/>
  <c r="R273" i="11"/>
  <c r="Q273" i="11" s="1"/>
  <c r="T273" i="11"/>
  <c r="S273" i="11" s="1"/>
  <c r="A274" i="11"/>
  <c r="C274" i="11"/>
  <c r="D274" i="11"/>
  <c r="E274" i="11"/>
  <c r="F274" i="11"/>
  <c r="G274" i="11"/>
  <c r="H274" i="11"/>
  <c r="J274" i="11"/>
  <c r="L274" i="11"/>
  <c r="N274" i="11"/>
  <c r="P274" i="11"/>
  <c r="Q274" i="11"/>
  <c r="R274" i="11"/>
  <c r="S274" i="11"/>
  <c r="T274" i="11"/>
  <c r="A275" i="11"/>
  <c r="C275" i="11"/>
  <c r="D275" i="11"/>
  <c r="E275" i="11"/>
  <c r="F275" i="11"/>
  <c r="G275" i="11"/>
  <c r="H275" i="11"/>
  <c r="J275" i="11"/>
  <c r="L275" i="11"/>
  <c r="N275" i="11"/>
  <c r="P275" i="11"/>
  <c r="R275" i="11"/>
  <c r="Q275" i="11" s="1"/>
  <c r="T275" i="11"/>
  <c r="S275" i="11" s="1"/>
  <c r="A276" i="11"/>
  <c r="C276" i="11"/>
  <c r="D276" i="11"/>
  <c r="E276" i="11"/>
  <c r="F276" i="11"/>
  <c r="G276" i="11"/>
  <c r="H276" i="11"/>
  <c r="J276" i="11"/>
  <c r="L276" i="11"/>
  <c r="N276" i="11"/>
  <c r="P276" i="11"/>
  <c r="Q276" i="11"/>
  <c r="R276" i="11"/>
  <c r="S276" i="11"/>
  <c r="T276" i="11"/>
  <c r="A277" i="11"/>
  <c r="C277" i="11"/>
  <c r="D277" i="11"/>
  <c r="E277" i="11"/>
  <c r="F277" i="11"/>
  <c r="G277" i="11"/>
  <c r="H277" i="11"/>
  <c r="J277" i="11"/>
  <c r="L277" i="11"/>
  <c r="N277" i="11"/>
  <c r="P277" i="11"/>
  <c r="R277" i="11"/>
  <c r="Q277" i="11" s="1"/>
  <c r="T277" i="11"/>
  <c r="S277" i="11" s="1"/>
  <c r="A278" i="11"/>
  <c r="C278" i="11"/>
  <c r="D278" i="11"/>
  <c r="E278" i="11"/>
  <c r="F278" i="11"/>
  <c r="G278" i="11"/>
  <c r="H278" i="11"/>
  <c r="J278" i="11"/>
  <c r="L278" i="11"/>
  <c r="N278" i="11"/>
  <c r="P278" i="11"/>
  <c r="Q278" i="11"/>
  <c r="R278" i="11"/>
  <c r="S278" i="11"/>
  <c r="T278" i="11"/>
  <c r="A279" i="11"/>
  <c r="C279" i="11"/>
  <c r="D279" i="11"/>
  <c r="E279" i="11"/>
  <c r="F279" i="11"/>
  <c r="G279" i="11"/>
  <c r="H279" i="11"/>
  <c r="J279" i="11"/>
  <c r="L279" i="11"/>
  <c r="N279" i="11"/>
  <c r="P279" i="11"/>
  <c r="R279" i="11"/>
  <c r="Q279" i="11" s="1"/>
  <c r="T279" i="11"/>
  <c r="S279" i="11" s="1"/>
  <c r="A280" i="11"/>
  <c r="C280" i="11"/>
  <c r="D280" i="11"/>
  <c r="E280" i="11"/>
  <c r="F280" i="11"/>
  <c r="G280" i="11"/>
  <c r="H280" i="11"/>
  <c r="J280" i="11"/>
  <c r="L280" i="11"/>
  <c r="N280" i="11"/>
  <c r="P280" i="11"/>
  <c r="Q280" i="11"/>
  <c r="R280" i="11"/>
  <c r="S280" i="11"/>
  <c r="T280" i="11"/>
  <c r="A281" i="11"/>
  <c r="C281" i="11"/>
  <c r="D281" i="11"/>
  <c r="E281" i="11"/>
  <c r="F281" i="11"/>
  <c r="G281" i="11"/>
  <c r="H281" i="11"/>
  <c r="J281" i="11"/>
  <c r="L281" i="11"/>
  <c r="N281" i="11"/>
  <c r="P281" i="11"/>
  <c r="R281" i="11"/>
  <c r="Q281" i="11" s="1"/>
  <c r="T281" i="11"/>
  <c r="S281" i="11" s="1"/>
  <c r="A282" i="11"/>
  <c r="C282" i="11"/>
  <c r="D282" i="11"/>
  <c r="E282" i="11"/>
  <c r="F282" i="11"/>
  <c r="G282" i="11"/>
  <c r="H282" i="11"/>
  <c r="J282" i="11"/>
  <c r="L282" i="11"/>
  <c r="N282" i="11"/>
  <c r="P282" i="11"/>
  <c r="R282" i="11"/>
  <c r="S282" i="11"/>
  <c r="T282" i="11"/>
  <c r="A283" i="11"/>
  <c r="C283" i="11"/>
  <c r="D283" i="11"/>
  <c r="E283" i="11"/>
  <c r="F283" i="11"/>
  <c r="G283" i="11"/>
  <c r="H283" i="11"/>
  <c r="J283" i="11"/>
  <c r="L283" i="11"/>
  <c r="N283" i="11"/>
  <c r="P283" i="11"/>
  <c r="R283" i="11"/>
  <c r="T283" i="11"/>
  <c r="S283" i="11" s="1"/>
  <c r="A284" i="11"/>
  <c r="C284" i="11"/>
  <c r="D284" i="11"/>
  <c r="E284" i="11"/>
  <c r="F284" i="11"/>
  <c r="G284" i="11"/>
  <c r="H284" i="11"/>
  <c r="J284" i="11"/>
  <c r="L284" i="11"/>
  <c r="N284" i="11"/>
  <c r="P284" i="11"/>
  <c r="R284" i="11"/>
  <c r="S284" i="11"/>
  <c r="T284" i="11"/>
  <c r="A285" i="11"/>
  <c r="C285" i="11"/>
  <c r="D285" i="11"/>
  <c r="E285" i="11"/>
  <c r="F285" i="11"/>
  <c r="G285" i="11"/>
  <c r="H285" i="11"/>
  <c r="J285" i="11"/>
  <c r="L285" i="11"/>
  <c r="N285" i="11"/>
  <c r="P285" i="11"/>
  <c r="R285" i="11"/>
  <c r="T285" i="11"/>
  <c r="S285" i="11" s="1"/>
  <c r="A286" i="11"/>
  <c r="C286" i="11"/>
  <c r="D286" i="11"/>
  <c r="E286" i="11"/>
  <c r="F286" i="11"/>
  <c r="G286" i="11"/>
  <c r="H286" i="11"/>
  <c r="J286" i="11"/>
  <c r="L286" i="11"/>
  <c r="N286" i="11"/>
  <c r="P286" i="11"/>
  <c r="R286" i="11"/>
  <c r="S286" i="11"/>
  <c r="T286" i="11"/>
  <c r="A287" i="11"/>
  <c r="C287" i="11"/>
  <c r="D287" i="11"/>
  <c r="E287" i="11"/>
  <c r="F287" i="11"/>
  <c r="G287" i="11"/>
  <c r="H287" i="11"/>
  <c r="J287" i="11"/>
  <c r="L287" i="11"/>
  <c r="N287" i="11"/>
  <c r="P287" i="11"/>
  <c r="R287" i="11"/>
  <c r="T287" i="11"/>
  <c r="S287" i="11" s="1"/>
  <c r="A288" i="11"/>
  <c r="C288" i="11"/>
  <c r="D288" i="11"/>
  <c r="E288" i="11"/>
  <c r="F288" i="11"/>
  <c r="G288" i="11"/>
  <c r="H288" i="11"/>
  <c r="J288" i="11"/>
  <c r="L288" i="11"/>
  <c r="N288" i="11"/>
  <c r="P288" i="11"/>
  <c r="R288" i="11"/>
  <c r="S288" i="11"/>
  <c r="T288" i="11"/>
  <c r="A289" i="11"/>
  <c r="C289" i="11"/>
  <c r="D289" i="11"/>
  <c r="E289" i="11"/>
  <c r="F289" i="11"/>
  <c r="G289" i="11"/>
  <c r="H289" i="11"/>
  <c r="J289" i="11"/>
  <c r="L289" i="11"/>
  <c r="N289" i="11"/>
  <c r="P289" i="11"/>
  <c r="R289" i="11"/>
  <c r="T289" i="11"/>
  <c r="S289" i="11" s="1"/>
  <c r="A290" i="11"/>
  <c r="C290" i="11"/>
  <c r="D290" i="11"/>
  <c r="E290" i="11"/>
  <c r="F290" i="11"/>
  <c r="G290" i="11"/>
  <c r="H290" i="11"/>
  <c r="J290" i="11"/>
  <c r="L290" i="11"/>
  <c r="N290" i="11"/>
  <c r="P290" i="11"/>
  <c r="R290" i="11"/>
  <c r="S290" i="11"/>
  <c r="T290" i="11"/>
  <c r="A291" i="11"/>
  <c r="C291" i="11"/>
  <c r="D291" i="11"/>
  <c r="E291" i="11"/>
  <c r="F291" i="11"/>
  <c r="G291" i="11"/>
  <c r="H291" i="11"/>
  <c r="J291" i="11"/>
  <c r="L291" i="11"/>
  <c r="N291" i="11"/>
  <c r="P291" i="11"/>
  <c r="R291" i="11"/>
  <c r="T291" i="11"/>
  <c r="S291" i="11" s="1"/>
  <c r="A292" i="11"/>
  <c r="B292" i="11"/>
  <c r="C292" i="11"/>
  <c r="D292" i="11"/>
  <c r="E292" i="11"/>
  <c r="F292" i="11"/>
  <c r="G292" i="11"/>
  <c r="H292" i="11"/>
  <c r="I292" i="11"/>
  <c r="J292" i="11"/>
  <c r="L292" i="11"/>
  <c r="K292" i="11" s="1"/>
  <c r="N292" i="11"/>
  <c r="M292" i="11" s="1"/>
  <c r="P292" i="11"/>
  <c r="O292" i="11" s="1"/>
  <c r="R292" i="11"/>
  <c r="Q292" i="11" s="1"/>
  <c r="T292" i="11"/>
  <c r="S292" i="11" s="1"/>
  <c r="A293" i="11"/>
  <c r="C293" i="11"/>
  <c r="D293" i="11"/>
  <c r="E293" i="11"/>
  <c r="F293" i="11"/>
  <c r="G293" i="11"/>
  <c r="H293" i="11"/>
  <c r="J293" i="11"/>
  <c r="L293" i="11"/>
  <c r="N293" i="11"/>
  <c r="O293" i="11"/>
  <c r="P293" i="11"/>
  <c r="Q293" i="11"/>
  <c r="R293" i="11"/>
  <c r="S293" i="11"/>
  <c r="T293" i="11"/>
  <c r="A294" i="11"/>
  <c r="C294" i="11"/>
  <c r="D294" i="11"/>
  <c r="E294" i="11"/>
  <c r="F294" i="11"/>
  <c r="G294" i="11"/>
  <c r="H294" i="11"/>
  <c r="J294" i="11"/>
  <c r="L294" i="11"/>
  <c r="N294" i="11"/>
  <c r="P294" i="11"/>
  <c r="O294" i="11" s="1"/>
  <c r="R294" i="11"/>
  <c r="Q294" i="11" s="1"/>
  <c r="T294" i="11"/>
  <c r="S294" i="11" s="1"/>
  <c r="A295" i="11"/>
  <c r="C295" i="11"/>
  <c r="D295" i="11"/>
  <c r="E295" i="11"/>
  <c r="F295" i="11"/>
  <c r="G295" i="11"/>
  <c r="H295" i="11"/>
  <c r="J295" i="11"/>
  <c r="L295" i="11"/>
  <c r="N295" i="11"/>
  <c r="O295" i="11"/>
  <c r="P295" i="11"/>
  <c r="Q295" i="11"/>
  <c r="R295" i="11"/>
  <c r="S295" i="11"/>
  <c r="T295" i="11"/>
  <c r="A296" i="11"/>
  <c r="C296" i="11"/>
  <c r="D296" i="11"/>
  <c r="E296" i="11"/>
  <c r="F296" i="11"/>
  <c r="G296" i="11"/>
  <c r="H296" i="11"/>
  <c r="J296" i="11"/>
  <c r="L296" i="11"/>
  <c r="N296" i="11"/>
  <c r="P296" i="11"/>
  <c r="O296" i="11" s="1"/>
  <c r="R296" i="11"/>
  <c r="Q296" i="11" s="1"/>
  <c r="T296" i="11"/>
  <c r="S296" i="11" s="1"/>
  <c r="A297" i="11"/>
  <c r="C297" i="11"/>
  <c r="D297" i="11"/>
  <c r="E297" i="11"/>
  <c r="F297" i="11"/>
  <c r="G297" i="11"/>
  <c r="H297" i="11"/>
  <c r="J297" i="11"/>
  <c r="L297" i="11"/>
  <c r="N297" i="11"/>
  <c r="O297" i="11"/>
  <c r="P297" i="11"/>
  <c r="Q297" i="11"/>
  <c r="R297" i="11"/>
  <c r="S297" i="11"/>
  <c r="T297" i="11"/>
  <c r="A298" i="11"/>
  <c r="C298" i="11"/>
  <c r="D298" i="11"/>
  <c r="E298" i="11"/>
  <c r="F298" i="11"/>
  <c r="G298" i="11"/>
  <c r="H298" i="11"/>
  <c r="J298" i="11"/>
  <c r="L298" i="11"/>
  <c r="N298" i="11"/>
  <c r="P298" i="11"/>
  <c r="O298" i="11" s="1"/>
  <c r="R298" i="11"/>
  <c r="Q298" i="11" s="1"/>
  <c r="T298" i="11"/>
  <c r="S298" i="11" s="1"/>
  <c r="A299" i="11"/>
  <c r="C299" i="11"/>
  <c r="D299" i="11"/>
  <c r="E299" i="11"/>
  <c r="F299" i="11"/>
  <c r="G299" i="11"/>
  <c r="H299" i="11"/>
  <c r="J299" i="11"/>
  <c r="L299" i="11"/>
  <c r="N299" i="11"/>
  <c r="O299" i="11"/>
  <c r="P299" i="11"/>
  <c r="Q299" i="11"/>
  <c r="R299" i="11"/>
  <c r="S299" i="11"/>
  <c r="T299" i="11"/>
  <c r="A300" i="11"/>
  <c r="C300" i="11"/>
  <c r="D300" i="11"/>
  <c r="E300" i="11"/>
  <c r="F300" i="11"/>
  <c r="G300" i="11"/>
  <c r="H300" i="11"/>
  <c r="J300" i="11"/>
  <c r="L300" i="11"/>
  <c r="N300" i="11"/>
  <c r="P300" i="11"/>
  <c r="O300" i="11" s="1"/>
  <c r="R300" i="11"/>
  <c r="Q300" i="11" s="1"/>
  <c r="T300" i="11"/>
  <c r="S300" i="11" s="1"/>
  <c r="A301" i="11"/>
  <c r="C301" i="11"/>
  <c r="D301" i="11"/>
  <c r="E301" i="11"/>
  <c r="F301" i="11"/>
  <c r="G301" i="11"/>
  <c r="H301" i="11"/>
  <c r="J301" i="11"/>
  <c r="L301" i="11"/>
  <c r="N301" i="11"/>
  <c r="O301" i="11"/>
  <c r="P301" i="11"/>
  <c r="Q301" i="11"/>
  <c r="R301" i="11"/>
  <c r="S301" i="11"/>
  <c r="T301" i="11"/>
  <c r="A302" i="11"/>
  <c r="C302" i="11"/>
  <c r="D302" i="11"/>
  <c r="E302" i="11"/>
  <c r="F302" i="11"/>
  <c r="G302" i="11"/>
  <c r="H302" i="11"/>
  <c r="J302" i="11"/>
  <c r="L302" i="11"/>
  <c r="N302" i="11"/>
  <c r="P302" i="11"/>
  <c r="O302" i="11" s="1"/>
  <c r="R302" i="11"/>
  <c r="Q302" i="11" s="1"/>
  <c r="T302" i="11"/>
  <c r="S302" i="11" s="1"/>
  <c r="A303" i="11"/>
  <c r="C303" i="11"/>
  <c r="D303" i="11"/>
  <c r="E303" i="11"/>
  <c r="F303" i="11"/>
  <c r="G303" i="11"/>
  <c r="H303" i="11"/>
  <c r="J303" i="11"/>
  <c r="L303" i="11"/>
  <c r="N303" i="11"/>
  <c r="O303" i="11"/>
  <c r="P303" i="11"/>
  <c r="Q303" i="11"/>
  <c r="R303" i="11"/>
  <c r="S303" i="11"/>
  <c r="T303" i="11"/>
  <c r="A304" i="11"/>
  <c r="C304" i="11"/>
  <c r="D304" i="11"/>
  <c r="E304" i="11"/>
  <c r="F304" i="11"/>
  <c r="G304" i="11"/>
  <c r="H304" i="11"/>
  <c r="J304" i="11"/>
  <c r="L304" i="11"/>
  <c r="N304" i="11"/>
  <c r="P304" i="11"/>
  <c r="O304" i="11" s="1"/>
  <c r="Q304" i="11"/>
  <c r="R304" i="11"/>
  <c r="T304" i="11"/>
  <c r="S304" i="11" s="1"/>
  <c r="A305" i="11"/>
  <c r="C305" i="11"/>
  <c r="D305" i="11"/>
  <c r="E305" i="11"/>
  <c r="F305" i="11"/>
  <c r="G305" i="11"/>
  <c r="H305" i="11"/>
  <c r="J305" i="11"/>
  <c r="L305" i="11"/>
  <c r="N305" i="11"/>
  <c r="O305" i="11"/>
  <c r="P305" i="11"/>
  <c r="Q305" i="11"/>
  <c r="R305" i="11"/>
  <c r="S305" i="11"/>
  <c r="T305" i="11"/>
  <c r="A306" i="11"/>
  <c r="C306" i="11"/>
  <c r="D306" i="11"/>
  <c r="E306" i="11"/>
  <c r="F306" i="11"/>
  <c r="G306" i="11"/>
  <c r="H306" i="11"/>
  <c r="J306" i="11"/>
  <c r="L306" i="11"/>
  <c r="N306" i="11"/>
  <c r="O306" i="11"/>
  <c r="P306" i="11"/>
  <c r="R306" i="11"/>
  <c r="Q306" i="11" s="1"/>
  <c r="T306" i="11"/>
  <c r="S306" i="11" s="1"/>
  <c r="A307" i="11"/>
  <c r="C307" i="11"/>
  <c r="D307" i="11"/>
  <c r="E307" i="11"/>
  <c r="F307" i="11"/>
  <c r="G307" i="11"/>
  <c r="H307" i="11"/>
  <c r="J307" i="11"/>
  <c r="L307" i="11"/>
  <c r="N307" i="11"/>
  <c r="O307" i="11"/>
  <c r="P307" i="11"/>
  <c r="Q307" i="11"/>
  <c r="R307" i="11"/>
  <c r="S307" i="11"/>
  <c r="T307" i="11"/>
  <c r="A308" i="11"/>
  <c r="C308" i="11"/>
  <c r="D308" i="11"/>
  <c r="E308" i="11"/>
  <c r="F308" i="11"/>
  <c r="G308" i="11"/>
  <c r="H308" i="11"/>
  <c r="J308" i="11"/>
  <c r="L308" i="11"/>
  <c r="N308" i="11"/>
  <c r="P308" i="11"/>
  <c r="O308" i="11" s="1"/>
  <c r="Q308" i="11"/>
  <c r="R308" i="11"/>
  <c r="T308" i="11"/>
  <c r="S308" i="11" s="1"/>
  <c r="A309" i="11"/>
  <c r="C309" i="11"/>
  <c r="D309" i="11"/>
  <c r="E309" i="11"/>
  <c r="F309" i="11"/>
  <c r="G309" i="11"/>
  <c r="H309" i="11"/>
  <c r="J309" i="11"/>
  <c r="L309" i="11"/>
  <c r="N309" i="11"/>
  <c r="O309" i="11"/>
  <c r="P309" i="11"/>
  <c r="Q309" i="11"/>
  <c r="R309" i="11"/>
  <c r="S309" i="11"/>
  <c r="T309" i="11"/>
  <c r="A310" i="11"/>
  <c r="C310" i="11"/>
  <c r="D310" i="11"/>
  <c r="E310" i="11"/>
  <c r="F310" i="11"/>
  <c r="G310" i="11"/>
  <c r="H310" i="11"/>
  <c r="J310" i="11"/>
  <c r="L310" i="11"/>
  <c r="N310" i="11"/>
  <c r="O310" i="11"/>
  <c r="P310" i="11"/>
  <c r="R310" i="11"/>
  <c r="Q310" i="11" s="1"/>
  <c r="S310" i="11"/>
  <c r="T310" i="11"/>
  <c r="A311" i="11"/>
  <c r="C311" i="11"/>
  <c r="D311" i="11"/>
  <c r="E311" i="11"/>
  <c r="F311" i="11"/>
  <c r="G311" i="11"/>
  <c r="H311" i="11"/>
  <c r="J311" i="11"/>
  <c r="L311" i="11"/>
  <c r="N311" i="11"/>
  <c r="O311" i="11"/>
  <c r="P311" i="11"/>
  <c r="Q311" i="11"/>
  <c r="R311" i="11"/>
  <c r="S311" i="11"/>
  <c r="T311" i="11"/>
  <c r="A312" i="11"/>
  <c r="C312" i="11"/>
  <c r="D312" i="11"/>
  <c r="E312" i="11"/>
  <c r="F312" i="11"/>
  <c r="G312" i="11"/>
  <c r="H312" i="11"/>
  <c r="J312" i="11"/>
  <c r="L312" i="11"/>
  <c r="N312" i="11"/>
  <c r="P312" i="11"/>
  <c r="O312" i="11" s="1"/>
  <c r="Q312" i="11"/>
  <c r="R312" i="11"/>
  <c r="T312" i="11"/>
  <c r="S312" i="11" s="1"/>
  <c r="A313" i="11"/>
  <c r="C313" i="11"/>
  <c r="D313" i="11"/>
  <c r="E313" i="11"/>
  <c r="F313" i="11"/>
  <c r="G313" i="11"/>
  <c r="H313" i="11"/>
  <c r="J313" i="11"/>
  <c r="L313" i="11"/>
  <c r="N313" i="11"/>
  <c r="P313" i="11"/>
  <c r="Q313" i="11"/>
  <c r="R313" i="11"/>
  <c r="S313" i="11"/>
  <c r="T313" i="11"/>
  <c r="A314" i="11"/>
  <c r="C314" i="11"/>
  <c r="D314" i="11"/>
  <c r="E314" i="11"/>
  <c r="F314" i="11"/>
  <c r="G314" i="11"/>
  <c r="H314" i="11"/>
  <c r="J314" i="11"/>
  <c r="L314" i="11"/>
  <c r="N314" i="11"/>
  <c r="P314" i="11"/>
  <c r="R314" i="11"/>
  <c r="Q314" i="11" s="1"/>
  <c r="T314" i="11"/>
  <c r="S314" i="11" s="1"/>
  <c r="A315" i="11"/>
  <c r="C315" i="11"/>
  <c r="D315" i="11"/>
  <c r="E315" i="11"/>
  <c r="F315" i="11"/>
  <c r="G315" i="11"/>
  <c r="H315" i="11"/>
  <c r="J315" i="11"/>
  <c r="L315" i="11"/>
  <c r="N315" i="11"/>
  <c r="P315" i="11"/>
  <c r="Q315" i="11"/>
  <c r="R315" i="11"/>
  <c r="S315" i="11"/>
  <c r="T315" i="11"/>
  <c r="A316" i="11"/>
  <c r="C316" i="11"/>
  <c r="D316" i="11"/>
  <c r="E316" i="11"/>
  <c r="F316" i="11"/>
  <c r="G316" i="11"/>
  <c r="H316" i="11"/>
  <c r="J316" i="11"/>
  <c r="L316" i="11"/>
  <c r="N316" i="11"/>
  <c r="P316" i="11"/>
  <c r="Q316" i="11"/>
  <c r="R316" i="11"/>
  <c r="T316" i="11"/>
  <c r="S316" i="11" s="1"/>
  <c r="A317" i="11"/>
  <c r="C317" i="11"/>
  <c r="D317" i="11"/>
  <c r="E317" i="11"/>
  <c r="F317" i="11"/>
  <c r="G317" i="11"/>
  <c r="H317" i="11"/>
  <c r="J317" i="11"/>
  <c r="L317" i="11"/>
  <c r="N317" i="11"/>
  <c r="P317" i="11"/>
  <c r="Q317" i="11"/>
  <c r="R317" i="11"/>
  <c r="T317" i="11"/>
  <c r="S317" i="11" s="1"/>
  <c r="A318" i="11"/>
  <c r="C318" i="11"/>
  <c r="D318" i="11"/>
  <c r="E318" i="11"/>
  <c r="F318" i="11"/>
  <c r="G318" i="11"/>
  <c r="H318" i="11"/>
  <c r="J318" i="11"/>
  <c r="L318" i="11"/>
  <c r="N318" i="11"/>
  <c r="P318" i="11"/>
  <c r="Q318" i="11"/>
  <c r="R318" i="11"/>
  <c r="T318" i="11"/>
  <c r="S318" i="11" s="1"/>
  <c r="A319" i="11"/>
  <c r="C319" i="11"/>
  <c r="D319" i="11"/>
  <c r="E319" i="11"/>
  <c r="F319" i="11"/>
  <c r="G319" i="11"/>
  <c r="H319" i="11"/>
  <c r="J319" i="11"/>
  <c r="L319" i="11"/>
  <c r="N319" i="11"/>
  <c r="P319" i="11"/>
  <c r="R319" i="11"/>
  <c r="Q319" i="11" s="1"/>
  <c r="S319" i="11"/>
  <c r="T319" i="11"/>
  <c r="A320" i="11"/>
  <c r="C320" i="11"/>
  <c r="D320" i="11"/>
  <c r="E320" i="11"/>
  <c r="F320" i="11"/>
  <c r="G320" i="11"/>
  <c r="H320" i="11"/>
  <c r="J320" i="11"/>
  <c r="L320" i="11"/>
  <c r="N320" i="11"/>
  <c r="P320" i="11"/>
  <c r="R320" i="11"/>
  <c r="Q320" i="11" s="1"/>
  <c r="T320" i="11"/>
  <c r="S320" i="11" s="1"/>
  <c r="A321" i="11"/>
  <c r="C321" i="11"/>
  <c r="D321" i="11"/>
  <c r="E321" i="11"/>
  <c r="F321" i="11"/>
  <c r="G321" i="11"/>
  <c r="H321" i="11"/>
  <c r="J321" i="11"/>
  <c r="L321" i="11"/>
  <c r="N321" i="11"/>
  <c r="P321" i="11"/>
  <c r="Q321" i="11"/>
  <c r="R321" i="11"/>
  <c r="S321" i="11"/>
  <c r="T321" i="11"/>
  <c r="A322" i="11"/>
  <c r="C322" i="11"/>
  <c r="D322" i="11"/>
  <c r="E322" i="11"/>
  <c r="F322" i="11"/>
  <c r="G322" i="11"/>
  <c r="H322" i="11"/>
  <c r="J322" i="11"/>
  <c r="L322" i="11"/>
  <c r="N322" i="11"/>
  <c r="P322" i="11"/>
  <c r="R322" i="11"/>
  <c r="Q322" i="11" s="1"/>
  <c r="T322" i="11"/>
  <c r="S322" i="11" s="1"/>
  <c r="A323" i="11"/>
  <c r="C323" i="11"/>
  <c r="D323" i="11"/>
  <c r="E323" i="11"/>
  <c r="F323" i="11"/>
  <c r="G323" i="11"/>
  <c r="H323" i="11"/>
  <c r="J323" i="11"/>
  <c r="L323" i="11"/>
  <c r="N323" i="11"/>
  <c r="P323" i="11"/>
  <c r="Q323" i="11"/>
  <c r="R323" i="11"/>
  <c r="S323" i="11"/>
  <c r="T323" i="11"/>
  <c r="A324" i="11"/>
  <c r="C324" i="11"/>
  <c r="D324" i="11"/>
  <c r="E324" i="11"/>
  <c r="F324" i="11"/>
  <c r="G324" i="11"/>
  <c r="H324" i="11"/>
  <c r="J324" i="11"/>
  <c r="L324" i="11"/>
  <c r="N324" i="11"/>
  <c r="P324" i="11"/>
  <c r="R324" i="11"/>
  <c r="Q324" i="11" s="1"/>
  <c r="S324" i="11"/>
  <c r="T324" i="11"/>
  <c r="A325" i="11"/>
  <c r="C325" i="11"/>
  <c r="D325" i="11"/>
  <c r="E325" i="11"/>
  <c r="F325" i="11"/>
  <c r="G325" i="11"/>
  <c r="H325" i="11"/>
  <c r="J325" i="11"/>
  <c r="L325" i="11"/>
  <c r="N325" i="11"/>
  <c r="P325" i="11"/>
  <c r="Q325" i="11"/>
  <c r="R325" i="11"/>
  <c r="T325" i="11"/>
  <c r="S325" i="11" s="1"/>
  <c r="A326" i="11"/>
  <c r="C326" i="11"/>
  <c r="D326" i="11"/>
  <c r="E326" i="11"/>
  <c r="F326" i="11"/>
  <c r="G326" i="11"/>
  <c r="H326" i="11"/>
  <c r="J326" i="11"/>
  <c r="L326" i="11"/>
  <c r="N326" i="11"/>
  <c r="P326" i="11"/>
  <c r="Q326" i="11"/>
  <c r="R326" i="11"/>
  <c r="T326" i="11"/>
  <c r="S326" i="11" s="1"/>
  <c r="A327" i="11"/>
  <c r="C327" i="11"/>
  <c r="D327" i="11"/>
  <c r="E327" i="11"/>
  <c r="F327" i="11"/>
  <c r="G327" i="11"/>
  <c r="H327" i="11"/>
  <c r="J327" i="11"/>
  <c r="L327" i="11"/>
  <c r="N327" i="11"/>
  <c r="P327" i="11"/>
  <c r="R327" i="11"/>
  <c r="Q327" i="11" s="1"/>
  <c r="S327" i="11"/>
  <c r="T327" i="11"/>
  <c r="A328" i="11"/>
  <c r="C328" i="11"/>
  <c r="D328" i="11"/>
  <c r="E328" i="11"/>
  <c r="F328" i="11"/>
  <c r="G328" i="11"/>
  <c r="H328" i="11"/>
  <c r="J328" i="11"/>
  <c r="L328" i="11"/>
  <c r="N328" i="11"/>
  <c r="P328" i="11"/>
  <c r="R328" i="11"/>
  <c r="Q328" i="11" s="1"/>
  <c r="T328" i="11"/>
  <c r="S328" i="11" s="1"/>
  <c r="A329" i="11"/>
  <c r="C329" i="11"/>
  <c r="D329" i="11"/>
  <c r="E329" i="11"/>
  <c r="F329" i="11"/>
  <c r="G329" i="11"/>
  <c r="H329" i="11"/>
  <c r="J329" i="11"/>
  <c r="L329" i="11"/>
  <c r="N329" i="11"/>
  <c r="P329" i="11"/>
  <c r="Q329" i="11"/>
  <c r="R329" i="11"/>
  <c r="S329" i="11"/>
  <c r="T329" i="11"/>
  <c r="A330" i="11"/>
  <c r="C330" i="11"/>
  <c r="D330" i="11"/>
  <c r="E330" i="11"/>
  <c r="F330" i="11"/>
  <c r="G330" i="11"/>
  <c r="H330" i="11"/>
  <c r="J330" i="11"/>
  <c r="L330" i="11"/>
  <c r="N330" i="11"/>
  <c r="P330" i="11"/>
  <c r="R330" i="11"/>
  <c r="Q330" i="11" s="1"/>
  <c r="T330" i="11"/>
  <c r="S330" i="11" s="1"/>
  <c r="A331" i="11"/>
  <c r="C331" i="11"/>
  <c r="D331" i="11"/>
  <c r="E331" i="11"/>
  <c r="F331" i="11"/>
  <c r="G331" i="11"/>
  <c r="H331" i="11"/>
  <c r="J331" i="11"/>
  <c r="L331" i="11"/>
  <c r="N331" i="11"/>
  <c r="P331" i="11"/>
  <c r="Q331" i="11"/>
  <c r="R331" i="11"/>
  <c r="S331" i="11"/>
  <c r="T331" i="11"/>
  <c r="A332" i="11"/>
  <c r="C332" i="11"/>
  <c r="D332" i="11"/>
  <c r="E332" i="11"/>
  <c r="F332" i="11"/>
  <c r="G332" i="11"/>
  <c r="H332" i="11"/>
  <c r="J332" i="11"/>
  <c r="L332" i="11"/>
  <c r="N332" i="11"/>
  <c r="P332" i="11"/>
  <c r="R332" i="11"/>
  <c r="Q332" i="11" s="1"/>
  <c r="S332" i="11"/>
  <c r="T332" i="11"/>
  <c r="A333" i="11"/>
  <c r="C333" i="11"/>
  <c r="D333" i="11"/>
  <c r="E333" i="11"/>
  <c r="F333" i="11"/>
  <c r="G333" i="11"/>
  <c r="H333" i="11"/>
  <c r="J333" i="11"/>
  <c r="L333" i="11"/>
  <c r="N333" i="11"/>
  <c r="P333" i="11"/>
  <c r="R333" i="11"/>
  <c r="T333" i="11"/>
  <c r="S333" i="11" s="1"/>
  <c r="A334" i="11"/>
  <c r="C334" i="11"/>
  <c r="D334" i="11"/>
  <c r="E334" i="11"/>
  <c r="F334" i="11"/>
  <c r="G334" i="11"/>
  <c r="H334" i="11"/>
  <c r="J334" i="11"/>
  <c r="L334" i="11"/>
  <c r="N334" i="11"/>
  <c r="P334" i="11"/>
  <c r="R334" i="11"/>
  <c r="T334" i="11"/>
  <c r="S334" i="11" s="1"/>
  <c r="A335" i="11"/>
  <c r="C335" i="11"/>
  <c r="D335" i="11"/>
  <c r="E335" i="11"/>
  <c r="F335" i="11"/>
  <c r="G335" i="11"/>
  <c r="H335" i="11"/>
  <c r="J335" i="11"/>
  <c r="L335" i="11"/>
  <c r="N335" i="11"/>
  <c r="P335" i="11"/>
  <c r="R335" i="11"/>
  <c r="S335" i="11"/>
  <c r="T335" i="11"/>
  <c r="A336" i="11"/>
  <c r="C336" i="11"/>
  <c r="D336" i="11"/>
  <c r="E336" i="11"/>
  <c r="F336" i="11"/>
  <c r="G336" i="11"/>
  <c r="H336" i="11"/>
  <c r="J336" i="11"/>
  <c r="L336" i="11"/>
  <c r="N336" i="11"/>
  <c r="P336" i="11"/>
  <c r="R336" i="11"/>
  <c r="S336" i="11"/>
  <c r="T336" i="11"/>
  <c r="A337" i="11"/>
  <c r="C337" i="11"/>
  <c r="D337" i="11"/>
  <c r="E337" i="11"/>
  <c r="F337" i="11"/>
  <c r="G337" i="11"/>
  <c r="H337" i="11"/>
  <c r="J337" i="11"/>
  <c r="L337" i="11"/>
  <c r="N337" i="11"/>
  <c r="P337" i="11"/>
  <c r="R337" i="11"/>
  <c r="T337" i="11"/>
  <c r="S337" i="11" s="1"/>
  <c r="A338" i="11"/>
  <c r="C338" i="11"/>
  <c r="D338" i="11"/>
  <c r="E338" i="11"/>
  <c r="F338" i="11"/>
  <c r="G338" i="11"/>
  <c r="H338" i="11"/>
  <c r="J338" i="11"/>
  <c r="L338" i="11"/>
  <c r="N338" i="11"/>
  <c r="P338" i="11"/>
  <c r="R338" i="11"/>
  <c r="T338" i="11"/>
  <c r="S338" i="11" s="1"/>
  <c r="A339" i="11"/>
  <c r="C339" i="11"/>
  <c r="D339" i="11"/>
  <c r="E339" i="11"/>
  <c r="F339" i="11"/>
  <c r="G339" i="11"/>
  <c r="H339" i="11"/>
  <c r="J339" i="11"/>
  <c r="L339" i="11"/>
  <c r="N339" i="11"/>
  <c r="P339" i="11"/>
  <c r="R339" i="11"/>
  <c r="S339" i="11"/>
  <c r="T339" i="11"/>
  <c r="A340" i="11"/>
  <c r="C340" i="11"/>
  <c r="D340" i="11"/>
  <c r="E340" i="11"/>
  <c r="F340" i="11"/>
  <c r="G340" i="11"/>
  <c r="H340" i="11"/>
  <c r="J340" i="11"/>
  <c r="L340" i="11"/>
  <c r="N340" i="11"/>
  <c r="P340" i="11"/>
  <c r="R340" i="11"/>
  <c r="S340" i="11"/>
  <c r="T340" i="11"/>
  <c r="A341" i="11"/>
  <c r="C341" i="11"/>
  <c r="D341" i="11"/>
  <c r="E341" i="11"/>
  <c r="F341" i="11"/>
  <c r="G341" i="11"/>
  <c r="H341" i="11"/>
  <c r="J341" i="11"/>
  <c r="L341" i="11"/>
  <c r="N341" i="11"/>
  <c r="P341" i="11"/>
  <c r="R341" i="11"/>
  <c r="T341" i="11"/>
  <c r="S341" i="11" s="1"/>
  <c r="A342" i="11"/>
  <c r="C342" i="11"/>
  <c r="D342" i="11"/>
  <c r="E342" i="11"/>
  <c r="F342" i="11"/>
  <c r="G342" i="11"/>
  <c r="H342" i="11"/>
  <c r="J342" i="11"/>
  <c r="L342" i="11"/>
  <c r="N342" i="11"/>
  <c r="P342" i="11"/>
  <c r="R342" i="11"/>
  <c r="T342" i="11"/>
  <c r="S342" i="11" s="1"/>
  <c r="A343" i="11"/>
  <c r="B343" i="11"/>
  <c r="C343" i="11"/>
  <c r="D343" i="11"/>
  <c r="E343" i="11"/>
  <c r="F343" i="11"/>
  <c r="G343" i="11"/>
  <c r="H343" i="11"/>
  <c r="I343" i="11"/>
  <c r="J343" i="11"/>
  <c r="L343" i="11"/>
  <c r="K343" i="11" s="1"/>
  <c r="M343" i="11"/>
  <c r="N343" i="11"/>
  <c r="P343" i="11"/>
  <c r="O343" i="11" s="1"/>
  <c r="Q343" i="11"/>
  <c r="R343" i="11"/>
  <c r="T343" i="11"/>
  <c r="S343" i="11" s="1"/>
  <c r="A344" i="11"/>
  <c r="B344" i="11"/>
  <c r="C344" i="11"/>
  <c r="D344" i="11"/>
  <c r="E344" i="11"/>
  <c r="F344" i="11"/>
  <c r="G344" i="11"/>
  <c r="H344" i="11"/>
  <c r="J344" i="11"/>
  <c r="L344" i="11"/>
  <c r="N344" i="11"/>
  <c r="O344" i="11"/>
  <c r="P344" i="11"/>
  <c r="R344" i="11"/>
  <c r="Q344" i="11" s="1"/>
  <c r="S344" i="11"/>
  <c r="T344" i="11"/>
  <c r="A345" i="11"/>
  <c r="C345" i="11"/>
  <c r="D345" i="11"/>
  <c r="E345" i="11"/>
  <c r="F345" i="11"/>
  <c r="G345" i="11"/>
  <c r="H345" i="11"/>
  <c r="J345" i="11"/>
  <c r="L345" i="11"/>
  <c r="N345" i="11"/>
  <c r="O345" i="11"/>
  <c r="P345" i="11"/>
  <c r="R345" i="11"/>
  <c r="Q345" i="11" s="1"/>
  <c r="S345" i="11"/>
  <c r="T345" i="11"/>
  <c r="A346" i="11"/>
  <c r="C346" i="11"/>
  <c r="D346" i="11"/>
  <c r="E346" i="11"/>
  <c r="F346" i="11"/>
  <c r="G346" i="11"/>
  <c r="H346" i="11"/>
  <c r="J346" i="11"/>
  <c r="L346" i="11"/>
  <c r="N346" i="11"/>
  <c r="P346" i="11"/>
  <c r="O346" i="11" s="1"/>
  <c r="Q346" i="11"/>
  <c r="R346" i="11"/>
  <c r="T346" i="11"/>
  <c r="S346" i="11" s="1"/>
  <c r="A347" i="11"/>
  <c r="C347" i="11"/>
  <c r="D347" i="11"/>
  <c r="E347" i="11"/>
  <c r="F347" i="11"/>
  <c r="G347" i="11"/>
  <c r="H347" i="11"/>
  <c r="J347" i="11"/>
  <c r="L347" i="11"/>
  <c r="N347" i="11"/>
  <c r="P347" i="11"/>
  <c r="O347" i="11" s="1"/>
  <c r="Q347" i="11"/>
  <c r="R347" i="11"/>
  <c r="T347" i="11"/>
  <c r="S347" i="11" s="1"/>
  <c r="A348" i="11"/>
  <c r="C348" i="11"/>
  <c r="D348" i="11"/>
  <c r="E348" i="11"/>
  <c r="F348" i="11"/>
  <c r="G348" i="11"/>
  <c r="H348" i="11"/>
  <c r="J348" i="11"/>
  <c r="L348" i="11"/>
  <c r="N348" i="11"/>
  <c r="P348" i="11"/>
  <c r="R348" i="11"/>
  <c r="Q348" i="11" s="1"/>
  <c r="S348" i="11"/>
  <c r="T348" i="11"/>
  <c r="A349" i="11"/>
  <c r="C349" i="11"/>
  <c r="D349" i="11"/>
  <c r="E349" i="11"/>
  <c r="F349" i="11"/>
  <c r="G349" i="11"/>
  <c r="H349" i="11"/>
  <c r="J349" i="11"/>
  <c r="L349" i="11"/>
  <c r="N349" i="11"/>
  <c r="P349" i="11"/>
  <c r="R349" i="11"/>
  <c r="Q349" i="11" s="1"/>
  <c r="S349" i="11"/>
  <c r="T349" i="11"/>
  <c r="A350" i="11"/>
  <c r="C350" i="11"/>
  <c r="D350" i="11"/>
  <c r="E350" i="11"/>
  <c r="F350" i="11"/>
  <c r="G350" i="11"/>
  <c r="H350" i="11"/>
  <c r="J350" i="11"/>
  <c r="L350" i="11"/>
  <c r="N350" i="11"/>
  <c r="P350" i="11"/>
  <c r="R350" i="11"/>
  <c r="T350" i="11"/>
  <c r="S350" i="11" s="1"/>
  <c r="A351" i="11"/>
  <c r="C351" i="11"/>
  <c r="D351" i="11"/>
  <c r="E351" i="11"/>
  <c r="F351" i="11"/>
  <c r="G351" i="11"/>
  <c r="H351" i="11"/>
  <c r="J351" i="11"/>
  <c r="L351" i="11"/>
  <c r="N351" i="11"/>
  <c r="P351" i="11"/>
  <c r="R351" i="11"/>
  <c r="T351" i="11"/>
  <c r="S351" i="11" s="1"/>
  <c r="A352" i="11"/>
  <c r="C352" i="11"/>
  <c r="D352" i="11"/>
  <c r="E352" i="11"/>
  <c r="F352" i="11"/>
  <c r="G352" i="11"/>
  <c r="H352" i="11"/>
  <c r="J352" i="11"/>
  <c r="L352" i="11"/>
  <c r="N352" i="11"/>
  <c r="P352" i="11"/>
  <c r="R352" i="11"/>
  <c r="S352" i="11"/>
  <c r="T352" i="11"/>
  <c r="A353" i="11"/>
  <c r="C353" i="11"/>
  <c r="D353" i="11"/>
  <c r="E353" i="11"/>
  <c r="F353" i="11"/>
  <c r="G353" i="11"/>
  <c r="H353" i="11"/>
  <c r="J353" i="11"/>
  <c r="L353" i="11"/>
  <c r="N353" i="11"/>
  <c r="P353" i="11"/>
  <c r="R353" i="11"/>
  <c r="S353" i="11"/>
  <c r="T353" i="11"/>
  <c r="A354" i="11"/>
  <c r="B354" i="11"/>
  <c r="C354" i="11"/>
  <c r="D354" i="11"/>
  <c r="E354" i="11"/>
  <c r="F354" i="11"/>
  <c r="G354" i="11"/>
  <c r="H354" i="11"/>
  <c r="I354" i="11"/>
  <c r="J354" i="11"/>
  <c r="K354" i="11"/>
  <c r="L354" i="11"/>
  <c r="N354" i="11"/>
  <c r="M354" i="11" s="1"/>
  <c r="O354" i="11"/>
  <c r="P354" i="11"/>
  <c r="R354" i="11"/>
  <c r="Q354" i="11" s="1"/>
  <c r="S354" i="11"/>
  <c r="T354" i="11"/>
  <c r="A355" i="11"/>
  <c r="C355" i="11"/>
  <c r="D355" i="11"/>
  <c r="E355" i="11"/>
  <c r="F355" i="11"/>
  <c r="G355" i="11"/>
  <c r="H355" i="11"/>
  <c r="J355" i="11"/>
  <c r="L355" i="11"/>
  <c r="N355" i="11"/>
  <c r="P355" i="11"/>
  <c r="O355" i="11" s="1"/>
  <c r="Q355" i="11"/>
  <c r="R355" i="11"/>
  <c r="T355" i="11"/>
  <c r="S355" i="11" s="1"/>
  <c r="A356" i="11"/>
  <c r="C356" i="11"/>
  <c r="D356" i="11"/>
  <c r="E356" i="11"/>
  <c r="F356" i="11"/>
  <c r="G356" i="11"/>
  <c r="H356" i="11"/>
  <c r="J356" i="11"/>
  <c r="L356" i="11"/>
  <c r="N356" i="11"/>
  <c r="P356" i="11"/>
  <c r="O356" i="11" s="1"/>
  <c r="Q356" i="11"/>
  <c r="R356" i="11"/>
  <c r="T356" i="11"/>
  <c r="S356" i="11" s="1"/>
  <c r="A357" i="11"/>
  <c r="C357" i="11"/>
  <c r="D357" i="11"/>
  <c r="E357" i="11"/>
  <c r="F357" i="11"/>
  <c r="G357" i="11"/>
  <c r="H357" i="11"/>
  <c r="J357" i="11"/>
  <c r="L357" i="11"/>
  <c r="N357" i="11"/>
  <c r="O357" i="11"/>
  <c r="P357" i="11"/>
  <c r="R357" i="11"/>
  <c r="Q357" i="11" s="1"/>
  <c r="S357" i="11"/>
  <c r="T357" i="11"/>
  <c r="A358" i="11"/>
  <c r="C358" i="11"/>
  <c r="D358" i="11"/>
  <c r="E358" i="11"/>
  <c r="F358" i="11"/>
  <c r="G358" i="11"/>
  <c r="H358" i="11"/>
  <c r="J358" i="11"/>
  <c r="L358" i="11"/>
  <c r="N358" i="11"/>
  <c r="O358" i="11"/>
  <c r="P358" i="11"/>
  <c r="R358" i="11"/>
  <c r="Q358" i="11" s="1"/>
  <c r="S358" i="11"/>
  <c r="T358" i="11"/>
  <c r="A359" i="11"/>
  <c r="C359" i="11"/>
  <c r="D359" i="11"/>
  <c r="E359" i="11"/>
  <c r="F359" i="11"/>
  <c r="G359" i="11"/>
  <c r="H359" i="11"/>
  <c r="J359" i="11"/>
  <c r="L359" i="11"/>
  <c r="N359" i="11"/>
  <c r="P359" i="11"/>
  <c r="Q359" i="11"/>
  <c r="R359" i="11"/>
  <c r="T359" i="11"/>
  <c r="S359" i="11" s="1"/>
  <c r="A360" i="11"/>
  <c r="C360" i="11"/>
  <c r="D360" i="11"/>
  <c r="E360" i="11"/>
  <c r="F360" i="11"/>
  <c r="G360" i="11"/>
  <c r="H360" i="11"/>
  <c r="J360" i="11"/>
  <c r="L360" i="11"/>
  <c r="N360" i="11"/>
  <c r="P360" i="11"/>
  <c r="Q360" i="11"/>
  <c r="R360" i="11"/>
  <c r="T360" i="11"/>
  <c r="S360" i="11" s="1"/>
  <c r="A361" i="11"/>
  <c r="C361" i="11"/>
  <c r="D361" i="11"/>
  <c r="E361" i="11"/>
  <c r="F361" i="11"/>
  <c r="G361" i="11"/>
  <c r="H361" i="11"/>
  <c r="J361" i="11"/>
  <c r="L361" i="11"/>
  <c r="N361" i="11"/>
  <c r="P361" i="11"/>
  <c r="R361" i="11"/>
  <c r="S361" i="11"/>
  <c r="T361" i="11"/>
  <c r="A362" i="11"/>
  <c r="C362" i="11"/>
  <c r="D362" i="11"/>
  <c r="E362" i="11"/>
  <c r="F362" i="11"/>
  <c r="G362" i="11"/>
  <c r="H362" i="11"/>
  <c r="J362" i="11"/>
  <c r="L362" i="11"/>
  <c r="N362" i="11"/>
  <c r="P362" i="11"/>
  <c r="R362" i="11"/>
  <c r="S362" i="11"/>
  <c r="T362" i="11"/>
  <c r="A363" i="11"/>
  <c r="C363" i="11"/>
  <c r="D363" i="11"/>
  <c r="E363" i="11"/>
  <c r="F363" i="11"/>
  <c r="G363" i="11"/>
  <c r="H363" i="11"/>
  <c r="J363" i="11"/>
  <c r="L363" i="11"/>
  <c r="N363" i="11"/>
  <c r="P363" i="11"/>
  <c r="R363" i="11"/>
  <c r="T363" i="11"/>
  <c r="S363" i="11" s="1"/>
  <c r="A364" i="11"/>
  <c r="C364" i="11"/>
  <c r="D364" i="11"/>
  <c r="E364" i="11"/>
  <c r="F364" i="11"/>
  <c r="G364" i="11"/>
  <c r="H364" i="11"/>
  <c r="J364" i="11"/>
  <c r="L364" i="11"/>
  <c r="N364" i="11"/>
  <c r="P364" i="11"/>
  <c r="R364" i="11"/>
  <c r="T364" i="11"/>
  <c r="S364" i="11" s="1"/>
  <c r="A365" i="11"/>
  <c r="B365" i="11"/>
  <c r="C365" i="11"/>
  <c r="D365" i="11"/>
  <c r="E365" i="11"/>
  <c r="F365" i="11"/>
  <c r="G365" i="11"/>
  <c r="H365" i="11"/>
  <c r="I365" i="11"/>
  <c r="J365" i="11"/>
  <c r="L365" i="11"/>
  <c r="K365" i="11" s="1"/>
  <c r="M365" i="11"/>
  <c r="N365" i="11"/>
  <c r="P365" i="11"/>
  <c r="O365" i="11" s="1"/>
  <c r="Q365" i="11"/>
  <c r="R365" i="11"/>
  <c r="T365" i="11"/>
  <c r="S365" i="11" s="1"/>
  <c r="A366" i="11"/>
  <c r="C366" i="11"/>
  <c r="D366" i="11"/>
  <c r="E366" i="11"/>
  <c r="F366" i="11"/>
  <c r="G366" i="11"/>
  <c r="H366" i="11"/>
  <c r="J366" i="11"/>
  <c r="L366" i="11"/>
  <c r="N366" i="11"/>
  <c r="O366" i="11"/>
  <c r="P366" i="11"/>
  <c r="R366" i="11"/>
  <c r="Q366" i="11" s="1"/>
  <c r="S366" i="11"/>
  <c r="T366" i="11"/>
  <c r="A367" i="11"/>
  <c r="C367" i="11"/>
  <c r="D367" i="11"/>
  <c r="E367" i="11"/>
  <c r="F367" i="11"/>
  <c r="G367" i="11"/>
  <c r="H367" i="11"/>
  <c r="J367" i="11"/>
  <c r="L367" i="11"/>
  <c r="N367" i="11"/>
  <c r="O367" i="11"/>
  <c r="P367" i="11"/>
  <c r="R367" i="11"/>
  <c r="Q367" i="11" s="1"/>
  <c r="S367" i="11"/>
  <c r="T367" i="11"/>
  <c r="A368" i="11"/>
  <c r="C368" i="11"/>
  <c r="D368" i="11"/>
  <c r="E368" i="11"/>
  <c r="F368" i="11"/>
  <c r="G368" i="11"/>
  <c r="H368" i="11"/>
  <c r="J368" i="11"/>
  <c r="L368" i="11"/>
  <c r="N368" i="11"/>
  <c r="P368" i="11"/>
  <c r="O368" i="11" s="1"/>
  <c r="Q368" i="11"/>
  <c r="R368" i="11"/>
  <c r="T368" i="11"/>
  <c r="S368" i="11" s="1"/>
  <c r="A369" i="11"/>
  <c r="C369" i="11"/>
  <c r="D369" i="11"/>
  <c r="E369" i="11"/>
  <c r="F369" i="11"/>
  <c r="G369" i="11"/>
  <c r="H369" i="11"/>
  <c r="J369" i="11"/>
  <c r="L369" i="11"/>
  <c r="N369" i="11"/>
  <c r="P369" i="11"/>
  <c r="O369" i="11" s="1"/>
  <c r="Q369" i="11"/>
  <c r="R369" i="11"/>
  <c r="T369" i="11"/>
  <c r="S369" i="11" s="1"/>
  <c r="A370" i="11"/>
  <c r="C370" i="11"/>
  <c r="D370" i="11"/>
  <c r="E370" i="11"/>
  <c r="F370" i="11"/>
  <c r="G370" i="11"/>
  <c r="H370" i="11"/>
  <c r="J370" i="11"/>
  <c r="L370" i="11"/>
  <c r="N370" i="11"/>
  <c r="P370" i="11"/>
  <c r="R370" i="11"/>
  <c r="Q370" i="11" s="1"/>
  <c r="S370" i="11"/>
  <c r="T370" i="11"/>
  <c r="A371" i="11"/>
  <c r="C371" i="11"/>
  <c r="D371" i="11"/>
  <c r="E371" i="11"/>
  <c r="F371" i="11"/>
  <c r="G371" i="11"/>
  <c r="H371" i="11"/>
  <c r="J371" i="11"/>
  <c r="L371" i="11"/>
  <c r="N371" i="11"/>
  <c r="P371" i="11"/>
  <c r="R371" i="11"/>
  <c r="Q371" i="11" s="1"/>
  <c r="S371" i="11"/>
  <c r="T371" i="11"/>
  <c r="A372" i="11"/>
  <c r="C372" i="11"/>
  <c r="D372" i="11"/>
  <c r="E372" i="11"/>
  <c r="F372" i="11"/>
  <c r="G372" i="11"/>
  <c r="H372" i="11"/>
  <c r="J372" i="11"/>
  <c r="L372" i="11"/>
  <c r="N372" i="11"/>
  <c r="P372" i="11"/>
  <c r="Q372" i="11"/>
  <c r="R372" i="11"/>
  <c r="T372" i="11"/>
  <c r="S372" i="11" s="1"/>
  <c r="A373" i="11"/>
  <c r="C373" i="11"/>
  <c r="D373" i="11"/>
  <c r="E373" i="11"/>
  <c r="F373" i="11"/>
  <c r="G373" i="11"/>
  <c r="H373" i="11"/>
  <c r="J373" i="11"/>
  <c r="L373" i="11"/>
  <c r="N373" i="11"/>
  <c r="P373" i="11"/>
  <c r="Q373" i="11"/>
  <c r="R373" i="11"/>
  <c r="T373" i="11"/>
  <c r="S373" i="11" s="1"/>
  <c r="A374" i="11"/>
  <c r="C374" i="11"/>
  <c r="D374" i="11"/>
  <c r="E374" i="11"/>
  <c r="F374" i="11"/>
  <c r="G374" i="11"/>
  <c r="H374" i="11"/>
  <c r="J374" i="11"/>
  <c r="L374" i="11"/>
  <c r="N374" i="11"/>
  <c r="P374" i="11"/>
  <c r="R374" i="11"/>
  <c r="S374" i="11"/>
  <c r="T374" i="11"/>
  <c r="A375" i="11"/>
  <c r="C375" i="11"/>
  <c r="D375" i="11"/>
  <c r="E375" i="11"/>
  <c r="F375" i="11"/>
  <c r="G375" i="11"/>
  <c r="H375" i="11"/>
  <c r="J375" i="11"/>
  <c r="L375" i="11"/>
  <c r="N375" i="11"/>
  <c r="P375" i="11"/>
  <c r="R375" i="11"/>
  <c r="S375" i="11"/>
  <c r="T375" i="11"/>
  <c r="A376" i="11"/>
  <c r="B376" i="11"/>
  <c r="C376" i="11"/>
  <c r="D376" i="11"/>
  <c r="E376" i="11"/>
  <c r="F376" i="11"/>
  <c r="G376" i="11"/>
  <c r="H376" i="11"/>
  <c r="I376" i="11"/>
  <c r="J376" i="11"/>
  <c r="K376" i="11"/>
  <c r="L376" i="11"/>
  <c r="N376" i="11"/>
  <c r="M376" i="11" s="1"/>
  <c r="O376" i="11"/>
  <c r="P376" i="11"/>
  <c r="R376" i="11"/>
  <c r="Q376" i="11" s="1"/>
  <c r="S376" i="11"/>
  <c r="T376" i="11"/>
  <c r="A377" i="11"/>
  <c r="C377" i="11"/>
  <c r="D377" i="11"/>
  <c r="E377" i="11"/>
  <c r="F377" i="11"/>
  <c r="G377" i="11"/>
  <c r="H377" i="11"/>
  <c r="J377" i="11"/>
  <c r="L377" i="11"/>
  <c r="N377" i="11"/>
  <c r="P377" i="11"/>
  <c r="O377" i="11" s="1"/>
  <c r="Q377" i="11"/>
  <c r="R377" i="11"/>
  <c r="T377" i="11"/>
  <c r="S377" i="11" s="1"/>
  <c r="A378" i="11"/>
  <c r="C378" i="11"/>
  <c r="D378" i="11"/>
  <c r="E378" i="11"/>
  <c r="F378" i="11"/>
  <c r="G378" i="11"/>
  <c r="H378" i="11"/>
  <c r="J378" i="11"/>
  <c r="L378" i="11"/>
  <c r="N378" i="11"/>
  <c r="P378" i="11"/>
  <c r="O378" i="11" s="1"/>
  <c r="Q378" i="11"/>
  <c r="R378" i="11"/>
  <c r="T378" i="11"/>
  <c r="S378" i="11" s="1"/>
  <c r="A379" i="11"/>
  <c r="C379" i="11"/>
  <c r="D379" i="11"/>
  <c r="E379" i="11"/>
  <c r="F379" i="11"/>
  <c r="G379" i="11"/>
  <c r="H379" i="11"/>
  <c r="J379" i="11"/>
  <c r="L379" i="11"/>
  <c r="N379" i="11"/>
  <c r="O379" i="11"/>
  <c r="P379" i="11"/>
  <c r="R379" i="11"/>
  <c r="Q379" i="11" s="1"/>
  <c r="S379" i="11"/>
  <c r="T379" i="11"/>
  <c r="A380" i="11"/>
  <c r="C380" i="11"/>
  <c r="D380" i="11"/>
  <c r="E380" i="11"/>
  <c r="F380" i="11"/>
  <c r="G380" i="11"/>
  <c r="H380" i="11"/>
  <c r="J380" i="11"/>
  <c r="L380" i="11"/>
  <c r="N380" i="11"/>
  <c r="O380" i="11"/>
  <c r="P380" i="11"/>
  <c r="R380" i="11"/>
  <c r="Q380" i="11" s="1"/>
  <c r="S380" i="11"/>
  <c r="T380" i="11"/>
  <c r="A381" i="11"/>
  <c r="C381" i="11"/>
  <c r="D381" i="11"/>
  <c r="E381" i="11"/>
  <c r="F381" i="11"/>
  <c r="G381" i="11"/>
  <c r="H381" i="11"/>
  <c r="J381" i="11"/>
  <c r="L381" i="11"/>
  <c r="N381" i="11"/>
  <c r="P381" i="11"/>
  <c r="Q381" i="11"/>
  <c r="R381" i="11"/>
  <c r="T381" i="11"/>
  <c r="S381" i="11" s="1"/>
  <c r="A382" i="11"/>
  <c r="C382" i="11"/>
  <c r="D382" i="11"/>
  <c r="E382" i="11"/>
  <c r="F382" i="11"/>
  <c r="G382" i="11"/>
  <c r="H382" i="11"/>
  <c r="J382" i="11"/>
  <c r="L382" i="11"/>
  <c r="N382" i="11"/>
  <c r="P382" i="11"/>
  <c r="Q382" i="11"/>
  <c r="R382" i="11"/>
  <c r="T382" i="11"/>
  <c r="S382" i="11" s="1"/>
  <c r="A383" i="11"/>
  <c r="C383" i="11"/>
  <c r="D383" i="11"/>
  <c r="E383" i="11"/>
  <c r="F383" i="11"/>
  <c r="G383" i="11"/>
  <c r="H383" i="11"/>
  <c r="J383" i="11"/>
  <c r="L383" i="11"/>
  <c r="N383" i="11"/>
  <c r="P383" i="11"/>
  <c r="R383" i="11"/>
  <c r="Q383" i="11" s="1"/>
  <c r="S383" i="11"/>
  <c r="T383" i="11"/>
  <c r="A384" i="11"/>
  <c r="C384" i="11"/>
  <c r="D384" i="11"/>
  <c r="E384" i="11"/>
  <c r="F384" i="11"/>
  <c r="G384" i="11"/>
  <c r="H384" i="11"/>
  <c r="J384" i="11"/>
  <c r="L384" i="11"/>
  <c r="N384" i="11"/>
  <c r="P384" i="11"/>
  <c r="R384" i="11"/>
  <c r="Q384" i="11" s="1"/>
  <c r="S384" i="11"/>
  <c r="T384" i="11"/>
  <c r="A385" i="11"/>
  <c r="C385" i="11"/>
  <c r="D385" i="11"/>
  <c r="E385" i="11"/>
  <c r="F385" i="11"/>
  <c r="G385" i="11"/>
  <c r="H385" i="11"/>
  <c r="J385" i="11"/>
  <c r="L385" i="11"/>
  <c r="N385" i="11"/>
  <c r="P385" i="11"/>
  <c r="R385" i="11"/>
  <c r="T385" i="11"/>
  <c r="S385" i="11" s="1"/>
  <c r="A386" i="11"/>
  <c r="C386" i="11"/>
  <c r="D386" i="11"/>
  <c r="E386" i="11"/>
  <c r="F386" i="11"/>
  <c r="G386" i="11"/>
  <c r="H386" i="11"/>
  <c r="J386" i="11"/>
  <c r="L386" i="11"/>
  <c r="N386" i="11"/>
  <c r="P386" i="11"/>
  <c r="R386" i="11"/>
  <c r="T386" i="11"/>
  <c r="S386" i="11" s="1"/>
  <c r="A387" i="11"/>
  <c r="B387" i="11"/>
  <c r="C387" i="11"/>
  <c r="D387" i="11"/>
  <c r="E387" i="11"/>
  <c r="F387" i="11"/>
  <c r="G387" i="11"/>
  <c r="H387" i="11"/>
  <c r="I387" i="11"/>
  <c r="J387" i="11"/>
  <c r="L387" i="11"/>
  <c r="K387" i="11" s="1"/>
  <c r="M387" i="11"/>
  <c r="N387" i="11"/>
  <c r="P387" i="11"/>
  <c r="O387" i="11" s="1"/>
  <c r="Q387" i="11"/>
  <c r="R387" i="11"/>
  <c r="T387" i="11"/>
  <c r="S387" i="11" s="1"/>
  <c r="A388" i="11"/>
  <c r="C388" i="11"/>
  <c r="D388" i="11"/>
  <c r="E388" i="11"/>
  <c r="F388" i="11"/>
  <c r="G388" i="11"/>
  <c r="H388" i="11"/>
  <c r="J388" i="11"/>
  <c r="L388" i="11"/>
  <c r="N388" i="11"/>
  <c r="O388" i="11"/>
  <c r="P388" i="11"/>
  <c r="R388" i="11"/>
  <c r="Q388" i="11" s="1"/>
  <c r="S388" i="11"/>
  <c r="T388" i="11"/>
  <c r="A389" i="11"/>
  <c r="C389" i="11"/>
  <c r="D389" i="11"/>
  <c r="E389" i="11"/>
  <c r="F389" i="11"/>
  <c r="G389" i="11"/>
  <c r="H389" i="11"/>
  <c r="J389" i="11"/>
  <c r="L389" i="11"/>
  <c r="N389" i="11"/>
  <c r="O389" i="11"/>
  <c r="P389" i="11"/>
  <c r="R389" i="11"/>
  <c r="Q389" i="11" s="1"/>
  <c r="S389" i="11"/>
  <c r="T389" i="11"/>
  <c r="A390" i="11"/>
  <c r="C390" i="11"/>
  <c r="D390" i="11"/>
  <c r="E390" i="11"/>
  <c r="F390" i="11"/>
  <c r="G390" i="11"/>
  <c r="H390" i="11"/>
  <c r="J390" i="11"/>
  <c r="L390" i="11"/>
  <c r="N390" i="11"/>
  <c r="P390" i="11"/>
  <c r="O390" i="11" s="1"/>
  <c r="Q390" i="11"/>
  <c r="R390" i="11"/>
  <c r="T390" i="11"/>
  <c r="S390" i="11" s="1"/>
  <c r="A391" i="11"/>
  <c r="C391" i="11"/>
  <c r="D391" i="11"/>
  <c r="E391" i="11"/>
  <c r="F391" i="11"/>
  <c r="G391" i="11"/>
  <c r="H391" i="11"/>
  <c r="J391" i="11"/>
  <c r="L391" i="11"/>
  <c r="N391" i="11"/>
  <c r="P391" i="11"/>
  <c r="O391" i="11" s="1"/>
  <c r="Q391" i="11"/>
  <c r="R391" i="11"/>
  <c r="T391" i="11"/>
  <c r="S391" i="11" s="1"/>
  <c r="A392" i="11"/>
  <c r="C392" i="11"/>
  <c r="D392" i="11"/>
  <c r="E392" i="11"/>
  <c r="F392" i="11"/>
  <c r="G392" i="11"/>
  <c r="H392" i="11"/>
  <c r="J392" i="11"/>
  <c r="L392" i="11"/>
  <c r="N392" i="11"/>
  <c r="P392" i="11"/>
  <c r="R392" i="11"/>
  <c r="Q392" i="11" s="1"/>
  <c r="S392" i="11"/>
  <c r="T392" i="11"/>
  <c r="A393" i="11"/>
  <c r="C393" i="11"/>
  <c r="D393" i="11"/>
  <c r="E393" i="11"/>
  <c r="F393" i="11"/>
  <c r="G393" i="11"/>
  <c r="H393" i="11"/>
  <c r="J393" i="11"/>
  <c r="L393" i="11"/>
  <c r="N393" i="11"/>
  <c r="P393" i="11"/>
  <c r="R393" i="11"/>
  <c r="Q393" i="11" s="1"/>
  <c r="S393" i="11"/>
  <c r="T393" i="11"/>
  <c r="A394" i="11"/>
  <c r="C394" i="11"/>
  <c r="D394" i="11"/>
  <c r="E394" i="11"/>
  <c r="F394" i="11"/>
  <c r="G394" i="11"/>
  <c r="H394" i="11"/>
  <c r="J394" i="11"/>
  <c r="L394" i="11"/>
  <c r="N394" i="11"/>
  <c r="P394" i="11"/>
  <c r="Q394" i="11"/>
  <c r="R394" i="11"/>
  <c r="T394" i="11"/>
  <c r="S394" i="11" s="1"/>
  <c r="A395" i="11"/>
  <c r="C395" i="11"/>
  <c r="D395" i="11"/>
  <c r="E395" i="11"/>
  <c r="F395" i="11"/>
  <c r="G395" i="11"/>
  <c r="H395" i="11"/>
  <c r="J395" i="11"/>
  <c r="L395" i="11"/>
  <c r="N395" i="11"/>
  <c r="P395" i="11"/>
  <c r="Q395" i="11"/>
  <c r="R395" i="11"/>
  <c r="T395" i="11"/>
  <c r="S395" i="11" s="1"/>
  <c r="A396" i="11"/>
  <c r="C396" i="11"/>
  <c r="D396" i="11"/>
  <c r="E396" i="11"/>
  <c r="F396" i="11"/>
  <c r="G396" i="11"/>
  <c r="H396" i="11"/>
  <c r="J396" i="11"/>
  <c r="L396" i="11"/>
  <c r="N396" i="11"/>
  <c r="P396" i="11"/>
  <c r="R396" i="11"/>
  <c r="S396" i="11"/>
  <c r="T396" i="11"/>
  <c r="A397" i="11"/>
  <c r="C397" i="11"/>
  <c r="D397" i="11"/>
  <c r="E397" i="11"/>
  <c r="F397" i="11"/>
  <c r="G397" i="11"/>
  <c r="H397" i="11"/>
  <c r="J397" i="11"/>
  <c r="L397" i="11"/>
  <c r="N397" i="11"/>
  <c r="P397" i="11"/>
  <c r="R397" i="11"/>
  <c r="S397" i="11"/>
  <c r="T397" i="11"/>
  <c r="A398" i="11"/>
  <c r="B398" i="11"/>
  <c r="C398" i="11"/>
  <c r="D398" i="11"/>
  <c r="E398" i="11"/>
  <c r="F398" i="11"/>
  <c r="G398" i="11"/>
  <c r="H398" i="11"/>
  <c r="I398" i="11"/>
  <c r="J398" i="11"/>
  <c r="K398" i="11"/>
  <c r="L398" i="11"/>
  <c r="N398" i="11"/>
  <c r="M398" i="11" s="1"/>
  <c r="P398" i="11"/>
  <c r="O398" i="11" s="1"/>
  <c r="R398" i="11"/>
  <c r="Q398" i="11" s="1"/>
  <c r="T398" i="11"/>
  <c r="S398" i="11" s="1"/>
  <c r="A399" i="11"/>
  <c r="C399" i="11"/>
  <c r="D399" i="11"/>
  <c r="E399" i="11"/>
  <c r="F399" i="11"/>
  <c r="G399" i="11"/>
  <c r="H399" i="11"/>
  <c r="J399" i="11"/>
  <c r="L399" i="11"/>
  <c r="N399" i="11"/>
  <c r="P399" i="11"/>
  <c r="O399" i="11" s="1"/>
  <c r="Q399" i="11"/>
  <c r="R399" i="11"/>
  <c r="T399" i="11"/>
  <c r="S399" i="11" s="1"/>
  <c r="A400" i="11"/>
  <c r="C400" i="11"/>
  <c r="D400" i="11"/>
  <c r="E400" i="11"/>
  <c r="F400" i="11"/>
  <c r="G400" i="11"/>
  <c r="H400" i="11"/>
  <c r="J400" i="11"/>
  <c r="L400" i="11"/>
  <c r="N400" i="11"/>
  <c r="P400" i="11"/>
  <c r="O400" i="11" s="1"/>
  <c r="R400" i="11"/>
  <c r="Q400" i="11" s="1"/>
  <c r="T400" i="11"/>
  <c r="S400" i="11" s="1"/>
  <c r="A401" i="11"/>
  <c r="C401" i="11"/>
  <c r="D401" i="11"/>
  <c r="E401" i="11"/>
  <c r="F401" i="11"/>
  <c r="G401" i="11"/>
  <c r="H401" i="11"/>
  <c r="J401" i="11"/>
  <c r="L401" i="11"/>
  <c r="N401" i="11"/>
  <c r="O401" i="11"/>
  <c r="P401" i="11"/>
  <c r="R401" i="11"/>
  <c r="Q401" i="11" s="1"/>
  <c r="S401" i="11"/>
  <c r="T401" i="11"/>
  <c r="A402" i="11"/>
  <c r="C402" i="11"/>
  <c r="D402" i="11"/>
  <c r="E402" i="11"/>
  <c r="F402" i="11"/>
  <c r="G402" i="11"/>
  <c r="H402" i="11"/>
  <c r="J402" i="11"/>
  <c r="L402" i="11"/>
  <c r="N402" i="11"/>
  <c r="P402" i="11"/>
  <c r="O402" i="11" s="1"/>
  <c r="R402" i="11"/>
  <c r="Q402" i="11" s="1"/>
  <c r="T402" i="11"/>
  <c r="S402" i="11" s="1"/>
  <c r="A403" i="11"/>
  <c r="C403" i="11"/>
  <c r="D403" i="11"/>
  <c r="E403" i="11"/>
  <c r="F403" i="11"/>
  <c r="G403" i="11"/>
  <c r="H403" i="11"/>
  <c r="J403" i="11"/>
  <c r="L403" i="11"/>
  <c r="N403" i="11"/>
  <c r="P403" i="11"/>
  <c r="Q403" i="11"/>
  <c r="R403" i="11"/>
  <c r="T403" i="11"/>
  <c r="S403" i="11" s="1"/>
  <c r="A404" i="11"/>
  <c r="C404" i="11"/>
  <c r="D404" i="11"/>
  <c r="E404" i="11"/>
  <c r="F404" i="11"/>
  <c r="G404" i="11"/>
  <c r="H404" i="11"/>
  <c r="J404" i="11"/>
  <c r="L404" i="11"/>
  <c r="N404" i="11"/>
  <c r="P404" i="11"/>
  <c r="R404" i="11"/>
  <c r="Q404" i="11" s="1"/>
  <c r="T404" i="11"/>
  <c r="S404" i="11" s="1"/>
  <c r="A405" i="11"/>
  <c r="C405" i="11"/>
  <c r="D405" i="11"/>
  <c r="E405" i="11"/>
  <c r="F405" i="11"/>
  <c r="G405" i="11"/>
  <c r="H405" i="11"/>
  <c r="J405" i="11"/>
  <c r="L405" i="11"/>
  <c r="N405" i="11"/>
  <c r="P405" i="11"/>
  <c r="R405" i="11"/>
  <c r="Q405" i="11" s="1"/>
  <c r="S405" i="11"/>
  <c r="T405" i="11"/>
  <c r="A406" i="11"/>
  <c r="C406" i="11"/>
  <c r="D406" i="11"/>
  <c r="E406" i="11"/>
  <c r="F406" i="11"/>
  <c r="G406" i="11"/>
  <c r="H406" i="11"/>
  <c r="J406" i="11"/>
  <c r="L406" i="11"/>
  <c r="N406" i="11"/>
  <c r="P406" i="11"/>
  <c r="R406" i="11"/>
  <c r="Q406" i="11" s="1"/>
  <c r="T406" i="11"/>
  <c r="S406" i="11" s="1"/>
  <c r="A407" i="11"/>
  <c r="C407" i="11"/>
  <c r="D407" i="11"/>
  <c r="E407" i="11"/>
  <c r="F407" i="11"/>
  <c r="G407" i="11"/>
  <c r="H407" i="11"/>
  <c r="J407" i="11"/>
  <c r="L407" i="11"/>
  <c r="N407" i="11"/>
  <c r="P407" i="11"/>
  <c r="R407" i="11"/>
  <c r="T407" i="11"/>
  <c r="S407" i="11" s="1"/>
  <c r="A408" i="11"/>
  <c r="C408" i="11"/>
  <c r="D408" i="11"/>
  <c r="E408" i="11"/>
  <c r="F408" i="11"/>
  <c r="G408" i="11"/>
  <c r="H408" i="11"/>
  <c r="J408" i="11"/>
  <c r="L408" i="11"/>
  <c r="N408" i="11"/>
  <c r="P408" i="11"/>
  <c r="R408" i="11"/>
  <c r="T408" i="11"/>
  <c r="S408" i="11" s="1"/>
  <c r="A409" i="11"/>
  <c r="B409" i="11"/>
  <c r="C409" i="11"/>
  <c r="D409" i="11"/>
  <c r="E409" i="11"/>
  <c r="F409" i="11"/>
  <c r="G409" i="11"/>
  <c r="H409" i="11"/>
  <c r="I409" i="11"/>
  <c r="J409" i="11"/>
  <c r="L409" i="11"/>
  <c r="K409" i="11" s="1"/>
  <c r="M409" i="11"/>
  <c r="N409" i="11"/>
  <c r="P409" i="11"/>
  <c r="O409" i="11" s="1"/>
  <c r="Q409" i="11"/>
  <c r="R409" i="11"/>
  <c r="T409" i="11"/>
  <c r="S409" i="11" s="1"/>
  <c r="A410" i="11"/>
  <c r="C410" i="11"/>
  <c r="D410" i="11"/>
  <c r="E410" i="11"/>
  <c r="G410" i="11"/>
  <c r="H410" i="11"/>
  <c r="J410" i="11"/>
  <c r="L410" i="11"/>
  <c r="N410" i="11"/>
  <c r="P410" i="11"/>
  <c r="O410" i="11" s="1"/>
  <c r="R410" i="11"/>
  <c r="Q410" i="11" s="1"/>
  <c r="T410" i="11"/>
  <c r="A411" i="11"/>
  <c r="C411" i="11"/>
  <c r="D411" i="11"/>
  <c r="E411" i="11"/>
  <c r="G411" i="11"/>
  <c r="H411" i="11"/>
  <c r="J411" i="11"/>
  <c r="L411" i="11"/>
  <c r="N411" i="11"/>
  <c r="P411" i="11"/>
  <c r="O411" i="11" s="1"/>
  <c r="R411" i="11"/>
  <c r="Q411" i="11" s="1"/>
  <c r="T411" i="11"/>
  <c r="A412" i="11"/>
  <c r="C412" i="11"/>
  <c r="D412" i="11"/>
  <c r="E412" i="11"/>
  <c r="G412" i="11"/>
  <c r="H412" i="11"/>
  <c r="J412" i="11"/>
  <c r="L412" i="11"/>
  <c r="N412" i="11"/>
  <c r="P412" i="11"/>
  <c r="R412" i="11"/>
  <c r="Q412" i="11" s="1"/>
  <c r="T412" i="11"/>
  <c r="A413" i="11"/>
  <c r="C413" i="11"/>
  <c r="D413" i="11"/>
  <c r="E413" i="11"/>
  <c r="G413" i="11"/>
  <c r="H413" i="11"/>
  <c r="J413" i="11"/>
  <c r="L413" i="11"/>
  <c r="N413" i="11"/>
  <c r="P413" i="11"/>
  <c r="Q413" i="11"/>
  <c r="R413" i="11"/>
  <c r="T413" i="11"/>
  <c r="A414" i="11"/>
  <c r="C414" i="11"/>
  <c r="D414" i="11"/>
  <c r="E414" i="11"/>
  <c r="G414" i="11"/>
  <c r="H414" i="11"/>
  <c r="J414" i="11"/>
  <c r="L414" i="11"/>
  <c r="N414" i="11"/>
  <c r="P414" i="11"/>
  <c r="R414" i="11"/>
  <c r="T414" i="11"/>
  <c r="A415" i="11"/>
  <c r="B415" i="11"/>
  <c r="C415" i="11"/>
  <c r="D415" i="11"/>
  <c r="E415" i="11"/>
  <c r="F415" i="11"/>
  <c r="G415" i="11"/>
  <c r="H415" i="11"/>
  <c r="I415" i="11"/>
  <c r="J415" i="11"/>
  <c r="K415" i="11"/>
  <c r="L415" i="11"/>
  <c r="N415" i="11"/>
  <c r="M415" i="11" s="1"/>
  <c r="O415" i="11"/>
  <c r="P415" i="11"/>
  <c r="R415" i="11"/>
  <c r="Q415" i="11" s="1"/>
  <c r="T415" i="11"/>
  <c r="S415" i="11" s="1"/>
  <c r="A416" i="11"/>
  <c r="C416" i="11"/>
  <c r="D416" i="11"/>
  <c r="E416" i="11"/>
  <c r="G416" i="11"/>
  <c r="H416" i="11"/>
  <c r="J416" i="11"/>
  <c r="L416" i="11"/>
  <c r="N416" i="11"/>
  <c r="O416" i="11"/>
  <c r="P416" i="11"/>
  <c r="R416" i="11"/>
  <c r="Q416" i="11" s="1"/>
  <c r="T416" i="11"/>
  <c r="A417" i="11"/>
  <c r="C417" i="11"/>
  <c r="D417" i="11"/>
  <c r="E417" i="11"/>
  <c r="G417" i="11"/>
  <c r="H417" i="11"/>
  <c r="J417" i="11"/>
  <c r="L417" i="11"/>
  <c r="N417" i="11"/>
  <c r="P417" i="11"/>
  <c r="Q417" i="11"/>
  <c r="R417" i="11"/>
  <c r="T417" i="11"/>
  <c r="A418" i="11"/>
  <c r="C418" i="11"/>
  <c r="D418" i="11"/>
  <c r="E418" i="11"/>
  <c r="G418" i="11"/>
  <c r="H418" i="11"/>
  <c r="J418" i="11"/>
  <c r="L418" i="11"/>
  <c r="N418" i="11"/>
  <c r="P418" i="11"/>
  <c r="R418" i="11"/>
  <c r="Q418" i="11" s="1"/>
  <c r="T418" i="11"/>
  <c r="A419" i="11"/>
  <c r="C419" i="11"/>
  <c r="D419" i="11"/>
  <c r="E419" i="11"/>
  <c r="G419" i="11"/>
  <c r="H419" i="11"/>
  <c r="J419" i="11"/>
  <c r="L419" i="11"/>
  <c r="N419" i="11"/>
  <c r="P419" i="11"/>
  <c r="R419" i="11"/>
  <c r="T419" i="11"/>
  <c r="A420" i="11"/>
  <c r="B420" i="11"/>
  <c r="C420" i="11"/>
  <c r="D420" i="11"/>
  <c r="E420" i="11"/>
  <c r="F420" i="11"/>
  <c r="G420" i="11"/>
  <c r="H420" i="11"/>
  <c r="I420" i="11"/>
  <c r="J420" i="11"/>
  <c r="L420" i="11"/>
  <c r="K420" i="11" s="1"/>
  <c r="M420" i="11"/>
  <c r="N420" i="11"/>
  <c r="P420" i="11"/>
  <c r="O420" i="11" s="1"/>
  <c r="Q420" i="11"/>
  <c r="R420" i="11"/>
  <c r="T420" i="11"/>
  <c r="S420" i="11" s="1"/>
  <c r="A421" i="11"/>
  <c r="C421" i="11"/>
  <c r="D421" i="11"/>
  <c r="E421" i="11"/>
  <c r="G421" i="11"/>
  <c r="H421" i="11"/>
  <c r="J421" i="11"/>
  <c r="L421" i="11"/>
  <c r="N421" i="11"/>
  <c r="O421" i="11"/>
  <c r="P421" i="11"/>
  <c r="R421" i="11"/>
  <c r="Q421" i="11" s="1"/>
  <c r="T421" i="11"/>
  <c r="A422" i="11"/>
  <c r="C422" i="11"/>
  <c r="D422" i="11"/>
  <c r="E422" i="11"/>
  <c r="G422" i="11"/>
  <c r="H422" i="11"/>
  <c r="J422" i="11"/>
  <c r="L422" i="11"/>
  <c r="N422" i="11"/>
  <c r="P422" i="11"/>
  <c r="O422" i="11" s="1"/>
  <c r="Q422" i="11"/>
  <c r="R422" i="11"/>
  <c r="T422" i="11"/>
  <c r="A423" i="11"/>
  <c r="C423" i="11"/>
  <c r="D423" i="11"/>
  <c r="E423" i="11"/>
  <c r="G423" i="11"/>
  <c r="H423" i="11"/>
  <c r="J423" i="11"/>
  <c r="L423" i="11"/>
  <c r="N423" i="11"/>
  <c r="P423" i="11"/>
  <c r="R423" i="11"/>
  <c r="Q423" i="11" s="1"/>
  <c r="T423" i="11"/>
  <c r="A424" i="11"/>
  <c r="C424" i="11"/>
  <c r="D424" i="11"/>
  <c r="E424" i="11"/>
  <c r="G424" i="11"/>
  <c r="H424" i="11"/>
  <c r="J424" i="11"/>
  <c r="L424" i="11"/>
  <c r="N424" i="11"/>
  <c r="P424" i="11"/>
  <c r="Q424" i="11"/>
  <c r="R424" i="11"/>
  <c r="T424" i="11"/>
  <c r="A425" i="11"/>
  <c r="C425" i="11"/>
  <c r="D425" i="11"/>
  <c r="E425" i="11"/>
  <c r="G425" i="11"/>
  <c r="H425" i="11"/>
  <c r="J425" i="11"/>
  <c r="L425" i="11"/>
  <c r="N425" i="11"/>
  <c r="P425" i="11"/>
  <c r="R425" i="11"/>
  <c r="T425" i="11"/>
  <c r="A426" i="11"/>
  <c r="B426" i="11"/>
  <c r="C426" i="11"/>
  <c r="D426" i="11"/>
  <c r="E426" i="11"/>
  <c r="F426" i="11"/>
  <c r="G426" i="11"/>
  <c r="H426" i="11"/>
  <c r="I426" i="11"/>
  <c r="J426" i="11"/>
  <c r="K426" i="11"/>
  <c r="L426" i="11"/>
  <c r="N426" i="11"/>
  <c r="M426" i="11" s="1"/>
  <c r="O426" i="11"/>
  <c r="P426" i="11"/>
  <c r="R426" i="11"/>
  <c r="Q426" i="11" s="1"/>
  <c r="S426" i="11"/>
  <c r="T426" i="11"/>
  <c r="A427" i="11"/>
  <c r="C427" i="11"/>
  <c r="D427" i="11"/>
  <c r="E427" i="11"/>
  <c r="G427" i="11"/>
  <c r="H427" i="11"/>
  <c r="J427" i="11"/>
  <c r="L427" i="11"/>
  <c r="N427" i="11"/>
  <c r="P427" i="11"/>
  <c r="O427" i="11" s="1"/>
  <c r="Q427" i="11"/>
  <c r="R427" i="11"/>
  <c r="T427" i="11"/>
  <c r="A428" i="11"/>
  <c r="C428" i="11"/>
  <c r="D428" i="11"/>
  <c r="E428" i="11"/>
  <c r="G428" i="11"/>
  <c r="H428" i="11"/>
  <c r="J428" i="11"/>
  <c r="L428" i="11"/>
  <c r="N428" i="11"/>
  <c r="O428" i="11"/>
  <c r="P428" i="11"/>
  <c r="R428" i="11"/>
  <c r="Q428" i="11" s="1"/>
  <c r="T428" i="11"/>
  <c r="A429" i="11"/>
  <c r="C429" i="11"/>
  <c r="D429" i="11"/>
  <c r="E429" i="11"/>
  <c r="G429" i="11"/>
  <c r="H429" i="11"/>
  <c r="J429" i="11"/>
  <c r="L429" i="11"/>
  <c r="N429" i="11"/>
  <c r="P429" i="11"/>
  <c r="Q429" i="11"/>
  <c r="R429" i="11"/>
  <c r="T429" i="11"/>
  <c r="A430" i="11"/>
  <c r="C430" i="11"/>
  <c r="D430" i="11"/>
  <c r="E430" i="11"/>
  <c r="G430" i="11"/>
  <c r="H430" i="11"/>
  <c r="J430" i="11"/>
  <c r="L430" i="11"/>
  <c r="N430" i="11"/>
  <c r="P430" i="11"/>
  <c r="R430" i="11"/>
  <c r="Q430" i="11" s="1"/>
  <c r="T430" i="11"/>
  <c r="A431" i="11"/>
  <c r="C431" i="11"/>
  <c r="D431" i="11"/>
  <c r="E431" i="11"/>
  <c r="G431" i="11"/>
  <c r="H431" i="11"/>
  <c r="J431" i="11"/>
  <c r="L431" i="11"/>
  <c r="N431" i="11"/>
  <c r="P431" i="11"/>
  <c r="R431" i="11"/>
  <c r="T431" i="11"/>
  <c r="A432" i="11"/>
  <c r="B432" i="11"/>
  <c r="C432" i="11"/>
  <c r="D432" i="11"/>
  <c r="E432" i="11"/>
  <c r="F432" i="11"/>
  <c r="G432" i="11"/>
  <c r="H432" i="11"/>
  <c r="I432" i="11"/>
  <c r="J432" i="11"/>
  <c r="L432" i="11"/>
  <c r="K432" i="11" s="1"/>
  <c r="M432" i="11"/>
  <c r="N432" i="11"/>
  <c r="P432" i="11"/>
  <c r="O432" i="11" s="1"/>
  <c r="Q432" i="11"/>
  <c r="R432" i="11"/>
  <c r="T432" i="11"/>
  <c r="S432" i="11" s="1"/>
  <c r="A433" i="11"/>
  <c r="C433" i="11"/>
  <c r="D433" i="11"/>
  <c r="E433" i="11"/>
  <c r="G433" i="11"/>
  <c r="H433" i="11"/>
  <c r="J433" i="11"/>
  <c r="L433" i="11"/>
  <c r="N433" i="11"/>
  <c r="O433" i="11"/>
  <c r="P433" i="11"/>
  <c r="R433" i="11"/>
  <c r="Q433" i="11" s="1"/>
  <c r="T433" i="11"/>
  <c r="A434" i="11"/>
  <c r="C434" i="11"/>
  <c r="D434" i="11"/>
  <c r="E434" i="11"/>
  <c r="G434" i="11"/>
  <c r="H434" i="11"/>
  <c r="J434" i="11"/>
  <c r="L434" i="11"/>
  <c r="N434" i="11"/>
  <c r="P434" i="11"/>
  <c r="Q434" i="11"/>
  <c r="R434" i="11"/>
  <c r="T434" i="11"/>
  <c r="A435" i="11"/>
  <c r="C435" i="11"/>
  <c r="D435" i="11"/>
  <c r="E435" i="11"/>
  <c r="G435" i="11"/>
  <c r="H435" i="11"/>
  <c r="J435" i="11"/>
  <c r="L435" i="11"/>
  <c r="N435" i="11"/>
  <c r="P435" i="11"/>
  <c r="R435" i="11"/>
  <c r="Q435" i="11" s="1"/>
  <c r="T435" i="11"/>
  <c r="A436" i="11"/>
  <c r="C436" i="11"/>
  <c r="D436" i="11"/>
  <c r="E436" i="11"/>
  <c r="G436" i="11"/>
  <c r="H436" i="11"/>
  <c r="J436" i="11"/>
  <c r="L436" i="11"/>
  <c r="N436" i="11"/>
  <c r="P436" i="11"/>
  <c r="R436" i="11"/>
  <c r="T436" i="11"/>
  <c r="A437" i="11"/>
  <c r="B437" i="11"/>
  <c r="C437" i="11"/>
  <c r="D437" i="11"/>
  <c r="E437" i="11"/>
  <c r="F437" i="11"/>
  <c r="G437" i="11"/>
  <c r="H437" i="11"/>
  <c r="I437" i="11"/>
  <c r="J437" i="11"/>
  <c r="L437" i="11"/>
  <c r="K437" i="11" s="1"/>
  <c r="M437" i="11"/>
  <c r="N437" i="11"/>
  <c r="P437" i="11"/>
  <c r="O437" i="11" s="1"/>
  <c r="Q437" i="11"/>
  <c r="R437" i="11"/>
  <c r="T437" i="11"/>
  <c r="S437" i="11" s="1"/>
  <c r="A438" i="11"/>
  <c r="C438" i="11"/>
  <c r="D438" i="11"/>
  <c r="E438" i="11"/>
  <c r="G438" i="11"/>
  <c r="H438" i="11"/>
  <c r="J438" i="11"/>
  <c r="L438" i="11"/>
  <c r="N438" i="11"/>
  <c r="O438" i="11"/>
  <c r="P438" i="11"/>
  <c r="R438" i="11"/>
  <c r="Q438" i="11" s="1"/>
  <c r="T438" i="11"/>
  <c r="A439" i="11"/>
  <c r="C439" i="11"/>
  <c r="D439" i="11"/>
  <c r="E439" i="11"/>
  <c r="G439" i="11"/>
  <c r="H439" i="11"/>
  <c r="J439" i="11"/>
  <c r="L439" i="11"/>
  <c r="N439" i="11"/>
  <c r="P439" i="11"/>
  <c r="O439" i="11" s="1"/>
  <c r="Q439" i="11"/>
  <c r="R439" i="11"/>
  <c r="T439" i="11"/>
  <c r="A440" i="11"/>
  <c r="C440" i="11"/>
  <c r="D440" i="11"/>
  <c r="E440" i="11"/>
  <c r="G440" i="11"/>
  <c r="H440" i="11"/>
  <c r="J440" i="11"/>
  <c r="L440" i="11"/>
  <c r="N440" i="11"/>
  <c r="P440" i="11"/>
  <c r="R440" i="11"/>
  <c r="Q440" i="11" s="1"/>
  <c r="T440" i="11"/>
  <c r="A441" i="11"/>
  <c r="C441" i="11"/>
  <c r="D441" i="11"/>
  <c r="E441" i="11"/>
  <c r="G441" i="11"/>
  <c r="H441" i="11"/>
  <c r="J441" i="11"/>
  <c r="L441" i="11"/>
  <c r="N441" i="11"/>
  <c r="P441" i="11"/>
  <c r="Q441" i="11"/>
  <c r="R441" i="11"/>
  <c r="T441" i="11"/>
  <c r="A442" i="11"/>
  <c r="C442" i="11"/>
  <c r="D442" i="11"/>
  <c r="E442" i="11"/>
  <c r="G442" i="11"/>
  <c r="H442" i="11"/>
  <c r="J442" i="11"/>
  <c r="L442" i="11"/>
  <c r="N442" i="11"/>
  <c r="P442" i="11"/>
  <c r="R442" i="11"/>
  <c r="T442" i="11"/>
  <c r="A443" i="11"/>
  <c r="B443" i="11"/>
  <c r="C443" i="11"/>
  <c r="D443" i="11"/>
  <c r="E443" i="11"/>
  <c r="F443" i="11"/>
  <c r="G443" i="11"/>
  <c r="H443" i="11"/>
  <c r="I443" i="11"/>
  <c r="J443" i="11"/>
  <c r="K443" i="11"/>
  <c r="L443" i="11"/>
  <c r="N443" i="11"/>
  <c r="M443" i="11" s="1"/>
  <c r="O443" i="11"/>
  <c r="P443" i="11"/>
  <c r="R443" i="11"/>
  <c r="Q443" i="11" s="1"/>
  <c r="S443" i="11"/>
  <c r="T443" i="11"/>
  <c r="A444" i="11"/>
  <c r="C444" i="11"/>
  <c r="D444" i="11"/>
  <c r="E444" i="11"/>
  <c r="G444" i="11"/>
  <c r="H444" i="11"/>
  <c r="J444" i="11"/>
  <c r="L444" i="11"/>
  <c r="N444" i="11"/>
  <c r="P444" i="11"/>
  <c r="O444" i="11" s="1"/>
  <c r="Q444" i="11"/>
  <c r="R444" i="11"/>
  <c r="T444" i="11"/>
  <c r="A445" i="11"/>
  <c r="C445" i="11"/>
  <c r="D445" i="11"/>
  <c r="E445" i="11"/>
  <c r="G445" i="11"/>
  <c r="H445" i="11"/>
  <c r="J445" i="11"/>
  <c r="L445" i="11"/>
  <c r="N445" i="11"/>
  <c r="P445" i="11"/>
  <c r="R445" i="11"/>
  <c r="Q445" i="11" s="1"/>
  <c r="T445" i="11"/>
  <c r="A446" i="11"/>
  <c r="C446" i="11"/>
  <c r="D446" i="11"/>
  <c r="E446" i="11"/>
  <c r="G446" i="11"/>
  <c r="H446" i="11"/>
  <c r="J446" i="11"/>
  <c r="L446" i="11"/>
  <c r="N446" i="11"/>
  <c r="P446" i="11"/>
  <c r="Q446" i="11"/>
  <c r="R446" i="11"/>
  <c r="T446" i="11"/>
  <c r="A447" i="11"/>
  <c r="C447" i="11"/>
  <c r="D447" i="11"/>
  <c r="E447" i="11"/>
  <c r="G447" i="11"/>
  <c r="H447" i="11"/>
  <c r="J447" i="11"/>
  <c r="L447" i="11"/>
  <c r="N447" i="11"/>
  <c r="P447" i="11"/>
  <c r="R447" i="11"/>
  <c r="T447" i="11"/>
  <c r="A448" i="11"/>
  <c r="B448" i="11"/>
  <c r="C448" i="11"/>
  <c r="D448" i="11"/>
  <c r="E448" i="11"/>
  <c r="F448" i="11"/>
  <c r="G448" i="11"/>
  <c r="H448" i="11"/>
  <c r="I448" i="11"/>
  <c r="J448" i="11"/>
  <c r="K448" i="11"/>
  <c r="L448" i="11"/>
  <c r="N448" i="11"/>
  <c r="M448" i="11" s="1"/>
  <c r="O448" i="11"/>
  <c r="P448" i="11"/>
  <c r="R448" i="11"/>
  <c r="Q448" i="11" s="1"/>
  <c r="S448" i="11"/>
  <c r="T448" i="11"/>
  <c r="A449" i="11"/>
  <c r="C449" i="11"/>
  <c r="D449" i="11"/>
  <c r="E449" i="11"/>
  <c r="G449" i="11"/>
  <c r="H449" i="11"/>
  <c r="J449" i="11"/>
  <c r="L449" i="11"/>
  <c r="N449" i="11"/>
  <c r="P449" i="11"/>
  <c r="O449" i="11" s="1"/>
  <c r="Q449" i="11"/>
  <c r="R449" i="11"/>
  <c r="T449" i="11"/>
  <c r="A450" i="11"/>
  <c r="C450" i="11"/>
  <c r="D450" i="11"/>
  <c r="E450" i="11"/>
  <c r="G450" i="11"/>
  <c r="H450" i="11"/>
  <c r="J450" i="11"/>
  <c r="L450" i="11"/>
  <c r="N450" i="11"/>
  <c r="O450" i="11"/>
  <c r="P450" i="11"/>
  <c r="R450" i="11"/>
  <c r="Q450" i="11" s="1"/>
  <c r="T450" i="11"/>
  <c r="A451" i="11"/>
  <c r="C451" i="11"/>
  <c r="D451" i="11"/>
  <c r="E451" i="11"/>
  <c r="G451" i="11"/>
  <c r="H451" i="11"/>
  <c r="J451" i="11"/>
  <c r="L451" i="11"/>
  <c r="N451" i="11"/>
  <c r="P451" i="11"/>
  <c r="Q451" i="11"/>
  <c r="R451" i="11"/>
  <c r="T451" i="11"/>
  <c r="A452" i="11"/>
  <c r="C452" i="11"/>
  <c r="D452" i="11"/>
  <c r="E452" i="11"/>
  <c r="G452" i="11"/>
  <c r="H452" i="11"/>
  <c r="J452" i="11"/>
  <c r="L452" i="11"/>
  <c r="N452" i="11"/>
  <c r="P452" i="11"/>
  <c r="R452" i="11"/>
  <c r="Q452" i="11" s="1"/>
  <c r="T452" i="11"/>
  <c r="A453" i="11"/>
  <c r="C453" i="11"/>
  <c r="D453" i="11"/>
  <c r="E453" i="11"/>
  <c r="G453" i="11"/>
  <c r="H453" i="11"/>
  <c r="J453" i="11"/>
  <c r="L453" i="11"/>
  <c r="N453" i="11"/>
  <c r="P453" i="11"/>
  <c r="R453" i="11"/>
  <c r="T453" i="11"/>
  <c r="A454" i="11"/>
  <c r="B454" i="11"/>
  <c r="C454" i="11"/>
  <c r="D454" i="11"/>
  <c r="E454" i="11"/>
  <c r="F454" i="11"/>
  <c r="G454" i="11"/>
  <c r="H454" i="11"/>
  <c r="I454" i="11"/>
  <c r="J454" i="11"/>
  <c r="L454" i="11"/>
  <c r="K454" i="11" s="1"/>
  <c r="M454" i="11"/>
  <c r="N454" i="11"/>
  <c r="P454" i="11"/>
  <c r="O454" i="11" s="1"/>
  <c r="Q454" i="11"/>
  <c r="R454" i="11"/>
  <c r="T454" i="11"/>
  <c r="S454" i="11" s="1"/>
  <c r="A455" i="11"/>
  <c r="C455" i="11"/>
  <c r="D455" i="11"/>
  <c r="E455" i="11"/>
  <c r="G455" i="11"/>
  <c r="H455" i="11"/>
  <c r="J455" i="11"/>
  <c r="L455" i="11"/>
  <c r="N455" i="11"/>
  <c r="O455" i="11"/>
  <c r="P455" i="11"/>
  <c r="R455" i="11"/>
  <c r="Q455" i="11" s="1"/>
  <c r="T455" i="11"/>
  <c r="A456" i="11"/>
  <c r="C456" i="11"/>
  <c r="D456" i="11"/>
  <c r="E456" i="11"/>
  <c r="G456" i="11"/>
  <c r="H456" i="11"/>
  <c r="J456" i="11"/>
  <c r="L456" i="11"/>
  <c r="N456" i="11"/>
  <c r="P456" i="11"/>
  <c r="O456" i="11" s="1"/>
  <c r="Q456" i="11"/>
  <c r="R456" i="11"/>
  <c r="T456" i="11"/>
  <c r="A457" i="11"/>
  <c r="C457" i="11"/>
  <c r="D457" i="11"/>
  <c r="E457" i="11"/>
  <c r="G457" i="11"/>
  <c r="H457" i="11"/>
  <c r="J457" i="11"/>
  <c r="L457" i="11"/>
  <c r="N457" i="11"/>
  <c r="P457" i="11"/>
  <c r="R457" i="11"/>
  <c r="Q457" i="11" s="1"/>
  <c r="T457" i="11"/>
  <c r="A458" i="11"/>
  <c r="C458" i="11"/>
  <c r="D458" i="11"/>
  <c r="E458" i="11"/>
  <c r="G458" i="11"/>
  <c r="H458" i="11"/>
  <c r="J458" i="11"/>
  <c r="L458" i="11"/>
  <c r="N458" i="11"/>
  <c r="P458" i="11"/>
  <c r="Q458" i="11"/>
  <c r="R458" i="11"/>
  <c r="T458" i="11"/>
  <c r="A459" i="11"/>
  <c r="C459" i="11"/>
  <c r="D459" i="11"/>
  <c r="E459" i="11"/>
  <c r="G459" i="11"/>
  <c r="H459" i="11"/>
  <c r="J459" i="11"/>
  <c r="L459" i="11"/>
  <c r="N459" i="11"/>
  <c r="P459" i="11"/>
  <c r="R459" i="11"/>
  <c r="T459" i="11"/>
  <c r="A460" i="11"/>
  <c r="B460" i="11"/>
  <c r="C460" i="11"/>
  <c r="D460" i="11"/>
  <c r="E460" i="11"/>
  <c r="F460" i="11"/>
  <c r="G460" i="11"/>
  <c r="H460" i="11"/>
  <c r="I460" i="11"/>
  <c r="J460" i="11"/>
  <c r="K460" i="11"/>
  <c r="L460" i="11"/>
  <c r="N460" i="11"/>
  <c r="M460" i="11" s="1"/>
  <c r="O460" i="11"/>
  <c r="P460" i="11"/>
  <c r="R460" i="11"/>
  <c r="Q460" i="11" s="1"/>
  <c r="S460" i="11"/>
  <c r="T460" i="11"/>
  <c r="A461" i="11"/>
  <c r="C461" i="11"/>
  <c r="D461" i="11"/>
  <c r="E461" i="11"/>
  <c r="G461" i="11"/>
  <c r="H461" i="11"/>
  <c r="J461" i="11"/>
  <c r="L461" i="11"/>
  <c r="N461" i="11"/>
  <c r="P461" i="11"/>
  <c r="O461" i="11" s="1"/>
  <c r="Q461" i="11"/>
  <c r="R461" i="11"/>
  <c r="T461" i="11"/>
  <c r="A462" i="11"/>
  <c r="C462" i="11"/>
  <c r="D462" i="11"/>
  <c r="E462" i="11"/>
  <c r="G462" i="11"/>
  <c r="H462" i="11"/>
  <c r="J462" i="11"/>
  <c r="L462" i="11"/>
  <c r="N462" i="11"/>
  <c r="O462" i="11"/>
  <c r="P462" i="11"/>
  <c r="R462" i="11"/>
  <c r="Q462" i="11" s="1"/>
  <c r="T462" i="11"/>
  <c r="A463" i="11"/>
  <c r="C463" i="11"/>
  <c r="D463" i="11"/>
  <c r="E463" i="11"/>
  <c r="G463" i="11"/>
  <c r="H463" i="11"/>
  <c r="J463" i="11"/>
  <c r="L463" i="11"/>
  <c r="N463" i="11"/>
  <c r="P463" i="11"/>
  <c r="Q463" i="11"/>
  <c r="R463" i="11"/>
  <c r="T463" i="11"/>
  <c r="A464" i="11"/>
  <c r="C464" i="11"/>
  <c r="D464" i="11"/>
  <c r="E464" i="11"/>
  <c r="G464" i="11"/>
  <c r="H464" i="11"/>
  <c r="J464" i="11"/>
  <c r="L464" i="11"/>
  <c r="N464" i="11"/>
  <c r="P464" i="11"/>
  <c r="R464" i="11"/>
  <c r="Q464" i="11" s="1"/>
  <c r="T464" i="11"/>
  <c r="A465" i="11"/>
  <c r="C465" i="11"/>
  <c r="D465" i="11"/>
  <c r="E465" i="11"/>
  <c r="G465" i="11"/>
  <c r="H465" i="11"/>
  <c r="J465" i="11"/>
  <c r="L465" i="11"/>
  <c r="N465" i="11"/>
  <c r="P465" i="11"/>
  <c r="R465" i="11"/>
  <c r="T465" i="11"/>
  <c r="A466" i="11"/>
  <c r="B466" i="11"/>
  <c r="C466" i="11"/>
  <c r="D466" i="11"/>
  <c r="E466" i="11"/>
  <c r="F466" i="11"/>
  <c r="G466" i="11"/>
  <c r="H466" i="11"/>
  <c r="I466" i="11"/>
  <c r="J466" i="11"/>
  <c r="L466" i="11"/>
  <c r="K466" i="11" s="1"/>
  <c r="M466" i="11"/>
  <c r="N466" i="11"/>
  <c r="P466" i="11"/>
  <c r="O466" i="11" s="1"/>
  <c r="Q466" i="11"/>
  <c r="R466" i="11"/>
  <c r="T466" i="11"/>
  <c r="S466" i="11" s="1"/>
  <c r="A467" i="11"/>
  <c r="C467" i="11"/>
  <c r="D467" i="11"/>
  <c r="E467" i="11"/>
  <c r="G467" i="11"/>
  <c r="H467" i="11"/>
  <c r="J467" i="11"/>
  <c r="L467" i="11"/>
  <c r="N467" i="11"/>
  <c r="O467" i="11"/>
  <c r="P467" i="11"/>
  <c r="R467" i="11"/>
  <c r="Q467" i="11" s="1"/>
  <c r="T467" i="11"/>
  <c r="A468" i="11"/>
  <c r="C468" i="11"/>
  <c r="D468" i="11"/>
  <c r="E468" i="11"/>
  <c r="G468" i="11"/>
  <c r="H468" i="11"/>
  <c r="J468" i="11"/>
  <c r="L468" i="11"/>
  <c r="N468" i="11"/>
  <c r="P468" i="11"/>
  <c r="O468" i="11" s="1"/>
  <c r="Q468" i="11"/>
  <c r="R468" i="11"/>
  <c r="T468" i="11"/>
  <c r="A469" i="11"/>
  <c r="C469" i="11"/>
  <c r="D469" i="11"/>
  <c r="E469" i="11"/>
  <c r="G469" i="11"/>
  <c r="H469" i="11"/>
  <c r="J469" i="11"/>
  <c r="L469" i="11"/>
  <c r="N469" i="11"/>
  <c r="O469" i="11"/>
  <c r="P469" i="11"/>
  <c r="R469" i="11"/>
  <c r="Q469" i="11" s="1"/>
  <c r="T469" i="11"/>
  <c r="A470" i="11"/>
  <c r="C470" i="11"/>
  <c r="D470" i="11"/>
  <c r="E470" i="11"/>
  <c r="G470" i="11"/>
  <c r="H470" i="11"/>
  <c r="J470" i="11"/>
  <c r="L470" i="11"/>
  <c r="N470" i="11"/>
  <c r="P470" i="11"/>
  <c r="O470" i="11" s="1"/>
  <c r="Q470" i="11"/>
  <c r="R470" i="11"/>
  <c r="T470" i="11"/>
  <c r="A471" i="11"/>
  <c r="C471" i="11"/>
  <c r="D471" i="11"/>
  <c r="E471" i="11"/>
  <c r="G471" i="11"/>
  <c r="H471" i="11"/>
  <c r="J471" i="11"/>
  <c r="L471" i="11"/>
  <c r="N471" i="11"/>
  <c r="O471" i="11"/>
  <c r="P471" i="11"/>
  <c r="R471" i="11"/>
  <c r="Q471" i="11" s="1"/>
  <c r="T471" i="11"/>
  <c r="A472" i="11"/>
  <c r="C472" i="11"/>
  <c r="D472" i="11"/>
  <c r="E472" i="11"/>
  <c r="G472" i="11"/>
  <c r="H472" i="11"/>
  <c r="J472" i="11"/>
  <c r="L472" i="11"/>
  <c r="N472" i="11"/>
  <c r="P472" i="11"/>
  <c r="O472" i="11" s="1"/>
  <c r="Q472" i="11"/>
  <c r="R472" i="11"/>
  <c r="T472" i="11"/>
  <c r="A473" i="11"/>
  <c r="C473" i="11"/>
  <c r="D473" i="11"/>
  <c r="E473" i="11"/>
  <c r="G473" i="11"/>
  <c r="H473" i="11"/>
  <c r="J473" i="11"/>
  <c r="L473" i="11"/>
  <c r="N473" i="11"/>
  <c r="O473" i="11"/>
  <c r="P473" i="11"/>
  <c r="R473" i="11"/>
  <c r="Q473" i="11" s="1"/>
  <c r="T473" i="11"/>
  <c r="A474" i="11"/>
  <c r="C474" i="11"/>
  <c r="D474" i="11"/>
  <c r="E474" i="11"/>
  <c r="G474" i="11"/>
  <c r="H474" i="11"/>
  <c r="J474" i="11"/>
  <c r="L474" i="11"/>
  <c r="N474" i="11"/>
  <c r="P474" i="11"/>
  <c r="O474" i="11" s="1"/>
  <c r="Q474" i="11"/>
  <c r="R474" i="11"/>
  <c r="T474" i="11"/>
  <c r="A475" i="11"/>
  <c r="C475" i="11"/>
  <c r="D475" i="11"/>
  <c r="E475" i="11"/>
  <c r="G475" i="11"/>
  <c r="H475" i="11"/>
  <c r="J475" i="11"/>
  <c r="L475" i="11"/>
  <c r="N475" i="11"/>
  <c r="O475" i="11"/>
  <c r="P475" i="11"/>
  <c r="R475" i="11"/>
  <c r="Q475" i="11" s="1"/>
  <c r="T475" i="11"/>
  <c r="A476" i="11"/>
  <c r="C476" i="11"/>
  <c r="D476" i="11"/>
  <c r="E476" i="11"/>
  <c r="G476" i="11"/>
  <c r="H476" i="11"/>
  <c r="J476" i="11"/>
  <c r="L476" i="11"/>
  <c r="N476" i="11"/>
  <c r="P476" i="11"/>
  <c r="O476" i="11" s="1"/>
  <c r="Q476" i="11"/>
  <c r="R476" i="11"/>
  <c r="T476" i="11"/>
  <c r="A477" i="11"/>
  <c r="C477" i="11"/>
  <c r="D477" i="11"/>
  <c r="E477" i="11"/>
  <c r="G477" i="11"/>
  <c r="H477" i="11"/>
  <c r="J477" i="11"/>
  <c r="L477" i="11"/>
  <c r="N477" i="11"/>
  <c r="P477" i="11"/>
  <c r="R477" i="11"/>
  <c r="Q477" i="11" s="1"/>
  <c r="T477" i="11"/>
  <c r="A478" i="11"/>
  <c r="C478" i="11"/>
  <c r="D478" i="11"/>
  <c r="E478" i="11"/>
  <c r="G478" i="11"/>
  <c r="H478" i="11"/>
  <c r="J478" i="11"/>
  <c r="L478" i="11"/>
  <c r="N478" i="11"/>
  <c r="P478" i="11"/>
  <c r="Q478" i="11"/>
  <c r="R478" i="11"/>
  <c r="T478" i="11"/>
  <c r="A479" i="11"/>
  <c r="C479" i="11"/>
  <c r="D479" i="11"/>
  <c r="E479" i="11"/>
  <c r="G479" i="11"/>
  <c r="H479" i="11"/>
  <c r="J479" i="11"/>
  <c r="L479" i="11"/>
  <c r="N479" i="11"/>
  <c r="P479" i="11"/>
  <c r="R479" i="11"/>
  <c r="Q479" i="11" s="1"/>
  <c r="T479" i="11"/>
  <c r="A480" i="11"/>
  <c r="C480" i="11"/>
  <c r="D480" i="11"/>
  <c r="E480" i="11"/>
  <c r="G480" i="11"/>
  <c r="H480" i="11"/>
  <c r="J480" i="11"/>
  <c r="L480" i="11"/>
  <c r="N480" i="11"/>
  <c r="P480" i="11"/>
  <c r="Q480" i="11"/>
  <c r="R480" i="11"/>
  <c r="T480" i="11"/>
  <c r="A481" i="11"/>
  <c r="C481" i="11"/>
  <c r="D481" i="11"/>
  <c r="E481" i="11"/>
  <c r="G481" i="11"/>
  <c r="H481" i="11"/>
  <c r="J481" i="11"/>
  <c r="L481" i="11"/>
  <c r="N481" i="11"/>
  <c r="P481" i="11"/>
  <c r="R481" i="11"/>
  <c r="Q481" i="11" s="1"/>
  <c r="T481" i="11"/>
  <c r="A482" i="11"/>
  <c r="C482" i="11"/>
  <c r="D482" i="11"/>
  <c r="E482" i="11"/>
  <c r="G482" i="11"/>
  <c r="H482" i="11"/>
  <c r="J482" i="11"/>
  <c r="L482" i="11"/>
  <c r="N482" i="11"/>
  <c r="P482" i="11"/>
  <c r="Q482" i="11"/>
  <c r="R482" i="11"/>
  <c r="T482" i="11"/>
  <c r="A483" i="11"/>
  <c r="C483" i="11"/>
  <c r="D483" i="11"/>
  <c r="E483" i="11"/>
  <c r="G483" i="11"/>
  <c r="H483" i="11"/>
  <c r="J483" i="11"/>
  <c r="L483" i="11"/>
  <c r="N483" i="11"/>
  <c r="P483" i="11"/>
  <c r="R483" i="11"/>
  <c r="Q483" i="11" s="1"/>
  <c r="T483" i="11"/>
  <c r="A484" i="11"/>
  <c r="C484" i="11"/>
  <c r="D484" i="11"/>
  <c r="E484" i="11"/>
  <c r="G484" i="11"/>
  <c r="H484" i="11"/>
  <c r="J484" i="11"/>
  <c r="L484" i="11"/>
  <c r="N484" i="11"/>
  <c r="P484" i="11"/>
  <c r="Q484" i="11"/>
  <c r="R484" i="11"/>
  <c r="T484" i="11"/>
  <c r="A485" i="11"/>
  <c r="C485" i="11"/>
  <c r="D485" i="11"/>
  <c r="E485" i="11"/>
  <c r="G485" i="11"/>
  <c r="H485" i="11"/>
  <c r="J485" i="11"/>
  <c r="L485" i="11"/>
  <c r="N485" i="11"/>
  <c r="P485" i="11"/>
  <c r="R485" i="11"/>
  <c r="Q485" i="11" s="1"/>
  <c r="T485" i="11"/>
  <c r="A486" i="11"/>
  <c r="C486" i="11"/>
  <c r="D486" i="11"/>
  <c r="E486" i="11"/>
  <c r="G486" i="11"/>
  <c r="H486" i="11"/>
  <c r="J486" i="11"/>
  <c r="L486" i="11"/>
  <c r="N486" i="11"/>
  <c r="P486" i="11"/>
  <c r="Q486" i="11"/>
  <c r="R486" i="11"/>
  <c r="T486" i="11"/>
  <c r="A487" i="11"/>
  <c r="C487" i="11"/>
  <c r="D487" i="11"/>
  <c r="E487" i="11"/>
  <c r="G487" i="11"/>
  <c r="H487" i="11"/>
  <c r="J487" i="11"/>
  <c r="L487" i="11"/>
  <c r="N487" i="11"/>
  <c r="P487" i="11"/>
  <c r="R487" i="11"/>
  <c r="T487" i="11"/>
  <c r="A488" i="11"/>
  <c r="C488" i="11"/>
  <c r="D488" i="11"/>
  <c r="E488" i="11"/>
  <c r="G488" i="11"/>
  <c r="H488" i="11"/>
  <c r="J488" i="11"/>
  <c r="L488" i="11"/>
  <c r="N488" i="11"/>
  <c r="P488" i="11"/>
  <c r="R488" i="11"/>
  <c r="T488" i="11"/>
  <c r="A489" i="11"/>
  <c r="C489" i="11"/>
  <c r="D489" i="11"/>
  <c r="E489" i="11"/>
  <c r="G489" i="11"/>
  <c r="H489" i="11"/>
  <c r="J489" i="11"/>
  <c r="L489" i="11"/>
  <c r="N489" i="11"/>
  <c r="P489" i="11"/>
  <c r="R489" i="11"/>
  <c r="T489" i="11"/>
  <c r="A490" i="11"/>
  <c r="C490" i="11"/>
  <c r="D490" i="11"/>
  <c r="E490" i="11"/>
  <c r="G490" i="11"/>
  <c r="H490" i="11"/>
  <c r="J490" i="11"/>
  <c r="L490" i="11"/>
  <c r="N490" i="11"/>
  <c r="P490" i="11"/>
  <c r="R490" i="11"/>
  <c r="T490" i="11"/>
  <c r="A491" i="11"/>
  <c r="C491" i="11"/>
  <c r="D491" i="11"/>
  <c r="E491" i="11"/>
  <c r="G491" i="11"/>
  <c r="H491" i="11"/>
  <c r="J491" i="11"/>
  <c r="L491" i="11"/>
  <c r="N491" i="11"/>
  <c r="P491" i="11"/>
  <c r="R491" i="11"/>
  <c r="T491" i="11"/>
  <c r="A492" i="11"/>
  <c r="B492" i="11"/>
  <c r="C492" i="11"/>
  <c r="D492" i="11"/>
  <c r="E492" i="11"/>
  <c r="F492" i="11"/>
  <c r="G492" i="11"/>
  <c r="H492" i="11"/>
  <c r="I492" i="11"/>
  <c r="J492" i="11"/>
  <c r="K492" i="11"/>
  <c r="L492" i="11"/>
  <c r="N492" i="11"/>
  <c r="M492" i="11" s="1"/>
  <c r="O492" i="11"/>
  <c r="P492" i="11"/>
  <c r="R492" i="11"/>
  <c r="Q492" i="11" s="1"/>
  <c r="S492" i="11"/>
  <c r="T492" i="11"/>
  <c r="A493" i="11"/>
  <c r="C493" i="11"/>
  <c r="D493" i="11"/>
  <c r="E493" i="11"/>
  <c r="G493" i="11"/>
  <c r="H493" i="11"/>
  <c r="J493" i="11"/>
  <c r="L493" i="11"/>
  <c r="N493" i="11"/>
  <c r="P493" i="11"/>
  <c r="O493" i="11" s="1"/>
  <c r="Q493" i="11"/>
  <c r="R493" i="11"/>
  <c r="T493" i="11"/>
  <c r="A494" i="11"/>
  <c r="C494" i="11"/>
  <c r="D494" i="11"/>
  <c r="E494" i="11"/>
  <c r="G494" i="11"/>
  <c r="H494" i="11"/>
  <c r="J494" i="11"/>
  <c r="L494" i="11"/>
  <c r="N494" i="11"/>
  <c r="O494" i="11"/>
  <c r="P494" i="11"/>
  <c r="R494" i="11"/>
  <c r="Q494" i="11" s="1"/>
  <c r="T494" i="11"/>
  <c r="A495" i="11"/>
  <c r="C495" i="11"/>
  <c r="D495" i="11"/>
  <c r="E495" i="11"/>
  <c r="G495" i="11"/>
  <c r="H495" i="11"/>
  <c r="J495" i="11"/>
  <c r="L495" i="11"/>
  <c r="N495" i="11"/>
  <c r="P495" i="11"/>
  <c r="O495" i="11" s="1"/>
  <c r="Q495" i="11"/>
  <c r="R495" i="11"/>
  <c r="T495" i="11"/>
  <c r="A496" i="11"/>
  <c r="C496" i="11"/>
  <c r="D496" i="11"/>
  <c r="E496" i="11"/>
  <c r="G496" i="11"/>
  <c r="H496" i="11"/>
  <c r="J496" i="11"/>
  <c r="L496" i="11"/>
  <c r="N496" i="11"/>
  <c r="O496" i="11"/>
  <c r="P496" i="11"/>
  <c r="R496" i="11"/>
  <c r="Q496" i="11" s="1"/>
  <c r="T496" i="11"/>
  <c r="A497" i="11"/>
  <c r="C497" i="11"/>
  <c r="D497" i="11"/>
  <c r="E497" i="11"/>
  <c r="G497" i="11"/>
  <c r="H497" i="11"/>
  <c r="J497" i="11"/>
  <c r="L497" i="11"/>
  <c r="N497" i="11"/>
  <c r="P497" i="11"/>
  <c r="O497" i="11" s="1"/>
  <c r="Q497" i="11"/>
  <c r="R497" i="11"/>
  <c r="T497" i="11"/>
  <c r="A498" i="11"/>
  <c r="C498" i="11"/>
  <c r="D498" i="11"/>
  <c r="E498" i="11"/>
  <c r="G498" i="11"/>
  <c r="H498" i="11"/>
  <c r="J498" i="11"/>
  <c r="L498" i="11"/>
  <c r="N498" i="11"/>
  <c r="O498" i="11"/>
  <c r="P498" i="11"/>
  <c r="R498" i="11"/>
  <c r="Q498" i="11" s="1"/>
  <c r="T498" i="11"/>
  <c r="A499" i="11"/>
  <c r="C499" i="11"/>
  <c r="D499" i="11"/>
  <c r="E499" i="11"/>
  <c r="G499" i="11"/>
  <c r="H499" i="11"/>
  <c r="J499" i="11"/>
  <c r="L499" i="11"/>
  <c r="N499" i="11"/>
  <c r="P499" i="11"/>
  <c r="O499" i="11" s="1"/>
  <c r="Q499" i="11"/>
  <c r="R499" i="11"/>
  <c r="T499" i="11"/>
  <c r="A500" i="11"/>
  <c r="C500" i="11"/>
  <c r="D500" i="11"/>
  <c r="E500" i="11"/>
  <c r="G500" i="11"/>
  <c r="H500" i="11"/>
  <c r="J500" i="11"/>
  <c r="L500" i="11"/>
  <c r="N500" i="11"/>
  <c r="O500" i="11"/>
  <c r="P500" i="11"/>
  <c r="R500" i="11"/>
  <c r="Q500" i="11" s="1"/>
  <c r="T500" i="11"/>
  <c r="A501" i="11"/>
  <c r="C501" i="11"/>
  <c r="D501" i="11"/>
  <c r="E501" i="11"/>
  <c r="G501" i="11"/>
  <c r="H501" i="11"/>
  <c r="J501" i="11"/>
  <c r="L501" i="11"/>
  <c r="N501" i="11"/>
  <c r="P501" i="11"/>
  <c r="O501" i="11" s="1"/>
  <c r="Q501" i="11"/>
  <c r="R501" i="11"/>
  <c r="T501" i="11"/>
  <c r="A502" i="11"/>
  <c r="C502" i="11"/>
  <c r="D502" i="11"/>
  <c r="E502" i="11"/>
  <c r="G502" i="11"/>
  <c r="H502" i="11"/>
  <c r="J502" i="11"/>
  <c r="L502" i="11"/>
  <c r="N502" i="11"/>
  <c r="O502" i="11"/>
  <c r="P502" i="11"/>
  <c r="R502" i="11"/>
  <c r="Q502" i="11" s="1"/>
  <c r="T502" i="11"/>
  <c r="A503" i="11"/>
  <c r="C503" i="11"/>
  <c r="D503" i="11"/>
  <c r="E503" i="11"/>
  <c r="G503" i="11"/>
  <c r="H503" i="11"/>
  <c r="J503" i="11"/>
  <c r="L503" i="11"/>
  <c r="N503" i="11"/>
  <c r="P503" i="11"/>
  <c r="Q503" i="11"/>
  <c r="R503" i="11"/>
  <c r="T503" i="11"/>
  <c r="A504" i="11"/>
  <c r="C504" i="11"/>
  <c r="D504" i="11"/>
  <c r="E504" i="11"/>
  <c r="G504" i="11"/>
  <c r="H504" i="11"/>
  <c r="J504" i="11"/>
  <c r="L504" i="11"/>
  <c r="N504" i="11"/>
  <c r="P504" i="11"/>
  <c r="R504" i="11"/>
  <c r="Q504" i="11" s="1"/>
  <c r="T504" i="11"/>
  <c r="A505" i="11"/>
  <c r="C505" i="11"/>
  <c r="D505" i="11"/>
  <c r="E505" i="11"/>
  <c r="G505" i="11"/>
  <c r="H505" i="11"/>
  <c r="J505" i="11"/>
  <c r="L505" i="11"/>
  <c r="N505" i="11"/>
  <c r="P505" i="11"/>
  <c r="Q505" i="11"/>
  <c r="R505" i="11"/>
  <c r="T505" i="11"/>
  <c r="A506" i="11"/>
  <c r="C506" i="11"/>
  <c r="D506" i="11"/>
  <c r="E506" i="11"/>
  <c r="G506" i="11"/>
  <c r="H506" i="11"/>
  <c r="J506" i="11"/>
  <c r="L506" i="11"/>
  <c r="N506" i="11"/>
  <c r="P506" i="11"/>
  <c r="R506" i="11"/>
  <c r="Q506" i="11" s="1"/>
  <c r="T506" i="11"/>
  <c r="A507" i="11"/>
  <c r="C507" i="11"/>
  <c r="D507" i="11"/>
  <c r="E507" i="11"/>
  <c r="G507" i="11"/>
  <c r="H507" i="11"/>
  <c r="J507" i="11"/>
  <c r="L507" i="11"/>
  <c r="N507" i="11"/>
  <c r="P507" i="11"/>
  <c r="Q507" i="11"/>
  <c r="R507" i="11"/>
  <c r="T507" i="11"/>
  <c r="A508" i="11"/>
  <c r="C508" i="11"/>
  <c r="D508" i="11"/>
  <c r="E508" i="11"/>
  <c r="G508" i="11"/>
  <c r="H508" i="11"/>
  <c r="J508" i="11"/>
  <c r="L508" i="11"/>
  <c r="N508" i="11"/>
  <c r="P508" i="11"/>
  <c r="R508" i="11"/>
  <c r="Q508" i="11" s="1"/>
  <c r="T508" i="11"/>
  <c r="A509" i="11"/>
  <c r="C509" i="11"/>
  <c r="D509" i="11"/>
  <c r="E509" i="11"/>
  <c r="G509" i="11"/>
  <c r="H509" i="11"/>
  <c r="J509" i="11"/>
  <c r="L509" i="11"/>
  <c r="N509" i="11"/>
  <c r="P509" i="11"/>
  <c r="Q509" i="11"/>
  <c r="R509" i="11"/>
  <c r="T509" i="11"/>
  <c r="A510" i="11"/>
  <c r="C510" i="11"/>
  <c r="D510" i="11"/>
  <c r="E510" i="11"/>
  <c r="G510" i="11"/>
  <c r="H510" i="11"/>
  <c r="J510" i="11"/>
  <c r="L510" i="11"/>
  <c r="N510" i="11"/>
  <c r="P510" i="11"/>
  <c r="R510" i="11"/>
  <c r="Q510" i="11" s="1"/>
  <c r="T510" i="11"/>
  <c r="A511" i="11"/>
  <c r="C511" i="11"/>
  <c r="D511" i="11"/>
  <c r="E511" i="11"/>
  <c r="G511" i="11"/>
  <c r="H511" i="11"/>
  <c r="J511" i="11"/>
  <c r="L511" i="11"/>
  <c r="N511" i="11"/>
  <c r="P511" i="11"/>
  <c r="Q511" i="11"/>
  <c r="R511" i="11"/>
  <c r="T511" i="11"/>
  <c r="A512" i="11"/>
  <c r="C512" i="11"/>
  <c r="D512" i="11"/>
  <c r="E512" i="11"/>
  <c r="G512" i="11"/>
  <c r="H512" i="11"/>
  <c r="J512" i="11"/>
  <c r="L512" i="11"/>
  <c r="N512" i="11"/>
  <c r="P512" i="11"/>
  <c r="R512" i="11"/>
  <c r="Q512" i="11" s="1"/>
  <c r="T512" i="11"/>
  <c r="A513" i="11"/>
  <c r="C513" i="11"/>
  <c r="D513" i="11"/>
  <c r="E513" i="11"/>
  <c r="G513" i="11"/>
  <c r="H513" i="11"/>
  <c r="J513" i="11"/>
  <c r="L513" i="11"/>
  <c r="N513" i="11"/>
  <c r="P513" i="11"/>
  <c r="R513" i="11"/>
  <c r="T513" i="11"/>
  <c r="A514" i="11"/>
  <c r="C514" i="11"/>
  <c r="D514" i="11"/>
  <c r="E514" i="11"/>
  <c r="G514" i="11"/>
  <c r="H514" i="11"/>
  <c r="J514" i="11"/>
  <c r="L514" i="11"/>
  <c r="N514" i="11"/>
  <c r="P514" i="11"/>
  <c r="R514" i="11"/>
  <c r="T514" i="11"/>
  <c r="A515" i="11"/>
  <c r="C515" i="11"/>
  <c r="D515" i="11"/>
  <c r="E515" i="11"/>
  <c r="G515" i="11"/>
  <c r="H515" i="11"/>
  <c r="J515" i="11"/>
  <c r="L515" i="11"/>
  <c r="N515" i="11"/>
  <c r="P515" i="11"/>
  <c r="R515" i="11"/>
  <c r="T515" i="11"/>
  <c r="A516" i="11"/>
  <c r="C516" i="11"/>
  <c r="D516" i="11"/>
  <c r="E516" i="11"/>
  <c r="G516" i="11"/>
  <c r="H516" i="11"/>
  <c r="J516" i="11"/>
  <c r="L516" i="11"/>
  <c r="N516" i="11"/>
  <c r="P516" i="11"/>
  <c r="R516" i="11"/>
  <c r="T516" i="11"/>
  <c r="A517" i="11"/>
  <c r="C517" i="11"/>
  <c r="D517" i="11"/>
  <c r="E517" i="11"/>
  <c r="G517" i="11"/>
  <c r="H517" i="11"/>
  <c r="J517" i="11"/>
  <c r="L517" i="11"/>
  <c r="N517" i="11"/>
  <c r="P517" i="11"/>
  <c r="R517" i="11"/>
  <c r="T517" i="11"/>
  <c r="A518" i="11"/>
  <c r="B518" i="11"/>
  <c r="C518" i="11"/>
  <c r="D518" i="11"/>
  <c r="E518" i="11"/>
  <c r="F518" i="11"/>
  <c r="G518" i="11"/>
  <c r="H518" i="11"/>
  <c r="I518" i="11"/>
  <c r="J518" i="11"/>
  <c r="L518" i="11"/>
  <c r="K518" i="11" s="1"/>
  <c r="N518" i="11"/>
  <c r="M518" i="11" s="1"/>
  <c r="P518" i="11"/>
  <c r="O518" i="11" s="1"/>
  <c r="R518" i="11"/>
  <c r="Q518" i="11" s="1"/>
  <c r="T518" i="11"/>
  <c r="S518" i="11" s="1"/>
  <c r="A519" i="11"/>
  <c r="C519" i="11"/>
  <c r="D519" i="11"/>
  <c r="E519" i="11"/>
  <c r="G519" i="11"/>
  <c r="H519" i="11"/>
  <c r="J519" i="11"/>
  <c r="L519" i="11"/>
  <c r="N519" i="11"/>
  <c r="O519" i="11"/>
  <c r="P519" i="11"/>
  <c r="R519" i="11"/>
  <c r="Q519" i="11" s="1"/>
  <c r="T519" i="11"/>
  <c r="A520" i="11"/>
  <c r="C520" i="11"/>
  <c r="D520" i="11"/>
  <c r="E520" i="11"/>
  <c r="G520" i="11"/>
  <c r="H520" i="11"/>
  <c r="J520" i="11"/>
  <c r="L520" i="11"/>
  <c r="N520" i="11"/>
  <c r="P520" i="11"/>
  <c r="O520" i="11" s="1"/>
  <c r="Q520" i="11"/>
  <c r="R520" i="11"/>
  <c r="T520" i="11"/>
  <c r="A521" i="11"/>
  <c r="C521" i="11"/>
  <c r="D521" i="11"/>
  <c r="E521" i="11"/>
  <c r="G521" i="11"/>
  <c r="H521" i="11"/>
  <c r="J521" i="11"/>
  <c r="L521" i="11"/>
  <c r="N521" i="11"/>
  <c r="P521" i="11"/>
  <c r="O521" i="11" s="1"/>
  <c r="R521" i="11"/>
  <c r="Q521" i="11" s="1"/>
  <c r="T521" i="11"/>
  <c r="A522" i="11"/>
  <c r="C522" i="11"/>
  <c r="D522" i="11"/>
  <c r="E522" i="11"/>
  <c r="G522" i="11"/>
  <c r="H522" i="11"/>
  <c r="J522" i="11"/>
  <c r="L522" i="11"/>
  <c r="N522" i="11"/>
  <c r="P522" i="11"/>
  <c r="O522" i="11" s="1"/>
  <c r="Q522" i="11"/>
  <c r="R522" i="11"/>
  <c r="T522" i="11"/>
  <c r="A523" i="11"/>
  <c r="C523" i="11"/>
  <c r="D523" i="11"/>
  <c r="E523" i="11"/>
  <c r="G523" i="11"/>
  <c r="H523" i="11"/>
  <c r="J523" i="11"/>
  <c r="L523" i="11"/>
  <c r="N523" i="11"/>
  <c r="P523" i="11"/>
  <c r="O523" i="11" s="1"/>
  <c r="Q523" i="11"/>
  <c r="R523" i="11"/>
  <c r="T523" i="11"/>
  <c r="A524" i="11"/>
  <c r="C524" i="11"/>
  <c r="D524" i="11"/>
  <c r="E524" i="11"/>
  <c r="G524" i="11"/>
  <c r="H524" i="11"/>
  <c r="J524" i="11"/>
  <c r="L524" i="11"/>
  <c r="N524" i="11"/>
  <c r="O524" i="11"/>
  <c r="P524" i="11"/>
  <c r="R524" i="11"/>
  <c r="Q524" i="11" s="1"/>
  <c r="T524" i="11"/>
  <c r="A525" i="11"/>
  <c r="C525" i="11"/>
  <c r="D525" i="11"/>
  <c r="E525" i="11"/>
  <c r="G525" i="11"/>
  <c r="H525" i="11"/>
  <c r="J525" i="11"/>
  <c r="L525" i="11"/>
  <c r="N525" i="11"/>
  <c r="P525" i="11"/>
  <c r="O525" i="11" s="1"/>
  <c r="Q525" i="11"/>
  <c r="R525" i="11"/>
  <c r="T525" i="11"/>
  <c r="A526" i="11"/>
  <c r="C526" i="11"/>
  <c r="D526" i="11"/>
  <c r="E526" i="11"/>
  <c r="G526" i="11"/>
  <c r="H526" i="11"/>
  <c r="J526" i="11"/>
  <c r="L526" i="11"/>
  <c r="N526" i="11"/>
  <c r="O526" i="11"/>
  <c r="P526" i="11"/>
  <c r="R526" i="11"/>
  <c r="Q526" i="11" s="1"/>
  <c r="T526" i="11"/>
  <c r="A527" i="11"/>
  <c r="C527" i="11"/>
  <c r="D527" i="11"/>
  <c r="E527" i="11"/>
  <c r="G527" i="11"/>
  <c r="H527" i="11"/>
  <c r="J527" i="11"/>
  <c r="L527" i="11"/>
  <c r="N527" i="11"/>
  <c r="P527" i="11"/>
  <c r="O527" i="11" s="1"/>
  <c r="Q527" i="11"/>
  <c r="R527" i="11"/>
  <c r="T527" i="11"/>
  <c r="A528" i="11"/>
  <c r="C528" i="11"/>
  <c r="D528" i="11"/>
  <c r="E528" i="11"/>
  <c r="G528" i="11"/>
  <c r="H528" i="11"/>
  <c r="J528" i="11"/>
  <c r="L528" i="11"/>
  <c r="N528" i="11"/>
  <c r="O528" i="11"/>
  <c r="P528" i="11"/>
  <c r="R528" i="11"/>
  <c r="Q528" i="11" s="1"/>
  <c r="T528" i="11"/>
  <c r="A529" i="11"/>
  <c r="C529" i="11"/>
  <c r="D529" i="11"/>
  <c r="E529" i="11"/>
  <c r="G529" i="11"/>
  <c r="H529" i="11"/>
  <c r="J529" i="11"/>
  <c r="L529" i="11"/>
  <c r="N529" i="11"/>
  <c r="P529" i="11"/>
  <c r="Q529" i="11"/>
  <c r="R529" i="11"/>
  <c r="T529" i="11"/>
  <c r="A530" i="11"/>
  <c r="C530" i="11"/>
  <c r="D530" i="11"/>
  <c r="E530" i="11"/>
  <c r="G530" i="11"/>
  <c r="H530" i="11"/>
  <c r="J530" i="11"/>
  <c r="L530" i="11"/>
  <c r="N530" i="11"/>
  <c r="P530" i="11"/>
  <c r="R530" i="11"/>
  <c r="Q530" i="11" s="1"/>
  <c r="T530" i="11"/>
  <c r="A531" i="11"/>
  <c r="C531" i="11"/>
  <c r="D531" i="11"/>
  <c r="E531" i="11"/>
  <c r="G531" i="11"/>
  <c r="H531" i="11"/>
  <c r="J531" i="11"/>
  <c r="L531" i="11"/>
  <c r="N531" i="11"/>
  <c r="P531" i="11"/>
  <c r="Q531" i="11"/>
  <c r="R531" i="11"/>
  <c r="T531" i="11"/>
  <c r="A532" i="11"/>
  <c r="C532" i="11"/>
  <c r="D532" i="11"/>
  <c r="E532" i="11"/>
  <c r="G532" i="11"/>
  <c r="H532" i="11"/>
  <c r="J532" i="11"/>
  <c r="L532" i="11"/>
  <c r="N532" i="11"/>
  <c r="P532" i="11"/>
  <c r="R532" i="11"/>
  <c r="Q532" i="11" s="1"/>
  <c r="T532" i="11"/>
  <c r="A533" i="11"/>
  <c r="C533" i="11"/>
  <c r="D533" i="11"/>
  <c r="E533" i="11"/>
  <c r="G533" i="11"/>
  <c r="H533" i="11"/>
  <c r="J533" i="11"/>
  <c r="L533" i="11"/>
  <c r="N533" i="11"/>
  <c r="P533" i="11"/>
  <c r="Q533" i="11"/>
  <c r="R533" i="11"/>
  <c r="T533" i="11"/>
  <c r="A534" i="11"/>
  <c r="C534" i="11"/>
  <c r="D534" i="11"/>
  <c r="E534" i="11"/>
  <c r="G534" i="11"/>
  <c r="H534" i="11"/>
  <c r="J534" i="11"/>
  <c r="L534" i="11"/>
  <c r="N534" i="11"/>
  <c r="P534" i="11"/>
  <c r="R534" i="11"/>
  <c r="Q534" i="11" s="1"/>
  <c r="T534" i="11"/>
  <c r="A535" i="11"/>
  <c r="C535" i="11"/>
  <c r="D535" i="11"/>
  <c r="E535" i="11"/>
  <c r="G535" i="11"/>
  <c r="H535" i="11"/>
  <c r="J535" i="11"/>
  <c r="L535" i="11"/>
  <c r="N535" i="11"/>
  <c r="P535" i="11"/>
  <c r="Q535" i="11"/>
  <c r="R535" i="11"/>
  <c r="T535" i="11"/>
  <c r="A536" i="11"/>
  <c r="C536" i="11"/>
  <c r="D536" i="11"/>
  <c r="E536" i="11"/>
  <c r="G536" i="11"/>
  <c r="H536" i="11"/>
  <c r="J536" i="11"/>
  <c r="L536" i="11"/>
  <c r="N536" i="11"/>
  <c r="P536" i="11"/>
  <c r="R536" i="11"/>
  <c r="Q536" i="11" s="1"/>
  <c r="T536" i="11"/>
  <c r="A537" i="11"/>
  <c r="C537" i="11"/>
  <c r="D537" i="11"/>
  <c r="E537" i="11"/>
  <c r="G537" i="11"/>
  <c r="H537" i="11"/>
  <c r="J537" i="11"/>
  <c r="L537" i="11"/>
  <c r="N537" i="11"/>
  <c r="P537" i="11"/>
  <c r="Q537" i="11"/>
  <c r="R537" i="11"/>
  <c r="T537" i="11"/>
  <c r="A538" i="11"/>
  <c r="C538" i="11"/>
  <c r="D538" i="11"/>
  <c r="E538" i="11"/>
  <c r="G538" i="11"/>
  <c r="H538" i="11"/>
  <c r="J538" i="11"/>
  <c r="L538" i="11"/>
  <c r="N538" i="11"/>
  <c r="P538" i="11"/>
  <c r="R538" i="11"/>
  <c r="Q538" i="11" s="1"/>
  <c r="T538" i="11"/>
  <c r="A539" i="11"/>
  <c r="C539" i="11"/>
  <c r="D539" i="11"/>
  <c r="E539" i="11"/>
  <c r="G539" i="11"/>
  <c r="H539" i="11"/>
  <c r="J539" i="11"/>
  <c r="L539" i="11"/>
  <c r="N539" i="11"/>
  <c r="P539" i="11"/>
  <c r="R539" i="11"/>
  <c r="T539" i="11"/>
  <c r="A540" i="11"/>
  <c r="C540" i="11"/>
  <c r="D540" i="11"/>
  <c r="E540" i="11"/>
  <c r="G540" i="11"/>
  <c r="H540" i="11"/>
  <c r="J540" i="11"/>
  <c r="L540" i="11"/>
  <c r="N540" i="11"/>
  <c r="P540" i="11"/>
  <c r="R540" i="11"/>
  <c r="T540" i="11"/>
  <c r="A541" i="11"/>
  <c r="C541" i="11"/>
  <c r="D541" i="11"/>
  <c r="E541" i="11"/>
  <c r="G541" i="11"/>
  <c r="H541" i="11"/>
  <c r="J541" i="11"/>
  <c r="L541" i="11"/>
  <c r="N541" i="11"/>
  <c r="P541" i="11"/>
  <c r="R541" i="11"/>
  <c r="T541" i="11"/>
  <c r="A542" i="11"/>
  <c r="C542" i="11"/>
  <c r="D542" i="11"/>
  <c r="E542" i="11"/>
  <c r="G542" i="11"/>
  <c r="H542" i="11"/>
  <c r="J542" i="11"/>
  <c r="L542" i="11"/>
  <c r="N542" i="11"/>
  <c r="P542" i="11"/>
  <c r="R542" i="11"/>
  <c r="T542" i="11"/>
  <c r="A543" i="11"/>
  <c r="C543" i="11"/>
  <c r="D543" i="11"/>
  <c r="E543" i="11"/>
  <c r="G543" i="11"/>
  <c r="H543" i="11"/>
  <c r="J543" i="11"/>
  <c r="L543" i="11"/>
  <c r="N543" i="11"/>
  <c r="P543" i="11"/>
  <c r="R543" i="11"/>
  <c r="T543" i="11"/>
  <c r="A544" i="11"/>
  <c r="B544" i="11"/>
  <c r="C544" i="11"/>
  <c r="D544" i="11"/>
  <c r="E544" i="11"/>
  <c r="F544" i="11"/>
  <c r="G544" i="11"/>
  <c r="H544" i="11"/>
  <c r="I544" i="11"/>
  <c r="J544" i="11"/>
  <c r="L544" i="11"/>
  <c r="K544" i="11" s="1"/>
  <c r="M544" i="11"/>
  <c r="N544" i="11"/>
  <c r="P544" i="11"/>
  <c r="O544" i="11" s="1"/>
  <c r="Q544" i="11"/>
  <c r="R544" i="11"/>
  <c r="S544" i="11"/>
  <c r="T544" i="11"/>
  <c r="A545" i="11"/>
  <c r="C545" i="11"/>
  <c r="D545" i="11"/>
  <c r="E545" i="11"/>
  <c r="G545" i="11"/>
  <c r="H545" i="11"/>
  <c r="J545" i="11"/>
  <c r="L545" i="11"/>
  <c r="N545" i="11"/>
  <c r="O545" i="11"/>
  <c r="P545" i="11"/>
  <c r="Q545" i="11"/>
  <c r="R545" i="11"/>
  <c r="T545" i="11"/>
  <c r="A546" i="11"/>
  <c r="C546" i="11"/>
  <c r="D546" i="11"/>
  <c r="E546" i="11"/>
  <c r="G546" i="11"/>
  <c r="H546" i="11"/>
  <c r="J546" i="11"/>
  <c r="L546" i="11"/>
  <c r="N546" i="11"/>
  <c r="O546" i="11"/>
  <c r="P546" i="11"/>
  <c r="Q546" i="11"/>
  <c r="R546" i="11"/>
  <c r="T546" i="11"/>
  <c r="A547" i="11"/>
  <c r="C547" i="11"/>
  <c r="D547" i="11"/>
  <c r="E547" i="11"/>
  <c r="G547" i="11"/>
  <c r="H547" i="11"/>
  <c r="J547" i="11"/>
  <c r="L547" i="11"/>
  <c r="N547" i="11"/>
  <c r="P547" i="11"/>
  <c r="Q547" i="11"/>
  <c r="R547" i="11"/>
  <c r="T547" i="11"/>
  <c r="A548" i="11"/>
  <c r="C548" i="11"/>
  <c r="D548" i="11"/>
  <c r="E548" i="11"/>
  <c r="G548" i="11"/>
  <c r="H548" i="11"/>
  <c r="J548" i="11"/>
  <c r="L548" i="11"/>
  <c r="N548" i="11"/>
  <c r="P548" i="11"/>
  <c r="R548" i="11"/>
  <c r="T548" i="11"/>
  <c r="A549" i="11"/>
  <c r="C549" i="11"/>
  <c r="D549" i="11"/>
  <c r="E549" i="11"/>
  <c r="G549" i="11"/>
  <c r="H549" i="11"/>
  <c r="J549" i="11"/>
  <c r="L549" i="11"/>
  <c r="N549" i="11"/>
  <c r="P549" i="11"/>
  <c r="R549" i="11"/>
  <c r="T549" i="11"/>
  <c r="A550" i="11"/>
  <c r="B550" i="11"/>
  <c r="C550" i="11"/>
  <c r="D550" i="11"/>
  <c r="E550" i="11"/>
  <c r="F550" i="11"/>
  <c r="G550" i="11"/>
  <c r="H550" i="11"/>
  <c r="I550" i="11"/>
  <c r="J550" i="11"/>
  <c r="K550" i="11"/>
  <c r="L550" i="11"/>
  <c r="M550" i="11"/>
  <c r="N550" i="11"/>
  <c r="O550" i="11"/>
  <c r="P550" i="11"/>
  <c r="Q550" i="11"/>
  <c r="R550" i="11"/>
  <c r="S550" i="11"/>
  <c r="T550" i="11"/>
  <c r="A551" i="11"/>
  <c r="C551" i="11"/>
  <c r="D551" i="11"/>
  <c r="E551" i="11"/>
  <c r="G551" i="11"/>
  <c r="H551" i="11"/>
  <c r="J551" i="11"/>
  <c r="L551" i="11"/>
  <c r="N551" i="11"/>
  <c r="O551" i="11"/>
  <c r="P551" i="11"/>
  <c r="Q551" i="11"/>
  <c r="R551" i="11"/>
  <c r="T551" i="11"/>
  <c r="A552" i="11"/>
  <c r="C552" i="11"/>
  <c r="D552" i="11"/>
  <c r="E552" i="11"/>
  <c r="G552" i="11"/>
  <c r="H552" i="11"/>
  <c r="J552" i="11"/>
  <c r="L552" i="11"/>
  <c r="N552" i="11"/>
  <c r="O552" i="11"/>
  <c r="P552" i="11"/>
  <c r="R552" i="11"/>
  <c r="Q552" i="11" s="1"/>
  <c r="T552" i="11"/>
  <c r="A553" i="11"/>
  <c r="C553" i="11"/>
  <c r="D553" i="11"/>
  <c r="E553" i="11"/>
  <c r="G553" i="11"/>
  <c r="H553" i="11"/>
  <c r="J553" i="11"/>
  <c r="L553" i="11"/>
  <c r="N553" i="11"/>
  <c r="P553" i="11"/>
  <c r="Q553" i="11"/>
  <c r="R553" i="11"/>
  <c r="T553" i="11"/>
  <c r="A554" i="11"/>
  <c r="C554" i="11"/>
  <c r="D554" i="11"/>
  <c r="E554" i="11"/>
  <c r="G554" i="11"/>
  <c r="H554" i="11"/>
  <c r="J554" i="11"/>
  <c r="L554" i="11"/>
  <c r="N554" i="11"/>
  <c r="P554" i="11"/>
  <c r="R554" i="11"/>
  <c r="T554" i="11"/>
  <c r="A555" i="11"/>
  <c r="C555" i="11"/>
  <c r="D555" i="11"/>
  <c r="E555" i="11"/>
  <c r="G555" i="11"/>
  <c r="H555" i="11"/>
  <c r="J555" i="11"/>
  <c r="L555" i="11"/>
  <c r="N555" i="11"/>
  <c r="P555" i="11"/>
  <c r="R555" i="11"/>
  <c r="T555" i="11"/>
  <c r="A556" i="11"/>
  <c r="B556" i="11"/>
  <c r="C556" i="11"/>
  <c r="D556" i="11"/>
  <c r="E556" i="11"/>
  <c r="F556" i="11"/>
  <c r="G556" i="11"/>
  <c r="H556" i="11"/>
  <c r="I556" i="11"/>
  <c r="J556" i="11"/>
  <c r="L556" i="11"/>
  <c r="K556" i="11" s="1"/>
  <c r="M556" i="11"/>
  <c r="N556" i="11"/>
  <c r="P556" i="11"/>
  <c r="O556" i="11" s="1"/>
  <c r="Q556" i="11"/>
  <c r="R556" i="11"/>
  <c r="T556" i="11"/>
  <c r="S556" i="11" s="1"/>
  <c r="A557" i="11"/>
  <c r="C557" i="11"/>
  <c r="D557" i="11"/>
  <c r="E557" i="11"/>
  <c r="G557" i="11"/>
  <c r="H557" i="11"/>
  <c r="J557" i="11"/>
  <c r="L557" i="11"/>
  <c r="N557" i="11"/>
  <c r="O557" i="11"/>
  <c r="P557" i="11"/>
  <c r="Q557" i="11"/>
  <c r="R557" i="11"/>
  <c r="T557" i="11"/>
  <c r="A558" i="11"/>
  <c r="C558" i="11"/>
  <c r="D558" i="11"/>
  <c r="E558" i="11"/>
  <c r="G558" i="11"/>
  <c r="H558" i="11"/>
  <c r="J558" i="11"/>
  <c r="L558" i="11"/>
  <c r="N558" i="11"/>
  <c r="P558" i="11"/>
  <c r="O558" i="11" s="1"/>
  <c r="Q558" i="11"/>
  <c r="R558" i="11"/>
  <c r="T558" i="11"/>
  <c r="A559" i="11"/>
  <c r="C559" i="11"/>
  <c r="D559" i="11"/>
  <c r="E559" i="11"/>
  <c r="G559" i="11"/>
  <c r="H559" i="11"/>
  <c r="J559" i="11"/>
  <c r="L559" i="11"/>
  <c r="N559" i="11"/>
  <c r="P559" i="11"/>
  <c r="Q559" i="11"/>
  <c r="R559" i="11"/>
  <c r="T559" i="11"/>
  <c r="A560" i="11"/>
  <c r="C560" i="11"/>
  <c r="D560" i="11"/>
  <c r="E560" i="11"/>
  <c r="G560" i="11"/>
  <c r="H560" i="11"/>
  <c r="J560" i="11"/>
  <c r="L560" i="11"/>
  <c r="N560" i="11"/>
  <c r="P560" i="11"/>
  <c r="Q560" i="11"/>
  <c r="R560" i="11"/>
  <c r="T560" i="11"/>
  <c r="A561" i="11"/>
  <c r="C561" i="11"/>
  <c r="D561" i="11"/>
  <c r="E561" i="11"/>
  <c r="G561" i="11"/>
  <c r="H561" i="11"/>
  <c r="J561" i="11"/>
  <c r="L561" i="11"/>
  <c r="N561" i="11"/>
  <c r="P561" i="11"/>
  <c r="R561" i="11"/>
  <c r="T561" i="11"/>
  <c r="A562" i="11"/>
  <c r="B562" i="11"/>
  <c r="C562" i="11"/>
  <c r="D562" i="11"/>
  <c r="E562" i="11"/>
  <c r="F562" i="11"/>
  <c r="G562" i="11"/>
  <c r="H562" i="11"/>
  <c r="I562" i="11"/>
  <c r="J562" i="11"/>
  <c r="K562" i="11"/>
  <c r="L562" i="11"/>
  <c r="M562" i="11"/>
  <c r="N562" i="11"/>
  <c r="O562" i="11"/>
  <c r="P562" i="11"/>
  <c r="Q562" i="11"/>
  <c r="R562" i="11"/>
  <c r="S562" i="11"/>
  <c r="T562" i="11"/>
  <c r="A563" i="11"/>
  <c r="C563" i="11"/>
  <c r="D563" i="11"/>
  <c r="E563" i="11"/>
  <c r="G563" i="11"/>
  <c r="H563" i="11"/>
  <c r="J563" i="11"/>
  <c r="L563" i="11"/>
  <c r="N563" i="11"/>
  <c r="O563" i="11"/>
  <c r="P563" i="11"/>
  <c r="Q563" i="11"/>
  <c r="R563" i="11"/>
  <c r="T563" i="11"/>
  <c r="A564" i="11"/>
  <c r="C564" i="11"/>
  <c r="D564" i="11"/>
  <c r="E564" i="11"/>
  <c r="G564" i="11"/>
  <c r="H564" i="11"/>
  <c r="J564" i="11"/>
  <c r="L564" i="11"/>
  <c r="N564" i="11"/>
  <c r="O564" i="11"/>
  <c r="P564" i="11"/>
  <c r="Q564" i="11"/>
  <c r="R564" i="11"/>
  <c r="T564" i="11"/>
  <c r="A565" i="11"/>
  <c r="C565" i="11"/>
  <c r="D565" i="11"/>
  <c r="E565" i="11"/>
  <c r="G565" i="11"/>
  <c r="H565" i="11"/>
  <c r="J565" i="11"/>
  <c r="L565" i="11"/>
  <c r="N565" i="11"/>
  <c r="P565" i="11"/>
  <c r="Q565" i="11"/>
  <c r="R565" i="11"/>
  <c r="T565" i="11"/>
  <c r="A566" i="11"/>
  <c r="C566" i="11"/>
  <c r="D566" i="11"/>
  <c r="E566" i="11"/>
  <c r="G566" i="11"/>
  <c r="H566" i="11"/>
  <c r="J566" i="11"/>
  <c r="L566" i="11"/>
  <c r="N566" i="11"/>
  <c r="P566" i="11"/>
  <c r="R566" i="11"/>
  <c r="Q566" i="11" s="1"/>
  <c r="T566" i="11"/>
  <c r="A567" i="11"/>
  <c r="C567" i="11"/>
  <c r="D567" i="11"/>
  <c r="E567" i="11"/>
  <c r="G567" i="11"/>
  <c r="H567" i="11"/>
  <c r="J567" i="11"/>
  <c r="L567" i="11"/>
  <c r="N567" i="11"/>
  <c r="P567" i="11"/>
  <c r="R567" i="11"/>
  <c r="T567" i="11"/>
  <c r="A568" i="11"/>
  <c r="B568" i="11"/>
  <c r="C568" i="11"/>
  <c r="D568" i="11"/>
  <c r="E568" i="11"/>
  <c r="F568" i="11"/>
  <c r="G568" i="11"/>
  <c r="H568" i="11"/>
  <c r="I568" i="11"/>
  <c r="J568" i="11"/>
  <c r="L568" i="11"/>
  <c r="K568" i="11" s="1"/>
  <c r="M568" i="11"/>
  <c r="N568" i="11"/>
  <c r="P568" i="11"/>
  <c r="O568" i="11" s="1"/>
  <c r="Q568" i="11"/>
  <c r="R568" i="11"/>
  <c r="T568" i="11"/>
  <c r="S568" i="11" s="1"/>
  <c r="A569" i="11"/>
  <c r="C569" i="11"/>
  <c r="D569" i="11"/>
  <c r="E569" i="11"/>
  <c r="G569" i="11"/>
  <c r="H569" i="11"/>
  <c r="J569" i="11"/>
  <c r="L569" i="11"/>
  <c r="N569" i="11"/>
  <c r="O569" i="11"/>
  <c r="P569" i="11"/>
  <c r="Q569" i="11"/>
  <c r="R569" i="11"/>
  <c r="T569" i="11"/>
  <c r="A570" i="11"/>
  <c r="C570" i="11"/>
  <c r="D570" i="11"/>
  <c r="E570" i="11"/>
  <c r="G570" i="11"/>
  <c r="H570" i="11"/>
  <c r="J570" i="11"/>
  <c r="L570" i="11"/>
  <c r="N570" i="11"/>
  <c r="O570" i="11"/>
  <c r="P570" i="11"/>
  <c r="Q570" i="11"/>
  <c r="R570" i="11"/>
  <c r="T570" i="11"/>
  <c r="A571" i="11"/>
  <c r="C571" i="11"/>
  <c r="D571" i="11"/>
  <c r="E571" i="11"/>
  <c r="G571" i="11"/>
  <c r="H571" i="11"/>
  <c r="J571" i="11"/>
  <c r="L571" i="11"/>
  <c r="N571" i="11"/>
  <c r="P571" i="11"/>
  <c r="Q571" i="11"/>
  <c r="R571" i="11"/>
  <c r="T571" i="11"/>
  <c r="A572" i="11"/>
  <c r="C572" i="11"/>
  <c r="D572" i="11"/>
  <c r="E572" i="11"/>
  <c r="G572" i="11"/>
  <c r="H572" i="11"/>
  <c r="J572" i="11"/>
  <c r="L572" i="11"/>
  <c r="N572" i="11"/>
  <c r="P572" i="11"/>
  <c r="Q572" i="11"/>
  <c r="R572" i="11"/>
  <c r="T572" i="11"/>
  <c r="A573" i="11"/>
  <c r="C573" i="11"/>
  <c r="D573" i="11"/>
  <c r="E573" i="11"/>
  <c r="G573" i="11"/>
  <c r="H573" i="11"/>
  <c r="J573" i="11"/>
  <c r="L573" i="11"/>
  <c r="N573" i="11"/>
  <c r="P573" i="11"/>
  <c r="R573" i="11"/>
  <c r="T573" i="11"/>
  <c r="A149" i="10"/>
  <c r="B149" i="10"/>
  <c r="D149" i="10"/>
  <c r="E149" i="10"/>
  <c r="F149" i="10"/>
  <c r="G149" i="10"/>
  <c r="H149" i="10"/>
  <c r="I149" i="10"/>
  <c r="J149" i="10"/>
  <c r="K149" i="10"/>
  <c r="L149" i="10"/>
  <c r="M149" i="10"/>
  <c r="N149" i="10"/>
  <c r="O149" i="10"/>
  <c r="P149" i="10"/>
  <c r="Q149" i="10"/>
  <c r="R149" i="10"/>
  <c r="S149" i="10"/>
  <c r="T149" i="10"/>
  <c r="U149" i="10"/>
  <c r="V149" i="10"/>
  <c r="W149" i="10"/>
  <c r="AB149" i="10"/>
  <c r="AC149" i="10"/>
  <c r="AD149" i="10"/>
  <c r="A150" i="10"/>
  <c r="B150" i="10"/>
  <c r="D150" i="10"/>
  <c r="E150" i="10"/>
  <c r="F150" i="10"/>
  <c r="G150" i="10"/>
  <c r="H150" i="10"/>
  <c r="I150" i="10"/>
  <c r="J150" i="10"/>
  <c r="K150" i="10"/>
  <c r="L150" i="10"/>
  <c r="M150" i="10"/>
  <c r="N150" i="10"/>
  <c r="O150" i="10"/>
  <c r="P150" i="10"/>
  <c r="Q150" i="10"/>
  <c r="R150" i="10"/>
  <c r="S150" i="10"/>
  <c r="T150" i="10"/>
  <c r="U150" i="10"/>
  <c r="V150" i="10"/>
  <c r="W150" i="10"/>
  <c r="AB150" i="10"/>
  <c r="AC150" i="10"/>
  <c r="AD150" i="10"/>
  <c r="A151" i="10"/>
  <c r="B151" i="10"/>
  <c r="D151" i="10"/>
  <c r="E151" i="10"/>
  <c r="F151" i="10"/>
  <c r="G151" i="10"/>
  <c r="H151" i="10"/>
  <c r="I151" i="10"/>
  <c r="J151" i="10"/>
  <c r="K151" i="10"/>
  <c r="L151" i="10"/>
  <c r="M151" i="10"/>
  <c r="N151" i="10"/>
  <c r="O151" i="10"/>
  <c r="P151" i="10"/>
  <c r="Q151" i="10"/>
  <c r="T151" i="10"/>
  <c r="U151" i="10"/>
  <c r="V151" i="10"/>
  <c r="W151" i="10"/>
  <c r="AB151" i="10"/>
  <c r="AC151" i="10"/>
  <c r="AD151" i="10"/>
  <c r="A152" i="10"/>
  <c r="B152" i="10"/>
  <c r="D152" i="10"/>
  <c r="E152" i="10"/>
  <c r="F152" i="10"/>
  <c r="G152" i="10"/>
  <c r="H152" i="10"/>
  <c r="I152" i="10"/>
  <c r="J152" i="10"/>
  <c r="K152" i="10"/>
  <c r="L152" i="10"/>
  <c r="M152" i="10"/>
  <c r="N152" i="10"/>
  <c r="O152" i="10"/>
  <c r="P152" i="10"/>
  <c r="Q152" i="10"/>
  <c r="T152" i="10"/>
  <c r="U152" i="10"/>
  <c r="V152" i="10"/>
  <c r="W152" i="10"/>
  <c r="AB152" i="10"/>
  <c r="AC152" i="10"/>
  <c r="AD152" i="10"/>
  <c r="A153" i="10"/>
  <c r="B153" i="10"/>
  <c r="D153" i="10"/>
  <c r="E153" i="10"/>
  <c r="F153" i="10"/>
  <c r="G153" i="10"/>
  <c r="H153" i="10"/>
  <c r="I153" i="10"/>
  <c r="J153" i="10"/>
  <c r="K153" i="10"/>
  <c r="L153" i="10"/>
  <c r="M153" i="10"/>
  <c r="N153" i="10"/>
  <c r="O153" i="10"/>
  <c r="P153" i="10"/>
  <c r="Q153" i="10"/>
  <c r="T153" i="10"/>
  <c r="U153" i="10"/>
  <c r="V153" i="10"/>
  <c r="W153" i="10"/>
  <c r="AB153" i="10"/>
  <c r="AC153" i="10"/>
  <c r="AD153" i="10"/>
  <c r="A154" i="10"/>
  <c r="B154" i="10"/>
  <c r="D154" i="10"/>
  <c r="E154" i="10"/>
  <c r="F154" i="10"/>
  <c r="G154" i="10"/>
  <c r="H154" i="10"/>
  <c r="I154" i="10"/>
  <c r="J154" i="10"/>
  <c r="K154" i="10"/>
  <c r="L154" i="10"/>
  <c r="M154" i="10"/>
  <c r="N154" i="10"/>
  <c r="O154" i="10"/>
  <c r="P154" i="10"/>
  <c r="Q154" i="10"/>
  <c r="T154" i="10"/>
  <c r="U154" i="10"/>
  <c r="V154" i="10"/>
  <c r="W154" i="10"/>
  <c r="AB154" i="10"/>
  <c r="AC154" i="10"/>
  <c r="AD154" i="10"/>
  <c r="A155" i="10"/>
  <c r="B155" i="10"/>
  <c r="D155" i="10"/>
  <c r="E155" i="10"/>
  <c r="F155" i="10"/>
  <c r="G155" i="10"/>
  <c r="H155" i="10"/>
  <c r="I155" i="10"/>
  <c r="J155" i="10"/>
  <c r="K155" i="10"/>
  <c r="L155" i="10"/>
  <c r="M155" i="10"/>
  <c r="N155" i="10"/>
  <c r="O155" i="10"/>
  <c r="P155" i="10"/>
  <c r="Q155" i="10"/>
  <c r="T155" i="10"/>
  <c r="U155" i="10"/>
  <c r="V155" i="10"/>
  <c r="W155" i="10"/>
  <c r="AB155" i="10"/>
  <c r="AC155" i="10"/>
  <c r="AD155" i="10"/>
  <c r="A156" i="10"/>
  <c r="B156" i="10"/>
  <c r="D156" i="10"/>
  <c r="E156" i="10"/>
  <c r="F156" i="10"/>
  <c r="G156" i="10"/>
  <c r="H156" i="10"/>
  <c r="I156" i="10"/>
  <c r="J156" i="10"/>
  <c r="K156" i="10"/>
  <c r="L156" i="10"/>
  <c r="M156" i="10"/>
  <c r="N156" i="10"/>
  <c r="O156" i="10"/>
  <c r="P156" i="10"/>
  <c r="Q156" i="10"/>
  <c r="T156" i="10"/>
  <c r="U156" i="10"/>
  <c r="V156" i="10"/>
  <c r="W156" i="10"/>
  <c r="AB156" i="10"/>
  <c r="AC156" i="10"/>
  <c r="AD156" i="10"/>
  <c r="A157" i="10"/>
  <c r="B157" i="10"/>
  <c r="D157" i="10"/>
  <c r="E157" i="10"/>
  <c r="F157" i="10"/>
  <c r="G157" i="10"/>
  <c r="H157" i="10"/>
  <c r="I157" i="10"/>
  <c r="J157" i="10"/>
  <c r="K157" i="10"/>
  <c r="L157" i="10"/>
  <c r="M157" i="10"/>
  <c r="N157" i="10"/>
  <c r="O157" i="10"/>
  <c r="P157" i="10"/>
  <c r="Q157" i="10"/>
  <c r="T157" i="10"/>
  <c r="U157" i="10"/>
  <c r="V157" i="10"/>
  <c r="W157" i="10"/>
  <c r="AB157" i="10"/>
  <c r="AC157" i="10"/>
  <c r="AD157" i="10"/>
  <c r="A158" i="10"/>
  <c r="B158" i="10"/>
  <c r="D158" i="10"/>
  <c r="E158" i="10"/>
  <c r="F158" i="10"/>
  <c r="G158" i="10"/>
  <c r="H158" i="10"/>
  <c r="I158" i="10"/>
  <c r="J158" i="10"/>
  <c r="K158" i="10"/>
  <c r="L158" i="10"/>
  <c r="M158" i="10"/>
  <c r="N158" i="10"/>
  <c r="O158" i="10"/>
  <c r="P158" i="10"/>
  <c r="Q158" i="10"/>
  <c r="R158" i="10"/>
  <c r="S158" i="10"/>
  <c r="T158" i="10"/>
  <c r="U158" i="10"/>
  <c r="V158" i="10"/>
  <c r="W158" i="10"/>
  <c r="AB158" i="10"/>
  <c r="AC158" i="10"/>
  <c r="AD158" i="10"/>
  <c r="A159" i="10"/>
  <c r="B159" i="10"/>
  <c r="D159" i="10"/>
  <c r="E159" i="10"/>
  <c r="F159" i="10"/>
  <c r="G159" i="10"/>
  <c r="H159" i="10"/>
  <c r="I159" i="10"/>
  <c r="J159" i="10"/>
  <c r="K159" i="10"/>
  <c r="L159" i="10"/>
  <c r="M159" i="10"/>
  <c r="N159" i="10"/>
  <c r="O159" i="10"/>
  <c r="P159" i="10"/>
  <c r="Q159" i="10"/>
  <c r="R159" i="10"/>
  <c r="S159" i="10"/>
  <c r="T159" i="10"/>
  <c r="U159" i="10"/>
  <c r="V159" i="10"/>
  <c r="W159" i="10"/>
  <c r="AB159" i="10"/>
  <c r="AC159" i="10"/>
  <c r="AD159" i="10"/>
  <c r="A160" i="10"/>
  <c r="B160" i="10"/>
  <c r="D160" i="10"/>
  <c r="E160" i="10"/>
  <c r="F160" i="10"/>
  <c r="G160" i="10"/>
  <c r="H160" i="10"/>
  <c r="I160" i="10"/>
  <c r="J160" i="10"/>
  <c r="K160" i="10"/>
  <c r="L160" i="10"/>
  <c r="M160" i="10"/>
  <c r="N160" i="10"/>
  <c r="O160" i="10"/>
  <c r="P160" i="10"/>
  <c r="Q160" i="10"/>
  <c r="R160" i="10"/>
  <c r="S160" i="10"/>
  <c r="T160" i="10"/>
  <c r="U160" i="10"/>
  <c r="V160" i="10"/>
  <c r="W160" i="10"/>
  <c r="AB160" i="10"/>
  <c r="AC160" i="10"/>
  <c r="AD160" i="10"/>
  <c r="A161" i="10"/>
  <c r="B161" i="10"/>
  <c r="D161" i="10"/>
  <c r="E161" i="10"/>
  <c r="F161" i="10"/>
  <c r="G161" i="10"/>
  <c r="H161" i="10"/>
  <c r="I161" i="10"/>
  <c r="J161" i="10"/>
  <c r="K161" i="10"/>
  <c r="L161" i="10"/>
  <c r="M161" i="10"/>
  <c r="N161" i="10"/>
  <c r="O161" i="10"/>
  <c r="P161" i="10"/>
  <c r="Q161" i="10"/>
  <c r="R161" i="10"/>
  <c r="S161" i="10"/>
  <c r="T161" i="10"/>
  <c r="U161" i="10"/>
  <c r="V161" i="10"/>
  <c r="W161" i="10"/>
  <c r="AB161" i="10"/>
  <c r="AC161" i="10"/>
  <c r="AD161" i="10"/>
  <c r="A162" i="10"/>
  <c r="B162" i="10"/>
  <c r="D162" i="10"/>
  <c r="E162" i="10"/>
  <c r="F162" i="10"/>
  <c r="G162" i="10"/>
  <c r="H162" i="10"/>
  <c r="I162" i="10"/>
  <c r="J162" i="10"/>
  <c r="K162" i="10"/>
  <c r="L162" i="10"/>
  <c r="M162" i="10"/>
  <c r="N162" i="10"/>
  <c r="O162" i="10"/>
  <c r="P162" i="10"/>
  <c r="Q162" i="10"/>
  <c r="R162" i="10"/>
  <c r="S162" i="10"/>
  <c r="T162" i="10"/>
  <c r="U162" i="10"/>
  <c r="V162" i="10"/>
  <c r="W162" i="10"/>
  <c r="AB162" i="10"/>
  <c r="AC162" i="10"/>
  <c r="AD162" i="10"/>
  <c r="A163" i="10"/>
  <c r="B163" i="10"/>
  <c r="D163" i="10"/>
  <c r="E163" i="10"/>
  <c r="F163" i="10"/>
  <c r="G163" i="10"/>
  <c r="H163" i="10"/>
  <c r="I163" i="10"/>
  <c r="J163" i="10"/>
  <c r="K163" i="10"/>
  <c r="L163" i="10"/>
  <c r="M163" i="10"/>
  <c r="N163" i="10"/>
  <c r="O163" i="10"/>
  <c r="P163" i="10"/>
  <c r="Q163" i="10"/>
  <c r="R163" i="10"/>
  <c r="S163" i="10"/>
  <c r="T163" i="10"/>
  <c r="U163" i="10"/>
  <c r="V163" i="10"/>
  <c r="W163" i="10"/>
  <c r="AB163" i="10"/>
  <c r="AC163" i="10"/>
  <c r="AD163" i="10"/>
  <c r="A164" i="10"/>
  <c r="B164" i="10"/>
  <c r="D164" i="10"/>
  <c r="E164" i="10"/>
  <c r="F164" i="10"/>
  <c r="G164" i="10"/>
  <c r="H164" i="10"/>
  <c r="I164" i="10"/>
  <c r="J164" i="10"/>
  <c r="K164" i="10"/>
  <c r="L164" i="10"/>
  <c r="M164" i="10"/>
  <c r="N164" i="10"/>
  <c r="O164" i="10"/>
  <c r="P164" i="10"/>
  <c r="Q164" i="10"/>
  <c r="R164" i="10"/>
  <c r="S164" i="10"/>
  <c r="T164" i="10"/>
  <c r="U164" i="10"/>
  <c r="V164" i="10"/>
  <c r="W164" i="10"/>
  <c r="AB164" i="10"/>
  <c r="AC164" i="10"/>
  <c r="AD164" i="10"/>
  <c r="A165" i="10"/>
  <c r="B165" i="10"/>
  <c r="D165" i="10"/>
  <c r="E165" i="10"/>
  <c r="F165" i="10"/>
  <c r="G165" i="10"/>
  <c r="H165" i="10"/>
  <c r="I165" i="10"/>
  <c r="J165" i="10"/>
  <c r="K165" i="10"/>
  <c r="L165" i="10"/>
  <c r="M165" i="10"/>
  <c r="N165" i="10"/>
  <c r="O165" i="10"/>
  <c r="P165" i="10"/>
  <c r="Q165" i="10"/>
  <c r="R165" i="10"/>
  <c r="S165" i="10"/>
  <c r="T165" i="10"/>
  <c r="U165" i="10"/>
  <c r="V165" i="10"/>
  <c r="W165" i="10"/>
  <c r="AB165" i="10"/>
  <c r="AC165" i="10"/>
  <c r="AD165" i="10"/>
  <c r="A166" i="10"/>
  <c r="B166" i="10"/>
  <c r="D166" i="10"/>
  <c r="E166" i="10"/>
  <c r="F166" i="10"/>
  <c r="G166" i="10"/>
  <c r="H166" i="10"/>
  <c r="I166" i="10"/>
  <c r="J166" i="10"/>
  <c r="K166" i="10"/>
  <c r="L166" i="10"/>
  <c r="M166" i="10"/>
  <c r="N166" i="10"/>
  <c r="O166" i="10"/>
  <c r="P166" i="10"/>
  <c r="Q166" i="10"/>
  <c r="R166" i="10"/>
  <c r="S166" i="10"/>
  <c r="T166" i="10"/>
  <c r="U166" i="10"/>
  <c r="V166" i="10"/>
  <c r="W166" i="10"/>
  <c r="AB166" i="10"/>
  <c r="AC166" i="10"/>
  <c r="AD166" i="10"/>
  <c r="A167" i="10"/>
  <c r="B167" i="10"/>
  <c r="D167" i="10"/>
  <c r="E167" i="10"/>
  <c r="F167" i="10"/>
  <c r="G167" i="10"/>
  <c r="H167" i="10"/>
  <c r="I167" i="10"/>
  <c r="J167" i="10"/>
  <c r="K167" i="10"/>
  <c r="L167" i="10"/>
  <c r="M167" i="10"/>
  <c r="N167" i="10"/>
  <c r="O167" i="10"/>
  <c r="P167" i="10"/>
  <c r="Q167" i="10"/>
  <c r="R167" i="10"/>
  <c r="S167" i="10"/>
  <c r="T167" i="10"/>
  <c r="U167" i="10"/>
  <c r="V167" i="10"/>
  <c r="W167" i="10"/>
  <c r="AB167" i="10"/>
  <c r="AC167" i="10"/>
  <c r="AD167" i="10"/>
  <c r="A168" i="10"/>
  <c r="B168" i="10"/>
  <c r="D168" i="10"/>
  <c r="E168" i="10"/>
  <c r="F168" i="10"/>
  <c r="G168" i="10"/>
  <c r="H168" i="10"/>
  <c r="I168" i="10"/>
  <c r="J168" i="10"/>
  <c r="K168" i="10"/>
  <c r="L168" i="10"/>
  <c r="M168" i="10"/>
  <c r="N168" i="10"/>
  <c r="O168" i="10"/>
  <c r="P168" i="10"/>
  <c r="Q168" i="10"/>
  <c r="R168" i="10"/>
  <c r="S168" i="10"/>
  <c r="T168" i="10"/>
  <c r="U168" i="10"/>
  <c r="V168" i="10"/>
  <c r="W168" i="10"/>
  <c r="AB168" i="10"/>
  <c r="AC168" i="10"/>
  <c r="AD168" i="10"/>
  <c r="A169" i="10"/>
  <c r="B169" i="10"/>
  <c r="D169" i="10"/>
  <c r="E169" i="10"/>
  <c r="F169" i="10"/>
  <c r="G169" i="10"/>
  <c r="H169" i="10"/>
  <c r="I169" i="10"/>
  <c r="J169" i="10"/>
  <c r="K169" i="10"/>
  <c r="L169" i="10"/>
  <c r="M169" i="10"/>
  <c r="N169" i="10"/>
  <c r="O169" i="10"/>
  <c r="P169" i="10"/>
  <c r="Q169" i="10"/>
  <c r="R169" i="10"/>
  <c r="S169" i="10"/>
  <c r="T169" i="10"/>
  <c r="U169" i="10"/>
  <c r="V169" i="10"/>
  <c r="W169" i="10"/>
  <c r="AB169" i="10"/>
  <c r="AC169" i="10"/>
  <c r="AD169" i="10"/>
  <c r="A170" i="10"/>
  <c r="B170" i="10"/>
  <c r="D170" i="10"/>
  <c r="E170" i="10"/>
  <c r="F170" i="10"/>
  <c r="G170" i="10"/>
  <c r="H170" i="10"/>
  <c r="I170" i="10"/>
  <c r="J170" i="10"/>
  <c r="K170" i="10"/>
  <c r="L170" i="10"/>
  <c r="M170" i="10"/>
  <c r="N170" i="10"/>
  <c r="O170" i="10"/>
  <c r="P170" i="10"/>
  <c r="Q170" i="10"/>
  <c r="R170" i="10"/>
  <c r="S170" i="10"/>
  <c r="T170" i="10"/>
  <c r="U170" i="10"/>
  <c r="V170" i="10"/>
  <c r="W170" i="10"/>
  <c r="AB170" i="10"/>
  <c r="AC170" i="10"/>
  <c r="AD170" i="10"/>
  <c r="A171" i="10"/>
  <c r="B171" i="10"/>
  <c r="D171" i="10"/>
  <c r="E171" i="10"/>
  <c r="F171" i="10"/>
  <c r="G171" i="10"/>
  <c r="H171" i="10"/>
  <c r="I171" i="10"/>
  <c r="J171" i="10"/>
  <c r="K171" i="10"/>
  <c r="L171" i="10"/>
  <c r="M171" i="10"/>
  <c r="N171" i="10"/>
  <c r="O171" i="10"/>
  <c r="P171" i="10"/>
  <c r="Q171" i="10"/>
  <c r="R171" i="10"/>
  <c r="S171" i="10"/>
  <c r="T171" i="10"/>
  <c r="U171" i="10"/>
  <c r="V171" i="10"/>
  <c r="W171" i="10"/>
  <c r="AB171" i="10"/>
  <c r="AC171" i="10"/>
  <c r="AD171" i="10"/>
  <c r="A172" i="10"/>
  <c r="B172" i="10"/>
  <c r="D172" i="10"/>
  <c r="E172" i="10"/>
  <c r="F172" i="10"/>
  <c r="G172" i="10"/>
  <c r="H172" i="10"/>
  <c r="I172" i="10"/>
  <c r="K172" i="10"/>
  <c r="L172" i="10"/>
  <c r="M172" i="10"/>
  <c r="N172" i="10"/>
  <c r="O172" i="10"/>
  <c r="P172" i="10"/>
  <c r="Q172" i="10"/>
  <c r="R172" i="10"/>
  <c r="S172" i="10"/>
  <c r="T172" i="10"/>
  <c r="U172" i="10"/>
  <c r="V172" i="10"/>
  <c r="W172" i="10"/>
  <c r="AB172" i="10"/>
  <c r="AC172" i="10"/>
  <c r="AD172" i="10"/>
  <c r="A173" i="10"/>
  <c r="B173" i="10"/>
  <c r="D173" i="10"/>
  <c r="E173" i="10"/>
  <c r="F173" i="10"/>
  <c r="G173" i="10"/>
  <c r="H173" i="10"/>
  <c r="I173" i="10"/>
  <c r="K173" i="10"/>
  <c r="L173" i="10"/>
  <c r="M173" i="10"/>
  <c r="N173" i="10"/>
  <c r="O173" i="10"/>
  <c r="P173" i="10"/>
  <c r="Q173" i="10"/>
  <c r="R173" i="10"/>
  <c r="S173" i="10"/>
  <c r="T173" i="10"/>
  <c r="U173" i="10"/>
  <c r="V173" i="10"/>
  <c r="W173" i="10"/>
  <c r="AB173" i="10"/>
  <c r="AC173" i="10"/>
  <c r="AD173" i="10"/>
  <c r="A174" i="10"/>
  <c r="B174" i="10"/>
  <c r="D174" i="10"/>
  <c r="E174" i="10"/>
  <c r="F174" i="10"/>
  <c r="G174" i="10"/>
  <c r="H174" i="10"/>
  <c r="I174" i="10"/>
  <c r="K174" i="10"/>
  <c r="L174" i="10"/>
  <c r="M174" i="10"/>
  <c r="N174" i="10"/>
  <c r="O174" i="10"/>
  <c r="P174" i="10"/>
  <c r="Q174" i="10"/>
  <c r="R174" i="10"/>
  <c r="S174" i="10"/>
  <c r="T174" i="10"/>
  <c r="U174" i="10"/>
  <c r="V174" i="10"/>
  <c r="W174" i="10"/>
  <c r="AB174" i="10"/>
  <c r="AC174" i="10"/>
  <c r="AD174" i="10"/>
  <c r="A175" i="10"/>
  <c r="B175" i="10"/>
  <c r="D175" i="10"/>
  <c r="E175" i="10"/>
  <c r="F175" i="10"/>
  <c r="G175" i="10"/>
  <c r="H175" i="10"/>
  <c r="I175" i="10"/>
  <c r="K175" i="10"/>
  <c r="L175" i="10"/>
  <c r="M175" i="10"/>
  <c r="N175" i="10"/>
  <c r="O175" i="10"/>
  <c r="P175" i="10"/>
  <c r="Q175" i="10"/>
  <c r="R175" i="10"/>
  <c r="S175" i="10"/>
  <c r="T175" i="10"/>
  <c r="U175" i="10"/>
  <c r="V175" i="10"/>
  <c r="W175" i="10"/>
  <c r="AB175" i="10"/>
  <c r="AC175" i="10"/>
  <c r="AD175" i="10"/>
  <c r="A176" i="10"/>
  <c r="B176" i="10"/>
  <c r="D176" i="10"/>
  <c r="E176" i="10"/>
  <c r="F176" i="10"/>
  <c r="G176" i="10"/>
  <c r="H176" i="10"/>
  <c r="I176" i="10"/>
  <c r="K176" i="10"/>
  <c r="L176" i="10"/>
  <c r="M176" i="10"/>
  <c r="N176" i="10"/>
  <c r="O176" i="10"/>
  <c r="P176" i="10"/>
  <c r="Q176" i="10"/>
  <c r="R176" i="10"/>
  <c r="S176" i="10"/>
  <c r="T176" i="10"/>
  <c r="U176" i="10"/>
  <c r="V176" i="10"/>
  <c r="W176" i="10"/>
  <c r="AB176" i="10"/>
  <c r="AC176" i="10"/>
  <c r="AD176" i="10"/>
  <c r="A177" i="10"/>
  <c r="B177" i="10"/>
  <c r="D177" i="10"/>
  <c r="E177" i="10"/>
  <c r="F177" i="10"/>
  <c r="G177" i="10"/>
  <c r="H177" i="10"/>
  <c r="I177" i="10"/>
  <c r="J177" i="10"/>
  <c r="K177" i="10"/>
  <c r="L177" i="10"/>
  <c r="M177" i="10"/>
  <c r="N177" i="10"/>
  <c r="O177" i="10"/>
  <c r="P177" i="10"/>
  <c r="Q177" i="10"/>
  <c r="R177" i="10"/>
  <c r="S177" i="10"/>
  <c r="T177" i="10"/>
  <c r="U177" i="10"/>
  <c r="V177" i="10"/>
  <c r="W177" i="10"/>
  <c r="AB177" i="10"/>
  <c r="AC177" i="10"/>
  <c r="AD177" i="10"/>
  <c r="A178" i="10"/>
  <c r="B178" i="10"/>
  <c r="D178" i="10"/>
  <c r="E178" i="10"/>
  <c r="F178" i="10"/>
  <c r="G178" i="10"/>
  <c r="H178" i="10"/>
  <c r="I178" i="10"/>
  <c r="K178" i="10"/>
  <c r="L178" i="10"/>
  <c r="M178" i="10"/>
  <c r="N178" i="10"/>
  <c r="O178" i="10"/>
  <c r="P178" i="10"/>
  <c r="Q178" i="10"/>
  <c r="R178" i="10"/>
  <c r="S178" i="10"/>
  <c r="T178" i="10"/>
  <c r="U178" i="10"/>
  <c r="V178" i="10"/>
  <c r="W178" i="10"/>
  <c r="AB178" i="10"/>
  <c r="AC178" i="10"/>
  <c r="AD178" i="10"/>
  <c r="A179" i="10"/>
  <c r="B179" i="10"/>
  <c r="D179" i="10"/>
  <c r="E179" i="10"/>
  <c r="F179" i="10"/>
  <c r="G179" i="10"/>
  <c r="H179" i="10"/>
  <c r="I179" i="10"/>
  <c r="K179" i="10"/>
  <c r="L179" i="10"/>
  <c r="M179" i="10"/>
  <c r="N179" i="10"/>
  <c r="O179" i="10"/>
  <c r="P179" i="10"/>
  <c r="Q179" i="10"/>
  <c r="R179" i="10"/>
  <c r="S179" i="10"/>
  <c r="T179" i="10"/>
  <c r="U179" i="10"/>
  <c r="V179" i="10"/>
  <c r="W179" i="10"/>
  <c r="AB179" i="10"/>
  <c r="AC179" i="10"/>
  <c r="AD179" i="10"/>
  <c r="A180" i="10"/>
  <c r="B180" i="10"/>
  <c r="D180" i="10"/>
  <c r="E180" i="10"/>
  <c r="F180" i="10"/>
  <c r="G180" i="10"/>
  <c r="H180" i="10"/>
  <c r="I180" i="10"/>
  <c r="K180" i="10"/>
  <c r="L180" i="10"/>
  <c r="M180" i="10"/>
  <c r="N180" i="10"/>
  <c r="O180" i="10"/>
  <c r="P180" i="10"/>
  <c r="Q180" i="10"/>
  <c r="R180" i="10"/>
  <c r="S180" i="10"/>
  <c r="T180" i="10"/>
  <c r="U180" i="10"/>
  <c r="V180" i="10"/>
  <c r="W180" i="10"/>
  <c r="AB180" i="10"/>
  <c r="AC180" i="10"/>
  <c r="AD180" i="10"/>
  <c r="A181" i="10"/>
  <c r="B181" i="10"/>
  <c r="D181" i="10"/>
  <c r="E181" i="10"/>
  <c r="F181" i="10"/>
  <c r="G181" i="10"/>
  <c r="H181" i="10"/>
  <c r="I181" i="10"/>
  <c r="K181" i="10"/>
  <c r="L181" i="10"/>
  <c r="M181" i="10"/>
  <c r="N181" i="10"/>
  <c r="O181" i="10"/>
  <c r="P181" i="10"/>
  <c r="Q181" i="10"/>
  <c r="R181" i="10"/>
  <c r="S181" i="10"/>
  <c r="T181" i="10"/>
  <c r="U181" i="10"/>
  <c r="V181" i="10"/>
  <c r="W181" i="10"/>
  <c r="AB181" i="10"/>
  <c r="AC181" i="10"/>
  <c r="AD181" i="10"/>
  <c r="A182" i="10"/>
  <c r="B182" i="10"/>
  <c r="D182" i="10"/>
  <c r="E182" i="10"/>
  <c r="F182" i="10"/>
  <c r="G182" i="10"/>
  <c r="H182" i="10"/>
  <c r="I182" i="10"/>
  <c r="K182" i="10"/>
  <c r="L182" i="10"/>
  <c r="M182" i="10"/>
  <c r="N182" i="10"/>
  <c r="O182" i="10"/>
  <c r="P182" i="10"/>
  <c r="Q182" i="10"/>
  <c r="R182" i="10"/>
  <c r="S182" i="10"/>
  <c r="T182" i="10"/>
  <c r="U182" i="10"/>
  <c r="V182" i="10"/>
  <c r="W182" i="10"/>
  <c r="AB182" i="10"/>
  <c r="AC182" i="10"/>
  <c r="AD182" i="10"/>
  <c r="A183" i="10"/>
  <c r="B183" i="10"/>
  <c r="D183" i="10"/>
  <c r="E183" i="10"/>
  <c r="F183" i="10"/>
  <c r="G183" i="10"/>
  <c r="H183" i="10"/>
  <c r="I183" i="10"/>
  <c r="J183" i="10"/>
  <c r="K183" i="10"/>
  <c r="L183" i="10"/>
  <c r="M183" i="10"/>
  <c r="N183" i="10"/>
  <c r="O183" i="10"/>
  <c r="P183" i="10"/>
  <c r="Q183" i="10"/>
  <c r="R183" i="10"/>
  <c r="S183" i="10"/>
  <c r="T183" i="10"/>
  <c r="U183" i="10"/>
  <c r="V183" i="10"/>
  <c r="W183" i="10"/>
  <c r="AB183" i="10"/>
  <c r="AC183" i="10"/>
  <c r="AD183" i="10"/>
  <c r="A184" i="10"/>
  <c r="B184" i="10"/>
  <c r="D184" i="10"/>
  <c r="E184" i="10"/>
  <c r="F184" i="10"/>
  <c r="G184" i="10"/>
  <c r="H184" i="10"/>
  <c r="I184" i="10"/>
  <c r="K184" i="10"/>
  <c r="L184" i="10"/>
  <c r="M184" i="10"/>
  <c r="N184" i="10"/>
  <c r="O184" i="10"/>
  <c r="P184" i="10"/>
  <c r="Q184" i="10"/>
  <c r="R184" i="10"/>
  <c r="S184" i="10"/>
  <c r="T184" i="10"/>
  <c r="U184" i="10"/>
  <c r="V184" i="10"/>
  <c r="W184" i="10"/>
  <c r="AB184" i="10"/>
  <c r="AC184" i="10"/>
  <c r="AD184" i="10"/>
  <c r="A185" i="10"/>
  <c r="B185" i="10"/>
  <c r="D185" i="10"/>
  <c r="E185" i="10"/>
  <c r="F185" i="10"/>
  <c r="G185" i="10"/>
  <c r="H185" i="10"/>
  <c r="I185" i="10"/>
  <c r="K185" i="10"/>
  <c r="L185" i="10"/>
  <c r="M185" i="10"/>
  <c r="N185" i="10"/>
  <c r="O185" i="10"/>
  <c r="P185" i="10"/>
  <c r="Q185" i="10"/>
  <c r="R185" i="10"/>
  <c r="S185" i="10"/>
  <c r="T185" i="10"/>
  <c r="U185" i="10"/>
  <c r="V185" i="10"/>
  <c r="W185" i="10"/>
  <c r="AB185" i="10"/>
  <c r="AC185" i="10"/>
  <c r="AD185" i="10"/>
  <c r="A186" i="10"/>
  <c r="B186" i="10"/>
  <c r="D186" i="10"/>
  <c r="E186" i="10"/>
  <c r="F186" i="10"/>
  <c r="G186" i="10"/>
  <c r="H186" i="10"/>
  <c r="I186" i="10"/>
  <c r="K186" i="10"/>
  <c r="L186" i="10"/>
  <c r="M186" i="10"/>
  <c r="N186" i="10"/>
  <c r="O186" i="10"/>
  <c r="P186" i="10"/>
  <c r="Q186" i="10"/>
  <c r="R186" i="10"/>
  <c r="S186" i="10"/>
  <c r="T186" i="10"/>
  <c r="U186" i="10"/>
  <c r="V186" i="10"/>
  <c r="W186" i="10"/>
  <c r="AB186" i="10"/>
  <c r="AC186" i="10"/>
  <c r="AD186" i="10"/>
  <c r="A187" i="10"/>
  <c r="B187" i="10"/>
  <c r="D187" i="10"/>
  <c r="E187" i="10"/>
  <c r="F187" i="10"/>
  <c r="G187" i="10"/>
  <c r="H187" i="10"/>
  <c r="I187" i="10"/>
  <c r="K187" i="10"/>
  <c r="L187" i="10"/>
  <c r="M187" i="10"/>
  <c r="N187" i="10"/>
  <c r="O187" i="10"/>
  <c r="P187" i="10"/>
  <c r="Q187" i="10"/>
  <c r="R187" i="10"/>
  <c r="S187" i="10"/>
  <c r="T187" i="10"/>
  <c r="U187" i="10"/>
  <c r="V187" i="10"/>
  <c r="W187" i="10"/>
  <c r="AB187" i="10"/>
  <c r="AC187" i="10"/>
  <c r="AD187" i="10"/>
  <c r="A188" i="10"/>
  <c r="B188" i="10"/>
  <c r="D188" i="10"/>
  <c r="E188" i="10"/>
  <c r="F188" i="10"/>
  <c r="G188" i="10"/>
  <c r="H188" i="10"/>
  <c r="I188" i="10"/>
  <c r="K188" i="10"/>
  <c r="L188" i="10"/>
  <c r="M188" i="10"/>
  <c r="N188" i="10"/>
  <c r="O188" i="10"/>
  <c r="P188" i="10"/>
  <c r="Q188" i="10"/>
  <c r="R188" i="10"/>
  <c r="S188" i="10"/>
  <c r="T188" i="10"/>
  <c r="U188" i="10"/>
  <c r="V188" i="10"/>
  <c r="W188" i="10"/>
  <c r="AB188" i="10"/>
  <c r="AC188" i="10"/>
  <c r="AD188" i="10"/>
  <c r="A189" i="10"/>
  <c r="B189" i="10"/>
  <c r="D189" i="10"/>
  <c r="E189" i="10"/>
  <c r="F189" i="10"/>
  <c r="G189" i="10"/>
  <c r="H189" i="10"/>
  <c r="I189" i="10"/>
  <c r="J189" i="10"/>
  <c r="K189" i="10"/>
  <c r="L189" i="10"/>
  <c r="M189" i="10"/>
  <c r="N189" i="10"/>
  <c r="O189" i="10"/>
  <c r="P189" i="10"/>
  <c r="Q189" i="10"/>
  <c r="R189" i="10"/>
  <c r="S189" i="10"/>
  <c r="T189" i="10"/>
  <c r="U189" i="10"/>
  <c r="V189" i="10"/>
  <c r="W189" i="10"/>
  <c r="AB189" i="10"/>
  <c r="AC189" i="10"/>
  <c r="AD189" i="10"/>
  <c r="A190" i="10"/>
  <c r="B190" i="10"/>
  <c r="D190" i="10"/>
  <c r="E190" i="10"/>
  <c r="F190" i="10"/>
  <c r="G190" i="10"/>
  <c r="H190" i="10"/>
  <c r="I190" i="10"/>
  <c r="K190" i="10"/>
  <c r="L190" i="10"/>
  <c r="M190" i="10"/>
  <c r="N190" i="10"/>
  <c r="O190" i="10"/>
  <c r="P190" i="10"/>
  <c r="T190" i="10"/>
  <c r="U190" i="10"/>
  <c r="V190" i="10"/>
  <c r="W190" i="10"/>
  <c r="AB190" i="10"/>
  <c r="AC190" i="10"/>
  <c r="AD190" i="10"/>
  <c r="A191" i="10"/>
  <c r="B191" i="10"/>
  <c r="D191" i="10"/>
  <c r="E191" i="10"/>
  <c r="F191" i="10"/>
  <c r="G191" i="10"/>
  <c r="H191" i="10"/>
  <c r="I191" i="10"/>
  <c r="K191" i="10"/>
  <c r="L191" i="10"/>
  <c r="M191" i="10"/>
  <c r="N191" i="10"/>
  <c r="O191" i="10"/>
  <c r="P191" i="10"/>
  <c r="T191" i="10"/>
  <c r="U191" i="10"/>
  <c r="V191" i="10"/>
  <c r="W191" i="10"/>
  <c r="AB191" i="10"/>
  <c r="AC191" i="10"/>
  <c r="AD191" i="10"/>
  <c r="A192" i="10"/>
  <c r="B192" i="10"/>
  <c r="D192" i="10"/>
  <c r="E192" i="10"/>
  <c r="F192" i="10"/>
  <c r="G192" i="10"/>
  <c r="H192" i="10"/>
  <c r="I192" i="10"/>
  <c r="K192" i="10"/>
  <c r="L192" i="10"/>
  <c r="M192" i="10"/>
  <c r="N192" i="10"/>
  <c r="O192" i="10"/>
  <c r="P192" i="10"/>
  <c r="T192" i="10"/>
  <c r="U192" i="10"/>
  <c r="V192" i="10"/>
  <c r="W192" i="10"/>
  <c r="AB192" i="10"/>
  <c r="AC192" i="10"/>
  <c r="AD192" i="10"/>
  <c r="A193" i="10"/>
  <c r="B193" i="10"/>
  <c r="D193" i="10"/>
  <c r="E193" i="10"/>
  <c r="F193" i="10"/>
  <c r="G193" i="10"/>
  <c r="H193" i="10"/>
  <c r="I193" i="10"/>
  <c r="K193" i="10"/>
  <c r="L193" i="10"/>
  <c r="M193" i="10"/>
  <c r="N193" i="10"/>
  <c r="O193" i="10"/>
  <c r="P193" i="10"/>
  <c r="T193" i="10"/>
  <c r="U193" i="10"/>
  <c r="V193" i="10"/>
  <c r="W193" i="10"/>
  <c r="AB193" i="10"/>
  <c r="AC193" i="10"/>
  <c r="AD193" i="10"/>
  <c r="A194" i="10"/>
  <c r="B194" i="10"/>
  <c r="D194" i="10"/>
  <c r="E194" i="10"/>
  <c r="F194" i="10"/>
  <c r="G194" i="10"/>
  <c r="H194" i="10"/>
  <c r="I194" i="10"/>
  <c r="K194" i="10"/>
  <c r="L194" i="10"/>
  <c r="M194" i="10"/>
  <c r="N194" i="10"/>
  <c r="O194" i="10"/>
  <c r="P194" i="10"/>
  <c r="T194" i="10"/>
  <c r="U194" i="10"/>
  <c r="V194" i="10"/>
  <c r="W194" i="10"/>
  <c r="AB194" i="10"/>
  <c r="AC194" i="10"/>
  <c r="AD194" i="10"/>
  <c r="A195" i="10"/>
  <c r="B195" i="10"/>
  <c r="D195" i="10"/>
  <c r="E195" i="10"/>
  <c r="F195" i="10"/>
  <c r="G195" i="10"/>
  <c r="H195" i="10"/>
  <c r="I195" i="10"/>
  <c r="K195" i="10"/>
  <c r="L195" i="10"/>
  <c r="M195" i="10"/>
  <c r="N195" i="10"/>
  <c r="O195" i="10"/>
  <c r="P195" i="10"/>
  <c r="T195" i="10"/>
  <c r="U195" i="10"/>
  <c r="V195" i="10"/>
  <c r="W195" i="10"/>
  <c r="AB195" i="10"/>
  <c r="AC195" i="10"/>
  <c r="AD195" i="10"/>
  <c r="A196" i="10"/>
  <c r="B196" i="10"/>
  <c r="D196" i="10"/>
  <c r="E196" i="10"/>
  <c r="F196" i="10"/>
  <c r="G196" i="10"/>
  <c r="H196" i="10"/>
  <c r="I196" i="10"/>
  <c r="K196" i="10"/>
  <c r="L196" i="10"/>
  <c r="M196" i="10"/>
  <c r="N196" i="10"/>
  <c r="O196" i="10"/>
  <c r="P196" i="10"/>
  <c r="T196" i="10"/>
  <c r="U196" i="10"/>
  <c r="V196" i="10"/>
  <c r="W196" i="10"/>
  <c r="AB196" i="10"/>
  <c r="AC196" i="10"/>
  <c r="AD196" i="10"/>
  <c r="A197" i="10"/>
  <c r="B197" i="10"/>
  <c r="D197" i="10"/>
  <c r="E197" i="10"/>
  <c r="F197" i="10"/>
  <c r="G197" i="10"/>
  <c r="H197" i="10"/>
  <c r="I197" i="10"/>
  <c r="K197" i="10"/>
  <c r="L197" i="10"/>
  <c r="M197" i="10"/>
  <c r="N197" i="10"/>
  <c r="O197" i="10"/>
  <c r="P197" i="10"/>
  <c r="T197" i="10"/>
  <c r="U197" i="10"/>
  <c r="V197" i="10"/>
  <c r="W197" i="10"/>
  <c r="AB197" i="10"/>
  <c r="AC197" i="10"/>
  <c r="AD197" i="10"/>
  <c r="A198" i="10"/>
  <c r="B198" i="10"/>
  <c r="D198" i="10"/>
  <c r="E198" i="10"/>
  <c r="F198" i="10"/>
  <c r="G198" i="10"/>
  <c r="H198" i="10"/>
  <c r="I198" i="10"/>
  <c r="K198" i="10"/>
  <c r="L198" i="10"/>
  <c r="M198" i="10"/>
  <c r="N198" i="10"/>
  <c r="O198" i="10"/>
  <c r="P198" i="10"/>
  <c r="T198" i="10"/>
  <c r="U198" i="10"/>
  <c r="V198" i="10"/>
  <c r="W198" i="10"/>
  <c r="AB198" i="10"/>
  <c r="AC198" i="10"/>
  <c r="AD198" i="10"/>
  <c r="A199" i="10"/>
  <c r="B199" i="10"/>
  <c r="D199" i="10"/>
  <c r="E199" i="10"/>
  <c r="F199" i="10"/>
  <c r="G199" i="10"/>
  <c r="H199" i="10"/>
  <c r="I199" i="10"/>
  <c r="K199" i="10"/>
  <c r="L199" i="10"/>
  <c r="M199" i="10"/>
  <c r="N199" i="10"/>
  <c r="O199" i="10"/>
  <c r="P199" i="10"/>
  <c r="T199" i="10"/>
  <c r="U199" i="10"/>
  <c r="V199" i="10"/>
  <c r="W199" i="10"/>
  <c r="AB199" i="10"/>
  <c r="AC199" i="10"/>
  <c r="AD199" i="10"/>
  <c r="A200" i="10"/>
  <c r="B200" i="10"/>
  <c r="D200" i="10"/>
  <c r="E200" i="10"/>
  <c r="F200" i="10"/>
  <c r="G200" i="10"/>
  <c r="H200" i="10"/>
  <c r="I200" i="10"/>
  <c r="K200" i="10"/>
  <c r="L200" i="10"/>
  <c r="M200" i="10"/>
  <c r="N200" i="10"/>
  <c r="O200" i="10"/>
  <c r="P200" i="10"/>
  <c r="T200" i="10"/>
  <c r="U200" i="10"/>
  <c r="V200" i="10"/>
  <c r="W200" i="10"/>
  <c r="AB200" i="10"/>
  <c r="AC200" i="10"/>
  <c r="AD200" i="10"/>
  <c r="A201" i="10"/>
  <c r="B201" i="10"/>
  <c r="D201" i="10"/>
  <c r="E201" i="10"/>
  <c r="F201" i="10"/>
  <c r="G201" i="10"/>
  <c r="H201" i="10"/>
  <c r="I201" i="10"/>
  <c r="K201" i="10"/>
  <c r="L201" i="10"/>
  <c r="M201" i="10"/>
  <c r="N201" i="10"/>
  <c r="O201" i="10"/>
  <c r="P201" i="10"/>
  <c r="T201" i="10"/>
  <c r="U201" i="10"/>
  <c r="V201" i="10"/>
  <c r="W201" i="10"/>
  <c r="AB201" i="10"/>
  <c r="AC201" i="10"/>
  <c r="AD201" i="10"/>
  <c r="A202" i="10"/>
  <c r="B202" i="10"/>
  <c r="D202" i="10"/>
  <c r="E202" i="10"/>
  <c r="F202" i="10"/>
  <c r="G202" i="10"/>
  <c r="H202" i="10"/>
  <c r="I202" i="10"/>
  <c r="K202" i="10"/>
  <c r="L202" i="10"/>
  <c r="M202" i="10"/>
  <c r="N202" i="10"/>
  <c r="O202" i="10"/>
  <c r="P202" i="10"/>
  <c r="T202" i="10"/>
  <c r="U202" i="10"/>
  <c r="V202" i="10"/>
  <c r="W202" i="10"/>
  <c r="AB202" i="10"/>
  <c r="AC202" i="10"/>
  <c r="AD202" i="10"/>
  <c r="A203" i="10"/>
  <c r="B203" i="10"/>
  <c r="D203" i="10"/>
  <c r="E203" i="10"/>
  <c r="F203" i="10"/>
  <c r="G203" i="10"/>
  <c r="H203" i="10"/>
  <c r="I203" i="10"/>
  <c r="K203" i="10"/>
  <c r="L203" i="10"/>
  <c r="M203" i="10"/>
  <c r="N203" i="10"/>
  <c r="O203" i="10"/>
  <c r="P203" i="10"/>
  <c r="T203" i="10"/>
  <c r="U203" i="10"/>
  <c r="V203" i="10"/>
  <c r="W203" i="10"/>
  <c r="AB203" i="10"/>
  <c r="AC203" i="10"/>
  <c r="AD203" i="10"/>
  <c r="A204" i="10"/>
  <c r="B204" i="10"/>
  <c r="D204" i="10"/>
  <c r="E204" i="10"/>
  <c r="F204" i="10"/>
  <c r="G204" i="10"/>
  <c r="H204" i="10"/>
  <c r="I204" i="10"/>
  <c r="K204" i="10"/>
  <c r="L204" i="10"/>
  <c r="M204" i="10"/>
  <c r="N204" i="10"/>
  <c r="O204" i="10"/>
  <c r="P204" i="10"/>
  <c r="T204" i="10"/>
  <c r="U204" i="10"/>
  <c r="V204" i="10"/>
  <c r="W204" i="10"/>
  <c r="AB204" i="10"/>
  <c r="AC204" i="10"/>
  <c r="AD204" i="10"/>
  <c r="A205" i="10"/>
  <c r="B205" i="10"/>
  <c r="D205" i="10"/>
  <c r="E205" i="10"/>
  <c r="F205" i="10"/>
  <c r="G205" i="10"/>
  <c r="H205" i="10"/>
  <c r="I205" i="10"/>
  <c r="J205" i="10"/>
  <c r="K205" i="10"/>
  <c r="L205" i="10"/>
  <c r="M205" i="10"/>
  <c r="N205" i="10"/>
  <c r="O205" i="10"/>
  <c r="P205" i="10"/>
  <c r="Q205" i="10"/>
  <c r="R205" i="10"/>
  <c r="S205" i="10"/>
  <c r="T205" i="10"/>
  <c r="U205" i="10"/>
  <c r="V205" i="10"/>
  <c r="W205" i="10"/>
  <c r="AB205" i="10"/>
  <c r="AC205" i="10"/>
  <c r="AD205" i="10"/>
  <c r="A206" i="10"/>
  <c r="B206" i="10"/>
  <c r="D206" i="10"/>
  <c r="E206" i="10"/>
  <c r="F206" i="10"/>
  <c r="G206" i="10"/>
  <c r="H206" i="10"/>
  <c r="I206" i="10"/>
  <c r="K206" i="10"/>
  <c r="L206" i="10"/>
  <c r="M206" i="10"/>
  <c r="N206" i="10"/>
  <c r="O206" i="10"/>
  <c r="P206" i="10"/>
  <c r="T206" i="10"/>
  <c r="U206" i="10"/>
  <c r="V206" i="10"/>
  <c r="W206" i="10"/>
  <c r="AB206" i="10"/>
  <c r="AC206" i="10"/>
  <c r="AD206" i="10"/>
  <c r="A207" i="10"/>
  <c r="B207" i="10"/>
  <c r="D207" i="10"/>
  <c r="E207" i="10"/>
  <c r="F207" i="10"/>
  <c r="G207" i="10"/>
  <c r="H207" i="10"/>
  <c r="I207" i="10"/>
  <c r="K207" i="10"/>
  <c r="L207" i="10"/>
  <c r="M207" i="10"/>
  <c r="N207" i="10"/>
  <c r="O207" i="10"/>
  <c r="P207" i="10"/>
  <c r="T207" i="10"/>
  <c r="U207" i="10"/>
  <c r="V207" i="10"/>
  <c r="W207" i="10"/>
  <c r="AB207" i="10"/>
  <c r="AC207" i="10"/>
  <c r="AD207" i="10"/>
  <c r="A208" i="10"/>
  <c r="B208" i="10"/>
  <c r="D208" i="10"/>
  <c r="E208" i="10"/>
  <c r="F208" i="10"/>
  <c r="G208" i="10"/>
  <c r="H208" i="10"/>
  <c r="I208" i="10"/>
  <c r="K208" i="10"/>
  <c r="L208" i="10"/>
  <c r="M208" i="10"/>
  <c r="N208" i="10"/>
  <c r="O208" i="10"/>
  <c r="P208" i="10"/>
  <c r="T208" i="10"/>
  <c r="U208" i="10"/>
  <c r="V208" i="10"/>
  <c r="W208" i="10"/>
  <c r="AB208" i="10"/>
  <c r="AC208" i="10"/>
  <c r="AD208" i="10"/>
  <c r="A209" i="10"/>
  <c r="B209" i="10"/>
  <c r="D209" i="10"/>
  <c r="E209" i="10"/>
  <c r="F209" i="10"/>
  <c r="G209" i="10"/>
  <c r="H209" i="10"/>
  <c r="I209" i="10"/>
  <c r="K209" i="10"/>
  <c r="L209" i="10"/>
  <c r="M209" i="10"/>
  <c r="N209" i="10"/>
  <c r="O209" i="10"/>
  <c r="P209" i="10"/>
  <c r="T209" i="10"/>
  <c r="U209" i="10"/>
  <c r="V209" i="10"/>
  <c r="W209" i="10"/>
  <c r="AB209" i="10"/>
  <c r="AC209" i="10"/>
  <c r="AD209" i="10"/>
  <c r="A210" i="10"/>
  <c r="B210" i="10"/>
  <c r="D210" i="10"/>
  <c r="E210" i="10"/>
  <c r="F210" i="10"/>
  <c r="G210" i="10"/>
  <c r="H210" i="10"/>
  <c r="I210" i="10"/>
  <c r="K210" i="10"/>
  <c r="L210" i="10"/>
  <c r="M210" i="10"/>
  <c r="N210" i="10"/>
  <c r="O210" i="10"/>
  <c r="P210" i="10"/>
  <c r="T210" i="10"/>
  <c r="U210" i="10"/>
  <c r="V210" i="10"/>
  <c r="W210" i="10"/>
  <c r="AB210" i="10"/>
  <c r="AC210" i="10"/>
  <c r="AD210" i="10"/>
  <c r="A211" i="10"/>
  <c r="B211" i="10"/>
  <c r="D211" i="10"/>
  <c r="E211" i="10"/>
  <c r="F211" i="10"/>
  <c r="G211" i="10"/>
  <c r="H211" i="10"/>
  <c r="I211" i="10"/>
  <c r="K211" i="10"/>
  <c r="L211" i="10"/>
  <c r="M211" i="10"/>
  <c r="N211" i="10"/>
  <c r="O211" i="10"/>
  <c r="P211" i="10"/>
  <c r="T211" i="10"/>
  <c r="U211" i="10"/>
  <c r="V211" i="10"/>
  <c r="W211" i="10"/>
  <c r="AB211" i="10"/>
  <c r="AC211" i="10"/>
  <c r="AD211" i="10"/>
  <c r="A212" i="10"/>
  <c r="B212" i="10"/>
  <c r="D212" i="10"/>
  <c r="E212" i="10"/>
  <c r="F212" i="10"/>
  <c r="G212" i="10"/>
  <c r="H212" i="10"/>
  <c r="I212" i="10"/>
  <c r="K212" i="10"/>
  <c r="L212" i="10"/>
  <c r="M212" i="10"/>
  <c r="N212" i="10"/>
  <c r="O212" i="10"/>
  <c r="P212" i="10"/>
  <c r="T212" i="10"/>
  <c r="U212" i="10"/>
  <c r="V212" i="10"/>
  <c r="W212" i="10"/>
  <c r="AB212" i="10"/>
  <c r="AC212" i="10"/>
  <c r="AD212" i="10"/>
  <c r="A213" i="10"/>
  <c r="B213" i="10"/>
  <c r="D213" i="10"/>
  <c r="E213" i="10"/>
  <c r="F213" i="10"/>
  <c r="G213" i="10"/>
  <c r="H213" i="10"/>
  <c r="I213" i="10"/>
  <c r="K213" i="10"/>
  <c r="L213" i="10"/>
  <c r="M213" i="10"/>
  <c r="N213" i="10"/>
  <c r="O213" i="10"/>
  <c r="P213" i="10"/>
  <c r="T213" i="10"/>
  <c r="U213" i="10"/>
  <c r="V213" i="10"/>
  <c r="W213" i="10"/>
  <c r="AB213" i="10"/>
  <c r="AC213" i="10"/>
  <c r="AD213" i="10"/>
  <c r="A214" i="10"/>
  <c r="B214" i="10"/>
  <c r="D214" i="10"/>
  <c r="E214" i="10"/>
  <c r="F214" i="10"/>
  <c r="G214" i="10"/>
  <c r="H214" i="10"/>
  <c r="I214" i="10"/>
  <c r="K214" i="10"/>
  <c r="L214" i="10"/>
  <c r="M214" i="10"/>
  <c r="N214" i="10"/>
  <c r="O214" i="10"/>
  <c r="P214" i="10"/>
  <c r="Q214" i="10"/>
  <c r="T214" i="10"/>
  <c r="U214" i="10"/>
  <c r="V214" i="10"/>
  <c r="W214" i="10"/>
  <c r="AB214" i="10"/>
  <c r="AC214" i="10"/>
  <c r="AD214" i="10"/>
  <c r="A215" i="10"/>
  <c r="B215" i="10"/>
  <c r="D215" i="10"/>
  <c r="E215" i="10"/>
  <c r="F215" i="10"/>
  <c r="G215" i="10"/>
  <c r="H215" i="10"/>
  <c r="I215" i="10"/>
  <c r="K215" i="10"/>
  <c r="L215" i="10"/>
  <c r="M215" i="10"/>
  <c r="N215" i="10"/>
  <c r="O215" i="10"/>
  <c r="P215" i="10"/>
  <c r="Q215" i="10"/>
  <c r="T215" i="10"/>
  <c r="U215" i="10"/>
  <c r="V215" i="10"/>
  <c r="W215" i="10"/>
  <c r="AB215" i="10"/>
  <c r="AC215" i="10"/>
  <c r="AD215" i="10"/>
  <c r="A216" i="10"/>
  <c r="B216" i="10"/>
  <c r="D216" i="10"/>
  <c r="E216" i="10"/>
  <c r="F216" i="10"/>
  <c r="G216" i="10"/>
  <c r="H216" i="10"/>
  <c r="I216" i="10"/>
  <c r="K216" i="10"/>
  <c r="L216" i="10"/>
  <c r="M216" i="10"/>
  <c r="N216" i="10"/>
  <c r="O216" i="10"/>
  <c r="P216" i="10"/>
  <c r="Q216" i="10"/>
  <c r="T216" i="10"/>
  <c r="U216" i="10"/>
  <c r="V216" i="10"/>
  <c r="W216" i="10"/>
  <c r="AB216" i="10"/>
  <c r="AC216" i="10"/>
  <c r="AD216" i="10"/>
  <c r="A217" i="10"/>
  <c r="B217" i="10"/>
  <c r="D217" i="10"/>
  <c r="E217" i="10"/>
  <c r="F217" i="10"/>
  <c r="G217" i="10"/>
  <c r="H217" i="10"/>
  <c r="I217" i="10"/>
  <c r="K217" i="10"/>
  <c r="L217" i="10"/>
  <c r="M217" i="10"/>
  <c r="N217" i="10"/>
  <c r="O217" i="10"/>
  <c r="P217" i="10"/>
  <c r="Q217" i="10"/>
  <c r="T217" i="10"/>
  <c r="U217" i="10"/>
  <c r="V217" i="10"/>
  <c r="W217" i="10"/>
  <c r="AB217" i="10"/>
  <c r="AC217" i="10"/>
  <c r="AD217" i="10"/>
  <c r="A218" i="10"/>
  <c r="B218" i="10"/>
  <c r="D218" i="10"/>
  <c r="E218" i="10"/>
  <c r="F218" i="10"/>
  <c r="G218" i="10"/>
  <c r="H218" i="10"/>
  <c r="I218" i="10"/>
  <c r="J218" i="10"/>
  <c r="K218" i="10"/>
  <c r="L218" i="10"/>
  <c r="M218" i="10"/>
  <c r="N218" i="10"/>
  <c r="O218" i="10"/>
  <c r="P218" i="10"/>
  <c r="Q218" i="10"/>
  <c r="R218" i="10"/>
  <c r="S218" i="10"/>
  <c r="T218" i="10"/>
  <c r="U218" i="10"/>
  <c r="V218" i="10"/>
  <c r="W218" i="10"/>
  <c r="AB218" i="10"/>
  <c r="AC218" i="10"/>
  <c r="AD218" i="10"/>
  <c r="A219" i="10"/>
  <c r="B219" i="10"/>
  <c r="D219" i="10"/>
  <c r="E219" i="10"/>
  <c r="F219" i="10"/>
  <c r="G219" i="10"/>
  <c r="H219" i="10"/>
  <c r="I219" i="10"/>
  <c r="K219" i="10"/>
  <c r="L219" i="10"/>
  <c r="M219" i="10"/>
  <c r="N219" i="10"/>
  <c r="O219" i="10"/>
  <c r="P219" i="10"/>
  <c r="T219" i="10"/>
  <c r="U219" i="10"/>
  <c r="V219" i="10"/>
  <c r="W219" i="10"/>
  <c r="AB219" i="10"/>
  <c r="AC219" i="10"/>
  <c r="AD219" i="10"/>
  <c r="A220" i="10"/>
  <c r="B220" i="10"/>
  <c r="D220" i="10"/>
  <c r="E220" i="10"/>
  <c r="F220" i="10"/>
  <c r="G220" i="10"/>
  <c r="H220" i="10"/>
  <c r="I220" i="10"/>
  <c r="K220" i="10"/>
  <c r="L220" i="10"/>
  <c r="M220" i="10"/>
  <c r="N220" i="10"/>
  <c r="O220" i="10"/>
  <c r="P220" i="10"/>
  <c r="T220" i="10"/>
  <c r="U220" i="10"/>
  <c r="V220" i="10"/>
  <c r="W220" i="10"/>
  <c r="AB220" i="10"/>
  <c r="AC220" i="10"/>
  <c r="AD220" i="10"/>
  <c r="A221" i="10"/>
  <c r="B221" i="10"/>
  <c r="D221" i="10"/>
  <c r="E221" i="10"/>
  <c r="F221" i="10"/>
  <c r="G221" i="10"/>
  <c r="H221" i="10"/>
  <c r="I221" i="10"/>
  <c r="K221" i="10"/>
  <c r="L221" i="10"/>
  <c r="M221" i="10"/>
  <c r="N221" i="10"/>
  <c r="O221" i="10"/>
  <c r="P221" i="10"/>
  <c r="T221" i="10"/>
  <c r="U221" i="10"/>
  <c r="V221" i="10"/>
  <c r="W221" i="10"/>
  <c r="AB221" i="10"/>
  <c r="AC221" i="10"/>
  <c r="AD221" i="10"/>
  <c r="A222" i="10"/>
  <c r="B222" i="10"/>
  <c r="D222" i="10"/>
  <c r="E222" i="10"/>
  <c r="F222" i="10"/>
  <c r="G222" i="10"/>
  <c r="H222" i="10"/>
  <c r="I222" i="10"/>
  <c r="K222" i="10"/>
  <c r="L222" i="10"/>
  <c r="M222" i="10"/>
  <c r="N222" i="10"/>
  <c r="O222" i="10"/>
  <c r="P222" i="10"/>
  <c r="T222" i="10"/>
  <c r="U222" i="10"/>
  <c r="V222" i="10"/>
  <c r="W222" i="10"/>
  <c r="AB222" i="10"/>
  <c r="AC222" i="10"/>
  <c r="AD222" i="10"/>
  <c r="A223" i="10"/>
  <c r="B223" i="10"/>
  <c r="D223" i="10"/>
  <c r="E223" i="10"/>
  <c r="F223" i="10"/>
  <c r="G223" i="10"/>
  <c r="H223" i="10"/>
  <c r="I223" i="10"/>
  <c r="K223" i="10"/>
  <c r="L223" i="10"/>
  <c r="M223" i="10"/>
  <c r="N223" i="10"/>
  <c r="O223" i="10"/>
  <c r="P223" i="10"/>
  <c r="T223" i="10"/>
  <c r="U223" i="10"/>
  <c r="V223" i="10"/>
  <c r="W223" i="10"/>
  <c r="AB223" i="10"/>
  <c r="AC223" i="10"/>
  <c r="AD223" i="10"/>
  <c r="A224" i="10"/>
  <c r="B224" i="10"/>
  <c r="D224" i="10"/>
  <c r="E224" i="10"/>
  <c r="F224" i="10"/>
  <c r="G224" i="10"/>
  <c r="H224" i="10"/>
  <c r="I224" i="10"/>
  <c r="K224" i="10"/>
  <c r="L224" i="10"/>
  <c r="M224" i="10"/>
  <c r="N224" i="10"/>
  <c r="O224" i="10"/>
  <c r="P224" i="10"/>
  <c r="T224" i="10"/>
  <c r="U224" i="10"/>
  <c r="V224" i="10"/>
  <c r="W224" i="10"/>
  <c r="AB224" i="10"/>
  <c r="AC224" i="10"/>
  <c r="AD224" i="10"/>
  <c r="A225" i="10"/>
  <c r="B225" i="10"/>
  <c r="D225" i="10"/>
  <c r="E225" i="10"/>
  <c r="F225" i="10"/>
  <c r="G225" i="10"/>
  <c r="H225" i="10"/>
  <c r="I225" i="10"/>
  <c r="K225" i="10"/>
  <c r="L225" i="10"/>
  <c r="M225" i="10"/>
  <c r="N225" i="10"/>
  <c r="O225" i="10"/>
  <c r="P225" i="10"/>
  <c r="T225" i="10"/>
  <c r="U225" i="10"/>
  <c r="V225" i="10"/>
  <c r="W225" i="10"/>
  <c r="AB225" i="10"/>
  <c r="AC225" i="10"/>
  <c r="AD225" i="10"/>
  <c r="A226" i="10"/>
  <c r="B226" i="10"/>
  <c r="D226" i="10"/>
  <c r="E226" i="10"/>
  <c r="F226" i="10"/>
  <c r="G226" i="10"/>
  <c r="H226" i="10"/>
  <c r="I226" i="10"/>
  <c r="K226" i="10"/>
  <c r="L226" i="10"/>
  <c r="M226" i="10"/>
  <c r="N226" i="10"/>
  <c r="O226" i="10"/>
  <c r="P226" i="10"/>
  <c r="T226" i="10"/>
  <c r="U226" i="10"/>
  <c r="V226" i="10"/>
  <c r="W226" i="10"/>
  <c r="AB226" i="10"/>
  <c r="AC226" i="10"/>
  <c r="AD226" i="10"/>
  <c r="A227" i="10"/>
  <c r="B227" i="10"/>
  <c r="D227" i="10"/>
  <c r="E227" i="10"/>
  <c r="F227" i="10"/>
  <c r="G227" i="10"/>
  <c r="H227" i="10"/>
  <c r="I227" i="10"/>
  <c r="K227" i="10"/>
  <c r="L227" i="10"/>
  <c r="M227" i="10"/>
  <c r="N227" i="10"/>
  <c r="O227" i="10"/>
  <c r="P227" i="10"/>
  <c r="T227" i="10"/>
  <c r="U227" i="10"/>
  <c r="V227" i="10"/>
  <c r="W227" i="10"/>
  <c r="AB227" i="10"/>
  <c r="AC227" i="10"/>
  <c r="AD227" i="10"/>
  <c r="A228" i="10"/>
  <c r="B228" i="10"/>
  <c r="D228" i="10"/>
  <c r="E228" i="10"/>
  <c r="F228" i="10"/>
  <c r="G228" i="10"/>
  <c r="H228" i="10"/>
  <c r="I228" i="10"/>
  <c r="K228" i="10"/>
  <c r="L228" i="10"/>
  <c r="M228" i="10"/>
  <c r="N228" i="10"/>
  <c r="O228" i="10"/>
  <c r="P228" i="10"/>
  <c r="T228" i="10"/>
  <c r="U228" i="10"/>
  <c r="V228" i="10"/>
  <c r="W228" i="10"/>
  <c r="AB228" i="10"/>
  <c r="AC228" i="10"/>
  <c r="AD228" i="10"/>
  <c r="A229" i="10"/>
  <c r="B229" i="10"/>
  <c r="D229" i="10"/>
  <c r="E229" i="10"/>
  <c r="F229" i="10"/>
  <c r="G229" i="10"/>
  <c r="H229" i="10"/>
  <c r="I229" i="10"/>
  <c r="K229" i="10"/>
  <c r="L229" i="10"/>
  <c r="M229" i="10"/>
  <c r="N229" i="10"/>
  <c r="O229" i="10"/>
  <c r="P229" i="10"/>
  <c r="T229" i="10"/>
  <c r="U229" i="10"/>
  <c r="V229" i="10"/>
  <c r="W229" i="10"/>
  <c r="AB229" i="10"/>
  <c r="AC229" i="10"/>
  <c r="AD229" i="10"/>
  <c r="A230" i="10"/>
  <c r="B230" i="10"/>
  <c r="D230" i="10"/>
  <c r="E230" i="10"/>
  <c r="F230" i="10"/>
  <c r="G230" i="10"/>
  <c r="H230" i="10"/>
  <c r="I230" i="10"/>
  <c r="K230" i="10"/>
  <c r="L230" i="10"/>
  <c r="M230" i="10"/>
  <c r="N230" i="10"/>
  <c r="O230" i="10"/>
  <c r="P230" i="10"/>
  <c r="T230" i="10"/>
  <c r="U230" i="10"/>
  <c r="V230" i="10"/>
  <c r="W230" i="10"/>
  <c r="AB230" i="10"/>
  <c r="AC230" i="10"/>
  <c r="AD230" i="10"/>
  <c r="A231" i="10"/>
  <c r="B231" i="10"/>
  <c r="D231" i="10"/>
  <c r="E231" i="10"/>
  <c r="F231" i="10"/>
  <c r="G231" i="10"/>
  <c r="H231" i="10"/>
  <c r="I231" i="10"/>
  <c r="K231" i="10"/>
  <c r="L231" i="10"/>
  <c r="M231" i="10"/>
  <c r="N231" i="10"/>
  <c r="O231" i="10"/>
  <c r="P231" i="10"/>
  <c r="T231" i="10"/>
  <c r="U231" i="10"/>
  <c r="V231" i="10"/>
  <c r="W231" i="10"/>
  <c r="AB231" i="10"/>
  <c r="AC231" i="10"/>
  <c r="AD231" i="10"/>
  <c r="A232" i="10"/>
  <c r="B232" i="10"/>
  <c r="D232" i="10"/>
  <c r="E232" i="10"/>
  <c r="F232" i="10"/>
  <c r="G232" i="10"/>
  <c r="H232" i="10"/>
  <c r="I232" i="10"/>
  <c r="K232" i="10"/>
  <c r="L232" i="10"/>
  <c r="M232" i="10"/>
  <c r="N232" i="10"/>
  <c r="O232" i="10"/>
  <c r="P232" i="10"/>
  <c r="T232" i="10"/>
  <c r="U232" i="10"/>
  <c r="V232" i="10"/>
  <c r="W232" i="10"/>
  <c r="AB232" i="10"/>
  <c r="AC232" i="10"/>
  <c r="AD232" i="10"/>
  <c r="A233" i="10"/>
  <c r="B233" i="10"/>
  <c r="D233" i="10"/>
  <c r="E233" i="10"/>
  <c r="F233" i="10"/>
  <c r="G233" i="10"/>
  <c r="H233" i="10"/>
  <c r="I233" i="10"/>
  <c r="K233" i="10"/>
  <c r="L233" i="10"/>
  <c r="M233" i="10"/>
  <c r="N233" i="10"/>
  <c r="O233" i="10"/>
  <c r="P233" i="10"/>
  <c r="T233" i="10"/>
  <c r="U233" i="10"/>
  <c r="V233" i="10"/>
  <c r="W233" i="10"/>
  <c r="AB233" i="10"/>
  <c r="AC233" i="10"/>
  <c r="AD233" i="10"/>
  <c r="A234" i="10"/>
  <c r="B234" i="10"/>
  <c r="D234" i="10"/>
  <c r="E234" i="10"/>
  <c r="F234" i="10"/>
  <c r="G234" i="10"/>
  <c r="H234" i="10"/>
  <c r="I234" i="10"/>
  <c r="J234" i="10"/>
  <c r="K234" i="10"/>
  <c r="L234" i="10"/>
  <c r="M234" i="10"/>
  <c r="N234" i="10"/>
  <c r="O234" i="10"/>
  <c r="P234" i="10"/>
  <c r="Q234" i="10"/>
  <c r="R234" i="10"/>
  <c r="S234" i="10"/>
  <c r="T234" i="10"/>
  <c r="U234" i="10"/>
  <c r="V234" i="10"/>
  <c r="W234" i="10"/>
  <c r="AB234" i="10"/>
  <c r="AC234" i="10"/>
  <c r="AD234" i="10"/>
  <c r="A235" i="10"/>
  <c r="B235" i="10"/>
  <c r="D235" i="10"/>
  <c r="E235" i="10"/>
  <c r="F235" i="10"/>
  <c r="G235" i="10"/>
  <c r="H235" i="10"/>
  <c r="I235" i="10"/>
  <c r="K235" i="10"/>
  <c r="L235" i="10"/>
  <c r="M235" i="10"/>
  <c r="N235" i="10"/>
  <c r="O235" i="10"/>
  <c r="P235" i="10"/>
  <c r="T235" i="10"/>
  <c r="U235" i="10"/>
  <c r="V235" i="10"/>
  <c r="W235" i="10"/>
  <c r="AB235" i="10"/>
  <c r="AC235" i="10"/>
  <c r="AD235" i="10"/>
  <c r="A236" i="10"/>
  <c r="B236" i="10"/>
  <c r="D236" i="10"/>
  <c r="E236" i="10"/>
  <c r="F236" i="10"/>
  <c r="G236" i="10"/>
  <c r="H236" i="10"/>
  <c r="I236" i="10"/>
  <c r="K236" i="10"/>
  <c r="L236" i="10"/>
  <c r="M236" i="10"/>
  <c r="N236" i="10"/>
  <c r="O236" i="10"/>
  <c r="P236" i="10"/>
  <c r="T236" i="10"/>
  <c r="U236" i="10"/>
  <c r="V236" i="10"/>
  <c r="W236" i="10"/>
  <c r="AB236" i="10"/>
  <c r="AC236" i="10"/>
  <c r="AD236" i="10"/>
  <c r="A237" i="10"/>
  <c r="B237" i="10"/>
  <c r="D237" i="10"/>
  <c r="E237" i="10"/>
  <c r="F237" i="10"/>
  <c r="G237" i="10"/>
  <c r="H237" i="10"/>
  <c r="I237" i="10"/>
  <c r="K237" i="10"/>
  <c r="L237" i="10"/>
  <c r="M237" i="10"/>
  <c r="N237" i="10"/>
  <c r="O237" i="10"/>
  <c r="P237" i="10"/>
  <c r="T237" i="10"/>
  <c r="U237" i="10"/>
  <c r="V237" i="10"/>
  <c r="W237" i="10"/>
  <c r="AB237" i="10"/>
  <c r="AC237" i="10"/>
  <c r="AD237" i="10"/>
  <c r="A238" i="10"/>
  <c r="B238" i="10"/>
  <c r="D238" i="10"/>
  <c r="E238" i="10"/>
  <c r="F238" i="10"/>
  <c r="G238" i="10"/>
  <c r="H238" i="10"/>
  <c r="I238" i="10"/>
  <c r="K238" i="10"/>
  <c r="L238" i="10"/>
  <c r="M238" i="10"/>
  <c r="N238" i="10"/>
  <c r="O238" i="10"/>
  <c r="P238" i="10"/>
  <c r="T238" i="10"/>
  <c r="U238" i="10"/>
  <c r="V238" i="10"/>
  <c r="W238" i="10"/>
  <c r="AB238" i="10"/>
  <c r="AC238" i="10"/>
  <c r="AD238" i="10"/>
  <c r="A239" i="10"/>
  <c r="B239" i="10"/>
  <c r="D239" i="10"/>
  <c r="E239" i="10"/>
  <c r="F239" i="10"/>
  <c r="G239" i="10"/>
  <c r="H239" i="10"/>
  <c r="I239" i="10"/>
  <c r="K239" i="10"/>
  <c r="L239" i="10"/>
  <c r="M239" i="10"/>
  <c r="N239" i="10"/>
  <c r="O239" i="10"/>
  <c r="P239" i="10"/>
  <c r="T239" i="10"/>
  <c r="U239" i="10"/>
  <c r="V239" i="10"/>
  <c r="W239" i="10"/>
  <c r="AB239" i="10"/>
  <c r="AC239" i="10"/>
  <c r="AD239" i="10"/>
  <c r="A240" i="10"/>
  <c r="B240" i="10"/>
  <c r="D240" i="10"/>
  <c r="E240" i="10"/>
  <c r="F240" i="10"/>
  <c r="G240" i="10"/>
  <c r="H240" i="10"/>
  <c r="I240" i="10"/>
  <c r="K240" i="10"/>
  <c r="L240" i="10"/>
  <c r="M240" i="10"/>
  <c r="N240" i="10"/>
  <c r="O240" i="10"/>
  <c r="P240" i="10"/>
  <c r="T240" i="10"/>
  <c r="U240" i="10"/>
  <c r="V240" i="10"/>
  <c r="W240" i="10"/>
  <c r="AB240" i="10"/>
  <c r="AC240" i="10"/>
  <c r="AD240" i="10"/>
  <c r="A241" i="10"/>
  <c r="B241" i="10"/>
  <c r="D241" i="10"/>
  <c r="E241" i="10"/>
  <c r="F241" i="10"/>
  <c r="G241" i="10"/>
  <c r="H241" i="10"/>
  <c r="I241" i="10"/>
  <c r="K241" i="10"/>
  <c r="L241" i="10"/>
  <c r="M241" i="10"/>
  <c r="N241" i="10"/>
  <c r="O241" i="10"/>
  <c r="P241" i="10"/>
  <c r="T241" i="10"/>
  <c r="U241" i="10"/>
  <c r="V241" i="10"/>
  <c r="W241" i="10"/>
  <c r="AB241" i="10"/>
  <c r="AC241" i="10"/>
  <c r="AD241" i="10"/>
  <c r="A242" i="10"/>
  <c r="B242" i="10"/>
  <c r="D242" i="10"/>
  <c r="E242" i="10"/>
  <c r="F242" i="10"/>
  <c r="G242" i="10"/>
  <c r="H242" i="10"/>
  <c r="I242" i="10"/>
  <c r="K242" i="10"/>
  <c r="L242" i="10"/>
  <c r="M242" i="10"/>
  <c r="N242" i="10"/>
  <c r="O242" i="10"/>
  <c r="P242" i="10"/>
  <c r="T242" i="10"/>
  <c r="U242" i="10"/>
  <c r="V242" i="10"/>
  <c r="W242" i="10"/>
  <c r="AB242" i="10"/>
  <c r="AC242" i="10"/>
  <c r="AD242" i="10"/>
  <c r="A243" i="10"/>
  <c r="B243" i="10"/>
  <c r="D243" i="10"/>
  <c r="E243" i="10"/>
  <c r="F243" i="10"/>
  <c r="G243" i="10"/>
  <c r="H243" i="10"/>
  <c r="I243" i="10"/>
  <c r="K243" i="10"/>
  <c r="L243" i="10"/>
  <c r="M243" i="10"/>
  <c r="N243" i="10"/>
  <c r="O243" i="10"/>
  <c r="P243" i="10"/>
  <c r="T243" i="10"/>
  <c r="U243" i="10"/>
  <c r="V243" i="10"/>
  <c r="W243" i="10"/>
  <c r="AB243" i="10"/>
  <c r="AC243" i="10"/>
  <c r="AD243" i="10"/>
  <c r="A244" i="10"/>
  <c r="B244" i="10"/>
  <c r="D244" i="10"/>
  <c r="E244" i="10"/>
  <c r="F244" i="10"/>
  <c r="G244" i="10"/>
  <c r="H244" i="10"/>
  <c r="I244" i="10"/>
  <c r="K244" i="10"/>
  <c r="L244" i="10"/>
  <c r="M244" i="10"/>
  <c r="N244" i="10"/>
  <c r="O244" i="10"/>
  <c r="P244" i="10"/>
  <c r="T244" i="10"/>
  <c r="U244" i="10"/>
  <c r="V244" i="10"/>
  <c r="W244" i="10"/>
  <c r="AB244" i="10"/>
  <c r="AC244" i="10"/>
  <c r="AD244" i="10"/>
  <c r="A245" i="10"/>
  <c r="B245" i="10"/>
  <c r="D245" i="10"/>
  <c r="E245" i="10"/>
  <c r="F245" i="10"/>
  <c r="G245" i="10"/>
  <c r="H245" i="10"/>
  <c r="I245" i="10"/>
  <c r="K245" i="10"/>
  <c r="L245" i="10"/>
  <c r="M245" i="10"/>
  <c r="N245" i="10"/>
  <c r="O245" i="10"/>
  <c r="P245" i="10"/>
  <c r="T245" i="10"/>
  <c r="U245" i="10"/>
  <c r="V245" i="10"/>
  <c r="W245" i="10"/>
  <c r="AB245" i="10"/>
  <c r="AC245" i="10"/>
  <c r="AD245" i="10"/>
  <c r="A246" i="10"/>
  <c r="B246" i="10"/>
  <c r="D246" i="10"/>
  <c r="E246" i="10"/>
  <c r="F246" i="10"/>
  <c r="G246" i="10"/>
  <c r="H246" i="10"/>
  <c r="I246" i="10"/>
  <c r="K246" i="10"/>
  <c r="L246" i="10"/>
  <c r="M246" i="10"/>
  <c r="N246" i="10"/>
  <c r="O246" i="10"/>
  <c r="P246" i="10"/>
  <c r="T246" i="10"/>
  <c r="U246" i="10"/>
  <c r="V246" i="10"/>
  <c r="W246" i="10"/>
  <c r="AB246" i="10"/>
  <c r="AC246" i="10"/>
  <c r="AD246" i="10"/>
  <c r="A247" i="10"/>
  <c r="B247" i="10"/>
  <c r="D247" i="10"/>
  <c r="E247" i="10"/>
  <c r="F247" i="10"/>
  <c r="G247" i="10"/>
  <c r="H247" i="10"/>
  <c r="I247" i="10"/>
  <c r="K247" i="10"/>
  <c r="L247" i="10"/>
  <c r="M247" i="10"/>
  <c r="N247" i="10"/>
  <c r="O247" i="10"/>
  <c r="P247" i="10"/>
  <c r="T247" i="10"/>
  <c r="U247" i="10"/>
  <c r="V247" i="10"/>
  <c r="W247" i="10"/>
  <c r="AB247" i="10"/>
  <c r="AC247" i="10"/>
  <c r="AD247" i="10"/>
  <c r="A248" i="10"/>
  <c r="B248" i="10"/>
  <c r="D248" i="10"/>
  <c r="E248" i="10"/>
  <c r="F248" i="10"/>
  <c r="G248" i="10"/>
  <c r="H248" i="10"/>
  <c r="I248" i="10"/>
  <c r="K248" i="10"/>
  <c r="L248" i="10"/>
  <c r="M248" i="10"/>
  <c r="N248" i="10"/>
  <c r="O248" i="10"/>
  <c r="P248" i="10"/>
  <c r="T248" i="10"/>
  <c r="U248" i="10"/>
  <c r="V248" i="10"/>
  <c r="W248" i="10"/>
  <c r="AB248" i="10"/>
  <c r="AC248" i="10"/>
  <c r="AD248" i="10"/>
  <c r="A249" i="10"/>
  <c r="B249" i="10"/>
  <c r="D249" i="10"/>
  <c r="E249" i="10"/>
  <c r="F249" i="10"/>
  <c r="G249" i="10"/>
  <c r="H249" i="10"/>
  <c r="I249" i="10"/>
  <c r="K249" i="10"/>
  <c r="L249" i="10"/>
  <c r="M249" i="10"/>
  <c r="N249" i="10"/>
  <c r="O249" i="10"/>
  <c r="P249" i="10"/>
  <c r="T249" i="10"/>
  <c r="U249" i="10"/>
  <c r="V249" i="10"/>
  <c r="W249" i="10"/>
  <c r="AB249" i="10"/>
  <c r="AC249" i="10"/>
  <c r="AD249" i="10"/>
  <c r="A250" i="10"/>
  <c r="B250" i="10"/>
  <c r="D250" i="10"/>
  <c r="E250" i="10"/>
  <c r="F250" i="10"/>
  <c r="G250" i="10"/>
  <c r="H250" i="10"/>
  <c r="I250" i="10"/>
  <c r="J250" i="10"/>
  <c r="K250" i="10"/>
  <c r="L250" i="10"/>
  <c r="M250" i="10"/>
  <c r="N250" i="10"/>
  <c r="O250" i="10"/>
  <c r="P250" i="10"/>
  <c r="Q250" i="10"/>
  <c r="R250" i="10"/>
  <c r="S250" i="10"/>
  <c r="T250" i="10"/>
  <c r="U250" i="10"/>
  <c r="V250" i="10"/>
  <c r="W250" i="10"/>
  <c r="AB250" i="10"/>
  <c r="AC250" i="10"/>
  <c r="AD250" i="10"/>
  <c r="A251" i="10"/>
  <c r="B251" i="10"/>
  <c r="D251" i="10"/>
  <c r="E251" i="10"/>
  <c r="F251" i="10"/>
  <c r="G251" i="10"/>
  <c r="H251" i="10"/>
  <c r="I251" i="10"/>
  <c r="K251" i="10"/>
  <c r="L251" i="10"/>
  <c r="M251" i="10"/>
  <c r="N251" i="10"/>
  <c r="O251" i="10"/>
  <c r="P251" i="10"/>
  <c r="T251" i="10"/>
  <c r="U251" i="10"/>
  <c r="V251" i="10"/>
  <c r="W251" i="10"/>
  <c r="AB251" i="10"/>
  <c r="AC251" i="10"/>
  <c r="AD251" i="10"/>
  <c r="A252" i="10"/>
  <c r="B252" i="10"/>
  <c r="D252" i="10"/>
  <c r="E252" i="10"/>
  <c r="F252" i="10"/>
  <c r="G252" i="10"/>
  <c r="H252" i="10"/>
  <c r="I252" i="10"/>
  <c r="K252" i="10"/>
  <c r="L252" i="10"/>
  <c r="M252" i="10"/>
  <c r="N252" i="10"/>
  <c r="O252" i="10"/>
  <c r="P252" i="10"/>
  <c r="T252" i="10"/>
  <c r="U252" i="10"/>
  <c r="V252" i="10"/>
  <c r="W252" i="10"/>
  <c r="AB252" i="10"/>
  <c r="AC252" i="10"/>
  <c r="AD252" i="10"/>
  <c r="A253" i="10"/>
  <c r="B253" i="10"/>
  <c r="D253" i="10"/>
  <c r="E253" i="10"/>
  <c r="F253" i="10"/>
  <c r="G253" i="10"/>
  <c r="H253" i="10"/>
  <c r="I253" i="10"/>
  <c r="K253" i="10"/>
  <c r="L253" i="10"/>
  <c r="M253" i="10"/>
  <c r="N253" i="10"/>
  <c r="O253" i="10"/>
  <c r="P253" i="10"/>
  <c r="T253" i="10"/>
  <c r="U253" i="10"/>
  <c r="V253" i="10"/>
  <c r="W253" i="10"/>
  <c r="AB253" i="10"/>
  <c r="AC253" i="10"/>
  <c r="AD253" i="10"/>
  <c r="A254" i="10"/>
  <c r="B254" i="10"/>
  <c r="D254" i="10"/>
  <c r="E254" i="10"/>
  <c r="F254" i="10"/>
  <c r="G254" i="10"/>
  <c r="H254" i="10"/>
  <c r="I254" i="10"/>
  <c r="K254" i="10"/>
  <c r="L254" i="10"/>
  <c r="M254" i="10"/>
  <c r="N254" i="10"/>
  <c r="O254" i="10"/>
  <c r="P254" i="10"/>
  <c r="T254" i="10"/>
  <c r="U254" i="10"/>
  <c r="V254" i="10"/>
  <c r="W254" i="10"/>
  <c r="AB254" i="10"/>
  <c r="AC254" i="10"/>
  <c r="AD254" i="10"/>
  <c r="A255" i="10"/>
  <c r="B255" i="10"/>
  <c r="D255" i="10"/>
  <c r="E255" i="10"/>
  <c r="F255" i="10"/>
  <c r="G255" i="10"/>
  <c r="H255" i="10"/>
  <c r="I255" i="10"/>
  <c r="K255" i="10"/>
  <c r="L255" i="10"/>
  <c r="M255" i="10"/>
  <c r="N255" i="10"/>
  <c r="O255" i="10"/>
  <c r="P255" i="10"/>
  <c r="T255" i="10"/>
  <c r="U255" i="10"/>
  <c r="V255" i="10"/>
  <c r="W255" i="10"/>
  <c r="AB255" i="10"/>
  <c r="AC255" i="10"/>
  <c r="AD255" i="10"/>
  <c r="A256" i="10"/>
  <c r="B256" i="10"/>
  <c r="D256" i="10"/>
  <c r="E256" i="10"/>
  <c r="F256" i="10"/>
  <c r="G256" i="10"/>
  <c r="H256" i="10"/>
  <c r="I256" i="10"/>
  <c r="K256" i="10"/>
  <c r="L256" i="10"/>
  <c r="M256" i="10"/>
  <c r="N256" i="10"/>
  <c r="O256" i="10"/>
  <c r="P256" i="10"/>
  <c r="T256" i="10"/>
  <c r="U256" i="10"/>
  <c r="V256" i="10"/>
  <c r="W256" i="10"/>
  <c r="AB256" i="10"/>
  <c r="AC256" i="10"/>
  <c r="AD256" i="10"/>
  <c r="A257" i="10"/>
  <c r="B257" i="10"/>
  <c r="D257" i="10"/>
  <c r="E257" i="10"/>
  <c r="F257" i="10"/>
  <c r="G257" i="10"/>
  <c r="H257" i="10"/>
  <c r="I257" i="10"/>
  <c r="K257" i="10"/>
  <c r="L257" i="10"/>
  <c r="M257" i="10"/>
  <c r="N257" i="10"/>
  <c r="O257" i="10"/>
  <c r="P257" i="10"/>
  <c r="T257" i="10"/>
  <c r="U257" i="10"/>
  <c r="V257" i="10"/>
  <c r="W257" i="10"/>
  <c r="AB257" i="10"/>
  <c r="AC257" i="10"/>
  <c r="AD257" i="10"/>
  <c r="A258" i="10"/>
  <c r="B258" i="10"/>
  <c r="D258" i="10"/>
  <c r="E258" i="10"/>
  <c r="F258" i="10"/>
  <c r="G258" i="10"/>
  <c r="H258" i="10"/>
  <c r="I258" i="10"/>
  <c r="K258" i="10"/>
  <c r="L258" i="10"/>
  <c r="M258" i="10"/>
  <c r="N258" i="10"/>
  <c r="O258" i="10"/>
  <c r="P258" i="10"/>
  <c r="T258" i="10"/>
  <c r="U258" i="10"/>
  <c r="V258" i="10"/>
  <c r="W258" i="10"/>
  <c r="AB258" i="10"/>
  <c r="AC258" i="10"/>
  <c r="AD258" i="10"/>
  <c r="A259" i="10"/>
  <c r="B259" i="10"/>
  <c r="D259" i="10"/>
  <c r="E259" i="10"/>
  <c r="F259" i="10"/>
  <c r="G259" i="10"/>
  <c r="H259" i="10"/>
  <c r="I259" i="10"/>
  <c r="K259" i="10"/>
  <c r="L259" i="10"/>
  <c r="M259" i="10"/>
  <c r="N259" i="10"/>
  <c r="O259" i="10"/>
  <c r="P259" i="10"/>
  <c r="T259" i="10"/>
  <c r="U259" i="10"/>
  <c r="V259" i="10"/>
  <c r="W259" i="10"/>
  <c r="AB259" i="10"/>
  <c r="AC259" i="10"/>
  <c r="AD259" i="10"/>
  <c r="A260" i="10"/>
  <c r="B260" i="10"/>
  <c r="D260" i="10"/>
  <c r="E260" i="10"/>
  <c r="F260" i="10"/>
  <c r="G260" i="10"/>
  <c r="H260" i="10"/>
  <c r="I260" i="10"/>
  <c r="K260" i="10"/>
  <c r="L260" i="10"/>
  <c r="M260" i="10"/>
  <c r="N260" i="10"/>
  <c r="O260" i="10"/>
  <c r="P260" i="10"/>
  <c r="T260" i="10"/>
  <c r="U260" i="10"/>
  <c r="V260" i="10"/>
  <c r="W260" i="10"/>
  <c r="AB260" i="10"/>
  <c r="AC260" i="10"/>
  <c r="AD260" i="10"/>
  <c r="A261" i="10"/>
  <c r="B261" i="10"/>
  <c r="D261" i="10"/>
  <c r="E261" i="10"/>
  <c r="F261" i="10"/>
  <c r="G261" i="10"/>
  <c r="H261" i="10"/>
  <c r="I261" i="10"/>
  <c r="K261" i="10"/>
  <c r="L261" i="10"/>
  <c r="M261" i="10"/>
  <c r="N261" i="10"/>
  <c r="O261" i="10"/>
  <c r="P261" i="10"/>
  <c r="T261" i="10"/>
  <c r="U261" i="10"/>
  <c r="V261" i="10"/>
  <c r="W261" i="10"/>
  <c r="AB261" i="10"/>
  <c r="AC261" i="10"/>
  <c r="AD261" i="10"/>
  <c r="A262" i="10"/>
  <c r="B262" i="10"/>
  <c r="D262" i="10"/>
  <c r="E262" i="10"/>
  <c r="F262" i="10"/>
  <c r="G262" i="10"/>
  <c r="H262" i="10"/>
  <c r="I262" i="10"/>
  <c r="K262" i="10"/>
  <c r="L262" i="10"/>
  <c r="M262" i="10"/>
  <c r="N262" i="10"/>
  <c r="O262" i="10"/>
  <c r="P262" i="10"/>
  <c r="T262" i="10"/>
  <c r="U262" i="10"/>
  <c r="V262" i="10"/>
  <c r="W262" i="10"/>
  <c r="AB262" i="10"/>
  <c r="AC262" i="10"/>
  <c r="AD262" i="10"/>
  <c r="A263" i="10"/>
  <c r="B263" i="10"/>
  <c r="D263" i="10"/>
  <c r="E263" i="10"/>
  <c r="F263" i="10"/>
  <c r="G263" i="10"/>
  <c r="H263" i="10"/>
  <c r="I263" i="10"/>
  <c r="J263" i="10"/>
  <c r="K263" i="10"/>
  <c r="L263" i="10"/>
  <c r="M263" i="10"/>
  <c r="N263" i="10"/>
  <c r="O263" i="10"/>
  <c r="P263" i="10"/>
  <c r="Q263" i="10"/>
  <c r="R263" i="10"/>
  <c r="S263" i="10"/>
  <c r="T263" i="10"/>
  <c r="U263" i="10"/>
  <c r="V263" i="10"/>
  <c r="W263" i="10"/>
  <c r="AB263" i="10"/>
  <c r="AC263" i="10"/>
  <c r="AD263" i="10"/>
  <c r="A264" i="10"/>
  <c r="B264" i="10"/>
  <c r="D264" i="10"/>
  <c r="E264" i="10"/>
  <c r="F264" i="10"/>
  <c r="G264" i="10"/>
  <c r="H264" i="10"/>
  <c r="I264" i="10"/>
  <c r="K264" i="10"/>
  <c r="L264" i="10"/>
  <c r="M264" i="10"/>
  <c r="N264" i="10"/>
  <c r="O264" i="10"/>
  <c r="P264" i="10"/>
  <c r="T264" i="10"/>
  <c r="U264" i="10"/>
  <c r="V264" i="10"/>
  <c r="W264" i="10"/>
  <c r="AB264" i="10"/>
  <c r="AC264" i="10"/>
  <c r="AD264" i="10"/>
  <c r="A265" i="10"/>
  <c r="B265" i="10"/>
  <c r="D265" i="10"/>
  <c r="E265" i="10"/>
  <c r="F265" i="10"/>
  <c r="G265" i="10"/>
  <c r="H265" i="10"/>
  <c r="I265" i="10"/>
  <c r="K265" i="10"/>
  <c r="L265" i="10"/>
  <c r="M265" i="10"/>
  <c r="N265" i="10"/>
  <c r="O265" i="10"/>
  <c r="P265" i="10"/>
  <c r="T265" i="10"/>
  <c r="U265" i="10"/>
  <c r="V265" i="10"/>
  <c r="W265" i="10"/>
  <c r="AB265" i="10"/>
  <c r="AC265" i="10"/>
  <c r="AD265" i="10"/>
  <c r="A266" i="10"/>
  <c r="B266" i="10"/>
  <c r="D266" i="10"/>
  <c r="E266" i="10"/>
  <c r="F266" i="10"/>
  <c r="G266" i="10"/>
  <c r="H266" i="10"/>
  <c r="I266" i="10"/>
  <c r="K266" i="10"/>
  <c r="L266" i="10"/>
  <c r="M266" i="10"/>
  <c r="N266" i="10"/>
  <c r="O266" i="10"/>
  <c r="P266" i="10"/>
  <c r="T266" i="10"/>
  <c r="U266" i="10"/>
  <c r="V266" i="10"/>
  <c r="W266" i="10"/>
  <c r="AB266" i="10"/>
  <c r="AC266" i="10"/>
  <c r="AD266" i="10"/>
  <c r="A267" i="10"/>
  <c r="B267" i="10"/>
  <c r="D267" i="10"/>
  <c r="E267" i="10"/>
  <c r="F267" i="10"/>
  <c r="G267" i="10"/>
  <c r="H267" i="10"/>
  <c r="I267" i="10"/>
  <c r="K267" i="10"/>
  <c r="L267" i="10"/>
  <c r="M267" i="10"/>
  <c r="N267" i="10"/>
  <c r="O267" i="10"/>
  <c r="P267" i="10"/>
  <c r="T267" i="10"/>
  <c r="U267" i="10"/>
  <c r="V267" i="10"/>
  <c r="W267" i="10"/>
  <c r="AB267" i="10"/>
  <c r="AC267" i="10"/>
  <c r="AD267" i="10"/>
  <c r="A268" i="10"/>
  <c r="B268" i="10"/>
  <c r="D268" i="10"/>
  <c r="E268" i="10"/>
  <c r="F268" i="10"/>
  <c r="G268" i="10"/>
  <c r="H268" i="10"/>
  <c r="I268" i="10"/>
  <c r="K268" i="10"/>
  <c r="L268" i="10"/>
  <c r="M268" i="10"/>
  <c r="N268" i="10"/>
  <c r="O268" i="10"/>
  <c r="P268" i="10"/>
  <c r="T268" i="10"/>
  <c r="U268" i="10"/>
  <c r="V268" i="10"/>
  <c r="W268" i="10"/>
  <c r="AB268" i="10"/>
  <c r="AC268" i="10"/>
  <c r="AD268" i="10"/>
  <c r="A269" i="10"/>
  <c r="B269" i="10"/>
  <c r="D269" i="10"/>
  <c r="E269" i="10"/>
  <c r="F269" i="10"/>
  <c r="G269" i="10"/>
  <c r="H269" i="10"/>
  <c r="I269" i="10"/>
  <c r="K269" i="10"/>
  <c r="L269" i="10"/>
  <c r="M269" i="10"/>
  <c r="N269" i="10"/>
  <c r="O269" i="10"/>
  <c r="P269" i="10"/>
  <c r="T269" i="10"/>
  <c r="U269" i="10"/>
  <c r="V269" i="10"/>
  <c r="W269" i="10"/>
  <c r="AB269" i="10"/>
  <c r="AC269" i="10"/>
  <c r="AD269" i="10"/>
  <c r="A270" i="10"/>
  <c r="B270" i="10"/>
  <c r="D270" i="10"/>
  <c r="E270" i="10"/>
  <c r="F270" i="10"/>
  <c r="G270" i="10"/>
  <c r="H270" i="10"/>
  <c r="I270" i="10"/>
  <c r="K270" i="10"/>
  <c r="L270" i="10"/>
  <c r="M270" i="10"/>
  <c r="N270" i="10"/>
  <c r="O270" i="10"/>
  <c r="P270" i="10"/>
  <c r="T270" i="10"/>
  <c r="U270" i="10"/>
  <c r="V270" i="10"/>
  <c r="W270" i="10"/>
  <c r="AB270" i="10"/>
  <c r="AC270" i="10"/>
  <c r="AD270" i="10"/>
  <c r="A271" i="10"/>
  <c r="B271" i="10"/>
  <c r="D271" i="10"/>
  <c r="E271" i="10"/>
  <c r="F271" i="10"/>
  <c r="G271" i="10"/>
  <c r="H271" i="10"/>
  <c r="I271" i="10"/>
  <c r="K271" i="10"/>
  <c r="L271" i="10"/>
  <c r="M271" i="10"/>
  <c r="N271" i="10"/>
  <c r="O271" i="10"/>
  <c r="P271" i="10"/>
  <c r="T271" i="10"/>
  <c r="U271" i="10"/>
  <c r="V271" i="10"/>
  <c r="W271" i="10"/>
  <c r="AB271" i="10"/>
  <c r="AC271" i="10"/>
  <c r="AD271" i="10"/>
  <c r="A272" i="10"/>
  <c r="B272" i="10"/>
  <c r="D272" i="10"/>
  <c r="E272" i="10"/>
  <c r="F272" i="10"/>
  <c r="G272" i="10"/>
  <c r="H272" i="10"/>
  <c r="I272" i="10"/>
  <c r="K272" i="10"/>
  <c r="L272" i="10"/>
  <c r="M272" i="10"/>
  <c r="N272" i="10"/>
  <c r="O272" i="10"/>
  <c r="P272" i="10"/>
  <c r="T272" i="10"/>
  <c r="U272" i="10"/>
  <c r="V272" i="10"/>
  <c r="W272" i="10"/>
  <c r="AB272" i="10"/>
  <c r="AC272" i="10"/>
  <c r="AD272" i="10"/>
  <c r="A273" i="10"/>
  <c r="B273" i="10"/>
  <c r="D273" i="10"/>
  <c r="E273" i="10"/>
  <c r="F273" i="10"/>
  <c r="G273" i="10"/>
  <c r="H273" i="10"/>
  <c r="I273" i="10"/>
  <c r="K273" i="10"/>
  <c r="L273" i="10"/>
  <c r="M273" i="10"/>
  <c r="N273" i="10"/>
  <c r="O273" i="10"/>
  <c r="P273" i="10"/>
  <c r="T273" i="10"/>
  <c r="U273" i="10"/>
  <c r="V273" i="10"/>
  <c r="W273" i="10"/>
  <c r="AB273" i="10"/>
  <c r="AC273" i="10"/>
  <c r="AD273" i="10"/>
  <c r="A274" i="10"/>
  <c r="B274" i="10"/>
  <c r="D274" i="10"/>
  <c r="E274" i="10"/>
  <c r="F274" i="10"/>
  <c r="G274" i="10"/>
  <c r="H274" i="10"/>
  <c r="I274" i="10"/>
  <c r="K274" i="10"/>
  <c r="L274" i="10"/>
  <c r="M274" i="10"/>
  <c r="N274" i="10"/>
  <c r="O274" i="10"/>
  <c r="P274" i="10"/>
  <c r="T274" i="10"/>
  <c r="U274" i="10"/>
  <c r="V274" i="10"/>
  <c r="W274" i="10"/>
  <c r="AB274" i="10"/>
  <c r="AC274" i="10"/>
  <c r="AD274" i="10"/>
  <c r="A275" i="10"/>
  <c r="B275" i="10"/>
  <c r="D275" i="10"/>
  <c r="E275" i="10"/>
  <c r="F275" i="10"/>
  <c r="G275" i="10"/>
  <c r="H275" i="10"/>
  <c r="I275" i="10"/>
  <c r="K275" i="10"/>
  <c r="L275" i="10"/>
  <c r="M275" i="10"/>
  <c r="N275" i="10"/>
  <c r="O275" i="10"/>
  <c r="P275" i="10"/>
  <c r="T275" i="10"/>
  <c r="U275" i="10"/>
  <c r="V275" i="10"/>
  <c r="W275" i="10"/>
  <c r="AB275" i="10"/>
  <c r="AC275" i="10"/>
  <c r="AD275" i="10"/>
  <c r="A276" i="10"/>
  <c r="B276" i="10"/>
  <c r="D276" i="10"/>
  <c r="E276" i="10"/>
  <c r="F276" i="10"/>
  <c r="G276" i="10"/>
  <c r="H276" i="10"/>
  <c r="I276" i="10"/>
  <c r="K276" i="10"/>
  <c r="L276" i="10"/>
  <c r="M276" i="10"/>
  <c r="N276" i="10"/>
  <c r="O276" i="10"/>
  <c r="P276" i="10"/>
  <c r="T276" i="10"/>
  <c r="U276" i="10"/>
  <c r="V276" i="10"/>
  <c r="W276" i="10"/>
  <c r="AB276" i="10"/>
  <c r="AC276" i="10"/>
  <c r="AD276" i="10"/>
  <c r="A277" i="10"/>
  <c r="B277" i="10"/>
  <c r="D277" i="10"/>
  <c r="E277" i="10"/>
  <c r="F277" i="10"/>
  <c r="G277" i="10"/>
  <c r="H277" i="10"/>
  <c r="I277" i="10"/>
  <c r="K277" i="10"/>
  <c r="L277" i="10"/>
  <c r="M277" i="10"/>
  <c r="N277" i="10"/>
  <c r="O277" i="10"/>
  <c r="P277" i="10"/>
  <c r="T277" i="10"/>
  <c r="U277" i="10"/>
  <c r="V277" i="10"/>
  <c r="W277" i="10"/>
  <c r="AB277" i="10"/>
  <c r="AC277" i="10"/>
  <c r="AD277" i="10"/>
  <c r="A278" i="10"/>
  <c r="B278" i="10"/>
  <c r="D278" i="10"/>
  <c r="E278" i="10"/>
  <c r="F278" i="10"/>
  <c r="G278" i="10"/>
  <c r="H278" i="10"/>
  <c r="I278" i="10"/>
  <c r="K278" i="10"/>
  <c r="L278" i="10"/>
  <c r="M278" i="10"/>
  <c r="N278" i="10"/>
  <c r="O278" i="10"/>
  <c r="P278" i="10"/>
  <c r="T278" i="10"/>
  <c r="U278" i="10"/>
  <c r="V278" i="10"/>
  <c r="W278" i="10"/>
  <c r="AB278" i="10"/>
  <c r="AC278" i="10"/>
  <c r="AD278" i="10"/>
  <c r="A279" i="10"/>
  <c r="B279" i="10"/>
  <c r="D279" i="10"/>
  <c r="E279" i="10"/>
  <c r="F279" i="10"/>
  <c r="G279" i="10"/>
  <c r="H279" i="10"/>
  <c r="I279" i="10"/>
  <c r="J279" i="10"/>
  <c r="K279" i="10"/>
  <c r="L279" i="10"/>
  <c r="M279" i="10"/>
  <c r="N279" i="10"/>
  <c r="O279" i="10"/>
  <c r="P279" i="10"/>
  <c r="Q279" i="10"/>
  <c r="R279" i="10"/>
  <c r="S279" i="10"/>
  <c r="T279" i="10"/>
  <c r="U279" i="10"/>
  <c r="V279" i="10"/>
  <c r="W279" i="10"/>
  <c r="AB279" i="10"/>
  <c r="AC279" i="10"/>
  <c r="AD279" i="10"/>
  <c r="A280" i="10"/>
  <c r="B280" i="10"/>
  <c r="D280" i="10"/>
  <c r="E280" i="10"/>
  <c r="F280" i="10"/>
  <c r="G280" i="10"/>
  <c r="H280" i="10"/>
  <c r="I280" i="10"/>
  <c r="K280" i="10"/>
  <c r="L280" i="10"/>
  <c r="M280" i="10"/>
  <c r="N280" i="10"/>
  <c r="O280" i="10"/>
  <c r="P280" i="10"/>
  <c r="T280" i="10"/>
  <c r="U280" i="10"/>
  <c r="V280" i="10"/>
  <c r="W280" i="10"/>
  <c r="AB280" i="10"/>
  <c r="AC280" i="10"/>
  <c r="AD280" i="10"/>
  <c r="A281" i="10"/>
  <c r="B281" i="10"/>
  <c r="D281" i="10"/>
  <c r="E281" i="10"/>
  <c r="F281" i="10"/>
  <c r="G281" i="10"/>
  <c r="H281" i="10"/>
  <c r="I281" i="10"/>
  <c r="K281" i="10"/>
  <c r="L281" i="10"/>
  <c r="M281" i="10"/>
  <c r="N281" i="10"/>
  <c r="O281" i="10"/>
  <c r="P281" i="10"/>
  <c r="T281" i="10"/>
  <c r="U281" i="10"/>
  <c r="V281" i="10"/>
  <c r="W281" i="10"/>
  <c r="AB281" i="10"/>
  <c r="AC281" i="10"/>
  <c r="AD281" i="10"/>
  <c r="A282" i="10"/>
  <c r="B282" i="10"/>
  <c r="D282" i="10"/>
  <c r="E282" i="10"/>
  <c r="F282" i="10"/>
  <c r="G282" i="10"/>
  <c r="H282" i="10"/>
  <c r="I282" i="10"/>
  <c r="K282" i="10"/>
  <c r="L282" i="10"/>
  <c r="M282" i="10"/>
  <c r="N282" i="10"/>
  <c r="O282" i="10"/>
  <c r="P282" i="10"/>
  <c r="T282" i="10"/>
  <c r="U282" i="10"/>
  <c r="V282" i="10"/>
  <c r="W282" i="10"/>
  <c r="AB282" i="10"/>
  <c r="AC282" i="10"/>
  <c r="AD282" i="10"/>
  <c r="A283" i="10"/>
  <c r="B283" i="10"/>
  <c r="D283" i="10"/>
  <c r="E283" i="10"/>
  <c r="F283" i="10"/>
  <c r="G283" i="10"/>
  <c r="H283" i="10"/>
  <c r="I283" i="10"/>
  <c r="K283" i="10"/>
  <c r="L283" i="10"/>
  <c r="M283" i="10"/>
  <c r="N283" i="10"/>
  <c r="O283" i="10"/>
  <c r="P283" i="10"/>
  <c r="T283" i="10"/>
  <c r="U283" i="10"/>
  <c r="V283" i="10"/>
  <c r="W283" i="10"/>
  <c r="AB283" i="10"/>
  <c r="AC283" i="10"/>
  <c r="AD283" i="10"/>
  <c r="A284" i="10"/>
  <c r="B284" i="10"/>
  <c r="D284" i="10"/>
  <c r="E284" i="10"/>
  <c r="F284" i="10"/>
  <c r="G284" i="10"/>
  <c r="H284" i="10"/>
  <c r="I284" i="10"/>
  <c r="K284" i="10"/>
  <c r="L284" i="10"/>
  <c r="M284" i="10"/>
  <c r="N284" i="10"/>
  <c r="O284" i="10"/>
  <c r="P284" i="10"/>
  <c r="T284" i="10"/>
  <c r="U284" i="10"/>
  <c r="V284" i="10"/>
  <c r="W284" i="10"/>
  <c r="AB284" i="10"/>
  <c r="AC284" i="10"/>
  <c r="AD284" i="10"/>
  <c r="A285" i="10"/>
  <c r="B285" i="10"/>
  <c r="D285" i="10"/>
  <c r="E285" i="10"/>
  <c r="F285" i="10"/>
  <c r="G285" i="10"/>
  <c r="H285" i="10"/>
  <c r="I285" i="10"/>
  <c r="K285" i="10"/>
  <c r="L285" i="10"/>
  <c r="M285" i="10"/>
  <c r="N285" i="10"/>
  <c r="O285" i="10"/>
  <c r="P285" i="10"/>
  <c r="T285" i="10"/>
  <c r="U285" i="10"/>
  <c r="V285" i="10"/>
  <c r="W285" i="10"/>
  <c r="AB285" i="10"/>
  <c r="AC285" i="10"/>
  <c r="AD285" i="10"/>
  <c r="A286" i="10"/>
  <c r="B286" i="10"/>
  <c r="D286" i="10"/>
  <c r="E286" i="10"/>
  <c r="F286" i="10"/>
  <c r="G286" i="10"/>
  <c r="H286" i="10"/>
  <c r="I286" i="10"/>
  <c r="K286" i="10"/>
  <c r="L286" i="10"/>
  <c r="M286" i="10"/>
  <c r="N286" i="10"/>
  <c r="O286" i="10"/>
  <c r="P286" i="10"/>
  <c r="T286" i="10"/>
  <c r="U286" i="10"/>
  <c r="V286" i="10"/>
  <c r="W286" i="10"/>
  <c r="AB286" i="10"/>
  <c r="AC286" i="10"/>
  <c r="AD286" i="10"/>
  <c r="A287" i="10"/>
  <c r="B287" i="10"/>
  <c r="D287" i="10"/>
  <c r="E287" i="10"/>
  <c r="F287" i="10"/>
  <c r="G287" i="10"/>
  <c r="H287" i="10"/>
  <c r="I287" i="10"/>
  <c r="K287" i="10"/>
  <c r="L287" i="10"/>
  <c r="M287" i="10"/>
  <c r="N287" i="10"/>
  <c r="O287" i="10"/>
  <c r="P287" i="10"/>
  <c r="T287" i="10"/>
  <c r="U287" i="10"/>
  <c r="V287" i="10"/>
  <c r="W287" i="10"/>
  <c r="AB287" i="10"/>
  <c r="AC287" i="10"/>
  <c r="AD287" i="10"/>
  <c r="A288" i="10"/>
  <c r="B288" i="10"/>
  <c r="D288" i="10"/>
  <c r="E288" i="10"/>
  <c r="F288" i="10"/>
  <c r="G288" i="10"/>
  <c r="H288" i="10"/>
  <c r="I288" i="10"/>
  <c r="K288" i="10"/>
  <c r="L288" i="10"/>
  <c r="M288" i="10"/>
  <c r="N288" i="10"/>
  <c r="O288" i="10"/>
  <c r="P288" i="10"/>
  <c r="T288" i="10"/>
  <c r="U288" i="10"/>
  <c r="V288" i="10"/>
  <c r="W288" i="10"/>
  <c r="AB288" i="10"/>
  <c r="AC288" i="10"/>
  <c r="AD288" i="10"/>
  <c r="A289" i="10"/>
  <c r="B289" i="10"/>
  <c r="D289" i="10"/>
  <c r="E289" i="10"/>
  <c r="F289" i="10"/>
  <c r="G289" i="10"/>
  <c r="H289" i="10"/>
  <c r="I289" i="10"/>
  <c r="K289" i="10"/>
  <c r="L289" i="10"/>
  <c r="M289" i="10"/>
  <c r="N289" i="10"/>
  <c r="O289" i="10"/>
  <c r="P289" i="10"/>
  <c r="T289" i="10"/>
  <c r="U289" i="10"/>
  <c r="V289" i="10"/>
  <c r="W289" i="10"/>
  <c r="AB289" i="10"/>
  <c r="AC289" i="10"/>
  <c r="AD289" i="10"/>
  <c r="A290" i="10"/>
  <c r="B290" i="10"/>
  <c r="D290" i="10"/>
  <c r="E290" i="10"/>
  <c r="F290" i="10"/>
  <c r="G290" i="10"/>
  <c r="H290" i="10"/>
  <c r="I290" i="10"/>
  <c r="K290" i="10"/>
  <c r="L290" i="10"/>
  <c r="M290" i="10"/>
  <c r="N290" i="10"/>
  <c r="O290" i="10"/>
  <c r="P290" i="10"/>
  <c r="T290" i="10"/>
  <c r="U290" i="10"/>
  <c r="V290" i="10"/>
  <c r="W290" i="10"/>
  <c r="AB290" i="10"/>
  <c r="AC290" i="10"/>
  <c r="AD290" i="10"/>
  <c r="A291" i="10"/>
  <c r="B291" i="10"/>
  <c r="D291" i="10"/>
  <c r="E291" i="10"/>
  <c r="F291" i="10"/>
  <c r="G291" i="10"/>
  <c r="H291" i="10"/>
  <c r="I291" i="10"/>
  <c r="K291" i="10"/>
  <c r="L291" i="10"/>
  <c r="M291" i="10"/>
  <c r="N291" i="10"/>
  <c r="O291" i="10"/>
  <c r="P291" i="10"/>
  <c r="T291" i="10"/>
  <c r="U291" i="10"/>
  <c r="V291" i="10"/>
  <c r="W291" i="10"/>
  <c r="AB291" i="10"/>
  <c r="AC291" i="10"/>
  <c r="AD291" i="10"/>
  <c r="A292" i="10"/>
  <c r="B292" i="10"/>
  <c r="D292" i="10"/>
  <c r="E292" i="10"/>
  <c r="F292" i="10"/>
  <c r="G292" i="10"/>
  <c r="H292" i="10"/>
  <c r="I292" i="10"/>
  <c r="J292" i="10"/>
  <c r="K292" i="10"/>
  <c r="L292" i="10"/>
  <c r="M292" i="10"/>
  <c r="N292" i="10"/>
  <c r="O292" i="10"/>
  <c r="P292" i="10"/>
  <c r="Q292" i="10"/>
  <c r="R292" i="10"/>
  <c r="S292" i="10"/>
  <c r="T292" i="10"/>
  <c r="U292" i="10"/>
  <c r="V292" i="10"/>
  <c r="W292" i="10"/>
  <c r="AB292" i="10"/>
  <c r="AC292" i="10"/>
  <c r="AD292" i="10"/>
  <c r="A293" i="10"/>
  <c r="B293" i="10"/>
  <c r="D293" i="10"/>
  <c r="E293" i="10"/>
  <c r="F293" i="10"/>
  <c r="G293" i="10"/>
  <c r="H293" i="10"/>
  <c r="I293" i="10"/>
  <c r="K293" i="10"/>
  <c r="L293" i="10"/>
  <c r="M293" i="10"/>
  <c r="N293" i="10"/>
  <c r="O293" i="10"/>
  <c r="P293" i="10"/>
  <c r="T293" i="10"/>
  <c r="U293" i="10"/>
  <c r="V293" i="10"/>
  <c r="W293" i="10"/>
  <c r="AB293" i="10"/>
  <c r="AC293" i="10"/>
  <c r="AD293" i="10"/>
  <c r="A294" i="10"/>
  <c r="B294" i="10"/>
  <c r="D294" i="10"/>
  <c r="E294" i="10"/>
  <c r="F294" i="10"/>
  <c r="G294" i="10"/>
  <c r="H294" i="10"/>
  <c r="I294" i="10"/>
  <c r="K294" i="10"/>
  <c r="L294" i="10"/>
  <c r="M294" i="10"/>
  <c r="N294" i="10"/>
  <c r="O294" i="10"/>
  <c r="P294" i="10"/>
  <c r="T294" i="10"/>
  <c r="U294" i="10"/>
  <c r="V294" i="10"/>
  <c r="W294" i="10"/>
  <c r="AB294" i="10"/>
  <c r="AC294" i="10"/>
  <c r="AD294" i="10"/>
  <c r="A295" i="10"/>
  <c r="B295" i="10"/>
  <c r="D295" i="10"/>
  <c r="E295" i="10"/>
  <c r="F295" i="10"/>
  <c r="G295" i="10"/>
  <c r="H295" i="10"/>
  <c r="I295" i="10"/>
  <c r="K295" i="10"/>
  <c r="L295" i="10"/>
  <c r="M295" i="10"/>
  <c r="N295" i="10"/>
  <c r="O295" i="10"/>
  <c r="P295" i="10"/>
  <c r="T295" i="10"/>
  <c r="U295" i="10"/>
  <c r="V295" i="10"/>
  <c r="W295" i="10"/>
  <c r="AB295" i="10"/>
  <c r="AC295" i="10"/>
  <c r="AD295" i="10"/>
  <c r="A296" i="10"/>
  <c r="B296" i="10"/>
  <c r="D296" i="10"/>
  <c r="E296" i="10"/>
  <c r="F296" i="10"/>
  <c r="G296" i="10"/>
  <c r="H296" i="10"/>
  <c r="I296" i="10"/>
  <c r="K296" i="10"/>
  <c r="L296" i="10"/>
  <c r="M296" i="10"/>
  <c r="N296" i="10"/>
  <c r="O296" i="10"/>
  <c r="P296" i="10"/>
  <c r="T296" i="10"/>
  <c r="U296" i="10"/>
  <c r="V296" i="10"/>
  <c r="W296" i="10"/>
  <c r="AB296" i="10"/>
  <c r="AC296" i="10"/>
  <c r="AD296" i="10"/>
  <c r="A297" i="10"/>
  <c r="B297" i="10"/>
  <c r="D297" i="10"/>
  <c r="E297" i="10"/>
  <c r="F297" i="10"/>
  <c r="G297" i="10"/>
  <c r="H297" i="10"/>
  <c r="I297" i="10"/>
  <c r="K297" i="10"/>
  <c r="L297" i="10"/>
  <c r="M297" i="10"/>
  <c r="N297" i="10"/>
  <c r="O297" i="10"/>
  <c r="P297" i="10"/>
  <c r="T297" i="10"/>
  <c r="U297" i="10"/>
  <c r="V297" i="10"/>
  <c r="W297" i="10"/>
  <c r="AB297" i="10"/>
  <c r="AC297" i="10"/>
  <c r="AD297" i="10"/>
  <c r="A298" i="10"/>
  <c r="B298" i="10"/>
  <c r="D298" i="10"/>
  <c r="E298" i="10"/>
  <c r="F298" i="10"/>
  <c r="G298" i="10"/>
  <c r="H298" i="10"/>
  <c r="I298" i="10"/>
  <c r="K298" i="10"/>
  <c r="L298" i="10"/>
  <c r="M298" i="10"/>
  <c r="N298" i="10"/>
  <c r="O298" i="10"/>
  <c r="P298" i="10"/>
  <c r="T298" i="10"/>
  <c r="U298" i="10"/>
  <c r="V298" i="10"/>
  <c r="W298" i="10"/>
  <c r="AB298" i="10"/>
  <c r="AC298" i="10"/>
  <c r="AD298" i="10"/>
  <c r="A299" i="10"/>
  <c r="B299" i="10"/>
  <c r="D299" i="10"/>
  <c r="E299" i="10"/>
  <c r="F299" i="10"/>
  <c r="G299" i="10"/>
  <c r="H299" i="10"/>
  <c r="I299" i="10"/>
  <c r="K299" i="10"/>
  <c r="L299" i="10"/>
  <c r="M299" i="10"/>
  <c r="N299" i="10"/>
  <c r="O299" i="10"/>
  <c r="P299" i="10"/>
  <c r="T299" i="10"/>
  <c r="U299" i="10"/>
  <c r="V299" i="10"/>
  <c r="W299" i="10"/>
  <c r="AB299" i="10"/>
  <c r="AC299" i="10"/>
  <c r="AD299" i="10"/>
  <c r="A300" i="10"/>
  <c r="B300" i="10"/>
  <c r="D300" i="10"/>
  <c r="E300" i="10"/>
  <c r="F300" i="10"/>
  <c r="G300" i="10"/>
  <c r="H300" i="10"/>
  <c r="I300" i="10"/>
  <c r="K300" i="10"/>
  <c r="L300" i="10"/>
  <c r="M300" i="10"/>
  <c r="N300" i="10"/>
  <c r="O300" i="10"/>
  <c r="P300" i="10"/>
  <c r="T300" i="10"/>
  <c r="U300" i="10"/>
  <c r="V300" i="10"/>
  <c r="W300" i="10"/>
  <c r="AB300" i="10"/>
  <c r="AC300" i="10"/>
  <c r="AD300" i="10"/>
  <c r="A301" i="10"/>
  <c r="B301" i="10"/>
  <c r="D301" i="10"/>
  <c r="E301" i="10"/>
  <c r="F301" i="10"/>
  <c r="G301" i="10"/>
  <c r="H301" i="10"/>
  <c r="I301" i="10"/>
  <c r="K301" i="10"/>
  <c r="L301" i="10"/>
  <c r="M301" i="10"/>
  <c r="N301" i="10"/>
  <c r="O301" i="10"/>
  <c r="P301" i="10"/>
  <c r="T301" i="10"/>
  <c r="U301" i="10"/>
  <c r="V301" i="10"/>
  <c r="W301" i="10"/>
  <c r="AB301" i="10"/>
  <c r="AC301" i="10"/>
  <c r="AD301" i="10"/>
  <c r="A302" i="10"/>
  <c r="B302" i="10"/>
  <c r="D302" i="10"/>
  <c r="E302" i="10"/>
  <c r="F302" i="10"/>
  <c r="G302" i="10"/>
  <c r="H302" i="10"/>
  <c r="I302" i="10"/>
  <c r="K302" i="10"/>
  <c r="L302" i="10"/>
  <c r="M302" i="10"/>
  <c r="N302" i="10"/>
  <c r="O302" i="10"/>
  <c r="P302" i="10"/>
  <c r="T302" i="10"/>
  <c r="U302" i="10"/>
  <c r="V302" i="10"/>
  <c r="W302" i="10"/>
  <c r="AB302" i="10"/>
  <c r="AC302" i="10"/>
  <c r="AD302" i="10"/>
  <c r="A303" i="10"/>
  <c r="B303" i="10"/>
  <c r="D303" i="10"/>
  <c r="E303" i="10"/>
  <c r="F303" i="10"/>
  <c r="G303" i="10"/>
  <c r="H303" i="10"/>
  <c r="I303" i="10"/>
  <c r="K303" i="10"/>
  <c r="L303" i="10"/>
  <c r="M303" i="10"/>
  <c r="N303" i="10"/>
  <c r="O303" i="10"/>
  <c r="P303" i="10"/>
  <c r="T303" i="10"/>
  <c r="U303" i="10"/>
  <c r="V303" i="10"/>
  <c r="W303" i="10"/>
  <c r="AB303" i="10"/>
  <c r="AC303" i="10"/>
  <c r="AD303" i="10"/>
  <c r="A304" i="10"/>
  <c r="B304" i="10"/>
  <c r="D304" i="10"/>
  <c r="E304" i="10"/>
  <c r="F304" i="10"/>
  <c r="G304" i="10"/>
  <c r="H304" i="10"/>
  <c r="I304" i="10"/>
  <c r="K304" i="10"/>
  <c r="L304" i="10"/>
  <c r="M304" i="10"/>
  <c r="N304" i="10"/>
  <c r="O304" i="10"/>
  <c r="P304" i="10"/>
  <c r="T304" i="10"/>
  <c r="U304" i="10"/>
  <c r="V304" i="10"/>
  <c r="W304" i="10"/>
  <c r="AB304" i="10"/>
  <c r="AC304" i="10"/>
  <c r="AD304" i="10"/>
  <c r="A305" i="10"/>
  <c r="B305" i="10"/>
  <c r="D305" i="10"/>
  <c r="E305" i="10"/>
  <c r="F305" i="10"/>
  <c r="G305" i="10"/>
  <c r="H305" i="10"/>
  <c r="I305" i="10"/>
  <c r="K305" i="10"/>
  <c r="L305" i="10"/>
  <c r="M305" i="10"/>
  <c r="N305" i="10"/>
  <c r="O305" i="10"/>
  <c r="P305" i="10"/>
  <c r="T305" i="10"/>
  <c r="U305" i="10"/>
  <c r="V305" i="10"/>
  <c r="W305" i="10"/>
  <c r="AB305" i="10"/>
  <c r="AC305" i="10"/>
  <c r="AD305" i="10"/>
  <c r="A306" i="10"/>
  <c r="B306" i="10"/>
  <c r="D306" i="10"/>
  <c r="E306" i="10"/>
  <c r="F306" i="10"/>
  <c r="G306" i="10"/>
  <c r="H306" i="10"/>
  <c r="I306" i="10"/>
  <c r="K306" i="10"/>
  <c r="L306" i="10"/>
  <c r="M306" i="10"/>
  <c r="N306" i="10"/>
  <c r="O306" i="10"/>
  <c r="P306" i="10"/>
  <c r="T306" i="10"/>
  <c r="U306" i="10"/>
  <c r="V306" i="10"/>
  <c r="W306" i="10"/>
  <c r="AB306" i="10"/>
  <c r="AC306" i="10"/>
  <c r="AD306" i="10"/>
  <c r="A307" i="10"/>
  <c r="B307" i="10"/>
  <c r="D307" i="10"/>
  <c r="E307" i="10"/>
  <c r="F307" i="10"/>
  <c r="G307" i="10"/>
  <c r="H307" i="10"/>
  <c r="I307" i="10"/>
  <c r="K307" i="10"/>
  <c r="L307" i="10"/>
  <c r="M307" i="10"/>
  <c r="N307" i="10"/>
  <c r="O307" i="10"/>
  <c r="P307" i="10"/>
  <c r="T307" i="10"/>
  <c r="U307" i="10"/>
  <c r="V307" i="10"/>
  <c r="W307" i="10"/>
  <c r="AB307" i="10"/>
  <c r="AC307" i="10"/>
  <c r="AD307" i="10"/>
  <c r="A308" i="10"/>
  <c r="B308" i="10"/>
  <c r="D308" i="10"/>
  <c r="E308" i="10"/>
  <c r="F308" i="10"/>
  <c r="G308" i="10"/>
  <c r="H308" i="10"/>
  <c r="I308" i="10"/>
  <c r="J308" i="10"/>
  <c r="K308" i="10"/>
  <c r="L308" i="10"/>
  <c r="M308" i="10"/>
  <c r="N308" i="10"/>
  <c r="O308" i="10"/>
  <c r="P308" i="10"/>
  <c r="Q308" i="10"/>
  <c r="R308" i="10"/>
  <c r="S308" i="10"/>
  <c r="T308" i="10"/>
  <c r="U308" i="10"/>
  <c r="V308" i="10"/>
  <c r="W308" i="10"/>
  <c r="AB308" i="10"/>
  <c r="AC308" i="10"/>
  <c r="AD308" i="10"/>
  <c r="A309" i="10"/>
  <c r="B309" i="10"/>
  <c r="D309" i="10"/>
  <c r="E309" i="10"/>
  <c r="F309" i="10"/>
  <c r="G309" i="10"/>
  <c r="H309" i="10"/>
  <c r="I309" i="10"/>
  <c r="K309" i="10"/>
  <c r="L309" i="10"/>
  <c r="M309" i="10"/>
  <c r="N309" i="10"/>
  <c r="O309" i="10"/>
  <c r="P309" i="10"/>
  <c r="T309" i="10"/>
  <c r="U309" i="10"/>
  <c r="V309" i="10"/>
  <c r="W309" i="10"/>
  <c r="AB309" i="10"/>
  <c r="AC309" i="10"/>
  <c r="AD309" i="10"/>
  <c r="A310" i="10"/>
  <c r="B310" i="10"/>
  <c r="D310" i="10"/>
  <c r="E310" i="10"/>
  <c r="F310" i="10"/>
  <c r="G310" i="10"/>
  <c r="H310" i="10"/>
  <c r="I310" i="10"/>
  <c r="K310" i="10"/>
  <c r="L310" i="10"/>
  <c r="M310" i="10"/>
  <c r="N310" i="10"/>
  <c r="O310" i="10"/>
  <c r="P310" i="10"/>
  <c r="T310" i="10"/>
  <c r="U310" i="10"/>
  <c r="V310" i="10"/>
  <c r="W310" i="10"/>
  <c r="AB310" i="10"/>
  <c r="AC310" i="10"/>
  <c r="AD310" i="10"/>
  <c r="A311" i="10"/>
  <c r="B311" i="10"/>
  <c r="D311" i="10"/>
  <c r="E311" i="10"/>
  <c r="F311" i="10"/>
  <c r="G311" i="10"/>
  <c r="H311" i="10"/>
  <c r="I311" i="10"/>
  <c r="K311" i="10"/>
  <c r="L311" i="10"/>
  <c r="M311" i="10"/>
  <c r="N311" i="10"/>
  <c r="O311" i="10"/>
  <c r="P311" i="10"/>
  <c r="T311" i="10"/>
  <c r="U311" i="10"/>
  <c r="V311" i="10"/>
  <c r="W311" i="10"/>
  <c r="AB311" i="10"/>
  <c r="AC311" i="10"/>
  <c r="AD311" i="10"/>
  <c r="A312" i="10"/>
  <c r="B312" i="10"/>
  <c r="D312" i="10"/>
  <c r="E312" i="10"/>
  <c r="F312" i="10"/>
  <c r="G312" i="10"/>
  <c r="H312" i="10"/>
  <c r="I312" i="10"/>
  <c r="K312" i="10"/>
  <c r="L312" i="10"/>
  <c r="M312" i="10"/>
  <c r="N312" i="10"/>
  <c r="O312" i="10"/>
  <c r="P312" i="10"/>
  <c r="T312" i="10"/>
  <c r="U312" i="10"/>
  <c r="V312" i="10"/>
  <c r="W312" i="10"/>
  <c r="AB312" i="10"/>
  <c r="AC312" i="10"/>
  <c r="AD312" i="10"/>
  <c r="A313" i="10"/>
  <c r="B313" i="10"/>
  <c r="D313" i="10"/>
  <c r="E313" i="10"/>
  <c r="F313" i="10"/>
  <c r="G313" i="10"/>
  <c r="H313" i="10"/>
  <c r="I313" i="10"/>
  <c r="K313" i="10"/>
  <c r="L313" i="10"/>
  <c r="M313" i="10"/>
  <c r="N313" i="10"/>
  <c r="O313" i="10"/>
  <c r="P313" i="10"/>
  <c r="T313" i="10"/>
  <c r="U313" i="10"/>
  <c r="V313" i="10"/>
  <c r="W313" i="10"/>
  <c r="AB313" i="10"/>
  <c r="AC313" i="10"/>
  <c r="AD313" i="10"/>
  <c r="A314" i="10"/>
  <c r="B314" i="10"/>
  <c r="D314" i="10"/>
  <c r="E314" i="10"/>
  <c r="F314" i="10"/>
  <c r="G314" i="10"/>
  <c r="H314" i="10"/>
  <c r="I314" i="10"/>
  <c r="K314" i="10"/>
  <c r="L314" i="10"/>
  <c r="M314" i="10"/>
  <c r="N314" i="10"/>
  <c r="O314" i="10"/>
  <c r="P314" i="10"/>
  <c r="T314" i="10"/>
  <c r="U314" i="10"/>
  <c r="V314" i="10"/>
  <c r="W314" i="10"/>
  <c r="AB314" i="10"/>
  <c r="AC314" i="10"/>
  <c r="AD314" i="10"/>
  <c r="A315" i="10"/>
  <c r="B315" i="10"/>
  <c r="D315" i="10"/>
  <c r="E315" i="10"/>
  <c r="F315" i="10"/>
  <c r="G315" i="10"/>
  <c r="H315" i="10"/>
  <c r="I315" i="10"/>
  <c r="K315" i="10"/>
  <c r="L315" i="10"/>
  <c r="M315" i="10"/>
  <c r="N315" i="10"/>
  <c r="O315" i="10"/>
  <c r="P315" i="10"/>
  <c r="T315" i="10"/>
  <c r="U315" i="10"/>
  <c r="V315" i="10"/>
  <c r="W315" i="10"/>
  <c r="AB315" i="10"/>
  <c r="AC315" i="10"/>
  <c r="AD315" i="10"/>
  <c r="A316" i="10"/>
  <c r="B316" i="10"/>
  <c r="D316" i="10"/>
  <c r="E316" i="10"/>
  <c r="F316" i="10"/>
  <c r="G316" i="10"/>
  <c r="H316" i="10"/>
  <c r="I316" i="10"/>
  <c r="K316" i="10"/>
  <c r="L316" i="10"/>
  <c r="M316" i="10"/>
  <c r="N316" i="10"/>
  <c r="O316" i="10"/>
  <c r="P316" i="10"/>
  <c r="T316" i="10"/>
  <c r="U316" i="10"/>
  <c r="V316" i="10"/>
  <c r="W316" i="10"/>
  <c r="AB316" i="10"/>
  <c r="AC316" i="10"/>
  <c r="AD316" i="10"/>
  <c r="A317" i="10"/>
  <c r="B317" i="10"/>
  <c r="D317" i="10"/>
  <c r="E317" i="10"/>
  <c r="F317" i="10"/>
  <c r="G317" i="10"/>
  <c r="H317" i="10"/>
  <c r="I317" i="10"/>
  <c r="K317" i="10"/>
  <c r="L317" i="10"/>
  <c r="M317" i="10"/>
  <c r="N317" i="10"/>
  <c r="O317" i="10"/>
  <c r="P317" i="10"/>
  <c r="T317" i="10"/>
  <c r="U317" i="10"/>
  <c r="V317" i="10"/>
  <c r="W317" i="10"/>
  <c r="AB317" i="10"/>
  <c r="AC317" i="10"/>
  <c r="AD317" i="10"/>
  <c r="A318" i="10"/>
  <c r="B318" i="10"/>
  <c r="D318" i="10"/>
  <c r="E318" i="10"/>
  <c r="F318" i="10"/>
  <c r="G318" i="10"/>
  <c r="H318" i="10"/>
  <c r="I318" i="10"/>
  <c r="K318" i="10"/>
  <c r="L318" i="10"/>
  <c r="M318" i="10"/>
  <c r="N318" i="10"/>
  <c r="O318" i="10"/>
  <c r="P318" i="10"/>
  <c r="T318" i="10"/>
  <c r="U318" i="10"/>
  <c r="V318" i="10"/>
  <c r="W318" i="10"/>
  <c r="AB318" i="10"/>
  <c r="AC318" i="10"/>
  <c r="AD318" i="10"/>
  <c r="A319" i="10"/>
  <c r="B319" i="10"/>
  <c r="D319" i="10"/>
  <c r="E319" i="10"/>
  <c r="F319" i="10"/>
  <c r="G319" i="10"/>
  <c r="H319" i="10"/>
  <c r="I319" i="10"/>
  <c r="K319" i="10"/>
  <c r="L319" i="10"/>
  <c r="M319" i="10"/>
  <c r="N319" i="10"/>
  <c r="O319" i="10"/>
  <c r="P319" i="10"/>
  <c r="T319" i="10"/>
  <c r="U319" i="10"/>
  <c r="V319" i="10"/>
  <c r="W319" i="10"/>
  <c r="AB319" i="10"/>
  <c r="AC319" i="10"/>
  <c r="AD319" i="10"/>
  <c r="A320" i="10"/>
  <c r="B320" i="10"/>
  <c r="D320" i="10"/>
  <c r="E320" i="10"/>
  <c r="F320" i="10"/>
  <c r="G320" i="10"/>
  <c r="H320" i="10"/>
  <c r="I320" i="10"/>
  <c r="K320" i="10"/>
  <c r="L320" i="10"/>
  <c r="M320" i="10"/>
  <c r="N320" i="10"/>
  <c r="O320" i="10"/>
  <c r="P320" i="10"/>
  <c r="T320" i="10"/>
  <c r="U320" i="10"/>
  <c r="V320" i="10"/>
  <c r="W320" i="10"/>
  <c r="AB320" i="10"/>
  <c r="AC320" i="10"/>
  <c r="AD320" i="10"/>
  <c r="A321" i="10"/>
  <c r="B321" i="10"/>
  <c r="D321" i="10"/>
  <c r="E321" i="10"/>
  <c r="F321" i="10"/>
  <c r="G321" i="10"/>
  <c r="H321" i="10"/>
  <c r="I321" i="10"/>
  <c r="K321" i="10"/>
  <c r="L321" i="10"/>
  <c r="M321" i="10"/>
  <c r="N321" i="10"/>
  <c r="O321" i="10"/>
  <c r="P321" i="10"/>
  <c r="T321" i="10"/>
  <c r="U321" i="10"/>
  <c r="V321" i="10"/>
  <c r="W321" i="10"/>
  <c r="AB321" i="10"/>
  <c r="AC321" i="10"/>
  <c r="AD321" i="10"/>
  <c r="A322" i="10"/>
  <c r="B322" i="10"/>
  <c r="D322" i="10"/>
  <c r="E322" i="10"/>
  <c r="F322" i="10"/>
  <c r="G322" i="10"/>
  <c r="H322" i="10"/>
  <c r="I322" i="10"/>
  <c r="K322" i="10"/>
  <c r="L322" i="10"/>
  <c r="M322" i="10"/>
  <c r="N322" i="10"/>
  <c r="O322" i="10"/>
  <c r="P322" i="10"/>
  <c r="T322" i="10"/>
  <c r="U322" i="10"/>
  <c r="V322" i="10"/>
  <c r="W322" i="10"/>
  <c r="AB322" i="10"/>
  <c r="AC322" i="10"/>
  <c r="AD322" i="10"/>
  <c r="A323" i="10"/>
  <c r="B323" i="10"/>
  <c r="D323" i="10"/>
  <c r="E323" i="10"/>
  <c r="F323" i="10"/>
  <c r="G323" i="10"/>
  <c r="H323" i="10"/>
  <c r="I323" i="10"/>
  <c r="K323" i="10"/>
  <c r="L323" i="10"/>
  <c r="M323" i="10"/>
  <c r="N323" i="10"/>
  <c r="O323" i="10"/>
  <c r="P323" i="10"/>
  <c r="T323" i="10"/>
  <c r="U323" i="10"/>
  <c r="V323" i="10"/>
  <c r="W323" i="10"/>
  <c r="AB323" i="10"/>
  <c r="AC323" i="10"/>
  <c r="AD323" i="10"/>
  <c r="A324" i="10"/>
  <c r="B324" i="10"/>
  <c r="D324" i="10"/>
  <c r="E324" i="10"/>
  <c r="F324" i="10"/>
  <c r="G324" i="10"/>
  <c r="H324" i="10"/>
  <c r="I324" i="10"/>
  <c r="J324" i="10"/>
  <c r="K324" i="10"/>
  <c r="L324" i="10"/>
  <c r="M324" i="10"/>
  <c r="N324" i="10"/>
  <c r="O324" i="10"/>
  <c r="P324" i="10"/>
  <c r="Q324" i="10"/>
  <c r="R324" i="10"/>
  <c r="S324" i="10"/>
  <c r="T324" i="10"/>
  <c r="U324" i="10"/>
  <c r="V324" i="10"/>
  <c r="W324" i="10"/>
  <c r="AB324" i="10"/>
  <c r="AC324" i="10"/>
  <c r="AD324" i="10"/>
  <c r="A325" i="10"/>
  <c r="B325" i="10"/>
  <c r="D325" i="10"/>
  <c r="E325" i="10"/>
  <c r="F325" i="10"/>
  <c r="G325" i="10"/>
  <c r="H325" i="10"/>
  <c r="I325" i="10"/>
  <c r="K325" i="10"/>
  <c r="L325" i="10"/>
  <c r="M325" i="10"/>
  <c r="N325" i="10"/>
  <c r="O325" i="10"/>
  <c r="P325" i="10"/>
  <c r="T325" i="10"/>
  <c r="U325" i="10"/>
  <c r="V325" i="10"/>
  <c r="W325" i="10"/>
  <c r="AB325" i="10"/>
  <c r="AC325" i="10"/>
  <c r="AD325" i="10"/>
  <c r="A326" i="10"/>
  <c r="B326" i="10"/>
  <c r="D326" i="10"/>
  <c r="E326" i="10"/>
  <c r="F326" i="10"/>
  <c r="G326" i="10"/>
  <c r="H326" i="10"/>
  <c r="I326" i="10"/>
  <c r="K326" i="10"/>
  <c r="L326" i="10"/>
  <c r="M326" i="10"/>
  <c r="N326" i="10"/>
  <c r="O326" i="10"/>
  <c r="P326" i="10"/>
  <c r="T326" i="10"/>
  <c r="U326" i="10"/>
  <c r="V326" i="10"/>
  <c r="W326" i="10"/>
  <c r="AB326" i="10"/>
  <c r="AC326" i="10"/>
  <c r="AD326" i="10"/>
  <c r="A327" i="10"/>
  <c r="B327" i="10"/>
  <c r="D327" i="10"/>
  <c r="E327" i="10"/>
  <c r="F327" i="10"/>
  <c r="G327" i="10"/>
  <c r="H327" i="10"/>
  <c r="I327" i="10"/>
  <c r="K327" i="10"/>
  <c r="L327" i="10"/>
  <c r="M327" i="10"/>
  <c r="N327" i="10"/>
  <c r="O327" i="10"/>
  <c r="P327" i="10"/>
  <c r="T327" i="10"/>
  <c r="U327" i="10"/>
  <c r="V327" i="10"/>
  <c r="W327" i="10"/>
  <c r="AB327" i="10"/>
  <c r="AC327" i="10"/>
  <c r="AD327" i="10"/>
  <c r="A328" i="10"/>
  <c r="B328" i="10"/>
  <c r="D328" i="10"/>
  <c r="E328" i="10"/>
  <c r="F328" i="10"/>
  <c r="G328" i="10"/>
  <c r="H328" i="10"/>
  <c r="I328" i="10"/>
  <c r="K328" i="10"/>
  <c r="L328" i="10"/>
  <c r="M328" i="10"/>
  <c r="N328" i="10"/>
  <c r="O328" i="10"/>
  <c r="P328" i="10"/>
  <c r="T328" i="10"/>
  <c r="U328" i="10"/>
  <c r="V328" i="10"/>
  <c r="W328" i="10"/>
  <c r="AB328" i="10"/>
  <c r="AC328" i="10"/>
  <c r="AD328" i="10"/>
  <c r="A329" i="10"/>
  <c r="B329" i="10"/>
  <c r="D329" i="10"/>
  <c r="E329" i="10"/>
  <c r="F329" i="10"/>
  <c r="G329" i="10"/>
  <c r="H329" i="10"/>
  <c r="I329" i="10"/>
  <c r="K329" i="10"/>
  <c r="L329" i="10"/>
  <c r="M329" i="10"/>
  <c r="N329" i="10"/>
  <c r="O329" i="10"/>
  <c r="P329" i="10"/>
  <c r="T329" i="10"/>
  <c r="U329" i="10"/>
  <c r="V329" i="10"/>
  <c r="W329" i="10"/>
  <c r="AB329" i="10"/>
  <c r="AC329" i="10"/>
  <c r="AD329" i="10"/>
  <c r="A330" i="10"/>
  <c r="B330" i="10"/>
  <c r="D330" i="10"/>
  <c r="E330" i="10"/>
  <c r="F330" i="10"/>
  <c r="G330" i="10"/>
  <c r="H330" i="10"/>
  <c r="I330" i="10"/>
  <c r="K330" i="10"/>
  <c r="L330" i="10"/>
  <c r="M330" i="10"/>
  <c r="N330" i="10"/>
  <c r="O330" i="10"/>
  <c r="P330" i="10"/>
  <c r="T330" i="10"/>
  <c r="U330" i="10"/>
  <c r="V330" i="10"/>
  <c r="W330" i="10"/>
  <c r="AB330" i="10"/>
  <c r="AC330" i="10"/>
  <c r="AD330" i="10"/>
  <c r="A331" i="10"/>
  <c r="B331" i="10"/>
  <c r="D331" i="10"/>
  <c r="E331" i="10"/>
  <c r="F331" i="10"/>
  <c r="G331" i="10"/>
  <c r="H331" i="10"/>
  <c r="I331" i="10"/>
  <c r="K331" i="10"/>
  <c r="L331" i="10"/>
  <c r="M331" i="10"/>
  <c r="N331" i="10"/>
  <c r="O331" i="10"/>
  <c r="P331" i="10"/>
  <c r="T331" i="10"/>
  <c r="U331" i="10"/>
  <c r="V331" i="10"/>
  <c r="W331" i="10"/>
  <c r="AB331" i="10"/>
  <c r="AC331" i="10"/>
  <c r="AD331" i="10"/>
  <c r="A332" i="10"/>
  <c r="B332" i="10"/>
  <c r="D332" i="10"/>
  <c r="E332" i="10"/>
  <c r="F332" i="10"/>
  <c r="G332" i="10"/>
  <c r="H332" i="10"/>
  <c r="I332" i="10"/>
  <c r="K332" i="10"/>
  <c r="L332" i="10"/>
  <c r="M332" i="10"/>
  <c r="N332" i="10"/>
  <c r="O332" i="10"/>
  <c r="P332" i="10"/>
  <c r="T332" i="10"/>
  <c r="U332" i="10"/>
  <c r="V332" i="10"/>
  <c r="W332" i="10"/>
  <c r="AB332" i="10"/>
  <c r="AC332" i="10"/>
  <c r="AD332" i="10"/>
  <c r="A333" i="10"/>
  <c r="B333" i="10"/>
  <c r="D333" i="10"/>
  <c r="E333" i="10"/>
  <c r="F333" i="10"/>
  <c r="G333" i="10"/>
  <c r="H333" i="10"/>
  <c r="I333" i="10"/>
  <c r="K333" i="10"/>
  <c r="L333" i="10"/>
  <c r="M333" i="10"/>
  <c r="N333" i="10"/>
  <c r="O333" i="10"/>
  <c r="P333" i="10"/>
  <c r="T333" i="10"/>
  <c r="U333" i="10"/>
  <c r="V333" i="10"/>
  <c r="W333" i="10"/>
  <c r="AB333" i="10"/>
  <c r="AC333" i="10"/>
  <c r="AD333" i="10"/>
  <c r="A334" i="10"/>
  <c r="B334" i="10"/>
  <c r="D334" i="10"/>
  <c r="E334" i="10"/>
  <c r="F334" i="10"/>
  <c r="G334" i="10"/>
  <c r="H334" i="10"/>
  <c r="I334" i="10"/>
  <c r="K334" i="10"/>
  <c r="L334" i="10"/>
  <c r="M334" i="10"/>
  <c r="N334" i="10"/>
  <c r="O334" i="10"/>
  <c r="P334" i="10"/>
  <c r="T334" i="10"/>
  <c r="U334" i="10"/>
  <c r="V334" i="10"/>
  <c r="W334" i="10"/>
  <c r="AB334" i="10"/>
  <c r="AC334" i="10"/>
  <c r="AD334" i="10"/>
  <c r="A335" i="10"/>
  <c r="B335" i="10"/>
  <c r="D335" i="10"/>
  <c r="E335" i="10"/>
  <c r="F335" i="10"/>
  <c r="G335" i="10"/>
  <c r="H335" i="10"/>
  <c r="I335" i="10"/>
  <c r="K335" i="10"/>
  <c r="L335" i="10"/>
  <c r="M335" i="10"/>
  <c r="N335" i="10"/>
  <c r="O335" i="10"/>
  <c r="P335" i="10"/>
  <c r="T335" i="10"/>
  <c r="U335" i="10"/>
  <c r="V335" i="10"/>
  <c r="W335" i="10"/>
  <c r="AB335" i="10"/>
  <c r="AC335" i="10"/>
  <c r="AD335" i="10"/>
  <c r="A336" i="10"/>
  <c r="B336" i="10"/>
  <c r="D336" i="10"/>
  <c r="E336" i="10"/>
  <c r="F336" i="10"/>
  <c r="G336" i="10"/>
  <c r="H336" i="10"/>
  <c r="I336" i="10"/>
  <c r="K336" i="10"/>
  <c r="L336" i="10"/>
  <c r="M336" i="10"/>
  <c r="N336" i="10"/>
  <c r="O336" i="10"/>
  <c r="P336" i="10"/>
  <c r="T336" i="10"/>
  <c r="U336" i="10"/>
  <c r="V336" i="10"/>
  <c r="W336" i="10"/>
  <c r="AB336" i="10"/>
  <c r="AC336" i="10"/>
  <c r="AD336" i="10"/>
  <c r="A337" i="10"/>
  <c r="B337" i="10"/>
  <c r="D337" i="10"/>
  <c r="E337" i="10"/>
  <c r="F337" i="10"/>
  <c r="G337" i="10"/>
  <c r="H337" i="10"/>
  <c r="I337" i="10"/>
  <c r="K337" i="10"/>
  <c r="L337" i="10"/>
  <c r="M337" i="10"/>
  <c r="N337" i="10"/>
  <c r="O337" i="10"/>
  <c r="P337" i="10"/>
  <c r="T337" i="10"/>
  <c r="U337" i="10"/>
  <c r="V337" i="10"/>
  <c r="W337" i="10"/>
  <c r="AB337" i="10"/>
  <c r="AC337" i="10"/>
  <c r="AD337" i="10"/>
  <c r="A338" i="10"/>
  <c r="B338" i="10"/>
  <c r="D338" i="10"/>
  <c r="E338" i="10"/>
  <c r="F338" i="10"/>
  <c r="G338" i="10"/>
  <c r="H338" i="10"/>
  <c r="I338" i="10"/>
  <c r="K338" i="10"/>
  <c r="L338" i="10"/>
  <c r="M338" i="10"/>
  <c r="N338" i="10"/>
  <c r="O338" i="10"/>
  <c r="P338" i="10"/>
  <c r="T338" i="10"/>
  <c r="U338" i="10"/>
  <c r="V338" i="10"/>
  <c r="W338" i="10"/>
  <c r="AB338" i="10"/>
  <c r="AC338" i="10"/>
  <c r="AD338" i="10"/>
  <c r="A339" i="10"/>
  <c r="B339" i="10"/>
  <c r="D339" i="10"/>
  <c r="E339" i="10"/>
  <c r="F339" i="10"/>
  <c r="G339" i="10"/>
  <c r="H339" i="10"/>
  <c r="I339" i="10"/>
  <c r="K339" i="10"/>
  <c r="L339" i="10"/>
  <c r="M339" i="10"/>
  <c r="N339" i="10"/>
  <c r="O339" i="10"/>
  <c r="P339" i="10"/>
  <c r="T339" i="10"/>
  <c r="U339" i="10"/>
  <c r="V339" i="10"/>
  <c r="W339" i="10"/>
  <c r="AB339" i="10"/>
  <c r="AC339" i="10"/>
  <c r="AD339" i="10"/>
  <c r="A340" i="10"/>
  <c r="B340" i="10"/>
  <c r="D340" i="10"/>
  <c r="E340" i="10"/>
  <c r="F340" i="10"/>
  <c r="G340" i="10"/>
  <c r="H340" i="10"/>
  <c r="I340" i="10"/>
  <c r="J340" i="10"/>
  <c r="K340" i="10"/>
  <c r="L340" i="10"/>
  <c r="M340" i="10"/>
  <c r="N340" i="10"/>
  <c r="O340" i="10"/>
  <c r="P340" i="10"/>
  <c r="Q340" i="10"/>
  <c r="R340" i="10"/>
  <c r="S340" i="10"/>
  <c r="T340" i="10"/>
  <c r="U340" i="10"/>
  <c r="V340" i="10"/>
  <c r="W340" i="10"/>
  <c r="AB340" i="10"/>
  <c r="AC340" i="10"/>
  <c r="AD340" i="10"/>
  <c r="A341" i="10"/>
  <c r="B341" i="10"/>
  <c r="D341" i="10"/>
  <c r="E341" i="10"/>
  <c r="F341" i="10"/>
  <c r="G341" i="10"/>
  <c r="H341" i="10"/>
  <c r="I341" i="10"/>
  <c r="K341" i="10"/>
  <c r="L341" i="10"/>
  <c r="M341" i="10"/>
  <c r="N341" i="10"/>
  <c r="P341" i="10"/>
  <c r="Q341" i="10"/>
  <c r="R341" i="10"/>
  <c r="S341" i="10"/>
  <c r="T341" i="10"/>
  <c r="U341" i="10"/>
  <c r="V341" i="10"/>
  <c r="W341" i="10"/>
  <c r="AB341" i="10"/>
  <c r="AC341" i="10"/>
  <c r="AD341" i="10"/>
  <c r="A342" i="10"/>
  <c r="B342" i="10"/>
  <c r="D342" i="10"/>
  <c r="E342" i="10"/>
  <c r="F342" i="10"/>
  <c r="G342" i="10"/>
  <c r="H342" i="10"/>
  <c r="I342" i="10"/>
  <c r="K342" i="10"/>
  <c r="L342" i="10"/>
  <c r="M342" i="10"/>
  <c r="N342" i="10"/>
  <c r="P342" i="10"/>
  <c r="Q342" i="10"/>
  <c r="R342" i="10"/>
  <c r="S342" i="10"/>
  <c r="T342" i="10"/>
  <c r="U342" i="10"/>
  <c r="V342" i="10"/>
  <c r="W342" i="10"/>
  <c r="AB342" i="10"/>
  <c r="AC342" i="10"/>
  <c r="AD342" i="10"/>
  <c r="A343" i="10"/>
  <c r="B343" i="10"/>
  <c r="D343" i="10"/>
  <c r="E343" i="10"/>
  <c r="F343" i="10"/>
  <c r="G343" i="10"/>
  <c r="H343" i="10"/>
  <c r="I343" i="10"/>
  <c r="K343" i="10"/>
  <c r="L343" i="10"/>
  <c r="M343" i="10"/>
  <c r="N343" i="10"/>
  <c r="P343" i="10"/>
  <c r="Q343" i="10"/>
  <c r="R343" i="10"/>
  <c r="S343" i="10"/>
  <c r="T343" i="10"/>
  <c r="U343" i="10"/>
  <c r="V343" i="10"/>
  <c r="W343" i="10"/>
  <c r="AB343" i="10"/>
  <c r="AC343" i="10"/>
  <c r="AD343" i="10"/>
  <c r="A344" i="10"/>
  <c r="B344" i="10"/>
  <c r="D344" i="10"/>
  <c r="E344" i="10"/>
  <c r="F344" i="10"/>
  <c r="G344" i="10"/>
  <c r="H344" i="10"/>
  <c r="I344" i="10"/>
  <c r="K344" i="10"/>
  <c r="L344" i="10"/>
  <c r="M344" i="10"/>
  <c r="N344" i="10"/>
  <c r="P344" i="10"/>
  <c r="Q344" i="10"/>
  <c r="R344" i="10"/>
  <c r="S344" i="10"/>
  <c r="T344" i="10"/>
  <c r="U344" i="10"/>
  <c r="V344" i="10"/>
  <c r="W344" i="10"/>
  <c r="AB344" i="10"/>
  <c r="AC344" i="10"/>
  <c r="AD344" i="10"/>
  <c r="A345" i="10"/>
  <c r="B345" i="10"/>
  <c r="D345" i="10"/>
  <c r="E345" i="10"/>
  <c r="F345" i="10"/>
  <c r="G345" i="10"/>
  <c r="H345" i="10"/>
  <c r="I345" i="10"/>
  <c r="K345" i="10"/>
  <c r="L345" i="10"/>
  <c r="M345" i="10"/>
  <c r="N345" i="10"/>
  <c r="P345" i="10"/>
  <c r="Q345" i="10"/>
  <c r="R345" i="10"/>
  <c r="S345" i="10"/>
  <c r="T345" i="10"/>
  <c r="U345" i="10"/>
  <c r="V345" i="10"/>
  <c r="W345" i="10"/>
  <c r="AB345" i="10"/>
  <c r="AC345" i="10"/>
  <c r="AD345" i="10"/>
  <c r="A346" i="10"/>
  <c r="B346" i="10"/>
  <c r="D346" i="10"/>
  <c r="E346" i="10"/>
  <c r="F346" i="10"/>
  <c r="G346" i="10"/>
  <c r="H346" i="10"/>
  <c r="I346" i="10"/>
  <c r="K346" i="10"/>
  <c r="L346" i="10"/>
  <c r="M346" i="10"/>
  <c r="N346" i="10"/>
  <c r="P346" i="10"/>
  <c r="Q346" i="10"/>
  <c r="R346" i="10"/>
  <c r="S346" i="10"/>
  <c r="T346" i="10"/>
  <c r="U346" i="10"/>
  <c r="V346" i="10"/>
  <c r="W346" i="10"/>
  <c r="AB346" i="10"/>
  <c r="AC346" i="10"/>
  <c r="AD346" i="10"/>
  <c r="A347" i="10"/>
  <c r="B347" i="10"/>
  <c r="D347" i="10"/>
  <c r="E347" i="10"/>
  <c r="F347" i="10"/>
  <c r="G347" i="10"/>
  <c r="H347" i="10"/>
  <c r="I347" i="10"/>
  <c r="K347" i="10"/>
  <c r="L347" i="10"/>
  <c r="M347" i="10"/>
  <c r="N347" i="10"/>
  <c r="P347" i="10"/>
  <c r="Q347" i="10"/>
  <c r="R347" i="10"/>
  <c r="S347" i="10"/>
  <c r="T347" i="10"/>
  <c r="U347" i="10"/>
  <c r="V347" i="10"/>
  <c r="W347" i="10"/>
  <c r="AB347" i="10"/>
  <c r="AC347" i="10"/>
  <c r="AD347" i="10"/>
  <c r="A348" i="10"/>
  <c r="B348" i="10"/>
  <c r="D348" i="10"/>
  <c r="E348" i="10"/>
  <c r="F348" i="10"/>
  <c r="G348" i="10"/>
  <c r="H348" i="10"/>
  <c r="I348" i="10"/>
  <c r="K348" i="10"/>
  <c r="L348" i="10"/>
  <c r="M348" i="10"/>
  <c r="N348" i="10"/>
  <c r="P348" i="10"/>
  <c r="Q348" i="10"/>
  <c r="R348" i="10"/>
  <c r="S348" i="10"/>
  <c r="T348" i="10"/>
  <c r="U348" i="10"/>
  <c r="V348" i="10"/>
  <c r="W348" i="10"/>
  <c r="AB348" i="10"/>
  <c r="AC348" i="10"/>
  <c r="AD348" i="10"/>
  <c r="A349" i="10"/>
  <c r="B349" i="10"/>
  <c r="D349" i="10"/>
  <c r="E349" i="10"/>
  <c r="F349" i="10"/>
  <c r="G349" i="10"/>
  <c r="H349" i="10"/>
  <c r="I349" i="10"/>
  <c r="K349" i="10"/>
  <c r="L349" i="10"/>
  <c r="M349" i="10"/>
  <c r="N349" i="10"/>
  <c r="P349" i="10"/>
  <c r="Q349" i="10"/>
  <c r="R349" i="10"/>
  <c r="S349" i="10"/>
  <c r="T349" i="10"/>
  <c r="U349" i="10"/>
  <c r="V349" i="10"/>
  <c r="W349" i="10"/>
  <c r="AB349" i="10"/>
  <c r="AC349" i="10"/>
  <c r="AD349" i="10"/>
  <c r="A350" i="10"/>
  <c r="B350" i="10"/>
  <c r="D350" i="10"/>
  <c r="E350" i="10"/>
  <c r="F350" i="10"/>
  <c r="G350" i="10"/>
  <c r="H350" i="10"/>
  <c r="I350" i="10"/>
  <c r="K350" i="10"/>
  <c r="L350" i="10"/>
  <c r="M350" i="10"/>
  <c r="N350" i="10"/>
  <c r="P350" i="10"/>
  <c r="Q350" i="10"/>
  <c r="R350" i="10"/>
  <c r="S350" i="10"/>
  <c r="T350" i="10"/>
  <c r="U350" i="10"/>
  <c r="V350" i="10"/>
  <c r="W350" i="10"/>
  <c r="AB350" i="10"/>
  <c r="AC350" i="10"/>
  <c r="AD350" i="10"/>
  <c r="A351" i="10"/>
  <c r="B351" i="10"/>
  <c r="D351" i="10"/>
  <c r="E351" i="10"/>
  <c r="F351" i="10"/>
  <c r="G351" i="10"/>
  <c r="H351" i="10"/>
  <c r="I351" i="10"/>
  <c r="K351" i="10"/>
  <c r="L351" i="10"/>
  <c r="M351" i="10"/>
  <c r="N351" i="10"/>
  <c r="P351" i="10"/>
  <c r="Q351" i="10"/>
  <c r="R351" i="10"/>
  <c r="S351" i="10"/>
  <c r="T351" i="10"/>
  <c r="U351" i="10"/>
  <c r="V351" i="10"/>
  <c r="W351" i="10"/>
  <c r="AB351" i="10"/>
  <c r="AC351" i="10"/>
  <c r="AD351" i="10"/>
  <c r="A352" i="10"/>
  <c r="B352" i="10"/>
  <c r="D352" i="10"/>
  <c r="E352" i="10"/>
  <c r="F352" i="10"/>
  <c r="G352" i="10"/>
  <c r="H352" i="10"/>
  <c r="I352" i="10"/>
  <c r="K352" i="10"/>
  <c r="L352" i="10"/>
  <c r="M352" i="10"/>
  <c r="N352" i="10"/>
  <c r="P352" i="10"/>
  <c r="Q352" i="10"/>
  <c r="R352" i="10"/>
  <c r="S352" i="10"/>
  <c r="T352" i="10"/>
  <c r="U352" i="10"/>
  <c r="V352" i="10"/>
  <c r="W352" i="10"/>
  <c r="AB352" i="10"/>
  <c r="AC352" i="10"/>
  <c r="AD352" i="10"/>
  <c r="A353" i="10"/>
  <c r="B353" i="10"/>
  <c r="D353" i="10"/>
  <c r="E353" i="10"/>
  <c r="F353" i="10"/>
  <c r="G353" i="10"/>
  <c r="H353" i="10"/>
  <c r="I353" i="10"/>
  <c r="K353" i="10"/>
  <c r="L353" i="10"/>
  <c r="M353" i="10"/>
  <c r="N353" i="10"/>
  <c r="P353" i="10"/>
  <c r="Q353" i="10"/>
  <c r="R353" i="10"/>
  <c r="S353" i="10"/>
  <c r="T353" i="10"/>
  <c r="U353" i="10"/>
  <c r="V353" i="10"/>
  <c r="W353" i="10"/>
  <c r="AB353" i="10"/>
  <c r="AC353" i="10"/>
  <c r="AD353" i="10"/>
  <c r="A354" i="10"/>
  <c r="B354" i="10"/>
  <c r="D354" i="10"/>
  <c r="E354" i="10"/>
  <c r="F354" i="10"/>
  <c r="G354" i="10"/>
  <c r="H354" i="10"/>
  <c r="I354" i="10"/>
  <c r="K354" i="10"/>
  <c r="L354" i="10"/>
  <c r="M354" i="10"/>
  <c r="N354" i="10"/>
  <c r="P354" i="10"/>
  <c r="Q354" i="10"/>
  <c r="R354" i="10"/>
  <c r="S354" i="10"/>
  <c r="T354" i="10"/>
  <c r="U354" i="10"/>
  <c r="V354" i="10"/>
  <c r="W354" i="10"/>
  <c r="AB354" i="10"/>
  <c r="AC354" i="10"/>
  <c r="AD354" i="10"/>
  <c r="A355" i="10"/>
  <c r="B355" i="10"/>
  <c r="D355" i="10"/>
  <c r="E355" i="10"/>
  <c r="F355" i="10"/>
  <c r="G355" i="10"/>
  <c r="H355" i="10"/>
  <c r="I355" i="10"/>
  <c r="K355" i="10"/>
  <c r="L355" i="10"/>
  <c r="M355" i="10"/>
  <c r="N355" i="10"/>
  <c r="P355" i="10"/>
  <c r="Q355" i="10"/>
  <c r="R355" i="10"/>
  <c r="S355" i="10"/>
  <c r="T355" i="10"/>
  <c r="U355" i="10"/>
  <c r="V355" i="10"/>
  <c r="W355" i="10"/>
  <c r="AB355" i="10"/>
  <c r="AC355" i="10"/>
  <c r="AD355" i="10"/>
  <c r="A356" i="10"/>
  <c r="B356" i="10"/>
  <c r="D356" i="10"/>
  <c r="E356" i="10"/>
  <c r="F356" i="10"/>
  <c r="G356" i="10"/>
  <c r="H356" i="10"/>
  <c r="I356" i="10"/>
  <c r="K356" i="10"/>
  <c r="L356" i="10"/>
  <c r="M356" i="10"/>
  <c r="N356" i="10"/>
  <c r="P356" i="10"/>
  <c r="Q356" i="10"/>
  <c r="R356" i="10"/>
  <c r="S356" i="10"/>
  <c r="T356" i="10"/>
  <c r="U356" i="10"/>
  <c r="V356" i="10"/>
  <c r="W356" i="10"/>
  <c r="AB356" i="10"/>
  <c r="AC356" i="10"/>
  <c r="AD356" i="10"/>
  <c r="A357" i="10"/>
  <c r="B357" i="10"/>
  <c r="D357" i="10"/>
  <c r="E357" i="10"/>
  <c r="F357" i="10"/>
  <c r="G357" i="10"/>
  <c r="H357" i="10"/>
  <c r="I357" i="10"/>
  <c r="K357" i="10"/>
  <c r="L357" i="10"/>
  <c r="M357" i="10"/>
  <c r="N357" i="10"/>
  <c r="P357" i="10"/>
  <c r="Q357" i="10"/>
  <c r="R357" i="10"/>
  <c r="S357" i="10"/>
  <c r="T357" i="10"/>
  <c r="U357" i="10"/>
  <c r="V357" i="10"/>
  <c r="W357" i="10"/>
  <c r="AB357" i="10"/>
  <c r="AC357" i="10"/>
  <c r="AD357" i="10"/>
  <c r="A358" i="10"/>
  <c r="B358" i="10"/>
  <c r="D358" i="10"/>
  <c r="E358" i="10"/>
  <c r="F358" i="10"/>
  <c r="G358" i="10"/>
  <c r="H358" i="10"/>
  <c r="I358" i="10"/>
  <c r="K358" i="10"/>
  <c r="L358" i="10"/>
  <c r="M358" i="10"/>
  <c r="N358" i="10"/>
  <c r="P358" i="10"/>
  <c r="Q358" i="10"/>
  <c r="R358" i="10"/>
  <c r="S358" i="10"/>
  <c r="T358" i="10"/>
  <c r="U358" i="10"/>
  <c r="V358" i="10"/>
  <c r="W358" i="10"/>
  <c r="AB358" i="10"/>
  <c r="AC358" i="10"/>
  <c r="AD358" i="10"/>
  <c r="A359" i="10"/>
  <c r="B359" i="10"/>
  <c r="D359" i="10"/>
  <c r="E359" i="10"/>
  <c r="F359" i="10"/>
  <c r="G359" i="10"/>
  <c r="H359" i="10"/>
  <c r="I359" i="10"/>
  <c r="K359" i="10"/>
  <c r="L359" i="10"/>
  <c r="M359" i="10"/>
  <c r="N359" i="10"/>
  <c r="P359" i="10"/>
  <c r="Q359" i="10"/>
  <c r="R359" i="10"/>
  <c r="S359" i="10"/>
  <c r="T359" i="10"/>
  <c r="U359" i="10"/>
  <c r="V359" i="10"/>
  <c r="W359" i="10"/>
  <c r="AB359" i="10"/>
  <c r="AC359" i="10"/>
  <c r="AD359" i="10"/>
  <c r="A360" i="10"/>
  <c r="B360" i="10"/>
  <c r="D360" i="10"/>
  <c r="E360" i="10"/>
  <c r="F360" i="10"/>
  <c r="G360" i="10"/>
  <c r="H360" i="10"/>
  <c r="I360" i="10"/>
  <c r="K360" i="10"/>
  <c r="L360" i="10"/>
  <c r="M360" i="10"/>
  <c r="N360" i="10"/>
  <c r="P360" i="10"/>
  <c r="Q360" i="10"/>
  <c r="R360" i="10"/>
  <c r="S360" i="10"/>
  <c r="T360" i="10"/>
  <c r="U360" i="10"/>
  <c r="V360" i="10"/>
  <c r="W360" i="10"/>
  <c r="AB360" i="10"/>
  <c r="AC360" i="10"/>
  <c r="AD360" i="10"/>
  <c r="A361" i="10"/>
  <c r="B361" i="10"/>
  <c r="D361" i="10"/>
  <c r="E361" i="10"/>
  <c r="F361" i="10"/>
  <c r="G361" i="10"/>
  <c r="H361" i="10"/>
  <c r="I361" i="10"/>
  <c r="K361" i="10"/>
  <c r="L361" i="10"/>
  <c r="M361" i="10"/>
  <c r="N361" i="10"/>
  <c r="P361" i="10"/>
  <c r="Q361" i="10"/>
  <c r="R361" i="10"/>
  <c r="S361" i="10"/>
  <c r="T361" i="10"/>
  <c r="U361" i="10"/>
  <c r="V361" i="10"/>
  <c r="W361" i="10"/>
  <c r="AB361" i="10"/>
  <c r="AC361" i="10"/>
  <c r="AD361" i="10"/>
  <c r="A362" i="10"/>
  <c r="B362" i="10"/>
  <c r="D362" i="10"/>
  <c r="E362" i="10"/>
  <c r="F362" i="10"/>
  <c r="G362" i="10"/>
  <c r="H362" i="10"/>
  <c r="I362" i="10"/>
  <c r="K362" i="10"/>
  <c r="L362" i="10"/>
  <c r="M362" i="10"/>
  <c r="N362" i="10"/>
  <c r="P362" i="10"/>
  <c r="Q362" i="10"/>
  <c r="R362" i="10"/>
  <c r="S362" i="10"/>
  <c r="T362" i="10"/>
  <c r="U362" i="10"/>
  <c r="V362" i="10"/>
  <c r="W362" i="10"/>
  <c r="AB362" i="10"/>
  <c r="AC362" i="10"/>
  <c r="AD362" i="10"/>
  <c r="A363" i="10"/>
  <c r="B363" i="10"/>
  <c r="D363" i="10"/>
  <c r="E363" i="10"/>
  <c r="F363" i="10"/>
  <c r="G363" i="10"/>
  <c r="H363" i="10"/>
  <c r="I363" i="10"/>
  <c r="K363" i="10"/>
  <c r="L363" i="10"/>
  <c r="M363" i="10"/>
  <c r="N363" i="10"/>
  <c r="P363" i="10"/>
  <c r="Q363" i="10"/>
  <c r="R363" i="10"/>
  <c r="S363" i="10"/>
  <c r="T363" i="10"/>
  <c r="U363" i="10"/>
  <c r="V363" i="10"/>
  <c r="W363" i="10"/>
  <c r="AB363" i="10"/>
  <c r="AC363" i="10"/>
  <c r="AD363" i="10"/>
  <c r="A364" i="10"/>
  <c r="B364" i="10"/>
  <c r="D364" i="10"/>
  <c r="E364" i="10"/>
  <c r="F364" i="10"/>
  <c r="G364" i="10"/>
  <c r="H364" i="10"/>
  <c r="I364" i="10"/>
  <c r="K364" i="10"/>
  <c r="L364" i="10"/>
  <c r="M364" i="10"/>
  <c r="N364" i="10"/>
  <c r="P364" i="10"/>
  <c r="Q364" i="10"/>
  <c r="R364" i="10"/>
  <c r="S364" i="10"/>
  <c r="T364" i="10"/>
  <c r="U364" i="10"/>
  <c r="V364" i="10"/>
  <c r="W364" i="10"/>
  <c r="AB364" i="10"/>
  <c r="AC364" i="10"/>
  <c r="AD364" i="10"/>
  <c r="A365" i="10"/>
  <c r="B365" i="10"/>
  <c r="D365" i="10"/>
  <c r="E365" i="10"/>
  <c r="F365" i="10"/>
  <c r="G365" i="10"/>
  <c r="H365" i="10"/>
  <c r="I365" i="10"/>
  <c r="K365" i="10"/>
  <c r="L365" i="10"/>
  <c r="M365" i="10"/>
  <c r="N365" i="10"/>
  <c r="P365" i="10"/>
  <c r="Q365" i="10"/>
  <c r="R365" i="10"/>
  <c r="S365" i="10"/>
  <c r="T365" i="10"/>
  <c r="U365" i="10"/>
  <c r="V365" i="10"/>
  <c r="W365" i="10"/>
  <c r="AB365" i="10"/>
  <c r="AC365" i="10"/>
  <c r="AD365" i="10"/>
  <c r="A366" i="10"/>
  <c r="B366" i="10"/>
  <c r="D366" i="10"/>
  <c r="E366" i="10"/>
  <c r="F366" i="10"/>
  <c r="G366" i="10"/>
  <c r="H366" i="10"/>
  <c r="I366" i="10"/>
  <c r="K366" i="10"/>
  <c r="L366" i="10"/>
  <c r="M366" i="10"/>
  <c r="N366" i="10"/>
  <c r="P366" i="10"/>
  <c r="Q366" i="10"/>
  <c r="R366" i="10"/>
  <c r="S366" i="10"/>
  <c r="T366" i="10"/>
  <c r="U366" i="10"/>
  <c r="V366" i="10"/>
  <c r="W366" i="10"/>
  <c r="AB366" i="10"/>
  <c r="AC366" i="10"/>
  <c r="AD366" i="10"/>
  <c r="A367" i="10"/>
  <c r="B367" i="10"/>
  <c r="D367" i="10"/>
  <c r="E367" i="10"/>
  <c r="F367" i="10"/>
  <c r="G367" i="10"/>
  <c r="H367" i="10"/>
  <c r="I367" i="10"/>
  <c r="K367" i="10"/>
  <c r="L367" i="10"/>
  <c r="M367" i="10"/>
  <c r="N367" i="10"/>
  <c r="P367" i="10"/>
  <c r="Q367" i="10"/>
  <c r="R367" i="10"/>
  <c r="S367" i="10"/>
  <c r="T367" i="10"/>
  <c r="U367" i="10"/>
  <c r="V367" i="10"/>
  <c r="W367" i="10"/>
  <c r="AB367" i="10"/>
  <c r="AC367" i="10"/>
  <c r="AD367" i="10"/>
  <c r="A368" i="10"/>
  <c r="B368" i="10"/>
  <c r="D368" i="10"/>
  <c r="E368" i="10"/>
  <c r="F368" i="10"/>
  <c r="G368" i="10"/>
  <c r="H368" i="10"/>
  <c r="I368" i="10"/>
  <c r="K368" i="10"/>
  <c r="L368" i="10"/>
  <c r="M368" i="10"/>
  <c r="N368" i="10"/>
  <c r="P368" i="10"/>
  <c r="Q368" i="10"/>
  <c r="R368" i="10"/>
  <c r="S368" i="10"/>
  <c r="T368" i="10"/>
  <c r="U368" i="10"/>
  <c r="V368" i="10"/>
  <c r="W368" i="10"/>
  <c r="AB368" i="10"/>
  <c r="AC368" i="10"/>
  <c r="AD368" i="10"/>
  <c r="A369" i="10"/>
  <c r="B369" i="10"/>
  <c r="D369" i="10"/>
  <c r="E369" i="10"/>
  <c r="F369" i="10"/>
  <c r="G369" i="10"/>
  <c r="H369" i="10"/>
  <c r="I369" i="10"/>
  <c r="K369" i="10"/>
  <c r="L369" i="10"/>
  <c r="M369" i="10"/>
  <c r="N369" i="10"/>
  <c r="P369" i="10"/>
  <c r="Q369" i="10"/>
  <c r="R369" i="10"/>
  <c r="S369" i="10"/>
  <c r="T369" i="10"/>
  <c r="U369" i="10"/>
  <c r="V369" i="10"/>
  <c r="W369" i="10"/>
  <c r="AB369" i="10"/>
  <c r="AC369" i="10"/>
  <c r="AD369" i="10"/>
  <c r="A370" i="10"/>
  <c r="B370" i="10"/>
  <c r="D370" i="10"/>
  <c r="E370" i="10"/>
  <c r="F370" i="10"/>
  <c r="G370" i="10"/>
  <c r="H370" i="10"/>
  <c r="I370" i="10"/>
  <c r="K370" i="10"/>
  <c r="L370" i="10"/>
  <c r="M370" i="10"/>
  <c r="N370" i="10"/>
  <c r="P370" i="10"/>
  <c r="Q370" i="10"/>
  <c r="R370" i="10"/>
  <c r="S370" i="10"/>
  <c r="T370" i="10"/>
  <c r="U370" i="10"/>
  <c r="V370" i="10"/>
  <c r="W370" i="10"/>
  <c r="AB370" i="10"/>
  <c r="AC370" i="10"/>
  <c r="AD370" i="10"/>
  <c r="A371" i="10"/>
  <c r="B371" i="10"/>
  <c r="D371" i="10"/>
  <c r="E371" i="10"/>
  <c r="F371" i="10"/>
  <c r="G371" i="10"/>
  <c r="H371" i="10"/>
  <c r="I371" i="10"/>
  <c r="K371" i="10"/>
  <c r="L371" i="10"/>
  <c r="M371" i="10"/>
  <c r="N371" i="10"/>
  <c r="P371" i="10"/>
  <c r="Q371" i="10"/>
  <c r="R371" i="10"/>
  <c r="S371" i="10"/>
  <c r="T371" i="10"/>
  <c r="U371" i="10"/>
  <c r="V371" i="10"/>
  <c r="W371" i="10"/>
  <c r="AB371" i="10"/>
  <c r="AC371" i="10"/>
  <c r="AD371" i="10"/>
  <c r="A372" i="10"/>
  <c r="B372" i="10"/>
  <c r="D372" i="10"/>
  <c r="E372" i="10"/>
  <c r="F372" i="10"/>
  <c r="G372" i="10"/>
  <c r="H372" i="10"/>
  <c r="I372" i="10"/>
  <c r="K372" i="10"/>
  <c r="L372" i="10"/>
  <c r="M372" i="10"/>
  <c r="N372" i="10"/>
  <c r="P372" i="10"/>
  <c r="Q372" i="10"/>
  <c r="R372" i="10"/>
  <c r="S372" i="10"/>
  <c r="T372" i="10"/>
  <c r="U372" i="10"/>
  <c r="V372" i="10"/>
  <c r="W372" i="10"/>
  <c r="AB372" i="10"/>
  <c r="AC372" i="10"/>
  <c r="AD372" i="10"/>
  <c r="A373" i="10"/>
  <c r="B373" i="10"/>
  <c r="D373" i="10"/>
  <c r="E373" i="10"/>
  <c r="F373" i="10"/>
  <c r="G373" i="10"/>
  <c r="H373" i="10"/>
  <c r="I373" i="10"/>
  <c r="K373" i="10"/>
  <c r="L373" i="10"/>
  <c r="M373" i="10"/>
  <c r="N373" i="10"/>
  <c r="P373" i="10"/>
  <c r="Q373" i="10"/>
  <c r="R373" i="10"/>
  <c r="S373" i="10"/>
  <c r="T373" i="10"/>
  <c r="U373" i="10"/>
  <c r="V373" i="10"/>
  <c r="W373" i="10"/>
  <c r="AB373" i="10"/>
  <c r="AC373" i="10"/>
  <c r="AD373" i="10"/>
  <c r="A374" i="10"/>
  <c r="B374" i="10"/>
  <c r="D374" i="10"/>
  <c r="E374" i="10"/>
  <c r="F374" i="10"/>
  <c r="G374" i="10"/>
  <c r="H374" i="10"/>
  <c r="I374" i="10"/>
  <c r="K374" i="10"/>
  <c r="L374" i="10"/>
  <c r="M374" i="10"/>
  <c r="N374" i="10"/>
  <c r="P374" i="10"/>
  <c r="Q374" i="10"/>
  <c r="R374" i="10"/>
  <c r="S374" i="10"/>
  <c r="T374" i="10"/>
  <c r="U374" i="10"/>
  <c r="V374" i="10"/>
  <c r="W374" i="10"/>
  <c r="AB374" i="10"/>
  <c r="AC374" i="10"/>
  <c r="AD374" i="10"/>
  <c r="A375" i="10"/>
  <c r="B375" i="10"/>
  <c r="D375" i="10"/>
  <c r="E375" i="10"/>
  <c r="F375" i="10"/>
  <c r="G375" i="10"/>
  <c r="H375" i="10"/>
  <c r="I375" i="10"/>
  <c r="K375" i="10"/>
  <c r="L375" i="10"/>
  <c r="M375" i="10"/>
  <c r="N375" i="10"/>
  <c r="P375" i="10"/>
  <c r="Q375" i="10"/>
  <c r="R375" i="10"/>
  <c r="S375" i="10"/>
  <c r="T375" i="10"/>
  <c r="U375" i="10"/>
  <c r="V375" i="10"/>
  <c r="W375" i="10"/>
  <c r="AB375" i="10"/>
  <c r="AC375" i="10"/>
  <c r="AD375" i="10"/>
  <c r="A376" i="10"/>
  <c r="B376" i="10"/>
  <c r="D376" i="10"/>
  <c r="E376" i="10"/>
  <c r="F376" i="10"/>
  <c r="G376" i="10"/>
  <c r="H376" i="10"/>
  <c r="I376" i="10"/>
  <c r="K376" i="10"/>
  <c r="L376" i="10"/>
  <c r="M376" i="10"/>
  <c r="N376" i="10"/>
  <c r="P376" i="10"/>
  <c r="Q376" i="10"/>
  <c r="R376" i="10"/>
  <c r="S376" i="10"/>
  <c r="T376" i="10"/>
  <c r="U376" i="10"/>
  <c r="V376" i="10"/>
  <c r="W376" i="10"/>
  <c r="AB376" i="10"/>
  <c r="AC376" i="10"/>
  <c r="AD376" i="10"/>
  <c r="A377" i="10"/>
  <c r="B377" i="10"/>
  <c r="D377" i="10"/>
  <c r="E377" i="10"/>
  <c r="F377" i="10"/>
  <c r="G377" i="10"/>
  <c r="H377" i="10"/>
  <c r="I377" i="10"/>
  <c r="K377" i="10"/>
  <c r="L377" i="10"/>
  <c r="M377" i="10"/>
  <c r="N377" i="10"/>
  <c r="P377" i="10"/>
  <c r="Q377" i="10"/>
  <c r="R377" i="10"/>
  <c r="S377" i="10"/>
  <c r="T377" i="10"/>
  <c r="U377" i="10"/>
  <c r="V377" i="10"/>
  <c r="W377" i="10"/>
  <c r="AB377" i="10"/>
  <c r="AC377" i="10"/>
  <c r="AD377" i="10"/>
  <c r="A378" i="10"/>
  <c r="B378" i="10"/>
  <c r="D378" i="10"/>
  <c r="E378" i="10"/>
  <c r="F378" i="10"/>
  <c r="G378" i="10"/>
  <c r="H378" i="10"/>
  <c r="I378" i="10"/>
  <c r="K378" i="10"/>
  <c r="L378" i="10"/>
  <c r="M378" i="10"/>
  <c r="N378" i="10"/>
  <c r="P378" i="10"/>
  <c r="Q378" i="10"/>
  <c r="R378" i="10"/>
  <c r="S378" i="10"/>
  <c r="T378" i="10"/>
  <c r="U378" i="10"/>
  <c r="V378" i="10"/>
  <c r="W378" i="10"/>
  <c r="AB378" i="10"/>
  <c r="AC378" i="10"/>
  <c r="AD378" i="10"/>
  <c r="A379" i="10"/>
  <c r="B379" i="10"/>
  <c r="D379" i="10"/>
  <c r="E379" i="10"/>
  <c r="F379" i="10"/>
  <c r="G379" i="10"/>
  <c r="H379" i="10"/>
  <c r="I379" i="10"/>
  <c r="K379" i="10"/>
  <c r="L379" i="10"/>
  <c r="M379" i="10"/>
  <c r="N379" i="10"/>
  <c r="P379" i="10"/>
  <c r="Q379" i="10"/>
  <c r="R379" i="10"/>
  <c r="S379" i="10"/>
  <c r="T379" i="10"/>
  <c r="U379" i="10"/>
  <c r="V379" i="10"/>
  <c r="W379" i="10"/>
  <c r="AB379" i="10"/>
  <c r="AC379" i="10"/>
  <c r="AD379" i="10"/>
  <c r="A380" i="10"/>
  <c r="B380" i="10"/>
  <c r="D380" i="10"/>
  <c r="E380" i="10"/>
  <c r="F380" i="10"/>
  <c r="G380" i="10"/>
  <c r="H380" i="10"/>
  <c r="I380" i="10"/>
  <c r="K380" i="10"/>
  <c r="L380" i="10"/>
  <c r="M380" i="10"/>
  <c r="N380" i="10"/>
  <c r="P380" i="10"/>
  <c r="Q380" i="10"/>
  <c r="R380" i="10"/>
  <c r="S380" i="10"/>
  <c r="T380" i="10"/>
  <c r="U380" i="10"/>
  <c r="V380" i="10"/>
  <c r="W380" i="10"/>
  <c r="AB380" i="10"/>
  <c r="AC380" i="10"/>
  <c r="AD380" i="10"/>
  <c r="A381" i="10"/>
  <c r="B381" i="10"/>
  <c r="D381" i="10"/>
  <c r="E381" i="10"/>
  <c r="F381" i="10"/>
  <c r="G381" i="10"/>
  <c r="H381" i="10"/>
  <c r="I381" i="10"/>
  <c r="K381" i="10"/>
  <c r="L381" i="10"/>
  <c r="M381" i="10"/>
  <c r="N381" i="10"/>
  <c r="P381" i="10"/>
  <c r="Q381" i="10"/>
  <c r="R381" i="10"/>
  <c r="S381" i="10"/>
  <c r="T381" i="10"/>
  <c r="U381" i="10"/>
  <c r="V381" i="10"/>
  <c r="W381" i="10"/>
  <c r="AB381" i="10"/>
  <c r="AC381" i="10"/>
  <c r="AD381" i="10"/>
  <c r="A382" i="10"/>
  <c r="B382" i="10"/>
  <c r="D382" i="10"/>
  <c r="E382" i="10"/>
  <c r="F382" i="10"/>
  <c r="G382" i="10"/>
  <c r="H382" i="10"/>
  <c r="I382" i="10"/>
  <c r="K382" i="10"/>
  <c r="L382" i="10"/>
  <c r="M382" i="10"/>
  <c r="N382" i="10"/>
  <c r="P382" i="10"/>
  <c r="Q382" i="10"/>
  <c r="R382" i="10"/>
  <c r="S382" i="10"/>
  <c r="T382" i="10"/>
  <c r="U382" i="10"/>
  <c r="V382" i="10"/>
  <c r="W382" i="10"/>
  <c r="AB382" i="10"/>
  <c r="AC382" i="10"/>
  <c r="AD382" i="10"/>
  <c r="A383" i="10"/>
  <c r="B383" i="10"/>
  <c r="D383" i="10"/>
  <c r="E383" i="10"/>
  <c r="F383" i="10"/>
  <c r="G383" i="10"/>
  <c r="H383" i="10"/>
  <c r="I383" i="10"/>
  <c r="K383" i="10"/>
  <c r="L383" i="10"/>
  <c r="M383" i="10"/>
  <c r="N383" i="10"/>
  <c r="P383" i="10"/>
  <c r="Q383" i="10"/>
  <c r="R383" i="10"/>
  <c r="S383" i="10"/>
  <c r="T383" i="10"/>
  <c r="U383" i="10"/>
  <c r="V383" i="10"/>
  <c r="W383" i="10"/>
  <c r="AB383" i="10"/>
  <c r="AC383" i="10"/>
  <c r="AD383" i="10"/>
  <c r="A384" i="10"/>
  <c r="B384" i="10"/>
  <c r="D384" i="10"/>
  <c r="E384" i="10"/>
  <c r="F384" i="10"/>
  <c r="G384" i="10"/>
  <c r="H384" i="10"/>
  <c r="I384" i="10"/>
  <c r="K384" i="10"/>
  <c r="L384" i="10"/>
  <c r="M384" i="10"/>
  <c r="N384" i="10"/>
  <c r="P384" i="10"/>
  <c r="Q384" i="10"/>
  <c r="R384" i="10"/>
  <c r="S384" i="10"/>
  <c r="T384" i="10"/>
  <c r="U384" i="10"/>
  <c r="V384" i="10"/>
  <c r="W384" i="10"/>
  <c r="AB384" i="10"/>
  <c r="AC384" i="10"/>
  <c r="AD384" i="10"/>
  <c r="A385" i="10"/>
  <c r="B385" i="10"/>
  <c r="D385" i="10"/>
  <c r="E385" i="10"/>
  <c r="F385" i="10"/>
  <c r="G385" i="10"/>
  <c r="H385" i="10"/>
  <c r="I385" i="10"/>
  <c r="K385" i="10"/>
  <c r="L385" i="10"/>
  <c r="M385" i="10"/>
  <c r="N385" i="10"/>
  <c r="P385" i="10"/>
  <c r="Q385" i="10"/>
  <c r="R385" i="10"/>
  <c r="S385" i="10"/>
  <c r="T385" i="10"/>
  <c r="U385" i="10"/>
  <c r="V385" i="10"/>
  <c r="W385" i="10"/>
  <c r="AB385" i="10"/>
  <c r="AC385" i="10"/>
  <c r="AD385" i="10"/>
  <c r="A386" i="10"/>
  <c r="B386" i="10"/>
  <c r="D386" i="10"/>
  <c r="E386" i="10"/>
  <c r="F386" i="10"/>
  <c r="G386" i="10"/>
  <c r="H386" i="10"/>
  <c r="I386" i="10"/>
  <c r="K386" i="10"/>
  <c r="L386" i="10"/>
  <c r="M386" i="10"/>
  <c r="N386" i="10"/>
  <c r="P386" i="10"/>
  <c r="Q386" i="10"/>
  <c r="R386" i="10"/>
  <c r="S386" i="10"/>
  <c r="T386" i="10"/>
  <c r="U386" i="10"/>
  <c r="V386" i="10"/>
  <c r="W386" i="10"/>
  <c r="AB386" i="10"/>
  <c r="AC386" i="10"/>
  <c r="AD386" i="10"/>
  <c r="A387" i="10"/>
  <c r="B387" i="10"/>
  <c r="D387" i="10"/>
  <c r="E387" i="10"/>
  <c r="F387" i="10"/>
  <c r="G387" i="10"/>
  <c r="H387" i="10"/>
  <c r="I387" i="10"/>
  <c r="K387" i="10"/>
  <c r="L387" i="10"/>
  <c r="M387" i="10"/>
  <c r="N387" i="10"/>
  <c r="P387" i="10"/>
  <c r="Q387" i="10"/>
  <c r="R387" i="10"/>
  <c r="S387" i="10"/>
  <c r="T387" i="10"/>
  <c r="U387" i="10"/>
  <c r="V387" i="10"/>
  <c r="W387" i="10"/>
  <c r="AB387" i="10"/>
  <c r="AC387" i="10"/>
  <c r="AD387" i="10"/>
  <c r="A388" i="10"/>
  <c r="B388" i="10"/>
  <c r="D388" i="10"/>
  <c r="E388" i="10"/>
  <c r="F388" i="10"/>
  <c r="G388" i="10"/>
  <c r="H388" i="10"/>
  <c r="I388" i="10"/>
  <c r="K388" i="10"/>
  <c r="L388" i="10"/>
  <c r="M388" i="10"/>
  <c r="N388" i="10"/>
  <c r="P388" i="10"/>
  <c r="Q388" i="10"/>
  <c r="R388" i="10"/>
  <c r="S388" i="10"/>
  <c r="T388" i="10"/>
  <c r="U388" i="10"/>
  <c r="V388" i="10"/>
  <c r="W388" i="10"/>
  <c r="AB388" i="10"/>
  <c r="AC388" i="10"/>
  <c r="AD388" i="10"/>
  <c r="A389" i="10"/>
  <c r="B389" i="10"/>
  <c r="D389" i="10"/>
  <c r="E389" i="10"/>
  <c r="F389" i="10"/>
  <c r="G389" i="10"/>
  <c r="H389" i="10"/>
  <c r="I389" i="10"/>
  <c r="K389" i="10"/>
  <c r="L389" i="10"/>
  <c r="M389" i="10"/>
  <c r="N389" i="10"/>
  <c r="P389" i="10"/>
  <c r="Q389" i="10"/>
  <c r="R389" i="10"/>
  <c r="S389" i="10"/>
  <c r="T389" i="10"/>
  <c r="U389" i="10"/>
  <c r="V389" i="10"/>
  <c r="W389" i="10"/>
  <c r="AB389" i="10"/>
  <c r="AC389" i="10"/>
  <c r="AD389" i="10"/>
  <c r="A390" i="10"/>
  <c r="B390" i="10"/>
  <c r="D390" i="10"/>
  <c r="E390" i="10"/>
  <c r="F390" i="10"/>
  <c r="G390" i="10"/>
  <c r="H390" i="10"/>
  <c r="I390" i="10"/>
  <c r="K390" i="10"/>
  <c r="L390" i="10"/>
  <c r="M390" i="10"/>
  <c r="N390" i="10"/>
  <c r="P390" i="10"/>
  <c r="Q390" i="10"/>
  <c r="R390" i="10"/>
  <c r="S390" i="10"/>
  <c r="T390" i="10"/>
  <c r="U390" i="10"/>
  <c r="V390" i="10"/>
  <c r="W390" i="10"/>
  <c r="AB390" i="10"/>
  <c r="AC390" i="10"/>
  <c r="AD390" i="10"/>
  <c r="A391" i="10"/>
  <c r="B391" i="10"/>
  <c r="D391" i="10"/>
  <c r="E391" i="10"/>
  <c r="F391" i="10"/>
  <c r="G391" i="10"/>
  <c r="H391" i="10"/>
  <c r="I391" i="10"/>
  <c r="K391" i="10"/>
  <c r="L391" i="10"/>
  <c r="M391" i="10"/>
  <c r="N391" i="10"/>
  <c r="P391" i="10"/>
  <c r="Q391" i="10"/>
  <c r="R391" i="10"/>
  <c r="S391" i="10"/>
  <c r="T391" i="10"/>
  <c r="U391" i="10"/>
  <c r="V391" i="10"/>
  <c r="W391" i="10"/>
  <c r="AB391" i="10"/>
  <c r="AC391" i="10"/>
  <c r="AD391" i="10"/>
  <c r="A392" i="10"/>
  <c r="B392" i="10"/>
  <c r="D392" i="10"/>
  <c r="E392" i="10"/>
  <c r="F392" i="10"/>
  <c r="G392" i="10"/>
  <c r="H392" i="10"/>
  <c r="I392" i="10"/>
  <c r="K392" i="10"/>
  <c r="L392" i="10"/>
  <c r="M392" i="10"/>
  <c r="N392" i="10"/>
  <c r="P392" i="10"/>
  <c r="Q392" i="10"/>
  <c r="R392" i="10"/>
  <c r="S392" i="10"/>
  <c r="T392" i="10"/>
  <c r="U392" i="10"/>
  <c r="V392" i="10"/>
  <c r="W392" i="10"/>
  <c r="AB392" i="10"/>
  <c r="AC392" i="10"/>
  <c r="AD392" i="10"/>
  <c r="A393" i="10"/>
  <c r="B393" i="10"/>
  <c r="D393" i="10"/>
  <c r="E393" i="10"/>
  <c r="F393" i="10"/>
  <c r="G393" i="10"/>
  <c r="H393" i="10"/>
  <c r="I393" i="10"/>
  <c r="K393" i="10"/>
  <c r="L393" i="10"/>
  <c r="M393" i="10"/>
  <c r="N393" i="10"/>
  <c r="P393" i="10"/>
  <c r="Q393" i="10"/>
  <c r="R393" i="10"/>
  <c r="S393" i="10"/>
  <c r="T393" i="10"/>
  <c r="U393" i="10"/>
  <c r="V393" i="10"/>
  <c r="W393" i="10"/>
  <c r="AB393" i="10"/>
  <c r="AC393" i="10"/>
  <c r="AD393" i="10"/>
  <c r="A394" i="10"/>
  <c r="B394" i="10"/>
  <c r="D394" i="10"/>
  <c r="E394" i="10"/>
  <c r="F394" i="10"/>
  <c r="G394" i="10"/>
  <c r="H394" i="10"/>
  <c r="I394" i="10"/>
  <c r="K394" i="10"/>
  <c r="L394" i="10"/>
  <c r="M394" i="10"/>
  <c r="N394" i="10"/>
  <c r="P394" i="10"/>
  <c r="Q394" i="10"/>
  <c r="R394" i="10"/>
  <c r="S394" i="10"/>
  <c r="T394" i="10"/>
  <c r="U394" i="10"/>
  <c r="V394" i="10"/>
  <c r="W394" i="10"/>
  <c r="AB394" i="10"/>
  <c r="AC394" i="10"/>
  <c r="AD394" i="10"/>
  <c r="A395" i="10"/>
  <c r="B395" i="10"/>
  <c r="D395" i="10"/>
  <c r="E395" i="10"/>
  <c r="F395" i="10"/>
  <c r="G395" i="10"/>
  <c r="H395" i="10"/>
  <c r="I395" i="10"/>
  <c r="K395" i="10"/>
  <c r="L395" i="10"/>
  <c r="M395" i="10"/>
  <c r="N395" i="10"/>
  <c r="P395" i="10"/>
  <c r="Q395" i="10"/>
  <c r="R395" i="10"/>
  <c r="S395" i="10"/>
  <c r="T395" i="10"/>
  <c r="U395" i="10"/>
  <c r="V395" i="10"/>
  <c r="W395" i="10"/>
  <c r="AB395" i="10"/>
  <c r="AC395" i="10"/>
  <c r="AD395" i="10"/>
  <c r="A396" i="10"/>
  <c r="B396" i="10"/>
  <c r="D396" i="10"/>
  <c r="E396" i="10"/>
  <c r="F396" i="10"/>
  <c r="G396" i="10"/>
  <c r="H396" i="10"/>
  <c r="I396" i="10"/>
  <c r="K396" i="10"/>
  <c r="L396" i="10"/>
  <c r="M396" i="10"/>
  <c r="N396" i="10"/>
  <c r="P396" i="10"/>
  <c r="Q396" i="10"/>
  <c r="R396" i="10"/>
  <c r="S396" i="10"/>
  <c r="T396" i="10"/>
  <c r="U396" i="10"/>
  <c r="V396" i="10"/>
  <c r="W396" i="10"/>
  <c r="AB396" i="10"/>
  <c r="AC396" i="10"/>
  <c r="AD396" i="10"/>
  <c r="A397" i="10"/>
  <c r="B397" i="10"/>
  <c r="D397" i="10"/>
  <c r="E397" i="10"/>
  <c r="F397" i="10"/>
  <c r="G397" i="10"/>
  <c r="H397" i="10"/>
  <c r="I397" i="10"/>
  <c r="K397" i="10"/>
  <c r="L397" i="10"/>
  <c r="M397" i="10"/>
  <c r="N397" i="10"/>
  <c r="P397" i="10"/>
  <c r="Q397" i="10"/>
  <c r="R397" i="10"/>
  <c r="S397" i="10"/>
  <c r="T397" i="10"/>
  <c r="U397" i="10"/>
  <c r="V397" i="10"/>
  <c r="W397" i="10"/>
  <c r="AB397" i="10"/>
  <c r="AC397" i="10"/>
  <c r="AD397" i="10"/>
  <c r="A398" i="10"/>
  <c r="B398" i="10"/>
  <c r="D398" i="10"/>
  <c r="E398" i="10"/>
  <c r="F398" i="10"/>
  <c r="G398" i="10"/>
  <c r="H398" i="10"/>
  <c r="I398" i="10"/>
  <c r="K398" i="10"/>
  <c r="L398" i="10"/>
  <c r="M398" i="10"/>
  <c r="N398" i="10"/>
  <c r="P398" i="10"/>
  <c r="Q398" i="10"/>
  <c r="R398" i="10"/>
  <c r="S398" i="10"/>
  <c r="T398" i="10"/>
  <c r="U398" i="10"/>
  <c r="V398" i="10"/>
  <c r="W398" i="10"/>
  <c r="AB398" i="10"/>
  <c r="AC398" i="10"/>
  <c r="AD398" i="10"/>
  <c r="A399" i="10"/>
  <c r="B399" i="10"/>
  <c r="D399" i="10"/>
  <c r="E399" i="10"/>
  <c r="F399" i="10"/>
  <c r="G399" i="10"/>
  <c r="H399" i="10"/>
  <c r="I399" i="10"/>
  <c r="K399" i="10"/>
  <c r="L399" i="10"/>
  <c r="M399" i="10"/>
  <c r="N399" i="10"/>
  <c r="P399" i="10"/>
  <c r="Q399" i="10"/>
  <c r="R399" i="10"/>
  <c r="S399" i="10"/>
  <c r="T399" i="10"/>
  <c r="U399" i="10"/>
  <c r="V399" i="10"/>
  <c r="W399" i="10"/>
  <c r="AB399" i="10"/>
  <c r="AC399" i="10"/>
  <c r="AD399" i="10"/>
  <c r="A400" i="10"/>
  <c r="B400" i="10"/>
  <c r="D400" i="10"/>
  <c r="E400" i="10"/>
  <c r="F400" i="10"/>
  <c r="G400" i="10"/>
  <c r="H400" i="10"/>
  <c r="I400" i="10"/>
  <c r="K400" i="10"/>
  <c r="L400" i="10"/>
  <c r="M400" i="10"/>
  <c r="N400" i="10"/>
  <c r="P400" i="10"/>
  <c r="Q400" i="10"/>
  <c r="R400" i="10"/>
  <c r="S400" i="10"/>
  <c r="T400" i="10"/>
  <c r="U400" i="10"/>
  <c r="V400" i="10"/>
  <c r="W400" i="10"/>
  <c r="AB400" i="10"/>
  <c r="AC400" i="10"/>
  <c r="AD400" i="10"/>
  <c r="A401" i="10"/>
  <c r="B401" i="10"/>
  <c r="D401" i="10"/>
  <c r="E401" i="10"/>
  <c r="F401" i="10"/>
  <c r="G401" i="10"/>
  <c r="H401" i="10"/>
  <c r="I401" i="10"/>
  <c r="K401" i="10"/>
  <c r="L401" i="10"/>
  <c r="M401" i="10"/>
  <c r="N401" i="10"/>
  <c r="P401" i="10"/>
  <c r="Q401" i="10"/>
  <c r="R401" i="10"/>
  <c r="S401" i="10"/>
  <c r="T401" i="10"/>
  <c r="U401" i="10"/>
  <c r="V401" i="10"/>
  <c r="W401" i="10"/>
  <c r="AB401" i="10"/>
  <c r="AC401" i="10"/>
  <c r="AD401" i="10"/>
  <c r="A402" i="10"/>
  <c r="B402" i="10"/>
  <c r="D402" i="10"/>
  <c r="E402" i="10"/>
  <c r="F402" i="10"/>
  <c r="G402" i="10"/>
  <c r="H402" i="10"/>
  <c r="I402" i="10"/>
  <c r="K402" i="10"/>
  <c r="L402" i="10"/>
  <c r="M402" i="10"/>
  <c r="N402" i="10"/>
  <c r="P402" i="10"/>
  <c r="Q402" i="10"/>
  <c r="R402" i="10"/>
  <c r="S402" i="10"/>
  <c r="T402" i="10"/>
  <c r="U402" i="10"/>
  <c r="V402" i="10"/>
  <c r="W402" i="10"/>
  <c r="AB402" i="10"/>
  <c r="AC402" i="10"/>
  <c r="AD402" i="10"/>
  <c r="A403" i="10"/>
  <c r="B403" i="10"/>
  <c r="D403" i="10"/>
  <c r="E403" i="10"/>
  <c r="F403" i="10"/>
  <c r="G403" i="10"/>
  <c r="H403" i="10"/>
  <c r="I403" i="10"/>
  <c r="K403" i="10"/>
  <c r="L403" i="10"/>
  <c r="M403" i="10"/>
  <c r="N403" i="10"/>
  <c r="P403" i="10"/>
  <c r="Q403" i="10"/>
  <c r="R403" i="10"/>
  <c r="S403" i="10"/>
  <c r="T403" i="10"/>
  <c r="U403" i="10"/>
  <c r="V403" i="10"/>
  <c r="W403" i="10"/>
  <c r="AB403" i="10"/>
  <c r="AC403" i="10"/>
  <c r="AD403" i="10"/>
  <c r="A404" i="10"/>
  <c r="B404" i="10"/>
  <c r="D404" i="10"/>
  <c r="E404" i="10"/>
  <c r="F404" i="10"/>
  <c r="G404" i="10"/>
  <c r="H404" i="10"/>
  <c r="I404" i="10"/>
  <c r="K404" i="10"/>
  <c r="L404" i="10"/>
  <c r="M404" i="10"/>
  <c r="N404" i="10"/>
  <c r="P404" i="10"/>
  <c r="Q404" i="10"/>
  <c r="R404" i="10"/>
  <c r="S404" i="10"/>
  <c r="T404" i="10"/>
  <c r="U404" i="10"/>
  <c r="V404" i="10"/>
  <c r="W404" i="10"/>
  <c r="AB404" i="10"/>
  <c r="AC404" i="10"/>
  <c r="AD404" i="10"/>
  <c r="A405" i="10"/>
  <c r="B405" i="10"/>
  <c r="D405" i="10"/>
  <c r="E405" i="10"/>
  <c r="F405" i="10"/>
  <c r="G405" i="10"/>
  <c r="H405" i="10"/>
  <c r="I405" i="10"/>
  <c r="K405" i="10"/>
  <c r="L405" i="10"/>
  <c r="M405" i="10"/>
  <c r="N405" i="10"/>
  <c r="P405" i="10"/>
  <c r="Q405" i="10"/>
  <c r="R405" i="10"/>
  <c r="S405" i="10"/>
  <c r="T405" i="10"/>
  <c r="U405" i="10"/>
  <c r="V405" i="10"/>
  <c r="W405" i="10"/>
  <c r="AB405" i="10"/>
  <c r="AC405" i="10"/>
  <c r="AD405" i="10"/>
  <c r="A406" i="10"/>
  <c r="B406" i="10"/>
  <c r="D406" i="10"/>
  <c r="E406" i="10"/>
  <c r="F406" i="10"/>
  <c r="G406" i="10"/>
  <c r="H406" i="10"/>
  <c r="I406" i="10"/>
  <c r="K406" i="10"/>
  <c r="L406" i="10"/>
  <c r="M406" i="10"/>
  <c r="N406" i="10"/>
  <c r="P406" i="10"/>
  <c r="Q406" i="10"/>
  <c r="R406" i="10"/>
  <c r="S406" i="10"/>
  <c r="T406" i="10"/>
  <c r="U406" i="10"/>
  <c r="V406" i="10"/>
  <c r="W406" i="10"/>
  <c r="AB406" i="10"/>
  <c r="AC406" i="10"/>
  <c r="AD406" i="10"/>
  <c r="A407" i="10"/>
  <c r="B407" i="10"/>
  <c r="D407" i="10"/>
  <c r="E407" i="10"/>
  <c r="F407" i="10"/>
  <c r="G407" i="10"/>
  <c r="H407" i="10"/>
  <c r="I407" i="10"/>
  <c r="K407" i="10"/>
  <c r="L407" i="10"/>
  <c r="M407" i="10"/>
  <c r="N407" i="10"/>
  <c r="P407" i="10"/>
  <c r="Q407" i="10"/>
  <c r="R407" i="10"/>
  <c r="S407" i="10"/>
  <c r="T407" i="10"/>
  <c r="U407" i="10"/>
  <c r="V407" i="10"/>
  <c r="W407" i="10"/>
  <c r="AB407" i="10"/>
  <c r="AC407" i="10"/>
  <c r="AD407" i="10"/>
  <c r="A408" i="10"/>
  <c r="B408" i="10"/>
  <c r="D408" i="10"/>
  <c r="E408" i="10"/>
  <c r="F408" i="10"/>
  <c r="G408" i="10"/>
  <c r="H408" i="10"/>
  <c r="I408" i="10"/>
  <c r="K408" i="10"/>
  <c r="L408" i="10"/>
  <c r="M408" i="10"/>
  <c r="N408" i="10"/>
  <c r="P408" i="10"/>
  <c r="Q408" i="10"/>
  <c r="R408" i="10"/>
  <c r="S408" i="10"/>
  <c r="T408" i="10"/>
  <c r="U408" i="10"/>
  <c r="V408" i="10"/>
  <c r="W408" i="10"/>
  <c r="AB408" i="10"/>
  <c r="AC408" i="10"/>
  <c r="AD408" i="10"/>
  <c r="A409" i="10"/>
  <c r="B409" i="10"/>
  <c r="D409" i="10"/>
  <c r="E409" i="10"/>
  <c r="F409" i="10"/>
  <c r="G409" i="10"/>
  <c r="H409" i="10"/>
  <c r="I409" i="10"/>
  <c r="K409" i="10"/>
  <c r="L409" i="10"/>
  <c r="M409" i="10"/>
  <c r="N409" i="10"/>
  <c r="P409" i="10"/>
  <c r="Q409" i="10"/>
  <c r="R409" i="10"/>
  <c r="S409" i="10"/>
  <c r="T409" i="10"/>
  <c r="U409" i="10"/>
  <c r="V409" i="10"/>
  <c r="W409" i="10"/>
  <c r="AB409" i="10"/>
  <c r="AC409" i="10"/>
  <c r="AD409" i="10"/>
  <c r="A410" i="10"/>
  <c r="B410" i="10"/>
  <c r="D410" i="10"/>
  <c r="E410" i="10"/>
  <c r="F410" i="10"/>
  <c r="G410" i="10"/>
  <c r="H410" i="10"/>
  <c r="I410" i="10"/>
  <c r="K410" i="10"/>
  <c r="L410" i="10"/>
  <c r="M410" i="10"/>
  <c r="N410" i="10"/>
  <c r="P410" i="10"/>
  <c r="Q410" i="10"/>
  <c r="R410" i="10"/>
  <c r="S410" i="10"/>
  <c r="T410" i="10"/>
  <c r="U410" i="10"/>
  <c r="V410" i="10"/>
  <c r="W410" i="10"/>
  <c r="AB410" i="10"/>
  <c r="AC410" i="10"/>
  <c r="AD410" i="10"/>
  <c r="A411" i="10"/>
  <c r="B411" i="10"/>
  <c r="D411" i="10"/>
  <c r="E411" i="10"/>
  <c r="F411" i="10"/>
  <c r="G411" i="10"/>
  <c r="H411" i="10"/>
  <c r="I411" i="10"/>
  <c r="K411" i="10"/>
  <c r="L411" i="10"/>
  <c r="M411" i="10"/>
  <c r="N411" i="10"/>
  <c r="P411" i="10"/>
  <c r="Q411" i="10"/>
  <c r="R411" i="10"/>
  <c r="S411" i="10"/>
  <c r="T411" i="10"/>
  <c r="U411" i="10"/>
  <c r="V411" i="10"/>
  <c r="W411" i="10"/>
  <c r="AB411" i="10"/>
  <c r="AC411" i="10"/>
  <c r="AD411" i="10"/>
  <c r="A412" i="10"/>
  <c r="B412" i="10"/>
  <c r="D412" i="10"/>
  <c r="E412" i="10"/>
  <c r="F412" i="10"/>
  <c r="G412" i="10"/>
  <c r="H412" i="10"/>
  <c r="I412" i="10"/>
  <c r="K412" i="10"/>
  <c r="L412" i="10"/>
  <c r="M412" i="10"/>
  <c r="N412" i="10"/>
  <c r="P412" i="10"/>
  <c r="Q412" i="10"/>
  <c r="R412" i="10"/>
  <c r="S412" i="10"/>
  <c r="T412" i="10"/>
  <c r="U412" i="10"/>
  <c r="V412" i="10"/>
  <c r="W412" i="10"/>
  <c r="AB412" i="10"/>
  <c r="AC412" i="10"/>
  <c r="AD412" i="10"/>
  <c r="A413" i="10"/>
  <c r="B413" i="10"/>
  <c r="D413" i="10"/>
  <c r="E413" i="10"/>
  <c r="F413" i="10"/>
  <c r="G413" i="10"/>
  <c r="H413" i="10"/>
  <c r="I413" i="10"/>
  <c r="K413" i="10"/>
  <c r="L413" i="10"/>
  <c r="M413" i="10"/>
  <c r="N413" i="10"/>
  <c r="P413" i="10"/>
  <c r="Q413" i="10"/>
  <c r="R413" i="10"/>
  <c r="S413" i="10"/>
  <c r="T413" i="10"/>
  <c r="U413" i="10"/>
  <c r="V413" i="10"/>
  <c r="W413" i="10"/>
  <c r="AB413" i="10"/>
  <c r="AC413" i="10"/>
  <c r="AD413" i="10"/>
  <c r="A414" i="10"/>
  <c r="B414" i="10"/>
  <c r="D414" i="10"/>
  <c r="E414" i="10"/>
  <c r="F414" i="10"/>
  <c r="G414" i="10"/>
  <c r="H414" i="10"/>
  <c r="I414" i="10"/>
  <c r="K414" i="10"/>
  <c r="L414" i="10"/>
  <c r="M414" i="10"/>
  <c r="N414" i="10"/>
  <c r="P414" i="10"/>
  <c r="Q414" i="10"/>
  <c r="R414" i="10"/>
  <c r="S414" i="10"/>
  <c r="T414" i="10"/>
  <c r="U414" i="10"/>
  <c r="V414" i="10"/>
  <c r="W414" i="10"/>
  <c r="AB414" i="10"/>
  <c r="AC414" i="10"/>
  <c r="AD414" i="10"/>
  <c r="A415" i="10"/>
  <c r="B415" i="10"/>
  <c r="D415" i="10"/>
  <c r="E415" i="10"/>
  <c r="F415" i="10"/>
  <c r="G415" i="10"/>
  <c r="H415" i="10"/>
  <c r="I415" i="10"/>
  <c r="K415" i="10"/>
  <c r="L415" i="10"/>
  <c r="M415" i="10"/>
  <c r="N415" i="10"/>
  <c r="P415" i="10"/>
  <c r="Q415" i="10"/>
  <c r="R415" i="10"/>
  <c r="S415" i="10"/>
  <c r="T415" i="10"/>
  <c r="U415" i="10"/>
  <c r="V415" i="10"/>
  <c r="W415" i="10"/>
  <c r="AB415" i="10"/>
  <c r="AC415" i="10"/>
  <c r="AD415" i="10"/>
  <c r="A416" i="10"/>
  <c r="B416" i="10"/>
  <c r="D416" i="10"/>
  <c r="E416" i="10"/>
  <c r="F416" i="10"/>
  <c r="G416" i="10"/>
  <c r="H416" i="10"/>
  <c r="I416" i="10"/>
  <c r="J416" i="10"/>
  <c r="K416" i="10"/>
  <c r="L416" i="10"/>
  <c r="M416" i="10"/>
  <c r="N416" i="10"/>
  <c r="O416" i="10"/>
  <c r="P416" i="10"/>
  <c r="Q416" i="10"/>
  <c r="R416" i="10"/>
  <c r="S416" i="10"/>
  <c r="T416" i="10"/>
  <c r="U416" i="10"/>
  <c r="V416" i="10"/>
  <c r="W416" i="10"/>
  <c r="AB416" i="10"/>
  <c r="AC416" i="10"/>
  <c r="AD416" i="10"/>
  <c r="A417" i="10"/>
  <c r="B417" i="10"/>
  <c r="D417" i="10"/>
  <c r="E417" i="10"/>
  <c r="F417" i="10"/>
  <c r="G417" i="10"/>
  <c r="H417" i="10"/>
  <c r="I417" i="10"/>
  <c r="K417" i="10"/>
  <c r="L417" i="10"/>
  <c r="M417" i="10"/>
  <c r="N417" i="10"/>
  <c r="P417" i="10"/>
  <c r="Q417" i="10"/>
  <c r="R417" i="10"/>
  <c r="S417" i="10"/>
  <c r="T417" i="10"/>
  <c r="U417" i="10"/>
  <c r="V417" i="10"/>
  <c r="W417" i="10"/>
  <c r="AB417" i="10"/>
  <c r="AC417" i="10"/>
  <c r="AD417" i="10"/>
  <c r="A418" i="10"/>
  <c r="B418" i="10"/>
  <c r="D418" i="10"/>
  <c r="E418" i="10"/>
  <c r="F418" i="10"/>
  <c r="G418" i="10"/>
  <c r="H418" i="10"/>
  <c r="I418" i="10"/>
  <c r="K418" i="10"/>
  <c r="L418" i="10"/>
  <c r="M418" i="10"/>
  <c r="N418" i="10"/>
  <c r="P418" i="10"/>
  <c r="Q418" i="10"/>
  <c r="R418" i="10"/>
  <c r="S418" i="10"/>
  <c r="T418" i="10"/>
  <c r="U418" i="10"/>
  <c r="V418" i="10"/>
  <c r="W418" i="10"/>
  <c r="AB418" i="10"/>
  <c r="AC418" i="10"/>
  <c r="AD418" i="10"/>
  <c r="A419" i="10"/>
  <c r="B419" i="10"/>
  <c r="D419" i="10"/>
  <c r="E419" i="10"/>
  <c r="F419" i="10"/>
  <c r="G419" i="10"/>
  <c r="H419" i="10"/>
  <c r="I419" i="10"/>
  <c r="K419" i="10"/>
  <c r="L419" i="10"/>
  <c r="M419" i="10"/>
  <c r="N419" i="10"/>
  <c r="P419" i="10"/>
  <c r="Q419" i="10"/>
  <c r="R419" i="10"/>
  <c r="S419" i="10"/>
  <c r="T419" i="10"/>
  <c r="U419" i="10"/>
  <c r="V419" i="10"/>
  <c r="W419" i="10"/>
  <c r="AB419" i="10"/>
  <c r="AC419" i="10"/>
  <c r="AD419" i="10"/>
  <c r="A420" i="10"/>
  <c r="B420" i="10"/>
  <c r="D420" i="10"/>
  <c r="E420" i="10"/>
  <c r="F420" i="10"/>
  <c r="G420" i="10"/>
  <c r="H420" i="10"/>
  <c r="I420" i="10"/>
  <c r="K420" i="10"/>
  <c r="L420" i="10"/>
  <c r="M420" i="10"/>
  <c r="N420" i="10"/>
  <c r="P420" i="10"/>
  <c r="Q420" i="10"/>
  <c r="R420" i="10"/>
  <c r="S420" i="10"/>
  <c r="T420" i="10"/>
  <c r="U420" i="10"/>
  <c r="V420" i="10"/>
  <c r="W420" i="10"/>
  <c r="AB420" i="10"/>
  <c r="AC420" i="10"/>
  <c r="AD420" i="10"/>
  <c r="A421" i="10"/>
  <c r="B421" i="10"/>
  <c r="D421" i="10"/>
  <c r="E421" i="10"/>
  <c r="F421" i="10"/>
  <c r="G421" i="10"/>
  <c r="H421" i="10"/>
  <c r="I421" i="10"/>
  <c r="K421" i="10"/>
  <c r="L421" i="10"/>
  <c r="M421" i="10"/>
  <c r="N421" i="10"/>
  <c r="P421" i="10"/>
  <c r="Q421" i="10"/>
  <c r="R421" i="10"/>
  <c r="S421" i="10"/>
  <c r="T421" i="10"/>
  <c r="U421" i="10"/>
  <c r="V421" i="10"/>
  <c r="W421" i="10"/>
  <c r="AB421" i="10"/>
  <c r="AC421" i="10"/>
  <c r="AD421" i="10"/>
  <c r="A422" i="10"/>
  <c r="B422" i="10"/>
  <c r="D422" i="10"/>
  <c r="E422" i="10"/>
  <c r="F422" i="10"/>
  <c r="G422" i="10"/>
  <c r="H422" i="10"/>
  <c r="I422" i="10"/>
  <c r="K422" i="10"/>
  <c r="L422" i="10"/>
  <c r="M422" i="10"/>
  <c r="N422" i="10"/>
  <c r="P422" i="10"/>
  <c r="Q422" i="10"/>
  <c r="R422" i="10"/>
  <c r="S422" i="10"/>
  <c r="T422" i="10"/>
  <c r="U422" i="10"/>
  <c r="V422" i="10"/>
  <c r="W422" i="10"/>
  <c r="AB422" i="10"/>
  <c r="AC422" i="10"/>
  <c r="AD422" i="10"/>
  <c r="A423" i="10"/>
  <c r="B423" i="10"/>
  <c r="D423" i="10"/>
  <c r="E423" i="10"/>
  <c r="F423" i="10"/>
  <c r="G423" i="10"/>
  <c r="H423" i="10"/>
  <c r="I423" i="10"/>
  <c r="K423" i="10"/>
  <c r="L423" i="10"/>
  <c r="M423" i="10"/>
  <c r="N423" i="10"/>
  <c r="P423" i="10"/>
  <c r="Q423" i="10"/>
  <c r="R423" i="10"/>
  <c r="S423" i="10"/>
  <c r="T423" i="10"/>
  <c r="U423" i="10"/>
  <c r="V423" i="10"/>
  <c r="W423" i="10"/>
  <c r="AB423" i="10"/>
  <c r="AC423" i="10"/>
  <c r="AD423" i="10"/>
  <c r="A424" i="10"/>
  <c r="B424" i="10"/>
  <c r="D424" i="10"/>
  <c r="E424" i="10"/>
  <c r="F424" i="10"/>
  <c r="G424" i="10"/>
  <c r="H424" i="10"/>
  <c r="I424" i="10"/>
  <c r="K424" i="10"/>
  <c r="L424" i="10"/>
  <c r="M424" i="10"/>
  <c r="N424" i="10"/>
  <c r="P424" i="10"/>
  <c r="Q424" i="10"/>
  <c r="R424" i="10"/>
  <c r="S424" i="10"/>
  <c r="T424" i="10"/>
  <c r="U424" i="10"/>
  <c r="V424" i="10"/>
  <c r="W424" i="10"/>
  <c r="AB424" i="10"/>
  <c r="AC424" i="10"/>
  <c r="AD424" i="10"/>
  <c r="A425" i="10"/>
  <c r="B425" i="10"/>
  <c r="D425" i="10"/>
  <c r="E425" i="10"/>
  <c r="F425" i="10"/>
  <c r="G425" i="10"/>
  <c r="H425" i="10"/>
  <c r="I425" i="10"/>
  <c r="K425" i="10"/>
  <c r="L425" i="10"/>
  <c r="M425" i="10"/>
  <c r="N425" i="10"/>
  <c r="P425" i="10"/>
  <c r="Q425" i="10"/>
  <c r="R425" i="10"/>
  <c r="S425" i="10"/>
  <c r="T425" i="10"/>
  <c r="U425" i="10"/>
  <c r="V425" i="10"/>
  <c r="W425" i="10"/>
  <c r="AB425" i="10"/>
  <c r="AC425" i="10"/>
  <c r="AD425" i="10"/>
  <c r="A426" i="10"/>
  <c r="B426" i="10"/>
  <c r="D426" i="10"/>
  <c r="E426" i="10"/>
  <c r="F426" i="10"/>
  <c r="G426" i="10"/>
  <c r="H426" i="10"/>
  <c r="I426" i="10"/>
  <c r="K426" i="10"/>
  <c r="L426" i="10"/>
  <c r="M426" i="10"/>
  <c r="N426" i="10"/>
  <c r="P426" i="10"/>
  <c r="Q426" i="10"/>
  <c r="R426" i="10"/>
  <c r="S426" i="10"/>
  <c r="T426" i="10"/>
  <c r="U426" i="10"/>
  <c r="V426" i="10"/>
  <c r="W426" i="10"/>
  <c r="AB426" i="10"/>
  <c r="AC426" i="10"/>
  <c r="AD426" i="10"/>
  <c r="A427" i="10"/>
  <c r="B427" i="10"/>
  <c r="D427" i="10"/>
  <c r="E427" i="10"/>
  <c r="F427" i="10"/>
  <c r="G427" i="10"/>
  <c r="H427" i="10"/>
  <c r="I427" i="10"/>
  <c r="K427" i="10"/>
  <c r="L427" i="10"/>
  <c r="M427" i="10"/>
  <c r="N427" i="10"/>
  <c r="P427" i="10"/>
  <c r="Q427" i="10"/>
  <c r="R427" i="10"/>
  <c r="S427" i="10"/>
  <c r="T427" i="10"/>
  <c r="U427" i="10"/>
  <c r="V427" i="10"/>
  <c r="W427" i="10"/>
  <c r="AB427" i="10"/>
  <c r="AC427" i="10"/>
  <c r="AD427" i="10"/>
  <c r="A428" i="10"/>
  <c r="B428" i="10"/>
  <c r="D428" i="10"/>
  <c r="E428" i="10"/>
  <c r="F428" i="10"/>
  <c r="G428" i="10"/>
  <c r="H428" i="10"/>
  <c r="I428" i="10"/>
  <c r="K428" i="10"/>
  <c r="L428" i="10"/>
  <c r="M428" i="10"/>
  <c r="N428" i="10"/>
  <c r="P428" i="10"/>
  <c r="Q428" i="10"/>
  <c r="R428" i="10"/>
  <c r="S428" i="10"/>
  <c r="T428" i="10"/>
  <c r="U428" i="10"/>
  <c r="V428" i="10"/>
  <c r="W428" i="10"/>
  <c r="AB428" i="10"/>
  <c r="AC428" i="10"/>
  <c r="AD428" i="10"/>
  <c r="A429" i="10"/>
  <c r="B429" i="10"/>
  <c r="D429" i="10"/>
  <c r="E429" i="10"/>
  <c r="F429" i="10"/>
  <c r="G429" i="10"/>
  <c r="H429" i="10"/>
  <c r="I429" i="10"/>
  <c r="K429" i="10"/>
  <c r="L429" i="10"/>
  <c r="M429" i="10"/>
  <c r="N429" i="10"/>
  <c r="P429" i="10"/>
  <c r="Q429" i="10"/>
  <c r="R429" i="10"/>
  <c r="S429" i="10"/>
  <c r="T429" i="10"/>
  <c r="U429" i="10"/>
  <c r="V429" i="10"/>
  <c r="W429" i="10"/>
  <c r="AB429" i="10"/>
  <c r="AC429" i="10"/>
  <c r="AD429" i="10"/>
  <c r="A430" i="10"/>
  <c r="B430" i="10"/>
  <c r="D430" i="10"/>
  <c r="E430" i="10"/>
  <c r="F430" i="10"/>
  <c r="G430" i="10"/>
  <c r="H430" i="10"/>
  <c r="I430" i="10"/>
  <c r="K430" i="10"/>
  <c r="L430" i="10"/>
  <c r="M430" i="10"/>
  <c r="N430" i="10"/>
  <c r="P430" i="10"/>
  <c r="Q430" i="10"/>
  <c r="R430" i="10"/>
  <c r="S430" i="10"/>
  <c r="T430" i="10"/>
  <c r="U430" i="10"/>
  <c r="V430" i="10"/>
  <c r="W430" i="10"/>
  <c r="AB430" i="10"/>
  <c r="AC430" i="10"/>
  <c r="AD430" i="10"/>
  <c r="A431" i="10"/>
  <c r="B431" i="10"/>
  <c r="D431" i="10"/>
  <c r="E431" i="10"/>
  <c r="F431" i="10"/>
  <c r="G431" i="10"/>
  <c r="H431" i="10"/>
  <c r="I431" i="10"/>
  <c r="K431" i="10"/>
  <c r="L431" i="10"/>
  <c r="M431" i="10"/>
  <c r="N431" i="10"/>
  <c r="P431" i="10"/>
  <c r="Q431" i="10"/>
  <c r="R431" i="10"/>
  <c r="S431" i="10"/>
  <c r="T431" i="10"/>
  <c r="U431" i="10"/>
  <c r="V431" i="10"/>
  <c r="W431" i="10"/>
  <c r="AB431" i="10"/>
  <c r="AC431" i="10"/>
  <c r="AD431" i="10"/>
  <c r="A432" i="10"/>
  <c r="B432" i="10"/>
  <c r="D432" i="10"/>
  <c r="E432" i="10"/>
  <c r="F432" i="10"/>
  <c r="G432" i="10"/>
  <c r="H432" i="10"/>
  <c r="I432" i="10"/>
  <c r="K432" i="10"/>
  <c r="L432" i="10"/>
  <c r="M432" i="10"/>
  <c r="N432" i="10"/>
  <c r="P432" i="10"/>
  <c r="Q432" i="10"/>
  <c r="R432" i="10"/>
  <c r="S432" i="10"/>
  <c r="T432" i="10"/>
  <c r="U432" i="10"/>
  <c r="V432" i="10"/>
  <c r="W432" i="10"/>
  <c r="AB432" i="10"/>
  <c r="AC432" i="10"/>
  <c r="AD432" i="10"/>
  <c r="A433" i="10"/>
  <c r="B433" i="10"/>
  <c r="D433" i="10"/>
  <c r="E433" i="10"/>
  <c r="F433" i="10"/>
  <c r="G433" i="10"/>
  <c r="H433" i="10"/>
  <c r="I433" i="10"/>
  <c r="K433" i="10"/>
  <c r="L433" i="10"/>
  <c r="M433" i="10"/>
  <c r="N433" i="10"/>
  <c r="P433" i="10"/>
  <c r="Q433" i="10"/>
  <c r="R433" i="10"/>
  <c r="S433" i="10"/>
  <c r="T433" i="10"/>
  <c r="U433" i="10"/>
  <c r="V433" i="10"/>
  <c r="W433" i="10"/>
  <c r="AB433" i="10"/>
  <c r="AC433" i="10"/>
  <c r="AD433" i="10"/>
  <c r="A434" i="10"/>
  <c r="B434" i="10"/>
  <c r="D434" i="10"/>
  <c r="E434" i="10"/>
  <c r="F434" i="10"/>
  <c r="G434" i="10"/>
  <c r="H434" i="10"/>
  <c r="I434" i="10"/>
  <c r="K434" i="10"/>
  <c r="L434" i="10"/>
  <c r="M434" i="10"/>
  <c r="N434" i="10"/>
  <c r="P434" i="10"/>
  <c r="Q434" i="10"/>
  <c r="R434" i="10"/>
  <c r="S434" i="10"/>
  <c r="T434" i="10"/>
  <c r="U434" i="10"/>
  <c r="V434" i="10"/>
  <c r="W434" i="10"/>
  <c r="AB434" i="10"/>
  <c r="AC434" i="10"/>
  <c r="AD434" i="10"/>
  <c r="A435" i="10"/>
  <c r="B435" i="10"/>
  <c r="D435" i="10"/>
  <c r="E435" i="10"/>
  <c r="F435" i="10"/>
  <c r="G435" i="10"/>
  <c r="H435" i="10"/>
  <c r="I435" i="10"/>
  <c r="K435" i="10"/>
  <c r="L435" i="10"/>
  <c r="M435" i="10"/>
  <c r="N435" i="10"/>
  <c r="P435" i="10"/>
  <c r="Q435" i="10"/>
  <c r="R435" i="10"/>
  <c r="S435" i="10"/>
  <c r="T435" i="10"/>
  <c r="U435" i="10"/>
  <c r="V435" i="10"/>
  <c r="W435" i="10"/>
  <c r="AB435" i="10"/>
  <c r="AC435" i="10"/>
  <c r="AD435" i="10"/>
  <c r="A436" i="10"/>
  <c r="B436" i="10"/>
  <c r="D436" i="10"/>
  <c r="E436" i="10"/>
  <c r="F436" i="10"/>
  <c r="G436" i="10"/>
  <c r="H436" i="10"/>
  <c r="I436" i="10"/>
  <c r="K436" i="10"/>
  <c r="L436" i="10"/>
  <c r="M436" i="10"/>
  <c r="N436" i="10"/>
  <c r="P436" i="10"/>
  <c r="Q436" i="10"/>
  <c r="R436" i="10"/>
  <c r="S436" i="10"/>
  <c r="T436" i="10"/>
  <c r="U436" i="10"/>
  <c r="V436" i="10"/>
  <c r="W436" i="10"/>
  <c r="AB436" i="10"/>
  <c r="AC436" i="10"/>
  <c r="AD436" i="10"/>
  <c r="A437" i="10"/>
  <c r="B437" i="10"/>
  <c r="D437" i="10"/>
  <c r="E437" i="10"/>
  <c r="F437" i="10"/>
  <c r="G437" i="10"/>
  <c r="H437" i="10"/>
  <c r="I437" i="10"/>
  <c r="K437" i="10"/>
  <c r="L437" i="10"/>
  <c r="M437" i="10"/>
  <c r="N437" i="10"/>
  <c r="P437" i="10"/>
  <c r="Q437" i="10"/>
  <c r="R437" i="10"/>
  <c r="S437" i="10"/>
  <c r="T437" i="10"/>
  <c r="U437" i="10"/>
  <c r="V437" i="10"/>
  <c r="W437" i="10"/>
  <c r="AB437" i="10"/>
  <c r="AC437" i="10"/>
  <c r="AD437" i="10"/>
  <c r="A438" i="10"/>
  <c r="B438" i="10"/>
  <c r="D438" i="10"/>
  <c r="E438" i="10"/>
  <c r="F438" i="10"/>
  <c r="G438" i="10"/>
  <c r="H438" i="10"/>
  <c r="I438" i="10"/>
  <c r="K438" i="10"/>
  <c r="L438" i="10"/>
  <c r="M438" i="10"/>
  <c r="N438" i="10"/>
  <c r="P438" i="10"/>
  <c r="Q438" i="10"/>
  <c r="R438" i="10"/>
  <c r="S438" i="10"/>
  <c r="T438" i="10"/>
  <c r="U438" i="10"/>
  <c r="V438" i="10"/>
  <c r="W438" i="10"/>
  <c r="AB438" i="10"/>
  <c r="AC438" i="10"/>
  <c r="AD438" i="10"/>
  <c r="A439" i="10"/>
  <c r="B439" i="10"/>
  <c r="D439" i="10"/>
  <c r="E439" i="10"/>
  <c r="F439" i="10"/>
  <c r="G439" i="10"/>
  <c r="H439" i="10"/>
  <c r="I439" i="10"/>
  <c r="K439" i="10"/>
  <c r="L439" i="10"/>
  <c r="M439" i="10"/>
  <c r="N439" i="10"/>
  <c r="P439" i="10"/>
  <c r="Q439" i="10"/>
  <c r="R439" i="10"/>
  <c r="S439" i="10"/>
  <c r="T439" i="10"/>
  <c r="U439" i="10"/>
  <c r="V439" i="10"/>
  <c r="W439" i="10"/>
  <c r="AB439" i="10"/>
  <c r="AC439" i="10"/>
  <c r="AD439" i="10"/>
  <c r="A440" i="10"/>
  <c r="B440" i="10"/>
  <c r="D440" i="10"/>
  <c r="E440" i="10"/>
  <c r="F440" i="10"/>
  <c r="G440" i="10"/>
  <c r="H440" i="10"/>
  <c r="I440" i="10"/>
  <c r="K440" i="10"/>
  <c r="L440" i="10"/>
  <c r="M440" i="10"/>
  <c r="N440" i="10"/>
  <c r="P440" i="10"/>
  <c r="Q440" i="10"/>
  <c r="R440" i="10"/>
  <c r="S440" i="10"/>
  <c r="T440" i="10"/>
  <c r="U440" i="10"/>
  <c r="V440" i="10"/>
  <c r="W440" i="10"/>
  <c r="AB440" i="10"/>
  <c r="AC440" i="10"/>
  <c r="AD440" i="10"/>
  <c r="A441" i="10"/>
  <c r="B441" i="10"/>
  <c r="D441" i="10"/>
  <c r="E441" i="10"/>
  <c r="F441" i="10"/>
  <c r="G441" i="10"/>
  <c r="H441" i="10"/>
  <c r="I441" i="10"/>
  <c r="K441" i="10"/>
  <c r="L441" i="10"/>
  <c r="M441" i="10"/>
  <c r="N441" i="10"/>
  <c r="P441" i="10"/>
  <c r="Q441" i="10"/>
  <c r="R441" i="10"/>
  <c r="S441" i="10"/>
  <c r="T441" i="10"/>
  <c r="U441" i="10"/>
  <c r="V441" i="10"/>
  <c r="W441" i="10"/>
  <c r="AB441" i="10"/>
  <c r="AC441" i="10"/>
  <c r="AD441" i="10"/>
  <c r="A442" i="10"/>
  <c r="B442" i="10"/>
  <c r="D442" i="10"/>
  <c r="E442" i="10"/>
  <c r="F442" i="10"/>
  <c r="G442" i="10"/>
  <c r="H442" i="10"/>
  <c r="I442" i="10"/>
  <c r="K442" i="10"/>
  <c r="L442" i="10"/>
  <c r="M442" i="10"/>
  <c r="N442" i="10"/>
  <c r="P442" i="10"/>
  <c r="Q442" i="10"/>
  <c r="R442" i="10"/>
  <c r="S442" i="10"/>
  <c r="T442" i="10"/>
  <c r="U442" i="10"/>
  <c r="V442" i="10"/>
  <c r="W442" i="10"/>
  <c r="AB442" i="10"/>
  <c r="AC442" i="10"/>
  <c r="AD442" i="10"/>
  <c r="A443" i="10"/>
  <c r="B443" i="10"/>
  <c r="D443" i="10"/>
  <c r="E443" i="10"/>
  <c r="F443" i="10"/>
  <c r="G443" i="10"/>
  <c r="H443" i="10"/>
  <c r="I443" i="10"/>
  <c r="K443" i="10"/>
  <c r="L443" i="10"/>
  <c r="M443" i="10"/>
  <c r="N443" i="10"/>
  <c r="P443" i="10"/>
  <c r="Q443" i="10"/>
  <c r="R443" i="10"/>
  <c r="S443" i="10"/>
  <c r="T443" i="10"/>
  <c r="U443" i="10"/>
  <c r="V443" i="10"/>
  <c r="W443" i="10"/>
  <c r="AB443" i="10"/>
  <c r="AC443" i="10"/>
  <c r="AD443" i="10"/>
  <c r="A444" i="10"/>
  <c r="B444" i="10"/>
  <c r="D444" i="10"/>
  <c r="E444" i="10"/>
  <c r="F444" i="10"/>
  <c r="G444" i="10"/>
  <c r="H444" i="10"/>
  <c r="I444" i="10"/>
  <c r="K444" i="10"/>
  <c r="L444" i="10"/>
  <c r="M444" i="10"/>
  <c r="N444" i="10"/>
  <c r="P444" i="10"/>
  <c r="Q444" i="10"/>
  <c r="R444" i="10"/>
  <c r="S444" i="10"/>
  <c r="T444" i="10"/>
  <c r="U444" i="10"/>
  <c r="V444" i="10"/>
  <c r="W444" i="10"/>
  <c r="AB444" i="10"/>
  <c r="AC444" i="10"/>
  <c r="AD444" i="10"/>
  <c r="A445" i="10"/>
  <c r="B445" i="10"/>
  <c r="D445" i="10"/>
  <c r="E445" i="10"/>
  <c r="F445" i="10"/>
  <c r="G445" i="10"/>
  <c r="H445" i="10"/>
  <c r="I445" i="10"/>
  <c r="K445" i="10"/>
  <c r="L445" i="10"/>
  <c r="M445" i="10"/>
  <c r="N445" i="10"/>
  <c r="P445" i="10"/>
  <c r="Q445" i="10"/>
  <c r="R445" i="10"/>
  <c r="S445" i="10"/>
  <c r="T445" i="10"/>
  <c r="U445" i="10"/>
  <c r="V445" i="10"/>
  <c r="W445" i="10"/>
  <c r="AB445" i="10"/>
  <c r="AC445" i="10"/>
  <c r="AD445" i="10"/>
  <c r="A446" i="10"/>
  <c r="B446" i="10"/>
  <c r="D446" i="10"/>
  <c r="E446" i="10"/>
  <c r="F446" i="10"/>
  <c r="G446" i="10"/>
  <c r="H446" i="10"/>
  <c r="I446" i="10"/>
  <c r="K446" i="10"/>
  <c r="L446" i="10"/>
  <c r="M446" i="10"/>
  <c r="N446" i="10"/>
  <c r="P446" i="10"/>
  <c r="Q446" i="10"/>
  <c r="R446" i="10"/>
  <c r="S446" i="10"/>
  <c r="T446" i="10"/>
  <c r="U446" i="10"/>
  <c r="V446" i="10"/>
  <c r="W446" i="10"/>
  <c r="AB446" i="10"/>
  <c r="AC446" i="10"/>
  <c r="AD446" i="10"/>
  <c r="A447" i="10"/>
  <c r="B447" i="10"/>
  <c r="D447" i="10"/>
  <c r="E447" i="10"/>
  <c r="F447" i="10"/>
  <c r="G447" i="10"/>
  <c r="H447" i="10"/>
  <c r="I447" i="10"/>
  <c r="K447" i="10"/>
  <c r="L447" i="10"/>
  <c r="M447" i="10"/>
  <c r="N447" i="10"/>
  <c r="P447" i="10"/>
  <c r="Q447" i="10"/>
  <c r="R447" i="10"/>
  <c r="S447" i="10"/>
  <c r="T447" i="10"/>
  <c r="U447" i="10"/>
  <c r="V447" i="10"/>
  <c r="W447" i="10"/>
  <c r="AB447" i="10"/>
  <c r="AC447" i="10"/>
  <c r="AD447" i="10"/>
  <c r="A448" i="10"/>
  <c r="B448" i="10"/>
  <c r="D448" i="10"/>
  <c r="E448" i="10"/>
  <c r="F448" i="10"/>
  <c r="G448" i="10"/>
  <c r="H448" i="10"/>
  <c r="I448" i="10"/>
  <c r="K448" i="10"/>
  <c r="L448" i="10"/>
  <c r="M448" i="10"/>
  <c r="N448" i="10"/>
  <c r="P448" i="10"/>
  <c r="Q448" i="10"/>
  <c r="R448" i="10"/>
  <c r="S448" i="10"/>
  <c r="T448" i="10"/>
  <c r="U448" i="10"/>
  <c r="V448" i="10"/>
  <c r="W448" i="10"/>
  <c r="AB448" i="10"/>
  <c r="AC448" i="10"/>
  <c r="AD448" i="10"/>
  <c r="A449" i="10"/>
  <c r="B449" i="10"/>
  <c r="D449" i="10"/>
  <c r="E449" i="10"/>
  <c r="F449" i="10"/>
  <c r="G449" i="10"/>
  <c r="H449" i="10"/>
  <c r="I449" i="10"/>
  <c r="K449" i="10"/>
  <c r="L449" i="10"/>
  <c r="M449" i="10"/>
  <c r="N449" i="10"/>
  <c r="P449" i="10"/>
  <c r="Q449" i="10"/>
  <c r="R449" i="10"/>
  <c r="S449" i="10"/>
  <c r="T449" i="10"/>
  <c r="U449" i="10"/>
  <c r="V449" i="10"/>
  <c r="W449" i="10"/>
  <c r="AB449" i="10"/>
  <c r="AC449" i="10"/>
  <c r="AD449" i="10"/>
  <c r="A450" i="10"/>
  <c r="B450" i="10"/>
  <c r="D450" i="10"/>
  <c r="E450" i="10"/>
  <c r="F450" i="10"/>
  <c r="G450" i="10"/>
  <c r="H450" i="10"/>
  <c r="I450" i="10"/>
  <c r="K450" i="10"/>
  <c r="L450" i="10"/>
  <c r="M450" i="10"/>
  <c r="N450" i="10"/>
  <c r="P450" i="10"/>
  <c r="Q450" i="10"/>
  <c r="R450" i="10"/>
  <c r="S450" i="10"/>
  <c r="T450" i="10"/>
  <c r="U450" i="10"/>
  <c r="V450" i="10"/>
  <c r="W450" i="10"/>
  <c r="AB450" i="10"/>
  <c r="AC450" i="10"/>
  <c r="AD450" i="10"/>
  <c r="A451" i="10"/>
  <c r="B451" i="10"/>
  <c r="D451" i="10"/>
  <c r="E451" i="10"/>
  <c r="F451" i="10"/>
  <c r="G451" i="10"/>
  <c r="H451" i="10"/>
  <c r="I451" i="10"/>
  <c r="K451" i="10"/>
  <c r="L451" i="10"/>
  <c r="M451" i="10"/>
  <c r="N451" i="10"/>
  <c r="P451" i="10"/>
  <c r="Q451" i="10"/>
  <c r="R451" i="10"/>
  <c r="S451" i="10"/>
  <c r="T451" i="10"/>
  <c r="U451" i="10"/>
  <c r="V451" i="10"/>
  <c r="W451" i="10"/>
  <c r="AB451" i="10"/>
  <c r="AC451" i="10"/>
  <c r="AD451" i="10"/>
  <c r="A452" i="10"/>
  <c r="B452" i="10"/>
  <c r="D452" i="10"/>
  <c r="E452" i="10"/>
  <c r="F452" i="10"/>
  <c r="G452" i="10"/>
  <c r="H452" i="10"/>
  <c r="I452" i="10"/>
  <c r="K452" i="10"/>
  <c r="L452" i="10"/>
  <c r="M452" i="10"/>
  <c r="N452" i="10"/>
  <c r="P452" i="10"/>
  <c r="Q452" i="10"/>
  <c r="R452" i="10"/>
  <c r="S452" i="10"/>
  <c r="T452" i="10"/>
  <c r="U452" i="10"/>
  <c r="V452" i="10"/>
  <c r="W452" i="10"/>
  <c r="AB452" i="10"/>
  <c r="AC452" i="10"/>
  <c r="AD452" i="10"/>
  <c r="A453" i="10"/>
  <c r="B453" i="10"/>
  <c r="D453" i="10"/>
  <c r="E453" i="10"/>
  <c r="F453" i="10"/>
  <c r="G453" i="10"/>
  <c r="H453" i="10"/>
  <c r="I453" i="10"/>
  <c r="K453" i="10"/>
  <c r="L453" i="10"/>
  <c r="M453" i="10"/>
  <c r="N453" i="10"/>
  <c r="P453" i="10"/>
  <c r="Q453" i="10"/>
  <c r="R453" i="10"/>
  <c r="S453" i="10"/>
  <c r="T453" i="10"/>
  <c r="U453" i="10"/>
  <c r="V453" i="10"/>
  <c r="W453" i="10"/>
  <c r="AB453" i="10"/>
  <c r="AC453" i="10"/>
  <c r="AD453" i="10"/>
  <c r="A454" i="10"/>
  <c r="B454" i="10"/>
  <c r="D454" i="10"/>
  <c r="E454" i="10"/>
  <c r="F454" i="10"/>
  <c r="G454" i="10"/>
  <c r="H454" i="10"/>
  <c r="I454" i="10"/>
  <c r="K454" i="10"/>
  <c r="L454" i="10"/>
  <c r="M454" i="10"/>
  <c r="N454" i="10"/>
  <c r="P454" i="10"/>
  <c r="Q454" i="10"/>
  <c r="R454" i="10"/>
  <c r="S454" i="10"/>
  <c r="T454" i="10"/>
  <c r="U454" i="10"/>
  <c r="V454" i="10"/>
  <c r="W454" i="10"/>
  <c r="AB454" i="10"/>
  <c r="AC454" i="10"/>
  <c r="AD454" i="10"/>
  <c r="A455" i="10"/>
  <c r="B455" i="10"/>
  <c r="D455" i="10"/>
  <c r="E455" i="10"/>
  <c r="F455" i="10"/>
  <c r="G455" i="10"/>
  <c r="H455" i="10"/>
  <c r="I455" i="10"/>
  <c r="K455" i="10"/>
  <c r="L455" i="10"/>
  <c r="M455" i="10"/>
  <c r="N455" i="10"/>
  <c r="P455" i="10"/>
  <c r="Q455" i="10"/>
  <c r="R455" i="10"/>
  <c r="S455" i="10"/>
  <c r="T455" i="10"/>
  <c r="U455" i="10"/>
  <c r="V455" i="10"/>
  <c r="W455" i="10"/>
  <c r="AB455" i="10"/>
  <c r="AC455" i="10"/>
  <c r="AD455" i="10"/>
  <c r="A456" i="10"/>
  <c r="B456" i="10"/>
  <c r="D456" i="10"/>
  <c r="E456" i="10"/>
  <c r="F456" i="10"/>
  <c r="G456" i="10"/>
  <c r="H456" i="10"/>
  <c r="I456" i="10"/>
  <c r="K456" i="10"/>
  <c r="L456" i="10"/>
  <c r="M456" i="10"/>
  <c r="N456" i="10"/>
  <c r="P456" i="10"/>
  <c r="Q456" i="10"/>
  <c r="R456" i="10"/>
  <c r="S456" i="10"/>
  <c r="T456" i="10"/>
  <c r="U456" i="10"/>
  <c r="V456" i="10"/>
  <c r="W456" i="10"/>
  <c r="AB456" i="10"/>
  <c r="AC456" i="10"/>
  <c r="AD456" i="10"/>
  <c r="A457" i="10"/>
  <c r="B457" i="10"/>
  <c r="D457" i="10"/>
  <c r="E457" i="10"/>
  <c r="F457" i="10"/>
  <c r="G457" i="10"/>
  <c r="H457" i="10"/>
  <c r="I457" i="10"/>
  <c r="K457" i="10"/>
  <c r="L457" i="10"/>
  <c r="M457" i="10"/>
  <c r="N457" i="10"/>
  <c r="P457" i="10"/>
  <c r="Q457" i="10"/>
  <c r="R457" i="10"/>
  <c r="S457" i="10"/>
  <c r="T457" i="10"/>
  <c r="U457" i="10"/>
  <c r="V457" i="10"/>
  <c r="W457" i="10"/>
  <c r="AB457" i="10"/>
  <c r="AC457" i="10"/>
  <c r="AD457" i="10"/>
  <c r="A458" i="10"/>
  <c r="B458" i="10"/>
  <c r="D458" i="10"/>
  <c r="E458" i="10"/>
  <c r="F458" i="10"/>
  <c r="G458" i="10"/>
  <c r="H458" i="10"/>
  <c r="I458" i="10"/>
  <c r="K458" i="10"/>
  <c r="L458" i="10"/>
  <c r="M458" i="10"/>
  <c r="N458" i="10"/>
  <c r="P458" i="10"/>
  <c r="Q458" i="10"/>
  <c r="R458" i="10"/>
  <c r="S458" i="10"/>
  <c r="T458" i="10"/>
  <c r="U458" i="10"/>
  <c r="V458" i="10"/>
  <c r="W458" i="10"/>
  <c r="AB458" i="10"/>
  <c r="AC458" i="10"/>
  <c r="AD458" i="10"/>
  <c r="A459" i="10"/>
  <c r="B459" i="10"/>
  <c r="D459" i="10"/>
  <c r="E459" i="10"/>
  <c r="F459" i="10"/>
  <c r="G459" i="10"/>
  <c r="H459" i="10"/>
  <c r="I459" i="10"/>
  <c r="K459" i="10"/>
  <c r="L459" i="10"/>
  <c r="M459" i="10"/>
  <c r="N459" i="10"/>
  <c r="P459" i="10"/>
  <c r="Q459" i="10"/>
  <c r="R459" i="10"/>
  <c r="S459" i="10"/>
  <c r="T459" i="10"/>
  <c r="U459" i="10"/>
  <c r="V459" i="10"/>
  <c r="W459" i="10"/>
  <c r="AB459" i="10"/>
  <c r="AC459" i="10"/>
  <c r="AD459" i="10"/>
  <c r="A460" i="10"/>
  <c r="B460" i="10"/>
  <c r="D460" i="10"/>
  <c r="E460" i="10"/>
  <c r="F460" i="10"/>
  <c r="G460" i="10"/>
  <c r="H460" i="10"/>
  <c r="I460" i="10"/>
  <c r="K460" i="10"/>
  <c r="L460" i="10"/>
  <c r="M460" i="10"/>
  <c r="N460" i="10"/>
  <c r="P460" i="10"/>
  <c r="Q460" i="10"/>
  <c r="R460" i="10"/>
  <c r="S460" i="10"/>
  <c r="T460" i="10"/>
  <c r="U460" i="10"/>
  <c r="V460" i="10"/>
  <c r="W460" i="10"/>
  <c r="AB460" i="10"/>
  <c r="AC460" i="10"/>
  <c r="AD460" i="10"/>
  <c r="A461" i="10"/>
  <c r="B461" i="10"/>
  <c r="D461" i="10"/>
  <c r="E461" i="10"/>
  <c r="F461" i="10"/>
  <c r="G461" i="10"/>
  <c r="H461" i="10"/>
  <c r="I461" i="10"/>
  <c r="K461" i="10"/>
  <c r="L461" i="10"/>
  <c r="M461" i="10"/>
  <c r="N461" i="10"/>
  <c r="P461" i="10"/>
  <c r="Q461" i="10"/>
  <c r="R461" i="10"/>
  <c r="S461" i="10"/>
  <c r="T461" i="10"/>
  <c r="U461" i="10"/>
  <c r="V461" i="10"/>
  <c r="W461" i="10"/>
  <c r="AB461" i="10"/>
  <c r="AC461" i="10"/>
  <c r="AD461" i="10"/>
  <c r="A462" i="10"/>
  <c r="B462" i="10"/>
  <c r="D462" i="10"/>
  <c r="E462" i="10"/>
  <c r="F462" i="10"/>
  <c r="G462" i="10"/>
  <c r="H462" i="10"/>
  <c r="I462" i="10"/>
  <c r="K462" i="10"/>
  <c r="L462" i="10"/>
  <c r="M462" i="10"/>
  <c r="N462" i="10"/>
  <c r="P462" i="10"/>
  <c r="Q462" i="10"/>
  <c r="R462" i="10"/>
  <c r="S462" i="10"/>
  <c r="T462" i="10"/>
  <c r="U462" i="10"/>
  <c r="V462" i="10"/>
  <c r="W462" i="10"/>
  <c r="AB462" i="10"/>
  <c r="AC462" i="10"/>
  <c r="AD462" i="10"/>
  <c r="A463" i="10"/>
  <c r="B463" i="10"/>
  <c r="D463" i="10"/>
  <c r="E463" i="10"/>
  <c r="F463" i="10"/>
  <c r="G463" i="10"/>
  <c r="H463" i="10"/>
  <c r="I463" i="10"/>
  <c r="K463" i="10"/>
  <c r="L463" i="10"/>
  <c r="M463" i="10"/>
  <c r="N463" i="10"/>
  <c r="P463" i="10"/>
  <c r="Q463" i="10"/>
  <c r="R463" i="10"/>
  <c r="S463" i="10"/>
  <c r="T463" i="10"/>
  <c r="U463" i="10"/>
  <c r="V463" i="10"/>
  <c r="W463" i="10"/>
  <c r="AB463" i="10"/>
  <c r="AC463" i="10"/>
  <c r="AD463" i="10"/>
  <c r="A464" i="10"/>
  <c r="B464" i="10"/>
  <c r="D464" i="10"/>
  <c r="E464" i="10"/>
  <c r="F464" i="10"/>
  <c r="G464" i="10"/>
  <c r="H464" i="10"/>
  <c r="I464" i="10"/>
  <c r="K464" i="10"/>
  <c r="L464" i="10"/>
  <c r="M464" i="10"/>
  <c r="N464" i="10"/>
  <c r="P464" i="10"/>
  <c r="Q464" i="10"/>
  <c r="R464" i="10"/>
  <c r="S464" i="10"/>
  <c r="T464" i="10"/>
  <c r="U464" i="10"/>
  <c r="V464" i="10"/>
  <c r="W464" i="10"/>
  <c r="AB464" i="10"/>
  <c r="AC464" i="10"/>
  <c r="AD464" i="10"/>
  <c r="A465" i="10"/>
  <c r="B465" i="10"/>
  <c r="D465" i="10"/>
  <c r="E465" i="10"/>
  <c r="F465" i="10"/>
  <c r="G465" i="10"/>
  <c r="H465" i="10"/>
  <c r="I465" i="10"/>
  <c r="K465" i="10"/>
  <c r="L465" i="10"/>
  <c r="M465" i="10"/>
  <c r="N465" i="10"/>
  <c r="P465" i="10"/>
  <c r="Q465" i="10"/>
  <c r="R465" i="10"/>
  <c r="S465" i="10"/>
  <c r="T465" i="10"/>
  <c r="U465" i="10"/>
  <c r="V465" i="10"/>
  <c r="W465" i="10"/>
  <c r="AB465" i="10"/>
  <c r="AC465" i="10"/>
  <c r="AD465" i="10"/>
  <c r="A466" i="10"/>
  <c r="B466" i="10"/>
  <c r="D466" i="10"/>
  <c r="E466" i="10"/>
  <c r="F466" i="10"/>
  <c r="G466" i="10"/>
  <c r="H466" i="10"/>
  <c r="I466" i="10"/>
  <c r="K466" i="10"/>
  <c r="L466" i="10"/>
  <c r="M466" i="10"/>
  <c r="N466" i="10"/>
  <c r="P466" i="10"/>
  <c r="Q466" i="10"/>
  <c r="R466" i="10"/>
  <c r="S466" i="10"/>
  <c r="T466" i="10"/>
  <c r="U466" i="10"/>
  <c r="V466" i="10"/>
  <c r="W466" i="10"/>
  <c r="AB466" i="10"/>
  <c r="AC466" i="10"/>
  <c r="AD466" i="10"/>
  <c r="A467" i="10"/>
  <c r="B467" i="10"/>
  <c r="D467" i="10"/>
  <c r="E467" i="10"/>
  <c r="F467" i="10"/>
  <c r="G467" i="10"/>
  <c r="H467" i="10"/>
  <c r="I467" i="10"/>
  <c r="K467" i="10"/>
  <c r="L467" i="10"/>
  <c r="M467" i="10"/>
  <c r="N467" i="10"/>
  <c r="P467" i="10"/>
  <c r="Q467" i="10"/>
  <c r="R467" i="10"/>
  <c r="S467" i="10"/>
  <c r="T467" i="10"/>
  <c r="U467" i="10"/>
  <c r="V467" i="10"/>
  <c r="W467" i="10"/>
  <c r="AB467" i="10"/>
  <c r="AC467" i="10"/>
  <c r="AD467" i="10"/>
  <c r="A468" i="10"/>
  <c r="B468" i="10"/>
  <c r="D468" i="10"/>
  <c r="E468" i="10"/>
  <c r="F468" i="10"/>
  <c r="G468" i="10"/>
  <c r="H468" i="10"/>
  <c r="I468" i="10"/>
  <c r="K468" i="10"/>
  <c r="L468" i="10"/>
  <c r="M468" i="10"/>
  <c r="N468" i="10"/>
  <c r="P468" i="10"/>
  <c r="Q468" i="10"/>
  <c r="R468" i="10"/>
  <c r="S468" i="10"/>
  <c r="T468" i="10"/>
  <c r="U468" i="10"/>
  <c r="V468" i="10"/>
  <c r="W468" i="10"/>
  <c r="AB468" i="10"/>
  <c r="AC468" i="10"/>
  <c r="AD468" i="10"/>
  <c r="A469" i="10"/>
  <c r="B469" i="10"/>
  <c r="D469" i="10"/>
  <c r="E469" i="10"/>
  <c r="F469" i="10"/>
  <c r="G469" i="10"/>
  <c r="H469" i="10"/>
  <c r="I469" i="10"/>
  <c r="K469" i="10"/>
  <c r="L469" i="10"/>
  <c r="M469" i="10"/>
  <c r="N469" i="10"/>
  <c r="P469" i="10"/>
  <c r="Q469" i="10"/>
  <c r="R469" i="10"/>
  <c r="S469" i="10"/>
  <c r="T469" i="10"/>
  <c r="U469" i="10"/>
  <c r="V469" i="10"/>
  <c r="W469" i="10"/>
  <c r="AB469" i="10"/>
  <c r="AC469" i="10"/>
  <c r="AD469" i="10"/>
  <c r="A470" i="10"/>
  <c r="B470" i="10"/>
  <c r="D470" i="10"/>
  <c r="E470" i="10"/>
  <c r="F470" i="10"/>
  <c r="G470" i="10"/>
  <c r="H470" i="10"/>
  <c r="I470" i="10"/>
  <c r="K470" i="10"/>
  <c r="L470" i="10"/>
  <c r="M470" i="10"/>
  <c r="N470" i="10"/>
  <c r="P470" i="10"/>
  <c r="Q470" i="10"/>
  <c r="R470" i="10"/>
  <c r="S470" i="10"/>
  <c r="T470" i="10"/>
  <c r="U470" i="10"/>
  <c r="V470" i="10"/>
  <c r="W470" i="10"/>
  <c r="AB470" i="10"/>
  <c r="AC470" i="10"/>
  <c r="AD470" i="10"/>
  <c r="A471" i="10"/>
  <c r="B471" i="10"/>
  <c r="D471" i="10"/>
  <c r="E471" i="10"/>
  <c r="F471" i="10"/>
  <c r="G471" i="10"/>
  <c r="H471" i="10"/>
  <c r="I471" i="10"/>
  <c r="K471" i="10"/>
  <c r="L471" i="10"/>
  <c r="M471" i="10"/>
  <c r="N471" i="10"/>
  <c r="P471" i="10"/>
  <c r="Q471" i="10"/>
  <c r="R471" i="10"/>
  <c r="S471" i="10"/>
  <c r="T471" i="10"/>
  <c r="U471" i="10"/>
  <c r="V471" i="10"/>
  <c r="W471" i="10"/>
  <c r="AB471" i="10"/>
  <c r="AC471" i="10"/>
  <c r="AD471" i="10"/>
  <c r="A472" i="10"/>
  <c r="B472" i="10"/>
  <c r="D472" i="10"/>
  <c r="E472" i="10"/>
  <c r="F472" i="10"/>
  <c r="G472" i="10"/>
  <c r="H472" i="10"/>
  <c r="I472" i="10"/>
  <c r="K472" i="10"/>
  <c r="L472" i="10"/>
  <c r="M472" i="10"/>
  <c r="N472" i="10"/>
  <c r="P472" i="10"/>
  <c r="Q472" i="10"/>
  <c r="R472" i="10"/>
  <c r="S472" i="10"/>
  <c r="T472" i="10"/>
  <c r="U472" i="10"/>
  <c r="V472" i="10"/>
  <c r="W472" i="10"/>
  <c r="AB472" i="10"/>
  <c r="AC472" i="10"/>
  <c r="AD472" i="10"/>
  <c r="A473" i="10"/>
  <c r="B473" i="10"/>
  <c r="D473" i="10"/>
  <c r="E473" i="10"/>
  <c r="F473" i="10"/>
  <c r="G473" i="10"/>
  <c r="H473" i="10"/>
  <c r="I473" i="10"/>
  <c r="K473" i="10"/>
  <c r="L473" i="10"/>
  <c r="M473" i="10"/>
  <c r="N473" i="10"/>
  <c r="P473" i="10"/>
  <c r="Q473" i="10"/>
  <c r="R473" i="10"/>
  <c r="S473" i="10"/>
  <c r="T473" i="10"/>
  <c r="U473" i="10"/>
  <c r="V473" i="10"/>
  <c r="W473" i="10"/>
  <c r="AB473" i="10"/>
  <c r="AC473" i="10"/>
  <c r="AD473" i="10"/>
  <c r="A474" i="10"/>
  <c r="B474" i="10"/>
  <c r="D474" i="10"/>
  <c r="E474" i="10"/>
  <c r="F474" i="10"/>
  <c r="G474" i="10"/>
  <c r="H474" i="10"/>
  <c r="I474" i="10"/>
  <c r="K474" i="10"/>
  <c r="L474" i="10"/>
  <c r="M474" i="10"/>
  <c r="N474" i="10"/>
  <c r="P474" i="10"/>
  <c r="Q474" i="10"/>
  <c r="R474" i="10"/>
  <c r="S474" i="10"/>
  <c r="T474" i="10"/>
  <c r="U474" i="10"/>
  <c r="V474" i="10"/>
  <c r="W474" i="10"/>
  <c r="AB474" i="10"/>
  <c r="AC474" i="10"/>
  <c r="AD474" i="10"/>
  <c r="A475" i="10"/>
  <c r="B475" i="10"/>
  <c r="D475" i="10"/>
  <c r="E475" i="10"/>
  <c r="F475" i="10"/>
  <c r="G475" i="10"/>
  <c r="H475" i="10"/>
  <c r="I475" i="10"/>
  <c r="K475" i="10"/>
  <c r="L475" i="10"/>
  <c r="M475" i="10"/>
  <c r="N475" i="10"/>
  <c r="P475" i="10"/>
  <c r="Q475" i="10"/>
  <c r="R475" i="10"/>
  <c r="S475" i="10"/>
  <c r="T475" i="10"/>
  <c r="U475" i="10"/>
  <c r="V475" i="10"/>
  <c r="W475" i="10"/>
  <c r="AB475" i="10"/>
  <c r="AC475" i="10"/>
  <c r="AD475" i="10"/>
  <c r="A476" i="10"/>
  <c r="B476" i="10"/>
  <c r="D476" i="10"/>
  <c r="E476" i="10"/>
  <c r="F476" i="10"/>
  <c r="G476" i="10"/>
  <c r="H476" i="10"/>
  <c r="I476" i="10"/>
  <c r="K476" i="10"/>
  <c r="L476" i="10"/>
  <c r="M476" i="10"/>
  <c r="N476" i="10"/>
  <c r="P476" i="10"/>
  <c r="Q476" i="10"/>
  <c r="R476" i="10"/>
  <c r="S476" i="10"/>
  <c r="T476" i="10"/>
  <c r="U476" i="10"/>
  <c r="V476" i="10"/>
  <c r="W476" i="10"/>
  <c r="AB476" i="10"/>
  <c r="AC476" i="10"/>
  <c r="AD476" i="10"/>
  <c r="A477" i="10"/>
  <c r="B477" i="10"/>
  <c r="D477" i="10"/>
  <c r="E477" i="10"/>
  <c r="F477" i="10"/>
  <c r="G477" i="10"/>
  <c r="H477" i="10"/>
  <c r="I477" i="10"/>
  <c r="K477" i="10"/>
  <c r="L477" i="10"/>
  <c r="M477" i="10"/>
  <c r="N477" i="10"/>
  <c r="P477" i="10"/>
  <c r="Q477" i="10"/>
  <c r="R477" i="10"/>
  <c r="S477" i="10"/>
  <c r="T477" i="10"/>
  <c r="U477" i="10"/>
  <c r="V477" i="10"/>
  <c r="W477" i="10"/>
  <c r="AB477" i="10"/>
  <c r="AC477" i="10"/>
  <c r="AD477" i="10"/>
  <c r="A478" i="10"/>
  <c r="B478" i="10"/>
  <c r="D478" i="10"/>
  <c r="E478" i="10"/>
  <c r="F478" i="10"/>
  <c r="G478" i="10"/>
  <c r="H478" i="10"/>
  <c r="I478" i="10"/>
  <c r="K478" i="10"/>
  <c r="L478" i="10"/>
  <c r="M478" i="10"/>
  <c r="N478" i="10"/>
  <c r="P478" i="10"/>
  <c r="Q478" i="10"/>
  <c r="R478" i="10"/>
  <c r="S478" i="10"/>
  <c r="T478" i="10"/>
  <c r="U478" i="10"/>
  <c r="V478" i="10"/>
  <c r="W478" i="10"/>
  <c r="AB478" i="10"/>
  <c r="AC478" i="10"/>
  <c r="AD478" i="10"/>
  <c r="A479" i="10"/>
  <c r="B479" i="10"/>
  <c r="D479" i="10"/>
  <c r="E479" i="10"/>
  <c r="F479" i="10"/>
  <c r="G479" i="10"/>
  <c r="H479" i="10"/>
  <c r="I479" i="10"/>
  <c r="K479" i="10"/>
  <c r="L479" i="10"/>
  <c r="M479" i="10"/>
  <c r="N479" i="10"/>
  <c r="P479" i="10"/>
  <c r="Q479" i="10"/>
  <c r="R479" i="10"/>
  <c r="S479" i="10"/>
  <c r="T479" i="10"/>
  <c r="U479" i="10"/>
  <c r="V479" i="10"/>
  <c r="W479" i="10"/>
  <c r="AB479" i="10"/>
  <c r="AC479" i="10"/>
  <c r="AD479" i="10"/>
  <c r="A480" i="10"/>
  <c r="B480" i="10"/>
  <c r="D480" i="10"/>
  <c r="E480" i="10"/>
  <c r="F480" i="10"/>
  <c r="G480" i="10"/>
  <c r="H480" i="10"/>
  <c r="I480" i="10"/>
  <c r="K480" i="10"/>
  <c r="L480" i="10"/>
  <c r="M480" i="10"/>
  <c r="N480" i="10"/>
  <c r="P480" i="10"/>
  <c r="Q480" i="10"/>
  <c r="R480" i="10"/>
  <c r="S480" i="10"/>
  <c r="T480" i="10"/>
  <c r="U480" i="10"/>
  <c r="V480" i="10"/>
  <c r="W480" i="10"/>
  <c r="AB480" i="10"/>
  <c r="AC480" i="10"/>
  <c r="AD480" i="10"/>
  <c r="A481" i="10"/>
  <c r="B481" i="10"/>
  <c r="D481" i="10"/>
  <c r="E481" i="10"/>
  <c r="F481" i="10"/>
  <c r="G481" i="10"/>
  <c r="H481" i="10"/>
  <c r="I481" i="10"/>
  <c r="K481" i="10"/>
  <c r="L481" i="10"/>
  <c r="M481" i="10"/>
  <c r="N481" i="10"/>
  <c r="P481" i="10"/>
  <c r="Q481" i="10"/>
  <c r="R481" i="10"/>
  <c r="S481" i="10"/>
  <c r="T481" i="10"/>
  <c r="U481" i="10"/>
  <c r="V481" i="10"/>
  <c r="W481" i="10"/>
  <c r="AB481" i="10"/>
  <c r="AC481" i="10"/>
  <c r="AD481" i="10"/>
  <c r="A482" i="10"/>
  <c r="B482" i="10"/>
  <c r="D482" i="10"/>
  <c r="E482" i="10"/>
  <c r="F482" i="10"/>
  <c r="G482" i="10"/>
  <c r="H482" i="10"/>
  <c r="I482" i="10"/>
  <c r="K482" i="10"/>
  <c r="L482" i="10"/>
  <c r="M482" i="10"/>
  <c r="N482" i="10"/>
  <c r="P482" i="10"/>
  <c r="Q482" i="10"/>
  <c r="R482" i="10"/>
  <c r="S482" i="10"/>
  <c r="T482" i="10"/>
  <c r="U482" i="10"/>
  <c r="V482" i="10"/>
  <c r="W482" i="10"/>
  <c r="AB482" i="10"/>
  <c r="AC482" i="10"/>
  <c r="AD482" i="10"/>
  <c r="A483" i="10"/>
  <c r="B483" i="10"/>
  <c r="D483" i="10"/>
  <c r="E483" i="10"/>
  <c r="F483" i="10"/>
  <c r="G483" i="10"/>
  <c r="H483" i="10"/>
  <c r="I483" i="10"/>
  <c r="K483" i="10"/>
  <c r="L483" i="10"/>
  <c r="M483" i="10"/>
  <c r="N483" i="10"/>
  <c r="P483" i="10"/>
  <c r="Q483" i="10"/>
  <c r="R483" i="10"/>
  <c r="S483" i="10"/>
  <c r="T483" i="10"/>
  <c r="U483" i="10"/>
  <c r="V483" i="10"/>
  <c r="W483" i="10"/>
  <c r="AB483" i="10"/>
  <c r="AC483" i="10"/>
  <c r="AD483" i="10"/>
  <c r="A484" i="10"/>
  <c r="B484" i="10"/>
  <c r="D484" i="10"/>
  <c r="E484" i="10"/>
  <c r="F484" i="10"/>
  <c r="G484" i="10"/>
  <c r="H484" i="10"/>
  <c r="I484" i="10"/>
  <c r="K484" i="10"/>
  <c r="L484" i="10"/>
  <c r="M484" i="10"/>
  <c r="N484" i="10"/>
  <c r="P484" i="10"/>
  <c r="Q484" i="10"/>
  <c r="R484" i="10"/>
  <c r="S484" i="10"/>
  <c r="T484" i="10"/>
  <c r="U484" i="10"/>
  <c r="V484" i="10"/>
  <c r="W484" i="10"/>
  <c r="AB484" i="10"/>
  <c r="AC484" i="10"/>
  <c r="AD484" i="10"/>
  <c r="A485" i="10"/>
  <c r="B485" i="10"/>
  <c r="D485" i="10"/>
  <c r="E485" i="10"/>
  <c r="F485" i="10"/>
  <c r="G485" i="10"/>
  <c r="H485" i="10"/>
  <c r="I485" i="10"/>
  <c r="K485" i="10"/>
  <c r="L485" i="10"/>
  <c r="M485" i="10"/>
  <c r="N485" i="10"/>
  <c r="P485" i="10"/>
  <c r="Q485" i="10"/>
  <c r="R485" i="10"/>
  <c r="S485" i="10"/>
  <c r="T485" i="10"/>
  <c r="U485" i="10"/>
  <c r="V485" i="10"/>
  <c r="W485" i="10"/>
  <c r="AB485" i="10"/>
  <c r="AC485" i="10"/>
  <c r="AD485" i="10"/>
  <c r="A486" i="10"/>
  <c r="B486" i="10"/>
  <c r="D486" i="10"/>
  <c r="E486" i="10"/>
  <c r="F486" i="10"/>
  <c r="G486" i="10"/>
  <c r="H486" i="10"/>
  <c r="I486" i="10"/>
  <c r="K486" i="10"/>
  <c r="L486" i="10"/>
  <c r="M486" i="10"/>
  <c r="N486" i="10"/>
  <c r="P486" i="10"/>
  <c r="Q486" i="10"/>
  <c r="R486" i="10"/>
  <c r="S486" i="10"/>
  <c r="T486" i="10"/>
  <c r="U486" i="10"/>
  <c r="V486" i="10"/>
  <c r="W486" i="10"/>
  <c r="AB486" i="10"/>
  <c r="AC486" i="10"/>
  <c r="AD486" i="10"/>
  <c r="A487" i="10"/>
  <c r="B487" i="10"/>
  <c r="D487" i="10"/>
  <c r="E487" i="10"/>
  <c r="F487" i="10"/>
  <c r="G487" i="10"/>
  <c r="H487" i="10"/>
  <c r="I487" i="10"/>
  <c r="K487" i="10"/>
  <c r="L487" i="10"/>
  <c r="M487" i="10"/>
  <c r="N487" i="10"/>
  <c r="P487" i="10"/>
  <c r="Q487" i="10"/>
  <c r="R487" i="10"/>
  <c r="S487" i="10"/>
  <c r="T487" i="10"/>
  <c r="U487" i="10"/>
  <c r="V487" i="10"/>
  <c r="W487" i="10"/>
  <c r="AB487" i="10"/>
  <c r="AC487" i="10"/>
  <c r="AD487" i="10"/>
  <c r="A488" i="10"/>
  <c r="B488" i="10"/>
  <c r="D488" i="10"/>
  <c r="E488" i="10"/>
  <c r="F488" i="10"/>
  <c r="G488" i="10"/>
  <c r="H488" i="10"/>
  <c r="I488" i="10"/>
  <c r="K488" i="10"/>
  <c r="L488" i="10"/>
  <c r="M488" i="10"/>
  <c r="N488" i="10"/>
  <c r="P488" i="10"/>
  <c r="Q488" i="10"/>
  <c r="R488" i="10"/>
  <c r="S488" i="10"/>
  <c r="T488" i="10"/>
  <c r="U488" i="10"/>
  <c r="V488" i="10"/>
  <c r="W488" i="10"/>
  <c r="AB488" i="10"/>
  <c r="AC488" i="10"/>
  <c r="AD488" i="10"/>
  <c r="A489" i="10"/>
  <c r="B489" i="10"/>
  <c r="D489" i="10"/>
  <c r="E489" i="10"/>
  <c r="F489" i="10"/>
  <c r="G489" i="10"/>
  <c r="H489" i="10"/>
  <c r="I489" i="10"/>
  <c r="K489" i="10"/>
  <c r="L489" i="10"/>
  <c r="M489" i="10"/>
  <c r="N489" i="10"/>
  <c r="P489" i="10"/>
  <c r="Q489" i="10"/>
  <c r="R489" i="10"/>
  <c r="S489" i="10"/>
  <c r="T489" i="10"/>
  <c r="U489" i="10"/>
  <c r="V489" i="10"/>
  <c r="W489" i="10"/>
  <c r="AB489" i="10"/>
  <c r="AC489" i="10"/>
  <c r="AD489" i="10"/>
  <c r="A490" i="10"/>
  <c r="B490" i="10"/>
  <c r="D490" i="10"/>
  <c r="E490" i="10"/>
  <c r="F490" i="10"/>
  <c r="G490" i="10"/>
  <c r="H490" i="10"/>
  <c r="I490" i="10"/>
  <c r="K490" i="10"/>
  <c r="L490" i="10"/>
  <c r="M490" i="10"/>
  <c r="N490" i="10"/>
  <c r="P490" i="10"/>
  <c r="Q490" i="10"/>
  <c r="R490" i="10"/>
  <c r="S490" i="10"/>
  <c r="T490" i="10"/>
  <c r="U490" i="10"/>
  <c r="V490" i="10"/>
  <c r="W490" i="10"/>
  <c r="AB490" i="10"/>
  <c r="AC490" i="10"/>
  <c r="AD490" i="10"/>
  <c r="A491" i="10"/>
  <c r="B491" i="10"/>
  <c r="D491" i="10"/>
  <c r="E491" i="10"/>
  <c r="F491" i="10"/>
  <c r="G491" i="10"/>
  <c r="H491" i="10"/>
  <c r="I491" i="10"/>
  <c r="K491" i="10"/>
  <c r="L491" i="10"/>
  <c r="M491" i="10"/>
  <c r="N491" i="10"/>
  <c r="P491" i="10"/>
  <c r="Q491" i="10"/>
  <c r="R491" i="10"/>
  <c r="S491" i="10"/>
  <c r="T491" i="10"/>
  <c r="U491" i="10"/>
  <c r="V491" i="10"/>
  <c r="W491" i="10"/>
  <c r="AB491" i="10"/>
  <c r="AC491" i="10"/>
  <c r="AD491" i="10"/>
  <c r="A492" i="10"/>
  <c r="B492" i="10"/>
  <c r="D492" i="10"/>
  <c r="E492" i="10"/>
  <c r="F492" i="10"/>
  <c r="G492" i="10"/>
  <c r="H492" i="10"/>
  <c r="I492" i="10"/>
  <c r="J492" i="10"/>
  <c r="K492" i="10"/>
  <c r="L492" i="10"/>
  <c r="M492" i="10"/>
  <c r="N492" i="10"/>
  <c r="O492" i="10"/>
  <c r="P492" i="10"/>
  <c r="Q492" i="10"/>
  <c r="R492" i="10"/>
  <c r="S492" i="10"/>
  <c r="T492" i="10"/>
  <c r="U492" i="10"/>
  <c r="V492" i="10"/>
  <c r="W492" i="10"/>
  <c r="AB492" i="10"/>
  <c r="AC492" i="10"/>
  <c r="AD492" i="10"/>
  <c r="A493" i="10"/>
  <c r="B493" i="10"/>
  <c r="D493" i="10"/>
  <c r="E493" i="10"/>
  <c r="F493" i="10"/>
  <c r="G493" i="10"/>
  <c r="H493" i="10"/>
  <c r="I493" i="10"/>
  <c r="K493" i="10"/>
  <c r="L493" i="10"/>
  <c r="M493" i="10"/>
  <c r="N493" i="10"/>
  <c r="P493" i="10"/>
  <c r="Q493" i="10"/>
  <c r="R493" i="10"/>
  <c r="S493" i="10"/>
  <c r="T493" i="10"/>
  <c r="U493" i="10"/>
  <c r="V493" i="10"/>
  <c r="W493" i="10"/>
  <c r="AB493" i="10"/>
  <c r="AC493" i="10"/>
  <c r="AD493" i="10"/>
  <c r="A494" i="10"/>
  <c r="B494" i="10"/>
  <c r="D494" i="10"/>
  <c r="E494" i="10"/>
  <c r="F494" i="10"/>
  <c r="G494" i="10"/>
  <c r="H494" i="10"/>
  <c r="I494" i="10"/>
  <c r="K494" i="10"/>
  <c r="L494" i="10"/>
  <c r="M494" i="10"/>
  <c r="N494" i="10"/>
  <c r="P494" i="10"/>
  <c r="Q494" i="10"/>
  <c r="R494" i="10"/>
  <c r="S494" i="10"/>
  <c r="T494" i="10"/>
  <c r="U494" i="10"/>
  <c r="V494" i="10"/>
  <c r="W494" i="10"/>
  <c r="AB494" i="10"/>
  <c r="AC494" i="10"/>
  <c r="AD494" i="10"/>
  <c r="A495" i="10"/>
  <c r="B495" i="10"/>
  <c r="D495" i="10"/>
  <c r="E495" i="10"/>
  <c r="F495" i="10"/>
  <c r="G495" i="10"/>
  <c r="H495" i="10"/>
  <c r="I495" i="10"/>
  <c r="K495" i="10"/>
  <c r="L495" i="10"/>
  <c r="M495" i="10"/>
  <c r="N495" i="10"/>
  <c r="P495" i="10"/>
  <c r="Q495" i="10"/>
  <c r="R495" i="10"/>
  <c r="S495" i="10"/>
  <c r="T495" i="10"/>
  <c r="U495" i="10"/>
  <c r="V495" i="10"/>
  <c r="W495" i="10"/>
  <c r="AB495" i="10"/>
  <c r="AC495" i="10"/>
  <c r="AD495" i="10"/>
  <c r="A496" i="10"/>
  <c r="B496" i="10"/>
  <c r="D496" i="10"/>
  <c r="E496" i="10"/>
  <c r="F496" i="10"/>
  <c r="G496" i="10"/>
  <c r="H496" i="10"/>
  <c r="I496" i="10"/>
  <c r="K496" i="10"/>
  <c r="L496" i="10"/>
  <c r="M496" i="10"/>
  <c r="N496" i="10"/>
  <c r="P496" i="10"/>
  <c r="Q496" i="10"/>
  <c r="R496" i="10"/>
  <c r="S496" i="10"/>
  <c r="T496" i="10"/>
  <c r="U496" i="10"/>
  <c r="V496" i="10"/>
  <c r="W496" i="10"/>
  <c r="AB496" i="10"/>
  <c r="AC496" i="10"/>
  <c r="AD496" i="10"/>
  <c r="A497" i="10"/>
  <c r="B497" i="10"/>
  <c r="D497" i="10"/>
  <c r="E497" i="10"/>
  <c r="F497" i="10"/>
  <c r="G497" i="10"/>
  <c r="H497" i="10"/>
  <c r="I497" i="10"/>
  <c r="K497" i="10"/>
  <c r="L497" i="10"/>
  <c r="M497" i="10"/>
  <c r="N497" i="10"/>
  <c r="P497" i="10"/>
  <c r="Q497" i="10"/>
  <c r="R497" i="10"/>
  <c r="S497" i="10"/>
  <c r="T497" i="10"/>
  <c r="U497" i="10"/>
  <c r="V497" i="10"/>
  <c r="W497" i="10"/>
  <c r="AB497" i="10"/>
  <c r="AC497" i="10"/>
  <c r="AD497" i="10"/>
  <c r="A498" i="10"/>
  <c r="B498" i="10"/>
  <c r="D498" i="10"/>
  <c r="E498" i="10"/>
  <c r="F498" i="10"/>
  <c r="G498" i="10"/>
  <c r="H498" i="10"/>
  <c r="I498" i="10"/>
  <c r="K498" i="10"/>
  <c r="L498" i="10"/>
  <c r="M498" i="10"/>
  <c r="N498" i="10"/>
  <c r="P498" i="10"/>
  <c r="Q498" i="10"/>
  <c r="R498" i="10"/>
  <c r="S498" i="10"/>
  <c r="T498" i="10"/>
  <c r="U498" i="10"/>
  <c r="V498" i="10"/>
  <c r="W498" i="10"/>
  <c r="AB498" i="10"/>
  <c r="AC498" i="10"/>
  <c r="AD498" i="10"/>
  <c r="A499" i="10"/>
  <c r="B499" i="10"/>
  <c r="D499" i="10"/>
  <c r="E499" i="10"/>
  <c r="F499" i="10"/>
  <c r="G499" i="10"/>
  <c r="H499" i="10"/>
  <c r="I499" i="10"/>
  <c r="K499" i="10"/>
  <c r="L499" i="10"/>
  <c r="M499" i="10"/>
  <c r="N499" i="10"/>
  <c r="P499" i="10"/>
  <c r="Q499" i="10"/>
  <c r="R499" i="10"/>
  <c r="S499" i="10"/>
  <c r="T499" i="10"/>
  <c r="U499" i="10"/>
  <c r="V499" i="10"/>
  <c r="W499" i="10"/>
  <c r="AB499" i="10"/>
  <c r="AC499" i="10"/>
  <c r="AD499" i="10"/>
  <c r="A500" i="10"/>
  <c r="B500" i="10"/>
  <c r="D500" i="10"/>
  <c r="E500" i="10"/>
  <c r="F500" i="10"/>
  <c r="G500" i="10"/>
  <c r="H500" i="10"/>
  <c r="I500" i="10"/>
  <c r="K500" i="10"/>
  <c r="L500" i="10"/>
  <c r="M500" i="10"/>
  <c r="N500" i="10"/>
  <c r="P500" i="10"/>
  <c r="Q500" i="10"/>
  <c r="R500" i="10"/>
  <c r="S500" i="10"/>
  <c r="T500" i="10"/>
  <c r="U500" i="10"/>
  <c r="V500" i="10"/>
  <c r="W500" i="10"/>
  <c r="AB500" i="10"/>
  <c r="AC500" i="10"/>
  <c r="AD500" i="10"/>
  <c r="A501" i="10"/>
  <c r="B501" i="10"/>
  <c r="D501" i="10"/>
  <c r="E501" i="10"/>
  <c r="F501" i="10"/>
  <c r="G501" i="10"/>
  <c r="H501" i="10"/>
  <c r="I501" i="10"/>
  <c r="K501" i="10"/>
  <c r="L501" i="10"/>
  <c r="M501" i="10"/>
  <c r="N501" i="10"/>
  <c r="P501" i="10"/>
  <c r="Q501" i="10"/>
  <c r="R501" i="10"/>
  <c r="S501" i="10"/>
  <c r="T501" i="10"/>
  <c r="U501" i="10"/>
  <c r="V501" i="10"/>
  <c r="W501" i="10"/>
  <c r="AB501" i="10"/>
  <c r="AC501" i="10"/>
  <c r="AD501" i="10"/>
  <c r="A502" i="10"/>
  <c r="B502" i="10"/>
  <c r="D502" i="10"/>
  <c r="E502" i="10"/>
  <c r="F502" i="10"/>
  <c r="G502" i="10"/>
  <c r="H502" i="10"/>
  <c r="I502" i="10"/>
  <c r="K502" i="10"/>
  <c r="L502" i="10"/>
  <c r="M502" i="10"/>
  <c r="N502" i="10"/>
  <c r="P502" i="10"/>
  <c r="Q502" i="10"/>
  <c r="R502" i="10"/>
  <c r="S502" i="10"/>
  <c r="T502" i="10"/>
  <c r="U502" i="10"/>
  <c r="V502" i="10"/>
  <c r="W502" i="10"/>
  <c r="AB502" i="10"/>
  <c r="AC502" i="10"/>
  <c r="AD502" i="10"/>
  <c r="A503" i="10"/>
  <c r="B503" i="10"/>
  <c r="D503" i="10"/>
  <c r="E503" i="10"/>
  <c r="F503" i="10"/>
  <c r="G503" i="10"/>
  <c r="H503" i="10"/>
  <c r="I503" i="10"/>
  <c r="K503" i="10"/>
  <c r="L503" i="10"/>
  <c r="M503" i="10"/>
  <c r="N503" i="10"/>
  <c r="P503" i="10"/>
  <c r="Q503" i="10"/>
  <c r="R503" i="10"/>
  <c r="S503" i="10"/>
  <c r="T503" i="10"/>
  <c r="U503" i="10"/>
  <c r="V503" i="10"/>
  <c r="W503" i="10"/>
  <c r="AB503" i="10"/>
  <c r="AC503" i="10"/>
  <c r="AD503" i="10"/>
  <c r="A504" i="10"/>
  <c r="B504" i="10"/>
  <c r="D504" i="10"/>
  <c r="E504" i="10"/>
  <c r="F504" i="10"/>
  <c r="G504" i="10"/>
  <c r="H504" i="10"/>
  <c r="I504" i="10"/>
  <c r="K504" i="10"/>
  <c r="L504" i="10"/>
  <c r="M504" i="10"/>
  <c r="N504" i="10"/>
  <c r="P504" i="10"/>
  <c r="Q504" i="10"/>
  <c r="R504" i="10"/>
  <c r="S504" i="10"/>
  <c r="T504" i="10"/>
  <c r="U504" i="10"/>
  <c r="V504" i="10"/>
  <c r="W504" i="10"/>
  <c r="AB504" i="10"/>
  <c r="AC504" i="10"/>
  <c r="AD504" i="10"/>
  <c r="A505" i="10"/>
  <c r="B505" i="10"/>
  <c r="D505" i="10"/>
  <c r="E505" i="10"/>
  <c r="F505" i="10"/>
  <c r="G505" i="10"/>
  <c r="H505" i="10"/>
  <c r="I505" i="10"/>
  <c r="K505" i="10"/>
  <c r="L505" i="10"/>
  <c r="M505" i="10"/>
  <c r="N505" i="10"/>
  <c r="P505" i="10"/>
  <c r="Q505" i="10"/>
  <c r="R505" i="10"/>
  <c r="S505" i="10"/>
  <c r="T505" i="10"/>
  <c r="U505" i="10"/>
  <c r="V505" i="10"/>
  <c r="W505" i="10"/>
  <c r="AB505" i="10"/>
  <c r="AC505" i="10"/>
  <c r="AD505" i="10"/>
  <c r="A506" i="10"/>
  <c r="B506" i="10"/>
  <c r="D506" i="10"/>
  <c r="E506" i="10"/>
  <c r="F506" i="10"/>
  <c r="G506" i="10"/>
  <c r="H506" i="10"/>
  <c r="I506" i="10"/>
  <c r="K506" i="10"/>
  <c r="L506" i="10"/>
  <c r="M506" i="10"/>
  <c r="N506" i="10"/>
  <c r="P506" i="10"/>
  <c r="Q506" i="10"/>
  <c r="R506" i="10"/>
  <c r="S506" i="10"/>
  <c r="T506" i="10"/>
  <c r="U506" i="10"/>
  <c r="V506" i="10"/>
  <c r="W506" i="10"/>
  <c r="AB506" i="10"/>
  <c r="AC506" i="10"/>
  <c r="AD506" i="10"/>
  <c r="A507" i="10"/>
  <c r="B507" i="10"/>
  <c r="D507" i="10"/>
  <c r="E507" i="10"/>
  <c r="F507" i="10"/>
  <c r="G507" i="10"/>
  <c r="H507" i="10"/>
  <c r="I507" i="10"/>
  <c r="K507" i="10"/>
  <c r="L507" i="10"/>
  <c r="M507" i="10"/>
  <c r="N507" i="10"/>
  <c r="P507" i="10"/>
  <c r="Q507" i="10"/>
  <c r="R507" i="10"/>
  <c r="S507" i="10"/>
  <c r="T507" i="10"/>
  <c r="U507" i="10"/>
  <c r="V507" i="10"/>
  <c r="W507" i="10"/>
  <c r="AB507" i="10"/>
  <c r="AC507" i="10"/>
  <c r="AD507" i="10"/>
  <c r="A508" i="10"/>
  <c r="B508" i="10"/>
  <c r="D508" i="10"/>
  <c r="E508" i="10"/>
  <c r="F508" i="10"/>
  <c r="G508" i="10"/>
  <c r="H508" i="10"/>
  <c r="I508" i="10"/>
  <c r="K508" i="10"/>
  <c r="L508" i="10"/>
  <c r="M508" i="10"/>
  <c r="N508" i="10"/>
  <c r="P508" i="10"/>
  <c r="Q508" i="10"/>
  <c r="R508" i="10"/>
  <c r="S508" i="10"/>
  <c r="T508" i="10"/>
  <c r="U508" i="10"/>
  <c r="V508" i="10"/>
  <c r="W508" i="10"/>
  <c r="AB508" i="10"/>
  <c r="AC508" i="10"/>
  <c r="AD508" i="10"/>
  <c r="A509" i="10"/>
  <c r="B509" i="10"/>
  <c r="D509" i="10"/>
  <c r="E509" i="10"/>
  <c r="F509" i="10"/>
  <c r="G509" i="10"/>
  <c r="H509" i="10"/>
  <c r="I509" i="10"/>
  <c r="K509" i="10"/>
  <c r="L509" i="10"/>
  <c r="M509" i="10"/>
  <c r="N509" i="10"/>
  <c r="P509" i="10"/>
  <c r="Q509" i="10"/>
  <c r="R509" i="10"/>
  <c r="S509" i="10"/>
  <c r="T509" i="10"/>
  <c r="U509" i="10"/>
  <c r="V509" i="10"/>
  <c r="W509" i="10"/>
  <c r="AB509" i="10"/>
  <c r="AC509" i="10"/>
  <c r="AD509" i="10"/>
  <c r="A510" i="10"/>
  <c r="B510" i="10"/>
  <c r="D510" i="10"/>
  <c r="E510" i="10"/>
  <c r="F510" i="10"/>
  <c r="G510" i="10"/>
  <c r="H510" i="10"/>
  <c r="I510" i="10"/>
  <c r="K510" i="10"/>
  <c r="L510" i="10"/>
  <c r="M510" i="10"/>
  <c r="N510" i="10"/>
  <c r="P510" i="10"/>
  <c r="Q510" i="10"/>
  <c r="R510" i="10"/>
  <c r="S510" i="10"/>
  <c r="T510" i="10"/>
  <c r="U510" i="10"/>
  <c r="V510" i="10"/>
  <c r="W510" i="10"/>
  <c r="AB510" i="10"/>
  <c r="AC510" i="10"/>
  <c r="AD510" i="10"/>
  <c r="A511" i="10"/>
  <c r="B511" i="10"/>
  <c r="D511" i="10"/>
  <c r="E511" i="10"/>
  <c r="F511" i="10"/>
  <c r="G511" i="10"/>
  <c r="H511" i="10"/>
  <c r="I511" i="10"/>
  <c r="K511" i="10"/>
  <c r="L511" i="10"/>
  <c r="M511" i="10"/>
  <c r="N511" i="10"/>
  <c r="P511" i="10"/>
  <c r="Q511" i="10"/>
  <c r="R511" i="10"/>
  <c r="S511" i="10"/>
  <c r="T511" i="10"/>
  <c r="U511" i="10"/>
  <c r="V511" i="10"/>
  <c r="W511" i="10"/>
  <c r="AB511" i="10"/>
  <c r="AC511" i="10"/>
  <c r="AD511" i="10"/>
  <c r="A512" i="10"/>
  <c r="B512" i="10"/>
  <c r="D512" i="10"/>
  <c r="E512" i="10"/>
  <c r="F512" i="10"/>
  <c r="G512" i="10"/>
  <c r="H512" i="10"/>
  <c r="I512" i="10"/>
  <c r="K512" i="10"/>
  <c r="L512" i="10"/>
  <c r="M512" i="10"/>
  <c r="N512" i="10"/>
  <c r="P512" i="10"/>
  <c r="Q512" i="10"/>
  <c r="R512" i="10"/>
  <c r="S512" i="10"/>
  <c r="T512" i="10"/>
  <c r="U512" i="10"/>
  <c r="V512" i="10"/>
  <c r="W512" i="10"/>
  <c r="AB512" i="10"/>
  <c r="AC512" i="10"/>
  <c r="AD512" i="10"/>
  <c r="A513" i="10"/>
  <c r="B513" i="10"/>
  <c r="D513" i="10"/>
  <c r="E513" i="10"/>
  <c r="F513" i="10"/>
  <c r="G513" i="10"/>
  <c r="H513" i="10"/>
  <c r="I513" i="10"/>
  <c r="K513" i="10"/>
  <c r="L513" i="10"/>
  <c r="M513" i="10"/>
  <c r="N513" i="10"/>
  <c r="P513" i="10"/>
  <c r="Q513" i="10"/>
  <c r="R513" i="10"/>
  <c r="S513" i="10"/>
  <c r="T513" i="10"/>
  <c r="U513" i="10"/>
  <c r="V513" i="10"/>
  <c r="W513" i="10"/>
  <c r="AB513" i="10"/>
  <c r="AC513" i="10"/>
  <c r="AD513" i="10"/>
  <c r="A514" i="10"/>
  <c r="B514" i="10"/>
  <c r="D514" i="10"/>
  <c r="E514" i="10"/>
  <c r="F514" i="10"/>
  <c r="G514" i="10"/>
  <c r="H514" i="10"/>
  <c r="I514" i="10"/>
  <c r="K514" i="10"/>
  <c r="L514" i="10"/>
  <c r="M514" i="10"/>
  <c r="N514" i="10"/>
  <c r="P514" i="10"/>
  <c r="Q514" i="10"/>
  <c r="R514" i="10"/>
  <c r="S514" i="10"/>
  <c r="T514" i="10"/>
  <c r="U514" i="10"/>
  <c r="V514" i="10"/>
  <c r="W514" i="10"/>
  <c r="AB514" i="10"/>
  <c r="AC514" i="10"/>
  <c r="AD514" i="10"/>
  <c r="A515" i="10"/>
  <c r="B515" i="10"/>
  <c r="D515" i="10"/>
  <c r="E515" i="10"/>
  <c r="F515" i="10"/>
  <c r="G515" i="10"/>
  <c r="H515" i="10"/>
  <c r="I515" i="10"/>
  <c r="K515" i="10"/>
  <c r="L515" i="10"/>
  <c r="M515" i="10"/>
  <c r="N515" i="10"/>
  <c r="P515" i="10"/>
  <c r="Q515" i="10"/>
  <c r="R515" i="10"/>
  <c r="S515" i="10"/>
  <c r="T515" i="10"/>
  <c r="U515" i="10"/>
  <c r="V515" i="10"/>
  <c r="W515" i="10"/>
  <c r="AB515" i="10"/>
  <c r="AC515" i="10"/>
  <c r="AD515" i="10"/>
  <c r="A516" i="10"/>
  <c r="B516" i="10"/>
  <c r="D516" i="10"/>
  <c r="E516" i="10"/>
  <c r="F516" i="10"/>
  <c r="G516" i="10"/>
  <c r="H516" i="10"/>
  <c r="I516" i="10"/>
  <c r="K516" i="10"/>
  <c r="L516" i="10"/>
  <c r="M516" i="10"/>
  <c r="N516" i="10"/>
  <c r="P516" i="10"/>
  <c r="Q516" i="10"/>
  <c r="R516" i="10"/>
  <c r="S516" i="10"/>
  <c r="T516" i="10"/>
  <c r="U516" i="10"/>
  <c r="V516" i="10"/>
  <c r="W516" i="10"/>
  <c r="AB516" i="10"/>
  <c r="AC516" i="10"/>
  <c r="AD516" i="10"/>
  <c r="A517" i="10"/>
  <c r="B517" i="10"/>
  <c r="D517" i="10"/>
  <c r="E517" i="10"/>
  <c r="F517" i="10"/>
  <c r="G517" i="10"/>
  <c r="H517" i="10"/>
  <c r="I517" i="10"/>
  <c r="K517" i="10"/>
  <c r="L517" i="10"/>
  <c r="M517" i="10"/>
  <c r="N517" i="10"/>
  <c r="P517" i="10"/>
  <c r="Q517" i="10"/>
  <c r="R517" i="10"/>
  <c r="S517" i="10"/>
  <c r="T517" i="10"/>
  <c r="U517" i="10"/>
  <c r="V517" i="10"/>
  <c r="W517" i="10"/>
  <c r="AB517" i="10"/>
  <c r="AC517" i="10"/>
  <c r="AD517" i="10"/>
  <c r="A518" i="10"/>
  <c r="B518" i="10"/>
  <c r="D518" i="10"/>
  <c r="E518" i="10"/>
  <c r="F518" i="10"/>
  <c r="G518" i="10"/>
  <c r="H518" i="10"/>
  <c r="I518" i="10"/>
  <c r="K518" i="10"/>
  <c r="L518" i="10"/>
  <c r="M518" i="10"/>
  <c r="N518" i="10"/>
  <c r="P518" i="10"/>
  <c r="Q518" i="10"/>
  <c r="R518" i="10"/>
  <c r="S518" i="10"/>
  <c r="T518" i="10"/>
  <c r="U518" i="10"/>
  <c r="V518" i="10"/>
  <c r="W518" i="10"/>
  <c r="AB518" i="10"/>
  <c r="AC518" i="10"/>
  <c r="AD518" i="10"/>
  <c r="A519" i="10"/>
  <c r="B519" i="10"/>
  <c r="D519" i="10"/>
  <c r="E519" i="10"/>
  <c r="F519" i="10"/>
  <c r="G519" i="10"/>
  <c r="H519" i="10"/>
  <c r="I519" i="10"/>
  <c r="K519" i="10"/>
  <c r="L519" i="10"/>
  <c r="M519" i="10"/>
  <c r="N519" i="10"/>
  <c r="P519" i="10"/>
  <c r="Q519" i="10"/>
  <c r="R519" i="10"/>
  <c r="S519" i="10"/>
  <c r="T519" i="10"/>
  <c r="U519" i="10"/>
  <c r="V519" i="10"/>
  <c r="W519" i="10"/>
  <c r="AB519" i="10"/>
  <c r="AC519" i="10"/>
  <c r="AD519" i="10"/>
  <c r="A520" i="10"/>
  <c r="B520" i="10"/>
  <c r="D520" i="10"/>
  <c r="E520" i="10"/>
  <c r="F520" i="10"/>
  <c r="G520" i="10"/>
  <c r="H520" i="10"/>
  <c r="I520" i="10"/>
  <c r="K520" i="10"/>
  <c r="L520" i="10"/>
  <c r="M520" i="10"/>
  <c r="N520" i="10"/>
  <c r="P520" i="10"/>
  <c r="Q520" i="10"/>
  <c r="R520" i="10"/>
  <c r="S520" i="10"/>
  <c r="T520" i="10"/>
  <c r="U520" i="10"/>
  <c r="V520" i="10"/>
  <c r="W520" i="10"/>
  <c r="AB520" i="10"/>
  <c r="AC520" i="10"/>
  <c r="AD520" i="10"/>
  <c r="A521" i="10"/>
  <c r="B521" i="10"/>
  <c r="D521" i="10"/>
  <c r="E521" i="10"/>
  <c r="F521" i="10"/>
  <c r="G521" i="10"/>
  <c r="H521" i="10"/>
  <c r="I521" i="10"/>
  <c r="K521" i="10"/>
  <c r="L521" i="10"/>
  <c r="M521" i="10"/>
  <c r="N521" i="10"/>
  <c r="P521" i="10"/>
  <c r="Q521" i="10"/>
  <c r="R521" i="10"/>
  <c r="S521" i="10"/>
  <c r="T521" i="10"/>
  <c r="U521" i="10"/>
  <c r="V521" i="10"/>
  <c r="W521" i="10"/>
  <c r="AB521" i="10"/>
  <c r="AC521" i="10"/>
  <c r="AD521" i="10"/>
  <c r="A522" i="10"/>
  <c r="B522" i="10"/>
  <c r="D522" i="10"/>
  <c r="E522" i="10"/>
  <c r="F522" i="10"/>
  <c r="G522" i="10"/>
  <c r="H522" i="10"/>
  <c r="I522" i="10"/>
  <c r="K522" i="10"/>
  <c r="L522" i="10"/>
  <c r="M522" i="10"/>
  <c r="N522" i="10"/>
  <c r="P522" i="10"/>
  <c r="Q522" i="10"/>
  <c r="R522" i="10"/>
  <c r="S522" i="10"/>
  <c r="T522" i="10"/>
  <c r="U522" i="10"/>
  <c r="V522" i="10"/>
  <c r="W522" i="10"/>
  <c r="AB522" i="10"/>
  <c r="AC522" i="10"/>
  <c r="AD522" i="10"/>
  <c r="A523" i="10"/>
  <c r="B523" i="10"/>
  <c r="D523" i="10"/>
  <c r="E523" i="10"/>
  <c r="F523" i="10"/>
  <c r="G523" i="10"/>
  <c r="H523" i="10"/>
  <c r="I523" i="10"/>
  <c r="K523" i="10"/>
  <c r="L523" i="10"/>
  <c r="M523" i="10"/>
  <c r="N523" i="10"/>
  <c r="P523" i="10"/>
  <c r="Q523" i="10"/>
  <c r="R523" i="10"/>
  <c r="S523" i="10"/>
  <c r="T523" i="10"/>
  <c r="U523" i="10"/>
  <c r="V523" i="10"/>
  <c r="W523" i="10"/>
  <c r="AB523" i="10"/>
  <c r="AC523" i="10"/>
  <c r="AD523" i="10"/>
  <c r="A524" i="10"/>
  <c r="B524" i="10"/>
  <c r="D524" i="10"/>
  <c r="E524" i="10"/>
  <c r="F524" i="10"/>
  <c r="G524" i="10"/>
  <c r="H524" i="10"/>
  <c r="I524" i="10"/>
  <c r="K524" i="10"/>
  <c r="L524" i="10"/>
  <c r="M524" i="10"/>
  <c r="N524" i="10"/>
  <c r="P524" i="10"/>
  <c r="Q524" i="10"/>
  <c r="R524" i="10"/>
  <c r="S524" i="10"/>
  <c r="T524" i="10"/>
  <c r="U524" i="10"/>
  <c r="V524" i="10"/>
  <c r="W524" i="10"/>
  <c r="AB524" i="10"/>
  <c r="AC524" i="10"/>
  <c r="AD524" i="10"/>
  <c r="A525" i="10"/>
  <c r="B525" i="10"/>
  <c r="D525" i="10"/>
  <c r="E525" i="10"/>
  <c r="F525" i="10"/>
  <c r="G525" i="10"/>
  <c r="H525" i="10"/>
  <c r="I525" i="10"/>
  <c r="K525" i="10"/>
  <c r="L525" i="10"/>
  <c r="M525" i="10"/>
  <c r="N525" i="10"/>
  <c r="P525" i="10"/>
  <c r="Q525" i="10"/>
  <c r="R525" i="10"/>
  <c r="S525" i="10"/>
  <c r="T525" i="10"/>
  <c r="U525" i="10"/>
  <c r="V525" i="10"/>
  <c r="W525" i="10"/>
  <c r="AB525" i="10"/>
  <c r="AC525" i="10"/>
  <c r="AD525" i="10"/>
  <c r="A526" i="10"/>
  <c r="B526" i="10"/>
  <c r="D526" i="10"/>
  <c r="E526" i="10"/>
  <c r="F526" i="10"/>
  <c r="G526" i="10"/>
  <c r="H526" i="10"/>
  <c r="I526" i="10"/>
  <c r="K526" i="10"/>
  <c r="L526" i="10"/>
  <c r="M526" i="10"/>
  <c r="N526" i="10"/>
  <c r="P526" i="10"/>
  <c r="Q526" i="10"/>
  <c r="R526" i="10"/>
  <c r="S526" i="10"/>
  <c r="T526" i="10"/>
  <c r="U526" i="10"/>
  <c r="V526" i="10"/>
  <c r="W526" i="10"/>
  <c r="AB526" i="10"/>
  <c r="AC526" i="10"/>
  <c r="AD526" i="10"/>
  <c r="A527" i="10"/>
  <c r="B527" i="10"/>
  <c r="D527" i="10"/>
  <c r="E527" i="10"/>
  <c r="F527" i="10"/>
  <c r="G527" i="10"/>
  <c r="H527" i="10"/>
  <c r="I527" i="10"/>
  <c r="K527" i="10"/>
  <c r="L527" i="10"/>
  <c r="M527" i="10"/>
  <c r="N527" i="10"/>
  <c r="P527" i="10"/>
  <c r="Q527" i="10"/>
  <c r="R527" i="10"/>
  <c r="S527" i="10"/>
  <c r="T527" i="10"/>
  <c r="U527" i="10"/>
  <c r="V527" i="10"/>
  <c r="W527" i="10"/>
  <c r="AB527" i="10"/>
  <c r="AC527" i="10"/>
  <c r="AD527" i="10"/>
  <c r="A528" i="10"/>
  <c r="B528" i="10"/>
  <c r="D528" i="10"/>
  <c r="E528" i="10"/>
  <c r="F528" i="10"/>
  <c r="G528" i="10"/>
  <c r="H528" i="10"/>
  <c r="I528" i="10"/>
  <c r="K528" i="10"/>
  <c r="L528" i="10"/>
  <c r="M528" i="10"/>
  <c r="N528" i="10"/>
  <c r="P528" i="10"/>
  <c r="Q528" i="10"/>
  <c r="R528" i="10"/>
  <c r="S528" i="10"/>
  <c r="T528" i="10"/>
  <c r="U528" i="10"/>
  <c r="V528" i="10"/>
  <c r="W528" i="10"/>
  <c r="AB528" i="10"/>
  <c r="AC528" i="10"/>
  <c r="AD528" i="10"/>
  <c r="A529" i="10"/>
  <c r="B529" i="10"/>
  <c r="D529" i="10"/>
  <c r="E529" i="10"/>
  <c r="F529" i="10"/>
  <c r="G529" i="10"/>
  <c r="H529" i="10"/>
  <c r="I529" i="10"/>
  <c r="K529" i="10"/>
  <c r="L529" i="10"/>
  <c r="M529" i="10"/>
  <c r="N529" i="10"/>
  <c r="P529" i="10"/>
  <c r="Q529" i="10"/>
  <c r="R529" i="10"/>
  <c r="S529" i="10"/>
  <c r="T529" i="10"/>
  <c r="U529" i="10"/>
  <c r="V529" i="10"/>
  <c r="W529" i="10"/>
  <c r="AB529" i="10"/>
  <c r="AC529" i="10"/>
  <c r="AD529" i="10"/>
  <c r="A530" i="10"/>
  <c r="B530" i="10"/>
  <c r="D530" i="10"/>
  <c r="E530" i="10"/>
  <c r="F530" i="10"/>
  <c r="G530" i="10"/>
  <c r="H530" i="10"/>
  <c r="I530" i="10"/>
  <c r="K530" i="10"/>
  <c r="L530" i="10"/>
  <c r="M530" i="10"/>
  <c r="N530" i="10"/>
  <c r="P530" i="10"/>
  <c r="Q530" i="10"/>
  <c r="R530" i="10"/>
  <c r="S530" i="10"/>
  <c r="T530" i="10"/>
  <c r="U530" i="10"/>
  <c r="V530" i="10"/>
  <c r="W530" i="10"/>
  <c r="AB530" i="10"/>
  <c r="AC530" i="10"/>
  <c r="AD530" i="10"/>
  <c r="A531" i="10"/>
  <c r="B531" i="10"/>
  <c r="D531" i="10"/>
  <c r="E531" i="10"/>
  <c r="F531" i="10"/>
  <c r="G531" i="10"/>
  <c r="H531" i="10"/>
  <c r="I531" i="10"/>
  <c r="K531" i="10"/>
  <c r="L531" i="10"/>
  <c r="M531" i="10"/>
  <c r="N531" i="10"/>
  <c r="P531" i="10"/>
  <c r="Q531" i="10"/>
  <c r="R531" i="10"/>
  <c r="S531" i="10"/>
  <c r="T531" i="10"/>
  <c r="U531" i="10"/>
  <c r="V531" i="10"/>
  <c r="W531" i="10"/>
  <c r="AB531" i="10"/>
  <c r="AC531" i="10"/>
  <c r="AD531" i="10"/>
  <c r="A532" i="10"/>
  <c r="B532" i="10"/>
  <c r="D532" i="10"/>
  <c r="E532" i="10"/>
  <c r="F532" i="10"/>
  <c r="G532" i="10"/>
  <c r="H532" i="10"/>
  <c r="I532" i="10"/>
  <c r="K532" i="10"/>
  <c r="L532" i="10"/>
  <c r="M532" i="10"/>
  <c r="N532" i="10"/>
  <c r="P532" i="10"/>
  <c r="Q532" i="10"/>
  <c r="R532" i="10"/>
  <c r="S532" i="10"/>
  <c r="T532" i="10"/>
  <c r="U532" i="10"/>
  <c r="V532" i="10"/>
  <c r="W532" i="10"/>
  <c r="AB532" i="10"/>
  <c r="AC532" i="10"/>
  <c r="AD532" i="10"/>
  <c r="A533" i="10"/>
  <c r="B533" i="10"/>
  <c r="D533" i="10"/>
  <c r="E533" i="10"/>
  <c r="F533" i="10"/>
  <c r="G533" i="10"/>
  <c r="H533" i="10"/>
  <c r="I533" i="10"/>
  <c r="K533" i="10"/>
  <c r="L533" i="10"/>
  <c r="M533" i="10"/>
  <c r="N533" i="10"/>
  <c r="P533" i="10"/>
  <c r="Q533" i="10"/>
  <c r="R533" i="10"/>
  <c r="S533" i="10"/>
  <c r="T533" i="10"/>
  <c r="U533" i="10"/>
  <c r="V533" i="10"/>
  <c r="W533" i="10"/>
  <c r="AB533" i="10"/>
  <c r="AC533" i="10"/>
  <c r="AD533" i="10"/>
  <c r="A534" i="10"/>
  <c r="B534" i="10"/>
  <c r="D534" i="10"/>
  <c r="E534" i="10"/>
  <c r="F534" i="10"/>
  <c r="G534" i="10"/>
  <c r="H534" i="10"/>
  <c r="I534" i="10"/>
  <c r="K534" i="10"/>
  <c r="L534" i="10"/>
  <c r="M534" i="10"/>
  <c r="N534" i="10"/>
  <c r="P534" i="10"/>
  <c r="Q534" i="10"/>
  <c r="R534" i="10"/>
  <c r="S534" i="10"/>
  <c r="T534" i="10"/>
  <c r="U534" i="10"/>
  <c r="V534" i="10"/>
  <c r="W534" i="10"/>
  <c r="AB534" i="10"/>
  <c r="AC534" i="10"/>
  <c r="AD534" i="10"/>
  <c r="A535" i="10"/>
  <c r="B535" i="10"/>
  <c r="D535" i="10"/>
  <c r="E535" i="10"/>
  <c r="F535" i="10"/>
  <c r="G535" i="10"/>
  <c r="H535" i="10"/>
  <c r="I535" i="10"/>
  <c r="K535" i="10"/>
  <c r="L535" i="10"/>
  <c r="M535" i="10"/>
  <c r="N535" i="10"/>
  <c r="P535" i="10"/>
  <c r="Q535" i="10"/>
  <c r="R535" i="10"/>
  <c r="S535" i="10"/>
  <c r="T535" i="10"/>
  <c r="U535" i="10"/>
  <c r="V535" i="10"/>
  <c r="W535" i="10"/>
  <c r="AB535" i="10"/>
  <c r="AC535" i="10"/>
  <c r="AD535" i="10"/>
  <c r="A536" i="10"/>
  <c r="B536" i="10"/>
  <c r="D536" i="10"/>
  <c r="E536" i="10"/>
  <c r="F536" i="10"/>
  <c r="G536" i="10"/>
  <c r="H536" i="10"/>
  <c r="I536" i="10"/>
  <c r="K536" i="10"/>
  <c r="L536" i="10"/>
  <c r="M536" i="10"/>
  <c r="N536" i="10"/>
  <c r="P536" i="10"/>
  <c r="Q536" i="10"/>
  <c r="R536" i="10"/>
  <c r="S536" i="10"/>
  <c r="T536" i="10"/>
  <c r="U536" i="10"/>
  <c r="V536" i="10"/>
  <c r="W536" i="10"/>
  <c r="AB536" i="10"/>
  <c r="AC536" i="10"/>
  <c r="AD536" i="10"/>
  <c r="A537" i="10"/>
  <c r="B537" i="10"/>
  <c r="D537" i="10"/>
  <c r="E537" i="10"/>
  <c r="F537" i="10"/>
  <c r="G537" i="10"/>
  <c r="H537" i="10"/>
  <c r="I537" i="10"/>
  <c r="K537" i="10"/>
  <c r="L537" i="10"/>
  <c r="M537" i="10"/>
  <c r="N537" i="10"/>
  <c r="P537" i="10"/>
  <c r="Q537" i="10"/>
  <c r="R537" i="10"/>
  <c r="S537" i="10"/>
  <c r="T537" i="10"/>
  <c r="U537" i="10"/>
  <c r="V537" i="10"/>
  <c r="W537" i="10"/>
  <c r="AB537" i="10"/>
  <c r="AC537" i="10"/>
  <c r="AD537" i="10"/>
  <c r="A538" i="10"/>
  <c r="B538" i="10"/>
  <c r="D538" i="10"/>
  <c r="E538" i="10"/>
  <c r="F538" i="10"/>
  <c r="G538" i="10"/>
  <c r="H538" i="10"/>
  <c r="I538" i="10"/>
  <c r="K538" i="10"/>
  <c r="L538" i="10"/>
  <c r="M538" i="10"/>
  <c r="N538" i="10"/>
  <c r="P538" i="10"/>
  <c r="Q538" i="10"/>
  <c r="R538" i="10"/>
  <c r="S538" i="10"/>
  <c r="T538" i="10"/>
  <c r="U538" i="10"/>
  <c r="V538" i="10"/>
  <c r="W538" i="10"/>
  <c r="AB538" i="10"/>
  <c r="AC538" i="10"/>
  <c r="AD538" i="10"/>
  <c r="A539" i="10"/>
  <c r="B539" i="10"/>
  <c r="D539" i="10"/>
  <c r="E539" i="10"/>
  <c r="F539" i="10"/>
  <c r="G539" i="10"/>
  <c r="H539" i="10"/>
  <c r="I539" i="10"/>
  <c r="K539" i="10"/>
  <c r="L539" i="10"/>
  <c r="M539" i="10"/>
  <c r="N539" i="10"/>
  <c r="P539" i="10"/>
  <c r="Q539" i="10"/>
  <c r="R539" i="10"/>
  <c r="S539" i="10"/>
  <c r="T539" i="10"/>
  <c r="U539" i="10"/>
  <c r="V539" i="10"/>
  <c r="W539" i="10"/>
  <c r="AB539" i="10"/>
  <c r="AC539" i="10"/>
  <c r="AD539" i="10"/>
  <c r="A540" i="10"/>
  <c r="B540" i="10"/>
  <c r="D540" i="10"/>
  <c r="E540" i="10"/>
  <c r="F540" i="10"/>
  <c r="G540" i="10"/>
  <c r="H540" i="10"/>
  <c r="I540" i="10"/>
  <c r="K540" i="10"/>
  <c r="L540" i="10"/>
  <c r="M540" i="10"/>
  <c r="N540" i="10"/>
  <c r="P540" i="10"/>
  <c r="Q540" i="10"/>
  <c r="R540" i="10"/>
  <c r="S540" i="10"/>
  <c r="T540" i="10"/>
  <c r="U540" i="10"/>
  <c r="V540" i="10"/>
  <c r="W540" i="10"/>
  <c r="AB540" i="10"/>
  <c r="AC540" i="10"/>
  <c r="AD540" i="10"/>
  <c r="A541" i="10"/>
  <c r="B541" i="10"/>
  <c r="D541" i="10"/>
  <c r="E541" i="10"/>
  <c r="F541" i="10"/>
  <c r="G541" i="10"/>
  <c r="H541" i="10"/>
  <c r="I541" i="10"/>
  <c r="K541" i="10"/>
  <c r="L541" i="10"/>
  <c r="M541" i="10"/>
  <c r="N541" i="10"/>
  <c r="P541" i="10"/>
  <c r="Q541" i="10"/>
  <c r="R541" i="10"/>
  <c r="S541" i="10"/>
  <c r="T541" i="10"/>
  <c r="U541" i="10"/>
  <c r="V541" i="10"/>
  <c r="W541" i="10"/>
  <c r="AB541" i="10"/>
  <c r="AC541" i="10"/>
  <c r="AD541" i="10"/>
  <c r="A542" i="10"/>
  <c r="B542" i="10"/>
  <c r="D542" i="10"/>
  <c r="E542" i="10"/>
  <c r="F542" i="10"/>
  <c r="G542" i="10"/>
  <c r="H542" i="10"/>
  <c r="I542" i="10"/>
  <c r="K542" i="10"/>
  <c r="L542" i="10"/>
  <c r="M542" i="10"/>
  <c r="N542" i="10"/>
  <c r="P542" i="10"/>
  <c r="Q542" i="10"/>
  <c r="R542" i="10"/>
  <c r="S542" i="10"/>
  <c r="T542" i="10"/>
  <c r="U542" i="10"/>
  <c r="V542" i="10"/>
  <c r="W542" i="10"/>
  <c r="AB542" i="10"/>
  <c r="AC542" i="10"/>
  <c r="AD542" i="10"/>
  <c r="A543" i="10"/>
  <c r="B543" i="10"/>
  <c r="D543" i="10"/>
  <c r="E543" i="10"/>
  <c r="F543" i="10"/>
  <c r="G543" i="10"/>
  <c r="H543" i="10"/>
  <c r="I543" i="10"/>
  <c r="K543" i="10"/>
  <c r="L543" i="10"/>
  <c r="M543" i="10"/>
  <c r="N543" i="10"/>
  <c r="P543" i="10"/>
  <c r="Q543" i="10"/>
  <c r="R543" i="10"/>
  <c r="S543" i="10"/>
  <c r="T543" i="10"/>
  <c r="U543" i="10"/>
  <c r="V543" i="10"/>
  <c r="W543" i="10"/>
  <c r="AB543" i="10"/>
  <c r="AC543" i="10"/>
  <c r="AD543" i="10"/>
  <c r="A544" i="10"/>
  <c r="B544" i="10"/>
  <c r="D544" i="10"/>
  <c r="E544" i="10"/>
  <c r="F544" i="10"/>
  <c r="G544" i="10"/>
  <c r="H544" i="10"/>
  <c r="I544" i="10"/>
  <c r="K544" i="10"/>
  <c r="L544" i="10"/>
  <c r="M544" i="10"/>
  <c r="N544" i="10"/>
  <c r="P544" i="10"/>
  <c r="Q544" i="10"/>
  <c r="R544" i="10"/>
  <c r="S544" i="10"/>
  <c r="T544" i="10"/>
  <c r="U544" i="10"/>
  <c r="V544" i="10"/>
  <c r="W544" i="10"/>
  <c r="AB544" i="10"/>
  <c r="AC544" i="10"/>
  <c r="AD544" i="10"/>
  <c r="A545" i="10"/>
  <c r="B545" i="10"/>
  <c r="D545" i="10"/>
  <c r="E545" i="10"/>
  <c r="F545" i="10"/>
  <c r="G545" i="10"/>
  <c r="H545" i="10"/>
  <c r="I545" i="10"/>
  <c r="K545" i="10"/>
  <c r="L545" i="10"/>
  <c r="M545" i="10"/>
  <c r="N545" i="10"/>
  <c r="P545" i="10"/>
  <c r="Q545" i="10"/>
  <c r="R545" i="10"/>
  <c r="S545" i="10"/>
  <c r="T545" i="10"/>
  <c r="U545" i="10"/>
  <c r="V545" i="10"/>
  <c r="W545" i="10"/>
  <c r="AB545" i="10"/>
  <c r="AC545" i="10"/>
  <c r="AD545" i="10"/>
  <c r="A546" i="10"/>
  <c r="B546" i="10"/>
  <c r="D546" i="10"/>
  <c r="E546" i="10"/>
  <c r="F546" i="10"/>
  <c r="G546" i="10"/>
  <c r="H546" i="10"/>
  <c r="I546" i="10"/>
  <c r="K546" i="10"/>
  <c r="L546" i="10"/>
  <c r="M546" i="10"/>
  <c r="N546" i="10"/>
  <c r="P546" i="10"/>
  <c r="Q546" i="10"/>
  <c r="R546" i="10"/>
  <c r="S546" i="10"/>
  <c r="T546" i="10"/>
  <c r="U546" i="10"/>
  <c r="V546" i="10"/>
  <c r="W546" i="10"/>
  <c r="AB546" i="10"/>
  <c r="AC546" i="10"/>
  <c r="AD546" i="10"/>
  <c r="A547" i="10"/>
  <c r="B547" i="10"/>
  <c r="D547" i="10"/>
  <c r="E547" i="10"/>
  <c r="F547" i="10"/>
  <c r="G547" i="10"/>
  <c r="H547" i="10"/>
  <c r="I547" i="10"/>
  <c r="K547" i="10"/>
  <c r="L547" i="10"/>
  <c r="M547" i="10"/>
  <c r="N547" i="10"/>
  <c r="P547" i="10"/>
  <c r="Q547" i="10"/>
  <c r="R547" i="10"/>
  <c r="S547" i="10"/>
  <c r="T547" i="10"/>
  <c r="U547" i="10"/>
  <c r="V547" i="10"/>
  <c r="W547" i="10"/>
  <c r="AB547" i="10"/>
  <c r="AC547" i="10"/>
  <c r="AD547" i="10"/>
  <c r="A548" i="10"/>
  <c r="B548" i="10"/>
  <c r="D548" i="10"/>
  <c r="E548" i="10"/>
  <c r="F548" i="10"/>
  <c r="G548" i="10"/>
  <c r="H548" i="10"/>
  <c r="I548" i="10"/>
  <c r="K548" i="10"/>
  <c r="L548" i="10"/>
  <c r="M548" i="10"/>
  <c r="N548" i="10"/>
  <c r="P548" i="10"/>
  <c r="Q548" i="10"/>
  <c r="R548" i="10"/>
  <c r="S548" i="10"/>
  <c r="T548" i="10"/>
  <c r="U548" i="10"/>
  <c r="V548" i="10"/>
  <c r="W548" i="10"/>
  <c r="AB548" i="10"/>
  <c r="AC548" i="10"/>
  <c r="AD548" i="10"/>
  <c r="A549" i="10"/>
  <c r="B549" i="10"/>
  <c r="D549" i="10"/>
  <c r="E549" i="10"/>
  <c r="F549" i="10"/>
  <c r="G549" i="10"/>
  <c r="H549" i="10"/>
  <c r="I549" i="10"/>
  <c r="K549" i="10"/>
  <c r="L549" i="10"/>
  <c r="M549" i="10"/>
  <c r="N549" i="10"/>
  <c r="P549" i="10"/>
  <c r="Q549" i="10"/>
  <c r="R549" i="10"/>
  <c r="S549" i="10"/>
  <c r="T549" i="10"/>
  <c r="U549" i="10"/>
  <c r="V549" i="10"/>
  <c r="W549" i="10"/>
  <c r="AB549" i="10"/>
  <c r="AC549" i="10"/>
  <c r="AD549" i="10"/>
  <c r="A550" i="10"/>
  <c r="B550" i="10"/>
  <c r="D550" i="10"/>
  <c r="E550" i="10"/>
  <c r="F550" i="10"/>
  <c r="G550" i="10"/>
  <c r="H550" i="10"/>
  <c r="I550" i="10"/>
  <c r="K550" i="10"/>
  <c r="L550" i="10"/>
  <c r="M550" i="10"/>
  <c r="N550" i="10"/>
  <c r="P550" i="10"/>
  <c r="Q550" i="10"/>
  <c r="R550" i="10"/>
  <c r="S550" i="10"/>
  <c r="T550" i="10"/>
  <c r="U550" i="10"/>
  <c r="V550" i="10"/>
  <c r="W550" i="10"/>
  <c r="AB550" i="10"/>
  <c r="AC550" i="10"/>
  <c r="AD550" i="10"/>
  <c r="A551" i="10"/>
  <c r="B551" i="10"/>
  <c r="D551" i="10"/>
  <c r="E551" i="10"/>
  <c r="F551" i="10"/>
  <c r="G551" i="10"/>
  <c r="H551" i="10"/>
  <c r="I551" i="10"/>
  <c r="K551" i="10"/>
  <c r="L551" i="10"/>
  <c r="M551" i="10"/>
  <c r="N551" i="10"/>
  <c r="P551" i="10"/>
  <c r="Q551" i="10"/>
  <c r="R551" i="10"/>
  <c r="S551" i="10"/>
  <c r="T551" i="10"/>
  <c r="U551" i="10"/>
  <c r="V551" i="10"/>
  <c r="W551" i="10"/>
  <c r="AB551" i="10"/>
  <c r="AC551" i="10"/>
  <c r="AD551" i="10"/>
  <c r="A552" i="10"/>
  <c r="B552" i="10"/>
  <c r="D552" i="10"/>
  <c r="E552" i="10"/>
  <c r="F552" i="10"/>
  <c r="G552" i="10"/>
  <c r="H552" i="10"/>
  <c r="I552" i="10"/>
  <c r="K552" i="10"/>
  <c r="L552" i="10"/>
  <c r="M552" i="10"/>
  <c r="N552" i="10"/>
  <c r="P552" i="10"/>
  <c r="Q552" i="10"/>
  <c r="R552" i="10"/>
  <c r="S552" i="10"/>
  <c r="T552" i="10"/>
  <c r="U552" i="10"/>
  <c r="V552" i="10"/>
  <c r="W552" i="10"/>
  <c r="AB552" i="10"/>
  <c r="AC552" i="10"/>
  <c r="AD552" i="10"/>
  <c r="A553" i="10"/>
  <c r="B553" i="10"/>
  <c r="D553" i="10"/>
  <c r="E553" i="10"/>
  <c r="F553" i="10"/>
  <c r="G553" i="10"/>
  <c r="H553" i="10"/>
  <c r="I553" i="10"/>
  <c r="K553" i="10"/>
  <c r="L553" i="10"/>
  <c r="M553" i="10"/>
  <c r="N553" i="10"/>
  <c r="P553" i="10"/>
  <c r="Q553" i="10"/>
  <c r="R553" i="10"/>
  <c r="S553" i="10"/>
  <c r="T553" i="10"/>
  <c r="U553" i="10"/>
  <c r="V553" i="10"/>
  <c r="W553" i="10"/>
  <c r="AB553" i="10"/>
  <c r="AC553" i="10"/>
  <c r="AD553" i="10"/>
  <c r="A554" i="10"/>
  <c r="B554" i="10"/>
  <c r="D554" i="10"/>
  <c r="E554" i="10"/>
  <c r="F554" i="10"/>
  <c r="G554" i="10"/>
  <c r="H554" i="10"/>
  <c r="I554" i="10"/>
  <c r="K554" i="10"/>
  <c r="L554" i="10"/>
  <c r="M554" i="10"/>
  <c r="N554" i="10"/>
  <c r="P554" i="10"/>
  <c r="Q554" i="10"/>
  <c r="R554" i="10"/>
  <c r="S554" i="10"/>
  <c r="T554" i="10"/>
  <c r="U554" i="10"/>
  <c r="V554" i="10"/>
  <c r="W554" i="10"/>
  <c r="AB554" i="10"/>
  <c r="AC554" i="10"/>
  <c r="AD554" i="10"/>
  <c r="A555" i="10"/>
  <c r="B555" i="10"/>
  <c r="D555" i="10"/>
  <c r="E555" i="10"/>
  <c r="F555" i="10"/>
  <c r="G555" i="10"/>
  <c r="H555" i="10"/>
  <c r="I555" i="10"/>
  <c r="K555" i="10"/>
  <c r="L555" i="10"/>
  <c r="M555" i="10"/>
  <c r="N555" i="10"/>
  <c r="P555" i="10"/>
  <c r="Q555" i="10"/>
  <c r="R555" i="10"/>
  <c r="S555" i="10"/>
  <c r="T555" i="10"/>
  <c r="U555" i="10"/>
  <c r="V555" i="10"/>
  <c r="W555" i="10"/>
  <c r="AB555" i="10"/>
  <c r="AC555" i="10"/>
  <c r="AD555" i="10"/>
  <c r="A556" i="10"/>
  <c r="B556" i="10"/>
  <c r="D556" i="10"/>
  <c r="E556" i="10"/>
  <c r="F556" i="10"/>
  <c r="G556" i="10"/>
  <c r="H556" i="10"/>
  <c r="I556" i="10"/>
  <c r="K556" i="10"/>
  <c r="L556" i="10"/>
  <c r="M556" i="10"/>
  <c r="N556" i="10"/>
  <c r="P556" i="10"/>
  <c r="Q556" i="10"/>
  <c r="R556" i="10"/>
  <c r="S556" i="10"/>
  <c r="T556" i="10"/>
  <c r="U556" i="10"/>
  <c r="V556" i="10"/>
  <c r="W556" i="10"/>
  <c r="AB556" i="10"/>
  <c r="AC556" i="10"/>
  <c r="AD556" i="10"/>
  <c r="A557" i="10"/>
  <c r="B557" i="10"/>
  <c r="D557" i="10"/>
  <c r="E557" i="10"/>
  <c r="F557" i="10"/>
  <c r="G557" i="10"/>
  <c r="H557" i="10"/>
  <c r="I557" i="10"/>
  <c r="K557" i="10"/>
  <c r="L557" i="10"/>
  <c r="M557" i="10"/>
  <c r="N557" i="10"/>
  <c r="P557" i="10"/>
  <c r="Q557" i="10"/>
  <c r="R557" i="10"/>
  <c r="S557" i="10"/>
  <c r="T557" i="10"/>
  <c r="U557" i="10"/>
  <c r="V557" i="10"/>
  <c r="W557" i="10"/>
  <c r="AB557" i="10"/>
  <c r="AC557" i="10"/>
  <c r="AD557" i="10"/>
  <c r="A558" i="10"/>
  <c r="B558" i="10"/>
  <c r="D558" i="10"/>
  <c r="E558" i="10"/>
  <c r="F558" i="10"/>
  <c r="G558" i="10"/>
  <c r="H558" i="10"/>
  <c r="I558" i="10"/>
  <c r="K558" i="10"/>
  <c r="L558" i="10"/>
  <c r="M558" i="10"/>
  <c r="N558" i="10"/>
  <c r="P558" i="10"/>
  <c r="Q558" i="10"/>
  <c r="R558" i="10"/>
  <c r="S558" i="10"/>
  <c r="T558" i="10"/>
  <c r="U558" i="10"/>
  <c r="V558" i="10"/>
  <c r="W558" i="10"/>
  <c r="AB558" i="10"/>
  <c r="AC558" i="10"/>
  <c r="AD558" i="10"/>
  <c r="A559" i="10"/>
  <c r="B559" i="10"/>
  <c r="D559" i="10"/>
  <c r="E559" i="10"/>
  <c r="F559" i="10"/>
  <c r="G559" i="10"/>
  <c r="H559" i="10"/>
  <c r="I559" i="10"/>
  <c r="K559" i="10"/>
  <c r="L559" i="10"/>
  <c r="M559" i="10"/>
  <c r="N559" i="10"/>
  <c r="P559" i="10"/>
  <c r="Q559" i="10"/>
  <c r="R559" i="10"/>
  <c r="S559" i="10"/>
  <c r="T559" i="10"/>
  <c r="U559" i="10"/>
  <c r="V559" i="10"/>
  <c r="W559" i="10"/>
  <c r="AB559" i="10"/>
  <c r="AC559" i="10"/>
  <c r="AD559" i="10"/>
  <c r="A560" i="10"/>
  <c r="B560" i="10"/>
  <c r="D560" i="10"/>
  <c r="E560" i="10"/>
  <c r="F560" i="10"/>
  <c r="G560" i="10"/>
  <c r="H560" i="10"/>
  <c r="I560" i="10"/>
  <c r="K560" i="10"/>
  <c r="L560" i="10"/>
  <c r="M560" i="10"/>
  <c r="N560" i="10"/>
  <c r="P560" i="10"/>
  <c r="Q560" i="10"/>
  <c r="R560" i="10"/>
  <c r="S560" i="10"/>
  <c r="T560" i="10"/>
  <c r="U560" i="10"/>
  <c r="V560" i="10"/>
  <c r="W560" i="10"/>
  <c r="AB560" i="10"/>
  <c r="AC560" i="10"/>
  <c r="AD560" i="10"/>
  <c r="A561" i="10"/>
  <c r="B561" i="10"/>
  <c r="D561" i="10"/>
  <c r="E561" i="10"/>
  <c r="F561" i="10"/>
  <c r="G561" i="10"/>
  <c r="H561" i="10"/>
  <c r="I561" i="10"/>
  <c r="K561" i="10"/>
  <c r="L561" i="10"/>
  <c r="M561" i="10"/>
  <c r="N561" i="10"/>
  <c r="P561" i="10"/>
  <c r="Q561" i="10"/>
  <c r="R561" i="10"/>
  <c r="S561" i="10"/>
  <c r="T561" i="10"/>
  <c r="U561" i="10"/>
  <c r="V561" i="10"/>
  <c r="W561" i="10"/>
  <c r="AB561" i="10"/>
  <c r="AC561" i="10"/>
  <c r="AD561" i="10"/>
  <c r="A562" i="10"/>
  <c r="B562" i="10"/>
  <c r="D562" i="10"/>
  <c r="E562" i="10"/>
  <c r="F562" i="10"/>
  <c r="G562" i="10"/>
  <c r="H562" i="10"/>
  <c r="I562" i="10"/>
  <c r="K562" i="10"/>
  <c r="L562" i="10"/>
  <c r="M562" i="10"/>
  <c r="N562" i="10"/>
  <c r="P562" i="10"/>
  <c r="Q562" i="10"/>
  <c r="R562" i="10"/>
  <c r="S562" i="10"/>
  <c r="T562" i="10"/>
  <c r="U562" i="10"/>
  <c r="V562" i="10"/>
  <c r="W562" i="10"/>
  <c r="AB562" i="10"/>
  <c r="AC562" i="10"/>
  <c r="AD562" i="10"/>
  <c r="A563" i="10"/>
  <c r="B563" i="10"/>
  <c r="D563" i="10"/>
  <c r="E563" i="10"/>
  <c r="F563" i="10"/>
  <c r="G563" i="10"/>
  <c r="H563" i="10"/>
  <c r="I563" i="10"/>
  <c r="K563" i="10"/>
  <c r="L563" i="10"/>
  <c r="M563" i="10"/>
  <c r="N563" i="10"/>
  <c r="P563" i="10"/>
  <c r="Q563" i="10"/>
  <c r="R563" i="10"/>
  <c r="S563" i="10"/>
  <c r="T563" i="10"/>
  <c r="U563" i="10"/>
  <c r="V563" i="10"/>
  <c r="W563" i="10"/>
  <c r="AB563" i="10"/>
  <c r="AC563" i="10"/>
  <c r="AD563" i="10"/>
  <c r="A564" i="10"/>
  <c r="B564" i="10"/>
  <c r="D564" i="10"/>
  <c r="E564" i="10"/>
  <c r="F564" i="10"/>
  <c r="G564" i="10"/>
  <c r="H564" i="10"/>
  <c r="I564" i="10"/>
  <c r="K564" i="10"/>
  <c r="L564" i="10"/>
  <c r="M564" i="10"/>
  <c r="N564" i="10"/>
  <c r="P564" i="10"/>
  <c r="Q564" i="10"/>
  <c r="R564" i="10"/>
  <c r="S564" i="10"/>
  <c r="T564" i="10"/>
  <c r="U564" i="10"/>
  <c r="V564" i="10"/>
  <c r="W564" i="10"/>
  <c r="AB564" i="10"/>
  <c r="AC564" i="10"/>
  <c r="AD564" i="10"/>
  <c r="A565" i="10"/>
  <c r="B565" i="10"/>
  <c r="D565" i="10"/>
  <c r="E565" i="10"/>
  <c r="F565" i="10"/>
  <c r="G565" i="10"/>
  <c r="H565" i="10"/>
  <c r="I565" i="10"/>
  <c r="K565" i="10"/>
  <c r="L565" i="10"/>
  <c r="M565" i="10"/>
  <c r="N565" i="10"/>
  <c r="P565" i="10"/>
  <c r="Q565" i="10"/>
  <c r="R565" i="10"/>
  <c r="S565" i="10"/>
  <c r="T565" i="10"/>
  <c r="U565" i="10"/>
  <c r="V565" i="10"/>
  <c r="W565" i="10"/>
  <c r="AB565" i="10"/>
  <c r="AC565" i="10"/>
  <c r="AD565" i="10"/>
  <c r="A566" i="10"/>
  <c r="B566" i="10"/>
  <c r="D566" i="10"/>
  <c r="E566" i="10"/>
  <c r="F566" i="10"/>
  <c r="G566" i="10"/>
  <c r="H566" i="10"/>
  <c r="I566" i="10"/>
  <c r="K566" i="10"/>
  <c r="L566" i="10"/>
  <c r="M566" i="10"/>
  <c r="N566" i="10"/>
  <c r="P566" i="10"/>
  <c r="Q566" i="10"/>
  <c r="R566" i="10"/>
  <c r="S566" i="10"/>
  <c r="T566" i="10"/>
  <c r="U566" i="10"/>
  <c r="V566" i="10"/>
  <c r="W566" i="10"/>
  <c r="AB566" i="10"/>
  <c r="AC566" i="10"/>
  <c r="AD566" i="10"/>
  <c r="A567" i="10"/>
  <c r="B567" i="10"/>
  <c r="D567" i="10"/>
  <c r="E567" i="10"/>
  <c r="F567" i="10"/>
  <c r="G567" i="10"/>
  <c r="H567" i="10"/>
  <c r="I567" i="10"/>
  <c r="K567" i="10"/>
  <c r="L567" i="10"/>
  <c r="M567" i="10"/>
  <c r="N567" i="10"/>
  <c r="P567" i="10"/>
  <c r="Q567" i="10"/>
  <c r="R567" i="10"/>
  <c r="S567" i="10"/>
  <c r="T567" i="10"/>
  <c r="U567" i="10"/>
  <c r="V567" i="10"/>
  <c r="W567" i="10"/>
  <c r="AB567" i="10"/>
  <c r="AC567" i="10"/>
  <c r="AD567" i="10"/>
  <c r="A568" i="10"/>
  <c r="B568" i="10"/>
  <c r="D568" i="10"/>
  <c r="E568" i="10"/>
  <c r="F568" i="10"/>
  <c r="G568" i="10"/>
  <c r="H568" i="10"/>
  <c r="I568" i="10"/>
  <c r="J568" i="10"/>
  <c r="K568" i="10"/>
  <c r="L568" i="10"/>
  <c r="M568" i="10"/>
  <c r="N568" i="10"/>
  <c r="O568" i="10"/>
  <c r="P568" i="10"/>
  <c r="Q568" i="10"/>
  <c r="R568" i="10"/>
  <c r="S568" i="10"/>
  <c r="T568" i="10"/>
  <c r="U568" i="10"/>
  <c r="V568" i="10"/>
  <c r="W568" i="10"/>
  <c r="AB568" i="10"/>
  <c r="AC568" i="10"/>
  <c r="AD568" i="10"/>
  <c r="A569" i="10"/>
  <c r="B569" i="10"/>
  <c r="D569" i="10"/>
  <c r="E569" i="10"/>
  <c r="F569" i="10"/>
  <c r="G569" i="10"/>
  <c r="H569" i="10"/>
  <c r="I569" i="10"/>
  <c r="K569" i="10"/>
  <c r="L569" i="10"/>
  <c r="M569" i="10"/>
  <c r="N569" i="10"/>
  <c r="O569" i="10"/>
  <c r="Q569" i="10"/>
  <c r="R569" i="10"/>
  <c r="S569" i="10"/>
  <c r="T569" i="10"/>
  <c r="U569" i="10"/>
  <c r="V569" i="10"/>
  <c r="W569" i="10"/>
  <c r="AB569" i="10"/>
  <c r="AC569" i="10"/>
  <c r="AD569" i="10"/>
  <c r="A570" i="10"/>
  <c r="B570" i="10"/>
  <c r="D570" i="10"/>
  <c r="E570" i="10"/>
  <c r="F570" i="10"/>
  <c r="G570" i="10"/>
  <c r="H570" i="10"/>
  <c r="I570" i="10"/>
  <c r="K570" i="10"/>
  <c r="L570" i="10"/>
  <c r="M570" i="10"/>
  <c r="N570" i="10"/>
  <c r="O570" i="10"/>
  <c r="Q570" i="10"/>
  <c r="R570" i="10"/>
  <c r="S570" i="10"/>
  <c r="T570" i="10"/>
  <c r="U570" i="10"/>
  <c r="V570" i="10"/>
  <c r="W570" i="10"/>
  <c r="AB570" i="10"/>
  <c r="AC570" i="10"/>
  <c r="AD570" i="10"/>
  <c r="A571" i="10"/>
  <c r="B571" i="10"/>
  <c r="D571" i="10"/>
  <c r="E571" i="10"/>
  <c r="F571" i="10"/>
  <c r="G571" i="10"/>
  <c r="H571" i="10"/>
  <c r="I571" i="10"/>
  <c r="K571" i="10"/>
  <c r="L571" i="10"/>
  <c r="M571" i="10"/>
  <c r="N571" i="10"/>
  <c r="O571" i="10"/>
  <c r="Q571" i="10"/>
  <c r="R571" i="10"/>
  <c r="S571" i="10"/>
  <c r="T571" i="10"/>
  <c r="U571" i="10"/>
  <c r="V571" i="10"/>
  <c r="W571" i="10"/>
  <c r="AB571" i="10"/>
  <c r="AC571" i="10"/>
  <c r="AD571" i="10"/>
  <c r="A572" i="10"/>
  <c r="B572" i="10"/>
  <c r="D572" i="10"/>
  <c r="E572" i="10"/>
  <c r="F572" i="10"/>
  <c r="G572" i="10"/>
  <c r="H572" i="10"/>
  <c r="I572" i="10"/>
  <c r="K572" i="10"/>
  <c r="L572" i="10"/>
  <c r="M572" i="10"/>
  <c r="N572" i="10"/>
  <c r="O572" i="10"/>
  <c r="Q572" i="10"/>
  <c r="R572" i="10"/>
  <c r="S572" i="10"/>
  <c r="T572" i="10"/>
  <c r="U572" i="10"/>
  <c r="V572" i="10"/>
  <c r="W572" i="10"/>
  <c r="AB572" i="10"/>
  <c r="AC572" i="10"/>
  <c r="AD572" i="10"/>
  <c r="A573" i="10"/>
  <c r="B573" i="10"/>
  <c r="D573" i="10"/>
  <c r="E573" i="10"/>
  <c r="F573" i="10"/>
  <c r="G573" i="10"/>
  <c r="H573" i="10"/>
  <c r="I573" i="10"/>
  <c r="K573" i="10"/>
  <c r="L573" i="10"/>
  <c r="M573" i="10"/>
  <c r="N573" i="10"/>
  <c r="O573" i="10"/>
  <c r="Q573" i="10"/>
  <c r="R573" i="10"/>
  <c r="S573" i="10"/>
  <c r="T573" i="10"/>
  <c r="U573" i="10"/>
  <c r="V573" i="10"/>
  <c r="W573" i="10"/>
  <c r="AB573" i="10"/>
  <c r="AC573" i="10"/>
  <c r="AD573" i="10"/>
  <c r="A574" i="10"/>
  <c r="B574" i="10"/>
  <c r="D574" i="10"/>
  <c r="E574" i="10"/>
  <c r="F574" i="10"/>
  <c r="G574" i="10"/>
  <c r="H574" i="10"/>
  <c r="I574" i="10"/>
  <c r="K574" i="10"/>
  <c r="L574" i="10"/>
  <c r="M574" i="10"/>
  <c r="N574" i="10"/>
  <c r="O574" i="10"/>
  <c r="Q574" i="10"/>
  <c r="R574" i="10"/>
  <c r="S574" i="10"/>
  <c r="T574" i="10"/>
  <c r="U574" i="10"/>
  <c r="V574" i="10"/>
  <c r="W574" i="10"/>
  <c r="AB574" i="10"/>
  <c r="AC574" i="10"/>
  <c r="AD574" i="10"/>
  <c r="A575" i="10"/>
  <c r="B575" i="10"/>
  <c r="D575" i="10"/>
  <c r="E575" i="10"/>
  <c r="F575" i="10"/>
  <c r="G575" i="10"/>
  <c r="H575" i="10"/>
  <c r="I575" i="10"/>
  <c r="K575" i="10"/>
  <c r="L575" i="10"/>
  <c r="M575" i="10"/>
  <c r="N575" i="10"/>
  <c r="O575" i="10"/>
  <c r="Q575" i="10"/>
  <c r="R575" i="10"/>
  <c r="S575" i="10"/>
  <c r="T575" i="10"/>
  <c r="U575" i="10"/>
  <c r="V575" i="10"/>
  <c r="W575" i="10"/>
  <c r="AB575" i="10"/>
  <c r="AC575" i="10"/>
  <c r="AD575" i="10"/>
  <c r="A576" i="10"/>
  <c r="B576" i="10"/>
  <c r="D576" i="10"/>
  <c r="E576" i="10"/>
  <c r="F576" i="10"/>
  <c r="G576" i="10"/>
  <c r="H576" i="10"/>
  <c r="I576" i="10"/>
  <c r="K576" i="10"/>
  <c r="L576" i="10"/>
  <c r="M576" i="10"/>
  <c r="N576" i="10"/>
  <c r="O576" i="10"/>
  <c r="Q576" i="10"/>
  <c r="R576" i="10"/>
  <c r="S576" i="10"/>
  <c r="T576" i="10"/>
  <c r="U576" i="10"/>
  <c r="V576" i="10"/>
  <c r="W576" i="10"/>
  <c r="AB576" i="10"/>
  <c r="AC576" i="10"/>
  <c r="AD576" i="10"/>
  <c r="A577" i="10"/>
  <c r="B577" i="10"/>
  <c r="D577" i="10"/>
  <c r="E577" i="10"/>
  <c r="F577" i="10"/>
  <c r="G577" i="10"/>
  <c r="H577" i="10"/>
  <c r="I577" i="10"/>
  <c r="K577" i="10"/>
  <c r="L577" i="10"/>
  <c r="M577" i="10"/>
  <c r="N577" i="10"/>
  <c r="O577" i="10"/>
  <c r="Q577" i="10"/>
  <c r="R577" i="10"/>
  <c r="S577" i="10"/>
  <c r="T577" i="10"/>
  <c r="U577" i="10"/>
  <c r="V577" i="10"/>
  <c r="W577" i="10"/>
  <c r="AB577" i="10"/>
  <c r="AC577" i="10"/>
  <c r="AD577" i="10"/>
  <c r="A578" i="10"/>
  <c r="B578" i="10"/>
  <c r="D578" i="10"/>
  <c r="E578" i="10"/>
  <c r="F578" i="10"/>
  <c r="G578" i="10"/>
  <c r="H578" i="10"/>
  <c r="I578" i="10"/>
  <c r="K578" i="10"/>
  <c r="L578" i="10"/>
  <c r="M578" i="10"/>
  <c r="N578" i="10"/>
  <c r="O578" i="10"/>
  <c r="Q578" i="10"/>
  <c r="R578" i="10"/>
  <c r="S578" i="10"/>
  <c r="T578" i="10"/>
  <c r="U578" i="10"/>
  <c r="V578" i="10"/>
  <c r="W578" i="10"/>
  <c r="AB578" i="10"/>
  <c r="AC578" i="10"/>
  <c r="AD578" i="10"/>
  <c r="A579" i="10"/>
  <c r="B579" i="10"/>
  <c r="D579" i="10"/>
  <c r="E579" i="10"/>
  <c r="F579" i="10"/>
  <c r="G579" i="10"/>
  <c r="H579" i="10"/>
  <c r="I579" i="10"/>
  <c r="K579" i="10"/>
  <c r="L579" i="10"/>
  <c r="M579" i="10"/>
  <c r="N579" i="10"/>
  <c r="O579" i="10"/>
  <c r="Q579" i="10"/>
  <c r="R579" i="10"/>
  <c r="S579" i="10"/>
  <c r="T579" i="10"/>
  <c r="U579" i="10"/>
  <c r="V579" i="10"/>
  <c r="W579" i="10"/>
  <c r="AB579" i="10"/>
  <c r="AC579" i="10"/>
  <c r="AD579" i="10"/>
  <c r="A580" i="10"/>
  <c r="B580" i="10"/>
  <c r="D580" i="10"/>
  <c r="E580" i="10"/>
  <c r="F580" i="10"/>
  <c r="G580" i="10"/>
  <c r="H580" i="10"/>
  <c r="I580" i="10"/>
  <c r="K580" i="10"/>
  <c r="L580" i="10"/>
  <c r="M580" i="10"/>
  <c r="N580" i="10"/>
  <c r="O580" i="10"/>
  <c r="Q580" i="10"/>
  <c r="R580" i="10"/>
  <c r="S580" i="10"/>
  <c r="T580" i="10"/>
  <c r="U580" i="10"/>
  <c r="V580" i="10"/>
  <c r="W580" i="10"/>
  <c r="AB580" i="10"/>
  <c r="AC580" i="10"/>
  <c r="AD580" i="10"/>
  <c r="A581" i="10"/>
  <c r="B581" i="10"/>
  <c r="D581" i="10"/>
  <c r="E581" i="10"/>
  <c r="F581" i="10"/>
  <c r="G581" i="10"/>
  <c r="H581" i="10"/>
  <c r="I581" i="10"/>
  <c r="K581" i="10"/>
  <c r="L581" i="10"/>
  <c r="M581" i="10"/>
  <c r="N581" i="10"/>
  <c r="O581" i="10"/>
  <c r="Q581" i="10"/>
  <c r="R581" i="10"/>
  <c r="S581" i="10"/>
  <c r="T581" i="10"/>
  <c r="U581" i="10"/>
  <c r="V581" i="10"/>
  <c r="W581" i="10"/>
  <c r="AB581" i="10"/>
  <c r="AC581" i="10"/>
  <c r="AD581" i="10"/>
  <c r="A582" i="10"/>
  <c r="B582" i="10"/>
  <c r="D582" i="10"/>
  <c r="E582" i="10"/>
  <c r="F582" i="10"/>
  <c r="G582" i="10"/>
  <c r="H582" i="10"/>
  <c r="I582" i="10"/>
  <c r="K582" i="10"/>
  <c r="L582" i="10"/>
  <c r="M582" i="10"/>
  <c r="N582" i="10"/>
  <c r="O582" i="10"/>
  <c r="Q582" i="10"/>
  <c r="R582" i="10"/>
  <c r="S582" i="10"/>
  <c r="T582" i="10"/>
  <c r="U582" i="10"/>
  <c r="V582" i="10"/>
  <c r="W582" i="10"/>
  <c r="AB582" i="10"/>
  <c r="AC582" i="10"/>
  <c r="AD582" i="10"/>
  <c r="A583" i="10"/>
  <c r="B583" i="10"/>
  <c r="D583" i="10"/>
  <c r="E583" i="10"/>
  <c r="F583" i="10"/>
  <c r="G583" i="10"/>
  <c r="H583" i="10"/>
  <c r="I583" i="10"/>
  <c r="K583" i="10"/>
  <c r="L583" i="10"/>
  <c r="M583" i="10"/>
  <c r="N583" i="10"/>
  <c r="O583" i="10"/>
  <c r="Q583" i="10"/>
  <c r="R583" i="10"/>
  <c r="S583" i="10"/>
  <c r="T583" i="10"/>
  <c r="U583" i="10"/>
  <c r="V583" i="10"/>
  <c r="W583" i="10"/>
  <c r="AB583" i="10"/>
  <c r="AC583" i="10"/>
  <c r="AD583" i="10"/>
  <c r="A584" i="10"/>
  <c r="B584" i="10"/>
  <c r="D584" i="10"/>
  <c r="E584" i="10"/>
  <c r="F584" i="10"/>
  <c r="G584" i="10"/>
  <c r="H584" i="10"/>
  <c r="I584" i="10"/>
  <c r="J584" i="10"/>
  <c r="K584" i="10"/>
  <c r="L584" i="10"/>
  <c r="M584" i="10"/>
  <c r="N584" i="10"/>
  <c r="O584" i="10"/>
  <c r="P584" i="10"/>
  <c r="Q584" i="10"/>
  <c r="R584" i="10"/>
  <c r="S584" i="10"/>
  <c r="T584" i="10"/>
  <c r="U584" i="10"/>
  <c r="V584" i="10"/>
  <c r="W584" i="10"/>
  <c r="AB584" i="10"/>
  <c r="AC584" i="10"/>
  <c r="AD584" i="10"/>
  <c r="A585" i="10"/>
  <c r="B585" i="10"/>
  <c r="D585" i="10"/>
  <c r="E585" i="10"/>
  <c r="F585" i="10"/>
  <c r="G585" i="10"/>
  <c r="H585" i="10"/>
  <c r="I585" i="10"/>
  <c r="K585" i="10"/>
  <c r="L585" i="10"/>
  <c r="M585" i="10"/>
  <c r="N585" i="10"/>
  <c r="O585" i="10"/>
  <c r="Q585" i="10"/>
  <c r="R585" i="10"/>
  <c r="S585" i="10"/>
  <c r="T585" i="10"/>
  <c r="U585" i="10"/>
  <c r="V585" i="10"/>
  <c r="W585" i="10"/>
  <c r="AB585" i="10"/>
  <c r="AC585" i="10"/>
  <c r="AD585" i="10"/>
  <c r="A586" i="10"/>
  <c r="B586" i="10"/>
  <c r="D586" i="10"/>
  <c r="E586" i="10"/>
  <c r="F586" i="10"/>
  <c r="G586" i="10"/>
  <c r="H586" i="10"/>
  <c r="I586" i="10"/>
  <c r="K586" i="10"/>
  <c r="L586" i="10"/>
  <c r="M586" i="10"/>
  <c r="N586" i="10"/>
  <c r="O586" i="10"/>
  <c r="Q586" i="10"/>
  <c r="R586" i="10"/>
  <c r="S586" i="10"/>
  <c r="T586" i="10"/>
  <c r="U586" i="10"/>
  <c r="V586" i="10"/>
  <c r="W586" i="10"/>
  <c r="AB586" i="10"/>
  <c r="AC586" i="10"/>
  <c r="AD586" i="10"/>
  <c r="A587" i="10"/>
  <c r="B587" i="10"/>
  <c r="D587" i="10"/>
  <c r="E587" i="10"/>
  <c r="F587" i="10"/>
  <c r="G587" i="10"/>
  <c r="H587" i="10"/>
  <c r="I587" i="10"/>
  <c r="K587" i="10"/>
  <c r="L587" i="10"/>
  <c r="M587" i="10"/>
  <c r="N587" i="10"/>
  <c r="O587" i="10"/>
  <c r="Q587" i="10"/>
  <c r="R587" i="10"/>
  <c r="S587" i="10"/>
  <c r="T587" i="10"/>
  <c r="U587" i="10"/>
  <c r="V587" i="10"/>
  <c r="W587" i="10"/>
  <c r="AB587" i="10"/>
  <c r="AC587" i="10"/>
  <c r="AD587" i="10"/>
  <c r="A588" i="10"/>
  <c r="B588" i="10"/>
  <c r="D588" i="10"/>
  <c r="E588" i="10"/>
  <c r="F588" i="10"/>
  <c r="G588" i="10"/>
  <c r="H588" i="10"/>
  <c r="I588" i="10"/>
  <c r="K588" i="10"/>
  <c r="L588" i="10"/>
  <c r="M588" i="10"/>
  <c r="N588" i="10"/>
  <c r="O588" i="10"/>
  <c r="Q588" i="10"/>
  <c r="R588" i="10"/>
  <c r="S588" i="10"/>
  <c r="T588" i="10"/>
  <c r="U588" i="10"/>
  <c r="V588" i="10"/>
  <c r="W588" i="10"/>
  <c r="AB588" i="10"/>
  <c r="AC588" i="10"/>
  <c r="AD588" i="10"/>
  <c r="A589" i="10"/>
  <c r="B589" i="10"/>
  <c r="D589" i="10"/>
  <c r="E589" i="10"/>
  <c r="F589" i="10"/>
  <c r="G589" i="10"/>
  <c r="H589" i="10"/>
  <c r="I589" i="10"/>
  <c r="K589" i="10"/>
  <c r="L589" i="10"/>
  <c r="M589" i="10"/>
  <c r="N589" i="10"/>
  <c r="O589" i="10"/>
  <c r="Q589" i="10"/>
  <c r="R589" i="10"/>
  <c r="S589" i="10"/>
  <c r="T589" i="10"/>
  <c r="U589" i="10"/>
  <c r="V589" i="10"/>
  <c r="W589" i="10"/>
  <c r="AB589" i="10"/>
  <c r="AC589" i="10"/>
  <c r="AD589" i="10"/>
  <c r="A590" i="10"/>
  <c r="B590" i="10"/>
  <c r="D590" i="10"/>
  <c r="E590" i="10"/>
  <c r="F590" i="10"/>
  <c r="G590" i="10"/>
  <c r="H590" i="10"/>
  <c r="I590" i="10"/>
  <c r="K590" i="10"/>
  <c r="L590" i="10"/>
  <c r="M590" i="10"/>
  <c r="N590" i="10"/>
  <c r="O590" i="10"/>
  <c r="Q590" i="10"/>
  <c r="R590" i="10"/>
  <c r="S590" i="10"/>
  <c r="T590" i="10"/>
  <c r="U590" i="10"/>
  <c r="V590" i="10"/>
  <c r="W590" i="10"/>
  <c r="AB590" i="10"/>
  <c r="AC590" i="10"/>
  <c r="AD590" i="10"/>
  <c r="A591" i="10"/>
  <c r="B591" i="10"/>
  <c r="D591" i="10"/>
  <c r="E591" i="10"/>
  <c r="F591" i="10"/>
  <c r="G591" i="10"/>
  <c r="H591" i="10"/>
  <c r="I591" i="10"/>
  <c r="K591" i="10"/>
  <c r="L591" i="10"/>
  <c r="M591" i="10"/>
  <c r="N591" i="10"/>
  <c r="O591" i="10"/>
  <c r="Q591" i="10"/>
  <c r="R591" i="10"/>
  <c r="S591" i="10"/>
  <c r="T591" i="10"/>
  <c r="U591" i="10"/>
  <c r="V591" i="10"/>
  <c r="W591" i="10"/>
  <c r="AB591" i="10"/>
  <c r="AC591" i="10"/>
  <c r="AD591" i="10"/>
  <c r="A592" i="10"/>
  <c r="B592" i="10"/>
  <c r="D592" i="10"/>
  <c r="E592" i="10"/>
  <c r="F592" i="10"/>
  <c r="G592" i="10"/>
  <c r="H592" i="10"/>
  <c r="I592" i="10"/>
  <c r="K592" i="10"/>
  <c r="L592" i="10"/>
  <c r="M592" i="10"/>
  <c r="N592" i="10"/>
  <c r="O592" i="10"/>
  <c r="Q592" i="10"/>
  <c r="R592" i="10"/>
  <c r="S592" i="10"/>
  <c r="T592" i="10"/>
  <c r="U592" i="10"/>
  <c r="V592" i="10"/>
  <c r="W592" i="10"/>
  <c r="AB592" i="10"/>
  <c r="AC592" i="10"/>
  <c r="AD592" i="10"/>
  <c r="A593" i="10"/>
  <c r="B593" i="10"/>
  <c r="D593" i="10"/>
  <c r="E593" i="10"/>
  <c r="F593" i="10"/>
  <c r="G593" i="10"/>
  <c r="H593" i="10"/>
  <c r="I593" i="10"/>
  <c r="K593" i="10"/>
  <c r="L593" i="10"/>
  <c r="M593" i="10"/>
  <c r="N593" i="10"/>
  <c r="O593" i="10"/>
  <c r="Q593" i="10"/>
  <c r="R593" i="10"/>
  <c r="S593" i="10"/>
  <c r="T593" i="10"/>
  <c r="U593" i="10"/>
  <c r="V593" i="10"/>
  <c r="W593" i="10"/>
  <c r="AB593" i="10"/>
  <c r="AC593" i="10"/>
  <c r="AD593" i="10"/>
  <c r="A594" i="10"/>
  <c r="B594" i="10"/>
  <c r="D594" i="10"/>
  <c r="E594" i="10"/>
  <c r="F594" i="10"/>
  <c r="G594" i="10"/>
  <c r="H594" i="10"/>
  <c r="I594" i="10"/>
  <c r="K594" i="10"/>
  <c r="L594" i="10"/>
  <c r="M594" i="10"/>
  <c r="N594" i="10"/>
  <c r="O594" i="10"/>
  <c r="Q594" i="10"/>
  <c r="R594" i="10"/>
  <c r="S594" i="10"/>
  <c r="T594" i="10"/>
  <c r="U594" i="10"/>
  <c r="V594" i="10"/>
  <c r="W594" i="10"/>
  <c r="AB594" i="10"/>
  <c r="AC594" i="10"/>
  <c r="AD594" i="10"/>
  <c r="A595" i="10"/>
  <c r="B595" i="10"/>
  <c r="D595" i="10"/>
  <c r="E595" i="10"/>
  <c r="F595" i="10"/>
  <c r="G595" i="10"/>
  <c r="H595" i="10"/>
  <c r="I595" i="10"/>
  <c r="K595" i="10"/>
  <c r="L595" i="10"/>
  <c r="M595" i="10"/>
  <c r="N595" i="10"/>
  <c r="O595" i="10"/>
  <c r="Q595" i="10"/>
  <c r="R595" i="10"/>
  <c r="S595" i="10"/>
  <c r="T595" i="10"/>
  <c r="U595" i="10"/>
  <c r="V595" i="10"/>
  <c r="W595" i="10"/>
  <c r="AB595" i="10"/>
  <c r="AC595" i="10"/>
  <c r="AD595" i="10"/>
  <c r="A596" i="10"/>
  <c r="B596" i="10"/>
  <c r="D596" i="10"/>
  <c r="E596" i="10"/>
  <c r="F596" i="10"/>
  <c r="G596" i="10"/>
  <c r="H596" i="10"/>
  <c r="I596" i="10"/>
  <c r="K596" i="10"/>
  <c r="L596" i="10"/>
  <c r="M596" i="10"/>
  <c r="N596" i="10"/>
  <c r="O596" i="10"/>
  <c r="Q596" i="10"/>
  <c r="R596" i="10"/>
  <c r="S596" i="10"/>
  <c r="T596" i="10"/>
  <c r="U596" i="10"/>
  <c r="V596" i="10"/>
  <c r="W596" i="10"/>
  <c r="AB596" i="10"/>
  <c r="AC596" i="10"/>
  <c r="AD596" i="10"/>
  <c r="A597" i="10"/>
  <c r="B597" i="10"/>
  <c r="D597" i="10"/>
  <c r="E597" i="10"/>
  <c r="F597" i="10"/>
  <c r="G597" i="10"/>
  <c r="H597" i="10"/>
  <c r="I597" i="10"/>
  <c r="K597" i="10"/>
  <c r="L597" i="10"/>
  <c r="M597" i="10"/>
  <c r="N597" i="10"/>
  <c r="O597" i="10"/>
  <c r="Q597" i="10"/>
  <c r="R597" i="10"/>
  <c r="S597" i="10"/>
  <c r="T597" i="10"/>
  <c r="U597" i="10"/>
  <c r="V597" i="10"/>
  <c r="W597" i="10"/>
  <c r="AB597" i="10"/>
  <c r="AC597" i="10"/>
  <c r="AD597" i="10"/>
  <c r="A598" i="10"/>
  <c r="B598" i="10"/>
  <c r="D598" i="10"/>
  <c r="E598" i="10"/>
  <c r="F598" i="10"/>
  <c r="G598" i="10"/>
  <c r="H598" i="10"/>
  <c r="I598" i="10"/>
  <c r="K598" i="10"/>
  <c r="L598" i="10"/>
  <c r="M598" i="10"/>
  <c r="N598" i="10"/>
  <c r="O598" i="10"/>
  <c r="Q598" i="10"/>
  <c r="R598" i="10"/>
  <c r="S598" i="10"/>
  <c r="T598" i="10"/>
  <c r="U598" i="10"/>
  <c r="V598" i="10"/>
  <c r="W598" i="10"/>
  <c r="AB598" i="10"/>
  <c r="AC598" i="10"/>
  <c r="AD598" i="10"/>
  <c r="A599" i="10"/>
  <c r="B599" i="10"/>
  <c r="D599" i="10"/>
  <c r="E599" i="10"/>
  <c r="F599" i="10"/>
  <c r="G599" i="10"/>
  <c r="H599" i="10"/>
  <c r="I599" i="10"/>
  <c r="K599" i="10"/>
  <c r="L599" i="10"/>
  <c r="M599" i="10"/>
  <c r="N599" i="10"/>
  <c r="O599" i="10"/>
  <c r="Q599" i="10"/>
  <c r="R599" i="10"/>
  <c r="S599" i="10"/>
  <c r="T599" i="10"/>
  <c r="U599" i="10"/>
  <c r="V599" i="10"/>
  <c r="W599" i="10"/>
  <c r="AB599" i="10"/>
  <c r="AC599" i="10"/>
  <c r="AD599" i="10"/>
  <c r="A600" i="10"/>
  <c r="B600" i="10"/>
  <c r="D600" i="10"/>
  <c r="E600" i="10"/>
  <c r="F600" i="10"/>
  <c r="G600" i="10"/>
  <c r="H600" i="10"/>
  <c r="I600" i="10"/>
  <c r="J600" i="10"/>
  <c r="K600" i="10"/>
  <c r="L600" i="10"/>
  <c r="M600" i="10"/>
  <c r="N600" i="10"/>
  <c r="O600" i="10"/>
  <c r="P600" i="10"/>
  <c r="Q600" i="10"/>
  <c r="R600" i="10"/>
  <c r="S600" i="10"/>
  <c r="T600" i="10"/>
  <c r="U600" i="10"/>
  <c r="V600" i="10"/>
  <c r="W600" i="10"/>
  <c r="AB600" i="10"/>
  <c r="AC600" i="10"/>
  <c r="AD600" i="10"/>
  <c r="A601" i="10"/>
  <c r="B601" i="10"/>
  <c r="D601" i="10"/>
  <c r="E601" i="10"/>
  <c r="F601" i="10"/>
  <c r="G601" i="10"/>
  <c r="H601" i="10"/>
  <c r="I601" i="10"/>
  <c r="K601" i="10"/>
  <c r="L601" i="10"/>
  <c r="M601" i="10"/>
  <c r="N601" i="10"/>
  <c r="O601" i="10"/>
  <c r="P601" i="10"/>
  <c r="Q601" i="10"/>
  <c r="R601" i="10"/>
  <c r="S601" i="10"/>
  <c r="U601" i="10"/>
  <c r="V601" i="10"/>
  <c r="AB601" i="10"/>
  <c r="AC601" i="10"/>
  <c r="AD601" i="10"/>
  <c r="A602" i="10"/>
  <c r="B602" i="10"/>
  <c r="D602" i="10"/>
  <c r="E602" i="10"/>
  <c r="F602" i="10"/>
  <c r="G602" i="10"/>
  <c r="H602" i="10"/>
  <c r="I602" i="10"/>
  <c r="K602" i="10"/>
  <c r="L602" i="10"/>
  <c r="M602" i="10"/>
  <c r="N602" i="10"/>
  <c r="O602" i="10"/>
  <c r="P602" i="10"/>
  <c r="Q602" i="10"/>
  <c r="R602" i="10"/>
  <c r="S602" i="10"/>
  <c r="U602" i="10"/>
  <c r="V602" i="10"/>
  <c r="AB602" i="10"/>
  <c r="AC602" i="10"/>
  <c r="AD602" i="10"/>
  <c r="A603" i="10"/>
  <c r="B603" i="10"/>
  <c r="D603" i="10"/>
  <c r="E603" i="10"/>
  <c r="F603" i="10"/>
  <c r="G603" i="10"/>
  <c r="H603" i="10"/>
  <c r="I603" i="10"/>
  <c r="K603" i="10"/>
  <c r="L603" i="10"/>
  <c r="M603" i="10"/>
  <c r="N603" i="10"/>
  <c r="O603" i="10"/>
  <c r="P603" i="10"/>
  <c r="Q603" i="10"/>
  <c r="R603" i="10"/>
  <c r="S603" i="10"/>
  <c r="U603" i="10"/>
  <c r="V603" i="10"/>
  <c r="AB603" i="10"/>
  <c r="AC603" i="10"/>
  <c r="AD603" i="10"/>
  <c r="A604" i="10"/>
  <c r="B604" i="10"/>
  <c r="D604" i="10"/>
  <c r="E604" i="10"/>
  <c r="F604" i="10"/>
  <c r="G604" i="10"/>
  <c r="H604" i="10"/>
  <c r="I604" i="10"/>
  <c r="K604" i="10"/>
  <c r="L604" i="10"/>
  <c r="M604" i="10"/>
  <c r="N604" i="10"/>
  <c r="O604" i="10"/>
  <c r="P604" i="10"/>
  <c r="Q604" i="10"/>
  <c r="R604" i="10"/>
  <c r="S604" i="10"/>
  <c r="U604" i="10"/>
  <c r="V604" i="10"/>
  <c r="AB604" i="10"/>
  <c r="AC604" i="10"/>
  <c r="AD604" i="10"/>
  <c r="A605" i="10"/>
  <c r="B605" i="10"/>
  <c r="D605" i="10"/>
  <c r="E605" i="10"/>
  <c r="F605" i="10"/>
  <c r="G605" i="10"/>
  <c r="H605" i="10"/>
  <c r="I605" i="10"/>
  <c r="K605" i="10"/>
  <c r="L605" i="10"/>
  <c r="M605" i="10"/>
  <c r="N605" i="10"/>
  <c r="O605" i="10"/>
  <c r="P605" i="10"/>
  <c r="Q605" i="10"/>
  <c r="R605" i="10"/>
  <c r="S605" i="10"/>
  <c r="U605" i="10"/>
  <c r="V605" i="10"/>
  <c r="AB605" i="10"/>
  <c r="AC605" i="10"/>
  <c r="AD605" i="10"/>
  <c r="A606" i="10"/>
  <c r="B606" i="10"/>
  <c r="D606" i="10"/>
  <c r="E606" i="10"/>
  <c r="F606" i="10"/>
  <c r="G606" i="10"/>
  <c r="H606" i="10"/>
  <c r="I606" i="10"/>
  <c r="K606" i="10"/>
  <c r="L606" i="10"/>
  <c r="M606" i="10"/>
  <c r="N606" i="10"/>
  <c r="O606" i="10"/>
  <c r="P606" i="10"/>
  <c r="Q606" i="10"/>
  <c r="R606" i="10"/>
  <c r="S606" i="10"/>
  <c r="U606" i="10"/>
  <c r="V606" i="10"/>
  <c r="AB606" i="10"/>
  <c r="AC606" i="10"/>
  <c r="AD606" i="10"/>
  <c r="A607" i="10"/>
  <c r="B607" i="10"/>
  <c r="D607" i="10"/>
  <c r="E607" i="10"/>
  <c r="F607" i="10"/>
  <c r="G607" i="10"/>
  <c r="H607" i="10"/>
  <c r="I607" i="10"/>
  <c r="K607" i="10"/>
  <c r="L607" i="10"/>
  <c r="M607" i="10"/>
  <c r="N607" i="10"/>
  <c r="O607" i="10"/>
  <c r="P607" i="10"/>
  <c r="Q607" i="10"/>
  <c r="R607" i="10"/>
  <c r="S607" i="10"/>
  <c r="U607" i="10"/>
  <c r="V607" i="10"/>
  <c r="AB607" i="10"/>
  <c r="AC607" i="10"/>
  <c r="AD607" i="10"/>
  <c r="A608" i="10"/>
  <c r="B608" i="10"/>
  <c r="D608" i="10"/>
  <c r="E608" i="10"/>
  <c r="F608" i="10"/>
  <c r="G608" i="10"/>
  <c r="H608" i="10"/>
  <c r="I608" i="10"/>
  <c r="K608" i="10"/>
  <c r="L608" i="10"/>
  <c r="M608" i="10"/>
  <c r="N608" i="10"/>
  <c r="O608" i="10"/>
  <c r="P608" i="10"/>
  <c r="Q608" i="10"/>
  <c r="R608" i="10"/>
  <c r="S608" i="10"/>
  <c r="U608" i="10"/>
  <c r="V608" i="10"/>
  <c r="AB608" i="10"/>
  <c r="AC608" i="10"/>
  <c r="AD608" i="10"/>
  <c r="A609" i="10"/>
  <c r="B609" i="10"/>
  <c r="D609" i="10"/>
  <c r="E609" i="10"/>
  <c r="F609" i="10"/>
  <c r="G609" i="10"/>
  <c r="H609" i="10"/>
  <c r="I609" i="10"/>
  <c r="K609" i="10"/>
  <c r="L609" i="10"/>
  <c r="M609" i="10"/>
  <c r="N609" i="10"/>
  <c r="O609" i="10"/>
  <c r="P609" i="10"/>
  <c r="Q609" i="10"/>
  <c r="R609" i="10"/>
  <c r="S609" i="10"/>
  <c r="U609" i="10"/>
  <c r="V609" i="10"/>
  <c r="AB609" i="10"/>
  <c r="AC609" i="10"/>
  <c r="AD609" i="10"/>
  <c r="A610" i="10"/>
  <c r="B610" i="10"/>
  <c r="D610" i="10"/>
  <c r="E610" i="10"/>
  <c r="F610" i="10"/>
  <c r="G610" i="10"/>
  <c r="H610" i="10"/>
  <c r="I610" i="10"/>
  <c r="K610" i="10"/>
  <c r="L610" i="10"/>
  <c r="M610" i="10"/>
  <c r="N610" i="10"/>
  <c r="O610" i="10"/>
  <c r="P610" i="10"/>
  <c r="Q610" i="10"/>
  <c r="R610" i="10"/>
  <c r="S610" i="10"/>
  <c r="U610" i="10"/>
  <c r="V610" i="10"/>
  <c r="AB610" i="10"/>
  <c r="AC610" i="10"/>
  <c r="AD610" i="10"/>
  <c r="A611" i="10"/>
  <c r="B611" i="10"/>
  <c r="D611" i="10"/>
  <c r="E611" i="10"/>
  <c r="F611" i="10"/>
  <c r="G611" i="10"/>
  <c r="H611" i="10"/>
  <c r="I611" i="10"/>
  <c r="K611" i="10"/>
  <c r="L611" i="10"/>
  <c r="M611" i="10"/>
  <c r="N611" i="10"/>
  <c r="O611" i="10"/>
  <c r="P611" i="10"/>
  <c r="Q611" i="10"/>
  <c r="R611" i="10"/>
  <c r="S611" i="10"/>
  <c r="U611" i="10"/>
  <c r="V611" i="10"/>
  <c r="AB611" i="10"/>
  <c r="AC611" i="10"/>
  <c r="AD611" i="10"/>
  <c r="A612" i="10"/>
  <c r="B612" i="10"/>
  <c r="D612" i="10"/>
  <c r="E612" i="10"/>
  <c r="F612" i="10"/>
  <c r="G612" i="10"/>
  <c r="H612" i="10"/>
  <c r="I612" i="10"/>
  <c r="K612" i="10"/>
  <c r="L612" i="10"/>
  <c r="M612" i="10"/>
  <c r="N612" i="10"/>
  <c r="O612" i="10"/>
  <c r="P612" i="10"/>
  <c r="Q612" i="10"/>
  <c r="R612" i="10"/>
  <c r="S612" i="10"/>
  <c r="U612" i="10"/>
  <c r="V612" i="10"/>
  <c r="AB612" i="10"/>
  <c r="AC612" i="10"/>
  <c r="AD612" i="10"/>
  <c r="A613" i="10"/>
  <c r="B613" i="10"/>
  <c r="D613" i="10"/>
  <c r="E613" i="10"/>
  <c r="F613" i="10"/>
  <c r="G613" i="10"/>
  <c r="H613" i="10"/>
  <c r="I613" i="10"/>
  <c r="K613" i="10"/>
  <c r="L613" i="10"/>
  <c r="M613" i="10"/>
  <c r="N613" i="10"/>
  <c r="O613" i="10"/>
  <c r="P613" i="10"/>
  <c r="Q613" i="10"/>
  <c r="R613" i="10"/>
  <c r="S613" i="10"/>
  <c r="U613" i="10"/>
  <c r="V613" i="10"/>
  <c r="AB613" i="10"/>
  <c r="AC613" i="10"/>
  <c r="AD613" i="10"/>
  <c r="A614" i="10"/>
  <c r="B614" i="10"/>
  <c r="D614" i="10"/>
  <c r="E614" i="10"/>
  <c r="F614" i="10"/>
  <c r="G614" i="10"/>
  <c r="H614" i="10"/>
  <c r="I614" i="10"/>
  <c r="K614" i="10"/>
  <c r="L614" i="10"/>
  <c r="M614" i="10"/>
  <c r="N614" i="10"/>
  <c r="O614" i="10"/>
  <c r="P614" i="10"/>
  <c r="Q614" i="10"/>
  <c r="R614" i="10"/>
  <c r="S614" i="10"/>
  <c r="U614" i="10"/>
  <c r="V614" i="10"/>
  <c r="AB614" i="10"/>
  <c r="AC614" i="10"/>
  <c r="AD614" i="10"/>
  <c r="A615" i="10"/>
  <c r="B615" i="10"/>
  <c r="D615" i="10"/>
  <c r="E615" i="10"/>
  <c r="F615" i="10"/>
  <c r="G615" i="10"/>
  <c r="H615" i="10"/>
  <c r="I615" i="10"/>
  <c r="K615" i="10"/>
  <c r="L615" i="10"/>
  <c r="M615" i="10"/>
  <c r="N615" i="10"/>
  <c r="O615" i="10"/>
  <c r="P615" i="10"/>
  <c r="Q615" i="10"/>
  <c r="R615" i="10"/>
  <c r="S615" i="10"/>
  <c r="U615" i="10"/>
  <c r="V615" i="10"/>
  <c r="AB615" i="10"/>
  <c r="AC615" i="10"/>
  <c r="AD615" i="10"/>
  <c r="A616" i="10"/>
  <c r="B616" i="10"/>
  <c r="D616" i="10"/>
  <c r="E616" i="10"/>
  <c r="F616" i="10"/>
  <c r="G616" i="10"/>
  <c r="H616" i="10"/>
  <c r="I616" i="10"/>
  <c r="J616" i="10"/>
  <c r="K616" i="10"/>
  <c r="L616" i="10"/>
  <c r="M616" i="10"/>
  <c r="N616" i="10"/>
  <c r="O616" i="10"/>
  <c r="P616" i="10"/>
  <c r="Q616" i="10"/>
  <c r="R616" i="10"/>
  <c r="S616" i="10"/>
  <c r="T616" i="10"/>
  <c r="U616" i="10"/>
  <c r="V616" i="10"/>
  <c r="W616" i="10"/>
  <c r="AB616" i="10"/>
  <c r="AC616" i="10"/>
  <c r="AD616" i="10"/>
  <c r="A617" i="10"/>
  <c r="B617" i="10"/>
  <c r="D617" i="10"/>
  <c r="E617" i="10"/>
  <c r="F617" i="10"/>
  <c r="G617" i="10"/>
  <c r="H617" i="10"/>
  <c r="I617" i="10"/>
  <c r="K617" i="10"/>
  <c r="L617" i="10"/>
  <c r="M617" i="10"/>
  <c r="N617" i="10"/>
  <c r="O617" i="10"/>
  <c r="P617" i="10"/>
  <c r="Q617" i="10"/>
  <c r="R617" i="10"/>
  <c r="S617" i="10"/>
  <c r="U617" i="10"/>
  <c r="V617" i="10"/>
  <c r="AB617" i="10"/>
  <c r="AC617" i="10"/>
  <c r="AD617" i="10"/>
  <c r="A618" i="10"/>
  <c r="B618" i="10"/>
  <c r="D618" i="10"/>
  <c r="E618" i="10"/>
  <c r="F618" i="10"/>
  <c r="G618" i="10"/>
  <c r="H618" i="10"/>
  <c r="I618" i="10"/>
  <c r="K618" i="10"/>
  <c r="L618" i="10"/>
  <c r="M618" i="10"/>
  <c r="N618" i="10"/>
  <c r="O618" i="10"/>
  <c r="P618" i="10"/>
  <c r="Q618" i="10"/>
  <c r="R618" i="10"/>
  <c r="S618" i="10"/>
  <c r="U618" i="10"/>
  <c r="V618" i="10"/>
  <c r="AB618" i="10"/>
  <c r="AC618" i="10"/>
  <c r="AD618" i="10"/>
  <c r="A619" i="10"/>
  <c r="B619" i="10"/>
  <c r="D619" i="10"/>
  <c r="E619" i="10"/>
  <c r="F619" i="10"/>
  <c r="G619" i="10"/>
  <c r="H619" i="10"/>
  <c r="I619" i="10"/>
  <c r="K619" i="10"/>
  <c r="L619" i="10"/>
  <c r="M619" i="10"/>
  <c r="N619" i="10"/>
  <c r="O619" i="10"/>
  <c r="P619" i="10"/>
  <c r="Q619" i="10"/>
  <c r="R619" i="10"/>
  <c r="S619" i="10"/>
  <c r="U619" i="10"/>
  <c r="V619" i="10"/>
  <c r="AB619" i="10"/>
  <c r="AC619" i="10"/>
  <c r="AD619" i="10"/>
  <c r="A620" i="10"/>
  <c r="B620" i="10"/>
  <c r="D620" i="10"/>
  <c r="E620" i="10"/>
  <c r="F620" i="10"/>
  <c r="G620" i="10"/>
  <c r="H620" i="10"/>
  <c r="I620" i="10"/>
  <c r="K620" i="10"/>
  <c r="L620" i="10"/>
  <c r="M620" i="10"/>
  <c r="N620" i="10"/>
  <c r="O620" i="10"/>
  <c r="P620" i="10"/>
  <c r="Q620" i="10"/>
  <c r="R620" i="10"/>
  <c r="S620" i="10"/>
  <c r="U620" i="10"/>
  <c r="V620" i="10"/>
  <c r="AB620" i="10"/>
  <c r="AC620" i="10"/>
  <c r="AD620" i="10"/>
  <c r="A621" i="10"/>
  <c r="B621" i="10"/>
  <c r="D621" i="10"/>
  <c r="E621" i="10"/>
  <c r="F621" i="10"/>
  <c r="G621" i="10"/>
  <c r="H621" i="10"/>
  <c r="I621" i="10"/>
  <c r="K621" i="10"/>
  <c r="L621" i="10"/>
  <c r="M621" i="10"/>
  <c r="N621" i="10"/>
  <c r="O621" i="10"/>
  <c r="P621" i="10"/>
  <c r="Q621" i="10"/>
  <c r="R621" i="10"/>
  <c r="S621" i="10"/>
  <c r="U621" i="10"/>
  <c r="V621" i="10"/>
  <c r="AB621" i="10"/>
  <c r="AC621" i="10"/>
  <c r="AD621" i="10"/>
  <c r="A622" i="10"/>
  <c r="B622" i="10"/>
  <c r="D622" i="10"/>
  <c r="E622" i="10"/>
  <c r="F622" i="10"/>
  <c r="G622" i="10"/>
  <c r="H622" i="10"/>
  <c r="I622" i="10"/>
  <c r="K622" i="10"/>
  <c r="L622" i="10"/>
  <c r="M622" i="10"/>
  <c r="N622" i="10"/>
  <c r="O622" i="10"/>
  <c r="P622" i="10"/>
  <c r="Q622" i="10"/>
  <c r="R622" i="10"/>
  <c r="S622" i="10"/>
  <c r="U622" i="10"/>
  <c r="V622" i="10"/>
  <c r="AB622" i="10"/>
  <c r="AC622" i="10"/>
  <c r="AD622" i="10"/>
  <c r="A623" i="10"/>
  <c r="B623" i="10"/>
  <c r="D623" i="10"/>
  <c r="E623" i="10"/>
  <c r="F623" i="10"/>
  <c r="G623" i="10"/>
  <c r="H623" i="10"/>
  <c r="I623" i="10"/>
  <c r="K623" i="10"/>
  <c r="L623" i="10"/>
  <c r="M623" i="10"/>
  <c r="N623" i="10"/>
  <c r="O623" i="10"/>
  <c r="P623" i="10"/>
  <c r="Q623" i="10"/>
  <c r="R623" i="10"/>
  <c r="S623" i="10"/>
  <c r="U623" i="10"/>
  <c r="V623" i="10"/>
  <c r="AB623" i="10"/>
  <c r="AC623" i="10"/>
  <c r="AD623" i="10"/>
  <c r="A624" i="10"/>
  <c r="B624" i="10"/>
  <c r="D624" i="10"/>
  <c r="E624" i="10"/>
  <c r="F624" i="10"/>
  <c r="G624" i="10"/>
  <c r="H624" i="10"/>
  <c r="I624" i="10"/>
  <c r="K624" i="10"/>
  <c r="L624" i="10"/>
  <c r="M624" i="10"/>
  <c r="N624" i="10"/>
  <c r="O624" i="10"/>
  <c r="P624" i="10"/>
  <c r="Q624" i="10"/>
  <c r="R624" i="10"/>
  <c r="S624" i="10"/>
  <c r="U624" i="10"/>
  <c r="V624" i="10"/>
  <c r="AB624" i="10"/>
  <c r="AC624" i="10"/>
  <c r="AD624" i="10"/>
  <c r="A625" i="10"/>
  <c r="B625" i="10"/>
  <c r="D625" i="10"/>
  <c r="E625" i="10"/>
  <c r="F625" i="10"/>
  <c r="G625" i="10"/>
  <c r="H625" i="10"/>
  <c r="I625" i="10"/>
  <c r="K625" i="10"/>
  <c r="L625" i="10"/>
  <c r="M625" i="10"/>
  <c r="N625" i="10"/>
  <c r="O625" i="10"/>
  <c r="P625" i="10"/>
  <c r="Q625" i="10"/>
  <c r="R625" i="10"/>
  <c r="S625" i="10"/>
  <c r="U625" i="10"/>
  <c r="V625" i="10"/>
  <c r="AB625" i="10"/>
  <c r="AC625" i="10"/>
  <c r="AD625" i="10"/>
  <c r="A626" i="10"/>
  <c r="B626" i="10"/>
  <c r="D626" i="10"/>
  <c r="E626" i="10"/>
  <c r="F626" i="10"/>
  <c r="G626" i="10"/>
  <c r="H626" i="10"/>
  <c r="I626" i="10"/>
  <c r="K626" i="10"/>
  <c r="L626" i="10"/>
  <c r="M626" i="10"/>
  <c r="N626" i="10"/>
  <c r="O626" i="10"/>
  <c r="P626" i="10"/>
  <c r="Q626" i="10"/>
  <c r="R626" i="10"/>
  <c r="S626" i="10"/>
  <c r="U626" i="10"/>
  <c r="V626" i="10"/>
  <c r="AB626" i="10"/>
  <c r="AC626" i="10"/>
  <c r="AD626" i="10"/>
  <c r="A627" i="10"/>
  <c r="B627" i="10"/>
  <c r="D627" i="10"/>
  <c r="E627" i="10"/>
  <c r="F627" i="10"/>
  <c r="G627" i="10"/>
  <c r="H627" i="10"/>
  <c r="I627" i="10"/>
  <c r="K627" i="10"/>
  <c r="L627" i="10"/>
  <c r="M627" i="10"/>
  <c r="N627" i="10"/>
  <c r="O627" i="10"/>
  <c r="P627" i="10"/>
  <c r="Q627" i="10"/>
  <c r="R627" i="10"/>
  <c r="S627" i="10"/>
  <c r="U627" i="10"/>
  <c r="V627" i="10"/>
  <c r="AB627" i="10"/>
  <c r="AC627" i="10"/>
  <c r="AD627" i="10"/>
  <c r="A628" i="10"/>
  <c r="B628" i="10"/>
  <c r="D628" i="10"/>
  <c r="E628" i="10"/>
  <c r="F628" i="10"/>
  <c r="G628" i="10"/>
  <c r="H628" i="10"/>
  <c r="I628" i="10"/>
  <c r="K628" i="10"/>
  <c r="L628" i="10"/>
  <c r="M628" i="10"/>
  <c r="N628" i="10"/>
  <c r="O628" i="10"/>
  <c r="P628" i="10"/>
  <c r="Q628" i="10"/>
  <c r="R628" i="10"/>
  <c r="S628" i="10"/>
  <c r="U628" i="10"/>
  <c r="V628" i="10"/>
  <c r="AB628" i="10"/>
  <c r="AC628" i="10"/>
  <c r="AD628" i="10"/>
  <c r="A629" i="10"/>
  <c r="B629" i="10"/>
  <c r="D629" i="10"/>
  <c r="E629" i="10"/>
  <c r="F629" i="10"/>
  <c r="G629" i="10"/>
  <c r="H629" i="10"/>
  <c r="I629" i="10"/>
  <c r="K629" i="10"/>
  <c r="L629" i="10"/>
  <c r="M629" i="10"/>
  <c r="N629" i="10"/>
  <c r="O629" i="10"/>
  <c r="P629" i="10"/>
  <c r="Q629" i="10"/>
  <c r="R629" i="10"/>
  <c r="S629" i="10"/>
  <c r="U629" i="10"/>
  <c r="V629" i="10"/>
  <c r="AB629" i="10"/>
  <c r="AC629" i="10"/>
  <c r="AD629" i="10"/>
  <c r="A630" i="10"/>
  <c r="B630" i="10"/>
  <c r="D630" i="10"/>
  <c r="E630" i="10"/>
  <c r="F630" i="10"/>
  <c r="G630" i="10"/>
  <c r="H630" i="10"/>
  <c r="I630" i="10"/>
  <c r="K630" i="10"/>
  <c r="L630" i="10"/>
  <c r="M630" i="10"/>
  <c r="N630" i="10"/>
  <c r="O630" i="10"/>
  <c r="P630" i="10"/>
  <c r="Q630" i="10"/>
  <c r="R630" i="10"/>
  <c r="S630" i="10"/>
  <c r="U630" i="10"/>
  <c r="V630" i="10"/>
  <c r="AB630" i="10"/>
  <c r="AC630" i="10"/>
  <c r="AD630" i="10"/>
  <c r="A631" i="10"/>
  <c r="B631" i="10"/>
  <c r="D631" i="10"/>
  <c r="E631" i="10"/>
  <c r="F631" i="10"/>
  <c r="G631" i="10"/>
  <c r="H631" i="10"/>
  <c r="I631" i="10"/>
  <c r="K631" i="10"/>
  <c r="L631" i="10"/>
  <c r="M631" i="10"/>
  <c r="N631" i="10"/>
  <c r="O631" i="10"/>
  <c r="P631" i="10"/>
  <c r="Q631" i="10"/>
  <c r="R631" i="10"/>
  <c r="S631" i="10"/>
  <c r="U631" i="10"/>
  <c r="V631" i="10"/>
  <c r="AB631" i="10"/>
  <c r="AC631" i="10"/>
  <c r="AD631" i="10"/>
  <c r="A632" i="10"/>
  <c r="B632" i="10"/>
  <c r="D632" i="10"/>
  <c r="E632" i="10"/>
  <c r="F632" i="10"/>
  <c r="G632" i="10"/>
  <c r="H632" i="10"/>
  <c r="I632" i="10"/>
  <c r="J632" i="10"/>
  <c r="K632" i="10"/>
  <c r="L632" i="10"/>
  <c r="M632" i="10"/>
  <c r="N632" i="10"/>
  <c r="O632" i="10"/>
  <c r="P632" i="10"/>
  <c r="Q632" i="10"/>
  <c r="R632" i="10"/>
  <c r="S632" i="10"/>
  <c r="T632" i="10"/>
  <c r="U632" i="10"/>
  <c r="V632" i="10"/>
  <c r="W632" i="10"/>
  <c r="AB632" i="10"/>
  <c r="AC632" i="10"/>
  <c r="AD632" i="10"/>
  <c r="A633" i="10"/>
  <c r="B633" i="10"/>
  <c r="D633" i="10"/>
  <c r="E633" i="10"/>
  <c r="F633" i="10"/>
  <c r="G633" i="10"/>
  <c r="H633" i="10"/>
  <c r="I633" i="10"/>
  <c r="K633" i="10"/>
  <c r="L633" i="10"/>
  <c r="M633" i="10"/>
  <c r="N633" i="10"/>
  <c r="O633" i="10"/>
  <c r="P633" i="10"/>
  <c r="Q633" i="10"/>
  <c r="R633" i="10"/>
  <c r="S633" i="10"/>
  <c r="U633" i="10"/>
  <c r="V633" i="10"/>
  <c r="AB633" i="10"/>
  <c r="AC633" i="10"/>
  <c r="AD633" i="10"/>
  <c r="A634" i="10"/>
  <c r="B634" i="10"/>
  <c r="D634" i="10"/>
  <c r="E634" i="10"/>
  <c r="F634" i="10"/>
  <c r="G634" i="10"/>
  <c r="H634" i="10"/>
  <c r="I634" i="10"/>
  <c r="K634" i="10"/>
  <c r="L634" i="10"/>
  <c r="M634" i="10"/>
  <c r="N634" i="10"/>
  <c r="O634" i="10"/>
  <c r="P634" i="10"/>
  <c r="Q634" i="10"/>
  <c r="R634" i="10"/>
  <c r="S634" i="10"/>
  <c r="U634" i="10"/>
  <c r="V634" i="10"/>
  <c r="AB634" i="10"/>
  <c r="AC634" i="10"/>
  <c r="AD634" i="10"/>
  <c r="A635" i="10"/>
  <c r="B635" i="10"/>
  <c r="D635" i="10"/>
  <c r="E635" i="10"/>
  <c r="F635" i="10"/>
  <c r="G635" i="10"/>
  <c r="H635" i="10"/>
  <c r="I635" i="10"/>
  <c r="K635" i="10"/>
  <c r="L635" i="10"/>
  <c r="M635" i="10"/>
  <c r="N635" i="10"/>
  <c r="O635" i="10"/>
  <c r="P635" i="10"/>
  <c r="Q635" i="10"/>
  <c r="R635" i="10"/>
  <c r="S635" i="10"/>
  <c r="U635" i="10"/>
  <c r="V635" i="10"/>
  <c r="AB635" i="10"/>
  <c r="AC635" i="10"/>
  <c r="AD635" i="10"/>
  <c r="A636" i="10"/>
  <c r="B636" i="10"/>
  <c r="D636" i="10"/>
  <c r="E636" i="10"/>
  <c r="F636" i="10"/>
  <c r="G636" i="10"/>
  <c r="H636" i="10"/>
  <c r="I636" i="10"/>
  <c r="K636" i="10"/>
  <c r="L636" i="10"/>
  <c r="M636" i="10"/>
  <c r="N636" i="10"/>
  <c r="O636" i="10"/>
  <c r="P636" i="10"/>
  <c r="Q636" i="10"/>
  <c r="R636" i="10"/>
  <c r="S636" i="10"/>
  <c r="U636" i="10"/>
  <c r="V636" i="10"/>
  <c r="AB636" i="10"/>
  <c r="AC636" i="10"/>
  <c r="AD636" i="10"/>
  <c r="A637" i="10"/>
  <c r="B637" i="10"/>
  <c r="D637" i="10"/>
  <c r="E637" i="10"/>
  <c r="F637" i="10"/>
  <c r="G637" i="10"/>
  <c r="H637" i="10"/>
  <c r="I637" i="10"/>
  <c r="K637" i="10"/>
  <c r="L637" i="10"/>
  <c r="M637" i="10"/>
  <c r="N637" i="10"/>
  <c r="O637" i="10"/>
  <c r="P637" i="10"/>
  <c r="Q637" i="10"/>
  <c r="R637" i="10"/>
  <c r="S637" i="10"/>
  <c r="U637" i="10"/>
  <c r="V637" i="10"/>
  <c r="AB637" i="10"/>
  <c r="AC637" i="10"/>
  <c r="AD637" i="10"/>
  <c r="A638" i="10"/>
  <c r="B638" i="10"/>
  <c r="D638" i="10"/>
  <c r="E638" i="10"/>
  <c r="F638" i="10"/>
  <c r="G638" i="10"/>
  <c r="H638" i="10"/>
  <c r="I638" i="10"/>
  <c r="K638" i="10"/>
  <c r="L638" i="10"/>
  <c r="M638" i="10"/>
  <c r="N638" i="10"/>
  <c r="O638" i="10"/>
  <c r="P638" i="10"/>
  <c r="Q638" i="10"/>
  <c r="R638" i="10"/>
  <c r="S638" i="10"/>
  <c r="U638" i="10"/>
  <c r="V638" i="10"/>
  <c r="AB638" i="10"/>
  <c r="AC638" i="10"/>
  <c r="AD638" i="10"/>
  <c r="A639" i="10"/>
  <c r="B639" i="10"/>
  <c r="D639" i="10"/>
  <c r="E639" i="10"/>
  <c r="F639" i="10"/>
  <c r="G639" i="10"/>
  <c r="H639" i="10"/>
  <c r="I639" i="10"/>
  <c r="K639" i="10"/>
  <c r="L639" i="10"/>
  <c r="M639" i="10"/>
  <c r="N639" i="10"/>
  <c r="O639" i="10"/>
  <c r="P639" i="10"/>
  <c r="Q639" i="10"/>
  <c r="R639" i="10"/>
  <c r="S639" i="10"/>
  <c r="U639" i="10"/>
  <c r="V639" i="10"/>
  <c r="AB639" i="10"/>
  <c r="AC639" i="10"/>
  <c r="AD639" i="10"/>
  <c r="A640" i="10"/>
  <c r="B640" i="10"/>
  <c r="D640" i="10"/>
  <c r="E640" i="10"/>
  <c r="F640" i="10"/>
  <c r="G640" i="10"/>
  <c r="H640" i="10"/>
  <c r="I640" i="10"/>
  <c r="K640" i="10"/>
  <c r="L640" i="10"/>
  <c r="M640" i="10"/>
  <c r="N640" i="10"/>
  <c r="O640" i="10"/>
  <c r="P640" i="10"/>
  <c r="Q640" i="10"/>
  <c r="R640" i="10"/>
  <c r="S640" i="10"/>
  <c r="U640" i="10"/>
  <c r="V640" i="10"/>
  <c r="AB640" i="10"/>
  <c r="AC640" i="10"/>
  <c r="AD640" i="10"/>
  <c r="A641" i="10"/>
  <c r="B641" i="10"/>
  <c r="D641" i="10"/>
  <c r="E641" i="10"/>
  <c r="F641" i="10"/>
  <c r="G641" i="10"/>
  <c r="H641" i="10"/>
  <c r="I641" i="10"/>
  <c r="K641" i="10"/>
  <c r="L641" i="10"/>
  <c r="M641" i="10"/>
  <c r="N641" i="10"/>
  <c r="O641" i="10"/>
  <c r="P641" i="10"/>
  <c r="Q641" i="10"/>
  <c r="R641" i="10"/>
  <c r="S641" i="10"/>
  <c r="U641" i="10"/>
  <c r="V641" i="10"/>
  <c r="AB641" i="10"/>
  <c r="AC641" i="10"/>
  <c r="AD641" i="10"/>
  <c r="A642" i="10"/>
  <c r="B642" i="10"/>
  <c r="D642" i="10"/>
  <c r="E642" i="10"/>
  <c r="F642" i="10"/>
  <c r="G642" i="10"/>
  <c r="H642" i="10"/>
  <c r="I642" i="10"/>
  <c r="K642" i="10"/>
  <c r="L642" i="10"/>
  <c r="M642" i="10"/>
  <c r="N642" i="10"/>
  <c r="O642" i="10"/>
  <c r="P642" i="10"/>
  <c r="Q642" i="10"/>
  <c r="R642" i="10"/>
  <c r="S642" i="10"/>
  <c r="U642" i="10"/>
  <c r="V642" i="10"/>
  <c r="AB642" i="10"/>
  <c r="AC642" i="10"/>
  <c r="AD642" i="10"/>
  <c r="A643" i="10"/>
  <c r="B643" i="10"/>
  <c r="D643" i="10"/>
  <c r="E643" i="10"/>
  <c r="F643" i="10"/>
  <c r="G643" i="10"/>
  <c r="H643" i="10"/>
  <c r="I643" i="10"/>
  <c r="K643" i="10"/>
  <c r="L643" i="10"/>
  <c r="M643" i="10"/>
  <c r="N643" i="10"/>
  <c r="O643" i="10"/>
  <c r="P643" i="10"/>
  <c r="Q643" i="10"/>
  <c r="R643" i="10"/>
  <c r="S643" i="10"/>
  <c r="U643" i="10"/>
  <c r="V643" i="10"/>
  <c r="AB643" i="10"/>
  <c r="AC643" i="10"/>
  <c r="AD643" i="10"/>
  <c r="A644" i="10"/>
  <c r="B644" i="10"/>
  <c r="D644" i="10"/>
  <c r="E644" i="10"/>
  <c r="F644" i="10"/>
  <c r="G644" i="10"/>
  <c r="H644" i="10"/>
  <c r="I644" i="10"/>
  <c r="K644" i="10"/>
  <c r="L644" i="10"/>
  <c r="M644" i="10"/>
  <c r="N644" i="10"/>
  <c r="O644" i="10"/>
  <c r="P644" i="10"/>
  <c r="Q644" i="10"/>
  <c r="R644" i="10"/>
  <c r="S644" i="10"/>
  <c r="U644" i="10"/>
  <c r="V644" i="10"/>
  <c r="AB644" i="10"/>
  <c r="AC644" i="10"/>
  <c r="AD644" i="10"/>
  <c r="A645" i="10"/>
  <c r="B645" i="10"/>
  <c r="D645" i="10"/>
  <c r="E645" i="10"/>
  <c r="F645" i="10"/>
  <c r="G645" i="10"/>
  <c r="H645" i="10"/>
  <c r="I645" i="10"/>
  <c r="K645" i="10"/>
  <c r="L645" i="10"/>
  <c r="M645" i="10"/>
  <c r="N645" i="10"/>
  <c r="O645" i="10"/>
  <c r="P645" i="10"/>
  <c r="Q645" i="10"/>
  <c r="R645" i="10"/>
  <c r="S645" i="10"/>
  <c r="U645" i="10"/>
  <c r="V645" i="10"/>
  <c r="AB645" i="10"/>
  <c r="AC645" i="10"/>
  <c r="AD645" i="10"/>
  <c r="A646" i="10"/>
  <c r="B646" i="10"/>
  <c r="D646" i="10"/>
  <c r="E646" i="10"/>
  <c r="F646" i="10"/>
  <c r="G646" i="10"/>
  <c r="H646" i="10"/>
  <c r="I646" i="10"/>
  <c r="K646" i="10"/>
  <c r="L646" i="10"/>
  <c r="M646" i="10"/>
  <c r="N646" i="10"/>
  <c r="O646" i="10"/>
  <c r="P646" i="10"/>
  <c r="Q646" i="10"/>
  <c r="R646" i="10"/>
  <c r="S646" i="10"/>
  <c r="U646" i="10"/>
  <c r="V646" i="10"/>
  <c r="AB646" i="10"/>
  <c r="AC646" i="10"/>
  <c r="AD646" i="10"/>
  <c r="A647" i="10"/>
  <c r="B647" i="10"/>
  <c r="D647" i="10"/>
  <c r="E647" i="10"/>
  <c r="F647" i="10"/>
  <c r="G647" i="10"/>
  <c r="H647" i="10"/>
  <c r="I647" i="10"/>
  <c r="K647" i="10"/>
  <c r="L647" i="10"/>
  <c r="M647" i="10"/>
  <c r="N647" i="10"/>
  <c r="O647" i="10"/>
  <c r="P647" i="10"/>
  <c r="Q647" i="10"/>
  <c r="R647" i="10"/>
  <c r="S647" i="10"/>
  <c r="U647" i="10"/>
  <c r="V647" i="10"/>
  <c r="AB647" i="10"/>
  <c r="AC647" i="10"/>
  <c r="AD647" i="10"/>
  <c r="A648" i="10"/>
  <c r="B648" i="10"/>
  <c r="D648" i="10"/>
  <c r="E648" i="10"/>
  <c r="F648" i="10"/>
  <c r="G648" i="10"/>
  <c r="H648" i="10"/>
  <c r="I648" i="10"/>
  <c r="J648" i="10"/>
  <c r="K648" i="10"/>
  <c r="L648" i="10"/>
  <c r="M648" i="10"/>
  <c r="N648" i="10"/>
  <c r="O648" i="10"/>
  <c r="P648" i="10"/>
  <c r="Q648" i="10"/>
  <c r="R648" i="10"/>
  <c r="S648" i="10"/>
  <c r="T648" i="10"/>
  <c r="U648" i="10"/>
  <c r="V648" i="10"/>
  <c r="W648" i="10"/>
  <c r="AB648" i="10"/>
  <c r="AC648" i="10"/>
  <c r="AD648" i="10"/>
  <c r="A649" i="10"/>
  <c r="B649" i="10"/>
  <c r="D649" i="10"/>
  <c r="E649" i="10"/>
  <c r="F649" i="10"/>
  <c r="G649" i="10"/>
  <c r="H649" i="10"/>
  <c r="I649" i="10"/>
  <c r="K649" i="10"/>
  <c r="L649" i="10"/>
  <c r="M649" i="10"/>
  <c r="N649" i="10"/>
  <c r="O649" i="10"/>
  <c r="P649" i="10"/>
  <c r="Q649" i="10"/>
  <c r="R649" i="10"/>
  <c r="S649" i="10"/>
  <c r="U649" i="10"/>
  <c r="V649" i="10"/>
  <c r="AB649" i="10"/>
  <c r="AC649" i="10"/>
  <c r="AD649" i="10"/>
  <c r="A650" i="10"/>
  <c r="B650" i="10"/>
  <c r="D650" i="10"/>
  <c r="E650" i="10"/>
  <c r="F650" i="10"/>
  <c r="G650" i="10"/>
  <c r="H650" i="10"/>
  <c r="I650" i="10"/>
  <c r="K650" i="10"/>
  <c r="L650" i="10"/>
  <c r="M650" i="10"/>
  <c r="N650" i="10"/>
  <c r="O650" i="10"/>
  <c r="P650" i="10"/>
  <c r="Q650" i="10"/>
  <c r="R650" i="10"/>
  <c r="S650" i="10"/>
  <c r="U650" i="10"/>
  <c r="V650" i="10"/>
  <c r="AB650" i="10"/>
  <c r="AC650" i="10"/>
  <c r="AD650" i="10"/>
  <c r="A651" i="10"/>
  <c r="B651" i="10"/>
  <c r="D651" i="10"/>
  <c r="E651" i="10"/>
  <c r="F651" i="10"/>
  <c r="G651" i="10"/>
  <c r="H651" i="10"/>
  <c r="I651" i="10"/>
  <c r="K651" i="10"/>
  <c r="L651" i="10"/>
  <c r="M651" i="10"/>
  <c r="N651" i="10"/>
  <c r="O651" i="10"/>
  <c r="P651" i="10"/>
  <c r="Q651" i="10"/>
  <c r="R651" i="10"/>
  <c r="S651" i="10"/>
  <c r="U651" i="10"/>
  <c r="V651" i="10"/>
  <c r="AB651" i="10"/>
  <c r="AC651" i="10"/>
  <c r="AD651" i="10"/>
  <c r="A652" i="10"/>
  <c r="B652" i="10"/>
  <c r="D652" i="10"/>
  <c r="E652" i="10"/>
  <c r="F652" i="10"/>
  <c r="G652" i="10"/>
  <c r="H652" i="10"/>
  <c r="I652" i="10"/>
  <c r="K652" i="10"/>
  <c r="L652" i="10"/>
  <c r="M652" i="10"/>
  <c r="N652" i="10"/>
  <c r="O652" i="10"/>
  <c r="P652" i="10"/>
  <c r="Q652" i="10"/>
  <c r="R652" i="10"/>
  <c r="S652" i="10"/>
  <c r="U652" i="10"/>
  <c r="V652" i="10"/>
  <c r="AB652" i="10"/>
  <c r="AC652" i="10"/>
  <c r="AD652" i="10"/>
  <c r="A653" i="10"/>
  <c r="B653" i="10"/>
  <c r="D653" i="10"/>
  <c r="E653" i="10"/>
  <c r="F653" i="10"/>
  <c r="G653" i="10"/>
  <c r="H653" i="10"/>
  <c r="I653" i="10"/>
  <c r="K653" i="10"/>
  <c r="L653" i="10"/>
  <c r="M653" i="10"/>
  <c r="N653" i="10"/>
  <c r="O653" i="10"/>
  <c r="P653" i="10"/>
  <c r="Q653" i="10"/>
  <c r="R653" i="10"/>
  <c r="S653" i="10"/>
  <c r="U653" i="10"/>
  <c r="V653" i="10"/>
  <c r="AB653" i="10"/>
  <c r="AC653" i="10"/>
  <c r="AD653" i="10"/>
  <c r="A654" i="10"/>
  <c r="B654" i="10"/>
  <c r="D654" i="10"/>
  <c r="E654" i="10"/>
  <c r="F654" i="10"/>
  <c r="G654" i="10"/>
  <c r="H654" i="10"/>
  <c r="I654" i="10"/>
  <c r="K654" i="10"/>
  <c r="L654" i="10"/>
  <c r="M654" i="10"/>
  <c r="N654" i="10"/>
  <c r="O654" i="10"/>
  <c r="P654" i="10"/>
  <c r="Q654" i="10"/>
  <c r="R654" i="10"/>
  <c r="S654" i="10"/>
  <c r="U654" i="10"/>
  <c r="V654" i="10"/>
  <c r="AB654" i="10"/>
  <c r="AC654" i="10"/>
  <c r="AD654" i="10"/>
  <c r="A655" i="10"/>
  <c r="B655" i="10"/>
  <c r="D655" i="10"/>
  <c r="E655" i="10"/>
  <c r="F655" i="10"/>
  <c r="G655" i="10"/>
  <c r="H655" i="10"/>
  <c r="I655" i="10"/>
  <c r="K655" i="10"/>
  <c r="L655" i="10"/>
  <c r="M655" i="10"/>
  <c r="N655" i="10"/>
  <c r="O655" i="10"/>
  <c r="P655" i="10"/>
  <c r="Q655" i="10"/>
  <c r="R655" i="10"/>
  <c r="S655" i="10"/>
  <c r="U655" i="10"/>
  <c r="V655" i="10"/>
  <c r="AB655" i="10"/>
  <c r="AC655" i="10"/>
  <c r="AD655" i="10"/>
  <c r="A656" i="10"/>
  <c r="B656" i="10"/>
  <c r="D656" i="10"/>
  <c r="E656" i="10"/>
  <c r="F656" i="10"/>
  <c r="G656" i="10"/>
  <c r="H656" i="10"/>
  <c r="I656" i="10"/>
  <c r="K656" i="10"/>
  <c r="L656" i="10"/>
  <c r="M656" i="10"/>
  <c r="N656" i="10"/>
  <c r="O656" i="10"/>
  <c r="P656" i="10"/>
  <c r="Q656" i="10"/>
  <c r="R656" i="10"/>
  <c r="S656" i="10"/>
  <c r="U656" i="10"/>
  <c r="V656" i="10"/>
  <c r="AB656" i="10"/>
  <c r="AC656" i="10"/>
  <c r="AD656" i="10"/>
  <c r="A657" i="10"/>
  <c r="B657" i="10"/>
  <c r="D657" i="10"/>
  <c r="E657" i="10"/>
  <c r="F657" i="10"/>
  <c r="G657" i="10"/>
  <c r="H657" i="10"/>
  <c r="I657" i="10"/>
  <c r="K657" i="10"/>
  <c r="L657" i="10"/>
  <c r="M657" i="10"/>
  <c r="N657" i="10"/>
  <c r="O657" i="10"/>
  <c r="P657" i="10"/>
  <c r="Q657" i="10"/>
  <c r="R657" i="10"/>
  <c r="S657" i="10"/>
  <c r="U657" i="10"/>
  <c r="V657" i="10"/>
  <c r="AB657" i="10"/>
  <c r="AC657" i="10"/>
  <c r="AD657" i="10"/>
  <c r="A658" i="10"/>
  <c r="B658" i="10"/>
  <c r="D658" i="10"/>
  <c r="E658" i="10"/>
  <c r="F658" i="10"/>
  <c r="G658" i="10"/>
  <c r="H658" i="10"/>
  <c r="I658" i="10"/>
  <c r="K658" i="10"/>
  <c r="L658" i="10"/>
  <c r="M658" i="10"/>
  <c r="N658" i="10"/>
  <c r="O658" i="10"/>
  <c r="P658" i="10"/>
  <c r="Q658" i="10"/>
  <c r="R658" i="10"/>
  <c r="S658" i="10"/>
  <c r="U658" i="10"/>
  <c r="V658" i="10"/>
  <c r="AB658" i="10"/>
  <c r="AC658" i="10"/>
  <c r="AD658" i="10"/>
  <c r="A659" i="10"/>
  <c r="B659" i="10"/>
  <c r="D659" i="10"/>
  <c r="E659" i="10"/>
  <c r="F659" i="10"/>
  <c r="G659" i="10"/>
  <c r="H659" i="10"/>
  <c r="I659" i="10"/>
  <c r="K659" i="10"/>
  <c r="L659" i="10"/>
  <c r="M659" i="10"/>
  <c r="N659" i="10"/>
  <c r="O659" i="10"/>
  <c r="P659" i="10"/>
  <c r="Q659" i="10"/>
  <c r="R659" i="10"/>
  <c r="S659" i="10"/>
  <c r="U659" i="10"/>
  <c r="V659" i="10"/>
  <c r="AB659" i="10"/>
  <c r="AC659" i="10"/>
  <c r="AD659" i="10"/>
  <c r="A660" i="10"/>
  <c r="B660" i="10"/>
  <c r="D660" i="10"/>
  <c r="E660" i="10"/>
  <c r="F660" i="10"/>
  <c r="G660" i="10"/>
  <c r="H660" i="10"/>
  <c r="I660" i="10"/>
  <c r="K660" i="10"/>
  <c r="L660" i="10"/>
  <c r="M660" i="10"/>
  <c r="N660" i="10"/>
  <c r="O660" i="10"/>
  <c r="P660" i="10"/>
  <c r="Q660" i="10"/>
  <c r="R660" i="10"/>
  <c r="S660" i="10"/>
  <c r="U660" i="10"/>
  <c r="V660" i="10"/>
  <c r="AB660" i="10"/>
  <c r="AC660" i="10"/>
  <c r="AD660" i="10"/>
  <c r="A661" i="10"/>
  <c r="B661" i="10"/>
  <c r="D661" i="10"/>
  <c r="E661" i="10"/>
  <c r="F661" i="10"/>
  <c r="G661" i="10"/>
  <c r="H661" i="10"/>
  <c r="I661" i="10"/>
  <c r="K661" i="10"/>
  <c r="L661" i="10"/>
  <c r="M661" i="10"/>
  <c r="N661" i="10"/>
  <c r="O661" i="10"/>
  <c r="P661" i="10"/>
  <c r="Q661" i="10"/>
  <c r="R661" i="10"/>
  <c r="S661" i="10"/>
  <c r="U661" i="10"/>
  <c r="V661" i="10"/>
  <c r="AB661" i="10"/>
  <c r="AC661" i="10"/>
  <c r="AD661" i="10"/>
  <c r="A662" i="10"/>
  <c r="B662" i="10"/>
  <c r="D662" i="10"/>
  <c r="E662" i="10"/>
  <c r="F662" i="10"/>
  <c r="G662" i="10"/>
  <c r="H662" i="10"/>
  <c r="I662" i="10"/>
  <c r="K662" i="10"/>
  <c r="L662" i="10"/>
  <c r="M662" i="10"/>
  <c r="N662" i="10"/>
  <c r="O662" i="10"/>
  <c r="P662" i="10"/>
  <c r="Q662" i="10"/>
  <c r="R662" i="10"/>
  <c r="S662" i="10"/>
  <c r="U662" i="10"/>
  <c r="V662" i="10"/>
  <c r="AB662" i="10"/>
  <c r="AC662" i="10"/>
  <c r="AD662" i="10"/>
  <c r="A663" i="10"/>
  <c r="B663" i="10"/>
  <c r="D663" i="10"/>
  <c r="E663" i="10"/>
  <c r="F663" i="10"/>
  <c r="G663" i="10"/>
  <c r="H663" i="10"/>
  <c r="I663" i="10"/>
  <c r="K663" i="10"/>
  <c r="L663" i="10"/>
  <c r="M663" i="10"/>
  <c r="N663" i="10"/>
  <c r="O663" i="10"/>
  <c r="P663" i="10"/>
  <c r="Q663" i="10"/>
  <c r="R663" i="10"/>
  <c r="S663" i="10"/>
  <c r="U663" i="10"/>
  <c r="V663" i="10"/>
  <c r="AB663" i="10"/>
  <c r="AC663" i="10"/>
  <c r="AD663" i="10"/>
  <c r="A139" i="10"/>
  <c r="B139" i="10"/>
  <c r="D139" i="10"/>
  <c r="E139" i="10"/>
  <c r="F139" i="10"/>
  <c r="G139" i="10"/>
  <c r="H139" i="10"/>
  <c r="I139" i="10"/>
  <c r="J139" i="10"/>
  <c r="K139" i="10"/>
  <c r="L139" i="10"/>
  <c r="M139" i="10"/>
  <c r="N139" i="10"/>
  <c r="O139" i="10"/>
  <c r="P139" i="10"/>
  <c r="Q139" i="10"/>
  <c r="R139" i="10"/>
  <c r="S139" i="10"/>
  <c r="T139" i="10"/>
  <c r="U139" i="10"/>
  <c r="V139" i="10"/>
  <c r="W139" i="10"/>
  <c r="AB139" i="10"/>
  <c r="AC139" i="10"/>
  <c r="AD139" i="10"/>
  <c r="A140" i="10"/>
  <c r="B140" i="10"/>
  <c r="D140" i="10"/>
  <c r="E140" i="10"/>
  <c r="F140" i="10"/>
  <c r="G140" i="10"/>
  <c r="H140" i="10"/>
  <c r="I140" i="10"/>
  <c r="J140" i="10"/>
  <c r="K140" i="10"/>
  <c r="L140" i="10"/>
  <c r="M140" i="10"/>
  <c r="N140" i="10"/>
  <c r="O140" i="10"/>
  <c r="P140" i="10"/>
  <c r="Q140" i="10"/>
  <c r="R140" i="10"/>
  <c r="S140" i="10"/>
  <c r="T140" i="10"/>
  <c r="U140" i="10"/>
  <c r="V140" i="10"/>
  <c r="W140" i="10"/>
  <c r="AB140" i="10"/>
  <c r="AC140" i="10"/>
  <c r="AD140" i="10"/>
  <c r="A141" i="10"/>
  <c r="B141" i="10"/>
  <c r="D141" i="10"/>
  <c r="E141" i="10"/>
  <c r="F141" i="10"/>
  <c r="G141" i="10"/>
  <c r="H141" i="10"/>
  <c r="I141" i="10"/>
  <c r="J141" i="10"/>
  <c r="K141" i="10"/>
  <c r="L141" i="10"/>
  <c r="M141" i="10"/>
  <c r="N141" i="10"/>
  <c r="O141" i="10"/>
  <c r="P141" i="10"/>
  <c r="Q141" i="10"/>
  <c r="R141" i="10"/>
  <c r="S141" i="10"/>
  <c r="T141" i="10"/>
  <c r="U141" i="10"/>
  <c r="V141" i="10"/>
  <c r="W141" i="10"/>
  <c r="AB141" i="10"/>
  <c r="AC141" i="10"/>
  <c r="AD141" i="10"/>
  <c r="A142" i="10"/>
  <c r="B142" i="10"/>
  <c r="D142" i="10"/>
  <c r="E142" i="10"/>
  <c r="F142" i="10"/>
  <c r="G142" i="10"/>
  <c r="H142" i="10"/>
  <c r="I142" i="10"/>
  <c r="J142" i="10"/>
  <c r="K142" i="10"/>
  <c r="L142" i="10"/>
  <c r="M142" i="10"/>
  <c r="N142" i="10"/>
  <c r="O142" i="10"/>
  <c r="P142" i="10"/>
  <c r="Q142" i="10"/>
  <c r="R142" i="10"/>
  <c r="S142" i="10"/>
  <c r="T142" i="10"/>
  <c r="U142" i="10"/>
  <c r="V142" i="10"/>
  <c r="W142" i="10"/>
  <c r="AB142" i="10"/>
  <c r="AC142" i="10"/>
  <c r="AD142" i="10"/>
  <c r="A143" i="10"/>
  <c r="B143" i="10"/>
  <c r="D143" i="10"/>
  <c r="E143" i="10"/>
  <c r="F143" i="10"/>
  <c r="G143" i="10"/>
  <c r="H143" i="10"/>
  <c r="I143" i="10"/>
  <c r="J143" i="10"/>
  <c r="K143" i="10"/>
  <c r="L143" i="10"/>
  <c r="M143" i="10"/>
  <c r="N143" i="10"/>
  <c r="O143" i="10"/>
  <c r="P143" i="10"/>
  <c r="Q143" i="10"/>
  <c r="R143" i="10"/>
  <c r="S143" i="10"/>
  <c r="T143" i="10"/>
  <c r="U143" i="10"/>
  <c r="V143" i="10"/>
  <c r="W143" i="10"/>
  <c r="AB143" i="10"/>
  <c r="AC143" i="10"/>
  <c r="AD143" i="10"/>
  <c r="A144" i="10"/>
  <c r="B144" i="10"/>
  <c r="D144" i="10"/>
  <c r="E144" i="10"/>
  <c r="F144" i="10"/>
  <c r="G144" i="10"/>
  <c r="H144" i="10"/>
  <c r="I144" i="10"/>
  <c r="J144" i="10"/>
  <c r="K144" i="10"/>
  <c r="L144" i="10"/>
  <c r="M144" i="10"/>
  <c r="N144" i="10"/>
  <c r="O144" i="10"/>
  <c r="P144" i="10"/>
  <c r="Q144" i="10"/>
  <c r="R144" i="10"/>
  <c r="S144" i="10"/>
  <c r="T144" i="10"/>
  <c r="U144" i="10"/>
  <c r="V144" i="10"/>
  <c r="W144" i="10"/>
  <c r="AB144" i="10"/>
  <c r="AC144" i="10"/>
  <c r="AD144" i="10"/>
  <c r="A145" i="10"/>
  <c r="B145" i="10"/>
  <c r="D145" i="10"/>
  <c r="E145" i="10"/>
  <c r="F145" i="10"/>
  <c r="G145" i="10"/>
  <c r="H145" i="10"/>
  <c r="I145" i="10"/>
  <c r="J145" i="10"/>
  <c r="K145" i="10"/>
  <c r="L145" i="10"/>
  <c r="M145" i="10"/>
  <c r="N145" i="10"/>
  <c r="O145" i="10"/>
  <c r="P145" i="10"/>
  <c r="Q145" i="10"/>
  <c r="R145" i="10"/>
  <c r="S145" i="10"/>
  <c r="T145" i="10"/>
  <c r="U145" i="10"/>
  <c r="V145" i="10"/>
  <c r="W145" i="10"/>
  <c r="AB145" i="10"/>
  <c r="AC145" i="10"/>
  <c r="AD145" i="10"/>
  <c r="A146" i="10"/>
  <c r="B146" i="10"/>
  <c r="D146" i="10"/>
  <c r="E146" i="10"/>
  <c r="F146" i="10"/>
  <c r="G146" i="10"/>
  <c r="H146" i="10"/>
  <c r="I146" i="10"/>
  <c r="J146" i="10"/>
  <c r="K146" i="10"/>
  <c r="L146" i="10"/>
  <c r="M146" i="10"/>
  <c r="N146" i="10"/>
  <c r="O146" i="10"/>
  <c r="P146" i="10"/>
  <c r="Q146" i="10"/>
  <c r="R146" i="10"/>
  <c r="S146" i="10"/>
  <c r="T146" i="10"/>
  <c r="U146" i="10"/>
  <c r="V146" i="10"/>
  <c r="W146" i="10"/>
  <c r="AB146" i="10"/>
  <c r="AC146" i="10"/>
  <c r="AD146" i="10"/>
  <c r="A147" i="10"/>
  <c r="B147" i="10"/>
  <c r="D147" i="10"/>
  <c r="E147" i="10"/>
  <c r="F147" i="10"/>
  <c r="G147" i="10"/>
  <c r="H147" i="10"/>
  <c r="I147" i="10"/>
  <c r="J147" i="10"/>
  <c r="K147" i="10"/>
  <c r="L147" i="10"/>
  <c r="M147" i="10"/>
  <c r="N147" i="10"/>
  <c r="O147" i="10"/>
  <c r="P147" i="10"/>
  <c r="Q147" i="10"/>
  <c r="R147" i="10"/>
  <c r="S147" i="10"/>
  <c r="T147" i="10"/>
  <c r="U147" i="10"/>
  <c r="V147" i="10"/>
  <c r="W147" i="10"/>
  <c r="AB147" i="10"/>
  <c r="AC147" i="10"/>
  <c r="AD147" i="10"/>
  <c r="A148" i="10"/>
  <c r="B148" i="10"/>
  <c r="D148" i="10"/>
  <c r="E148" i="10"/>
  <c r="F148" i="10"/>
  <c r="G148" i="10"/>
  <c r="H148" i="10"/>
  <c r="I148" i="10"/>
  <c r="J148" i="10"/>
  <c r="K148" i="10"/>
  <c r="L148" i="10"/>
  <c r="M148" i="10"/>
  <c r="N148" i="10"/>
  <c r="O148" i="10"/>
  <c r="P148" i="10"/>
  <c r="Q148" i="10"/>
  <c r="R148" i="10"/>
  <c r="S148" i="10"/>
  <c r="T148" i="10"/>
  <c r="U148" i="10"/>
  <c r="V148" i="10"/>
  <c r="W148" i="10"/>
  <c r="AB148" i="10"/>
  <c r="AC148" i="10"/>
  <c r="AD148" i="10"/>
  <c r="X59" i="3"/>
  <c r="Z59" i="3"/>
  <c r="AE59" i="3" s="1"/>
  <c r="AA59" i="3"/>
  <c r="X60" i="3"/>
  <c r="N667" i="2" s="1"/>
  <c r="J667" i="10" s="1"/>
  <c r="Y60" i="3"/>
  <c r="I60" i="11" s="1"/>
  <c r="Z60" i="3"/>
  <c r="AE60" i="3" s="1"/>
  <c r="AG60" i="3" s="1"/>
  <c r="AA60" i="3"/>
  <c r="AB60" i="3"/>
  <c r="X61" i="3"/>
  <c r="Z61" i="3"/>
  <c r="AE61" i="3" s="1"/>
  <c r="AA61" i="3"/>
  <c r="AB61" i="3"/>
  <c r="X62" i="3"/>
  <c r="Z62" i="3"/>
  <c r="AE62" i="3" s="1"/>
  <c r="AA62" i="3"/>
  <c r="AB62" i="3"/>
  <c r="AC62" i="3"/>
  <c r="X63" i="3"/>
  <c r="N671" i="2" s="1"/>
  <c r="J671" i="10" s="1"/>
  <c r="Z63" i="3"/>
  <c r="AE63" i="3" s="1"/>
  <c r="AA63" i="3"/>
  <c r="X64" i="3"/>
  <c r="N672" i="2" s="1"/>
  <c r="J672" i="10" s="1"/>
  <c r="Z64" i="3"/>
  <c r="AE64" i="3" s="1"/>
  <c r="AA64" i="3"/>
  <c r="X65" i="3"/>
  <c r="Z65" i="3"/>
  <c r="AE65" i="3" s="1"/>
  <c r="AA65" i="3"/>
  <c r="AB65" i="3"/>
  <c r="X66" i="3"/>
  <c r="Z66" i="3"/>
  <c r="AE66" i="3" s="1"/>
  <c r="AA66" i="3"/>
  <c r="AB66" i="3"/>
  <c r="X67" i="3"/>
  <c r="N675" i="2" s="1"/>
  <c r="J675" i="10" s="1"/>
  <c r="Z67" i="3"/>
  <c r="AE67" i="3" s="1"/>
  <c r="AA67" i="3"/>
  <c r="AB67" i="3"/>
  <c r="AC67" i="3"/>
  <c r="AA58" i="3"/>
  <c r="Z58" i="3"/>
  <c r="AE58" i="3" s="1"/>
  <c r="X58" i="3"/>
  <c r="N665" i="2" s="1"/>
  <c r="J665" i="10" s="1"/>
  <c r="Y58" i="3"/>
  <c r="I58" i="11" s="1"/>
  <c r="D67" i="3"/>
  <c r="D66" i="3"/>
  <c r="D65" i="3"/>
  <c r="U65" i="3" s="1"/>
  <c r="D64" i="3"/>
  <c r="D63" i="3"/>
  <c r="D62" i="3"/>
  <c r="D61" i="3"/>
  <c r="D60" i="3"/>
  <c r="D59" i="3"/>
  <c r="D58" i="3"/>
  <c r="C59" i="3"/>
  <c r="B59" i="11" s="1"/>
  <c r="C60" i="3"/>
  <c r="B60" i="11" s="1"/>
  <c r="C61" i="3"/>
  <c r="B61" i="11" s="1"/>
  <c r="C62" i="3"/>
  <c r="B62" i="11" s="1"/>
  <c r="C63" i="3"/>
  <c r="B63" i="11" s="1"/>
  <c r="C64" i="3"/>
  <c r="B64" i="11" s="1"/>
  <c r="C65" i="3"/>
  <c r="B65" i="11" s="1"/>
  <c r="C66" i="3"/>
  <c r="B66" i="11" s="1"/>
  <c r="C67" i="3"/>
  <c r="B67" i="11" s="1"/>
  <c r="C58" i="3"/>
  <c r="B58" i="11" s="1"/>
  <c r="A2" i="12"/>
  <c r="B2" i="12"/>
  <c r="C2" i="12"/>
  <c r="D2" i="12"/>
  <c r="E2" i="12"/>
  <c r="F2" i="12"/>
  <c r="G2" i="12"/>
  <c r="H2" i="12"/>
  <c r="I2" i="12"/>
  <c r="K2" i="12"/>
  <c r="J2" i="12" s="1"/>
  <c r="M2" i="12"/>
  <c r="O2" i="12"/>
  <c r="P2" i="12"/>
  <c r="A3" i="12"/>
  <c r="B3" i="12"/>
  <c r="C3" i="12"/>
  <c r="D3" i="12"/>
  <c r="E3" i="12"/>
  <c r="F3" i="12"/>
  <c r="G3" i="12"/>
  <c r="I3" i="12"/>
  <c r="H3" i="12" s="1"/>
  <c r="J3" i="12"/>
  <c r="K3" i="12"/>
  <c r="M3" i="12"/>
  <c r="O3" i="12"/>
  <c r="P3" i="12"/>
  <c r="A4" i="12"/>
  <c r="B4" i="12"/>
  <c r="C4" i="12"/>
  <c r="D4" i="12"/>
  <c r="E4" i="12"/>
  <c r="F4" i="12"/>
  <c r="G4" i="12"/>
  <c r="H4" i="12"/>
  <c r="I4" i="12"/>
  <c r="K4" i="12"/>
  <c r="J4" i="12" s="1"/>
  <c r="M4" i="12"/>
  <c r="O4" i="12"/>
  <c r="P4" i="12"/>
  <c r="A5" i="12"/>
  <c r="B5" i="12"/>
  <c r="C5" i="12"/>
  <c r="D5" i="12"/>
  <c r="E5" i="12"/>
  <c r="F5" i="12"/>
  <c r="G5" i="12"/>
  <c r="I5" i="12"/>
  <c r="H5" i="12" s="1"/>
  <c r="J5" i="12"/>
  <c r="K5" i="12"/>
  <c r="M5" i="12"/>
  <c r="O5" i="12"/>
  <c r="P5" i="12"/>
  <c r="A6" i="12"/>
  <c r="B6" i="12"/>
  <c r="C6" i="12"/>
  <c r="D6" i="12"/>
  <c r="E6" i="12"/>
  <c r="F6" i="12"/>
  <c r="G6" i="12"/>
  <c r="H6" i="12"/>
  <c r="I6" i="12"/>
  <c r="K6" i="12"/>
  <c r="J6" i="12" s="1"/>
  <c r="M6" i="12"/>
  <c r="O6" i="12"/>
  <c r="P6" i="12"/>
  <c r="A7" i="12"/>
  <c r="B7" i="12"/>
  <c r="C7" i="12"/>
  <c r="D7" i="12"/>
  <c r="E7" i="12"/>
  <c r="F7" i="12"/>
  <c r="G7" i="12"/>
  <c r="I7" i="12"/>
  <c r="H7" i="12" s="1"/>
  <c r="J7" i="12"/>
  <c r="K7" i="12"/>
  <c r="M7" i="12"/>
  <c r="L7" i="12" s="1"/>
  <c r="N7" i="12"/>
  <c r="O7" i="12"/>
  <c r="P7" i="12"/>
  <c r="A8" i="12"/>
  <c r="B8" i="12"/>
  <c r="C8" i="12"/>
  <c r="D8" i="12"/>
  <c r="E8" i="12"/>
  <c r="F8" i="12"/>
  <c r="G8" i="12"/>
  <c r="I8" i="12"/>
  <c r="J8" i="12"/>
  <c r="K8" i="12"/>
  <c r="M8" i="12"/>
  <c r="L8" i="12" s="1"/>
  <c r="O8" i="12"/>
  <c r="P8" i="12"/>
  <c r="A9" i="12"/>
  <c r="B9" i="12"/>
  <c r="C9" i="12"/>
  <c r="D9" i="12"/>
  <c r="E9" i="12"/>
  <c r="F9" i="12"/>
  <c r="G9" i="12"/>
  <c r="I9" i="12"/>
  <c r="K9" i="12"/>
  <c r="J9" i="12" s="1"/>
  <c r="L9" i="12"/>
  <c r="M9" i="12"/>
  <c r="O9" i="12"/>
  <c r="P9" i="12"/>
  <c r="A10" i="12"/>
  <c r="B10" i="12"/>
  <c r="C10" i="12"/>
  <c r="D10" i="12"/>
  <c r="E10" i="12"/>
  <c r="F10" i="12"/>
  <c r="G10" i="12"/>
  <c r="I10" i="12"/>
  <c r="J10" i="12"/>
  <c r="K10" i="12"/>
  <c r="M10" i="12"/>
  <c r="L10" i="12" s="1"/>
  <c r="O10" i="12"/>
  <c r="P10" i="12"/>
  <c r="A11" i="12"/>
  <c r="B11" i="12"/>
  <c r="C11" i="12"/>
  <c r="D11" i="12"/>
  <c r="E11" i="12"/>
  <c r="F11" i="12"/>
  <c r="G11" i="12"/>
  <c r="I11" i="12"/>
  <c r="K11" i="12"/>
  <c r="J11" i="12" s="1"/>
  <c r="L11" i="12"/>
  <c r="M11" i="12"/>
  <c r="O11" i="12"/>
  <c r="P11" i="12"/>
  <c r="A12" i="12"/>
  <c r="B12" i="12"/>
  <c r="C12" i="12"/>
  <c r="D12" i="12"/>
  <c r="E12" i="12"/>
  <c r="F12" i="12"/>
  <c r="G12" i="12"/>
  <c r="I12" i="12"/>
  <c r="J12" i="12"/>
  <c r="K12" i="12"/>
  <c r="M12" i="12"/>
  <c r="L12" i="12" s="1"/>
  <c r="O12" i="12"/>
  <c r="P12" i="12"/>
  <c r="A13" i="12"/>
  <c r="B13" i="12"/>
  <c r="C13" i="12"/>
  <c r="D13" i="12"/>
  <c r="E13" i="12"/>
  <c r="F13" i="12"/>
  <c r="G13" i="12"/>
  <c r="H13" i="12"/>
  <c r="I13" i="12"/>
  <c r="K13" i="12"/>
  <c r="J13" i="12" s="1"/>
  <c r="L13" i="12"/>
  <c r="M13" i="12"/>
  <c r="O13" i="12"/>
  <c r="N13" i="12" s="1"/>
  <c r="P13" i="12"/>
  <c r="A14" i="12"/>
  <c r="B14" i="12"/>
  <c r="C14" i="12"/>
  <c r="D14" i="12"/>
  <c r="E14" i="12"/>
  <c r="F14" i="12"/>
  <c r="G14" i="12"/>
  <c r="I14" i="12"/>
  <c r="K14" i="12"/>
  <c r="J14" i="12" s="1"/>
  <c r="L14" i="12"/>
  <c r="M14" i="12"/>
  <c r="O14" i="12"/>
  <c r="P14" i="12"/>
  <c r="A15" i="12"/>
  <c r="B15" i="12"/>
  <c r="C15" i="12"/>
  <c r="D15" i="12"/>
  <c r="E15" i="12"/>
  <c r="F15" i="12"/>
  <c r="G15" i="12"/>
  <c r="I15" i="12"/>
  <c r="J15" i="12"/>
  <c r="K15" i="12"/>
  <c r="M15" i="12"/>
  <c r="L15" i="12" s="1"/>
  <c r="O15" i="12"/>
  <c r="P15" i="12"/>
  <c r="A16" i="12"/>
  <c r="B16" i="12"/>
  <c r="C16" i="12"/>
  <c r="D16" i="12"/>
  <c r="E16" i="12"/>
  <c r="F16" i="12"/>
  <c r="G16" i="12"/>
  <c r="I16" i="12"/>
  <c r="K16" i="12"/>
  <c r="J16" i="12" s="1"/>
  <c r="L16" i="12"/>
  <c r="M16" i="12"/>
  <c r="O16" i="12"/>
  <c r="P16" i="12"/>
  <c r="A17" i="12"/>
  <c r="B17" i="12"/>
  <c r="C17" i="12"/>
  <c r="D17" i="12"/>
  <c r="E17" i="12"/>
  <c r="F17" i="12"/>
  <c r="G17" i="12"/>
  <c r="I17" i="12"/>
  <c r="J17" i="12"/>
  <c r="K17" i="12"/>
  <c r="M17" i="12"/>
  <c r="L17" i="12" s="1"/>
  <c r="O17" i="12"/>
  <c r="P17" i="12"/>
  <c r="A18" i="12"/>
  <c r="B18" i="12"/>
  <c r="C18" i="12"/>
  <c r="D18" i="12"/>
  <c r="E18" i="12"/>
  <c r="F18" i="12"/>
  <c r="G18" i="12"/>
  <c r="I18" i="12"/>
  <c r="K18" i="12"/>
  <c r="J18" i="12" s="1"/>
  <c r="L18" i="12"/>
  <c r="M18" i="12"/>
  <c r="O18" i="12"/>
  <c r="P18" i="12"/>
  <c r="A19" i="12"/>
  <c r="B19" i="12"/>
  <c r="C19" i="12"/>
  <c r="D19" i="12"/>
  <c r="E19" i="12"/>
  <c r="F19" i="12"/>
  <c r="G19" i="12"/>
  <c r="I19" i="12"/>
  <c r="H19" i="12" s="1"/>
  <c r="J19" i="12"/>
  <c r="K19" i="12"/>
  <c r="M19" i="12"/>
  <c r="L19" i="12" s="1"/>
  <c r="N19" i="12"/>
  <c r="O19" i="12"/>
  <c r="P19" i="12"/>
  <c r="A20" i="12"/>
  <c r="B20" i="12"/>
  <c r="C20" i="12"/>
  <c r="D20" i="12"/>
  <c r="E20" i="12"/>
  <c r="F20" i="12"/>
  <c r="G20" i="12"/>
  <c r="I20" i="12"/>
  <c r="K20" i="12"/>
  <c r="M20" i="12"/>
  <c r="O20" i="12"/>
  <c r="N20" i="12" s="1"/>
  <c r="P20" i="12"/>
  <c r="A21" i="12"/>
  <c r="B21" i="12"/>
  <c r="C21" i="12"/>
  <c r="D21" i="12"/>
  <c r="E21" i="12"/>
  <c r="F21" i="12"/>
  <c r="G21" i="12"/>
  <c r="I21" i="12"/>
  <c r="K21" i="12"/>
  <c r="M21" i="12"/>
  <c r="O21" i="12"/>
  <c r="N21" i="12" s="1"/>
  <c r="P21" i="12"/>
  <c r="A22" i="12"/>
  <c r="B22" i="12"/>
  <c r="C22" i="12"/>
  <c r="D22" i="12"/>
  <c r="E22" i="12"/>
  <c r="F22" i="12"/>
  <c r="G22" i="12"/>
  <c r="I22" i="12"/>
  <c r="K22" i="12"/>
  <c r="M22" i="12"/>
  <c r="N22" i="12"/>
  <c r="O22" i="12"/>
  <c r="P22" i="12"/>
  <c r="A23" i="12"/>
  <c r="B23" i="12"/>
  <c r="C23" i="12"/>
  <c r="D23" i="12"/>
  <c r="E23" i="12"/>
  <c r="F23" i="12"/>
  <c r="G23" i="12"/>
  <c r="I23" i="12"/>
  <c r="K23" i="12"/>
  <c r="M23" i="12"/>
  <c r="N23" i="12"/>
  <c r="O23" i="12"/>
  <c r="P23" i="12"/>
  <c r="A24" i="12"/>
  <c r="B24" i="12"/>
  <c r="C24" i="12"/>
  <c r="D24" i="12"/>
  <c r="E24" i="12"/>
  <c r="F24" i="12"/>
  <c r="G24" i="12"/>
  <c r="I24" i="12"/>
  <c r="K24" i="12"/>
  <c r="M24" i="12"/>
  <c r="O24" i="12"/>
  <c r="N24" i="12" s="1"/>
  <c r="P24" i="12"/>
  <c r="A25" i="12"/>
  <c r="B25" i="12"/>
  <c r="C25" i="12"/>
  <c r="D25" i="12"/>
  <c r="E25" i="12"/>
  <c r="F25" i="12"/>
  <c r="G25" i="12"/>
  <c r="H25" i="12"/>
  <c r="I25" i="12"/>
  <c r="K25" i="12"/>
  <c r="J25" i="12" s="1"/>
  <c r="L25" i="12"/>
  <c r="M25" i="12"/>
  <c r="O25" i="12"/>
  <c r="N25" i="12" s="1"/>
  <c r="P25" i="12"/>
  <c r="A26" i="12"/>
  <c r="B26" i="12"/>
  <c r="C26" i="12"/>
  <c r="D26" i="12"/>
  <c r="E26" i="12"/>
  <c r="F26" i="12"/>
  <c r="G26" i="12"/>
  <c r="I26" i="12"/>
  <c r="K26" i="12"/>
  <c r="M26" i="12"/>
  <c r="O26" i="12"/>
  <c r="N26" i="12" s="1"/>
  <c r="P26" i="12"/>
  <c r="A27" i="12"/>
  <c r="B27" i="12"/>
  <c r="C27" i="12"/>
  <c r="D27" i="12"/>
  <c r="E27" i="12"/>
  <c r="F27" i="12"/>
  <c r="G27" i="12"/>
  <c r="I27" i="12"/>
  <c r="K27" i="12"/>
  <c r="M27" i="12"/>
  <c r="N27" i="12"/>
  <c r="O27" i="12"/>
  <c r="P27" i="12"/>
  <c r="A28" i="12"/>
  <c r="B28" i="12"/>
  <c r="C28" i="12"/>
  <c r="D28" i="12"/>
  <c r="E28" i="12"/>
  <c r="F28" i="12"/>
  <c r="G28" i="12"/>
  <c r="I28" i="12"/>
  <c r="K28" i="12"/>
  <c r="M28" i="12"/>
  <c r="N28" i="12"/>
  <c r="O28" i="12"/>
  <c r="P28" i="12"/>
  <c r="A29" i="12"/>
  <c r="B29" i="12"/>
  <c r="C29" i="12"/>
  <c r="D29" i="12"/>
  <c r="E29" i="12"/>
  <c r="F29" i="12"/>
  <c r="G29" i="12"/>
  <c r="I29" i="12"/>
  <c r="K29" i="12"/>
  <c r="M29" i="12"/>
  <c r="O29" i="12"/>
  <c r="N29" i="12" s="1"/>
  <c r="P29" i="12"/>
  <c r="A30" i="12"/>
  <c r="B30" i="12"/>
  <c r="C30" i="12"/>
  <c r="D30" i="12"/>
  <c r="E30" i="12"/>
  <c r="F30" i="12"/>
  <c r="G30" i="12"/>
  <c r="I30" i="12"/>
  <c r="K30" i="12"/>
  <c r="M30" i="12"/>
  <c r="O30" i="12"/>
  <c r="N30" i="12" s="1"/>
  <c r="P30" i="12"/>
  <c r="A31" i="12"/>
  <c r="B31" i="12"/>
  <c r="C31" i="12"/>
  <c r="D31" i="12"/>
  <c r="E31" i="12"/>
  <c r="F31" i="12"/>
  <c r="G31" i="12"/>
  <c r="H31" i="12"/>
  <c r="I31" i="12"/>
  <c r="K31" i="12"/>
  <c r="J31" i="12" s="1"/>
  <c r="L31" i="12"/>
  <c r="M31" i="12"/>
  <c r="O31" i="12"/>
  <c r="N31" i="12" s="1"/>
  <c r="P31" i="12"/>
  <c r="A32" i="12"/>
  <c r="B32" i="12"/>
  <c r="C32" i="12"/>
  <c r="D32" i="12"/>
  <c r="E32" i="12"/>
  <c r="F32" i="12"/>
  <c r="G32" i="12"/>
  <c r="I32" i="12"/>
  <c r="K32" i="12"/>
  <c r="M32" i="12"/>
  <c r="N32" i="12"/>
  <c r="O32" i="12"/>
  <c r="P32" i="12"/>
  <c r="A33" i="12"/>
  <c r="B33" i="12"/>
  <c r="C33" i="12"/>
  <c r="D33" i="12"/>
  <c r="E33" i="12"/>
  <c r="F33" i="12"/>
  <c r="G33" i="12"/>
  <c r="I33" i="12"/>
  <c r="K33" i="12"/>
  <c r="M33" i="12"/>
  <c r="N33" i="12"/>
  <c r="O33" i="12"/>
  <c r="P33" i="12"/>
  <c r="A34" i="12"/>
  <c r="B34" i="12"/>
  <c r="C34" i="12"/>
  <c r="D34" i="12"/>
  <c r="E34" i="12"/>
  <c r="F34" i="12"/>
  <c r="G34" i="12"/>
  <c r="I34" i="12"/>
  <c r="K34" i="12"/>
  <c r="M34" i="12"/>
  <c r="O34" i="12"/>
  <c r="N34" i="12" s="1"/>
  <c r="P34" i="12"/>
  <c r="A35" i="12"/>
  <c r="B35" i="12"/>
  <c r="C35" i="12"/>
  <c r="D35" i="12"/>
  <c r="E35" i="12"/>
  <c r="F35" i="12"/>
  <c r="G35" i="12"/>
  <c r="I35" i="12"/>
  <c r="K35" i="12"/>
  <c r="M35" i="12"/>
  <c r="O35" i="12"/>
  <c r="N35" i="12" s="1"/>
  <c r="P35" i="12"/>
  <c r="A36" i="12"/>
  <c r="B36" i="12"/>
  <c r="C36" i="12"/>
  <c r="D36" i="12"/>
  <c r="E36" i="12"/>
  <c r="F36" i="12"/>
  <c r="G36" i="12"/>
  <c r="I36" i="12"/>
  <c r="K36" i="12"/>
  <c r="M36" i="12"/>
  <c r="N36" i="12"/>
  <c r="O36" i="12"/>
  <c r="P36" i="12"/>
  <c r="A37" i="12"/>
  <c r="B37" i="12"/>
  <c r="C37" i="12"/>
  <c r="D37" i="12"/>
  <c r="E37" i="12"/>
  <c r="F37" i="12"/>
  <c r="G37" i="12"/>
  <c r="I37" i="12"/>
  <c r="H37" i="12" s="1"/>
  <c r="J37" i="12"/>
  <c r="K37" i="12"/>
  <c r="M37" i="12"/>
  <c r="L37" i="12" s="1"/>
  <c r="N37" i="12"/>
  <c r="O37" i="12"/>
  <c r="P37" i="12"/>
  <c r="A38" i="12"/>
  <c r="B38" i="12"/>
  <c r="C38" i="12"/>
  <c r="D38" i="12"/>
  <c r="E38" i="12"/>
  <c r="F38" i="12"/>
  <c r="G38" i="12"/>
  <c r="I38" i="12"/>
  <c r="K38" i="12"/>
  <c r="M38" i="12"/>
  <c r="N38" i="12"/>
  <c r="O38" i="12"/>
  <c r="P38" i="12"/>
  <c r="A39" i="12"/>
  <c r="B39" i="12"/>
  <c r="C39" i="12"/>
  <c r="D39" i="12"/>
  <c r="E39" i="12"/>
  <c r="F39" i="12"/>
  <c r="G39" i="12"/>
  <c r="I39" i="12"/>
  <c r="K39" i="12"/>
  <c r="M39" i="12"/>
  <c r="O39" i="12"/>
  <c r="N39" i="12" s="1"/>
  <c r="P39" i="12"/>
  <c r="A40" i="12"/>
  <c r="B40" i="12"/>
  <c r="C40" i="12"/>
  <c r="D40" i="12"/>
  <c r="E40" i="12"/>
  <c r="F40" i="12"/>
  <c r="G40" i="12"/>
  <c r="I40" i="12"/>
  <c r="K40" i="12"/>
  <c r="M40" i="12"/>
  <c r="O40" i="12"/>
  <c r="N40" i="12" s="1"/>
  <c r="P40" i="12"/>
  <c r="A41" i="12"/>
  <c r="B41" i="12"/>
  <c r="C41" i="12"/>
  <c r="D41" i="12"/>
  <c r="E41" i="12"/>
  <c r="F41" i="12"/>
  <c r="G41" i="12"/>
  <c r="I41" i="12"/>
  <c r="K41" i="12"/>
  <c r="M41" i="12"/>
  <c r="N41" i="12"/>
  <c r="O41" i="12"/>
  <c r="P41" i="12"/>
  <c r="A42" i="12"/>
  <c r="B42" i="12"/>
  <c r="C42" i="12"/>
  <c r="D42" i="12"/>
  <c r="E42" i="12"/>
  <c r="F42" i="12"/>
  <c r="G42" i="12"/>
  <c r="I42" i="12"/>
  <c r="K42" i="12"/>
  <c r="M42" i="12"/>
  <c r="N42" i="12"/>
  <c r="O42" i="12"/>
  <c r="P42" i="12"/>
  <c r="A43" i="12"/>
  <c r="B43" i="12"/>
  <c r="C43" i="12"/>
  <c r="D43" i="12"/>
  <c r="E43" i="12"/>
  <c r="F43" i="12"/>
  <c r="G43" i="12"/>
  <c r="I43" i="12"/>
  <c r="H43" i="12" s="1"/>
  <c r="J43" i="12"/>
  <c r="K43" i="12"/>
  <c r="M43" i="12"/>
  <c r="L43" i="12" s="1"/>
  <c r="N43" i="12"/>
  <c r="O43" i="12"/>
  <c r="P43" i="12"/>
  <c r="A44" i="12"/>
  <c r="B44" i="12"/>
  <c r="C44" i="12"/>
  <c r="D44" i="12"/>
  <c r="E44" i="12"/>
  <c r="F44" i="12"/>
  <c r="G44" i="12"/>
  <c r="I44" i="12"/>
  <c r="K44" i="12"/>
  <c r="M44" i="12"/>
  <c r="O44" i="12"/>
  <c r="N44" i="12" s="1"/>
  <c r="P44" i="12"/>
  <c r="A45" i="12"/>
  <c r="B45" i="12"/>
  <c r="C45" i="12"/>
  <c r="D45" i="12"/>
  <c r="E45" i="12"/>
  <c r="F45" i="12"/>
  <c r="G45" i="12"/>
  <c r="I45" i="12"/>
  <c r="K45" i="12"/>
  <c r="M45" i="12"/>
  <c r="O45" i="12"/>
  <c r="N45" i="12" s="1"/>
  <c r="P45" i="12"/>
  <c r="A46" i="12"/>
  <c r="B46" i="12"/>
  <c r="C46" i="12"/>
  <c r="D46" i="12"/>
  <c r="E46" i="12"/>
  <c r="F46" i="12"/>
  <c r="G46" i="12"/>
  <c r="I46" i="12"/>
  <c r="K46" i="12"/>
  <c r="M46" i="12"/>
  <c r="N46" i="12"/>
  <c r="O46" i="12"/>
  <c r="P46" i="12"/>
  <c r="A47" i="12"/>
  <c r="B47" i="12"/>
  <c r="C47" i="12"/>
  <c r="D47" i="12"/>
  <c r="E47" i="12"/>
  <c r="F47" i="12"/>
  <c r="G47" i="12"/>
  <c r="I47" i="12"/>
  <c r="K47" i="12"/>
  <c r="M47" i="12"/>
  <c r="N47" i="12"/>
  <c r="O47" i="12"/>
  <c r="P47" i="12"/>
  <c r="A48" i="12"/>
  <c r="B48" i="12"/>
  <c r="C48" i="12"/>
  <c r="D48" i="12"/>
  <c r="E48" i="12"/>
  <c r="F48" i="12"/>
  <c r="G48" i="12"/>
  <c r="I48" i="12"/>
  <c r="K48" i="12"/>
  <c r="M48" i="12"/>
  <c r="O48" i="12"/>
  <c r="N48" i="12" s="1"/>
  <c r="P48" i="12"/>
  <c r="A49" i="12"/>
  <c r="B49" i="12"/>
  <c r="C49" i="12"/>
  <c r="D49" i="12"/>
  <c r="E49" i="12"/>
  <c r="F49" i="12"/>
  <c r="G49" i="12"/>
  <c r="H49" i="12"/>
  <c r="I49" i="12"/>
  <c r="K49" i="12"/>
  <c r="J49" i="12" s="1"/>
  <c r="L49" i="12"/>
  <c r="M49" i="12"/>
  <c r="O49" i="12"/>
  <c r="N49" i="12" s="1"/>
  <c r="P49" i="12"/>
  <c r="A50" i="12"/>
  <c r="B50" i="12"/>
  <c r="C50" i="12"/>
  <c r="D50" i="12"/>
  <c r="E50" i="12"/>
  <c r="F50" i="12"/>
  <c r="G50" i="12"/>
  <c r="I50" i="12"/>
  <c r="K50" i="12"/>
  <c r="M50" i="12"/>
  <c r="O50" i="12"/>
  <c r="P50" i="12"/>
  <c r="A51" i="12"/>
  <c r="B51" i="12"/>
  <c r="C51" i="12"/>
  <c r="D51" i="12"/>
  <c r="E51" i="12"/>
  <c r="F51" i="12"/>
  <c r="G51" i="12"/>
  <c r="I51" i="12"/>
  <c r="K51" i="12"/>
  <c r="M51" i="12"/>
  <c r="O51" i="12"/>
  <c r="P51" i="12"/>
  <c r="A52" i="12"/>
  <c r="B52" i="12"/>
  <c r="C52" i="12"/>
  <c r="D52" i="12"/>
  <c r="E52" i="12"/>
  <c r="F52" i="12"/>
  <c r="G52" i="12"/>
  <c r="I52" i="12"/>
  <c r="K52" i="12"/>
  <c r="M52" i="12"/>
  <c r="O52" i="12"/>
  <c r="P52" i="12"/>
  <c r="A53" i="12"/>
  <c r="B53" i="12"/>
  <c r="C53" i="12"/>
  <c r="D53" i="12"/>
  <c r="E53" i="12"/>
  <c r="F53" i="12"/>
  <c r="G53" i="12"/>
  <c r="I53" i="12"/>
  <c r="K53" i="12"/>
  <c r="M53" i="12"/>
  <c r="O53" i="12"/>
  <c r="P53" i="12"/>
  <c r="A54" i="12"/>
  <c r="B54" i="12"/>
  <c r="C54" i="12"/>
  <c r="D54" i="12"/>
  <c r="E54" i="12"/>
  <c r="F54" i="12"/>
  <c r="G54" i="12"/>
  <c r="I54" i="12"/>
  <c r="K54" i="12"/>
  <c r="M54" i="12"/>
  <c r="O54" i="12"/>
  <c r="P54" i="12"/>
  <c r="A55" i="12"/>
  <c r="B55" i="12"/>
  <c r="C55" i="12"/>
  <c r="D55" i="12"/>
  <c r="E55" i="12"/>
  <c r="F55" i="12"/>
  <c r="G55" i="12"/>
  <c r="H55" i="12"/>
  <c r="I55" i="12"/>
  <c r="K55" i="12"/>
  <c r="J55" i="12" s="1"/>
  <c r="L55" i="12"/>
  <c r="M55" i="12"/>
  <c r="O55" i="12"/>
  <c r="N55" i="12" s="1"/>
  <c r="P55" i="12"/>
  <c r="A56" i="12"/>
  <c r="B56" i="12"/>
  <c r="C56" i="12"/>
  <c r="D56" i="12"/>
  <c r="E56" i="12"/>
  <c r="F56" i="12"/>
  <c r="G56" i="12"/>
  <c r="I56" i="12"/>
  <c r="K56" i="12"/>
  <c r="M56" i="12"/>
  <c r="O56" i="12"/>
  <c r="P56" i="12"/>
  <c r="A57" i="12"/>
  <c r="B57" i="12"/>
  <c r="C57" i="12"/>
  <c r="D57" i="12"/>
  <c r="E57" i="12"/>
  <c r="F57" i="12"/>
  <c r="G57" i="12"/>
  <c r="I57" i="12"/>
  <c r="K57" i="12"/>
  <c r="M57" i="12"/>
  <c r="O57" i="12"/>
  <c r="P57" i="12"/>
  <c r="A58" i="12"/>
  <c r="B58" i="12"/>
  <c r="C58" i="12"/>
  <c r="D58" i="12"/>
  <c r="E58" i="12"/>
  <c r="F58" i="12"/>
  <c r="G58" i="12"/>
  <c r="I58" i="12"/>
  <c r="K58" i="12"/>
  <c r="M58" i="12"/>
  <c r="O58" i="12"/>
  <c r="P58" i="12"/>
  <c r="A59" i="12"/>
  <c r="B59" i="12"/>
  <c r="C59" i="12"/>
  <c r="D59" i="12"/>
  <c r="E59" i="12"/>
  <c r="F59" i="12"/>
  <c r="G59" i="12"/>
  <c r="I59" i="12"/>
  <c r="K59" i="12"/>
  <c r="M59" i="12"/>
  <c r="O59" i="12"/>
  <c r="P59" i="12"/>
  <c r="A60" i="12"/>
  <c r="B60" i="12"/>
  <c r="C60" i="12"/>
  <c r="D60" i="12"/>
  <c r="E60" i="12"/>
  <c r="F60" i="12"/>
  <c r="G60" i="12"/>
  <c r="I60" i="12"/>
  <c r="K60" i="12"/>
  <c r="M60" i="12"/>
  <c r="O60" i="12"/>
  <c r="P60" i="12"/>
  <c r="A61" i="12"/>
  <c r="B61" i="12"/>
  <c r="C61" i="12"/>
  <c r="D61" i="12"/>
  <c r="E61" i="12"/>
  <c r="F61" i="12"/>
  <c r="G61" i="12"/>
  <c r="H61" i="12"/>
  <c r="I61" i="12"/>
  <c r="K61" i="12"/>
  <c r="J61" i="12" s="1"/>
  <c r="L61" i="12"/>
  <c r="M61" i="12"/>
  <c r="O61" i="12"/>
  <c r="N61" i="12" s="1"/>
  <c r="P61" i="12"/>
  <c r="A62" i="12"/>
  <c r="B62" i="12"/>
  <c r="C62" i="12"/>
  <c r="D62" i="12"/>
  <c r="E62" i="12"/>
  <c r="F62" i="12"/>
  <c r="G62" i="12"/>
  <c r="I62" i="12"/>
  <c r="K62" i="12"/>
  <c r="M62" i="12"/>
  <c r="O62" i="12"/>
  <c r="P62" i="12"/>
  <c r="A63" i="12"/>
  <c r="B63" i="12"/>
  <c r="C63" i="12"/>
  <c r="D63" i="12"/>
  <c r="E63" i="12"/>
  <c r="F63" i="12"/>
  <c r="G63" i="12"/>
  <c r="I63" i="12"/>
  <c r="K63" i="12"/>
  <c r="M63" i="12"/>
  <c r="O63" i="12"/>
  <c r="P63" i="12"/>
  <c r="A64" i="12"/>
  <c r="B64" i="12"/>
  <c r="C64" i="12"/>
  <c r="D64" i="12"/>
  <c r="E64" i="12"/>
  <c r="F64" i="12"/>
  <c r="G64" i="12"/>
  <c r="I64" i="12"/>
  <c r="K64" i="12"/>
  <c r="M64" i="12"/>
  <c r="O64" i="12"/>
  <c r="P64" i="12"/>
  <c r="A65" i="12"/>
  <c r="B65" i="12"/>
  <c r="C65" i="12"/>
  <c r="D65" i="12"/>
  <c r="E65" i="12"/>
  <c r="F65" i="12"/>
  <c r="G65" i="12"/>
  <c r="I65" i="12"/>
  <c r="K65" i="12"/>
  <c r="M65" i="12"/>
  <c r="O65" i="12"/>
  <c r="P65" i="12"/>
  <c r="A66" i="12"/>
  <c r="B66" i="12"/>
  <c r="C66" i="12"/>
  <c r="D66" i="12"/>
  <c r="E66" i="12"/>
  <c r="F66" i="12"/>
  <c r="G66" i="12"/>
  <c r="I66" i="12"/>
  <c r="K66" i="12"/>
  <c r="M66" i="12"/>
  <c r="O66" i="12"/>
  <c r="P66" i="12"/>
  <c r="A67" i="12"/>
  <c r="B67" i="12"/>
  <c r="C67" i="12"/>
  <c r="D67" i="12"/>
  <c r="E67" i="12"/>
  <c r="F67" i="12"/>
  <c r="G67" i="12"/>
  <c r="H67" i="12"/>
  <c r="I67" i="12"/>
  <c r="K67" i="12"/>
  <c r="J67" i="12" s="1"/>
  <c r="L67" i="12"/>
  <c r="M67" i="12"/>
  <c r="O67" i="12"/>
  <c r="N67" i="12" s="1"/>
  <c r="P67" i="12"/>
  <c r="A68" i="12"/>
  <c r="B68" i="12"/>
  <c r="C68" i="12"/>
  <c r="D68" i="12"/>
  <c r="E68" i="12"/>
  <c r="F68" i="12"/>
  <c r="G68" i="12"/>
  <c r="I68" i="12"/>
  <c r="K68" i="12"/>
  <c r="M68" i="12"/>
  <c r="O68" i="12"/>
  <c r="P68" i="12"/>
  <c r="A69" i="12"/>
  <c r="B69" i="12"/>
  <c r="C69" i="12"/>
  <c r="D69" i="12"/>
  <c r="E69" i="12"/>
  <c r="F69" i="12"/>
  <c r="G69" i="12"/>
  <c r="I69" i="12"/>
  <c r="K69" i="12"/>
  <c r="M69" i="12"/>
  <c r="O69" i="12"/>
  <c r="P69" i="12"/>
  <c r="A70" i="12"/>
  <c r="B70" i="12"/>
  <c r="C70" i="12"/>
  <c r="D70" i="12"/>
  <c r="E70" i="12"/>
  <c r="F70" i="12"/>
  <c r="G70" i="12"/>
  <c r="I70" i="12"/>
  <c r="K70" i="12"/>
  <c r="M70" i="12"/>
  <c r="O70" i="12"/>
  <c r="P70" i="12"/>
  <c r="A71" i="12"/>
  <c r="B71" i="12"/>
  <c r="C71" i="12"/>
  <c r="D71" i="12"/>
  <c r="E71" i="12"/>
  <c r="F71" i="12"/>
  <c r="G71" i="12"/>
  <c r="I71" i="12"/>
  <c r="K71" i="12"/>
  <c r="M71" i="12"/>
  <c r="O71" i="12"/>
  <c r="P71" i="12"/>
  <c r="A72" i="12"/>
  <c r="B72" i="12"/>
  <c r="C72" i="12"/>
  <c r="D72" i="12"/>
  <c r="E72" i="12"/>
  <c r="F72" i="12"/>
  <c r="G72" i="12"/>
  <c r="I72" i="12"/>
  <c r="K72" i="12"/>
  <c r="M72" i="12"/>
  <c r="O72" i="12"/>
  <c r="P72" i="12"/>
  <c r="A73" i="12"/>
  <c r="B73" i="12"/>
  <c r="C73" i="12"/>
  <c r="D73" i="12"/>
  <c r="E73" i="12"/>
  <c r="F73" i="12"/>
  <c r="G73" i="12"/>
  <c r="H73" i="12"/>
  <c r="I73" i="12"/>
  <c r="K73" i="12"/>
  <c r="J73" i="12" s="1"/>
  <c r="L73" i="12"/>
  <c r="M73" i="12"/>
  <c r="O73" i="12"/>
  <c r="N73" i="12" s="1"/>
  <c r="P73" i="12"/>
  <c r="A74" i="12"/>
  <c r="B74" i="12"/>
  <c r="C74" i="12"/>
  <c r="D74" i="12"/>
  <c r="E74" i="12"/>
  <c r="F74" i="12"/>
  <c r="G74" i="12"/>
  <c r="I74" i="12"/>
  <c r="K74" i="12"/>
  <c r="M74" i="12"/>
  <c r="O74" i="12"/>
  <c r="P74" i="12"/>
  <c r="A75" i="12"/>
  <c r="B75" i="12"/>
  <c r="C75" i="12"/>
  <c r="D75" i="12"/>
  <c r="E75" i="12"/>
  <c r="F75" i="12"/>
  <c r="G75" i="12"/>
  <c r="I75" i="12"/>
  <c r="K75" i="12"/>
  <c r="M75" i="12"/>
  <c r="O75" i="12"/>
  <c r="P75" i="12"/>
  <c r="A76" i="12"/>
  <c r="B76" i="12"/>
  <c r="C76" i="12"/>
  <c r="D76" i="12"/>
  <c r="E76" i="12"/>
  <c r="F76" i="12"/>
  <c r="G76" i="12"/>
  <c r="I76" i="12"/>
  <c r="K76" i="12"/>
  <c r="M76" i="12"/>
  <c r="O76" i="12"/>
  <c r="P76" i="12"/>
  <c r="A77" i="12"/>
  <c r="B77" i="12"/>
  <c r="C77" i="12"/>
  <c r="D77" i="12"/>
  <c r="E77" i="12"/>
  <c r="F77" i="12"/>
  <c r="G77" i="12"/>
  <c r="I77" i="12"/>
  <c r="K77" i="12"/>
  <c r="M77" i="12"/>
  <c r="O77" i="12"/>
  <c r="P77" i="12"/>
  <c r="A78" i="12"/>
  <c r="B78" i="12"/>
  <c r="C78" i="12"/>
  <c r="D78" i="12"/>
  <c r="E78" i="12"/>
  <c r="F78" i="12"/>
  <c r="G78" i="12"/>
  <c r="I78" i="12"/>
  <c r="K78" i="12"/>
  <c r="M78" i="12"/>
  <c r="O78" i="12"/>
  <c r="P78" i="12"/>
  <c r="A79" i="12"/>
  <c r="B79" i="12"/>
  <c r="C79" i="12"/>
  <c r="D79" i="12"/>
  <c r="E79" i="12"/>
  <c r="F79" i="12"/>
  <c r="G79" i="12"/>
  <c r="H79" i="12"/>
  <c r="I79" i="12"/>
  <c r="K79" i="12"/>
  <c r="J79" i="12" s="1"/>
  <c r="L79" i="12"/>
  <c r="M79" i="12"/>
  <c r="O79" i="12"/>
  <c r="N79" i="12" s="1"/>
  <c r="P79" i="12"/>
  <c r="A80" i="12"/>
  <c r="B80" i="12"/>
  <c r="C80" i="12"/>
  <c r="D80" i="12"/>
  <c r="E80" i="12"/>
  <c r="F80" i="12"/>
  <c r="G80" i="12"/>
  <c r="H80" i="12"/>
  <c r="I80" i="12"/>
  <c r="K80" i="12"/>
  <c r="M80" i="12"/>
  <c r="O80" i="12"/>
  <c r="P80" i="12"/>
  <c r="A81" i="12"/>
  <c r="B81" i="12"/>
  <c r="C81" i="12"/>
  <c r="D81" i="12"/>
  <c r="E81" i="12"/>
  <c r="F81" i="12"/>
  <c r="G81" i="12"/>
  <c r="H81" i="12"/>
  <c r="I81" i="12"/>
  <c r="K81" i="12"/>
  <c r="M81" i="12"/>
  <c r="O81" i="12"/>
  <c r="P81" i="12"/>
  <c r="A82" i="12"/>
  <c r="B82" i="12"/>
  <c r="C82" i="12"/>
  <c r="D82" i="12"/>
  <c r="E82" i="12"/>
  <c r="F82" i="12"/>
  <c r="G82" i="12"/>
  <c r="I82" i="12"/>
  <c r="H82" i="12" s="1"/>
  <c r="K82" i="12"/>
  <c r="M82" i="12"/>
  <c r="O82" i="12"/>
  <c r="P82" i="12"/>
  <c r="A83" i="12"/>
  <c r="B83" i="12"/>
  <c r="C83" i="12"/>
  <c r="D83" i="12"/>
  <c r="E83" i="12"/>
  <c r="F83" i="12"/>
  <c r="G83" i="12"/>
  <c r="I83" i="12"/>
  <c r="H83" i="12" s="1"/>
  <c r="K83" i="12"/>
  <c r="M83" i="12"/>
  <c r="O83" i="12"/>
  <c r="P83" i="12"/>
  <c r="A84" i="12"/>
  <c r="B84" i="12"/>
  <c r="C84" i="12"/>
  <c r="D84" i="12"/>
  <c r="E84" i="12"/>
  <c r="F84" i="12"/>
  <c r="G84" i="12"/>
  <c r="H84" i="12"/>
  <c r="I84" i="12"/>
  <c r="K84" i="12"/>
  <c r="M84" i="12"/>
  <c r="O84" i="12"/>
  <c r="P84" i="12"/>
  <c r="A85" i="12"/>
  <c r="B85" i="12"/>
  <c r="C85" i="12"/>
  <c r="D85" i="12"/>
  <c r="E85" i="12"/>
  <c r="F85" i="12"/>
  <c r="G85" i="12"/>
  <c r="H85" i="12"/>
  <c r="I85" i="12"/>
  <c r="K85" i="12"/>
  <c r="J85" i="12" s="1"/>
  <c r="L85" i="12"/>
  <c r="M85" i="12"/>
  <c r="O85" i="12"/>
  <c r="N85" i="12" s="1"/>
  <c r="P85" i="12"/>
  <c r="A86" i="12"/>
  <c r="B86" i="12"/>
  <c r="C86" i="12"/>
  <c r="D86" i="12"/>
  <c r="E86" i="12"/>
  <c r="F86" i="12"/>
  <c r="G86" i="12"/>
  <c r="I86" i="12"/>
  <c r="K86" i="12"/>
  <c r="M86" i="12"/>
  <c r="N86" i="12"/>
  <c r="O86" i="12"/>
  <c r="P86" i="12"/>
  <c r="A87" i="12"/>
  <c r="B87" i="12"/>
  <c r="C87" i="12"/>
  <c r="D87" i="12"/>
  <c r="E87" i="12"/>
  <c r="F87" i="12"/>
  <c r="G87" i="12"/>
  <c r="I87" i="12"/>
  <c r="K87" i="12"/>
  <c r="M87" i="12"/>
  <c r="N87" i="12"/>
  <c r="O87" i="12"/>
  <c r="P87" i="12"/>
  <c r="A88" i="12"/>
  <c r="B88" i="12"/>
  <c r="C88" i="12"/>
  <c r="D88" i="12"/>
  <c r="E88" i="12"/>
  <c r="F88" i="12"/>
  <c r="G88" i="12"/>
  <c r="I88" i="12"/>
  <c r="K88" i="12"/>
  <c r="M88" i="12"/>
  <c r="O88" i="12"/>
  <c r="N88" i="12" s="1"/>
  <c r="P88" i="12"/>
  <c r="A89" i="12"/>
  <c r="B89" i="12"/>
  <c r="C89" i="12"/>
  <c r="D89" i="12"/>
  <c r="E89" i="12"/>
  <c r="F89" i="12"/>
  <c r="G89" i="12"/>
  <c r="I89" i="12"/>
  <c r="K89" i="12"/>
  <c r="M89" i="12"/>
  <c r="O89" i="12"/>
  <c r="N89" i="12" s="1"/>
  <c r="P89" i="12"/>
  <c r="A90" i="12"/>
  <c r="B90" i="12"/>
  <c r="C90" i="12"/>
  <c r="D90" i="12"/>
  <c r="E90" i="12"/>
  <c r="F90" i="12"/>
  <c r="G90" i="12"/>
  <c r="I90" i="12"/>
  <c r="K90" i="12"/>
  <c r="M90" i="12"/>
  <c r="N90" i="12"/>
  <c r="O90" i="12"/>
  <c r="P90" i="12"/>
  <c r="A91" i="12"/>
  <c r="B91" i="12"/>
  <c r="C91" i="12"/>
  <c r="D91" i="12"/>
  <c r="E91" i="12"/>
  <c r="F91" i="12"/>
  <c r="G91" i="12"/>
  <c r="I91" i="12"/>
  <c r="H91" i="12" s="1"/>
  <c r="J91" i="12"/>
  <c r="K91" i="12"/>
  <c r="M91" i="12"/>
  <c r="L91" i="12" s="1"/>
  <c r="N91" i="12"/>
  <c r="O91" i="12"/>
  <c r="P91" i="12"/>
  <c r="A92" i="12"/>
  <c r="B92" i="12"/>
  <c r="C92" i="12"/>
  <c r="D92" i="12"/>
  <c r="E92" i="12"/>
  <c r="F92" i="12"/>
  <c r="G92" i="12"/>
  <c r="I92" i="12"/>
  <c r="K92" i="12"/>
  <c r="M92" i="12"/>
  <c r="N92" i="12"/>
  <c r="O92" i="12"/>
  <c r="P92" i="12"/>
  <c r="A93" i="12"/>
  <c r="B93" i="12"/>
  <c r="C93" i="12"/>
  <c r="D93" i="12"/>
  <c r="E93" i="12"/>
  <c r="F93" i="12"/>
  <c r="G93" i="12"/>
  <c r="I93" i="12"/>
  <c r="K93" i="12"/>
  <c r="M93" i="12"/>
  <c r="O93" i="12"/>
  <c r="N93" i="12" s="1"/>
  <c r="P93" i="12"/>
  <c r="A94" i="12"/>
  <c r="B94" i="12"/>
  <c r="C94" i="12"/>
  <c r="D94" i="12"/>
  <c r="E94" i="12"/>
  <c r="F94" i="12"/>
  <c r="G94" i="12"/>
  <c r="I94" i="12"/>
  <c r="K94" i="12"/>
  <c r="M94" i="12"/>
  <c r="O94" i="12"/>
  <c r="N94" i="12" s="1"/>
  <c r="P94" i="12"/>
  <c r="A95" i="12"/>
  <c r="B95" i="12"/>
  <c r="C95" i="12"/>
  <c r="D95" i="12"/>
  <c r="E95" i="12"/>
  <c r="F95" i="12"/>
  <c r="G95" i="12"/>
  <c r="I95" i="12"/>
  <c r="K95" i="12"/>
  <c r="M95" i="12"/>
  <c r="N95" i="12"/>
  <c r="O95" i="12"/>
  <c r="P95" i="12"/>
  <c r="A96" i="12"/>
  <c r="B96" i="12"/>
  <c r="C96" i="12"/>
  <c r="D96" i="12"/>
  <c r="E96" i="12"/>
  <c r="F96" i="12"/>
  <c r="G96" i="12"/>
  <c r="I96" i="12"/>
  <c r="K96" i="12"/>
  <c r="M96" i="12"/>
  <c r="N96" i="12"/>
  <c r="O96" i="12"/>
  <c r="P96" i="12"/>
  <c r="A97" i="12"/>
  <c r="B97" i="12"/>
  <c r="C97" i="12"/>
  <c r="D97" i="12"/>
  <c r="E97" i="12"/>
  <c r="F97" i="12"/>
  <c r="G97" i="12"/>
  <c r="I97" i="12"/>
  <c r="H97" i="12" s="1"/>
  <c r="J97" i="12"/>
  <c r="K97" i="12"/>
  <c r="M97" i="12"/>
  <c r="L97" i="12" s="1"/>
  <c r="N97" i="12"/>
  <c r="O97" i="12"/>
  <c r="P97" i="12"/>
  <c r="A98" i="12"/>
  <c r="B98" i="12"/>
  <c r="C98" i="12"/>
  <c r="D98" i="12"/>
  <c r="E98" i="12"/>
  <c r="F98" i="12"/>
  <c r="G98" i="12"/>
  <c r="I98" i="12"/>
  <c r="K98" i="12"/>
  <c r="M98" i="12"/>
  <c r="O98" i="12"/>
  <c r="N98" i="12" s="1"/>
  <c r="P98" i="12"/>
  <c r="A99" i="12"/>
  <c r="B99" i="12"/>
  <c r="C99" i="12"/>
  <c r="D99" i="12"/>
  <c r="E99" i="12"/>
  <c r="F99" i="12"/>
  <c r="G99" i="12"/>
  <c r="I99" i="12"/>
  <c r="K99" i="12"/>
  <c r="M99" i="12"/>
  <c r="O99" i="12"/>
  <c r="N99" i="12" s="1"/>
  <c r="P99" i="12"/>
  <c r="A100" i="12"/>
  <c r="B100" i="12"/>
  <c r="C100" i="12"/>
  <c r="D100" i="12"/>
  <c r="E100" i="12"/>
  <c r="F100" i="12"/>
  <c r="G100" i="12"/>
  <c r="I100" i="12"/>
  <c r="K100" i="12"/>
  <c r="M100" i="12"/>
  <c r="N100" i="12"/>
  <c r="O100" i="12"/>
  <c r="P100" i="12"/>
  <c r="A101" i="12"/>
  <c r="B101" i="12"/>
  <c r="C101" i="12"/>
  <c r="D101" i="12"/>
  <c r="E101" i="12"/>
  <c r="F101" i="12"/>
  <c r="G101" i="12"/>
  <c r="I101" i="12"/>
  <c r="K101" i="12"/>
  <c r="M101" i="12"/>
  <c r="N101" i="12"/>
  <c r="O101" i="12"/>
  <c r="P101" i="12"/>
  <c r="A102" i="12"/>
  <c r="B102" i="12"/>
  <c r="C102" i="12"/>
  <c r="D102" i="12"/>
  <c r="E102" i="12"/>
  <c r="F102" i="12"/>
  <c r="G102" i="12"/>
  <c r="I102" i="12"/>
  <c r="K102" i="12"/>
  <c r="M102" i="12"/>
  <c r="O102" i="12"/>
  <c r="N102" i="12" s="1"/>
  <c r="P102" i="12"/>
  <c r="A103" i="12"/>
  <c r="B103" i="12"/>
  <c r="C103" i="12"/>
  <c r="D103" i="12"/>
  <c r="E103" i="12"/>
  <c r="F103" i="12"/>
  <c r="G103" i="12"/>
  <c r="H103" i="12"/>
  <c r="I103" i="12"/>
  <c r="K103" i="12"/>
  <c r="J103" i="12" s="1"/>
  <c r="L103" i="12"/>
  <c r="M103" i="12"/>
  <c r="O103" i="12"/>
  <c r="N103" i="12" s="1"/>
  <c r="P103" i="12"/>
  <c r="A104" i="12"/>
  <c r="B104" i="12"/>
  <c r="C104" i="12"/>
  <c r="D104" i="12"/>
  <c r="E104" i="12"/>
  <c r="F104" i="12"/>
  <c r="G104" i="12"/>
  <c r="I104" i="12"/>
  <c r="K104" i="12"/>
  <c r="M104" i="12"/>
  <c r="O104" i="12"/>
  <c r="P104" i="12"/>
  <c r="A105" i="12"/>
  <c r="B105" i="12"/>
  <c r="C105" i="12"/>
  <c r="D105" i="12"/>
  <c r="E105" i="12"/>
  <c r="F105" i="12"/>
  <c r="G105" i="12"/>
  <c r="I105" i="12"/>
  <c r="K105" i="12"/>
  <c r="M105" i="12"/>
  <c r="O105" i="12"/>
  <c r="P105" i="12"/>
  <c r="A106" i="12"/>
  <c r="B106" i="12"/>
  <c r="C106" i="12"/>
  <c r="D106" i="12"/>
  <c r="E106" i="12"/>
  <c r="F106" i="12"/>
  <c r="G106" i="12"/>
  <c r="I106" i="12"/>
  <c r="K106" i="12"/>
  <c r="M106" i="12"/>
  <c r="O106" i="12"/>
  <c r="P106" i="12"/>
  <c r="A107" i="12"/>
  <c r="B107" i="12"/>
  <c r="C107" i="12"/>
  <c r="D107" i="12"/>
  <c r="E107" i="12"/>
  <c r="F107" i="12"/>
  <c r="G107" i="12"/>
  <c r="I107" i="12"/>
  <c r="K107" i="12"/>
  <c r="M107" i="12"/>
  <c r="O107" i="12"/>
  <c r="P107" i="12"/>
  <c r="A108" i="12"/>
  <c r="B108" i="12"/>
  <c r="C108" i="12"/>
  <c r="D108" i="12"/>
  <c r="E108" i="12"/>
  <c r="F108" i="12"/>
  <c r="G108" i="12"/>
  <c r="I108" i="12"/>
  <c r="K108" i="12"/>
  <c r="M108" i="12"/>
  <c r="O108" i="12"/>
  <c r="P108" i="12"/>
  <c r="A109" i="12"/>
  <c r="B109" i="12"/>
  <c r="C109" i="12"/>
  <c r="D109" i="12"/>
  <c r="E109" i="12"/>
  <c r="F109" i="12"/>
  <c r="G109" i="12"/>
  <c r="H109" i="12"/>
  <c r="I109" i="12"/>
  <c r="K109" i="12"/>
  <c r="J109" i="12" s="1"/>
  <c r="L109" i="12"/>
  <c r="M109" i="12"/>
  <c r="O109" i="12"/>
  <c r="N109" i="12" s="1"/>
  <c r="P109" i="12"/>
  <c r="A110" i="12"/>
  <c r="B110" i="12"/>
  <c r="C110" i="12"/>
  <c r="D110" i="12"/>
  <c r="E110" i="12"/>
  <c r="F110" i="12"/>
  <c r="G110" i="12"/>
  <c r="H110" i="12"/>
  <c r="I110" i="12"/>
  <c r="K110" i="12"/>
  <c r="M110" i="12"/>
  <c r="L110" i="12" s="1"/>
  <c r="N110" i="12"/>
  <c r="O110" i="12"/>
  <c r="P110" i="12"/>
  <c r="A111" i="12"/>
  <c r="B111" i="12"/>
  <c r="C111" i="12"/>
  <c r="D111" i="12"/>
  <c r="E111" i="12"/>
  <c r="F111" i="12"/>
  <c r="G111" i="12"/>
  <c r="I111" i="12"/>
  <c r="H111" i="12" s="1"/>
  <c r="K111" i="12"/>
  <c r="M111" i="12"/>
  <c r="L111" i="12" s="1"/>
  <c r="N111" i="12"/>
  <c r="O111" i="12"/>
  <c r="P111" i="12"/>
  <c r="A112" i="12"/>
  <c r="B112" i="12"/>
  <c r="C112" i="12"/>
  <c r="D112" i="12"/>
  <c r="E112" i="12"/>
  <c r="F112" i="12"/>
  <c r="G112" i="12"/>
  <c r="I112" i="12"/>
  <c r="H112" i="12" s="1"/>
  <c r="K112" i="12"/>
  <c r="L112" i="12"/>
  <c r="M112" i="12"/>
  <c r="O112" i="12"/>
  <c r="N112" i="12" s="1"/>
  <c r="P112" i="12"/>
  <c r="A113" i="12"/>
  <c r="B113" i="12"/>
  <c r="C113" i="12"/>
  <c r="D113" i="12"/>
  <c r="E113" i="12"/>
  <c r="F113" i="12"/>
  <c r="G113" i="12"/>
  <c r="H113" i="12"/>
  <c r="I113" i="12"/>
  <c r="K113" i="12"/>
  <c r="L113" i="12"/>
  <c r="M113" i="12"/>
  <c r="O113" i="12"/>
  <c r="N113" i="12" s="1"/>
  <c r="P113" i="12"/>
  <c r="A114" i="12"/>
  <c r="B114" i="12"/>
  <c r="C114" i="12"/>
  <c r="D114" i="12"/>
  <c r="E114" i="12"/>
  <c r="F114" i="12"/>
  <c r="G114" i="12"/>
  <c r="H114" i="12"/>
  <c r="I114" i="12"/>
  <c r="K114" i="12"/>
  <c r="M114" i="12"/>
  <c r="L114" i="12" s="1"/>
  <c r="N114" i="12"/>
  <c r="O114" i="12"/>
  <c r="P114" i="12"/>
  <c r="A115" i="12"/>
  <c r="B115" i="12"/>
  <c r="C115" i="12"/>
  <c r="D115" i="12"/>
  <c r="E115" i="12"/>
  <c r="F115" i="12"/>
  <c r="G115" i="12"/>
  <c r="I115" i="12"/>
  <c r="H115" i="12" s="1"/>
  <c r="J115" i="12"/>
  <c r="K115" i="12"/>
  <c r="M115" i="12"/>
  <c r="L115" i="12" s="1"/>
  <c r="N115" i="12"/>
  <c r="O115" i="12"/>
  <c r="P115" i="12"/>
  <c r="A116" i="12"/>
  <c r="B116" i="12"/>
  <c r="C116" i="12"/>
  <c r="D116" i="12"/>
  <c r="E116" i="12"/>
  <c r="F116" i="12"/>
  <c r="G116" i="12"/>
  <c r="I116" i="12"/>
  <c r="K116" i="12"/>
  <c r="M116" i="12"/>
  <c r="O116" i="12"/>
  <c r="P116" i="12"/>
  <c r="A117" i="12"/>
  <c r="B117" i="12"/>
  <c r="C117" i="12"/>
  <c r="D117" i="12"/>
  <c r="E117" i="12"/>
  <c r="F117" i="12"/>
  <c r="G117" i="12"/>
  <c r="I117" i="12"/>
  <c r="K117" i="12"/>
  <c r="M117" i="12"/>
  <c r="O117" i="12"/>
  <c r="P117" i="12"/>
  <c r="A118" i="12"/>
  <c r="B118" i="12"/>
  <c r="C118" i="12"/>
  <c r="D118" i="12"/>
  <c r="E118" i="12"/>
  <c r="F118" i="12"/>
  <c r="G118" i="12"/>
  <c r="I118" i="12"/>
  <c r="K118" i="12"/>
  <c r="M118" i="12"/>
  <c r="O118" i="12"/>
  <c r="P118" i="12"/>
  <c r="A119" i="12"/>
  <c r="B119" i="12"/>
  <c r="C119" i="12"/>
  <c r="D119" i="12"/>
  <c r="E119" i="12"/>
  <c r="F119" i="12"/>
  <c r="G119" i="12"/>
  <c r="I119" i="12"/>
  <c r="K119" i="12"/>
  <c r="M119" i="12"/>
  <c r="O119" i="12"/>
  <c r="P119" i="12"/>
  <c r="A120" i="12"/>
  <c r="B120" i="12"/>
  <c r="C120" i="12"/>
  <c r="D120" i="12"/>
  <c r="E120" i="12"/>
  <c r="F120" i="12"/>
  <c r="G120" i="12"/>
  <c r="I120" i="12"/>
  <c r="K120" i="12"/>
  <c r="M120" i="12"/>
  <c r="O120" i="12"/>
  <c r="P120" i="12"/>
  <c r="A121" i="12"/>
  <c r="B121" i="12"/>
  <c r="C121" i="12"/>
  <c r="D121" i="12"/>
  <c r="E121" i="12"/>
  <c r="F121" i="12"/>
  <c r="G121" i="12"/>
  <c r="I121" i="12"/>
  <c r="H121" i="12" s="1"/>
  <c r="J121" i="12"/>
  <c r="K121" i="12"/>
  <c r="M121" i="12"/>
  <c r="L121" i="12" s="1"/>
  <c r="N121" i="12"/>
  <c r="O121" i="12"/>
  <c r="P121" i="12"/>
  <c r="A122" i="12"/>
  <c r="B122" i="12"/>
  <c r="C122" i="12"/>
  <c r="D122" i="12"/>
  <c r="E122" i="12"/>
  <c r="F122" i="12"/>
  <c r="G122" i="12"/>
  <c r="I122" i="12"/>
  <c r="K122" i="12"/>
  <c r="M122" i="12"/>
  <c r="O122" i="12"/>
  <c r="P122" i="12"/>
  <c r="A123" i="12"/>
  <c r="B123" i="12"/>
  <c r="C123" i="12"/>
  <c r="D123" i="12"/>
  <c r="E123" i="12"/>
  <c r="F123" i="12"/>
  <c r="G123" i="12"/>
  <c r="I123" i="12"/>
  <c r="K123" i="12"/>
  <c r="M123" i="12"/>
  <c r="O123" i="12"/>
  <c r="P123" i="12"/>
  <c r="A124" i="12"/>
  <c r="B124" i="12"/>
  <c r="C124" i="12"/>
  <c r="D124" i="12"/>
  <c r="E124" i="12"/>
  <c r="F124" i="12"/>
  <c r="G124" i="12"/>
  <c r="I124" i="12"/>
  <c r="H124" i="12" s="1"/>
  <c r="J124" i="12"/>
  <c r="K124" i="12"/>
  <c r="M124" i="12"/>
  <c r="L124" i="12" s="1"/>
  <c r="N124" i="12"/>
  <c r="O124" i="12"/>
  <c r="P124" i="12"/>
  <c r="A125" i="12"/>
  <c r="B125" i="12"/>
  <c r="C125" i="12"/>
  <c r="D125" i="12"/>
  <c r="E125" i="12"/>
  <c r="F125" i="12"/>
  <c r="G125" i="12"/>
  <c r="I125" i="12"/>
  <c r="J125" i="12"/>
  <c r="K125" i="12"/>
  <c r="M125" i="12"/>
  <c r="L125" i="12" s="1"/>
  <c r="N125" i="12"/>
  <c r="O125" i="12"/>
  <c r="P125" i="12"/>
  <c r="A126" i="12"/>
  <c r="B126" i="12"/>
  <c r="C126" i="12"/>
  <c r="D126" i="12"/>
  <c r="E126" i="12"/>
  <c r="F126" i="12"/>
  <c r="G126" i="12"/>
  <c r="I126" i="12"/>
  <c r="K126" i="12"/>
  <c r="J126" i="12" s="1"/>
  <c r="L126" i="12"/>
  <c r="M126" i="12"/>
  <c r="O126" i="12"/>
  <c r="N126" i="12" s="1"/>
  <c r="P126" i="12"/>
  <c r="A127" i="12"/>
  <c r="B127" i="12"/>
  <c r="C127" i="12"/>
  <c r="D127" i="12"/>
  <c r="E127" i="12"/>
  <c r="F127" i="12"/>
  <c r="G127" i="12"/>
  <c r="I127" i="12"/>
  <c r="K127" i="12"/>
  <c r="J127" i="12" s="1"/>
  <c r="L127" i="12"/>
  <c r="M127" i="12"/>
  <c r="O127" i="12"/>
  <c r="N127" i="12" s="1"/>
  <c r="P127" i="12"/>
  <c r="A128" i="12"/>
  <c r="B128" i="12"/>
  <c r="C128" i="12"/>
  <c r="D128" i="12"/>
  <c r="E128" i="12"/>
  <c r="F128" i="12"/>
  <c r="G128" i="12"/>
  <c r="I128" i="12"/>
  <c r="J128" i="12"/>
  <c r="K128" i="12"/>
  <c r="M128" i="12"/>
  <c r="L128" i="12" s="1"/>
  <c r="N128" i="12"/>
  <c r="O128" i="12"/>
  <c r="P128" i="12"/>
  <c r="A129" i="12"/>
  <c r="B129" i="12"/>
  <c r="C129" i="12"/>
  <c r="D129" i="12"/>
  <c r="E129" i="12"/>
  <c r="F129" i="12"/>
  <c r="G129" i="12"/>
  <c r="I129" i="12"/>
  <c r="J129" i="12"/>
  <c r="K129" i="12"/>
  <c r="M129" i="12"/>
  <c r="L129" i="12" s="1"/>
  <c r="N129" i="12"/>
  <c r="O129" i="12"/>
  <c r="P129" i="12"/>
  <c r="A130" i="12"/>
  <c r="B130" i="12"/>
  <c r="C130" i="12"/>
  <c r="D130" i="12"/>
  <c r="E130" i="12"/>
  <c r="F130" i="12"/>
  <c r="G130" i="12"/>
  <c r="I130" i="12"/>
  <c r="H130" i="12" s="1"/>
  <c r="J130" i="12"/>
  <c r="K130" i="12"/>
  <c r="M130" i="12"/>
  <c r="L130" i="12" s="1"/>
  <c r="N130" i="12"/>
  <c r="O130" i="12"/>
  <c r="P130" i="12"/>
  <c r="A131" i="12"/>
  <c r="B131" i="12"/>
  <c r="C131" i="12"/>
  <c r="D131" i="12"/>
  <c r="E131" i="12"/>
  <c r="F131" i="12"/>
  <c r="G131" i="12"/>
  <c r="I131" i="12"/>
  <c r="H131" i="12" s="1"/>
  <c r="K131" i="12"/>
  <c r="M131" i="12"/>
  <c r="O131" i="12"/>
  <c r="P131" i="12"/>
  <c r="A132" i="12"/>
  <c r="B132" i="12"/>
  <c r="C132" i="12"/>
  <c r="D132" i="12"/>
  <c r="E132" i="12"/>
  <c r="F132" i="12"/>
  <c r="G132" i="12"/>
  <c r="I132" i="12"/>
  <c r="H132" i="12" s="1"/>
  <c r="K132" i="12"/>
  <c r="M132" i="12"/>
  <c r="O132" i="12"/>
  <c r="P132" i="12"/>
  <c r="A133" i="12"/>
  <c r="B133" i="12"/>
  <c r="C133" i="12"/>
  <c r="D133" i="12"/>
  <c r="E133" i="12"/>
  <c r="F133" i="12"/>
  <c r="G133" i="12"/>
  <c r="H133" i="12"/>
  <c r="I133" i="12"/>
  <c r="K133" i="12"/>
  <c r="M133" i="12"/>
  <c r="O133" i="12"/>
  <c r="P133" i="12"/>
  <c r="A134" i="12"/>
  <c r="B134" i="12"/>
  <c r="C134" i="12"/>
  <c r="D134" i="12"/>
  <c r="E134" i="12"/>
  <c r="F134" i="12"/>
  <c r="G134" i="12"/>
  <c r="H134" i="12"/>
  <c r="I134" i="12"/>
  <c r="K134" i="12"/>
  <c r="M134" i="12"/>
  <c r="O134" i="12"/>
  <c r="P134" i="12"/>
  <c r="A135" i="12"/>
  <c r="B135" i="12"/>
  <c r="C135" i="12"/>
  <c r="D135" i="12"/>
  <c r="E135" i="12"/>
  <c r="F135" i="12"/>
  <c r="G135" i="12"/>
  <c r="I135" i="12"/>
  <c r="H135" i="12" s="1"/>
  <c r="K135" i="12"/>
  <c r="M135" i="12"/>
  <c r="O135" i="12"/>
  <c r="P135" i="12"/>
  <c r="A136" i="12"/>
  <c r="B136" i="12"/>
  <c r="C136" i="12"/>
  <c r="D136" i="12"/>
  <c r="E136" i="12"/>
  <c r="F136" i="12"/>
  <c r="G136" i="12"/>
  <c r="I136" i="12"/>
  <c r="H136" i="12" s="1"/>
  <c r="J136" i="12"/>
  <c r="K136" i="12"/>
  <c r="M136" i="12"/>
  <c r="L136" i="12" s="1"/>
  <c r="N136" i="12"/>
  <c r="O136" i="12"/>
  <c r="P136" i="12"/>
  <c r="A137" i="12"/>
  <c r="B137" i="12"/>
  <c r="C137" i="12"/>
  <c r="D137" i="12"/>
  <c r="E137" i="12"/>
  <c r="F137" i="12"/>
  <c r="G137" i="12"/>
  <c r="I137" i="12"/>
  <c r="K137" i="12"/>
  <c r="M137" i="12"/>
  <c r="O137" i="12"/>
  <c r="P137" i="12"/>
  <c r="A138" i="12"/>
  <c r="B138" i="12"/>
  <c r="C138" i="12"/>
  <c r="D138" i="12"/>
  <c r="E138" i="12"/>
  <c r="F138" i="12"/>
  <c r="G138" i="12"/>
  <c r="I138" i="12"/>
  <c r="K138" i="12"/>
  <c r="M138" i="12"/>
  <c r="O138" i="12"/>
  <c r="P138" i="12"/>
  <c r="A139" i="12"/>
  <c r="B139" i="12"/>
  <c r="C139" i="12"/>
  <c r="D139" i="12"/>
  <c r="E139" i="12"/>
  <c r="F139" i="12"/>
  <c r="G139" i="12"/>
  <c r="I139" i="12"/>
  <c r="K139" i="12"/>
  <c r="M139" i="12"/>
  <c r="O139" i="12"/>
  <c r="P139" i="12"/>
  <c r="A140" i="12"/>
  <c r="B140" i="12"/>
  <c r="C140" i="12"/>
  <c r="D140" i="12"/>
  <c r="E140" i="12"/>
  <c r="F140" i="12"/>
  <c r="G140" i="12"/>
  <c r="I140" i="12"/>
  <c r="K140" i="12"/>
  <c r="M140" i="12"/>
  <c r="O140" i="12"/>
  <c r="P140" i="12"/>
  <c r="A141" i="12"/>
  <c r="B141" i="12"/>
  <c r="C141" i="12"/>
  <c r="D141" i="12"/>
  <c r="E141" i="12"/>
  <c r="F141" i="12"/>
  <c r="G141" i="12"/>
  <c r="I141" i="12"/>
  <c r="K141" i="12"/>
  <c r="M141" i="12"/>
  <c r="O141" i="12"/>
  <c r="P141" i="12"/>
  <c r="A142" i="12"/>
  <c r="B142" i="12"/>
  <c r="C142" i="12"/>
  <c r="D142" i="12"/>
  <c r="E142" i="12"/>
  <c r="F142" i="12"/>
  <c r="G142" i="12"/>
  <c r="A143" i="12"/>
  <c r="B143" i="12"/>
  <c r="C143" i="12"/>
  <c r="D143" i="12"/>
  <c r="E143" i="12"/>
  <c r="F143" i="12"/>
  <c r="G143" i="12"/>
  <c r="A144" i="12"/>
  <c r="B144" i="12"/>
  <c r="C144" i="12"/>
  <c r="D144" i="12"/>
  <c r="E144" i="12"/>
  <c r="F144" i="12"/>
  <c r="G144" i="12"/>
  <c r="A145" i="12"/>
  <c r="B145" i="12"/>
  <c r="C145" i="12"/>
  <c r="D145" i="12"/>
  <c r="E145" i="12"/>
  <c r="F145" i="12"/>
  <c r="G145" i="12"/>
  <c r="A146" i="12"/>
  <c r="B146" i="12"/>
  <c r="C146" i="12"/>
  <c r="D146" i="12"/>
  <c r="E146" i="12"/>
  <c r="F146" i="12"/>
  <c r="G146" i="12"/>
  <c r="I146" i="12"/>
  <c r="H146" i="12" s="1"/>
  <c r="J146" i="12"/>
  <c r="K146" i="12"/>
  <c r="M146" i="12"/>
  <c r="L146" i="12" s="1"/>
  <c r="N146" i="12"/>
  <c r="O146" i="12"/>
  <c r="P146" i="12"/>
  <c r="A147" i="12"/>
  <c r="B147" i="12"/>
  <c r="C147" i="12"/>
  <c r="D147" i="12"/>
  <c r="E147" i="12"/>
  <c r="F147" i="12"/>
  <c r="G147" i="12"/>
  <c r="I147" i="12"/>
  <c r="K147" i="12"/>
  <c r="M147" i="12"/>
  <c r="O147" i="12"/>
  <c r="N147" i="12" s="1"/>
  <c r="P147" i="12"/>
  <c r="A148" i="12"/>
  <c r="B148" i="12"/>
  <c r="C148" i="12"/>
  <c r="D148" i="12"/>
  <c r="E148" i="12"/>
  <c r="G148" i="12"/>
  <c r="I148" i="12"/>
  <c r="K148" i="12"/>
  <c r="M148" i="12"/>
  <c r="O148" i="12"/>
  <c r="N148" i="12" s="1"/>
  <c r="P148" i="12"/>
  <c r="A149" i="12"/>
  <c r="B149" i="12"/>
  <c r="C149" i="12"/>
  <c r="D149" i="12"/>
  <c r="E149" i="12"/>
  <c r="G149" i="12"/>
  <c r="I149" i="12"/>
  <c r="K149" i="12"/>
  <c r="M149" i="12"/>
  <c r="N149" i="12"/>
  <c r="O149" i="12"/>
  <c r="P149" i="12"/>
  <c r="A150" i="12"/>
  <c r="B150" i="12"/>
  <c r="C150" i="12"/>
  <c r="D150" i="12"/>
  <c r="E150" i="12"/>
  <c r="F150" i="12"/>
  <c r="G150" i="12"/>
  <c r="I150" i="12"/>
  <c r="K150" i="12"/>
  <c r="M150" i="12"/>
  <c r="N150" i="12"/>
  <c r="O150" i="12"/>
  <c r="P150" i="12"/>
  <c r="A151" i="12"/>
  <c r="B151" i="12"/>
  <c r="C151" i="12"/>
  <c r="D151" i="12"/>
  <c r="E151" i="12"/>
  <c r="F151" i="12"/>
  <c r="G151" i="12"/>
  <c r="I151" i="12"/>
  <c r="K151" i="12"/>
  <c r="M151" i="12"/>
  <c r="O151" i="12"/>
  <c r="N151" i="12" s="1"/>
  <c r="P151" i="12"/>
  <c r="A2" i="11"/>
  <c r="B2" i="11"/>
  <c r="C2" i="11"/>
  <c r="D2" i="11"/>
  <c r="E2" i="11"/>
  <c r="F2" i="11"/>
  <c r="G2" i="11"/>
  <c r="H2" i="11"/>
  <c r="I2" i="11"/>
  <c r="J2" i="11"/>
  <c r="L2" i="11"/>
  <c r="K2" i="11"/>
  <c r="N2" i="11"/>
  <c r="M2" i="11" s="1"/>
  <c r="P2" i="11"/>
  <c r="O2" i="11"/>
  <c r="R2" i="11"/>
  <c r="Q2" i="11" s="1"/>
  <c r="T2" i="11"/>
  <c r="S2" i="11"/>
  <c r="A3" i="11"/>
  <c r="C3" i="11"/>
  <c r="D3" i="11"/>
  <c r="E3" i="11"/>
  <c r="F3" i="11"/>
  <c r="G3" i="11"/>
  <c r="H3" i="11"/>
  <c r="I3" i="11"/>
  <c r="J3" i="11"/>
  <c r="L3" i="11"/>
  <c r="N3" i="11"/>
  <c r="P3" i="11"/>
  <c r="O3" i="11" s="1"/>
  <c r="R3" i="11"/>
  <c r="Q3" i="11"/>
  <c r="T3" i="11"/>
  <c r="S3" i="11" s="1"/>
  <c r="A4" i="11"/>
  <c r="C4" i="11"/>
  <c r="D4" i="11"/>
  <c r="E4" i="11"/>
  <c r="F4" i="11"/>
  <c r="G4" i="11"/>
  <c r="H4" i="11"/>
  <c r="J4" i="11"/>
  <c r="L4" i="11"/>
  <c r="N4" i="11"/>
  <c r="P4" i="11"/>
  <c r="O4" i="11" s="1"/>
  <c r="R4" i="11"/>
  <c r="Q4" i="11"/>
  <c r="T4" i="11"/>
  <c r="S4" i="11" s="1"/>
  <c r="A5" i="11"/>
  <c r="C5" i="11"/>
  <c r="D5" i="11"/>
  <c r="E5" i="11"/>
  <c r="F5" i="11"/>
  <c r="G5" i="11"/>
  <c r="H5" i="11"/>
  <c r="J5" i="11"/>
  <c r="L5" i="11"/>
  <c r="N5" i="11"/>
  <c r="P5" i="11"/>
  <c r="O5" i="11"/>
  <c r="R5" i="11"/>
  <c r="Q5" i="11" s="1"/>
  <c r="T5" i="11"/>
  <c r="S5" i="11"/>
  <c r="A6" i="11"/>
  <c r="C6" i="11"/>
  <c r="D6" i="11"/>
  <c r="E6" i="11"/>
  <c r="F6" i="11"/>
  <c r="G6" i="11"/>
  <c r="H6" i="11"/>
  <c r="J6" i="11"/>
  <c r="L6" i="11"/>
  <c r="N6" i="11"/>
  <c r="P6" i="11"/>
  <c r="O6" i="11"/>
  <c r="R6" i="11"/>
  <c r="Q6" i="11" s="1"/>
  <c r="T6" i="11"/>
  <c r="S6" i="11"/>
  <c r="A7" i="11"/>
  <c r="C7" i="11"/>
  <c r="D7" i="11"/>
  <c r="E7" i="11"/>
  <c r="F7" i="11"/>
  <c r="G7" i="11"/>
  <c r="H7" i="11"/>
  <c r="J7" i="11"/>
  <c r="L7" i="11"/>
  <c r="N7" i="11"/>
  <c r="P7" i="11"/>
  <c r="O7" i="11" s="1"/>
  <c r="R7" i="11"/>
  <c r="Q7" i="11"/>
  <c r="T7" i="11"/>
  <c r="S7" i="11" s="1"/>
  <c r="A8" i="11"/>
  <c r="B8" i="11"/>
  <c r="C8" i="11"/>
  <c r="D8" i="11"/>
  <c r="E8" i="11"/>
  <c r="F8" i="11"/>
  <c r="G8" i="11"/>
  <c r="H8" i="11"/>
  <c r="I8" i="11"/>
  <c r="J8" i="11"/>
  <c r="L8" i="11"/>
  <c r="K8" i="11" s="1"/>
  <c r="N8" i="11"/>
  <c r="M8" i="11"/>
  <c r="P8" i="11"/>
  <c r="O8" i="11" s="1"/>
  <c r="R8" i="11"/>
  <c r="Q8" i="11"/>
  <c r="T8" i="11"/>
  <c r="S8" i="11" s="1"/>
  <c r="A9" i="11"/>
  <c r="C9" i="11"/>
  <c r="D9" i="11"/>
  <c r="E9" i="11"/>
  <c r="F9" i="11"/>
  <c r="G9" i="11"/>
  <c r="H9" i="11"/>
  <c r="J9" i="11"/>
  <c r="L9" i="11"/>
  <c r="N9" i="11"/>
  <c r="P9" i="11"/>
  <c r="O9" i="11" s="1"/>
  <c r="R9" i="11"/>
  <c r="Q9" i="11"/>
  <c r="T9" i="11"/>
  <c r="S9" i="11" s="1"/>
  <c r="A10" i="11"/>
  <c r="C10" i="11"/>
  <c r="D10" i="11"/>
  <c r="E10" i="11"/>
  <c r="F10" i="11"/>
  <c r="G10" i="11"/>
  <c r="H10" i="11"/>
  <c r="J10" i="11"/>
  <c r="L10" i="11"/>
  <c r="N10" i="11"/>
  <c r="P10" i="11"/>
  <c r="O10" i="11"/>
  <c r="R10" i="11"/>
  <c r="Q10" i="11" s="1"/>
  <c r="T10" i="11"/>
  <c r="S10" i="11"/>
  <c r="A11" i="11"/>
  <c r="C11" i="11"/>
  <c r="D11" i="11"/>
  <c r="E11" i="11"/>
  <c r="F11" i="11"/>
  <c r="G11" i="11"/>
  <c r="H11" i="11"/>
  <c r="J11" i="11"/>
  <c r="L11" i="11"/>
  <c r="N11" i="11"/>
  <c r="P11" i="11"/>
  <c r="O11" i="11"/>
  <c r="R11" i="11"/>
  <c r="Q11" i="11" s="1"/>
  <c r="T11" i="11"/>
  <c r="S11" i="11"/>
  <c r="A12" i="11"/>
  <c r="C12" i="11"/>
  <c r="D12" i="11"/>
  <c r="E12" i="11"/>
  <c r="F12" i="11"/>
  <c r="G12" i="11"/>
  <c r="H12" i="11"/>
  <c r="J12" i="11"/>
  <c r="L12" i="11"/>
  <c r="N12" i="11"/>
  <c r="P12" i="11"/>
  <c r="O12" i="11" s="1"/>
  <c r="R12" i="11"/>
  <c r="Q12" i="11"/>
  <c r="T12" i="11"/>
  <c r="S12" i="11" s="1"/>
  <c r="A13" i="11"/>
  <c r="C13" i="11"/>
  <c r="D13" i="11"/>
  <c r="E13" i="11"/>
  <c r="F13" i="11"/>
  <c r="G13" i="11"/>
  <c r="H13" i="11"/>
  <c r="J13" i="11"/>
  <c r="L13" i="11"/>
  <c r="N13" i="11"/>
  <c r="P13" i="11"/>
  <c r="O13" i="11" s="1"/>
  <c r="R13" i="11"/>
  <c r="Q13" i="11"/>
  <c r="T13" i="11"/>
  <c r="S13" i="11" s="1"/>
  <c r="A14" i="11"/>
  <c r="B14" i="11"/>
  <c r="C14" i="11"/>
  <c r="D14" i="11"/>
  <c r="E14" i="11"/>
  <c r="F14" i="11"/>
  <c r="G14" i="11"/>
  <c r="H14" i="11"/>
  <c r="I14" i="11"/>
  <c r="J14" i="11"/>
  <c r="L14" i="11"/>
  <c r="K14" i="11" s="1"/>
  <c r="N14" i="11"/>
  <c r="M14" i="11"/>
  <c r="P14" i="11"/>
  <c r="O14" i="11" s="1"/>
  <c r="R14" i="11"/>
  <c r="Q14" i="11"/>
  <c r="T14" i="11"/>
  <c r="S14" i="11" s="1"/>
  <c r="A15" i="11"/>
  <c r="C15" i="11"/>
  <c r="D15" i="11"/>
  <c r="E15" i="11"/>
  <c r="F15" i="11"/>
  <c r="G15" i="11"/>
  <c r="H15" i="11"/>
  <c r="J15" i="11"/>
  <c r="L15" i="11"/>
  <c r="N15" i="11"/>
  <c r="P15" i="11"/>
  <c r="O15" i="11"/>
  <c r="R15" i="11"/>
  <c r="Q15" i="11" s="1"/>
  <c r="T15" i="11"/>
  <c r="S15" i="11"/>
  <c r="A16" i="11"/>
  <c r="C16" i="11"/>
  <c r="D16" i="11"/>
  <c r="E16" i="11"/>
  <c r="F16" i="11"/>
  <c r="G16" i="11"/>
  <c r="H16" i="11"/>
  <c r="J16" i="11"/>
  <c r="L16" i="11"/>
  <c r="N16" i="11"/>
  <c r="P16" i="11"/>
  <c r="O16" i="11"/>
  <c r="R16" i="11"/>
  <c r="Q16" i="11" s="1"/>
  <c r="T16" i="11"/>
  <c r="S16" i="11"/>
  <c r="A17" i="11"/>
  <c r="C17" i="11"/>
  <c r="D17" i="11"/>
  <c r="E17" i="11"/>
  <c r="F17" i="11"/>
  <c r="G17" i="11"/>
  <c r="H17" i="11"/>
  <c r="J17" i="11"/>
  <c r="L17" i="11"/>
  <c r="N17" i="11"/>
  <c r="P17" i="11"/>
  <c r="O17" i="11" s="1"/>
  <c r="R17" i="11"/>
  <c r="Q17" i="11"/>
  <c r="T17" i="11"/>
  <c r="S17" i="11" s="1"/>
  <c r="A18" i="11"/>
  <c r="C18" i="11"/>
  <c r="D18" i="11"/>
  <c r="E18" i="11"/>
  <c r="F18" i="11"/>
  <c r="G18" i="11"/>
  <c r="H18" i="11"/>
  <c r="J18" i="11"/>
  <c r="L18" i="11"/>
  <c r="N18" i="11"/>
  <c r="P18" i="11"/>
  <c r="O18" i="11" s="1"/>
  <c r="R18" i="11"/>
  <c r="Q18" i="11"/>
  <c r="T18" i="11"/>
  <c r="S18" i="11" s="1"/>
  <c r="A19" i="11"/>
  <c r="C19" i="11"/>
  <c r="D19" i="11"/>
  <c r="E19" i="11"/>
  <c r="F19" i="11"/>
  <c r="G19" i="11"/>
  <c r="H19" i="11"/>
  <c r="J19" i="11"/>
  <c r="L19" i="11"/>
  <c r="N19" i="11"/>
  <c r="P19" i="11"/>
  <c r="O19" i="11"/>
  <c r="R19" i="11"/>
  <c r="Q19" i="11" s="1"/>
  <c r="T19" i="11"/>
  <c r="S19" i="11"/>
  <c r="A20" i="11"/>
  <c r="B20" i="11"/>
  <c r="C20" i="11"/>
  <c r="D20" i="11"/>
  <c r="E20" i="11"/>
  <c r="F20" i="11"/>
  <c r="G20" i="11"/>
  <c r="H20" i="11"/>
  <c r="I20" i="11"/>
  <c r="J20" i="11"/>
  <c r="L20" i="11"/>
  <c r="K20" i="11"/>
  <c r="N20" i="11"/>
  <c r="M20" i="11" s="1"/>
  <c r="P20" i="11"/>
  <c r="O20" i="11"/>
  <c r="R20" i="11"/>
  <c r="Q20" i="11" s="1"/>
  <c r="T20" i="11"/>
  <c r="S20" i="11"/>
  <c r="A21" i="11"/>
  <c r="C21" i="11"/>
  <c r="D21" i="11"/>
  <c r="E21" i="11"/>
  <c r="F21" i="11"/>
  <c r="G21" i="11"/>
  <c r="H21" i="11"/>
  <c r="J21" i="11"/>
  <c r="L21" i="11"/>
  <c r="N21" i="11"/>
  <c r="P21" i="11"/>
  <c r="O21" i="11"/>
  <c r="R21" i="11"/>
  <c r="Q21" i="11" s="1"/>
  <c r="T21" i="11"/>
  <c r="S21" i="11"/>
  <c r="A22" i="11"/>
  <c r="C22" i="11"/>
  <c r="D22" i="11"/>
  <c r="E22" i="11"/>
  <c r="F22" i="11"/>
  <c r="G22" i="11"/>
  <c r="H22" i="11"/>
  <c r="J22" i="11"/>
  <c r="L22" i="11"/>
  <c r="N22" i="11"/>
  <c r="P22" i="11"/>
  <c r="O22" i="11" s="1"/>
  <c r="R22" i="11"/>
  <c r="Q22" i="11"/>
  <c r="T22" i="11"/>
  <c r="S22" i="11" s="1"/>
  <c r="A23" i="11"/>
  <c r="C23" i="11"/>
  <c r="D23" i="11"/>
  <c r="E23" i="11"/>
  <c r="F23" i="11"/>
  <c r="G23" i="11"/>
  <c r="H23" i="11"/>
  <c r="J23" i="11"/>
  <c r="L23" i="11"/>
  <c r="N23" i="11"/>
  <c r="P23" i="11"/>
  <c r="O23" i="11" s="1"/>
  <c r="R23" i="11"/>
  <c r="Q23" i="11"/>
  <c r="T23" i="11"/>
  <c r="S23" i="11" s="1"/>
  <c r="A24" i="11"/>
  <c r="C24" i="11"/>
  <c r="D24" i="11"/>
  <c r="E24" i="11"/>
  <c r="F24" i="11"/>
  <c r="G24" i="11"/>
  <c r="H24" i="11"/>
  <c r="J24" i="11"/>
  <c r="L24" i="11"/>
  <c r="N24" i="11"/>
  <c r="P24" i="11"/>
  <c r="O24" i="11"/>
  <c r="R24" i="11"/>
  <c r="Q24" i="11" s="1"/>
  <c r="T24" i="11"/>
  <c r="S24" i="11"/>
  <c r="A25" i="11"/>
  <c r="C25" i="11"/>
  <c r="D25" i="11"/>
  <c r="E25" i="11"/>
  <c r="F25" i="11"/>
  <c r="G25" i="11"/>
  <c r="H25" i="11"/>
  <c r="J25" i="11"/>
  <c r="L25" i="11"/>
  <c r="N25" i="11"/>
  <c r="P25" i="11"/>
  <c r="O25" i="11"/>
  <c r="R25" i="11"/>
  <c r="Q25" i="11" s="1"/>
  <c r="T25" i="11"/>
  <c r="S25" i="11"/>
  <c r="A26" i="11"/>
  <c r="B26" i="11"/>
  <c r="C26" i="11"/>
  <c r="D26" i="11"/>
  <c r="E26" i="11"/>
  <c r="F26" i="11"/>
  <c r="G26" i="11"/>
  <c r="H26" i="11"/>
  <c r="I26" i="11"/>
  <c r="J26" i="11"/>
  <c r="L26" i="11"/>
  <c r="K26" i="11"/>
  <c r="N26" i="11"/>
  <c r="M26" i="11" s="1"/>
  <c r="P26" i="11"/>
  <c r="O26" i="11"/>
  <c r="R26" i="11"/>
  <c r="Q26" i="11" s="1"/>
  <c r="T26" i="11"/>
  <c r="S26" i="11"/>
  <c r="A27" i="11"/>
  <c r="C27" i="11"/>
  <c r="D27" i="11"/>
  <c r="E27" i="11"/>
  <c r="F27" i="11"/>
  <c r="G27" i="11"/>
  <c r="H27" i="11"/>
  <c r="J27" i="11"/>
  <c r="L27" i="11"/>
  <c r="N27" i="11"/>
  <c r="P27" i="11"/>
  <c r="O27" i="11" s="1"/>
  <c r="R27" i="11"/>
  <c r="Q27" i="11"/>
  <c r="T27" i="11"/>
  <c r="S27" i="11" s="1"/>
  <c r="A28" i="11"/>
  <c r="C28" i="11"/>
  <c r="D28" i="11"/>
  <c r="E28" i="11"/>
  <c r="F28" i="11"/>
  <c r="G28" i="11"/>
  <c r="H28" i="11"/>
  <c r="J28" i="11"/>
  <c r="L28" i="11"/>
  <c r="N28" i="11"/>
  <c r="P28" i="11"/>
  <c r="O28" i="11" s="1"/>
  <c r="R28" i="11"/>
  <c r="Q28" i="11"/>
  <c r="T28" i="11"/>
  <c r="S28" i="11" s="1"/>
  <c r="A29" i="11"/>
  <c r="C29" i="11"/>
  <c r="D29" i="11"/>
  <c r="E29" i="11"/>
  <c r="F29" i="11"/>
  <c r="G29" i="11"/>
  <c r="H29" i="11"/>
  <c r="J29" i="11"/>
  <c r="L29" i="11"/>
  <c r="N29" i="11"/>
  <c r="P29" i="11"/>
  <c r="O29" i="11"/>
  <c r="R29" i="11"/>
  <c r="Q29" i="11" s="1"/>
  <c r="T29" i="11"/>
  <c r="S29" i="11"/>
  <c r="A30" i="11"/>
  <c r="C30" i="11"/>
  <c r="D30" i="11"/>
  <c r="E30" i="11"/>
  <c r="F30" i="11"/>
  <c r="G30" i="11"/>
  <c r="H30" i="11"/>
  <c r="J30" i="11"/>
  <c r="L30" i="11"/>
  <c r="N30" i="11"/>
  <c r="P30" i="11"/>
  <c r="O30" i="11"/>
  <c r="R30" i="11"/>
  <c r="Q30" i="11" s="1"/>
  <c r="T30" i="11"/>
  <c r="S30" i="11"/>
  <c r="A31" i="11"/>
  <c r="C31" i="11"/>
  <c r="D31" i="11"/>
  <c r="E31" i="11"/>
  <c r="F31" i="11"/>
  <c r="G31" i="11"/>
  <c r="H31" i="11"/>
  <c r="J31" i="11"/>
  <c r="L31" i="11"/>
  <c r="N31" i="11"/>
  <c r="P31" i="11"/>
  <c r="O31" i="11" s="1"/>
  <c r="R31" i="11"/>
  <c r="Q31" i="11"/>
  <c r="T31" i="11"/>
  <c r="S31" i="11" s="1"/>
  <c r="A32" i="11"/>
  <c r="B32" i="11"/>
  <c r="C32" i="11"/>
  <c r="D32" i="11"/>
  <c r="E32" i="11"/>
  <c r="F32" i="11"/>
  <c r="G32" i="11"/>
  <c r="H32" i="11"/>
  <c r="I32" i="11"/>
  <c r="J32" i="11"/>
  <c r="L32" i="11"/>
  <c r="K32" i="11" s="1"/>
  <c r="N32" i="11"/>
  <c r="M32" i="11"/>
  <c r="P32" i="11"/>
  <c r="O32" i="11" s="1"/>
  <c r="R32" i="11"/>
  <c r="Q32" i="11"/>
  <c r="T32" i="11"/>
  <c r="S32" i="11" s="1"/>
  <c r="A33" i="11"/>
  <c r="C33" i="11"/>
  <c r="D33" i="11"/>
  <c r="E33" i="11"/>
  <c r="F33" i="11"/>
  <c r="G33" i="11"/>
  <c r="H33" i="11"/>
  <c r="J33" i="11"/>
  <c r="L33" i="11"/>
  <c r="N33" i="11"/>
  <c r="P33" i="11"/>
  <c r="R33" i="11"/>
  <c r="Q33" i="11"/>
  <c r="T33" i="11"/>
  <c r="S33" i="11" s="1"/>
  <c r="A34" i="11"/>
  <c r="C34" i="11"/>
  <c r="D34" i="11"/>
  <c r="E34" i="11"/>
  <c r="F34" i="11"/>
  <c r="G34" i="11"/>
  <c r="H34" i="11"/>
  <c r="J34" i="11"/>
  <c r="L34" i="11"/>
  <c r="N34" i="11"/>
  <c r="M34" i="11" s="1"/>
  <c r="P34" i="11"/>
  <c r="R34" i="11"/>
  <c r="Q34" i="11"/>
  <c r="T34" i="11"/>
  <c r="S34" i="11" s="1"/>
  <c r="A35" i="11"/>
  <c r="C35" i="11"/>
  <c r="D35" i="11"/>
  <c r="E35" i="11"/>
  <c r="F35" i="11"/>
  <c r="G35" i="11"/>
  <c r="H35" i="11"/>
  <c r="J35" i="11"/>
  <c r="L35" i="11"/>
  <c r="N35" i="11"/>
  <c r="P35" i="11"/>
  <c r="R35" i="11"/>
  <c r="Q35" i="11"/>
  <c r="T35" i="11"/>
  <c r="S35" i="11" s="1"/>
  <c r="A36" i="11"/>
  <c r="C36" i="11"/>
  <c r="D36" i="11"/>
  <c r="E36" i="11"/>
  <c r="F36" i="11"/>
  <c r="G36" i="11"/>
  <c r="H36" i="11"/>
  <c r="J36" i="11"/>
  <c r="L36" i="11"/>
  <c r="K36" i="11" s="1"/>
  <c r="N36" i="11"/>
  <c r="P36" i="11"/>
  <c r="R36" i="11"/>
  <c r="Q36" i="11" s="1"/>
  <c r="T36" i="11"/>
  <c r="S36" i="11"/>
  <c r="A37" i="11"/>
  <c r="B37" i="11"/>
  <c r="C37" i="11"/>
  <c r="D37" i="11"/>
  <c r="E37" i="11"/>
  <c r="F37" i="11"/>
  <c r="G37" i="11"/>
  <c r="H37" i="11"/>
  <c r="I37" i="11"/>
  <c r="J37" i="11"/>
  <c r="L37" i="11"/>
  <c r="K37" i="11"/>
  <c r="N37" i="11"/>
  <c r="M37" i="11" s="1"/>
  <c r="P37" i="11"/>
  <c r="O37" i="11"/>
  <c r="R37" i="11"/>
  <c r="Q37" i="11" s="1"/>
  <c r="T37" i="11"/>
  <c r="S37" i="11"/>
  <c r="A38" i="11"/>
  <c r="C38" i="11"/>
  <c r="D38" i="11"/>
  <c r="E38" i="11"/>
  <c r="F38" i="11"/>
  <c r="G38" i="11"/>
  <c r="H38" i="11"/>
  <c r="J38" i="11"/>
  <c r="L38" i="11"/>
  <c r="N38" i="11"/>
  <c r="P38" i="11"/>
  <c r="R38" i="11"/>
  <c r="Q38" i="11" s="1"/>
  <c r="T38" i="11"/>
  <c r="S38" i="11"/>
  <c r="A39" i="11"/>
  <c r="C39" i="11"/>
  <c r="D39" i="11"/>
  <c r="E39" i="11"/>
  <c r="F39" i="11"/>
  <c r="G39" i="11"/>
  <c r="H39" i="11"/>
  <c r="J39" i="11"/>
  <c r="L39" i="11"/>
  <c r="N39" i="11"/>
  <c r="M39" i="11"/>
  <c r="P39" i="11"/>
  <c r="R39" i="11"/>
  <c r="Q39" i="11" s="1"/>
  <c r="T39" i="11"/>
  <c r="S39" i="11"/>
  <c r="A40" i="11"/>
  <c r="C40" i="11"/>
  <c r="D40" i="11"/>
  <c r="E40" i="11"/>
  <c r="F40" i="11"/>
  <c r="G40" i="11"/>
  <c r="H40" i="11"/>
  <c r="I40" i="11"/>
  <c r="J40" i="11"/>
  <c r="L40" i="11"/>
  <c r="N40" i="11"/>
  <c r="P40" i="11"/>
  <c r="R40" i="11"/>
  <c r="Q40" i="11" s="1"/>
  <c r="T40" i="11"/>
  <c r="S40" i="11"/>
  <c r="A41" i="11"/>
  <c r="C41" i="11"/>
  <c r="D41" i="11"/>
  <c r="E41" i="11"/>
  <c r="F41" i="11"/>
  <c r="G41" i="11"/>
  <c r="H41" i="11"/>
  <c r="J41" i="11"/>
  <c r="L41" i="11"/>
  <c r="K41" i="11"/>
  <c r="N41" i="11"/>
  <c r="P41" i="11"/>
  <c r="R41" i="11"/>
  <c r="Q41" i="11"/>
  <c r="T41" i="11"/>
  <c r="S41" i="11" s="1"/>
  <c r="A42" i="11"/>
  <c r="B42" i="11"/>
  <c r="C42" i="11"/>
  <c r="D42" i="11"/>
  <c r="E42" i="11"/>
  <c r="F42" i="11"/>
  <c r="G42" i="11"/>
  <c r="H42" i="11"/>
  <c r="I42" i="11"/>
  <c r="J42" i="11"/>
  <c r="L42" i="11"/>
  <c r="K42" i="11" s="1"/>
  <c r="N42" i="11"/>
  <c r="M42" i="11"/>
  <c r="P42" i="11"/>
  <c r="O42" i="11" s="1"/>
  <c r="R42" i="11"/>
  <c r="Q42" i="11"/>
  <c r="T42" i="11"/>
  <c r="S42" i="11" s="1"/>
  <c r="A43" i="11"/>
  <c r="C43" i="11"/>
  <c r="D43" i="11"/>
  <c r="E43" i="11"/>
  <c r="F43" i="11"/>
  <c r="G43" i="11"/>
  <c r="H43" i="11"/>
  <c r="J43" i="11"/>
  <c r="L43" i="11"/>
  <c r="N43" i="11"/>
  <c r="P43" i="11"/>
  <c r="R43" i="11"/>
  <c r="Q43" i="11"/>
  <c r="T43" i="11"/>
  <c r="S43" i="11" s="1"/>
  <c r="A44" i="11"/>
  <c r="C44" i="11"/>
  <c r="D44" i="11"/>
  <c r="E44" i="11"/>
  <c r="F44" i="11"/>
  <c r="G44" i="11"/>
  <c r="H44" i="11"/>
  <c r="J44" i="11"/>
  <c r="L44" i="11"/>
  <c r="N44" i="11"/>
  <c r="M44" i="11" s="1"/>
  <c r="P44" i="11"/>
  <c r="R44" i="11"/>
  <c r="Q44" i="11"/>
  <c r="T44" i="11"/>
  <c r="S44" i="11" s="1"/>
  <c r="A2" i="10"/>
  <c r="B2" i="10"/>
  <c r="K11" i="11" s="1"/>
  <c r="D2" i="10"/>
  <c r="E2" i="10"/>
  <c r="F2" i="10"/>
  <c r="G2" i="10"/>
  <c r="H2" i="10"/>
  <c r="I2" i="10"/>
  <c r="J2" i="10"/>
  <c r="K2" i="10"/>
  <c r="L2" i="10"/>
  <c r="M2" i="10"/>
  <c r="N2" i="10"/>
  <c r="O2" i="10"/>
  <c r="P2" i="10"/>
  <c r="Q2" i="10"/>
  <c r="R2" i="10"/>
  <c r="S2" i="10"/>
  <c r="T2" i="10"/>
  <c r="U2" i="10"/>
  <c r="V2" i="10"/>
  <c r="W2" i="10"/>
  <c r="AB2" i="10"/>
  <c r="AC2" i="10"/>
  <c r="AD2" i="10"/>
  <c r="A3" i="10"/>
  <c r="B3" i="10"/>
  <c r="D3" i="10"/>
  <c r="E3" i="10"/>
  <c r="F3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AB3" i="10"/>
  <c r="AC3" i="10"/>
  <c r="AD3" i="10"/>
  <c r="A4" i="10"/>
  <c r="B4" i="10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AB4" i="10"/>
  <c r="AC4" i="10"/>
  <c r="AD4" i="10"/>
  <c r="A5" i="10"/>
  <c r="B5" i="10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AB5" i="10"/>
  <c r="AC5" i="10"/>
  <c r="AD5" i="10"/>
  <c r="A6" i="10"/>
  <c r="B6" i="10"/>
  <c r="D6" i="10"/>
  <c r="E6" i="10"/>
  <c r="F6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AB6" i="10"/>
  <c r="AC6" i="10"/>
  <c r="AD6" i="10"/>
  <c r="A7" i="10"/>
  <c r="B7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AB7" i="10"/>
  <c r="AC7" i="10"/>
  <c r="AD7" i="10"/>
  <c r="A8" i="10"/>
  <c r="B8" i="10"/>
  <c r="D8" i="10"/>
  <c r="E8" i="10"/>
  <c r="F8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AB8" i="10"/>
  <c r="AC8" i="10"/>
  <c r="AD8" i="10"/>
  <c r="A9" i="10"/>
  <c r="B9" i="10"/>
  <c r="D9" i="10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AB9" i="10"/>
  <c r="AC9" i="10"/>
  <c r="AD9" i="10"/>
  <c r="A10" i="10"/>
  <c r="B10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AB10" i="10"/>
  <c r="AC10" i="10"/>
  <c r="AD10" i="10"/>
  <c r="A11" i="10"/>
  <c r="B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AB11" i="10"/>
  <c r="AC11" i="10"/>
  <c r="AD11" i="10"/>
  <c r="A12" i="10"/>
  <c r="B12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AB12" i="10"/>
  <c r="AC12" i="10"/>
  <c r="AD12" i="10"/>
  <c r="A13" i="10"/>
  <c r="B13" i="10"/>
  <c r="D13" i="10"/>
  <c r="E13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AB13" i="10"/>
  <c r="AC13" i="10"/>
  <c r="AD13" i="10"/>
  <c r="A14" i="10"/>
  <c r="B14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AB14" i="10"/>
  <c r="AC14" i="10"/>
  <c r="AD14" i="10"/>
  <c r="A15" i="10"/>
  <c r="B15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AB15" i="10"/>
  <c r="AC15" i="10"/>
  <c r="AD15" i="10"/>
  <c r="A16" i="10"/>
  <c r="B16" i="10"/>
  <c r="D16" i="10"/>
  <c r="E16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AB16" i="10"/>
  <c r="AC16" i="10"/>
  <c r="AD16" i="10"/>
  <c r="A17" i="10"/>
  <c r="B17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AB17" i="10"/>
  <c r="AC17" i="10"/>
  <c r="AD17" i="10"/>
  <c r="A18" i="10"/>
  <c r="B18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AB18" i="10"/>
  <c r="AC18" i="10"/>
  <c r="AD18" i="10"/>
  <c r="A19" i="10"/>
  <c r="B19" i="10"/>
  <c r="D19" i="10"/>
  <c r="E19" i="10"/>
  <c r="F19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AB19" i="10"/>
  <c r="AC19" i="10"/>
  <c r="AD19" i="10"/>
  <c r="A20" i="10"/>
  <c r="B20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AB20" i="10"/>
  <c r="AC20" i="10"/>
  <c r="AD20" i="10"/>
  <c r="A21" i="10"/>
  <c r="B21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AB21" i="10"/>
  <c r="AC21" i="10"/>
  <c r="AD21" i="10"/>
  <c r="A22" i="10"/>
  <c r="B22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AB22" i="10"/>
  <c r="AC22" i="10"/>
  <c r="AD22" i="10"/>
  <c r="A23" i="10"/>
  <c r="B23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AB23" i="10"/>
  <c r="AC23" i="10"/>
  <c r="AD23" i="10"/>
  <c r="A24" i="10"/>
  <c r="B24" i="10"/>
  <c r="D24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AB24" i="10"/>
  <c r="AC24" i="10"/>
  <c r="AD24" i="10"/>
  <c r="A25" i="10"/>
  <c r="B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AB25" i="10"/>
  <c r="AC25" i="10"/>
  <c r="AD25" i="10"/>
  <c r="A26" i="10"/>
  <c r="B26" i="10"/>
  <c r="D26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AB26" i="10"/>
  <c r="AC26" i="10"/>
  <c r="AD26" i="10"/>
  <c r="A27" i="10"/>
  <c r="B27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AB27" i="10"/>
  <c r="AC27" i="10"/>
  <c r="AD27" i="10"/>
  <c r="A28" i="10"/>
  <c r="B28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AB28" i="10"/>
  <c r="AC28" i="10"/>
  <c r="AD28" i="10"/>
  <c r="A29" i="10"/>
  <c r="B29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AB29" i="10"/>
  <c r="AC29" i="10"/>
  <c r="AD29" i="10"/>
  <c r="A30" i="10"/>
  <c r="B30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AB30" i="10"/>
  <c r="AC30" i="10"/>
  <c r="AD30" i="10"/>
  <c r="A31" i="10"/>
  <c r="B31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AB31" i="10"/>
  <c r="AC31" i="10"/>
  <c r="AD31" i="10"/>
  <c r="A32" i="10"/>
  <c r="B32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AB32" i="10"/>
  <c r="AC32" i="10"/>
  <c r="AD32" i="10"/>
  <c r="A33" i="10"/>
  <c r="B33" i="10"/>
  <c r="D33" i="10"/>
  <c r="E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AB33" i="10"/>
  <c r="AC33" i="10"/>
  <c r="AD33" i="10"/>
  <c r="A34" i="10"/>
  <c r="B34" i="10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AB34" i="10"/>
  <c r="AC34" i="10"/>
  <c r="AD34" i="10"/>
  <c r="A35" i="10"/>
  <c r="B35" i="10"/>
  <c r="D35" i="10"/>
  <c r="E35" i="10"/>
  <c r="F35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AB35" i="10"/>
  <c r="AC35" i="10"/>
  <c r="AD35" i="10"/>
  <c r="A36" i="10"/>
  <c r="B36" i="10"/>
  <c r="D36" i="10"/>
  <c r="E36" i="10"/>
  <c r="F36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AB36" i="10"/>
  <c r="AC36" i="10"/>
  <c r="AD36" i="10"/>
  <c r="A37" i="10"/>
  <c r="B37" i="10"/>
  <c r="D37" i="10"/>
  <c r="E37" i="10"/>
  <c r="F37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AB37" i="10"/>
  <c r="AC37" i="10"/>
  <c r="AD37" i="10"/>
  <c r="A38" i="10"/>
  <c r="B38" i="10"/>
  <c r="D38" i="10"/>
  <c r="E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AB38" i="10"/>
  <c r="AC38" i="10"/>
  <c r="AD38" i="10"/>
  <c r="A39" i="10"/>
  <c r="B39" i="10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AB39" i="10"/>
  <c r="AC39" i="10"/>
  <c r="AD39" i="10"/>
  <c r="A40" i="10"/>
  <c r="B40" i="10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AB40" i="10"/>
  <c r="AC40" i="10"/>
  <c r="AD40" i="10"/>
  <c r="A41" i="10"/>
  <c r="B41" i="10"/>
  <c r="D41" i="10"/>
  <c r="E41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AB41" i="10"/>
  <c r="AC41" i="10"/>
  <c r="AD41" i="10"/>
  <c r="A42" i="10"/>
  <c r="B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AB42" i="10"/>
  <c r="AC42" i="10"/>
  <c r="AD42" i="10"/>
  <c r="A43" i="10"/>
  <c r="B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AB43" i="10"/>
  <c r="AC43" i="10"/>
  <c r="AD43" i="10"/>
  <c r="A44" i="10"/>
  <c r="B44" i="10"/>
  <c r="D44" i="10"/>
  <c r="E44" i="10"/>
  <c r="F44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AB44" i="10"/>
  <c r="AC44" i="10"/>
  <c r="AD44" i="10"/>
  <c r="A45" i="10"/>
  <c r="B45" i="10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AB45" i="10"/>
  <c r="AC45" i="10"/>
  <c r="AD45" i="10"/>
  <c r="A46" i="10"/>
  <c r="B46" i="10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AB46" i="10"/>
  <c r="AC46" i="10"/>
  <c r="AD46" i="10"/>
  <c r="A47" i="10"/>
  <c r="B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AB47" i="10"/>
  <c r="AC47" i="10"/>
  <c r="AD47" i="10"/>
  <c r="A48" i="10"/>
  <c r="B48" i="10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AB48" i="10"/>
  <c r="AC48" i="10"/>
  <c r="AD48" i="10"/>
  <c r="A49" i="10"/>
  <c r="B49" i="10"/>
  <c r="D49" i="10"/>
  <c r="E49" i="10"/>
  <c r="F49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AB49" i="10"/>
  <c r="AC49" i="10"/>
  <c r="AD49" i="10"/>
  <c r="A50" i="10"/>
  <c r="B50" i="10"/>
  <c r="D50" i="10"/>
  <c r="E50" i="10"/>
  <c r="F50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AB50" i="10"/>
  <c r="AC50" i="10"/>
  <c r="AD50" i="10"/>
  <c r="A51" i="10"/>
  <c r="B51" i="10"/>
  <c r="D51" i="10"/>
  <c r="E51" i="10"/>
  <c r="F51" i="10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AB51" i="10"/>
  <c r="AC51" i="10"/>
  <c r="AD51" i="10"/>
  <c r="A52" i="10"/>
  <c r="B52" i="10"/>
  <c r="D52" i="10"/>
  <c r="E52" i="10"/>
  <c r="F52" i="10"/>
  <c r="G52" i="10"/>
  <c r="H52" i="10"/>
  <c r="I52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AB52" i="10"/>
  <c r="AC52" i="10"/>
  <c r="AD52" i="10"/>
  <c r="A53" i="10"/>
  <c r="B53" i="10"/>
  <c r="D53" i="10"/>
  <c r="E53" i="10"/>
  <c r="F53" i="10"/>
  <c r="G53" i="10"/>
  <c r="H53" i="10"/>
  <c r="I53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AB53" i="10"/>
  <c r="AC53" i="10"/>
  <c r="AD53" i="10"/>
  <c r="A54" i="10"/>
  <c r="B54" i="10"/>
  <c r="D54" i="10"/>
  <c r="E54" i="10"/>
  <c r="F54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AB54" i="10"/>
  <c r="AC54" i="10"/>
  <c r="AD54" i="10"/>
  <c r="A55" i="10"/>
  <c r="B55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AB55" i="10"/>
  <c r="AC55" i="10"/>
  <c r="AD55" i="10"/>
  <c r="A56" i="10"/>
  <c r="B56" i="10"/>
  <c r="D56" i="10"/>
  <c r="E56" i="10"/>
  <c r="F56" i="10"/>
  <c r="G56" i="10"/>
  <c r="H56" i="10"/>
  <c r="I56" i="10"/>
  <c r="J56" i="10"/>
  <c r="K56" i="10"/>
  <c r="L56" i="10"/>
  <c r="M56" i="10"/>
  <c r="N56" i="10"/>
  <c r="O56" i="10"/>
  <c r="P56" i="10"/>
  <c r="Q56" i="10"/>
  <c r="R56" i="10"/>
  <c r="S56" i="10"/>
  <c r="T56" i="10"/>
  <c r="U56" i="10"/>
  <c r="V56" i="10"/>
  <c r="W56" i="10"/>
  <c r="AB56" i="10"/>
  <c r="AC56" i="10"/>
  <c r="AD56" i="10"/>
  <c r="A57" i="10"/>
  <c r="B57" i="10"/>
  <c r="D57" i="10"/>
  <c r="E57" i="10"/>
  <c r="F57" i="10"/>
  <c r="G57" i="10"/>
  <c r="H57" i="10"/>
  <c r="I57" i="10"/>
  <c r="J57" i="10"/>
  <c r="K57" i="10"/>
  <c r="L57" i="10"/>
  <c r="M57" i="10"/>
  <c r="N57" i="10"/>
  <c r="O57" i="10"/>
  <c r="P57" i="10"/>
  <c r="Q57" i="10"/>
  <c r="R57" i="10"/>
  <c r="S57" i="10"/>
  <c r="T57" i="10"/>
  <c r="U57" i="10"/>
  <c r="V57" i="10"/>
  <c r="W57" i="10"/>
  <c r="AB57" i="10"/>
  <c r="AC57" i="10"/>
  <c r="AD57" i="10"/>
  <c r="A58" i="10"/>
  <c r="B58" i="10"/>
  <c r="D58" i="10"/>
  <c r="E58" i="10"/>
  <c r="F58" i="10"/>
  <c r="G58" i="10"/>
  <c r="H58" i="10"/>
  <c r="I58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AB58" i="10"/>
  <c r="AC58" i="10"/>
  <c r="AD58" i="10"/>
  <c r="A59" i="10"/>
  <c r="B59" i="10"/>
  <c r="D59" i="10"/>
  <c r="E59" i="10"/>
  <c r="F59" i="10"/>
  <c r="G59" i="10"/>
  <c r="H59" i="10"/>
  <c r="I59" i="10"/>
  <c r="J59" i="10"/>
  <c r="K59" i="10"/>
  <c r="L59" i="10"/>
  <c r="M59" i="10"/>
  <c r="N59" i="10"/>
  <c r="O59" i="10"/>
  <c r="P59" i="10"/>
  <c r="Q59" i="10"/>
  <c r="R59" i="10"/>
  <c r="S59" i="10"/>
  <c r="T59" i="10"/>
  <c r="U59" i="10"/>
  <c r="V59" i="10"/>
  <c r="W59" i="10"/>
  <c r="AB59" i="10"/>
  <c r="AC59" i="10"/>
  <c r="AD59" i="10"/>
  <c r="A60" i="10"/>
  <c r="B60" i="10"/>
  <c r="D60" i="10"/>
  <c r="E60" i="10"/>
  <c r="F60" i="10"/>
  <c r="G60" i="10"/>
  <c r="H60" i="10"/>
  <c r="I60" i="10"/>
  <c r="J60" i="10"/>
  <c r="K60" i="10"/>
  <c r="L60" i="10"/>
  <c r="M60" i="10"/>
  <c r="N60" i="10"/>
  <c r="O60" i="10"/>
  <c r="P60" i="10"/>
  <c r="Q60" i="10"/>
  <c r="R60" i="10"/>
  <c r="S60" i="10"/>
  <c r="T60" i="10"/>
  <c r="U60" i="10"/>
  <c r="V60" i="10"/>
  <c r="W60" i="10"/>
  <c r="AB60" i="10"/>
  <c r="AC60" i="10"/>
  <c r="AD60" i="10"/>
  <c r="A61" i="10"/>
  <c r="B61" i="10"/>
  <c r="D61" i="10"/>
  <c r="E61" i="10"/>
  <c r="F61" i="10"/>
  <c r="G61" i="10"/>
  <c r="H61" i="10"/>
  <c r="I61" i="10"/>
  <c r="J61" i="10"/>
  <c r="K61" i="10"/>
  <c r="L61" i="10"/>
  <c r="M61" i="10"/>
  <c r="N61" i="10"/>
  <c r="O61" i="10"/>
  <c r="P61" i="10"/>
  <c r="Q61" i="10"/>
  <c r="R61" i="10"/>
  <c r="S61" i="10"/>
  <c r="T61" i="10"/>
  <c r="U61" i="10"/>
  <c r="V61" i="10"/>
  <c r="W61" i="10"/>
  <c r="AB61" i="10"/>
  <c r="AC61" i="10"/>
  <c r="AD61" i="10"/>
  <c r="A62" i="10"/>
  <c r="B62" i="10"/>
  <c r="D62" i="10"/>
  <c r="E62" i="10"/>
  <c r="F62" i="10"/>
  <c r="G62" i="10"/>
  <c r="H62" i="10"/>
  <c r="I62" i="10"/>
  <c r="J62" i="10"/>
  <c r="K62" i="10"/>
  <c r="L62" i="10"/>
  <c r="M62" i="10"/>
  <c r="N62" i="10"/>
  <c r="O62" i="10"/>
  <c r="P62" i="10"/>
  <c r="Q62" i="10"/>
  <c r="R62" i="10"/>
  <c r="S62" i="10"/>
  <c r="T62" i="10"/>
  <c r="U62" i="10"/>
  <c r="V62" i="10"/>
  <c r="W62" i="10"/>
  <c r="AB62" i="10"/>
  <c r="AC62" i="10"/>
  <c r="AD62" i="10"/>
  <c r="A63" i="10"/>
  <c r="B63" i="10"/>
  <c r="D63" i="10"/>
  <c r="E63" i="10"/>
  <c r="F63" i="10"/>
  <c r="G63" i="10"/>
  <c r="H63" i="10"/>
  <c r="I63" i="10"/>
  <c r="J63" i="10"/>
  <c r="K63" i="10"/>
  <c r="L63" i="10"/>
  <c r="M63" i="10"/>
  <c r="N63" i="10"/>
  <c r="O63" i="10"/>
  <c r="P63" i="10"/>
  <c r="Q63" i="10"/>
  <c r="R63" i="10"/>
  <c r="S63" i="10"/>
  <c r="T63" i="10"/>
  <c r="U63" i="10"/>
  <c r="V63" i="10"/>
  <c r="W63" i="10"/>
  <c r="AB63" i="10"/>
  <c r="AC63" i="10"/>
  <c r="AD63" i="10"/>
  <c r="A64" i="10"/>
  <c r="B64" i="10"/>
  <c r="D64" i="10"/>
  <c r="E64" i="10"/>
  <c r="F64" i="10"/>
  <c r="G64" i="10"/>
  <c r="H64" i="10"/>
  <c r="I64" i="10"/>
  <c r="J64" i="10"/>
  <c r="K64" i="10"/>
  <c r="L64" i="10"/>
  <c r="M64" i="10"/>
  <c r="N64" i="10"/>
  <c r="O64" i="10"/>
  <c r="P64" i="10"/>
  <c r="Q64" i="10"/>
  <c r="R64" i="10"/>
  <c r="S64" i="10"/>
  <c r="T64" i="10"/>
  <c r="U64" i="10"/>
  <c r="V64" i="10"/>
  <c r="W64" i="10"/>
  <c r="AB64" i="10"/>
  <c r="AC64" i="10"/>
  <c r="AD64" i="10"/>
  <c r="A65" i="10"/>
  <c r="B65" i="10"/>
  <c r="D65" i="10"/>
  <c r="E65" i="10"/>
  <c r="F65" i="10"/>
  <c r="G65" i="10"/>
  <c r="H65" i="10"/>
  <c r="I65" i="10"/>
  <c r="J65" i="10"/>
  <c r="K65" i="10"/>
  <c r="L65" i="10"/>
  <c r="M65" i="10"/>
  <c r="N65" i="10"/>
  <c r="O65" i="10"/>
  <c r="P65" i="10"/>
  <c r="Q65" i="10"/>
  <c r="R65" i="10"/>
  <c r="S65" i="10"/>
  <c r="T65" i="10"/>
  <c r="U65" i="10"/>
  <c r="V65" i="10"/>
  <c r="W65" i="10"/>
  <c r="AB65" i="10"/>
  <c r="AC65" i="10"/>
  <c r="AD65" i="10"/>
  <c r="A66" i="10"/>
  <c r="B66" i="10"/>
  <c r="D66" i="10"/>
  <c r="E66" i="10"/>
  <c r="F66" i="10"/>
  <c r="G66" i="10"/>
  <c r="H66" i="10"/>
  <c r="I66" i="10"/>
  <c r="J66" i="10"/>
  <c r="K66" i="10"/>
  <c r="L66" i="10"/>
  <c r="M66" i="10"/>
  <c r="N66" i="10"/>
  <c r="O66" i="10"/>
  <c r="P66" i="10"/>
  <c r="Q66" i="10"/>
  <c r="R66" i="10"/>
  <c r="S66" i="10"/>
  <c r="T66" i="10"/>
  <c r="U66" i="10"/>
  <c r="V66" i="10"/>
  <c r="W66" i="10"/>
  <c r="AB66" i="10"/>
  <c r="AC66" i="10"/>
  <c r="AD66" i="10"/>
  <c r="A67" i="10"/>
  <c r="B67" i="10"/>
  <c r="D67" i="10"/>
  <c r="E67" i="10"/>
  <c r="F67" i="10"/>
  <c r="G67" i="10"/>
  <c r="H67" i="10"/>
  <c r="I67" i="10"/>
  <c r="J67" i="10"/>
  <c r="K67" i="10"/>
  <c r="L67" i="10"/>
  <c r="M67" i="10"/>
  <c r="N67" i="10"/>
  <c r="O67" i="10"/>
  <c r="P67" i="10"/>
  <c r="Q67" i="10"/>
  <c r="R67" i="10"/>
  <c r="S67" i="10"/>
  <c r="T67" i="10"/>
  <c r="U67" i="10"/>
  <c r="V67" i="10"/>
  <c r="W67" i="10"/>
  <c r="AB67" i="10"/>
  <c r="AC67" i="10"/>
  <c r="AD67" i="10"/>
  <c r="A68" i="10"/>
  <c r="B68" i="10"/>
  <c r="D68" i="10"/>
  <c r="E68" i="10"/>
  <c r="F68" i="10"/>
  <c r="G68" i="10"/>
  <c r="H68" i="10"/>
  <c r="I68" i="10"/>
  <c r="J68" i="10"/>
  <c r="K68" i="10"/>
  <c r="L68" i="10"/>
  <c r="M68" i="10"/>
  <c r="N68" i="10"/>
  <c r="O68" i="10"/>
  <c r="P68" i="10"/>
  <c r="Q68" i="10"/>
  <c r="R68" i="10"/>
  <c r="S68" i="10"/>
  <c r="T68" i="10"/>
  <c r="U68" i="10"/>
  <c r="V68" i="10"/>
  <c r="W68" i="10"/>
  <c r="AB68" i="10"/>
  <c r="AC68" i="10"/>
  <c r="AD68" i="10"/>
  <c r="A69" i="10"/>
  <c r="B69" i="10"/>
  <c r="D69" i="10"/>
  <c r="E69" i="10"/>
  <c r="F69" i="10"/>
  <c r="G69" i="10"/>
  <c r="H69" i="10"/>
  <c r="I69" i="10"/>
  <c r="J69" i="10"/>
  <c r="K69" i="10"/>
  <c r="L69" i="10"/>
  <c r="M69" i="10"/>
  <c r="N69" i="10"/>
  <c r="O69" i="10"/>
  <c r="P69" i="10"/>
  <c r="Q69" i="10"/>
  <c r="R69" i="10"/>
  <c r="S69" i="10"/>
  <c r="T69" i="10"/>
  <c r="U69" i="10"/>
  <c r="V69" i="10"/>
  <c r="W69" i="10"/>
  <c r="AB69" i="10"/>
  <c r="AC69" i="10"/>
  <c r="AD69" i="10"/>
  <c r="A70" i="10"/>
  <c r="B70" i="10"/>
  <c r="D70" i="10"/>
  <c r="E70" i="10"/>
  <c r="F70" i="10"/>
  <c r="G70" i="10"/>
  <c r="H70" i="10"/>
  <c r="I70" i="10"/>
  <c r="J70" i="10"/>
  <c r="K70" i="10"/>
  <c r="L70" i="10"/>
  <c r="M70" i="10"/>
  <c r="N70" i="10"/>
  <c r="O70" i="10"/>
  <c r="P70" i="10"/>
  <c r="Q70" i="10"/>
  <c r="R70" i="10"/>
  <c r="S70" i="10"/>
  <c r="T70" i="10"/>
  <c r="U70" i="10"/>
  <c r="V70" i="10"/>
  <c r="W70" i="10"/>
  <c r="AB70" i="10"/>
  <c r="AC70" i="10"/>
  <c r="AD70" i="10"/>
  <c r="A71" i="10"/>
  <c r="B71" i="10"/>
  <c r="D71" i="10"/>
  <c r="E71" i="10"/>
  <c r="F71" i="10"/>
  <c r="G71" i="10"/>
  <c r="H71" i="10"/>
  <c r="I71" i="10"/>
  <c r="J71" i="10"/>
  <c r="K71" i="10"/>
  <c r="L71" i="10"/>
  <c r="M71" i="10"/>
  <c r="N71" i="10"/>
  <c r="O71" i="10"/>
  <c r="P71" i="10"/>
  <c r="Q71" i="10"/>
  <c r="R71" i="10"/>
  <c r="S71" i="10"/>
  <c r="T71" i="10"/>
  <c r="U71" i="10"/>
  <c r="V71" i="10"/>
  <c r="W71" i="10"/>
  <c r="AB71" i="10"/>
  <c r="AC71" i="10"/>
  <c r="AD71" i="10"/>
  <c r="A72" i="10"/>
  <c r="B72" i="10"/>
  <c r="D72" i="10"/>
  <c r="E72" i="10"/>
  <c r="F72" i="10"/>
  <c r="G72" i="10"/>
  <c r="H72" i="10"/>
  <c r="I72" i="10"/>
  <c r="J72" i="10"/>
  <c r="K72" i="10"/>
  <c r="L72" i="10"/>
  <c r="M72" i="10"/>
  <c r="N72" i="10"/>
  <c r="O72" i="10"/>
  <c r="P72" i="10"/>
  <c r="Q72" i="10"/>
  <c r="R72" i="10"/>
  <c r="S72" i="10"/>
  <c r="T72" i="10"/>
  <c r="U72" i="10"/>
  <c r="V72" i="10"/>
  <c r="W72" i="10"/>
  <c r="AB72" i="10"/>
  <c r="AC72" i="10"/>
  <c r="AD72" i="10"/>
  <c r="A73" i="10"/>
  <c r="B73" i="10"/>
  <c r="D73" i="10"/>
  <c r="E73" i="10"/>
  <c r="F73" i="10"/>
  <c r="G73" i="10"/>
  <c r="H73" i="10"/>
  <c r="I73" i="10"/>
  <c r="J73" i="10"/>
  <c r="K73" i="10"/>
  <c r="L73" i="10"/>
  <c r="M73" i="10"/>
  <c r="N73" i="10"/>
  <c r="O73" i="10"/>
  <c r="P73" i="10"/>
  <c r="Q73" i="10"/>
  <c r="R73" i="10"/>
  <c r="S73" i="10"/>
  <c r="T73" i="10"/>
  <c r="U73" i="10"/>
  <c r="V73" i="10"/>
  <c r="W73" i="10"/>
  <c r="AB73" i="10"/>
  <c r="AC73" i="10"/>
  <c r="AD73" i="10"/>
  <c r="A74" i="10"/>
  <c r="B74" i="10"/>
  <c r="D74" i="10"/>
  <c r="E74" i="10"/>
  <c r="F74" i="10"/>
  <c r="G74" i="10"/>
  <c r="H74" i="10"/>
  <c r="I74" i="10"/>
  <c r="J74" i="10"/>
  <c r="K74" i="10"/>
  <c r="L74" i="10"/>
  <c r="M74" i="10"/>
  <c r="N74" i="10"/>
  <c r="O74" i="10"/>
  <c r="P74" i="10"/>
  <c r="Q74" i="10"/>
  <c r="R74" i="10"/>
  <c r="S74" i="10"/>
  <c r="T74" i="10"/>
  <c r="U74" i="10"/>
  <c r="V74" i="10"/>
  <c r="W74" i="10"/>
  <c r="AB74" i="10"/>
  <c r="AC74" i="10"/>
  <c r="AD74" i="10"/>
  <c r="A75" i="10"/>
  <c r="B75" i="10"/>
  <c r="D75" i="10"/>
  <c r="E75" i="10"/>
  <c r="F75" i="10"/>
  <c r="G75" i="10"/>
  <c r="H75" i="10"/>
  <c r="I75" i="10"/>
  <c r="J75" i="10"/>
  <c r="K75" i="10"/>
  <c r="L75" i="10"/>
  <c r="M75" i="10"/>
  <c r="N75" i="10"/>
  <c r="O75" i="10"/>
  <c r="P75" i="10"/>
  <c r="Q75" i="10"/>
  <c r="R75" i="10"/>
  <c r="S75" i="10"/>
  <c r="T75" i="10"/>
  <c r="U75" i="10"/>
  <c r="V75" i="10"/>
  <c r="W75" i="10"/>
  <c r="AB75" i="10"/>
  <c r="AC75" i="10"/>
  <c r="AD75" i="10"/>
  <c r="A76" i="10"/>
  <c r="B76" i="10"/>
  <c r="D76" i="10"/>
  <c r="E76" i="10"/>
  <c r="F76" i="10"/>
  <c r="G76" i="10"/>
  <c r="H76" i="10"/>
  <c r="I76" i="10"/>
  <c r="J76" i="10"/>
  <c r="K76" i="10"/>
  <c r="L76" i="10"/>
  <c r="M76" i="10"/>
  <c r="N76" i="10"/>
  <c r="O76" i="10"/>
  <c r="P76" i="10"/>
  <c r="Q76" i="10"/>
  <c r="R76" i="10"/>
  <c r="S76" i="10"/>
  <c r="T76" i="10"/>
  <c r="U76" i="10"/>
  <c r="V76" i="10"/>
  <c r="W76" i="10"/>
  <c r="AB76" i="10"/>
  <c r="AC76" i="10"/>
  <c r="AD76" i="10"/>
  <c r="A77" i="10"/>
  <c r="B77" i="10"/>
  <c r="D77" i="10"/>
  <c r="E77" i="10"/>
  <c r="F77" i="10"/>
  <c r="G77" i="10"/>
  <c r="H77" i="10"/>
  <c r="I77" i="10"/>
  <c r="J77" i="10"/>
  <c r="K77" i="10"/>
  <c r="L77" i="10"/>
  <c r="M77" i="10"/>
  <c r="N77" i="10"/>
  <c r="O77" i="10"/>
  <c r="P77" i="10"/>
  <c r="Q77" i="10"/>
  <c r="R77" i="10"/>
  <c r="S77" i="10"/>
  <c r="T77" i="10"/>
  <c r="U77" i="10"/>
  <c r="V77" i="10"/>
  <c r="W77" i="10"/>
  <c r="AB77" i="10"/>
  <c r="AC77" i="10"/>
  <c r="AD77" i="10"/>
  <c r="A78" i="10"/>
  <c r="B78" i="10"/>
  <c r="D78" i="10"/>
  <c r="E78" i="10"/>
  <c r="F78" i="10"/>
  <c r="G78" i="10"/>
  <c r="H78" i="10"/>
  <c r="I78" i="10"/>
  <c r="J78" i="10"/>
  <c r="K78" i="10"/>
  <c r="L78" i="10"/>
  <c r="M78" i="10"/>
  <c r="N78" i="10"/>
  <c r="O78" i="10"/>
  <c r="P78" i="10"/>
  <c r="Q78" i="10"/>
  <c r="R78" i="10"/>
  <c r="S78" i="10"/>
  <c r="T78" i="10"/>
  <c r="U78" i="10"/>
  <c r="V78" i="10"/>
  <c r="W78" i="10"/>
  <c r="AB78" i="10"/>
  <c r="AC78" i="10"/>
  <c r="AD78" i="10"/>
  <c r="A79" i="10"/>
  <c r="B79" i="10"/>
  <c r="D79" i="10"/>
  <c r="E79" i="10"/>
  <c r="F79" i="10"/>
  <c r="G79" i="10"/>
  <c r="H79" i="10"/>
  <c r="I79" i="10"/>
  <c r="J79" i="10"/>
  <c r="K79" i="10"/>
  <c r="L79" i="10"/>
  <c r="M79" i="10"/>
  <c r="N79" i="10"/>
  <c r="O79" i="10"/>
  <c r="P79" i="10"/>
  <c r="Q79" i="10"/>
  <c r="R79" i="10"/>
  <c r="S79" i="10"/>
  <c r="T79" i="10"/>
  <c r="U79" i="10"/>
  <c r="V79" i="10"/>
  <c r="W79" i="10"/>
  <c r="AB79" i="10"/>
  <c r="AC79" i="10"/>
  <c r="AD79" i="10"/>
  <c r="A80" i="10"/>
  <c r="B80" i="10"/>
  <c r="D80" i="10"/>
  <c r="E80" i="10"/>
  <c r="F80" i="10"/>
  <c r="G80" i="10"/>
  <c r="H80" i="10"/>
  <c r="I80" i="10"/>
  <c r="J80" i="10"/>
  <c r="K80" i="10"/>
  <c r="L80" i="10"/>
  <c r="M80" i="10"/>
  <c r="N80" i="10"/>
  <c r="O80" i="10"/>
  <c r="P80" i="10"/>
  <c r="Q80" i="10"/>
  <c r="R80" i="10"/>
  <c r="S80" i="10"/>
  <c r="T80" i="10"/>
  <c r="U80" i="10"/>
  <c r="V80" i="10"/>
  <c r="W80" i="10"/>
  <c r="AB80" i="10"/>
  <c r="AC80" i="10"/>
  <c r="AD80" i="10"/>
  <c r="A81" i="10"/>
  <c r="B81" i="10"/>
  <c r="D81" i="10"/>
  <c r="E81" i="10"/>
  <c r="F81" i="10"/>
  <c r="G81" i="10"/>
  <c r="H81" i="10"/>
  <c r="I81" i="10"/>
  <c r="J81" i="10"/>
  <c r="K81" i="10"/>
  <c r="L81" i="10"/>
  <c r="M81" i="10"/>
  <c r="N81" i="10"/>
  <c r="O81" i="10"/>
  <c r="P81" i="10"/>
  <c r="Q81" i="10"/>
  <c r="R81" i="10"/>
  <c r="S81" i="10"/>
  <c r="T81" i="10"/>
  <c r="U81" i="10"/>
  <c r="V81" i="10"/>
  <c r="W81" i="10"/>
  <c r="AB81" i="10"/>
  <c r="AC81" i="10"/>
  <c r="AD81" i="10"/>
  <c r="A82" i="10"/>
  <c r="B82" i="10"/>
  <c r="D82" i="10"/>
  <c r="E82" i="10"/>
  <c r="F82" i="10"/>
  <c r="G82" i="10"/>
  <c r="H82" i="10"/>
  <c r="I82" i="10"/>
  <c r="J82" i="10"/>
  <c r="K82" i="10"/>
  <c r="L82" i="10"/>
  <c r="M82" i="10"/>
  <c r="N82" i="10"/>
  <c r="O82" i="10"/>
  <c r="P82" i="10"/>
  <c r="Q82" i="10"/>
  <c r="R82" i="10"/>
  <c r="S82" i="10"/>
  <c r="T82" i="10"/>
  <c r="U82" i="10"/>
  <c r="V82" i="10"/>
  <c r="W82" i="10"/>
  <c r="AB82" i="10"/>
  <c r="AC82" i="10"/>
  <c r="AD82" i="10"/>
  <c r="A83" i="10"/>
  <c r="B83" i="10"/>
  <c r="D83" i="10"/>
  <c r="E83" i="10"/>
  <c r="F83" i="10"/>
  <c r="G83" i="10"/>
  <c r="H83" i="10"/>
  <c r="I83" i="10"/>
  <c r="J83" i="10"/>
  <c r="K83" i="10"/>
  <c r="L83" i="10"/>
  <c r="M83" i="10"/>
  <c r="N83" i="10"/>
  <c r="O83" i="10"/>
  <c r="P83" i="10"/>
  <c r="Q83" i="10"/>
  <c r="R83" i="10"/>
  <c r="S83" i="10"/>
  <c r="T83" i="10"/>
  <c r="U83" i="10"/>
  <c r="V83" i="10"/>
  <c r="W83" i="10"/>
  <c r="AB83" i="10"/>
  <c r="AC83" i="10"/>
  <c r="AD83" i="10"/>
  <c r="A84" i="10"/>
  <c r="B84" i="10"/>
  <c r="D84" i="10"/>
  <c r="E84" i="10"/>
  <c r="F84" i="10"/>
  <c r="G84" i="10"/>
  <c r="H84" i="10"/>
  <c r="I84" i="10"/>
  <c r="J84" i="10"/>
  <c r="K84" i="10"/>
  <c r="L84" i="10"/>
  <c r="M84" i="10"/>
  <c r="N84" i="10"/>
  <c r="O84" i="10"/>
  <c r="P84" i="10"/>
  <c r="Q84" i="10"/>
  <c r="R84" i="10"/>
  <c r="S84" i="10"/>
  <c r="T84" i="10"/>
  <c r="U84" i="10"/>
  <c r="V84" i="10"/>
  <c r="W84" i="10"/>
  <c r="AB84" i="10"/>
  <c r="AC84" i="10"/>
  <c r="AD84" i="10"/>
  <c r="A85" i="10"/>
  <c r="B85" i="10"/>
  <c r="D85" i="10"/>
  <c r="E85" i="10"/>
  <c r="F85" i="10"/>
  <c r="G85" i="10"/>
  <c r="H85" i="10"/>
  <c r="I85" i="10"/>
  <c r="J85" i="10"/>
  <c r="K85" i="10"/>
  <c r="L85" i="10"/>
  <c r="M85" i="10"/>
  <c r="N85" i="10"/>
  <c r="O85" i="10"/>
  <c r="P85" i="10"/>
  <c r="Q85" i="10"/>
  <c r="R85" i="10"/>
  <c r="S85" i="10"/>
  <c r="T85" i="10"/>
  <c r="U85" i="10"/>
  <c r="V85" i="10"/>
  <c r="W85" i="10"/>
  <c r="AB85" i="10"/>
  <c r="AC85" i="10"/>
  <c r="AD85" i="10"/>
  <c r="A86" i="10"/>
  <c r="B86" i="10"/>
  <c r="D86" i="10"/>
  <c r="E86" i="10"/>
  <c r="F86" i="10"/>
  <c r="G86" i="10"/>
  <c r="H86" i="10"/>
  <c r="I86" i="10"/>
  <c r="J86" i="10"/>
  <c r="K86" i="10"/>
  <c r="L86" i="10"/>
  <c r="M86" i="10"/>
  <c r="N86" i="10"/>
  <c r="O86" i="10"/>
  <c r="P86" i="10"/>
  <c r="Q86" i="10"/>
  <c r="R86" i="10"/>
  <c r="S86" i="10"/>
  <c r="T86" i="10"/>
  <c r="U86" i="10"/>
  <c r="V86" i="10"/>
  <c r="W86" i="10"/>
  <c r="AB86" i="10"/>
  <c r="AC86" i="10"/>
  <c r="AD86" i="10"/>
  <c r="A87" i="10"/>
  <c r="B87" i="10"/>
  <c r="D87" i="10"/>
  <c r="E87" i="10"/>
  <c r="F87" i="10"/>
  <c r="G87" i="10"/>
  <c r="H87" i="10"/>
  <c r="I87" i="10"/>
  <c r="J87" i="10"/>
  <c r="K87" i="10"/>
  <c r="L87" i="10"/>
  <c r="M87" i="10"/>
  <c r="N87" i="10"/>
  <c r="O87" i="10"/>
  <c r="P87" i="10"/>
  <c r="Q87" i="10"/>
  <c r="R87" i="10"/>
  <c r="S87" i="10"/>
  <c r="T87" i="10"/>
  <c r="U87" i="10"/>
  <c r="V87" i="10"/>
  <c r="W87" i="10"/>
  <c r="AB87" i="10"/>
  <c r="AC87" i="10"/>
  <c r="AD87" i="10"/>
  <c r="A88" i="10"/>
  <c r="B88" i="10"/>
  <c r="D88" i="10"/>
  <c r="E88" i="10"/>
  <c r="F88" i="10"/>
  <c r="G88" i="10"/>
  <c r="H88" i="10"/>
  <c r="I88" i="10"/>
  <c r="J88" i="10"/>
  <c r="K88" i="10"/>
  <c r="L88" i="10"/>
  <c r="M88" i="10"/>
  <c r="N88" i="10"/>
  <c r="O88" i="10"/>
  <c r="P88" i="10"/>
  <c r="Q88" i="10"/>
  <c r="R88" i="10"/>
  <c r="S88" i="10"/>
  <c r="T88" i="10"/>
  <c r="U88" i="10"/>
  <c r="V88" i="10"/>
  <c r="W88" i="10"/>
  <c r="AB88" i="10"/>
  <c r="AC88" i="10"/>
  <c r="AD88" i="10"/>
  <c r="A89" i="10"/>
  <c r="B89" i="10"/>
  <c r="D89" i="10"/>
  <c r="E89" i="10"/>
  <c r="F89" i="10"/>
  <c r="G89" i="10"/>
  <c r="H89" i="10"/>
  <c r="I89" i="10"/>
  <c r="J89" i="10"/>
  <c r="K89" i="10"/>
  <c r="L89" i="10"/>
  <c r="M89" i="10"/>
  <c r="N89" i="10"/>
  <c r="O89" i="10"/>
  <c r="P89" i="10"/>
  <c r="Q89" i="10"/>
  <c r="R89" i="10"/>
  <c r="S89" i="10"/>
  <c r="T89" i="10"/>
  <c r="U89" i="10"/>
  <c r="V89" i="10"/>
  <c r="W89" i="10"/>
  <c r="AB89" i="10"/>
  <c r="AC89" i="10"/>
  <c r="AD89" i="10"/>
  <c r="A90" i="10"/>
  <c r="B90" i="10"/>
  <c r="D90" i="10"/>
  <c r="E90" i="10"/>
  <c r="F90" i="10"/>
  <c r="G90" i="10"/>
  <c r="H90" i="10"/>
  <c r="I90" i="10"/>
  <c r="J90" i="10"/>
  <c r="K90" i="10"/>
  <c r="L90" i="10"/>
  <c r="M90" i="10"/>
  <c r="N90" i="10"/>
  <c r="O90" i="10"/>
  <c r="P90" i="10"/>
  <c r="Q90" i="10"/>
  <c r="R90" i="10"/>
  <c r="S90" i="10"/>
  <c r="T90" i="10"/>
  <c r="U90" i="10"/>
  <c r="V90" i="10"/>
  <c r="W90" i="10"/>
  <c r="AB90" i="10"/>
  <c r="AC90" i="10"/>
  <c r="AD90" i="10"/>
  <c r="A91" i="10"/>
  <c r="B91" i="10"/>
  <c r="D91" i="10"/>
  <c r="E91" i="10"/>
  <c r="F91" i="10"/>
  <c r="G91" i="10"/>
  <c r="H91" i="10"/>
  <c r="I91" i="10"/>
  <c r="J91" i="10"/>
  <c r="K91" i="10"/>
  <c r="L91" i="10"/>
  <c r="M91" i="10"/>
  <c r="N91" i="10"/>
  <c r="O91" i="10"/>
  <c r="P91" i="10"/>
  <c r="Q91" i="10"/>
  <c r="R91" i="10"/>
  <c r="S91" i="10"/>
  <c r="T91" i="10"/>
  <c r="U91" i="10"/>
  <c r="V91" i="10"/>
  <c r="W91" i="10"/>
  <c r="AB91" i="10"/>
  <c r="AC91" i="10"/>
  <c r="AD91" i="10"/>
  <c r="A92" i="10"/>
  <c r="B92" i="10"/>
  <c r="D92" i="10"/>
  <c r="E92" i="10"/>
  <c r="F92" i="10"/>
  <c r="G92" i="10"/>
  <c r="H92" i="10"/>
  <c r="I92" i="10"/>
  <c r="J92" i="10"/>
  <c r="K92" i="10"/>
  <c r="L92" i="10"/>
  <c r="M92" i="10"/>
  <c r="N92" i="10"/>
  <c r="O92" i="10"/>
  <c r="P92" i="10"/>
  <c r="Q92" i="10"/>
  <c r="R92" i="10"/>
  <c r="S92" i="10"/>
  <c r="T92" i="10"/>
  <c r="U92" i="10"/>
  <c r="V92" i="10"/>
  <c r="W92" i="10"/>
  <c r="AB92" i="10"/>
  <c r="AC92" i="10"/>
  <c r="AD92" i="10"/>
  <c r="A93" i="10"/>
  <c r="B93" i="10"/>
  <c r="D93" i="10"/>
  <c r="E93" i="10"/>
  <c r="F93" i="10"/>
  <c r="G93" i="10"/>
  <c r="H93" i="10"/>
  <c r="I93" i="10"/>
  <c r="J93" i="10"/>
  <c r="K93" i="10"/>
  <c r="L93" i="10"/>
  <c r="M93" i="10"/>
  <c r="N93" i="10"/>
  <c r="O93" i="10"/>
  <c r="P93" i="10"/>
  <c r="Q93" i="10"/>
  <c r="R93" i="10"/>
  <c r="S93" i="10"/>
  <c r="T93" i="10"/>
  <c r="U93" i="10"/>
  <c r="V93" i="10"/>
  <c r="W93" i="10"/>
  <c r="AB93" i="10"/>
  <c r="AC93" i="10"/>
  <c r="AD93" i="10"/>
  <c r="A94" i="10"/>
  <c r="B94" i="10"/>
  <c r="D94" i="10"/>
  <c r="E94" i="10"/>
  <c r="F94" i="10"/>
  <c r="G94" i="10"/>
  <c r="H94" i="10"/>
  <c r="I94" i="10"/>
  <c r="J94" i="10"/>
  <c r="K94" i="10"/>
  <c r="L94" i="10"/>
  <c r="M94" i="10"/>
  <c r="N94" i="10"/>
  <c r="O94" i="10"/>
  <c r="P94" i="10"/>
  <c r="Q94" i="10"/>
  <c r="R94" i="10"/>
  <c r="S94" i="10"/>
  <c r="T94" i="10"/>
  <c r="U94" i="10"/>
  <c r="V94" i="10"/>
  <c r="W94" i="10"/>
  <c r="AB94" i="10"/>
  <c r="AC94" i="10"/>
  <c r="AD94" i="10"/>
  <c r="A95" i="10"/>
  <c r="B95" i="10"/>
  <c r="D95" i="10"/>
  <c r="E95" i="10"/>
  <c r="F95" i="10"/>
  <c r="G95" i="10"/>
  <c r="H95" i="10"/>
  <c r="I95" i="10"/>
  <c r="J95" i="10"/>
  <c r="K95" i="10"/>
  <c r="L95" i="10"/>
  <c r="M95" i="10"/>
  <c r="N95" i="10"/>
  <c r="O95" i="10"/>
  <c r="P95" i="10"/>
  <c r="Q95" i="10"/>
  <c r="R95" i="10"/>
  <c r="S95" i="10"/>
  <c r="T95" i="10"/>
  <c r="U95" i="10"/>
  <c r="V95" i="10"/>
  <c r="W95" i="10"/>
  <c r="AB95" i="10"/>
  <c r="AC95" i="10"/>
  <c r="AD95" i="10"/>
  <c r="A96" i="10"/>
  <c r="B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S96" i="10"/>
  <c r="T96" i="10"/>
  <c r="U96" i="10"/>
  <c r="V96" i="10"/>
  <c r="W96" i="10"/>
  <c r="AB96" i="10"/>
  <c r="AC96" i="10"/>
  <c r="AD96" i="10"/>
  <c r="A97" i="10"/>
  <c r="B97" i="10"/>
  <c r="D97" i="10"/>
  <c r="E97" i="10"/>
  <c r="F97" i="10"/>
  <c r="G97" i="10"/>
  <c r="H97" i="10"/>
  <c r="I97" i="10"/>
  <c r="J97" i="10"/>
  <c r="K97" i="10"/>
  <c r="L97" i="10"/>
  <c r="M97" i="10"/>
  <c r="N97" i="10"/>
  <c r="O97" i="10"/>
  <c r="P97" i="10"/>
  <c r="Q97" i="10"/>
  <c r="R97" i="10"/>
  <c r="S97" i="10"/>
  <c r="T97" i="10"/>
  <c r="U97" i="10"/>
  <c r="V97" i="10"/>
  <c r="W97" i="10"/>
  <c r="AB97" i="10"/>
  <c r="AC97" i="10"/>
  <c r="AD97" i="10"/>
  <c r="A98" i="10"/>
  <c r="B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S98" i="10"/>
  <c r="T98" i="10"/>
  <c r="U98" i="10"/>
  <c r="V98" i="10"/>
  <c r="W98" i="10"/>
  <c r="AB98" i="10"/>
  <c r="AC98" i="10"/>
  <c r="AD98" i="10"/>
  <c r="A99" i="10"/>
  <c r="B99" i="10"/>
  <c r="D99" i="10"/>
  <c r="E99" i="10"/>
  <c r="F99" i="10"/>
  <c r="G99" i="10"/>
  <c r="H99" i="10"/>
  <c r="I99" i="10"/>
  <c r="K99" i="10"/>
  <c r="L99" i="10"/>
  <c r="M99" i="10"/>
  <c r="N99" i="10"/>
  <c r="O99" i="10"/>
  <c r="P99" i="10"/>
  <c r="Q99" i="10"/>
  <c r="R99" i="10"/>
  <c r="S99" i="10"/>
  <c r="T99" i="10"/>
  <c r="U99" i="10"/>
  <c r="V99" i="10"/>
  <c r="W99" i="10"/>
  <c r="AB99" i="10"/>
  <c r="AC99" i="10"/>
  <c r="AD99" i="10"/>
  <c r="A100" i="10"/>
  <c r="B100" i="10"/>
  <c r="D100" i="10"/>
  <c r="E100" i="10"/>
  <c r="F100" i="10"/>
  <c r="G100" i="10"/>
  <c r="H100" i="10"/>
  <c r="I100" i="10"/>
  <c r="K100" i="10"/>
  <c r="L100" i="10"/>
  <c r="M100" i="10"/>
  <c r="N100" i="10"/>
  <c r="O100" i="10"/>
  <c r="P100" i="10"/>
  <c r="Q100" i="10"/>
  <c r="R100" i="10"/>
  <c r="S100" i="10"/>
  <c r="T100" i="10"/>
  <c r="U100" i="10"/>
  <c r="V100" i="10"/>
  <c r="W100" i="10"/>
  <c r="AB100" i="10"/>
  <c r="AC100" i="10"/>
  <c r="AD100" i="10"/>
  <c r="A101" i="10"/>
  <c r="B101" i="10"/>
  <c r="D101" i="10"/>
  <c r="E101" i="10"/>
  <c r="F101" i="10"/>
  <c r="G101" i="10"/>
  <c r="H101" i="10"/>
  <c r="I101" i="10"/>
  <c r="K101" i="10"/>
  <c r="L101" i="10"/>
  <c r="M101" i="10"/>
  <c r="N101" i="10"/>
  <c r="O101" i="10"/>
  <c r="P101" i="10"/>
  <c r="Q101" i="10"/>
  <c r="R101" i="10"/>
  <c r="S101" i="10"/>
  <c r="T101" i="10"/>
  <c r="U101" i="10"/>
  <c r="V101" i="10"/>
  <c r="W101" i="10"/>
  <c r="AB101" i="10"/>
  <c r="AC101" i="10"/>
  <c r="AD101" i="10"/>
  <c r="A102" i="10"/>
  <c r="B102" i="10"/>
  <c r="D102" i="10"/>
  <c r="E102" i="10"/>
  <c r="F102" i="10"/>
  <c r="G102" i="10"/>
  <c r="H102" i="10"/>
  <c r="I102" i="10"/>
  <c r="K102" i="10"/>
  <c r="L102" i="10"/>
  <c r="M102" i="10"/>
  <c r="N102" i="10"/>
  <c r="O102" i="10"/>
  <c r="P102" i="10"/>
  <c r="Q102" i="10"/>
  <c r="R102" i="10"/>
  <c r="S102" i="10"/>
  <c r="T102" i="10"/>
  <c r="U102" i="10"/>
  <c r="V102" i="10"/>
  <c r="W102" i="10"/>
  <c r="AB102" i="10"/>
  <c r="AC102" i="10"/>
  <c r="AD102" i="10"/>
  <c r="A103" i="10"/>
  <c r="B103" i="10"/>
  <c r="D103" i="10"/>
  <c r="E103" i="10"/>
  <c r="F103" i="10"/>
  <c r="G103" i="10"/>
  <c r="H103" i="10"/>
  <c r="I103" i="10"/>
  <c r="J103" i="10"/>
  <c r="K103" i="10"/>
  <c r="L103" i="10"/>
  <c r="M103" i="10"/>
  <c r="N103" i="10"/>
  <c r="O103" i="10"/>
  <c r="P103" i="10"/>
  <c r="Q103" i="10"/>
  <c r="R103" i="10"/>
  <c r="S103" i="10"/>
  <c r="T103" i="10"/>
  <c r="U103" i="10"/>
  <c r="V103" i="10"/>
  <c r="W103" i="10"/>
  <c r="AB103" i="10"/>
  <c r="AC103" i="10"/>
  <c r="AD103" i="10"/>
  <c r="A104" i="10"/>
  <c r="B104" i="10"/>
  <c r="D104" i="10"/>
  <c r="E104" i="10"/>
  <c r="F104" i="10"/>
  <c r="G104" i="10"/>
  <c r="H104" i="10"/>
  <c r="I104" i="10"/>
  <c r="K104" i="10"/>
  <c r="L104" i="10"/>
  <c r="M104" i="10"/>
  <c r="N104" i="10"/>
  <c r="O104" i="10"/>
  <c r="P104" i="10"/>
  <c r="Q104" i="10"/>
  <c r="R104" i="10"/>
  <c r="S104" i="10"/>
  <c r="T104" i="10"/>
  <c r="U104" i="10"/>
  <c r="V104" i="10"/>
  <c r="W104" i="10"/>
  <c r="AB104" i="10"/>
  <c r="AC104" i="10"/>
  <c r="AD104" i="10"/>
  <c r="A105" i="10"/>
  <c r="B105" i="10"/>
  <c r="D105" i="10"/>
  <c r="E105" i="10"/>
  <c r="F105" i="10"/>
  <c r="G105" i="10"/>
  <c r="H105" i="10"/>
  <c r="I105" i="10"/>
  <c r="K105" i="10"/>
  <c r="L105" i="10"/>
  <c r="M105" i="10"/>
  <c r="N105" i="10"/>
  <c r="O105" i="10"/>
  <c r="P105" i="10"/>
  <c r="Q105" i="10"/>
  <c r="R105" i="10"/>
  <c r="S105" i="10"/>
  <c r="T105" i="10"/>
  <c r="U105" i="10"/>
  <c r="V105" i="10"/>
  <c r="W105" i="10"/>
  <c r="AB105" i="10"/>
  <c r="AC105" i="10"/>
  <c r="AD105" i="10"/>
  <c r="A106" i="10"/>
  <c r="B106" i="10"/>
  <c r="D106" i="10"/>
  <c r="E106" i="10"/>
  <c r="F106" i="10"/>
  <c r="G106" i="10"/>
  <c r="H106" i="10"/>
  <c r="I106" i="10"/>
  <c r="K106" i="10"/>
  <c r="L106" i="10"/>
  <c r="M106" i="10"/>
  <c r="N106" i="10"/>
  <c r="O106" i="10"/>
  <c r="P106" i="10"/>
  <c r="Q106" i="10"/>
  <c r="R106" i="10"/>
  <c r="S106" i="10"/>
  <c r="T106" i="10"/>
  <c r="U106" i="10"/>
  <c r="V106" i="10"/>
  <c r="W106" i="10"/>
  <c r="AB106" i="10"/>
  <c r="AC106" i="10"/>
  <c r="AD106" i="10"/>
  <c r="A107" i="10"/>
  <c r="B107" i="10"/>
  <c r="D107" i="10"/>
  <c r="E107" i="10"/>
  <c r="F107" i="10"/>
  <c r="G107" i="10"/>
  <c r="H107" i="10"/>
  <c r="I107" i="10"/>
  <c r="K107" i="10"/>
  <c r="L107" i="10"/>
  <c r="M107" i="10"/>
  <c r="N107" i="10"/>
  <c r="O107" i="10"/>
  <c r="P107" i="10"/>
  <c r="Q107" i="10"/>
  <c r="R107" i="10"/>
  <c r="S107" i="10"/>
  <c r="T107" i="10"/>
  <c r="U107" i="10"/>
  <c r="V107" i="10"/>
  <c r="W107" i="10"/>
  <c r="AB107" i="10"/>
  <c r="AC107" i="10"/>
  <c r="AD107" i="10"/>
  <c r="A108" i="10"/>
  <c r="B108" i="10"/>
  <c r="D108" i="10"/>
  <c r="E108" i="10"/>
  <c r="F108" i="10"/>
  <c r="G108" i="10"/>
  <c r="H108" i="10"/>
  <c r="I108" i="10"/>
  <c r="J108" i="10"/>
  <c r="K108" i="10"/>
  <c r="L108" i="10"/>
  <c r="M108" i="10"/>
  <c r="N108" i="10"/>
  <c r="O108" i="10"/>
  <c r="P108" i="10"/>
  <c r="Q108" i="10"/>
  <c r="R108" i="10"/>
  <c r="S108" i="10"/>
  <c r="T108" i="10"/>
  <c r="U108" i="10"/>
  <c r="V108" i="10"/>
  <c r="W108" i="10"/>
  <c r="AB108" i="10"/>
  <c r="AC108" i="10"/>
  <c r="AD108" i="10"/>
  <c r="A109" i="10"/>
  <c r="B109" i="10"/>
  <c r="D109" i="10"/>
  <c r="E109" i="10"/>
  <c r="F109" i="10"/>
  <c r="G109" i="10"/>
  <c r="H109" i="10"/>
  <c r="I109" i="10"/>
  <c r="K109" i="10"/>
  <c r="L109" i="10"/>
  <c r="M109" i="10"/>
  <c r="N109" i="10"/>
  <c r="O109" i="10"/>
  <c r="P109" i="10"/>
  <c r="Q109" i="10"/>
  <c r="R109" i="10"/>
  <c r="S109" i="10"/>
  <c r="T109" i="10"/>
  <c r="U109" i="10"/>
  <c r="V109" i="10"/>
  <c r="W109" i="10"/>
  <c r="AB109" i="10"/>
  <c r="AC109" i="10"/>
  <c r="AD109" i="10"/>
  <c r="A110" i="10"/>
  <c r="B110" i="10"/>
  <c r="D110" i="10"/>
  <c r="E110" i="10"/>
  <c r="F110" i="10"/>
  <c r="G110" i="10"/>
  <c r="H110" i="10"/>
  <c r="I110" i="10"/>
  <c r="K110" i="10"/>
  <c r="L110" i="10"/>
  <c r="M110" i="10"/>
  <c r="N110" i="10"/>
  <c r="O110" i="10"/>
  <c r="P110" i="10"/>
  <c r="Q110" i="10"/>
  <c r="R110" i="10"/>
  <c r="S110" i="10"/>
  <c r="T110" i="10"/>
  <c r="U110" i="10"/>
  <c r="V110" i="10"/>
  <c r="W110" i="10"/>
  <c r="AB110" i="10"/>
  <c r="AC110" i="10"/>
  <c r="AD110" i="10"/>
  <c r="A111" i="10"/>
  <c r="B111" i="10"/>
  <c r="D111" i="10"/>
  <c r="E111" i="10"/>
  <c r="F111" i="10"/>
  <c r="G111" i="10"/>
  <c r="H111" i="10"/>
  <c r="I111" i="10"/>
  <c r="K111" i="10"/>
  <c r="L111" i="10"/>
  <c r="M111" i="10"/>
  <c r="N111" i="10"/>
  <c r="O111" i="10"/>
  <c r="P111" i="10"/>
  <c r="Q111" i="10"/>
  <c r="R111" i="10"/>
  <c r="S111" i="10"/>
  <c r="T111" i="10"/>
  <c r="U111" i="10"/>
  <c r="V111" i="10"/>
  <c r="W111" i="10"/>
  <c r="AB111" i="10"/>
  <c r="AC111" i="10"/>
  <c r="AD111" i="10"/>
  <c r="A112" i="10"/>
  <c r="B112" i="10"/>
  <c r="D112" i="10"/>
  <c r="E112" i="10"/>
  <c r="F112" i="10"/>
  <c r="G112" i="10"/>
  <c r="H112" i="10"/>
  <c r="I112" i="10"/>
  <c r="K112" i="10"/>
  <c r="L112" i="10"/>
  <c r="M112" i="10"/>
  <c r="N112" i="10"/>
  <c r="O112" i="10"/>
  <c r="P112" i="10"/>
  <c r="Q112" i="10"/>
  <c r="R112" i="10"/>
  <c r="S112" i="10"/>
  <c r="T112" i="10"/>
  <c r="U112" i="10"/>
  <c r="V112" i="10"/>
  <c r="W112" i="10"/>
  <c r="AB112" i="10"/>
  <c r="AC112" i="10"/>
  <c r="AD112" i="10"/>
  <c r="A113" i="10"/>
  <c r="B113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P113" i="10"/>
  <c r="Q113" i="10"/>
  <c r="R113" i="10"/>
  <c r="S113" i="10"/>
  <c r="T113" i="10"/>
  <c r="U113" i="10"/>
  <c r="V113" i="10"/>
  <c r="W113" i="10"/>
  <c r="AB113" i="10"/>
  <c r="AC113" i="10"/>
  <c r="AD113" i="10"/>
  <c r="A114" i="10"/>
  <c r="B114" i="10"/>
  <c r="D114" i="10"/>
  <c r="E114" i="10"/>
  <c r="F114" i="10"/>
  <c r="G114" i="10"/>
  <c r="H114" i="10"/>
  <c r="I114" i="10"/>
  <c r="K114" i="10"/>
  <c r="L114" i="10"/>
  <c r="M114" i="10"/>
  <c r="N114" i="10"/>
  <c r="O114" i="10"/>
  <c r="P114" i="10"/>
  <c r="Q114" i="10"/>
  <c r="R114" i="10"/>
  <c r="S114" i="10"/>
  <c r="T114" i="10"/>
  <c r="U114" i="10"/>
  <c r="V114" i="10"/>
  <c r="W114" i="10"/>
  <c r="AB114" i="10"/>
  <c r="AC114" i="10"/>
  <c r="AD114" i="10"/>
  <c r="A115" i="10"/>
  <c r="B115" i="10"/>
  <c r="D115" i="10"/>
  <c r="E115" i="10"/>
  <c r="F115" i="10"/>
  <c r="G115" i="10"/>
  <c r="H115" i="10"/>
  <c r="I115" i="10"/>
  <c r="K115" i="10"/>
  <c r="L115" i="10"/>
  <c r="M115" i="10"/>
  <c r="N115" i="10"/>
  <c r="O115" i="10"/>
  <c r="P115" i="10"/>
  <c r="Q115" i="10"/>
  <c r="R115" i="10"/>
  <c r="S115" i="10"/>
  <c r="T115" i="10"/>
  <c r="U115" i="10"/>
  <c r="V115" i="10"/>
  <c r="W115" i="10"/>
  <c r="AB115" i="10"/>
  <c r="AC115" i="10"/>
  <c r="AD115" i="10"/>
  <c r="A116" i="10"/>
  <c r="B116" i="10"/>
  <c r="D116" i="10"/>
  <c r="E116" i="10"/>
  <c r="F116" i="10"/>
  <c r="G116" i="10"/>
  <c r="H116" i="10"/>
  <c r="I116" i="10"/>
  <c r="K116" i="10"/>
  <c r="L116" i="10"/>
  <c r="M116" i="10"/>
  <c r="N116" i="10"/>
  <c r="O116" i="10"/>
  <c r="P116" i="10"/>
  <c r="Q116" i="10"/>
  <c r="R116" i="10"/>
  <c r="S116" i="10"/>
  <c r="T116" i="10"/>
  <c r="U116" i="10"/>
  <c r="V116" i="10"/>
  <c r="W116" i="10"/>
  <c r="AB116" i="10"/>
  <c r="AC116" i="10"/>
  <c r="AD116" i="10"/>
  <c r="A117" i="10"/>
  <c r="B117" i="10"/>
  <c r="D117" i="10"/>
  <c r="E117" i="10"/>
  <c r="F117" i="10"/>
  <c r="G117" i="10"/>
  <c r="H117" i="10"/>
  <c r="I117" i="10"/>
  <c r="K117" i="10"/>
  <c r="L117" i="10"/>
  <c r="M117" i="10"/>
  <c r="N117" i="10"/>
  <c r="O117" i="10"/>
  <c r="P117" i="10"/>
  <c r="Q117" i="10"/>
  <c r="R117" i="10"/>
  <c r="S117" i="10"/>
  <c r="T117" i="10"/>
  <c r="U117" i="10"/>
  <c r="V117" i="10"/>
  <c r="W117" i="10"/>
  <c r="AB117" i="10"/>
  <c r="AC117" i="10"/>
  <c r="AD117" i="10"/>
  <c r="A118" i="10"/>
  <c r="B118" i="10"/>
  <c r="D118" i="10"/>
  <c r="E118" i="10"/>
  <c r="F118" i="10"/>
  <c r="G118" i="10"/>
  <c r="H118" i="10"/>
  <c r="I118" i="10"/>
  <c r="J118" i="10"/>
  <c r="K118" i="10"/>
  <c r="L118" i="10"/>
  <c r="M118" i="10"/>
  <c r="N118" i="10"/>
  <c r="O118" i="10"/>
  <c r="P118" i="10"/>
  <c r="Q118" i="10"/>
  <c r="R118" i="10"/>
  <c r="S118" i="10"/>
  <c r="T118" i="10"/>
  <c r="U118" i="10"/>
  <c r="V118" i="10"/>
  <c r="W118" i="10"/>
  <c r="AB118" i="10"/>
  <c r="AC118" i="10"/>
  <c r="AD118" i="10"/>
  <c r="A119" i="10"/>
  <c r="B119" i="10"/>
  <c r="D119" i="10"/>
  <c r="E119" i="10"/>
  <c r="F119" i="10"/>
  <c r="G119" i="10"/>
  <c r="H119" i="10"/>
  <c r="I119" i="10"/>
  <c r="K119" i="10"/>
  <c r="L119" i="10"/>
  <c r="M119" i="10"/>
  <c r="N119" i="10"/>
  <c r="O119" i="10"/>
  <c r="P119" i="10"/>
  <c r="Q119" i="10"/>
  <c r="R119" i="10"/>
  <c r="S119" i="10"/>
  <c r="T119" i="10"/>
  <c r="U119" i="10"/>
  <c r="V119" i="10"/>
  <c r="W119" i="10"/>
  <c r="AB119" i="10"/>
  <c r="AC119" i="10"/>
  <c r="AD119" i="10"/>
  <c r="A120" i="10"/>
  <c r="B120" i="10"/>
  <c r="D120" i="10"/>
  <c r="E120" i="10"/>
  <c r="F120" i="10"/>
  <c r="G120" i="10"/>
  <c r="H120" i="10"/>
  <c r="I120" i="10"/>
  <c r="K120" i="10"/>
  <c r="L120" i="10"/>
  <c r="M120" i="10"/>
  <c r="N120" i="10"/>
  <c r="O120" i="10"/>
  <c r="P120" i="10"/>
  <c r="Q120" i="10"/>
  <c r="R120" i="10"/>
  <c r="S120" i="10"/>
  <c r="T120" i="10"/>
  <c r="U120" i="10"/>
  <c r="V120" i="10"/>
  <c r="W120" i="10"/>
  <c r="AB120" i="10"/>
  <c r="AC120" i="10"/>
  <c r="AD120" i="10"/>
  <c r="A121" i="10"/>
  <c r="B121" i="10"/>
  <c r="D121" i="10"/>
  <c r="E121" i="10"/>
  <c r="F121" i="10"/>
  <c r="G121" i="10"/>
  <c r="H121" i="10"/>
  <c r="I121" i="10"/>
  <c r="K121" i="10"/>
  <c r="L121" i="10"/>
  <c r="M121" i="10"/>
  <c r="N121" i="10"/>
  <c r="O121" i="10"/>
  <c r="P121" i="10"/>
  <c r="Q121" i="10"/>
  <c r="R121" i="10"/>
  <c r="S121" i="10"/>
  <c r="T121" i="10"/>
  <c r="U121" i="10"/>
  <c r="V121" i="10"/>
  <c r="W121" i="10"/>
  <c r="AB121" i="10"/>
  <c r="AC121" i="10"/>
  <c r="AD121" i="10"/>
  <c r="A122" i="10"/>
  <c r="B122" i="10"/>
  <c r="D122" i="10"/>
  <c r="E122" i="10"/>
  <c r="F122" i="10"/>
  <c r="G122" i="10"/>
  <c r="H122" i="10"/>
  <c r="I122" i="10"/>
  <c r="K122" i="10"/>
  <c r="L122" i="10"/>
  <c r="M122" i="10"/>
  <c r="N122" i="10"/>
  <c r="O122" i="10"/>
  <c r="P122" i="10"/>
  <c r="Q122" i="10"/>
  <c r="R122" i="10"/>
  <c r="S122" i="10"/>
  <c r="T122" i="10"/>
  <c r="U122" i="10"/>
  <c r="V122" i="10"/>
  <c r="W122" i="10"/>
  <c r="AB122" i="10"/>
  <c r="AC122" i="10"/>
  <c r="AD122" i="10"/>
  <c r="A123" i="10"/>
  <c r="B123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P123" i="10"/>
  <c r="Q123" i="10"/>
  <c r="R123" i="10"/>
  <c r="S123" i="10"/>
  <c r="T123" i="10"/>
  <c r="U123" i="10"/>
  <c r="V123" i="10"/>
  <c r="W123" i="10"/>
  <c r="AB123" i="10"/>
  <c r="AC123" i="10"/>
  <c r="AD123" i="10"/>
  <c r="A124" i="10"/>
  <c r="B124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P124" i="10"/>
  <c r="Q124" i="10"/>
  <c r="R124" i="10"/>
  <c r="S124" i="10"/>
  <c r="T124" i="10"/>
  <c r="U124" i="10"/>
  <c r="V124" i="10"/>
  <c r="W124" i="10"/>
  <c r="AB124" i="10"/>
  <c r="AC124" i="10"/>
  <c r="AD124" i="10"/>
  <c r="A125" i="10"/>
  <c r="B125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P125" i="10"/>
  <c r="Q125" i="10"/>
  <c r="R125" i="10"/>
  <c r="S125" i="10"/>
  <c r="T125" i="10"/>
  <c r="U125" i="10"/>
  <c r="V125" i="10"/>
  <c r="W125" i="10"/>
  <c r="AB125" i="10"/>
  <c r="AC125" i="10"/>
  <c r="AD125" i="10"/>
  <c r="A126" i="10"/>
  <c r="B126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P126" i="10"/>
  <c r="Q126" i="10"/>
  <c r="R126" i="10"/>
  <c r="S126" i="10"/>
  <c r="T126" i="10"/>
  <c r="U126" i="10"/>
  <c r="V126" i="10"/>
  <c r="W126" i="10"/>
  <c r="AB126" i="10"/>
  <c r="AC126" i="10"/>
  <c r="AD126" i="10"/>
  <c r="A127" i="10"/>
  <c r="B127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P127" i="10"/>
  <c r="Q127" i="10"/>
  <c r="R127" i="10"/>
  <c r="S127" i="10"/>
  <c r="T127" i="10"/>
  <c r="U127" i="10"/>
  <c r="V127" i="10"/>
  <c r="W127" i="10"/>
  <c r="AB127" i="10"/>
  <c r="AC127" i="10"/>
  <c r="AD127" i="10"/>
  <c r="A128" i="10"/>
  <c r="B128" i="10"/>
  <c r="D128" i="10"/>
  <c r="E128" i="10"/>
  <c r="F128" i="10"/>
  <c r="G128" i="10"/>
  <c r="H128" i="10"/>
  <c r="I128" i="10"/>
  <c r="J128" i="10"/>
  <c r="K128" i="10"/>
  <c r="L128" i="10"/>
  <c r="M128" i="10"/>
  <c r="N128" i="10"/>
  <c r="O128" i="10"/>
  <c r="P128" i="10"/>
  <c r="Q128" i="10"/>
  <c r="R128" i="10"/>
  <c r="S128" i="10"/>
  <c r="T128" i="10"/>
  <c r="U128" i="10"/>
  <c r="V128" i="10"/>
  <c r="W128" i="10"/>
  <c r="AB128" i="10"/>
  <c r="AC128" i="10"/>
  <c r="AD128" i="10"/>
  <c r="A129" i="10"/>
  <c r="B129" i="10"/>
  <c r="D129" i="10"/>
  <c r="E129" i="10"/>
  <c r="F129" i="10"/>
  <c r="G129" i="10"/>
  <c r="H129" i="10"/>
  <c r="I129" i="10"/>
  <c r="J129" i="10"/>
  <c r="K129" i="10"/>
  <c r="L129" i="10"/>
  <c r="M129" i="10"/>
  <c r="N129" i="10"/>
  <c r="O129" i="10"/>
  <c r="P129" i="10"/>
  <c r="Q129" i="10"/>
  <c r="R129" i="10"/>
  <c r="S129" i="10"/>
  <c r="T129" i="10"/>
  <c r="U129" i="10"/>
  <c r="V129" i="10"/>
  <c r="W129" i="10"/>
  <c r="AB129" i="10"/>
  <c r="AC129" i="10"/>
  <c r="AD129" i="10"/>
  <c r="A130" i="10"/>
  <c r="B130" i="10"/>
  <c r="D130" i="10"/>
  <c r="E130" i="10"/>
  <c r="F130" i="10"/>
  <c r="G130" i="10"/>
  <c r="H130" i="10"/>
  <c r="I130" i="10"/>
  <c r="J130" i="10"/>
  <c r="K130" i="10"/>
  <c r="L130" i="10"/>
  <c r="M130" i="10"/>
  <c r="N130" i="10"/>
  <c r="O130" i="10"/>
  <c r="P130" i="10"/>
  <c r="Q130" i="10"/>
  <c r="R130" i="10"/>
  <c r="S130" i="10"/>
  <c r="T130" i="10"/>
  <c r="U130" i="10"/>
  <c r="V130" i="10"/>
  <c r="W130" i="10"/>
  <c r="AB130" i="10"/>
  <c r="AC130" i="10"/>
  <c r="AD130" i="10"/>
  <c r="A131" i="10"/>
  <c r="B131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P131" i="10"/>
  <c r="Q131" i="10"/>
  <c r="R131" i="10"/>
  <c r="S131" i="10"/>
  <c r="T131" i="10"/>
  <c r="U131" i="10"/>
  <c r="V131" i="10"/>
  <c r="W131" i="10"/>
  <c r="AB131" i="10"/>
  <c r="AC131" i="10"/>
  <c r="AD131" i="10"/>
  <c r="A132" i="10"/>
  <c r="B132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P132" i="10"/>
  <c r="Q132" i="10"/>
  <c r="R132" i="10"/>
  <c r="S132" i="10"/>
  <c r="T132" i="10"/>
  <c r="U132" i="10"/>
  <c r="V132" i="10"/>
  <c r="W132" i="10"/>
  <c r="AB132" i="10"/>
  <c r="AC132" i="10"/>
  <c r="AD132" i="10"/>
  <c r="A133" i="10"/>
  <c r="B133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P133" i="10"/>
  <c r="Q133" i="10"/>
  <c r="R133" i="10"/>
  <c r="S133" i="10"/>
  <c r="T133" i="10"/>
  <c r="U133" i="10"/>
  <c r="V133" i="10"/>
  <c r="W133" i="10"/>
  <c r="AB133" i="10"/>
  <c r="AC133" i="10"/>
  <c r="AD133" i="10"/>
  <c r="A134" i="10"/>
  <c r="B134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P134" i="10"/>
  <c r="Q134" i="10"/>
  <c r="R134" i="10"/>
  <c r="S134" i="10"/>
  <c r="T134" i="10"/>
  <c r="U134" i="10"/>
  <c r="V134" i="10"/>
  <c r="W134" i="10"/>
  <c r="AB134" i="10"/>
  <c r="AC134" i="10"/>
  <c r="AD134" i="10"/>
  <c r="A135" i="10"/>
  <c r="B135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P135" i="10"/>
  <c r="Q135" i="10"/>
  <c r="R135" i="10"/>
  <c r="S135" i="10"/>
  <c r="T135" i="10"/>
  <c r="U135" i="10"/>
  <c r="V135" i="10"/>
  <c r="W135" i="10"/>
  <c r="AB135" i="10"/>
  <c r="AC135" i="10"/>
  <c r="AD135" i="10"/>
  <c r="A136" i="10"/>
  <c r="B136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P136" i="10"/>
  <c r="Q136" i="10"/>
  <c r="R136" i="10"/>
  <c r="S136" i="10"/>
  <c r="T136" i="10"/>
  <c r="U136" i="10"/>
  <c r="V136" i="10"/>
  <c r="W136" i="10"/>
  <c r="AB136" i="10"/>
  <c r="AC136" i="10"/>
  <c r="AD136" i="10"/>
  <c r="A137" i="10"/>
  <c r="B137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P137" i="10"/>
  <c r="Q137" i="10"/>
  <c r="R137" i="10"/>
  <c r="S137" i="10"/>
  <c r="T137" i="10"/>
  <c r="U137" i="10"/>
  <c r="V137" i="10"/>
  <c r="W137" i="10"/>
  <c r="AB137" i="10"/>
  <c r="AC137" i="10"/>
  <c r="AD137" i="10"/>
  <c r="A138" i="10"/>
  <c r="B138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P138" i="10"/>
  <c r="Q138" i="10"/>
  <c r="R138" i="10"/>
  <c r="S138" i="10"/>
  <c r="T138" i="10"/>
  <c r="U138" i="10"/>
  <c r="V138" i="10"/>
  <c r="W138" i="10"/>
  <c r="AB138" i="10"/>
  <c r="AC138" i="10"/>
  <c r="AD138" i="10"/>
  <c r="J3" i="8"/>
  <c r="Q3" i="8" s="1"/>
  <c r="R3" i="8" s="1"/>
  <c r="K3" i="8"/>
  <c r="L3" i="8"/>
  <c r="M3" i="8"/>
  <c r="N3" i="8"/>
  <c r="O3" i="8"/>
  <c r="P3" i="8" s="1"/>
  <c r="S3" i="8" s="1"/>
  <c r="A4" i="8"/>
  <c r="B4" i="8"/>
  <c r="C4" i="8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C28" i="8" s="1"/>
  <c r="J4" i="8"/>
  <c r="K4" i="8"/>
  <c r="L4" i="8"/>
  <c r="M4" i="8"/>
  <c r="N4" i="8"/>
  <c r="O4" i="8"/>
  <c r="P4" i="8"/>
  <c r="S4" i="8" s="1"/>
  <c r="Q4" i="8"/>
  <c r="R4" i="8" s="1"/>
  <c r="A5" i="8"/>
  <c r="B5" i="8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J5" i="8"/>
  <c r="K5" i="8"/>
  <c r="Q5" i="8" s="1"/>
  <c r="R5" i="8" s="1"/>
  <c r="L5" i="8"/>
  <c r="M5" i="8"/>
  <c r="N5" i="8"/>
  <c r="O5" i="8"/>
  <c r="P5" i="8"/>
  <c r="S5" i="8" s="1"/>
  <c r="A6" i="8"/>
  <c r="A7" i="8" s="1"/>
  <c r="A8" i="8" s="1"/>
  <c r="A9" i="8" s="1"/>
  <c r="A10" i="8" s="1"/>
  <c r="A11" i="8" s="1"/>
  <c r="A12" i="8" s="1"/>
  <c r="A13" i="8" s="1"/>
  <c r="A14" i="8" s="1"/>
  <c r="A15" i="8" s="1"/>
  <c r="J6" i="8"/>
  <c r="Q6" i="8" s="1"/>
  <c r="R6" i="8" s="1"/>
  <c r="K6" i="8"/>
  <c r="L6" i="8"/>
  <c r="M6" i="8"/>
  <c r="N6" i="8"/>
  <c r="O6" i="8"/>
  <c r="P6" i="8" s="1"/>
  <c r="J7" i="8"/>
  <c r="Q7" i="8" s="1"/>
  <c r="R7" i="8" s="1"/>
  <c r="K7" i="8"/>
  <c r="L7" i="8"/>
  <c r="M7" i="8"/>
  <c r="N7" i="8"/>
  <c r="O7" i="8"/>
  <c r="P7" i="8" s="1"/>
  <c r="S7" i="8" s="1"/>
  <c r="J8" i="8"/>
  <c r="K8" i="8"/>
  <c r="L8" i="8"/>
  <c r="M8" i="8"/>
  <c r="N8" i="8"/>
  <c r="O8" i="8"/>
  <c r="P8" i="8"/>
  <c r="S8" i="8" s="1"/>
  <c r="Q8" i="8"/>
  <c r="R8" i="8" s="1"/>
  <c r="J9" i="8"/>
  <c r="K9" i="8"/>
  <c r="Q9" i="8" s="1"/>
  <c r="R9" i="8" s="1"/>
  <c r="L9" i="8"/>
  <c r="M9" i="8"/>
  <c r="N9" i="8"/>
  <c r="O9" i="8"/>
  <c r="P9" i="8"/>
  <c r="S9" i="8" s="1"/>
  <c r="J10" i="8"/>
  <c r="Q10" i="8" s="1"/>
  <c r="R10" i="8" s="1"/>
  <c r="K10" i="8"/>
  <c r="L10" i="8"/>
  <c r="M10" i="8"/>
  <c r="N10" i="8"/>
  <c r="O10" i="8"/>
  <c r="P10" i="8" s="1"/>
  <c r="S10" i="8" s="1"/>
  <c r="J11" i="8"/>
  <c r="Q11" i="8" s="1"/>
  <c r="R11" i="8" s="1"/>
  <c r="K11" i="8"/>
  <c r="L11" i="8"/>
  <c r="M11" i="8"/>
  <c r="N11" i="8"/>
  <c r="O11" i="8"/>
  <c r="P11" i="8" s="1"/>
  <c r="S11" i="8" s="1"/>
  <c r="J12" i="8"/>
  <c r="K12" i="8"/>
  <c r="L12" i="8"/>
  <c r="M12" i="8"/>
  <c r="N12" i="8"/>
  <c r="O12" i="8"/>
  <c r="P12" i="8"/>
  <c r="Q12" i="8"/>
  <c r="R12" i="8" s="1"/>
  <c r="J13" i="8"/>
  <c r="K13" i="8"/>
  <c r="Q13" i="8" s="1"/>
  <c r="R13" i="8" s="1"/>
  <c r="L13" i="8"/>
  <c r="M13" i="8"/>
  <c r="N13" i="8"/>
  <c r="O13" i="8"/>
  <c r="P13" i="8"/>
  <c r="J14" i="8"/>
  <c r="Q14" i="8" s="1"/>
  <c r="R14" i="8" s="1"/>
  <c r="K14" i="8"/>
  <c r="L14" i="8"/>
  <c r="M14" i="8"/>
  <c r="N14" i="8"/>
  <c r="O14" i="8"/>
  <c r="P14" i="8" s="1"/>
  <c r="S14" i="8" s="1"/>
  <c r="J15" i="8"/>
  <c r="Q15" i="8" s="1"/>
  <c r="R15" i="8" s="1"/>
  <c r="K15" i="8"/>
  <c r="L15" i="8"/>
  <c r="M15" i="8"/>
  <c r="N15" i="8"/>
  <c r="O15" i="8"/>
  <c r="P15" i="8" s="1"/>
  <c r="J16" i="8"/>
  <c r="K16" i="8"/>
  <c r="L16" i="8"/>
  <c r="M16" i="8"/>
  <c r="N16" i="8"/>
  <c r="O16" i="8"/>
  <c r="P16" i="8"/>
  <c r="S16" i="8" s="1"/>
  <c r="Q16" i="8"/>
  <c r="R16" i="8" s="1"/>
  <c r="J17" i="8"/>
  <c r="K17" i="8"/>
  <c r="Q17" i="8" s="1"/>
  <c r="R17" i="8" s="1"/>
  <c r="L17" i="8"/>
  <c r="M17" i="8"/>
  <c r="N17" i="8"/>
  <c r="O17" i="8"/>
  <c r="P17" i="8"/>
  <c r="S17" i="8" s="1"/>
  <c r="J18" i="8"/>
  <c r="Q18" i="8" s="1"/>
  <c r="R18" i="8" s="1"/>
  <c r="K18" i="8"/>
  <c r="L18" i="8"/>
  <c r="M18" i="8"/>
  <c r="N18" i="8"/>
  <c r="O18" i="8"/>
  <c r="P18" i="8" s="1"/>
  <c r="S18" i="8" s="1"/>
  <c r="J19" i="8"/>
  <c r="Q19" i="8" s="1"/>
  <c r="R19" i="8" s="1"/>
  <c r="K19" i="8"/>
  <c r="L19" i="8"/>
  <c r="M19" i="8"/>
  <c r="N19" i="8"/>
  <c r="O19" i="8"/>
  <c r="P19" i="8" s="1"/>
  <c r="S19" i="8" s="1"/>
  <c r="J20" i="8"/>
  <c r="K20" i="8"/>
  <c r="L20" i="8"/>
  <c r="M20" i="8"/>
  <c r="N20" i="8"/>
  <c r="O20" i="8"/>
  <c r="P20" i="8"/>
  <c r="S20" i="8" s="1"/>
  <c r="Q20" i="8"/>
  <c r="R20" i="8" s="1"/>
  <c r="J21" i="8"/>
  <c r="K21" i="8"/>
  <c r="Q21" i="8" s="1"/>
  <c r="R21" i="8" s="1"/>
  <c r="L21" i="8"/>
  <c r="M21" i="8"/>
  <c r="N21" i="8"/>
  <c r="O21" i="8"/>
  <c r="P21" i="8"/>
  <c r="S21" i="8" s="1"/>
  <c r="J22" i="8"/>
  <c r="Q22" i="8" s="1"/>
  <c r="R22" i="8" s="1"/>
  <c r="K22" i="8"/>
  <c r="L22" i="8"/>
  <c r="M22" i="8"/>
  <c r="N22" i="8"/>
  <c r="O22" i="8"/>
  <c r="P22" i="8" s="1"/>
  <c r="J23" i="8"/>
  <c r="Q23" i="8" s="1"/>
  <c r="R23" i="8" s="1"/>
  <c r="K23" i="8"/>
  <c r="L23" i="8"/>
  <c r="M23" i="8"/>
  <c r="N23" i="8"/>
  <c r="O23" i="8"/>
  <c r="P23" i="8" s="1"/>
  <c r="S23" i="8" s="1"/>
  <c r="J24" i="8"/>
  <c r="K24" i="8"/>
  <c r="L24" i="8"/>
  <c r="M24" i="8"/>
  <c r="N24" i="8"/>
  <c r="O24" i="8"/>
  <c r="P24" i="8"/>
  <c r="S24" i="8" s="1"/>
  <c r="Q24" i="8"/>
  <c r="R24" i="8" s="1"/>
  <c r="J25" i="8"/>
  <c r="K25" i="8"/>
  <c r="Q25" i="8" s="1"/>
  <c r="R25" i="8" s="1"/>
  <c r="L25" i="8"/>
  <c r="M25" i="8"/>
  <c r="N25" i="8"/>
  <c r="O25" i="8"/>
  <c r="P25" i="8"/>
  <c r="S25" i="8" s="1"/>
  <c r="J26" i="8"/>
  <c r="Q26" i="8" s="1"/>
  <c r="R26" i="8" s="1"/>
  <c r="K26" i="8"/>
  <c r="L26" i="8"/>
  <c r="M26" i="8"/>
  <c r="N26" i="8"/>
  <c r="O26" i="8"/>
  <c r="P26" i="8" s="1"/>
  <c r="S26" i="8" s="1"/>
  <c r="J27" i="8"/>
  <c r="Q27" i="8" s="1"/>
  <c r="R27" i="8" s="1"/>
  <c r="K27" i="8"/>
  <c r="L27" i="8"/>
  <c r="M27" i="8"/>
  <c r="N27" i="8"/>
  <c r="O27" i="8"/>
  <c r="P27" i="8" s="1"/>
  <c r="S27" i="8" s="1"/>
  <c r="B3" i="5"/>
  <c r="C3" i="5" s="1"/>
  <c r="D3" i="5" s="1"/>
  <c r="B37" i="5" s="1"/>
  <c r="E37" i="5" s="1"/>
  <c r="A4" i="5"/>
  <c r="B28" i="5"/>
  <c r="C28" i="5"/>
  <c r="D28" i="5" s="1"/>
  <c r="B62" i="5" s="1"/>
  <c r="E62" i="5" s="1"/>
  <c r="B29" i="5"/>
  <c r="C29" i="5" s="1"/>
  <c r="B30" i="5"/>
  <c r="C30" i="5" s="1"/>
  <c r="B31" i="5"/>
  <c r="C31" i="5" s="1"/>
  <c r="D31" i="5" s="1"/>
  <c r="B65" i="5" s="1"/>
  <c r="E65" i="5" s="1"/>
  <c r="B32" i="5"/>
  <c r="C32" i="5"/>
  <c r="D32" i="5" s="1"/>
  <c r="B66" i="5" s="1"/>
  <c r="E66" i="5" s="1"/>
  <c r="A38" i="5"/>
  <c r="A39" i="5"/>
  <c r="A40" i="5"/>
  <c r="A41" i="5" s="1"/>
  <c r="A42" i="5" s="1"/>
  <c r="A43" i="5" s="1"/>
  <c r="A44" i="5" s="1"/>
  <c r="A45" i="5" s="1"/>
  <c r="A46" i="5" s="1"/>
  <c r="A47" i="5" s="1"/>
  <c r="A48" i="5" s="1"/>
  <c r="A49" i="5" s="1"/>
  <c r="E70" i="5"/>
  <c r="E71" i="5"/>
  <c r="E72" i="5"/>
  <c r="E73" i="5"/>
  <c r="E74" i="5"/>
  <c r="E75" i="5"/>
  <c r="E76" i="5"/>
  <c r="E77" i="5"/>
  <c r="E78" i="5"/>
  <c r="E79" i="5"/>
  <c r="R324" i="2" s="1"/>
  <c r="E80" i="5"/>
  <c r="R292" i="2" s="1"/>
  <c r="E81" i="5"/>
  <c r="R308" i="2" s="1"/>
  <c r="I142" i="4"/>
  <c r="I142" i="12" s="1"/>
  <c r="K142" i="4"/>
  <c r="K142" i="12" s="1"/>
  <c r="M142" i="4"/>
  <c r="M142" i="12" s="1"/>
  <c r="O142" i="4"/>
  <c r="O142" i="12" s="1"/>
  <c r="Q142" i="4"/>
  <c r="P142" i="12" s="1"/>
  <c r="I143" i="4"/>
  <c r="I143" i="12" s="1"/>
  <c r="O143" i="4"/>
  <c r="O143" i="12" s="1"/>
  <c r="Q143" i="4"/>
  <c r="P143" i="12" s="1"/>
  <c r="O144" i="4"/>
  <c r="O145" i="4" s="1"/>
  <c r="O145" i="12" s="1"/>
  <c r="G148" i="4"/>
  <c r="F148" i="12" s="1"/>
  <c r="G149" i="4"/>
  <c r="F149" i="12" s="1"/>
  <c r="G150" i="4"/>
  <c r="G151" i="4"/>
  <c r="C3" i="3"/>
  <c r="B3" i="11" s="1"/>
  <c r="D3" i="3"/>
  <c r="X3" i="3"/>
  <c r="Y3" i="3"/>
  <c r="Z3" i="3"/>
  <c r="AE3" i="3" s="1"/>
  <c r="AG3" i="3" s="1"/>
  <c r="AA3" i="3"/>
  <c r="C4" i="3"/>
  <c r="B4" i="11" s="1"/>
  <c r="D4" i="3"/>
  <c r="X4" i="3"/>
  <c r="Y4" i="3" s="1"/>
  <c r="I4" i="11" s="1"/>
  <c r="Z4" i="3"/>
  <c r="AE4" i="3" s="1"/>
  <c r="AA4" i="3"/>
  <c r="C5" i="3"/>
  <c r="D5" i="3"/>
  <c r="X5" i="3"/>
  <c r="Y5" i="3"/>
  <c r="I5" i="11" s="1"/>
  <c r="Z5" i="3"/>
  <c r="AE5" i="3" s="1"/>
  <c r="AG5" i="3" s="1"/>
  <c r="AA5" i="3"/>
  <c r="C6" i="3"/>
  <c r="B6" i="11" s="1"/>
  <c r="D6" i="3"/>
  <c r="X6" i="3"/>
  <c r="Y6" i="3" s="1"/>
  <c r="I6" i="11" s="1"/>
  <c r="Z6" i="3"/>
  <c r="AE6" i="3" s="1"/>
  <c r="AA6" i="3"/>
  <c r="C7" i="3"/>
  <c r="B7" i="11" s="1"/>
  <c r="D7" i="3"/>
  <c r="X7" i="3"/>
  <c r="Y7" i="3"/>
  <c r="I7" i="11" s="1"/>
  <c r="Z7" i="3"/>
  <c r="AE7" i="3" s="1"/>
  <c r="AA7" i="3"/>
  <c r="C9" i="3"/>
  <c r="B9" i="11" s="1"/>
  <c r="D9" i="3"/>
  <c r="X9" i="3"/>
  <c r="Y9" i="3" s="1"/>
  <c r="I9" i="11" s="1"/>
  <c r="Z9" i="3"/>
  <c r="AE9" i="3" s="1"/>
  <c r="AA9" i="3"/>
  <c r="C10" i="3"/>
  <c r="B10" i="11" s="1"/>
  <c r="D10" i="3"/>
  <c r="U10" i="3" s="1"/>
  <c r="X10" i="3"/>
  <c r="Y10" i="3"/>
  <c r="I10" i="11" s="1"/>
  <c r="Z10" i="3"/>
  <c r="AE10" i="3" s="1"/>
  <c r="AA10" i="3"/>
  <c r="C11" i="3"/>
  <c r="B11" i="11" s="1"/>
  <c r="D11" i="3"/>
  <c r="X11" i="3"/>
  <c r="Y11" i="3" s="1"/>
  <c r="I11" i="11" s="1"/>
  <c r="Z11" i="3"/>
  <c r="AE11" i="3" s="1"/>
  <c r="AA11" i="3"/>
  <c r="C12" i="3"/>
  <c r="B12" i="11" s="1"/>
  <c r="D12" i="3"/>
  <c r="X12" i="3"/>
  <c r="Y12" i="3"/>
  <c r="I12" i="11" s="1"/>
  <c r="Z12" i="3"/>
  <c r="AE12" i="3" s="1"/>
  <c r="AA12" i="3"/>
  <c r="C13" i="3"/>
  <c r="B13" i="11" s="1"/>
  <c r="D13" i="3"/>
  <c r="X13" i="3"/>
  <c r="Y13" i="3" s="1"/>
  <c r="I13" i="11" s="1"/>
  <c r="Z13" i="3"/>
  <c r="AE13" i="3" s="1"/>
  <c r="AA13" i="3"/>
  <c r="C15" i="3"/>
  <c r="B15" i="11" s="1"/>
  <c r="D15" i="3"/>
  <c r="U15" i="3" s="1"/>
  <c r="X15" i="3"/>
  <c r="Y15" i="3"/>
  <c r="I15" i="11" s="1"/>
  <c r="Z15" i="3"/>
  <c r="AE15" i="3" s="1"/>
  <c r="AA15" i="3"/>
  <c r="C16" i="3"/>
  <c r="B16" i="11" s="1"/>
  <c r="D16" i="3"/>
  <c r="X16" i="3"/>
  <c r="Y16" i="3" s="1"/>
  <c r="I16" i="11" s="1"/>
  <c r="Z16" i="3"/>
  <c r="AE16" i="3" s="1"/>
  <c r="AA16" i="3"/>
  <c r="C17" i="3"/>
  <c r="B17" i="11" s="1"/>
  <c r="D17" i="3"/>
  <c r="U17" i="3" s="1"/>
  <c r="X17" i="3"/>
  <c r="Y17" i="3"/>
  <c r="I17" i="11" s="1"/>
  <c r="Z17" i="3"/>
  <c r="AE17" i="3" s="1"/>
  <c r="AA17" i="3"/>
  <c r="C18" i="3"/>
  <c r="B18" i="11" s="1"/>
  <c r="D18" i="3"/>
  <c r="X18" i="3"/>
  <c r="Y18" i="3" s="1"/>
  <c r="I18" i="11" s="1"/>
  <c r="Z18" i="3"/>
  <c r="AE18" i="3" s="1"/>
  <c r="AA18" i="3"/>
  <c r="C19" i="3"/>
  <c r="B19" i="11" s="1"/>
  <c r="D19" i="3"/>
  <c r="X19" i="3"/>
  <c r="Y19" i="3"/>
  <c r="I19" i="11" s="1"/>
  <c r="Z19" i="3"/>
  <c r="AE19" i="3" s="1"/>
  <c r="AA19" i="3"/>
  <c r="C21" i="3"/>
  <c r="B21" i="11" s="1"/>
  <c r="D21" i="3"/>
  <c r="X21" i="3"/>
  <c r="Y21" i="3" s="1"/>
  <c r="I21" i="11" s="1"/>
  <c r="Z21" i="3"/>
  <c r="AE21" i="3" s="1"/>
  <c r="AA21" i="3"/>
  <c r="C22" i="3"/>
  <c r="B22" i="11" s="1"/>
  <c r="D22" i="3"/>
  <c r="U22" i="3" s="1"/>
  <c r="X22" i="3"/>
  <c r="Y22" i="3"/>
  <c r="I22" i="11" s="1"/>
  <c r="Z22" i="3"/>
  <c r="AE22" i="3" s="1"/>
  <c r="AA22" i="3"/>
  <c r="C23" i="3"/>
  <c r="B23" i="11" s="1"/>
  <c r="D23" i="3"/>
  <c r="X23" i="3"/>
  <c r="Y23" i="3" s="1"/>
  <c r="I23" i="11" s="1"/>
  <c r="Z23" i="3"/>
  <c r="AE23" i="3" s="1"/>
  <c r="AA23" i="3"/>
  <c r="C24" i="3"/>
  <c r="B24" i="11" s="1"/>
  <c r="D24" i="3"/>
  <c r="X24" i="3"/>
  <c r="Y24" i="3"/>
  <c r="I24" i="11" s="1"/>
  <c r="Z24" i="3"/>
  <c r="AE24" i="3" s="1"/>
  <c r="AA24" i="3"/>
  <c r="C25" i="3"/>
  <c r="B25" i="11" s="1"/>
  <c r="D25" i="3"/>
  <c r="X25" i="3"/>
  <c r="Y25" i="3" s="1"/>
  <c r="I25" i="11" s="1"/>
  <c r="Z25" i="3"/>
  <c r="AE25" i="3" s="1"/>
  <c r="AA25" i="3"/>
  <c r="C27" i="3"/>
  <c r="B27" i="11" s="1"/>
  <c r="D27" i="3"/>
  <c r="U27" i="3" s="1"/>
  <c r="X27" i="3"/>
  <c r="Y27" i="3"/>
  <c r="I27" i="11" s="1"/>
  <c r="Z27" i="3"/>
  <c r="AE27" i="3" s="1"/>
  <c r="AA27" i="3"/>
  <c r="C28" i="3"/>
  <c r="B28" i="11" s="1"/>
  <c r="D28" i="3"/>
  <c r="X28" i="3"/>
  <c r="Y28" i="3" s="1"/>
  <c r="I28" i="11" s="1"/>
  <c r="Z28" i="3"/>
  <c r="AE28" i="3" s="1"/>
  <c r="AA28" i="3"/>
  <c r="C29" i="3"/>
  <c r="B29" i="11" s="1"/>
  <c r="D29" i="3"/>
  <c r="U29" i="3" s="1"/>
  <c r="X29" i="3"/>
  <c r="Y29" i="3"/>
  <c r="I29" i="11" s="1"/>
  <c r="Z29" i="3"/>
  <c r="AE29" i="3" s="1"/>
  <c r="AA29" i="3"/>
  <c r="C30" i="3"/>
  <c r="B30" i="11" s="1"/>
  <c r="D30" i="3"/>
  <c r="X30" i="3"/>
  <c r="Y30" i="3" s="1"/>
  <c r="I30" i="11" s="1"/>
  <c r="Z30" i="3"/>
  <c r="AE30" i="3" s="1"/>
  <c r="AA30" i="3"/>
  <c r="C31" i="3"/>
  <c r="B31" i="11" s="1"/>
  <c r="D31" i="3"/>
  <c r="X31" i="3"/>
  <c r="Y31" i="3"/>
  <c r="I31" i="11" s="1"/>
  <c r="Z31" i="3"/>
  <c r="AE31" i="3" s="1"/>
  <c r="AA31" i="3"/>
  <c r="C33" i="3"/>
  <c r="B33" i="11" s="1"/>
  <c r="X33" i="3"/>
  <c r="Y33" i="3" s="1"/>
  <c r="I33" i="11" s="1"/>
  <c r="Z33" i="3"/>
  <c r="AA33" i="3"/>
  <c r="AB33" i="3"/>
  <c r="C34" i="3"/>
  <c r="B34" i="11" s="1"/>
  <c r="X34" i="3"/>
  <c r="Y34" i="3" s="1"/>
  <c r="I34" i="11" s="1"/>
  <c r="Z34" i="3"/>
  <c r="AB34" i="3"/>
  <c r="C35" i="3"/>
  <c r="B35" i="11" s="1"/>
  <c r="X35" i="3"/>
  <c r="Y35" i="3"/>
  <c r="I35" i="11" s="1"/>
  <c r="Z35" i="3"/>
  <c r="AA35" i="3"/>
  <c r="AB35" i="3"/>
  <c r="C36" i="3"/>
  <c r="B36" i="11" s="1"/>
  <c r="X36" i="3"/>
  <c r="Y36" i="3"/>
  <c r="I36" i="11" s="1"/>
  <c r="AA36" i="3"/>
  <c r="AB36" i="3"/>
  <c r="C38" i="3"/>
  <c r="B38" i="11" s="1"/>
  <c r="X38" i="3"/>
  <c r="Y38" i="3" s="1"/>
  <c r="I38" i="11" s="1"/>
  <c r="Z38" i="3"/>
  <c r="AA38" i="3"/>
  <c r="AB38" i="3"/>
  <c r="C39" i="3"/>
  <c r="B39" i="11" s="1"/>
  <c r="X39" i="3"/>
  <c r="Y39" i="3" s="1"/>
  <c r="I39" i="11" s="1"/>
  <c r="Z39" i="3"/>
  <c r="AB39" i="3"/>
  <c r="C40" i="3"/>
  <c r="B40" i="11" s="1"/>
  <c r="X40" i="3"/>
  <c r="Y40" i="3"/>
  <c r="Z40" i="3"/>
  <c r="AA40" i="3"/>
  <c r="AB40" i="3"/>
  <c r="C41" i="3"/>
  <c r="B41" i="11" s="1"/>
  <c r="X41" i="3"/>
  <c r="Y41" i="3"/>
  <c r="I41" i="11" s="1"/>
  <c r="AA41" i="3"/>
  <c r="AB41" i="3"/>
  <c r="C43" i="3"/>
  <c r="B43" i="11" s="1"/>
  <c r="X43" i="3"/>
  <c r="Y43" i="3" s="1"/>
  <c r="I43" i="11" s="1"/>
  <c r="Z43" i="3"/>
  <c r="AA43" i="3"/>
  <c r="AB43" i="3"/>
  <c r="C44" i="3"/>
  <c r="B44" i="11" s="1"/>
  <c r="X44" i="3"/>
  <c r="Y44" i="3" s="1"/>
  <c r="I44" i="11" s="1"/>
  <c r="Z44" i="3"/>
  <c r="AB44" i="3"/>
  <c r="C45" i="3"/>
  <c r="B45" i="11" s="1"/>
  <c r="X45" i="3"/>
  <c r="Y45" i="3" s="1"/>
  <c r="I45" i="11" s="1"/>
  <c r="Z45" i="3"/>
  <c r="AA45" i="3"/>
  <c r="AB45" i="3"/>
  <c r="C46" i="3"/>
  <c r="B46" i="11" s="1"/>
  <c r="X46" i="3"/>
  <c r="Y46" i="3" s="1"/>
  <c r="I46" i="11" s="1"/>
  <c r="AA46" i="3"/>
  <c r="AB46" i="3"/>
  <c r="C48" i="3"/>
  <c r="B48" i="11" s="1"/>
  <c r="X48" i="3"/>
  <c r="Y48" i="3" s="1"/>
  <c r="I48" i="11" s="1"/>
  <c r="Z48" i="3"/>
  <c r="AA48" i="3"/>
  <c r="AB48" i="3"/>
  <c r="C49" i="3"/>
  <c r="B49" i="11" s="1"/>
  <c r="X49" i="3"/>
  <c r="Y49" i="3" s="1"/>
  <c r="I49" i="11" s="1"/>
  <c r="Z49" i="3"/>
  <c r="AB49" i="3"/>
  <c r="C50" i="3"/>
  <c r="B50" i="11" s="1"/>
  <c r="X50" i="3"/>
  <c r="Y50" i="3" s="1"/>
  <c r="I50" i="11" s="1"/>
  <c r="Z50" i="3"/>
  <c r="AA50" i="3"/>
  <c r="AB50" i="3"/>
  <c r="C51" i="3"/>
  <c r="B51" i="11" s="1"/>
  <c r="X51" i="3"/>
  <c r="Y51" i="3" s="1"/>
  <c r="I51" i="11" s="1"/>
  <c r="AA51" i="3"/>
  <c r="AB51" i="3"/>
  <c r="C53" i="3"/>
  <c r="B53" i="11" s="1"/>
  <c r="X53" i="3"/>
  <c r="Y53" i="3" s="1"/>
  <c r="I53" i="11" s="1"/>
  <c r="Z53" i="3"/>
  <c r="AA53" i="3"/>
  <c r="AB53" i="3"/>
  <c r="C54" i="3"/>
  <c r="B54" i="11" s="1"/>
  <c r="X54" i="3"/>
  <c r="Y54" i="3" s="1"/>
  <c r="I54" i="11" s="1"/>
  <c r="Z54" i="3"/>
  <c r="AB54" i="3"/>
  <c r="C55" i="3"/>
  <c r="B55" i="11" s="1"/>
  <c r="X55" i="3"/>
  <c r="Y55" i="3" s="1"/>
  <c r="I55" i="11" s="1"/>
  <c r="Z55" i="3"/>
  <c r="AA55" i="3"/>
  <c r="AB55" i="3"/>
  <c r="C56" i="3"/>
  <c r="B56" i="11" s="1"/>
  <c r="X56" i="3"/>
  <c r="Y56" i="3" s="1"/>
  <c r="I56" i="11" s="1"/>
  <c r="AA56" i="3"/>
  <c r="AB56" i="3"/>
  <c r="C69" i="3"/>
  <c r="B69" i="11" s="1"/>
  <c r="D69" i="3"/>
  <c r="U69" i="3" s="1"/>
  <c r="V69" i="3" s="1"/>
  <c r="Z69" i="3"/>
  <c r="AE69" i="3" s="1"/>
  <c r="AA69" i="3"/>
  <c r="AM69" i="3"/>
  <c r="C70" i="3"/>
  <c r="B70" i="11" s="1"/>
  <c r="D70" i="3"/>
  <c r="U70" i="3" s="1"/>
  <c r="V70" i="3" s="1"/>
  <c r="Z70" i="3"/>
  <c r="AE70" i="3" s="1"/>
  <c r="AA70" i="3"/>
  <c r="AM70" i="3"/>
  <c r="C71" i="3"/>
  <c r="B71" i="11" s="1"/>
  <c r="D71" i="3"/>
  <c r="Z71" i="3"/>
  <c r="AE71" i="3" s="1"/>
  <c r="AA71" i="3"/>
  <c r="AB71" i="3"/>
  <c r="AM71" i="3"/>
  <c r="C72" i="3"/>
  <c r="B72" i="11" s="1"/>
  <c r="D72" i="3"/>
  <c r="Z72" i="3"/>
  <c r="AE72" i="3" s="1"/>
  <c r="AA72" i="3"/>
  <c r="AB72" i="3"/>
  <c r="AM72" i="3"/>
  <c r="C73" i="3"/>
  <c r="B73" i="11" s="1"/>
  <c r="D73" i="3"/>
  <c r="Z73" i="3"/>
  <c r="AE73" i="3" s="1"/>
  <c r="AA73" i="3"/>
  <c r="AB73" i="3"/>
  <c r="AC73" i="3"/>
  <c r="AM73" i="3"/>
  <c r="C75" i="3"/>
  <c r="B75" i="11" s="1"/>
  <c r="D75" i="3"/>
  <c r="U75" i="3" s="1"/>
  <c r="V75" i="3" s="1"/>
  <c r="Z75" i="3"/>
  <c r="AE75" i="3" s="1"/>
  <c r="AA75" i="3"/>
  <c r="AM75" i="3"/>
  <c r="C76" i="3"/>
  <c r="B76" i="11" s="1"/>
  <c r="D76" i="3"/>
  <c r="U76" i="3" s="1"/>
  <c r="V76" i="3" s="1"/>
  <c r="Z76" i="3"/>
  <c r="AE76" i="3" s="1"/>
  <c r="AA76" i="3"/>
  <c r="AM76" i="3"/>
  <c r="C77" i="3"/>
  <c r="B77" i="11" s="1"/>
  <c r="D77" i="3"/>
  <c r="U77" i="3" s="1"/>
  <c r="V77" i="3" s="1"/>
  <c r="Z77" i="3"/>
  <c r="AE77" i="3" s="1"/>
  <c r="AA77" i="3"/>
  <c r="AB77" i="3"/>
  <c r="AM77" i="3"/>
  <c r="C78" i="3"/>
  <c r="B78" i="11" s="1"/>
  <c r="D78" i="3"/>
  <c r="Z78" i="3"/>
  <c r="AE78" i="3" s="1"/>
  <c r="AA78" i="3"/>
  <c r="AB78" i="3"/>
  <c r="AM78" i="3"/>
  <c r="C79" i="3"/>
  <c r="B79" i="11" s="1"/>
  <c r="D79" i="3"/>
  <c r="Z79" i="3"/>
  <c r="AE79" i="3" s="1"/>
  <c r="AA79" i="3"/>
  <c r="AB79" i="3"/>
  <c r="AC79" i="3"/>
  <c r="AM79" i="3"/>
  <c r="C81" i="3"/>
  <c r="B81" i="11" s="1"/>
  <c r="D81" i="3"/>
  <c r="U81" i="3" s="1"/>
  <c r="V81" i="3" s="1"/>
  <c r="Z81" i="3"/>
  <c r="AE81" i="3" s="1"/>
  <c r="AA81" i="3"/>
  <c r="AM81" i="3"/>
  <c r="C82" i="3"/>
  <c r="B82" i="11" s="1"/>
  <c r="D82" i="3"/>
  <c r="U82" i="3" s="1"/>
  <c r="V82" i="3" s="1"/>
  <c r="Z82" i="3"/>
  <c r="AE82" i="3" s="1"/>
  <c r="AA82" i="3"/>
  <c r="AM82" i="3"/>
  <c r="C83" i="3"/>
  <c r="B83" i="11" s="1"/>
  <c r="D83" i="3"/>
  <c r="U83" i="3" s="1"/>
  <c r="V83" i="3" s="1"/>
  <c r="Z83" i="3"/>
  <c r="AE83" i="3" s="1"/>
  <c r="AA83" i="3"/>
  <c r="AB83" i="3"/>
  <c r="AM83" i="3"/>
  <c r="C84" i="3"/>
  <c r="B84" i="11" s="1"/>
  <c r="D84" i="3"/>
  <c r="Z84" i="3"/>
  <c r="AE84" i="3" s="1"/>
  <c r="AA84" i="3"/>
  <c r="AB84" i="3"/>
  <c r="AM84" i="3"/>
  <c r="C85" i="3"/>
  <c r="B85" i="11" s="1"/>
  <c r="D85" i="3"/>
  <c r="Z85" i="3"/>
  <c r="AE85" i="3" s="1"/>
  <c r="AA85" i="3"/>
  <c r="AB85" i="3"/>
  <c r="AC85" i="3"/>
  <c r="AM85" i="3"/>
  <c r="C87" i="3"/>
  <c r="B87" i="11" s="1"/>
  <c r="D87" i="3"/>
  <c r="Z87" i="3"/>
  <c r="AE87" i="3" s="1"/>
  <c r="AA87" i="3"/>
  <c r="AM87" i="3"/>
  <c r="C88" i="3"/>
  <c r="B88" i="11" s="1"/>
  <c r="D88" i="3"/>
  <c r="U88" i="3" s="1"/>
  <c r="V88" i="3" s="1"/>
  <c r="X88" i="3" s="1"/>
  <c r="Y88" i="3" s="1"/>
  <c r="I88" i="11" s="1"/>
  <c r="Z88" i="3"/>
  <c r="AE88" i="3" s="1"/>
  <c r="AA88" i="3"/>
  <c r="AM88" i="3"/>
  <c r="C89" i="3"/>
  <c r="B89" i="11" s="1"/>
  <c r="D89" i="3"/>
  <c r="Z89" i="3"/>
  <c r="AE89" i="3" s="1"/>
  <c r="AA89" i="3"/>
  <c r="AM89" i="3"/>
  <c r="C90" i="3"/>
  <c r="B90" i="11" s="1"/>
  <c r="D90" i="3"/>
  <c r="U90" i="3" s="1"/>
  <c r="V90" i="3" s="1"/>
  <c r="X90" i="3" s="1"/>
  <c r="Y90" i="3" s="1"/>
  <c r="Z90" i="3"/>
  <c r="AE90" i="3" s="1"/>
  <c r="AA90" i="3"/>
  <c r="AM90" i="3"/>
  <c r="C91" i="3"/>
  <c r="B91" i="11" s="1"/>
  <c r="D91" i="3"/>
  <c r="U91" i="3" s="1"/>
  <c r="V91" i="3" s="1"/>
  <c r="X91" i="3" s="1"/>
  <c r="Y91" i="3" s="1"/>
  <c r="I91" i="11" s="1"/>
  <c r="Z91" i="3"/>
  <c r="AE91" i="3" s="1"/>
  <c r="AA91" i="3"/>
  <c r="AB91" i="3"/>
  <c r="AM91" i="3"/>
  <c r="C92" i="3"/>
  <c r="B92" i="11" s="1"/>
  <c r="D92" i="3"/>
  <c r="Z92" i="3"/>
  <c r="AE92" i="3" s="1"/>
  <c r="AA92" i="3"/>
  <c r="AB92" i="3"/>
  <c r="AM92" i="3"/>
  <c r="C93" i="3"/>
  <c r="B93" i="11" s="1"/>
  <c r="D93" i="3"/>
  <c r="Z93" i="3"/>
  <c r="AE93" i="3" s="1"/>
  <c r="AA93" i="3"/>
  <c r="AB93" i="3"/>
  <c r="AM93" i="3"/>
  <c r="C94" i="3"/>
  <c r="B94" i="11" s="1"/>
  <c r="D94" i="3"/>
  <c r="Z94" i="3"/>
  <c r="AE94" i="3" s="1"/>
  <c r="AA94" i="3"/>
  <c r="AB94" i="3"/>
  <c r="AM94" i="3"/>
  <c r="C95" i="3"/>
  <c r="B95" i="11" s="1"/>
  <c r="D95" i="3"/>
  <c r="Z95" i="3"/>
  <c r="AE95" i="3" s="1"/>
  <c r="AA95" i="3"/>
  <c r="AB95" i="3"/>
  <c r="AC95" i="3"/>
  <c r="AM95" i="3"/>
  <c r="C96" i="3"/>
  <c r="B96" i="11" s="1"/>
  <c r="D96" i="3"/>
  <c r="Z96" i="3"/>
  <c r="AE96" i="3" s="1"/>
  <c r="AA96" i="3"/>
  <c r="AB96" i="3"/>
  <c r="AC96" i="3"/>
  <c r="AM96" i="3"/>
  <c r="C98" i="3"/>
  <c r="B98" i="11" s="1"/>
  <c r="D98" i="3"/>
  <c r="U98" i="3" s="1"/>
  <c r="V98" i="3" s="1"/>
  <c r="X98" i="3" s="1"/>
  <c r="Y98" i="3" s="1"/>
  <c r="I98" i="11" s="1"/>
  <c r="Z98" i="3"/>
  <c r="AE98" i="3" s="1"/>
  <c r="AA98" i="3"/>
  <c r="C99" i="3"/>
  <c r="B99" i="11" s="1"/>
  <c r="D99" i="3"/>
  <c r="U99" i="3" s="1"/>
  <c r="V99" i="3" s="1"/>
  <c r="X99" i="3" s="1"/>
  <c r="Z99" i="3"/>
  <c r="AE99" i="3" s="1"/>
  <c r="AA99" i="3"/>
  <c r="C100" i="3"/>
  <c r="B100" i="11" s="1"/>
  <c r="D100" i="3"/>
  <c r="U100" i="3" s="1"/>
  <c r="V100" i="3" s="1"/>
  <c r="X100" i="3" s="1"/>
  <c r="Y100" i="3" s="1"/>
  <c r="I100" i="11" s="1"/>
  <c r="Z100" i="3"/>
  <c r="AE100" i="3" s="1"/>
  <c r="AA100" i="3"/>
  <c r="AB100" i="3"/>
  <c r="C101" i="3"/>
  <c r="B101" i="11" s="1"/>
  <c r="D101" i="3"/>
  <c r="Z101" i="3"/>
  <c r="AE101" i="3" s="1"/>
  <c r="AA101" i="3"/>
  <c r="AB101" i="3"/>
  <c r="C102" i="3"/>
  <c r="B102" i="11" s="1"/>
  <c r="D102" i="3"/>
  <c r="Z102" i="3"/>
  <c r="AE102" i="3" s="1"/>
  <c r="AA102" i="3"/>
  <c r="AB102" i="3"/>
  <c r="C103" i="3"/>
  <c r="B103" i="11" s="1"/>
  <c r="D103" i="3"/>
  <c r="Z103" i="3"/>
  <c r="AE103" i="3" s="1"/>
  <c r="AA103" i="3"/>
  <c r="AB103" i="3"/>
  <c r="C104" i="3"/>
  <c r="B104" i="11" s="1"/>
  <c r="D104" i="3"/>
  <c r="Z104" i="3"/>
  <c r="AE104" i="3" s="1"/>
  <c r="AA104" i="3"/>
  <c r="AB104" i="3"/>
  <c r="AC104" i="3"/>
  <c r="C105" i="3"/>
  <c r="B105" i="11" s="1"/>
  <c r="D105" i="3"/>
  <c r="Z105" i="3"/>
  <c r="AE105" i="3" s="1"/>
  <c r="AA105" i="3"/>
  <c r="AB105" i="3"/>
  <c r="AC105" i="3"/>
  <c r="C107" i="3"/>
  <c r="B107" i="11" s="1"/>
  <c r="D107" i="3"/>
  <c r="U107" i="3" s="1"/>
  <c r="V107" i="3" s="1"/>
  <c r="X107" i="3" s="1"/>
  <c r="Z107" i="3"/>
  <c r="AE107" i="3" s="1"/>
  <c r="AA107" i="3"/>
  <c r="C108" i="3"/>
  <c r="B108" i="11" s="1"/>
  <c r="D108" i="3"/>
  <c r="Z108" i="3"/>
  <c r="AE108" i="3" s="1"/>
  <c r="AA108" i="3"/>
  <c r="C109" i="3"/>
  <c r="B109" i="11" s="1"/>
  <c r="D109" i="3"/>
  <c r="U109" i="3" s="1"/>
  <c r="V109" i="3" s="1"/>
  <c r="X109" i="3" s="1"/>
  <c r="N221" i="2" s="1"/>
  <c r="J221" i="10" s="1"/>
  <c r="Z109" i="3"/>
  <c r="AE109" i="3" s="1"/>
  <c r="AA109" i="3"/>
  <c r="C110" i="3"/>
  <c r="B110" i="11" s="1"/>
  <c r="D110" i="3"/>
  <c r="U110" i="3" s="1"/>
  <c r="V110" i="3" s="1"/>
  <c r="X110" i="3" s="1"/>
  <c r="N222" i="2" s="1"/>
  <c r="J222" i="10" s="1"/>
  <c r="Z110" i="3"/>
  <c r="AE110" i="3" s="1"/>
  <c r="AA110" i="3"/>
  <c r="C111" i="3"/>
  <c r="B111" i="11" s="1"/>
  <c r="D111" i="3"/>
  <c r="Z111" i="3"/>
  <c r="AE111" i="3" s="1"/>
  <c r="AA111" i="3"/>
  <c r="AB111" i="3"/>
  <c r="C112" i="3"/>
  <c r="B112" i="11" s="1"/>
  <c r="D112" i="3"/>
  <c r="Z112" i="3"/>
  <c r="AE112" i="3" s="1"/>
  <c r="AA112" i="3"/>
  <c r="AB112" i="3"/>
  <c r="C113" i="3"/>
  <c r="B113" i="11" s="1"/>
  <c r="D113" i="3"/>
  <c r="Z113" i="3"/>
  <c r="AE113" i="3" s="1"/>
  <c r="AA113" i="3"/>
  <c r="AB113" i="3"/>
  <c r="C114" i="3"/>
  <c r="B114" i="11" s="1"/>
  <c r="D114" i="3"/>
  <c r="Z114" i="3"/>
  <c r="AE114" i="3" s="1"/>
  <c r="AA114" i="3"/>
  <c r="AB114" i="3"/>
  <c r="C115" i="3"/>
  <c r="B115" i="11" s="1"/>
  <c r="D115" i="3"/>
  <c r="Z115" i="3"/>
  <c r="AE115" i="3" s="1"/>
  <c r="AA115" i="3"/>
  <c r="AB115" i="3"/>
  <c r="AC115" i="3"/>
  <c r="C116" i="3"/>
  <c r="B116" i="11" s="1"/>
  <c r="D116" i="3"/>
  <c r="Z116" i="3"/>
  <c r="AE116" i="3" s="1"/>
  <c r="AA116" i="3"/>
  <c r="AB116" i="3"/>
  <c r="AC116" i="3"/>
  <c r="C118" i="3"/>
  <c r="B118" i="11" s="1"/>
  <c r="D118" i="3"/>
  <c r="U118" i="3" s="1"/>
  <c r="V118" i="3" s="1"/>
  <c r="X118" i="3" s="1"/>
  <c r="Z118" i="3"/>
  <c r="AE118" i="3" s="1"/>
  <c r="AA118" i="3"/>
  <c r="C119" i="3"/>
  <c r="B119" i="11" s="1"/>
  <c r="D119" i="3"/>
  <c r="U119" i="3" s="1"/>
  <c r="V119" i="3" s="1"/>
  <c r="X119" i="3" s="1"/>
  <c r="Z119" i="3"/>
  <c r="AE119" i="3" s="1"/>
  <c r="AA119" i="3"/>
  <c r="C120" i="3"/>
  <c r="B120" i="11" s="1"/>
  <c r="D120" i="3"/>
  <c r="U120" i="3" s="1"/>
  <c r="V120" i="3" s="1"/>
  <c r="X120" i="3" s="1"/>
  <c r="Y120" i="3" s="1"/>
  <c r="Z120" i="3"/>
  <c r="AE120" i="3" s="1"/>
  <c r="AA120" i="3"/>
  <c r="C121" i="3"/>
  <c r="B121" i="11" s="1"/>
  <c r="D121" i="3"/>
  <c r="U121" i="3" s="1"/>
  <c r="V121" i="3" s="1"/>
  <c r="X121" i="3" s="1"/>
  <c r="N238" i="2" s="1"/>
  <c r="J238" i="10" s="1"/>
  <c r="Z121" i="3"/>
  <c r="AE121" i="3" s="1"/>
  <c r="AA121" i="3"/>
  <c r="C122" i="3"/>
  <c r="B122" i="11" s="1"/>
  <c r="D122" i="3"/>
  <c r="U122" i="3" s="1"/>
  <c r="V122" i="3" s="1"/>
  <c r="X122" i="3" s="1"/>
  <c r="N239" i="2" s="1"/>
  <c r="J239" i="10" s="1"/>
  <c r="Z122" i="3"/>
  <c r="AE122" i="3" s="1"/>
  <c r="AA122" i="3"/>
  <c r="AB122" i="3"/>
  <c r="C123" i="3"/>
  <c r="B123" i="11" s="1"/>
  <c r="D123" i="3"/>
  <c r="Z123" i="3"/>
  <c r="AE123" i="3" s="1"/>
  <c r="AA123" i="3"/>
  <c r="AB123" i="3"/>
  <c r="C124" i="3"/>
  <c r="B124" i="11" s="1"/>
  <c r="D124" i="3"/>
  <c r="Z124" i="3"/>
  <c r="AE124" i="3" s="1"/>
  <c r="AA124" i="3"/>
  <c r="AB124" i="3"/>
  <c r="C125" i="3"/>
  <c r="B125" i="11" s="1"/>
  <c r="D125" i="3"/>
  <c r="Z125" i="3"/>
  <c r="AE125" i="3" s="1"/>
  <c r="AA125" i="3"/>
  <c r="AB125" i="3"/>
  <c r="C126" i="3"/>
  <c r="B126" i="11" s="1"/>
  <c r="D126" i="3"/>
  <c r="Z126" i="3"/>
  <c r="AE126" i="3" s="1"/>
  <c r="AA126" i="3"/>
  <c r="AB126" i="3"/>
  <c r="AC126" i="3"/>
  <c r="C127" i="3"/>
  <c r="B127" i="11" s="1"/>
  <c r="D127" i="3"/>
  <c r="Z127" i="3"/>
  <c r="AE127" i="3" s="1"/>
  <c r="AA127" i="3"/>
  <c r="AB127" i="3"/>
  <c r="AC127" i="3"/>
  <c r="C129" i="3"/>
  <c r="B129" i="11" s="1"/>
  <c r="D129" i="3"/>
  <c r="U129" i="3" s="1"/>
  <c r="V129" i="3" s="1"/>
  <c r="X129" i="3" s="1"/>
  <c r="Y129" i="3" s="1"/>
  <c r="I129" i="11" s="1"/>
  <c r="Z129" i="3"/>
  <c r="AE129" i="3" s="1"/>
  <c r="AA129" i="3"/>
  <c r="C130" i="3"/>
  <c r="B130" i="11" s="1"/>
  <c r="D130" i="3"/>
  <c r="U130" i="3" s="1"/>
  <c r="V130" i="3" s="1"/>
  <c r="X130" i="3" s="1"/>
  <c r="Y130" i="3" s="1"/>
  <c r="Z130" i="3"/>
  <c r="AE130" i="3" s="1"/>
  <c r="AA130" i="3"/>
  <c r="C131" i="3"/>
  <c r="B131" i="11" s="1"/>
  <c r="D131" i="3"/>
  <c r="Z131" i="3"/>
  <c r="AE131" i="3" s="1"/>
  <c r="AA131" i="3"/>
  <c r="AB131" i="3"/>
  <c r="C132" i="3"/>
  <c r="B132" i="11" s="1"/>
  <c r="D132" i="3"/>
  <c r="Z132" i="3"/>
  <c r="AE132" i="3" s="1"/>
  <c r="AA132" i="3"/>
  <c r="AB132" i="3"/>
  <c r="C133" i="3"/>
  <c r="B133" i="11" s="1"/>
  <c r="D133" i="3"/>
  <c r="Z133" i="3"/>
  <c r="AE133" i="3" s="1"/>
  <c r="AA133" i="3"/>
  <c r="AB133" i="3"/>
  <c r="C134" i="3"/>
  <c r="B134" i="11" s="1"/>
  <c r="D134" i="3"/>
  <c r="Z134" i="3"/>
  <c r="AE134" i="3" s="1"/>
  <c r="AA134" i="3"/>
  <c r="AB134" i="3"/>
  <c r="C135" i="3"/>
  <c r="B135" i="11" s="1"/>
  <c r="D135" i="3"/>
  <c r="Z135" i="3"/>
  <c r="AE135" i="3" s="1"/>
  <c r="AA135" i="3"/>
  <c r="AB135" i="3"/>
  <c r="AC135" i="3"/>
  <c r="C136" i="3"/>
  <c r="B136" i="11" s="1"/>
  <c r="D136" i="3"/>
  <c r="Z136" i="3"/>
  <c r="AE136" i="3" s="1"/>
  <c r="AA136" i="3"/>
  <c r="AB136" i="3"/>
  <c r="AC136" i="3"/>
  <c r="C138" i="3"/>
  <c r="B138" i="11" s="1"/>
  <c r="D138" i="3"/>
  <c r="U138" i="3" s="1"/>
  <c r="V138" i="3" s="1"/>
  <c r="X138" i="3" s="1"/>
  <c r="Z138" i="3"/>
  <c r="AE138" i="3" s="1"/>
  <c r="AA138" i="3"/>
  <c r="C139" i="3"/>
  <c r="B139" i="11" s="1"/>
  <c r="D139" i="3"/>
  <c r="Z139" i="3"/>
  <c r="AE139" i="3" s="1"/>
  <c r="AA139" i="3"/>
  <c r="C140" i="3"/>
  <c r="B140" i="11" s="1"/>
  <c r="D140" i="3"/>
  <c r="U140" i="3" s="1"/>
  <c r="V140" i="3" s="1"/>
  <c r="X140" i="3" s="1"/>
  <c r="Y140" i="3" s="1"/>
  <c r="Z140" i="3"/>
  <c r="AE140" i="3" s="1"/>
  <c r="AA140" i="3"/>
  <c r="C141" i="3"/>
  <c r="B141" i="11" s="1"/>
  <c r="D141" i="3"/>
  <c r="U141" i="3" s="1"/>
  <c r="V141" i="3" s="1"/>
  <c r="X141" i="3" s="1"/>
  <c r="Y141" i="3" s="1"/>
  <c r="I141" i="11" s="1"/>
  <c r="Z141" i="3"/>
  <c r="AE141" i="3" s="1"/>
  <c r="AA141" i="3"/>
  <c r="C142" i="3"/>
  <c r="B142" i="11" s="1"/>
  <c r="D142" i="3"/>
  <c r="U142" i="3" s="1"/>
  <c r="V142" i="3" s="1"/>
  <c r="X142" i="3" s="1"/>
  <c r="Y142" i="3" s="1"/>
  <c r="I142" i="11" s="1"/>
  <c r="Z142" i="3"/>
  <c r="AE142" i="3" s="1"/>
  <c r="AA142" i="3"/>
  <c r="AB142" i="3"/>
  <c r="C143" i="3"/>
  <c r="B143" i="11" s="1"/>
  <c r="D143" i="3"/>
  <c r="Z143" i="3"/>
  <c r="AE143" i="3" s="1"/>
  <c r="AA143" i="3"/>
  <c r="AB143" i="3"/>
  <c r="C144" i="3"/>
  <c r="B144" i="11" s="1"/>
  <c r="D144" i="3"/>
  <c r="Z144" i="3"/>
  <c r="AE144" i="3" s="1"/>
  <c r="AA144" i="3"/>
  <c r="AB144" i="3"/>
  <c r="C145" i="3"/>
  <c r="B145" i="11" s="1"/>
  <c r="D145" i="3"/>
  <c r="Z145" i="3"/>
  <c r="AE145" i="3" s="1"/>
  <c r="AA145" i="3"/>
  <c r="AB145" i="3"/>
  <c r="C146" i="3"/>
  <c r="B146" i="11" s="1"/>
  <c r="D146" i="3"/>
  <c r="Z146" i="3"/>
  <c r="AE146" i="3" s="1"/>
  <c r="AA146" i="3"/>
  <c r="AB146" i="3"/>
  <c r="AC146" i="3"/>
  <c r="C147" i="3"/>
  <c r="B147" i="11" s="1"/>
  <c r="D147" i="3"/>
  <c r="Z147" i="3"/>
  <c r="AE147" i="3" s="1"/>
  <c r="AA147" i="3"/>
  <c r="AB147" i="3"/>
  <c r="AC147" i="3"/>
  <c r="C149" i="3"/>
  <c r="B149" i="11" s="1"/>
  <c r="D149" i="3"/>
  <c r="U149" i="3" s="1"/>
  <c r="V149" i="3" s="1"/>
  <c r="X149" i="3" s="1"/>
  <c r="N280" i="2" s="1"/>
  <c r="J280" i="10" s="1"/>
  <c r="Z149" i="3"/>
  <c r="AE149" i="3" s="1"/>
  <c r="AA149" i="3"/>
  <c r="C150" i="3"/>
  <c r="B150" i="11" s="1"/>
  <c r="D150" i="3"/>
  <c r="U150" i="3" s="1"/>
  <c r="V150" i="3" s="1"/>
  <c r="X150" i="3" s="1"/>
  <c r="N281" i="2" s="1"/>
  <c r="J281" i="10" s="1"/>
  <c r="Z150" i="3"/>
  <c r="AE150" i="3" s="1"/>
  <c r="AA150" i="3"/>
  <c r="C151" i="3"/>
  <c r="B151" i="11" s="1"/>
  <c r="D151" i="3"/>
  <c r="Z151" i="3"/>
  <c r="AE151" i="3" s="1"/>
  <c r="AA151" i="3"/>
  <c r="AB151" i="3"/>
  <c r="C152" i="3"/>
  <c r="B152" i="11" s="1"/>
  <c r="D152" i="3"/>
  <c r="Z152" i="3"/>
  <c r="AE152" i="3" s="1"/>
  <c r="AA152" i="3"/>
  <c r="AB152" i="3"/>
  <c r="C153" i="3"/>
  <c r="B153" i="11" s="1"/>
  <c r="D153" i="3"/>
  <c r="Z153" i="3"/>
  <c r="AE153" i="3" s="1"/>
  <c r="AA153" i="3"/>
  <c r="AB153" i="3"/>
  <c r="C154" i="3"/>
  <c r="B154" i="11" s="1"/>
  <c r="D154" i="3"/>
  <c r="Z154" i="3"/>
  <c r="AE154" i="3" s="1"/>
  <c r="AA154" i="3"/>
  <c r="AB154" i="3"/>
  <c r="C155" i="3"/>
  <c r="B155" i="11" s="1"/>
  <c r="D155" i="3"/>
  <c r="Z155" i="3"/>
  <c r="AE155" i="3" s="1"/>
  <c r="AA155" i="3"/>
  <c r="AB155" i="3"/>
  <c r="AC155" i="3"/>
  <c r="C156" i="3"/>
  <c r="B156" i="11" s="1"/>
  <c r="D156" i="3"/>
  <c r="Z156" i="3"/>
  <c r="AE156" i="3" s="1"/>
  <c r="AA156" i="3"/>
  <c r="AB156" i="3"/>
  <c r="AC156" i="3"/>
  <c r="C158" i="3"/>
  <c r="B158" i="11" s="1"/>
  <c r="D158" i="3"/>
  <c r="U158" i="3" s="1"/>
  <c r="V158" i="3" s="1"/>
  <c r="X158" i="3" s="1"/>
  <c r="Z158" i="3"/>
  <c r="AE158" i="3" s="1"/>
  <c r="AA158" i="3"/>
  <c r="C159" i="3"/>
  <c r="B159" i="11" s="1"/>
  <c r="D159" i="3"/>
  <c r="Z159" i="3"/>
  <c r="AE159" i="3" s="1"/>
  <c r="AA159" i="3"/>
  <c r="C160" i="3"/>
  <c r="B160" i="11" s="1"/>
  <c r="D160" i="3"/>
  <c r="U160" i="3" s="1"/>
  <c r="V160" i="3" s="1"/>
  <c r="X160" i="3" s="1"/>
  <c r="N295" i="2" s="1"/>
  <c r="J295" i="10" s="1"/>
  <c r="Z160" i="3"/>
  <c r="AE160" i="3" s="1"/>
  <c r="AA160" i="3"/>
  <c r="C161" i="3"/>
  <c r="B161" i="11" s="1"/>
  <c r="D161" i="3"/>
  <c r="Z161" i="3"/>
  <c r="AE161" i="3" s="1"/>
  <c r="AA161" i="3"/>
  <c r="C162" i="3"/>
  <c r="B162" i="11" s="1"/>
  <c r="D162" i="3"/>
  <c r="U162" i="3" s="1"/>
  <c r="V162" i="3" s="1"/>
  <c r="X162" i="3" s="1"/>
  <c r="Y162" i="3" s="1"/>
  <c r="I162" i="11" s="1"/>
  <c r="Z162" i="3"/>
  <c r="AE162" i="3" s="1"/>
  <c r="AA162" i="3"/>
  <c r="AB162" i="3"/>
  <c r="C163" i="3"/>
  <c r="B163" i="11" s="1"/>
  <c r="D163" i="3"/>
  <c r="Z163" i="3"/>
  <c r="AE163" i="3" s="1"/>
  <c r="AA163" i="3"/>
  <c r="AB163" i="3"/>
  <c r="C164" i="3"/>
  <c r="B164" i="11" s="1"/>
  <c r="D164" i="3"/>
  <c r="Z164" i="3"/>
  <c r="AE164" i="3" s="1"/>
  <c r="AA164" i="3"/>
  <c r="AB164" i="3"/>
  <c r="C165" i="3"/>
  <c r="B165" i="11" s="1"/>
  <c r="D165" i="3"/>
  <c r="Z165" i="3"/>
  <c r="AE165" i="3" s="1"/>
  <c r="AA165" i="3"/>
  <c r="AB165" i="3"/>
  <c r="C166" i="3"/>
  <c r="B166" i="11" s="1"/>
  <c r="D166" i="3"/>
  <c r="Z166" i="3"/>
  <c r="AE166" i="3" s="1"/>
  <c r="AA166" i="3"/>
  <c r="AB166" i="3"/>
  <c r="AC166" i="3"/>
  <c r="C167" i="3"/>
  <c r="B167" i="11" s="1"/>
  <c r="D167" i="3"/>
  <c r="Z167" i="3"/>
  <c r="AE167" i="3" s="1"/>
  <c r="AA167" i="3"/>
  <c r="AB167" i="3"/>
  <c r="AC167" i="3"/>
  <c r="C169" i="3"/>
  <c r="B169" i="11" s="1"/>
  <c r="D169" i="3"/>
  <c r="U169" i="3" s="1"/>
  <c r="V169" i="3" s="1"/>
  <c r="X169" i="3" s="1"/>
  <c r="Y169" i="3" s="1"/>
  <c r="I169" i="11" s="1"/>
  <c r="Z169" i="3"/>
  <c r="AE169" i="3" s="1"/>
  <c r="AA169" i="3"/>
  <c r="C170" i="3"/>
  <c r="B170" i="11" s="1"/>
  <c r="D170" i="3"/>
  <c r="U170" i="3" s="1"/>
  <c r="V170" i="3" s="1"/>
  <c r="X170" i="3" s="1"/>
  <c r="Y170" i="3" s="1"/>
  <c r="Z170" i="3"/>
  <c r="AE170" i="3" s="1"/>
  <c r="AA170" i="3"/>
  <c r="C171" i="3"/>
  <c r="B171" i="11" s="1"/>
  <c r="D171" i="3"/>
  <c r="U171" i="3" s="1"/>
  <c r="V171" i="3" s="1"/>
  <c r="X171" i="3" s="1"/>
  <c r="Y171" i="3" s="1"/>
  <c r="Z171" i="3"/>
  <c r="AE171" i="3" s="1"/>
  <c r="AA171" i="3"/>
  <c r="C172" i="3"/>
  <c r="B172" i="11" s="1"/>
  <c r="D172" i="3"/>
  <c r="Z172" i="3"/>
  <c r="AE172" i="3" s="1"/>
  <c r="AA172" i="3"/>
  <c r="C173" i="3"/>
  <c r="B173" i="11" s="1"/>
  <c r="D173" i="3"/>
  <c r="U173" i="3" s="1"/>
  <c r="V173" i="3" s="1"/>
  <c r="X173" i="3" s="1"/>
  <c r="Z173" i="3"/>
  <c r="AE173" i="3" s="1"/>
  <c r="AA173" i="3"/>
  <c r="AB173" i="3"/>
  <c r="C174" i="3"/>
  <c r="B174" i="11" s="1"/>
  <c r="D174" i="3"/>
  <c r="Z174" i="3"/>
  <c r="AE174" i="3" s="1"/>
  <c r="AA174" i="3"/>
  <c r="AB174" i="3"/>
  <c r="C175" i="3"/>
  <c r="B175" i="11" s="1"/>
  <c r="D175" i="3"/>
  <c r="Z175" i="3"/>
  <c r="AE175" i="3" s="1"/>
  <c r="AA175" i="3"/>
  <c r="AB175" i="3"/>
  <c r="C176" i="3"/>
  <c r="B176" i="11" s="1"/>
  <c r="D176" i="3"/>
  <c r="Z176" i="3"/>
  <c r="AE176" i="3" s="1"/>
  <c r="AA176" i="3"/>
  <c r="AB176" i="3"/>
  <c r="C177" i="3"/>
  <c r="B177" i="11" s="1"/>
  <c r="D177" i="3"/>
  <c r="Z177" i="3"/>
  <c r="AE177" i="3" s="1"/>
  <c r="AA177" i="3"/>
  <c r="AB177" i="3"/>
  <c r="AC177" i="3"/>
  <c r="C178" i="3"/>
  <c r="B178" i="11" s="1"/>
  <c r="D178" i="3"/>
  <c r="Z178" i="3"/>
  <c r="AE178" i="3" s="1"/>
  <c r="AA178" i="3"/>
  <c r="AB178" i="3"/>
  <c r="AC178" i="3"/>
  <c r="C180" i="3"/>
  <c r="B180" i="11" s="1"/>
  <c r="D180" i="3"/>
  <c r="U180" i="3" s="1"/>
  <c r="V180" i="3" s="1"/>
  <c r="X180" i="3" s="1"/>
  <c r="N325" i="2" s="1"/>
  <c r="J325" i="10" s="1"/>
  <c r="Z180" i="3"/>
  <c r="AE180" i="3" s="1"/>
  <c r="AA180" i="3"/>
  <c r="C181" i="3"/>
  <c r="B181" i="11" s="1"/>
  <c r="D181" i="3"/>
  <c r="Z181" i="3"/>
  <c r="AE181" i="3" s="1"/>
  <c r="AA181" i="3"/>
  <c r="C182" i="3"/>
  <c r="B182" i="11" s="1"/>
  <c r="D182" i="3"/>
  <c r="U182" i="3" s="1"/>
  <c r="V182" i="3" s="1"/>
  <c r="X182" i="3" s="1"/>
  <c r="Y182" i="3" s="1"/>
  <c r="Z182" i="3"/>
  <c r="AE182" i="3" s="1"/>
  <c r="AA182" i="3"/>
  <c r="C183" i="3"/>
  <c r="B183" i="11" s="1"/>
  <c r="D183" i="3"/>
  <c r="Z183" i="3"/>
  <c r="AE183" i="3" s="1"/>
  <c r="AA183" i="3"/>
  <c r="C184" i="3"/>
  <c r="B184" i="11" s="1"/>
  <c r="D184" i="3"/>
  <c r="U184" i="3" s="1"/>
  <c r="V184" i="3" s="1"/>
  <c r="X184" i="3" s="1"/>
  <c r="Z184" i="3"/>
  <c r="AE184" i="3" s="1"/>
  <c r="AA184" i="3"/>
  <c r="AB184" i="3"/>
  <c r="C185" i="3"/>
  <c r="B185" i="11" s="1"/>
  <c r="D185" i="3"/>
  <c r="Z185" i="3"/>
  <c r="AE185" i="3" s="1"/>
  <c r="AA185" i="3"/>
  <c r="AB185" i="3"/>
  <c r="C186" i="3"/>
  <c r="B186" i="11" s="1"/>
  <c r="D186" i="3"/>
  <c r="Z186" i="3"/>
  <c r="AE186" i="3" s="1"/>
  <c r="AA186" i="3"/>
  <c r="AB186" i="3"/>
  <c r="C187" i="3"/>
  <c r="B187" i="11" s="1"/>
  <c r="D187" i="3"/>
  <c r="Z187" i="3"/>
  <c r="AE187" i="3" s="1"/>
  <c r="AA187" i="3"/>
  <c r="AB187" i="3"/>
  <c r="C188" i="3"/>
  <c r="B188" i="11" s="1"/>
  <c r="D188" i="3"/>
  <c r="Z188" i="3"/>
  <c r="AE188" i="3" s="1"/>
  <c r="AA188" i="3"/>
  <c r="AB188" i="3"/>
  <c r="AC188" i="3"/>
  <c r="C189" i="3"/>
  <c r="B189" i="11" s="1"/>
  <c r="D189" i="3"/>
  <c r="Z189" i="3"/>
  <c r="AE189" i="3" s="1"/>
  <c r="AA189" i="3"/>
  <c r="AB189" i="3"/>
  <c r="AC189" i="3"/>
  <c r="C191" i="3"/>
  <c r="B191" i="11" s="1"/>
  <c r="D191" i="3"/>
  <c r="U191" i="3" s="1"/>
  <c r="W191" i="3" s="1"/>
  <c r="V191" i="3" s="1"/>
  <c r="X191" i="3" s="1"/>
  <c r="N341" i="2" s="1"/>
  <c r="J341" i="10" s="1"/>
  <c r="Z191" i="3"/>
  <c r="AE191" i="3" s="1"/>
  <c r="AA191" i="3"/>
  <c r="C192" i="3"/>
  <c r="B192" i="11" s="1"/>
  <c r="D192" i="3"/>
  <c r="U192" i="3" s="1"/>
  <c r="W192" i="3" s="1"/>
  <c r="V192" i="3" s="1"/>
  <c r="X192" i="3" s="1"/>
  <c r="Y192" i="3" s="1"/>
  <c r="Z192" i="3"/>
  <c r="AE192" i="3" s="1"/>
  <c r="AA192" i="3"/>
  <c r="C193" i="3"/>
  <c r="B193" i="11" s="1"/>
  <c r="D193" i="3"/>
  <c r="U193" i="3" s="1"/>
  <c r="W193" i="3" s="1"/>
  <c r="V193" i="3" s="1"/>
  <c r="X193" i="3" s="1"/>
  <c r="Z193" i="3"/>
  <c r="AE193" i="3" s="1"/>
  <c r="AA193" i="3"/>
  <c r="C194" i="3"/>
  <c r="B194" i="11" s="1"/>
  <c r="D194" i="3"/>
  <c r="U194" i="3" s="1"/>
  <c r="W194" i="3" s="1"/>
  <c r="V194" i="3" s="1"/>
  <c r="X194" i="3" s="1"/>
  <c r="Z194" i="3"/>
  <c r="AE194" i="3" s="1"/>
  <c r="AA194" i="3"/>
  <c r="C195" i="3"/>
  <c r="B195" i="11" s="1"/>
  <c r="D195" i="3"/>
  <c r="U195" i="3" s="1"/>
  <c r="W195" i="3" s="1"/>
  <c r="V195" i="3" s="1"/>
  <c r="X195" i="3" s="1"/>
  <c r="Y195" i="3" s="1"/>
  <c r="I195" i="11" s="1"/>
  <c r="Z195" i="3"/>
  <c r="AE195" i="3" s="1"/>
  <c r="AA195" i="3"/>
  <c r="C196" i="3"/>
  <c r="B196" i="11" s="1"/>
  <c r="D196" i="3"/>
  <c r="U196" i="3" s="1"/>
  <c r="W196" i="3" s="1"/>
  <c r="V196" i="3" s="1"/>
  <c r="X196" i="3" s="1"/>
  <c r="Y196" i="3" s="1"/>
  <c r="I196" i="11" s="1"/>
  <c r="Z196" i="3"/>
  <c r="AE196" i="3" s="1"/>
  <c r="AA196" i="3"/>
  <c r="C197" i="3"/>
  <c r="B197" i="11" s="1"/>
  <c r="D197" i="3"/>
  <c r="U197" i="3" s="1"/>
  <c r="W197" i="3" s="1"/>
  <c r="V197" i="3" s="1"/>
  <c r="X197" i="3" s="1"/>
  <c r="Y197" i="3" s="1"/>
  <c r="Z197" i="3"/>
  <c r="AE197" i="3" s="1"/>
  <c r="AA197" i="3"/>
  <c r="C198" i="3"/>
  <c r="B198" i="11" s="1"/>
  <c r="D198" i="3"/>
  <c r="U198" i="3" s="1"/>
  <c r="W198" i="3" s="1"/>
  <c r="V198" i="3" s="1"/>
  <c r="X198" i="3" s="1"/>
  <c r="N348" i="2" s="1"/>
  <c r="J348" i="10" s="1"/>
  <c r="Z198" i="3"/>
  <c r="AE198" i="3" s="1"/>
  <c r="AA198" i="3"/>
  <c r="C199" i="3"/>
  <c r="B199" i="11" s="1"/>
  <c r="D199" i="3"/>
  <c r="U199" i="3" s="1"/>
  <c r="W199" i="3" s="1"/>
  <c r="V199" i="3" s="1"/>
  <c r="X199" i="3" s="1"/>
  <c r="Y199" i="3" s="1"/>
  <c r="I199" i="11" s="1"/>
  <c r="Z199" i="3"/>
  <c r="AE199" i="3" s="1"/>
  <c r="AA199" i="3"/>
  <c r="C200" i="3"/>
  <c r="B200" i="11" s="1"/>
  <c r="D200" i="3"/>
  <c r="U200" i="3" s="1"/>
  <c r="W200" i="3" s="1"/>
  <c r="V200" i="3" s="1"/>
  <c r="X200" i="3" s="1"/>
  <c r="Y200" i="3" s="1"/>
  <c r="Z200" i="3"/>
  <c r="AE200" i="3" s="1"/>
  <c r="AA200" i="3"/>
  <c r="C201" i="3"/>
  <c r="B201" i="11" s="1"/>
  <c r="D201" i="3"/>
  <c r="U201" i="3" s="1"/>
  <c r="W201" i="3" s="1"/>
  <c r="V201" i="3" s="1"/>
  <c r="X201" i="3" s="1"/>
  <c r="Z201" i="3"/>
  <c r="AE201" i="3" s="1"/>
  <c r="AA201" i="3"/>
  <c r="C202" i="3"/>
  <c r="B202" i="11" s="1"/>
  <c r="D202" i="3"/>
  <c r="U202" i="3" s="1"/>
  <c r="W202" i="3" s="1"/>
  <c r="V202" i="3" s="1"/>
  <c r="X202" i="3" s="1"/>
  <c r="Y202" i="3" s="1"/>
  <c r="Z202" i="3"/>
  <c r="AE202" i="3" s="1"/>
  <c r="AA202" i="3"/>
  <c r="C203" i="3"/>
  <c r="B203" i="11" s="1"/>
  <c r="D203" i="3"/>
  <c r="Z203" i="3"/>
  <c r="AE203" i="3" s="1"/>
  <c r="AA203" i="3"/>
  <c r="C204" i="3"/>
  <c r="B204" i="11" s="1"/>
  <c r="D204" i="3"/>
  <c r="U204" i="3" s="1"/>
  <c r="W204" i="3" s="1"/>
  <c r="V204" i="3" s="1"/>
  <c r="X204" i="3" s="1"/>
  <c r="Y204" i="3" s="1"/>
  <c r="Z204" i="3"/>
  <c r="AE204" i="3" s="1"/>
  <c r="AA204" i="3"/>
  <c r="C205" i="3"/>
  <c r="B205" i="11" s="1"/>
  <c r="D205" i="3"/>
  <c r="Z205" i="3"/>
  <c r="AE205" i="3" s="1"/>
  <c r="AA205" i="3"/>
  <c r="C206" i="3"/>
  <c r="B206" i="11" s="1"/>
  <c r="D206" i="3"/>
  <c r="Z206" i="3"/>
  <c r="AE206" i="3" s="1"/>
  <c r="AA206" i="3"/>
  <c r="C207" i="3"/>
  <c r="B207" i="11" s="1"/>
  <c r="D207" i="3"/>
  <c r="U207" i="3" s="1"/>
  <c r="W207" i="3" s="1"/>
  <c r="V207" i="3" s="1"/>
  <c r="X207" i="3" s="1"/>
  <c r="Z207" i="3"/>
  <c r="AE207" i="3" s="1"/>
  <c r="AA207" i="3"/>
  <c r="C208" i="3"/>
  <c r="B208" i="11" s="1"/>
  <c r="D208" i="3"/>
  <c r="U208" i="3" s="1"/>
  <c r="W208" i="3" s="1"/>
  <c r="V208" i="3" s="1"/>
  <c r="X208" i="3" s="1"/>
  <c r="Y208" i="3" s="1"/>
  <c r="Z208" i="3"/>
  <c r="AE208" i="3" s="1"/>
  <c r="AA208" i="3"/>
  <c r="C209" i="3"/>
  <c r="B209" i="11" s="1"/>
  <c r="D209" i="3"/>
  <c r="Z209" i="3"/>
  <c r="AE209" i="3" s="1"/>
  <c r="AA209" i="3"/>
  <c r="C210" i="3"/>
  <c r="B210" i="11" s="1"/>
  <c r="D210" i="3"/>
  <c r="U210" i="3" s="1"/>
  <c r="W210" i="3" s="1"/>
  <c r="V210" i="3" s="1"/>
  <c r="X210" i="3" s="1"/>
  <c r="Y210" i="3" s="1"/>
  <c r="I210" i="11" s="1"/>
  <c r="Z210" i="3"/>
  <c r="AE210" i="3" s="1"/>
  <c r="AA210" i="3"/>
  <c r="C211" i="3"/>
  <c r="B211" i="11" s="1"/>
  <c r="D211" i="3"/>
  <c r="U211" i="3" s="1"/>
  <c r="W211" i="3" s="1"/>
  <c r="V211" i="3" s="1"/>
  <c r="X211" i="3" s="1"/>
  <c r="Y211" i="3" s="1"/>
  <c r="Z211" i="3"/>
  <c r="AE211" i="3" s="1"/>
  <c r="AA211" i="3"/>
  <c r="AB211" i="3"/>
  <c r="C212" i="3"/>
  <c r="B212" i="11" s="1"/>
  <c r="D212" i="3"/>
  <c r="U212" i="3" s="1"/>
  <c r="W212" i="3" s="1"/>
  <c r="V212" i="3" s="1"/>
  <c r="X212" i="3" s="1"/>
  <c r="Z212" i="3"/>
  <c r="AE212" i="3" s="1"/>
  <c r="AA212" i="3"/>
  <c r="AB212" i="3"/>
  <c r="C213" i="3"/>
  <c r="B213" i="11" s="1"/>
  <c r="D213" i="3"/>
  <c r="U213" i="3" s="1"/>
  <c r="W213" i="3" s="1"/>
  <c r="V213" i="3" s="1"/>
  <c r="X213" i="3" s="1"/>
  <c r="N363" i="2" s="1"/>
  <c r="J363" i="10" s="1"/>
  <c r="Z213" i="3"/>
  <c r="AE213" i="3" s="1"/>
  <c r="AA213" i="3"/>
  <c r="AB213" i="3"/>
  <c r="C214" i="3"/>
  <c r="B214" i="11" s="1"/>
  <c r="D214" i="3"/>
  <c r="U214" i="3" s="1"/>
  <c r="W214" i="3" s="1"/>
  <c r="V214" i="3" s="1"/>
  <c r="X214" i="3" s="1"/>
  <c r="N364" i="2" s="1"/>
  <c r="J364" i="10" s="1"/>
  <c r="Z214" i="3"/>
  <c r="AE214" i="3" s="1"/>
  <c r="AA214" i="3"/>
  <c r="AB214" i="3"/>
  <c r="C215" i="3"/>
  <c r="B215" i="11" s="1"/>
  <c r="D215" i="3"/>
  <c r="U215" i="3" s="1"/>
  <c r="W215" i="3" s="1"/>
  <c r="V215" i="3" s="1"/>
  <c r="X215" i="3" s="1"/>
  <c r="Z215" i="3"/>
  <c r="AE215" i="3" s="1"/>
  <c r="AA215" i="3"/>
  <c r="AB215" i="3"/>
  <c r="C216" i="3"/>
  <c r="B216" i="11" s="1"/>
  <c r="D216" i="3"/>
  <c r="Z216" i="3"/>
  <c r="AE216" i="3" s="1"/>
  <c r="AA216" i="3"/>
  <c r="AB216" i="3"/>
  <c r="C217" i="3"/>
  <c r="B217" i="11" s="1"/>
  <c r="D217" i="3"/>
  <c r="Z217" i="3"/>
  <c r="AE217" i="3" s="1"/>
  <c r="AA217" i="3"/>
  <c r="AB217" i="3"/>
  <c r="C218" i="3"/>
  <c r="B218" i="11" s="1"/>
  <c r="D218" i="3"/>
  <c r="Z218" i="3"/>
  <c r="AE218" i="3" s="1"/>
  <c r="AA218" i="3"/>
  <c r="AB218" i="3"/>
  <c r="C219" i="3"/>
  <c r="B219" i="11" s="1"/>
  <c r="D219" i="3"/>
  <c r="Z219" i="3"/>
  <c r="AE219" i="3" s="1"/>
  <c r="AA219" i="3"/>
  <c r="AB219" i="3"/>
  <c r="C220" i="3"/>
  <c r="B220" i="11" s="1"/>
  <c r="D220" i="3"/>
  <c r="Z220" i="3"/>
  <c r="AE220" i="3" s="1"/>
  <c r="AA220" i="3"/>
  <c r="AB220" i="3"/>
  <c r="C221" i="3"/>
  <c r="B221" i="11" s="1"/>
  <c r="D221" i="3"/>
  <c r="Z221" i="3"/>
  <c r="AE221" i="3" s="1"/>
  <c r="AA221" i="3"/>
  <c r="AB221" i="3"/>
  <c r="C222" i="3"/>
  <c r="B222" i="11" s="1"/>
  <c r="D222" i="3"/>
  <c r="Z222" i="3"/>
  <c r="AE222" i="3" s="1"/>
  <c r="AA222" i="3"/>
  <c r="AB222" i="3"/>
  <c r="C223" i="3"/>
  <c r="B223" i="11" s="1"/>
  <c r="D223" i="3"/>
  <c r="Z223" i="3"/>
  <c r="AE223" i="3" s="1"/>
  <c r="AA223" i="3"/>
  <c r="AB223" i="3"/>
  <c r="C224" i="3"/>
  <c r="B224" i="11" s="1"/>
  <c r="D224" i="3"/>
  <c r="Z224" i="3"/>
  <c r="AE224" i="3" s="1"/>
  <c r="AA224" i="3"/>
  <c r="AB224" i="3"/>
  <c r="C225" i="3"/>
  <c r="B225" i="11" s="1"/>
  <c r="D225" i="3"/>
  <c r="Z225" i="3"/>
  <c r="AE225" i="3" s="1"/>
  <c r="AA225" i="3"/>
  <c r="AB225" i="3"/>
  <c r="C226" i="3"/>
  <c r="B226" i="11" s="1"/>
  <c r="D226" i="3"/>
  <c r="Z226" i="3"/>
  <c r="AE226" i="3" s="1"/>
  <c r="AA226" i="3"/>
  <c r="AB226" i="3"/>
  <c r="C227" i="3"/>
  <c r="B227" i="11" s="1"/>
  <c r="D227" i="3"/>
  <c r="Z227" i="3"/>
  <c r="AE227" i="3" s="1"/>
  <c r="AA227" i="3"/>
  <c r="AB227" i="3"/>
  <c r="C228" i="3"/>
  <c r="B228" i="11" s="1"/>
  <c r="D228" i="3"/>
  <c r="Z228" i="3"/>
  <c r="AE228" i="3" s="1"/>
  <c r="AA228" i="3"/>
  <c r="AB228" i="3"/>
  <c r="C229" i="3"/>
  <c r="B229" i="11" s="1"/>
  <c r="D229" i="3"/>
  <c r="Z229" i="3"/>
  <c r="AE229" i="3" s="1"/>
  <c r="AA229" i="3"/>
  <c r="AB229" i="3"/>
  <c r="C230" i="3"/>
  <c r="B230" i="11" s="1"/>
  <c r="D230" i="3"/>
  <c r="Z230" i="3"/>
  <c r="AE230" i="3" s="1"/>
  <c r="AA230" i="3"/>
  <c r="AB230" i="3"/>
  <c r="C231" i="3"/>
  <c r="B231" i="11" s="1"/>
  <c r="D231" i="3"/>
  <c r="Z231" i="3"/>
  <c r="AE231" i="3" s="1"/>
  <c r="AA231" i="3"/>
  <c r="AB231" i="3"/>
  <c r="AC231" i="3"/>
  <c r="C232" i="3"/>
  <c r="B232" i="11" s="1"/>
  <c r="D232" i="3"/>
  <c r="Z232" i="3"/>
  <c r="AE232" i="3" s="1"/>
  <c r="AA232" i="3"/>
  <c r="AB232" i="3"/>
  <c r="AC232" i="3"/>
  <c r="C233" i="3"/>
  <c r="B233" i="11" s="1"/>
  <c r="D233" i="3"/>
  <c r="Z233" i="3"/>
  <c r="AE233" i="3" s="1"/>
  <c r="AA233" i="3"/>
  <c r="AB233" i="3"/>
  <c r="AC233" i="3"/>
  <c r="C234" i="3"/>
  <c r="B234" i="11" s="1"/>
  <c r="D234" i="3"/>
  <c r="Z234" i="3"/>
  <c r="AE234" i="3" s="1"/>
  <c r="AA234" i="3"/>
  <c r="AB234" i="3"/>
  <c r="AC234" i="3"/>
  <c r="C235" i="3"/>
  <c r="B235" i="11" s="1"/>
  <c r="D235" i="3"/>
  <c r="Z235" i="3"/>
  <c r="AE235" i="3" s="1"/>
  <c r="AA235" i="3"/>
  <c r="AB235" i="3"/>
  <c r="AC235" i="3"/>
  <c r="C236" i="3"/>
  <c r="B236" i="11" s="1"/>
  <c r="D236" i="3"/>
  <c r="Z236" i="3"/>
  <c r="AE236" i="3" s="1"/>
  <c r="AA236" i="3"/>
  <c r="AB236" i="3"/>
  <c r="AC236" i="3"/>
  <c r="C237" i="3"/>
  <c r="B237" i="11" s="1"/>
  <c r="D237" i="3"/>
  <c r="Z237" i="3"/>
  <c r="AE237" i="3" s="1"/>
  <c r="AA237" i="3"/>
  <c r="AB237" i="3"/>
  <c r="AC237" i="3"/>
  <c r="C238" i="3"/>
  <c r="B238" i="11" s="1"/>
  <c r="D238" i="3"/>
  <c r="Z238" i="3"/>
  <c r="AE238" i="3" s="1"/>
  <c r="AA238" i="3"/>
  <c r="AB238" i="3"/>
  <c r="AC238" i="3"/>
  <c r="C239" i="3"/>
  <c r="B239" i="11" s="1"/>
  <c r="D239" i="3"/>
  <c r="Z239" i="3"/>
  <c r="AE239" i="3" s="1"/>
  <c r="AA239" i="3"/>
  <c r="AB239" i="3"/>
  <c r="AC239" i="3"/>
  <c r="C240" i="3"/>
  <c r="B240" i="11" s="1"/>
  <c r="D240" i="3"/>
  <c r="Z240" i="3"/>
  <c r="AE240" i="3" s="1"/>
  <c r="AA240" i="3"/>
  <c r="AB240" i="3"/>
  <c r="AC240" i="3"/>
  <c r="C242" i="3"/>
  <c r="B242" i="11" s="1"/>
  <c r="D242" i="3"/>
  <c r="U242" i="3" s="1"/>
  <c r="W242" i="3" s="1"/>
  <c r="V242" i="3" s="1"/>
  <c r="X242" i="3" s="1"/>
  <c r="N417" i="2" s="1"/>
  <c r="J417" i="10" s="1"/>
  <c r="Z242" i="3"/>
  <c r="AE242" i="3" s="1"/>
  <c r="AA242" i="3"/>
  <c r="C243" i="3"/>
  <c r="B243" i="11" s="1"/>
  <c r="D243" i="3"/>
  <c r="U243" i="3" s="1"/>
  <c r="W243" i="3" s="1"/>
  <c r="V243" i="3" s="1"/>
  <c r="X243" i="3" s="1"/>
  <c r="Y243" i="3" s="1"/>
  <c r="I243" i="11" s="1"/>
  <c r="Z243" i="3"/>
  <c r="AE243" i="3" s="1"/>
  <c r="AA243" i="3"/>
  <c r="C244" i="3"/>
  <c r="B244" i="11" s="1"/>
  <c r="D244" i="3"/>
  <c r="U244" i="3" s="1"/>
  <c r="W244" i="3" s="1"/>
  <c r="V244" i="3" s="1"/>
  <c r="X244" i="3" s="1"/>
  <c r="Z244" i="3"/>
  <c r="AE244" i="3" s="1"/>
  <c r="AA244" i="3"/>
  <c r="C245" i="3"/>
  <c r="B245" i="11" s="1"/>
  <c r="D245" i="3"/>
  <c r="U245" i="3" s="1"/>
  <c r="W245" i="3" s="1"/>
  <c r="V245" i="3" s="1"/>
  <c r="X245" i="3" s="1"/>
  <c r="Y245" i="3" s="1"/>
  <c r="I245" i="11" s="1"/>
  <c r="Z245" i="3"/>
  <c r="AE245" i="3" s="1"/>
  <c r="AA245" i="3"/>
  <c r="C246" i="3"/>
  <c r="B246" i="11" s="1"/>
  <c r="D246" i="3"/>
  <c r="U246" i="3" s="1"/>
  <c r="W246" i="3" s="1"/>
  <c r="V246" i="3" s="1"/>
  <c r="X246" i="3" s="1"/>
  <c r="Y246" i="3" s="1"/>
  <c r="I246" i="11" s="1"/>
  <c r="Z246" i="3"/>
  <c r="AE246" i="3" s="1"/>
  <c r="AA246" i="3"/>
  <c r="C247" i="3"/>
  <c r="B247" i="11" s="1"/>
  <c r="D247" i="3"/>
  <c r="U247" i="3" s="1"/>
  <c r="W247" i="3" s="1"/>
  <c r="V247" i="3" s="1"/>
  <c r="X247" i="3" s="1"/>
  <c r="N422" i="2" s="1"/>
  <c r="J422" i="10" s="1"/>
  <c r="Z247" i="3"/>
  <c r="AE247" i="3" s="1"/>
  <c r="AA247" i="3"/>
  <c r="C248" i="3"/>
  <c r="B248" i="11" s="1"/>
  <c r="D248" i="3"/>
  <c r="U248" i="3" s="1"/>
  <c r="W248" i="3" s="1"/>
  <c r="V248" i="3" s="1"/>
  <c r="X248" i="3" s="1"/>
  <c r="Y248" i="3" s="1"/>
  <c r="I248" i="11" s="1"/>
  <c r="Z248" i="3"/>
  <c r="AE248" i="3" s="1"/>
  <c r="AA248" i="3"/>
  <c r="C249" i="3"/>
  <c r="B249" i="11" s="1"/>
  <c r="D249" i="3"/>
  <c r="U249" i="3" s="1"/>
  <c r="W249" i="3" s="1"/>
  <c r="V249" i="3" s="1"/>
  <c r="X249" i="3" s="1"/>
  <c r="N424" i="2" s="1"/>
  <c r="J424" i="10" s="1"/>
  <c r="Z249" i="3"/>
  <c r="AE249" i="3" s="1"/>
  <c r="AA249" i="3"/>
  <c r="C250" i="3"/>
  <c r="B250" i="11" s="1"/>
  <c r="D250" i="3"/>
  <c r="U250" i="3" s="1"/>
  <c r="W250" i="3" s="1"/>
  <c r="V250" i="3" s="1"/>
  <c r="X250" i="3" s="1"/>
  <c r="Y250" i="3" s="1"/>
  <c r="I250" i="11" s="1"/>
  <c r="Z250" i="3"/>
  <c r="AE250" i="3" s="1"/>
  <c r="AA250" i="3"/>
  <c r="C251" i="3"/>
  <c r="B251" i="11" s="1"/>
  <c r="D251" i="3"/>
  <c r="U251" i="3" s="1"/>
  <c r="W251" i="3" s="1"/>
  <c r="V251" i="3" s="1"/>
  <c r="X251" i="3" s="1"/>
  <c r="Y251" i="3" s="1"/>
  <c r="I251" i="11" s="1"/>
  <c r="Z251" i="3"/>
  <c r="AE251" i="3" s="1"/>
  <c r="AA251" i="3"/>
  <c r="C252" i="3"/>
  <c r="B252" i="11" s="1"/>
  <c r="D252" i="3"/>
  <c r="U252" i="3" s="1"/>
  <c r="W252" i="3" s="1"/>
  <c r="V252" i="3" s="1"/>
  <c r="X252" i="3" s="1"/>
  <c r="Y252" i="3" s="1"/>
  <c r="Z252" i="3"/>
  <c r="AE252" i="3" s="1"/>
  <c r="AA252" i="3"/>
  <c r="C253" i="3"/>
  <c r="B253" i="11" s="1"/>
  <c r="D253" i="3"/>
  <c r="U253" i="3" s="1"/>
  <c r="W253" i="3" s="1"/>
  <c r="V253" i="3" s="1"/>
  <c r="X253" i="3" s="1"/>
  <c r="N428" i="2" s="1"/>
  <c r="J428" i="10" s="1"/>
  <c r="Z253" i="3"/>
  <c r="AE253" i="3" s="1"/>
  <c r="AA253" i="3"/>
  <c r="C254" i="3"/>
  <c r="B254" i="11" s="1"/>
  <c r="D254" i="3"/>
  <c r="U254" i="3" s="1"/>
  <c r="W254" i="3" s="1"/>
  <c r="V254" i="3" s="1"/>
  <c r="X254" i="3" s="1"/>
  <c r="N429" i="2" s="1"/>
  <c r="J429" i="10" s="1"/>
  <c r="Z254" i="3"/>
  <c r="AE254" i="3" s="1"/>
  <c r="AA254" i="3"/>
  <c r="C255" i="3"/>
  <c r="B255" i="11" s="1"/>
  <c r="D255" i="3"/>
  <c r="U255" i="3" s="1"/>
  <c r="W255" i="3" s="1"/>
  <c r="V255" i="3" s="1"/>
  <c r="X255" i="3" s="1"/>
  <c r="Y255" i="3" s="1"/>
  <c r="Z255" i="3"/>
  <c r="AE255" i="3" s="1"/>
  <c r="AA255" i="3"/>
  <c r="C256" i="3"/>
  <c r="B256" i="11" s="1"/>
  <c r="D256" i="3"/>
  <c r="U256" i="3" s="1"/>
  <c r="W256" i="3" s="1"/>
  <c r="V256" i="3" s="1"/>
  <c r="X256" i="3" s="1"/>
  <c r="N431" i="2" s="1"/>
  <c r="J431" i="10" s="1"/>
  <c r="Z256" i="3"/>
  <c r="AE256" i="3" s="1"/>
  <c r="AA256" i="3"/>
  <c r="C257" i="3"/>
  <c r="B257" i="11" s="1"/>
  <c r="D257" i="3"/>
  <c r="U257" i="3" s="1"/>
  <c r="W257" i="3" s="1"/>
  <c r="V257" i="3" s="1"/>
  <c r="X257" i="3" s="1"/>
  <c r="N432" i="2" s="1"/>
  <c r="J432" i="10" s="1"/>
  <c r="Z257" i="3"/>
  <c r="AE257" i="3" s="1"/>
  <c r="AA257" i="3"/>
  <c r="C258" i="3"/>
  <c r="B258" i="11" s="1"/>
  <c r="D258" i="3"/>
  <c r="U258" i="3" s="1"/>
  <c r="W258" i="3" s="1"/>
  <c r="V258" i="3" s="1"/>
  <c r="X258" i="3" s="1"/>
  <c r="Z258" i="3"/>
  <c r="AE258" i="3" s="1"/>
  <c r="AA258" i="3"/>
  <c r="C259" i="3"/>
  <c r="B259" i="11" s="1"/>
  <c r="D259" i="3"/>
  <c r="U259" i="3" s="1"/>
  <c r="W259" i="3" s="1"/>
  <c r="V259" i="3" s="1"/>
  <c r="X259" i="3" s="1"/>
  <c r="N434" i="2" s="1"/>
  <c r="J434" i="10" s="1"/>
  <c r="Z259" i="3"/>
  <c r="AE259" i="3" s="1"/>
  <c r="AA259" i="3"/>
  <c r="C260" i="3"/>
  <c r="B260" i="11" s="1"/>
  <c r="D260" i="3"/>
  <c r="U260" i="3" s="1"/>
  <c r="W260" i="3" s="1"/>
  <c r="V260" i="3" s="1"/>
  <c r="X260" i="3" s="1"/>
  <c r="Z260" i="3"/>
  <c r="AE260" i="3" s="1"/>
  <c r="AA260" i="3"/>
  <c r="C261" i="3"/>
  <c r="B261" i="11" s="1"/>
  <c r="D261" i="3"/>
  <c r="U261" i="3" s="1"/>
  <c r="W261" i="3" s="1"/>
  <c r="V261" i="3" s="1"/>
  <c r="X261" i="3" s="1"/>
  <c r="Z261" i="3"/>
  <c r="AE261" i="3" s="1"/>
  <c r="AA261" i="3"/>
  <c r="C262" i="3"/>
  <c r="B262" i="11" s="1"/>
  <c r="D262" i="3"/>
  <c r="U262" i="3" s="1"/>
  <c r="W262" i="3" s="1"/>
  <c r="V262" i="3" s="1"/>
  <c r="X262" i="3" s="1"/>
  <c r="Y262" i="3" s="1"/>
  <c r="I262" i="11" s="1"/>
  <c r="Z262" i="3"/>
  <c r="AE262" i="3" s="1"/>
  <c r="AA262" i="3"/>
  <c r="AB262" i="3"/>
  <c r="C263" i="3"/>
  <c r="B263" i="11" s="1"/>
  <c r="D263" i="3"/>
  <c r="U263" i="3" s="1"/>
  <c r="W263" i="3" s="1"/>
  <c r="V263" i="3" s="1"/>
  <c r="X263" i="3" s="1"/>
  <c r="Z263" i="3"/>
  <c r="AE263" i="3" s="1"/>
  <c r="AA263" i="3"/>
  <c r="AB263" i="3"/>
  <c r="C264" i="3"/>
  <c r="B264" i="11" s="1"/>
  <c r="D264" i="3"/>
  <c r="U264" i="3" s="1"/>
  <c r="W264" i="3" s="1"/>
  <c r="V264" i="3" s="1"/>
  <c r="X264" i="3" s="1"/>
  <c r="Y264" i="3" s="1"/>
  <c r="I264" i="11" s="1"/>
  <c r="Z264" i="3"/>
  <c r="AE264" i="3" s="1"/>
  <c r="AA264" i="3"/>
  <c r="AB264" i="3"/>
  <c r="C265" i="3"/>
  <c r="B265" i="11" s="1"/>
  <c r="D265" i="3"/>
  <c r="U265" i="3" s="1"/>
  <c r="W265" i="3" s="1"/>
  <c r="V265" i="3" s="1"/>
  <c r="X265" i="3" s="1"/>
  <c r="N440" i="2" s="1"/>
  <c r="J440" i="10" s="1"/>
  <c r="Z265" i="3"/>
  <c r="AE265" i="3" s="1"/>
  <c r="AA265" i="3"/>
  <c r="AB265" i="3"/>
  <c r="C266" i="3"/>
  <c r="B266" i="11" s="1"/>
  <c r="D266" i="3"/>
  <c r="U266" i="3" s="1"/>
  <c r="W266" i="3" s="1"/>
  <c r="V266" i="3" s="1"/>
  <c r="X266" i="3" s="1"/>
  <c r="Z266" i="3"/>
  <c r="AE266" i="3" s="1"/>
  <c r="AA266" i="3"/>
  <c r="AB266" i="3"/>
  <c r="C267" i="3"/>
  <c r="B267" i="11" s="1"/>
  <c r="D267" i="3"/>
  <c r="Z267" i="3"/>
  <c r="AE267" i="3" s="1"/>
  <c r="AA267" i="3"/>
  <c r="AB267" i="3"/>
  <c r="C268" i="3"/>
  <c r="B268" i="11" s="1"/>
  <c r="D268" i="3"/>
  <c r="Z268" i="3"/>
  <c r="AE268" i="3" s="1"/>
  <c r="AA268" i="3"/>
  <c r="AB268" i="3"/>
  <c r="C269" i="3"/>
  <c r="B269" i="11" s="1"/>
  <c r="D269" i="3"/>
  <c r="Z269" i="3"/>
  <c r="AE269" i="3" s="1"/>
  <c r="AA269" i="3"/>
  <c r="AB269" i="3"/>
  <c r="C270" i="3"/>
  <c r="B270" i="11" s="1"/>
  <c r="D270" i="3"/>
  <c r="Z270" i="3"/>
  <c r="AE270" i="3" s="1"/>
  <c r="AA270" i="3"/>
  <c r="AB270" i="3"/>
  <c r="C271" i="3"/>
  <c r="B271" i="11" s="1"/>
  <c r="D271" i="3"/>
  <c r="Z271" i="3"/>
  <c r="AE271" i="3" s="1"/>
  <c r="AA271" i="3"/>
  <c r="AB271" i="3"/>
  <c r="C272" i="3"/>
  <c r="B272" i="11" s="1"/>
  <c r="D272" i="3"/>
  <c r="Z272" i="3"/>
  <c r="AE272" i="3" s="1"/>
  <c r="AA272" i="3"/>
  <c r="AB272" i="3"/>
  <c r="C273" i="3"/>
  <c r="B273" i="11" s="1"/>
  <c r="D273" i="3"/>
  <c r="Z273" i="3"/>
  <c r="AE273" i="3" s="1"/>
  <c r="AA273" i="3"/>
  <c r="AB273" i="3"/>
  <c r="C274" i="3"/>
  <c r="B274" i="11" s="1"/>
  <c r="D274" i="3"/>
  <c r="Z274" i="3"/>
  <c r="AE274" i="3" s="1"/>
  <c r="AA274" i="3"/>
  <c r="AB274" i="3"/>
  <c r="C275" i="3"/>
  <c r="B275" i="11" s="1"/>
  <c r="D275" i="3"/>
  <c r="Z275" i="3"/>
  <c r="AE275" i="3" s="1"/>
  <c r="AA275" i="3"/>
  <c r="AB275" i="3"/>
  <c r="C276" i="3"/>
  <c r="B276" i="11" s="1"/>
  <c r="D276" i="3"/>
  <c r="Z276" i="3"/>
  <c r="AE276" i="3" s="1"/>
  <c r="AA276" i="3"/>
  <c r="AB276" i="3"/>
  <c r="C277" i="3"/>
  <c r="B277" i="11" s="1"/>
  <c r="D277" i="3"/>
  <c r="Z277" i="3"/>
  <c r="AE277" i="3" s="1"/>
  <c r="AA277" i="3"/>
  <c r="AB277" i="3"/>
  <c r="C278" i="3"/>
  <c r="B278" i="11" s="1"/>
  <c r="D278" i="3"/>
  <c r="Z278" i="3"/>
  <c r="AE278" i="3" s="1"/>
  <c r="AA278" i="3"/>
  <c r="AB278" i="3"/>
  <c r="C279" i="3"/>
  <c r="B279" i="11" s="1"/>
  <c r="D279" i="3"/>
  <c r="Z279" i="3"/>
  <c r="AE279" i="3" s="1"/>
  <c r="AA279" i="3"/>
  <c r="AB279" i="3"/>
  <c r="C280" i="3"/>
  <c r="B280" i="11" s="1"/>
  <c r="D280" i="3"/>
  <c r="Z280" i="3"/>
  <c r="AE280" i="3" s="1"/>
  <c r="AA280" i="3"/>
  <c r="AB280" i="3"/>
  <c r="C281" i="3"/>
  <c r="B281" i="11" s="1"/>
  <c r="D281" i="3"/>
  <c r="Z281" i="3"/>
  <c r="AE281" i="3" s="1"/>
  <c r="AA281" i="3"/>
  <c r="AB281" i="3"/>
  <c r="C282" i="3"/>
  <c r="B282" i="11" s="1"/>
  <c r="D282" i="3"/>
  <c r="Z282" i="3"/>
  <c r="AE282" i="3" s="1"/>
  <c r="AA282" i="3"/>
  <c r="AB282" i="3"/>
  <c r="AC282" i="3"/>
  <c r="C283" i="3"/>
  <c r="B283" i="11" s="1"/>
  <c r="D283" i="3"/>
  <c r="Z283" i="3"/>
  <c r="AE283" i="3" s="1"/>
  <c r="AA283" i="3"/>
  <c r="AB283" i="3"/>
  <c r="AC283" i="3"/>
  <c r="C284" i="3"/>
  <c r="B284" i="11" s="1"/>
  <c r="D284" i="3"/>
  <c r="Z284" i="3"/>
  <c r="AE284" i="3" s="1"/>
  <c r="AA284" i="3"/>
  <c r="AB284" i="3"/>
  <c r="AC284" i="3"/>
  <c r="C285" i="3"/>
  <c r="B285" i="11" s="1"/>
  <c r="D285" i="3"/>
  <c r="Z285" i="3"/>
  <c r="AE285" i="3" s="1"/>
  <c r="AA285" i="3"/>
  <c r="AB285" i="3"/>
  <c r="AC285" i="3"/>
  <c r="C286" i="3"/>
  <c r="B286" i="11" s="1"/>
  <c r="D286" i="3"/>
  <c r="Z286" i="3"/>
  <c r="AE286" i="3" s="1"/>
  <c r="AA286" i="3"/>
  <c r="AB286" i="3"/>
  <c r="AC286" i="3"/>
  <c r="C287" i="3"/>
  <c r="B287" i="11" s="1"/>
  <c r="D287" i="3"/>
  <c r="Z287" i="3"/>
  <c r="AE287" i="3" s="1"/>
  <c r="AA287" i="3"/>
  <c r="AB287" i="3"/>
  <c r="AC287" i="3"/>
  <c r="C288" i="3"/>
  <c r="B288" i="11" s="1"/>
  <c r="D288" i="3"/>
  <c r="Z288" i="3"/>
  <c r="AE288" i="3" s="1"/>
  <c r="AA288" i="3"/>
  <c r="AB288" i="3"/>
  <c r="AC288" i="3"/>
  <c r="C289" i="3"/>
  <c r="B289" i="11" s="1"/>
  <c r="D289" i="3"/>
  <c r="Z289" i="3"/>
  <c r="AE289" i="3" s="1"/>
  <c r="AA289" i="3"/>
  <c r="AB289" i="3"/>
  <c r="AC289" i="3"/>
  <c r="C290" i="3"/>
  <c r="B290" i="11" s="1"/>
  <c r="D290" i="3"/>
  <c r="Z290" i="3"/>
  <c r="AE290" i="3" s="1"/>
  <c r="AA290" i="3"/>
  <c r="AB290" i="3"/>
  <c r="AC290" i="3"/>
  <c r="C291" i="3"/>
  <c r="B291" i="11" s="1"/>
  <c r="D291" i="3"/>
  <c r="Z291" i="3"/>
  <c r="AE291" i="3" s="1"/>
  <c r="AA291" i="3"/>
  <c r="AB291" i="3"/>
  <c r="AC291" i="3"/>
  <c r="C293" i="3"/>
  <c r="B293" i="11" s="1"/>
  <c r="D293" i="3"/>
  <c r="U293" i="3" s="1"/>
  <c r="W293" i="3" s="1"/>
  <c r="V293" i="3" s="1"/>
  <c r="X293" i="3" s="1"/>
  <c r="N493" i="2" s="1"/>
  <c r="J493" i="10" s="1"/>
  <c r="Z293" i="3"/>
  <c r="AE293" i="3" s="1"/>
  <c r="AA293" i="3"/>
  <c r="C294" i="3"/>
  <c r="B294" i="11" s="1"/>
  <c r="D294" i="3"/>
  <c r="U294" i="3" s="1"/>
  <c r="W294" i="3" s="1"/>
  <c r="V294" i="3" s="1"/>
  <c r="X294" i="3" s="1"/>
  <c r="Y294" i="3" s="1"/>
  <c r="I294" i="11" s="1"/>
  <c r="Z294" i="3"/>
  <c r="AE294" i="3" s="1"/>
  <c r="AA294" i="3"/>
  <c r="C295" i="3"/>
  <c r="B295" i="11" s="1"/>
  <c r="D295" i="3"/>
  <c r="U295" i="3" s="1"/>
  <c r="W295" i="3" s="1"/>
  <c r="V295" i="3" s="1"/>
  <c r="X295" i="3" s="1"/>
  <c r="N495" i="2" s="1"/>
  <c r="J495" i="10" s="1"/>
  <c r="Z295" i="3"/>
  <c r="AE295" i="3" s="1"/>
  <c r="AA295" i="3"/>
  <c r="C296" i="3"/>
  <c r="B296" i="11" s="1"/>
  <c r="D296" i="3"/>
  <c r="U296" i="3" s="1"/>
  <c r="W296" i="3" s="1"/>
  <c r="V296" i="3" s="1"/>
  <c r="X296" i="3" s="1"/>
  <c r="N496" i="2" s="1"/>
  <c r="J496" i="10" s="1"/>
  <c r="Z296" i="3"/>
  <c r="AE296" i="3" s="1"/>
  <c r="AA296" i="3"/>
  <c r="C297" i="3"/>
  <c r="B297" i="11" s="1"/>
  <c r="D297" i="3"/>
  <c r="U297" i="3" s="1"/>
  <c r="W297" i="3" s="1"/>
  <c r="V297" i="3" s="1"/>
  <c r="X297" i="3" s="1"/>
  <c r="Y297" i="3" s="1"/>
  <c r="I297" i="11" s="1"/>
  <c r="Z297" i="3"/>
  <c r="AE297" i="3" s="1"/>
  <c r="AA297" i="3"/>
  <c r="C298" i="3"/>
  <c r="B298" i="11" s="1"/>
  <c r="D298" i="3"/>
  <c r="U298" i="3" s="1"/>
  <c r="W298" i="3" s="1"/>
  <c r="V298" i="3" s="1"/>
  <c r="X298" i="3" s="1"/>
  <c r="Z298" i="3"/>
  <c r="AE298" i="3" s="1"/>
  <c r="AA298" i="3"/>
  <c r="C299" i="3"/>
  <c r="B299" i="11" s="1"/>
  <c r="D299" i="3"/>
  <c r="U299" i="3" s="1"/>
  <c r="W299" i="3" s="1"/>
  <c r="V299" i="3" s="1"/>
  <c r="X299" i="3" s="1"/>
  <c r="Z299" i="3"/>
  <c r="AE299" i="3" s="1"/>
  <c r="AA299" i="3"/>
  <c r="C300" i="3"/>
  <c r="B300" i="11" s="1"/>
  <c r="D300" i="3"/>
  <c r="U300" i="3" s="1"/>
  <c r="W300" i="3" s="1"/>
  <c r="V300" i="3" s="1"/>
  <c r="X300" i="3" s="1"/>
  <c r="Y300" i="3" s="1"/>
  <c r="I300" i="11" s="1"/>
  <c r="Z300" i="3"/>
  <c r="AE300" i="3" s="1"/>
  <c r="AA300" i="3"/>
  <c r="C301" i="3"/>
  <c r="B301" i="11" s="1"/>
  <c r="D301" i="3"/>
  <c r="U301" i="3" s="1"/>
  <c r="W301" i="3" s="1"/>
  <c r="V301" i="3" s="1"/>
  <c r="X301" i="3" s="1"/>
  <c r="N501" i="2" s="1"/>
  <c r="J501" i="10" s="1"/>
  <c r="Z301" i="3"/>
  <c r="AE301" i="3" s="1"/>
  <c r="AA301" i="3"/>
  <c r="C302" i="3"/>
  <c r="B302" i="11" s="1"/>
  <c r="D302" i="3"/>
  <c r="U302" i="3" s="1"/>
  <c r="W302" i="3" s="1"/>
  <c r="V302" i="3" s="1"/>
  <c r="X302" i="3" s="1"/>
  <c r="Z302" i="3"/>
  <c r="AE302" i="3" s="1"/>
  <c r="AA302" i="3"/>
  <c r="C303" i="3"/>
  <c r="B303" i="11" s="1"/>
  <c r="D303" i="3"/>
  <c r="U303" i="3" s="1"/>
  <c r="W303" i="3" s="1"/>
  <c r="V303" i="3" s="1"/>
  <c r="X303" i="3" s="1"/>
  <c r="Y303" i="3" s="1"/>
  <c r="I303" i="11" s="1"/>
  <c r="Z303" i="3"/>
  <c r="AE303" i="3" s="1"/>
  <c r="AA303" i="3"/>
  <c r="C304" i="3"/>
  <c r="B304" i="11" s="1"/>
  <c r="D304" i="3"/>
  <c r="U304" i="3" s="1"/>
  <c r="W304" i="3" s="1"/>
  <c r="V304" i="3" s="1"/>
  <c r="X304" i="3" s="1"/>
  <c r="Z304" i="3"/>
  <c r="AE304" i="3" s="1"/>
  <c r="AA304" i="3"/>
  <c r="C305" i="3"/>
  <c r="B305" i="11" s="1"/>
  <c r="D305" i="3"/>
  <c r="U305" i="3" s="1"/>
  <c r="W305" i="3" s="1"/>
  <c r="V305" i="3" s="1"/>
  <c r="X305" i="3" s="1"/>
  <c r="N505" i="2" s="1"/>
  <c r="J505" i="10" s="1"/>
  <c r="Z305" i="3"/>
  <c r="AE305" i="3" s="1"/>
  <c r="AA305" i="3"/>
  <c r="C306" i="3"/>
  <c r="B306" i="11" s="1"/>
  <c r="D306" i="3"/>
  <c r="U306" i="3" s="1"/>
  <c r="W306" i="3" s="1"/>
  <c r="V306" i="3" s="1"/>
  <c r="X306" i="3" s="1"/>
  <c r="Y306" i="3" s="1"/>
  <c r="I306" i="11" s="1"/>
  <c r="Z306" i="3"/>
  <c r="AE306" i="3" s="1"/>
  <c r="AA306" i="3"/>
  <c r="C307" i="3"/>
  <c r="B307" i="11" s="1"/>
  <c r="D307" i="3"/>
  <c r="U307" i="3" s="1"/>
  <c r="W307" i="3" s="1"/>
  <c r="V307" i="3" s="1"/>
  <c r="X307" i="3" s="1"/>
  <c r="Z307" i="3"/>
  <c r="AE307" i="3" s="1"/>
  <c r="AA307" i="3"/>
  <c r="C308" i="3"/>
  <c r="B308" i="11" s="1"/>
  <c r="D308" i="3"/>
  <c r="U308" i="3" s="1"/>
  <c r="W308" i="3" s="1"/>
  <c r="V308" i="3" s="1"/>
  <c r="X308" i="3" s="1"/>
  <c r="Y308" i="3" s="1"/>
  <c r="Z308" i="3"/>
  <c r="AE308" i="3" s="1"/>
  <c r="AA308" i="3"/>
  <c r="C309" i="3"/>
  <c r="B309" i="11" s="1"/>
  <c r="D309" i="3"/>
  <c r="U309" i="3" s="1"/>
  <c r="W309" i="3" s="1"/>
  <c r="V309" i="3" s="1"/>
  <c r="X309" i="3" s="1"/>
  <c r="N509" i="2" s="1"/>
  <c r="J509" i="10" s="1"/>
  <c r="Z309" i="3"/>
  <c r="AE309" i="3" s="1"/>
  <c r="AA309" i="3"/>
  <c r="C310" i="3"/>
  <c r="B310" i="11" s="1"/>
  <c r="D310" i="3"/>
  <c r="U310" i="3" s="1"/>
  <c r="W310" i="3" s="1"/>
  <c r="V310" i="3" s="1"/>
  <c r="X310" i="3" s="1"/>
  <c r="Y310" i="3" s="1"/>
  <c r="I310" i="11" s="1"/>
  <c r="Z310" i="3"/>
  <c r="AE310" i="3" s="1"/>
  <c r="AA310" i="3"/>
  <c r="C311" i="3"/>
  <c r="B311" i="11" s="1"/>
  <c r="D311" i="3"/>
  <c r="U311" i="3" s="1"/>
  <c r="W311" i="3" s="1"/>
  <c r="V311" i="3" s="1"/>
  <c r="X311" i="3" s="1"/>
  <c r="N511" i="2" s="1"/>
  <c r="J511" i="10" s="1"/>
  <c r="Z311" i="3"/>
  <c r="AE311" i="3" s="1"/>
  <c r="AA311" i="3"/>
  <c r="C312" i="3"/>
  <c r="B312" i="11" s="1"/>
  <c r="D312" i="3"/>
  <c r="U312" i="3" s="1"/>
  <c r="W312" i="3" s="1"/>
  <c r="V312" i="3" s="1"/>
  <c r="X312" i="3" s="1"/>
  <c r="Y312" i="3" s="1"/>
  <c r="I312" i="11" s="1"/>
  <c r="Z312" i="3"/>
  <c r="AE312" i="3" s="1"/>
  <c r="AA312" i="3"/>
  <c r="C313" i="3"/>
  <c r="B313" i="11" s="1"/>
  <c r="D313" i="3"/>
  <c r="U313" i="3" s="1"/>
  <c r="W313" i="3" s="1"/>
  <c r="V313" i="3" s="1"/>
  <c r="X313" i="3" s="1"/>
  <c r="N513" i="2" s="1"/>
  <c r="J513" i="10" s="1"/>
  <c r="Z313" i="3"/>
  <c r="AE313" i="3" s="1"/>
  <c r="AA313" i="3"/>
  <c r="AB313" i="3"/>
  <c r="C314" i="3"/>
  <c r="B314" i="11" s="1"/>
  <c r="D314" i="3"/>
  <c r="U314" i="3" s="1"/>
  <c r="W314" i="3" s="1"/>
  <c r="V314" i="3" s="1"/>
  <c r="X314" i="3" s="1"/>
  <c r="Z314" i="3"/>
  <c r="AE314" i="3" s="1"/>
  <c r="AA314" i="3"/>
  <c r="AB314" i="3"/>
  <c r="C315" i="3"/>
  <c r="B315" i="11" s="1"/>
  <c r="D315" i="3"/>
  <c r="U315" i="3" s="1"/>
  <c r="W315" i="3" s="1"/>
  <c r="V315" i="3" s="1"/>
  <c r="X315" i="3" s="1"/>
  <c r="Z315" i="3"/>
  <c r="AE315" i="3" s="1"/>
  <c r="AA315" i="3"/>
  <c r="AB315" i="3"/>
  <c r="C316" i="3"/>
  <c r="B316" i="11" s="1"/>
  <c r="D316" i="3"/>
  <c r="U316" i="3" s="1"/>
  <c r="W316" i="3" s="1"/>
  <c r="V316" i="3" s="1"/>
  <c r="X316" i="3" s="1"/>
  <c r="Y316" i="3" s="1"/>
  <c r="I316" i="11" s="1"/>
  <c r="Z316" i="3"/>
  <c r="AE316" i="3" s="1"/>
  <c r="AA316" i="3"/>
  <c r="AB316" i="3"/>
  <c r="C317" i="3"/>
  <c r="B317" i="11" s="1"/>
  <c r="D317" i="3"/>
  <c r="U317" i="3" s="1"/>
  <c r="W317" i="3" s="1"/>
  <c r="V317" i="3" s="1"/>
  <c r="X317" i="3" s="1"/>
  <c r="Z317" i="3"/>
  <c r="AE317" i="3" s="1"/>
  <c r="AA317" i="3"/>
  <c r="AB317" i="3"/>
  <c r="C318" i="3"/>
  <c r="B318" i="11" s="1"/>
  <c r="D318" i="3"/>
  <c r="Z318" i="3"/>
  <c r="AE318" i="3" s="1"/>
  <c r="AA318" i="3"/>
  <c r="AB318" i="3"/>
  <c r="C319" i="3"/>
  <c r="B319" i="11" s="1"/>
  <c r="D319" i="3"/>
  <c r="Z319" i="3"/>
  <c r="AE319" i="3" s="1"/>
  <c r="AA319" i="3"/>
  <c r="AB319" i="3"/>
  <c r="C320" i="3"/>
  <c r="B320" i="11" s="1"/>
  <c r="D320" i="3"/>
  <c r="Z320" i="3"/>
  <c r="AE320" i="3" s="1"/>
  <c r="AA320" i="3"/>
  <c r="AB320" i="3"/>
  <c r="C321" i="3"/>
  <c r="B321" i="11" s="1"/>
  <c r="D321" i="3"/>
  <c r="Z321" i="3"/>
  <c r="AE321" i="3" s="1"/>
  <c r="AA321" i="3"/>
  <c r="AB321" i="3"/>
  <c r="C322" i="3"/>
  <c r="B322" i="11" s="1"/>
  <c r="D322" i="3"/>
  <c r="Z322" i="3"/>
  <c r="AE322" i="3" s="1"/>
  <c r="AA322" i="3"/>
  <c r="AB322" i="3"/>
  <c r="C323" i="3"/>
  <c r="B323" i="11" s="1"/>
  <c r="D323" i="3"/>
  <c r="Z323" i="3"/>
  <c r="AE323" i="3" s="1"/>
  <c r="AA323" i="3"/>
  <c r="AB323" i="3"/>
  <c r="C324" i="3"/>
  <c r="B324" i="11" s="1"/>
  <c r="D324" i="3"/>
  <c r="Z324" i="3"/>
  <c r="AE324" i="3" s="1"/>
  <c r="AA324" i="3"/>
  <c r="AB324" i="3"/>
  <c r="C325" i="3"/>
  <c r="B325" i="11" s="1"/>
  <c r="D325" i="3"/>
  <c r="Z325" i="3"/>
  <c r="AE325" i="3" s="1"/>
  <c r="AA325" i="3"/>
  <c r="AB325" i="3"/>
  <c r="C326" i="3"/>
  <c r="B326" i="11" s="1"/>
  <c r="D326" i="3"/>
  <c r="Z326" i="3"/>
  <c r="AE326" i="3" s="1"/>
  <c r="AA326" i="3"/>
  <c r="AB326" i="3"/>
  <c r="C327" i="3"/>
  <c r="B327" i="11" s="1"/>
  <c r="D327" i="3"/>
  <c r="Z327" i="3"/>
  <c r="AE327" i="3" s="1"/>
  <c r="AA327" i="3"/>
  <c r="AB327" i="3"/>
  <c r="C328" i="3"/>
  <c r="B328" i="11" s="1"/>
  <c r="D328" i="3"/>
  <c r="Z328" i="3"/>
  <c r="AE328" i="3" s="1"/>
  <c r="AA328" i="3"/>
  <c r="AB328" i="3"/>
  <c r="C329" i="3"/>
  <c r="B329" i="11" s="1"/>
  <c r="D329" i="3"/>
  <c r="Z329" i="3"/>
  <c r="AE329" i="3" s="1"/>
  <c r="AA329" i="3"/>
  <c r="AB329" i="3"/>
  <c r="C330" i="3"/>
  <c r="B330" i="11" s="1"/>
  <c r="D330" i="3"/>
  <c r="Z330" i="3"/>
  <c r="AE330" i="3" s="1"/>
  <c r="AA330" i="3"/>
  <c r="AB330" i="3"/>
  <c r="C331" i="3"/>
  <c r="B331" i="11" s="1"/>
  <c r="D331" i="3"/>
  <c r="Z331" i="3"/>
  <c r="AE331" i="3" s="1"/>
  <c r="AA331" i="3"/>
  <c r="AB331" i="3"/>
  <c r="C332" i="3"/>
  <c r="B332" i="11" s="1"/>
  <c r="D332" i="3"/>
  <c r="Z332" i="3"/>
  <c r="AE332" i="3" s="1"/>
  <c r="AA332" i="3"/>
  <c r="AB332" i="3"/>
  <c r="C333" i="3"/>
  <c r="B333" i="11" s="1"/>
  <c r="D333" i="3"/>
  <c r="Z333" i="3"/>
  <c r="AE333" i="3" s="1"/>
  <c r="AA333" i="3"/>
  <c r="AB333" i="3"/>
  <c r="AC333" i="3"/>
  <c r="C334" i="3"/>
  <c r="B334" i="11" s="1"/>
  <c r="D334" i="3"/>
  <c r="Z334" i="3"/>
  <c r="AE334" i="3" s="1"/>
  <c r="AA334" i="3"/>
  <c r="AB334" i="3"/>
  <c r="AC334" i="3"/>
  <c r="C335" i="3"/>
  <c r="B335" i="11" s="1"/>
  <c r="D335" i="3"/>
  <c r="Z335" i="3"/>
  <c r="AE335" i="3" s="1"/>
  <c r="AA335" i="3"/>
  <c r="AB335" i="3"/>
  <c r="AC335" i="3"/>
  <c r="C336" i="3"/>
  <c r="B336" i="11" s="1"/>
  <c r="D336" i="3"/>
  <c r="Z336" i="3"/>
  <c r="AE336" i="3" s="1"/>
  <c r="AA336" i="3"/>
  <c r="AB336" i="3"/>
  <c r="AC336" i="3"/>
  <c r="C337" i="3"/>
  <c r="B337" i="11" s="1"/>
  <c r="D337" i="3"/>
  <c r="Z337" i="3"/>
  <c r="AE337" i="3" s="1"/>
  <c r="AA337" i="3"/>
  <c r="AB337" i="3"/>
  <c r="AC337" i="3"/>
  <c r="C338" i="3"/>
  <c r="B338" i="11" s="1"/>
  <c r="D338" i="3"/>
  <c r="Z338" i="3"/>
  <c r="AE338" i="3" s="1"/>
  <c r="AA338" i="3"/>
  <c r="AB338" i="3"/>
  <c r="AC338" i="3"/>
  <c r="C339" i="3"/>
  <c r="B339" i="11" s="1"/>
  <c r="D339" i="3"/>
  <c r="Z339" i="3"/>
  <c r="AE339" i="3" s="1"/>
  <c r="AA339" i="3"/>
  <c r="AB339" i="3"/>
  <c r="AC339" i="3"/>
  <c r="C340" i="3"/>
  <c r="B340" i="11" s="1"/>
  <c r="D340" i="3"/>
  <c r="Z340" i="3"/>
  <c r="AE340" i="3" s="1"/>
  <c r="AA340" i="3"/>
  <c r="AB340" i="3"/>
  <c r="AC340" i="3"/>
  <c r="C341" i="3"/>
  <c r="B341" i="11" s="1"/>
  <c r="D341" i="3"/>
  <c r="Z341" i="3"/>
  <c r="AE341" i="3" s="1"/>
  <c r="AA341" i="3"/>
  <c r="AB341" i="3"/>
  <c r="AC341" i="3"/>
  <c r="C342" i="3"/>
  <c r="B342" i="11" s="1"/>
  <c r="D342" i="3"/>
  <c r="Z342" i="3"/>
  <c r="AE342" i="3" s="1"/>
  <c r="AA342" i="3"/>
  <c r="AB342" i="3"/>
  <c r="AC342" i="3"/>
  <c r="D344" i="3"/>
  <c r="U344" i="3" s="1"/>
  <c r="V344" i="3" s="1"/>
  <c r="X344" i="3" s="1"/>
  <c r="N569" i="2" s="1"/>
  <c r="J569" i="10" s="1"/>
  <c r="Z344" i="3"/>
  <c r="AE344" i="3" s="1"/>
  <c r="AA344" i="3"/>
  <c r="C345" i="3"/>
  <c r="B345" i="11" s="1"/>
  <c r="D345" i="3"/>
  <c r="U345" i="3" s="1"/>
  <c r="V345" i="3" s="1"/>
  <c r="X345" i="3" s="1"/>
  <c r="N570" i="2" s="1"/>
  <c r="J570" i="10" s="1"/>
  <c r="Z345" i="3"/>
  <c r="AE345" i="3" s="1"/>
  <c r="AA345" i="3"/>
  <c r="C346" i="3"/>
  <c r="B346" i="11" s="1"/>
  <c r="D346" i="3"/>
  <c r="U346" i="3" s="1"/>
  <c r="V346" i="3" s="1"/>
  <c r="X346" i="3" s="1"/>
  <c r="Y346" i="3" s="1"/>
  <c r="I346" i="11" s="1"/>
  <c r="Z346" i="3"/>
  <c r="AE346" i="3" s="1"/>
  <c r="AA346" i="3"/>
  <c r="C347" i="3"/>
  <c r="B347" i="11" s="1"/>
  <c r="D347" i="3"/>
  <c r="U347" i="3" s="1"/>
  <c r="V347" i="3" s="1"/>
  <c r="X347" i="3" s="1"/>
  <c r="N572" i="2" s="1"/>
  <c r="J572" i="10" s="1"/>
  <c r="Z347" i="3"/>
  <c r="AE347" i="3" s="1"/>
  <c r="AA347" i="3"/>
  <c r="C348" i="3"/>
  <c r="B348" i="11" s="1"/>
  <c r="D348" i="3"/>
  <c r="U348" i="3" s="1"/>
  <c r="V348" i="3" s="1"/>
  <c r="X348" i="3" s="1"/>
  <c r="Z348" i="3"/>
  <c r="AE348" i="3" s="1"/>
  <c r="AA348" i="3"/>
  <c r="AB348" i="3"/>
  <c r="C349" i="3"/>
  <c r="B349" i="11" s="1"/>
  <c r="D349" i="3"/>
  <c r="Z349" i="3"/>
  <c r="AE349" i="3" s="1"/>
  <c r="AA349" i="3"/>
  <c r="AB349" i="3"/>
  <c r="C350" i="3"/>
  <c r="B350" i="11" s="1"/>
  <c r="D350" i="3"/>
  <c r="Z350" i="3"/>
  <c r="AE350" i="3" s="1"/>
  <c r="AA350" i="3"/>
  <c r="AB350" i="3"/>
  <c r="AC350" i="3"/>
  <c r="C351" i="3"/>
  <c r="B351" i="11" s="1"/>
  <c r="D351" i="3"/>
  <c r="Z351" i="3"/>
  <c r="AE351" i="3" s="1"/>
  <c r="AA351" i="3"/>
  <c r="AB351" i="3"/>
  <c r="AC351" i="3"/>
  <c r="C352" i="3"/>
  <c r="B352" i="11" s="1"/>
  <c r="D352" i="3"/>
  <c r="Z352" i="3"/>
  <c r="AE352" i="3" s="1"/>
  <c r="AA352" i="3"/>
  <c r="AB352" i="3"/>
  <c r="AC352" i="3"/>
  <c r="C353" i="3"/>
  <c r="B353" i="11" s="1"/>
  <c r="D353" i="3"/>
  <c r="Z353" i="3"/>
  <c r="AE353" i="3" s="1"/>
  <c r="AA353" i="3"/>
  <c r="AB353" i="3"/>
  <c r="AC353" i="3"/>
  <c r="C355" i="3"/>
  <c r="B355" i="11" s="1"/>
  <c r="D355" i="3"/>
  <c r="U355" i="3" s="1"/>
  <c r="V355" i="3" s="1"/>
  <c r="X355" i="3" s="1"/>
  <c r="N585" i="2" s="1"/>
  <c r="J585" i="10" s="1"/>
  <c r="Z355" i="3"/>
  <c r="AE355" i="3" s="1"/>
  <c r="AA355" i="3"/>
  <c r="C356" i="3"/>
  <c r="B356" i="11" s="1"/>
  <c r="D356" i="3"/>
  <c r="U356" i="3" s="1"/>
  <c r="V356" i="3" s="1"/>
  <c r="X356" i="3" s="1"/>
  <c r="Z356" i="3"/>
  <c r="AE356" i="3" s="1"/>
  <c r="AA356" i="3"/>
  <c r="C357" i="3"/>
  <c r="B357" i="11" s="1"/>
  <c r="D357" i="3"/>
  <c r="U357" i="3" s="1"/>
  <c r="V357" i="3" s="1"/>
  <c r="X357" i="3" s="1"/>
  <c r="Z357" i="3"/>
  <c r="AE357" i="3" s="1"/>
  <c r="AA357" i="3"/>
  <c r="C358" i="3"/>
  <c r="B358" i="11" s="1"/>
  <c r="D358" i="3"/>
  <c r="U358" i="3" s="1"/>
  <c r="V358" i="3" s="1"/>
  <c r="X358" i="3" s="1"/>
  <c r="Y358" i="3" s="1"/>
  <c r="I358" i="11" s="1"/>
  <c r="Z358" i="3"/>
  <c r="AE358" i="3" s="1"/>
  <c r="AA358" i="3"/>
  <c r="C359" i="3"/>
  <c r="B359" i="11" s="1"/>
  <c r="D359" i="3"/>
  <c r="U359" i="3" s="1"/>
  <c r="V359" i="3" s="1"/>
  <c r="X359" i="3" s="1"/>
  <c r="N589" i="2" s="1"/>
  <c r="J589" i="10" s="1"/>
  <c r="Z359" i="3"/>
  <c r="AE359" i="3" s="1"/>
  <c r="AA359" i="3"/>
  <c r="AB359" i="3"/>
  <c r="C360" i="3"/>
  <c r="B360" i="11" s="1"/>
  <c r="D360" i="3"/>
  <c r="Z360" i="3"/>
  <c r="AE360" i="3" s="1"/>
  <c r="AA360" i="3"/>
  <c r="AB360" i="3"/>
  <c r="C361" i="3"/>
  <c r="B361" i="11" s="1"/>
  <c r="D361" i="3"/>
  <c r="Z361" i="3"/>
  <c r="AE361" i="3" s="1"/>
  <c r="AA361" i="3"/>
  <c r="AB361" i="3"/>
  <c r="AC361" i="3"/>
  <c r="C362" i="3"/>
  <c r="B362" i="11" s="1"/>
  <c r="D362" i="3"/>
  <c r="Z362" i="3"/>
  <c r="AE362" i="3" s="1"/>
  <c r="AA362" i="3"/>
  <c r="AB362" i="3"/>
  <c r="AC362" i="3"/>
  <c r="C363" i="3"/>
  <c r="B363" i="11" s="1"/>
  <c r="D363" i="3"/>
  <c r="Z363" i="3"/>
  <c r="AE363" i="3" s="1"/>
  <c r="AA363" i="3"/>
  <c r="AB363" i="3"/>
  <c r="AC363" i="3"/>
  <c r="C364" i="3"/>
  <c r="B364" i="11" s="1"/>
  <c r="D364" i="3"/>
  <c r="Z364" i="3"/>
  <c r="AE364" i="3" s="1"/>
  <c r="AA364" i="3"/>
  <c r="AB364" i="3"/>
  <c r="AC364" i="3"/>
  <c r="C366" i="3"/>
  <c r="B366" i="11" s="1"/>
  <c r="D366" i="3"/>
  <c r="U366" i="3" s="1"/>
  <c r="V366" i="3" s="1"/>
  <c r="X366" i="3" s="1"/>
  <c r="N601" i="2" s="1"/>
  <c r="J601" i="10" s="1"/>
  <c r="Z366" i="3"/>
  <c r="AE366" i="3" s="1"/>
  <c r="AA366" i="3"/>
  <c r="C367" i="3"/>
  <c r="B367" i="11" s="1"/>
  <c r="D367" i="3"/>
  <c r="U367" i="3" s="1"/>
  <c r="V367" i="3" s="1"/>
  <c r="X367" i="3" s="1"/>
  <c r="N602" i="2" s="1"/>
  <c r="J602" i="10" s="1"/>
  <c r="Z367" i="3"/>
  <c r="AE367" i="3" s="1"/>
  <c r="AA367" i="3"/>
  <c r="C368" i="3"/>
  <c r="B368" i="11" s="1"/>
  <c r="D368" i="3"/>
  <c r="U368" i="3" s="1"/>
  <c r="V368" i="3" s="1"/>
  <c r="X368" i="3" s="1"/>
  <c r="Z368" i="3"/>
  <c r="AE368" i="3" s="1"/>
  <c r="AA368" i="3"/>
  <c r="C369" i="3"/>
  <c r="B369" i="11" s="1"/>
  <c r="D369" i="3"/>
  <c r="U369" i="3" s="1"/>
  <c r="V369" i="3" s="1"/>
  <c r="X369" i="3" s="1"/>
  <c r="N604" i="2" s="1"/>
  <c r="J604" i="10" s="1"/>
  <c r="Z369" i="3"/>
  <c r="AE369" i="3" s="1"/>
  <c r="AA369" i="3"/>
  <c r="C370" i="3"/>
  <c r="B370" i="11" s="1"/>
  <c r="D370" i="3"/>
  <c r="U370" i="3" s="1"/>
  <c r="V370" i="3" s="1"/>
  <c r="X370" i="3" s="1"/>
  <c r="Y370" i="3" s="1"/>
  <c r="I370" i="11" s="1"/>
  <c r="Z370" i="3"/>
  <c r="AE370" i="3" s="1"/>
  <c r="AA370" i="3"/>
  <c r="AB370" i="3"/>
  <c r="C371" i="3"/>
  <c r="B371" i="11" s="1"/>
  <c r="D371" i="3"/>
  <c r="Z371" i="3"/>
  <c r="AE371" i="3" s="1"/>
  <c r="AA371" i="3"/>
  <c r="AB371" i="3"/>
  <c r="C372" i="3"/>
  <c r="B372" i="11" s="1"/>
  <c r="D372" i="3"/>
  <c r="Z372" i="3"/>
  <c r="AE372" i="3" s="1"/>
  <c r="AA372" i="3"/>
  <c r="AB372" i="3"/>
  <c r="C373" i="3"/>
  <c r="B373" i="11" s="1"/>
  <c r="D373" i="3"/>
  <c r="Z373" i="3"/>
  <c r="AE373" i="3" s="1"/>
  <c r="AA373" i="3"/>
  <c r="AB373" i="3"/>
  <c r="C374" i="3"/>
  <c r="B374" i="11" s="1"/>
  <c r="D374" i="3"/>
  <c r="Z374" i="3"/>
  <c r="AE374" i="3" s="1"/>
  <c r="AA374" i="3"/>
  <c r="AB374" i="3"/>
  <c r="AC374" i="3"/>
  <c r="C375" i="3"/>
  <c r="B375" i="11" s="1"/>
  <c r="D375" i="3"/>
  <c r="Z375" i="3"/>
  <c r="AE375" i="3" s="1"/>
  <c r="AA375" i="3"/>
  <c r="AB375" i="3"/>
  <c r="AC375" i="3"/>
  <c r="C377" i="3"/>
  <c r="B377" i="11" s="1"/>
  <c r="D377" i="3"/>
  <c r="U377" i="3" s="1"/>
  <c r="V377" i="3" s="1"/>
  <c r="X377" i="3" s="1"/>
  <c r="Z377" i="3"/>
  <c r="AE377" i="3" s="1"/>
  <c r="AA377" i="3"/>
  <c r="C378" i="3"/>
  <c r="B378" i="11" s="1"/>
  <c r="D378" i="3"/>
  <c r="U378" i="3" s="1"/>
  <c r="V378" i="3" s="1"/>
  <c r="X378" i="3" s="1"/>
  <c r="N618" i="2" s="1"/>
  <c r="J618" i="10" s="1"/>
  <c r="Z378" i="3"/>
  <c r="AE378" i="3" s="1"/>
  <c r="AA378" i="3"/>
  <c r="C379" i="3"/>
  <c r="B379" i="11" s="1"/>
  <c r="D379" i="3"/>
  <c r="U379" i="3" s="1"/>
  <c r="V379" i="3" s="1"/>
  <c r="X379" i="3" s="1"/>
  <c r="N619" i="2" s="1"/>
  <c r="J619" i="10" s="1"/>
  <c r="Z379" i="3"/>
  <c r="AE379" i="3" s="1"/>
  <c r="AA379" i="3"/>
  <c r="C380" i="3"/>
  <c r="B380" i="11" s="1"/>
  <c r="D380" i="3"/>
  <c r="U380" i="3" s="1"/>
  <c r="V380" i="3" s="1"/>
  <c r="X380" i="3" s="1"/>
  <c r="Z380" i="3"/>
  <c r="AE380" i="3" s="1"/>
  <c r="AA380" i="3"/>
  <c r="C381" i="3"/>
  <c r="B381" i="11" s="1"/>
  <c r="D381" i="3"/>
  <c r="U381" i="3" s="1"/>
  <c r="V381" i="3" s="1"/>
  <c r="X381" i="3" s="1"/>
  <c r="Z381" i="3"/>
  <c r="AE381" i="3" s="1"/>
  <c r="AA381" i="3"/>
  <c r="AB381" i="3"/>
  <c r="C382" i="3"/>
  <c r="B382" i="11" s="1"/>
  <c r="D382" i="3"/>
  <c r="Z382" i="3"/>
  <c r="AE382" i="3" s="1"/>
  <c r="AA382" i="3"/>
  <c r="AB382" i="3"/>
  <c r="C383" i="3"/>
  <c r="B383" i="11" s="1"/>
  <c r="D383" i="3"/>
  <c r="Z383" i="3"/>
  <c r="AE383" i="3" s="1"/>
  <c r="AA383" i="3"/>
  <c r="AB383" i="3"/>
  <c r="C384" i="3"/>
  <c r="B384" i="11" s="1"/>
  <c r="D384" i="3"/>
  <c r="Z384" i="3"/>
  <c r="AE384" i="3" s="1"/>
  <c r="AA384" i="3"/>
  <c r="AB384" i="3"/>
  <c r="C385" i="3"/>
  <c r="B385" i="11" s="1"/>
  <c r="D385" i="3"/>
  <c r="Z385" i="3"/>
  <c r="AE385" i="3" s="1"/>
  <c r="AA385" i="3"/>
  <c r="AB385" i="3"/>
  <c r="AC385" i="3"/>
  <c r="C386" i="3"/>
  <c r="B386" i="11" s="1"/>
  <c r="D386" i="3"/>
  <c r="Z386" i="3"/>
  <c r="AE386" i="3" s="1"/>
  <c r="AA386" i="3"/>
  <c r="AB386" i="3"/>
  <c r="AC386" i="3"/>
  <c r="C388" i="3"/>
  <c r="B388" i="11" s="1"/>
  <c r="D388" i="3"/>
  <c r="U388" i="3" s="1"/>
  <c r="V388" i="3" s="1"/>
  <c r="X388" i="3" s="1"/>
  <c r="Z388" i="3"/>
  <c r="AE388" i="3" s="1"/>
  <c r="AA388" i="3"/>
  <c r="C389" i="3"/>
  <c r="B389" i="11" s="1"/>
  <c r="D389" i="3"/>
  <c r="U389" i="3" s="1"/>
  <c r="V389" i="3" s="1"/>
  <c r="X389" i="3" s="1"/>
  <c r="Z389" i="3"/>
  <c r="AE389" i="3" s="1"/>
  <c r="AA389" i="3"/>
  <c r="C390" i="3"/>
  <c r="B390" i="11" s="1"/>
  <c r="D390" i="3"/>
  <c r="U390" i="3" s="1"/>
  <c r="V390" i="3" s="1"/>
  <c r="X390" i="3" s="1"/>
  <c r="Y390" i="3" s="1"/>
  <c r="I390" i="11" s="1"/>
  <c r="Z390" i="3"/>
  <c r="AE390" i="3" s="1"/>
  <c r="AA390" i="3"/>
  <c r="C391" i="3"/>
  <c r="B391" i="11" s="1"/>
  <c r="D391" i="3"/>
  <c r="U391" i="3" s="1"/>
  <c r="V391" i="3" s="1"/>
  <c r="X391" i="3" s="1"/>
  <c r="Y391" i="3" s="1"/>
  <c r="I391" i="11" s="1"/>
  <c r="Z391" i="3"/>
  <c r="AE391" i="3" s="1"/>
  <c r="AA391" i="3"/>
  <c r="C392" i="3"/>
  <c r="B392" i="11" s="1"/>
  <c r="D392" i="3"/>
  <c r="U392" i="3" s="1"/>
  <c r="V392" i="3" s="1"/>
  <c r="X392" i="3" s="1"/>
  <c r="Y392" i="3" s="1"/>
  <c r="I392" i="11" s="1"/>
  <c r="Z392" i="3"/>
  <c r="AE392" i="3" s="1"/>
  <c r="AA392" i="3"/>
  <c r="AB392" i="3"/>
  <c r="C393" i="3"/>
  <c r="B393" i="11" s="1"/>
  <c r="D393" i="3"/>
  <c r="Z393" i="3"/>
  <c r="AE393" i="3" s="1"/>
  <c r="AA393" i="3"/>
  <c r="AB393" i="3"/>
  <c r="C394" i="3"/>
  <c r="B394" i="11" s="1"/>
  <c r="D394" i="3"/>
  <c r="Z394" i="3"/>
  <c r="AE394" i="3" s="1"/>
  <c r="AA394" i="3"/>
  <c r="AB394" i="3"/>
  <c r="C395" i="3"/>
  <c r="B395" i="11" s="1"/>
  <c r="D395" i="3"/>
  <c r="Z395" i="3"/>
  <c r="AE395" i="3" s="1"/>
  <c r="AA395" i="3"/>
  <c r="AB395" i="3"/>
  <c r="C396" i="3"/>
  <c r="B396" i="11" s="1"/>
  <c r="D396" i="3"/>
  <c r="Z396" i="3"/>
  <c r="AE396" i="3" s="1"/>
  <c r="AA396" i="3"/>
  <c r="AB396" i="3"/>
  <c r="AC396" i="3"/>
  <c r="C397" i="3"/>
  <c r="B397" i="11" s="1"/>
  <c r="D397" i="3"/>
  <c r="Z397" i="3"/>
  <c r="AE397" i="3" s="1"/>
  <c r="AA397" i="3"/>
  <c r="AB397" i="3"/>
  <c r="AC397" i="3"/>
  <c r="C399" i="3"/>
  <c r="B399" i="11" s="1"/>
  <c r="D399" i="3"/>
  <c r="U399" i="3" s="1"/>
  <c r="V399" i="3" s="1"/>
  <c r="X399" i="3" s="1"/>
  <c r="Y399" i="3" s="1"/>
  <c r="I399" i="11" s="1"/>
  <c r="Z399" i="3"/>
  <c r="AE399" i="3" s="1"/>
  <c r="AA399" i="3"/>
  <c r="C400" i="3"/>
  <c r="B400" i="11" s="1"/>
  <c r="D400" i="3"/>
  <c r="U400" i="3" s="1"/>
  <c r="V400" i="3" s="1"/>
  <c r="X400" i="3" s="1"/>
  <c r="Z400" i="3"/>
  <c r="AE400" i="3" s="1"/>
  <c r="AA400" i="3"/>
  <c r="C401" i="3"/>
  <c r="B401" i="11" s="1"/>
  <c r="D401" i="3"/>
  <c r="U401" i="3" s="1"/>
  <c r="V401" i="3" s="1"/>
  <c r="X401" i="3" s="1"/>
  <c r="Z401" i="3"/>
  <c r="AE401" i="3" s="1"/>
  <c r="AA401" i="3"/>
  <c r="C402" i="3"/>
  <c r="B402" i="11" s="1"/>
  <c r="D402" i="3"/>
  <c r="U402" i="3" s="1"/>
  <c r="V402" i="3" s="1"/>
  <c r="X402" i="3" s="1"/>
  <c r="Y402" i="3" s="1"/>
  <c r="I402" i="11" s="1"/>
  <c r="Z402" i="3"/>
  <c r="AE402" i="3" s="1"/>
  <c r="AA402" i="3"/>
  <c r="C403" i="3"/>
  <c r="B403" i="11" s="1"/>
  <c r="D403" i="3"/>
  <c r="U403" i="3" s="1"/>
  <c r="V403" i="3" s="1"/>
  <c r="X403" i="3" s="1"/>
  <c r="Y403" i="3" s="1"/>
  <c r="I403" i="11" s="1"/>
  <c r="Z403" i="3"/>
  <c r="AE403" i="3" s="1"/>
  <c r="AA403" i="3"/>
  <c r="AB403" i="3"/>
  <c r="C404" i="3"/>
  <c r="B404" i="11" s="1"/>
  <c r="D404" i="3"/>
  <c r="Z404" i="3"/>
  <c r="AE404" i="3" s="1"/>
  <c r="AA404" i="3"/>
  <c r="AB404" i="3"/>
  <c r="C405" i="3"/>
  <c r="B405" i="11" s="1"/>
  <c r="D405" i="3"/>
  <c r="Z405" i="3"/>
  <c r="AE405" i="3" s="1"/>
  <c r="AA405" i="3"/>
  <c r="AB405" i="3"/>
  <c r="C406" i="3"/>
  <c r="B406" i="11" s="1"/>
  <c r="D406" i="3"/>
  <c r="Z406" i="3"/>
  <c r="AE406" i="3" s="1"/>
  <c r="AA406" i="3"/>
  <c r="AB406" i="3"/>
  <c r="C407" i="3"/>
  <c r="B407" i="11" s="1"/>
  <c r="D407" i="3"/>
  <c r="Z407" i="3"/>
  <c r="AE407" i="3" s="1"/>
  <c r="AA407" i="3"/>
  <c r="AB407" i="3"/>
  <c r="AC407" i="3"/>
  <c r="C408" i="3"/>
  <c r="B408" i="11" s="1"/>
  <c r="D408" i="3"/>
  <c r="Z408" i="3"/>
  <c r="AE408" i="3" s="1"/>
  <c r="AA408" i="3"/>
  <c r="AB408" i="3"/>
  <c r="AC408" i="3"/>
  <c r="C410" i="3"/>
  <c r="B410" i="11" s="1"/>
  <c r="D410" i="3"/>
  <c r="I410" i="3" s="1"/>
  <c r="F410" i="11" s="1"/>
  <c r="Z410" i="3"/>
  <c r="AE410" i="3" s="1"/>
  <c r="AA410" i="3"/>
  <c r="AD410" i="3"/>
  <c r="C411" i="3"/>
  <c r="B411" i="11" s="1"/>
  <c r="D411" i="3"/>
  <c r="Z411" i="3"/>
  <c r="AE411" i="3" s="1"/>
  <c r="AA411" i="3"/>
  <c r="AD411" i="3"/>
  <c r="C412" i="3"/>
  <c r="B412" i="11" s="1"/>
  <c r="D412" i="3"/>
  <c r="I412" i="3" s="1"/>
  <c r="F412" i="11" s="1"/>
  <c r="Z412" i="3"/>
  <c r="AE412" i="3" s="1"/>
  <c r="AA412" i="3"/>
  <c r="AB412" i="3"/>
  <c r="AD412" i="3"/>
  <c r="C413" i="3"/>
  <c r="B413" i="11" s="1"/>
  <c r="D413" i="3"/>
  <c r="I413" i="3" s="1"/>
  <c r="Z413" i="3"/>
  <c r="AE413" i="3" s="1"/>
  <c r="AA413" i="3"/>
  <c r="AB413" i="3"/>
  <c r="AD413" i="3"/>
  <c r="C414" i="3"/>
  <c r="B414" i="11" s="1"/>
  <c r="D414" i="3"/>
  <c r="I414" i="3" s="1"/>
  <c r="F414" i="11" s="1"/>
  <c r="Z414" i="3"/>
  <c r="AE414" i="3" s="1"/>
  <c r="AA414" i="3"/>
  <c r="AB414" i="3"/>
  <c r="AC414" i="3"/>
  <c r="AD414" i="3"/>
  <c r="C416" i="3"/>
  <c r="B416" i="11" s="1"/>
  <c r="D416" i="3"/>
  <c r="I416" i="3" s="1"/>
  <c r="Z416" i="3"/>
  <c r="AE416" i="3" s="1"/>
  <c r="AA416" i="3"/>
  <c r="AD416" i="3"/>
  <c r="C417" i="3"/>
  <c r="B417" i="11" s="1"/>
  <c r="D417" i="3"/>
  <c r="I417" i="3" s="1"/>
  <c r="D684" i="2" s="1"/>
  <c r="Z417" i="3"/>
  <c r="AE417" i="3" s="1"/>
  <c r="AA417" i="3"/>
  <c r="AB417" i="3"/>
  <c r="AD417" i="3"/>
  <c r="C418" i="3"/>
  <c r="B418" i="11" s="1"/>
  <c r="D418" i="3"/>
  <c r="I418" i="3" s="1"/>
  <c r="D685" i="2" s="1"/>
  <c r="Z418" i="3"/>
  <c r="AE418" i="3" s="1"/>
  <c r="AA418" i="3"/>
  <c r="AB418" i="3"/>
  <c r="AD418" i="3"/>
  <c r="C419" i="3"/>
  <c r="B419" i="11" s="1"/>
  <c r="D419" i="3"/>
  <c r="I419" i="3" s="1"/>
  <c r="D686" i="2" s="1"/>
  <c r="Z419" i="3"/>
  <c r="AE419" i="3" s="1"/>
  <c r="AA419" i="3"/>
  <c r="AB419" i="3"/>
  <c r="AC419" i="3"/>
  <c r="AD419" i="3"/>
  <c r="C421" i="3"/>
  <c r="B421" i="11" s="1"/>
  <c r="D421" i="3"/>
  <c r="Z421" i="3"/>
  <c r="AE421" i="3" s="1"/>
  <c r="AA421" i="3"/>
  <c r="AD421" i="3"/>
  <c r="C422" i="3"/>
  <c r="B422" i="11" s="1"/>
  <c r="D422" i="3"/>
  <c r="Z422" i="3"/>
  <c r="AE422" i="3" s="1"/>
  <c r="AA422" i="3"/>
  <c r="AD422" i="3"/>
  <c r="C423" i="3"/>
  <c r="B423" i="11" s="1"/>
  <c r="D423" i="3"/>
  <c r="I423" i="3" s="1"/>
  <c r="Z423" i="3"/>
  <c r="AE423" i="3" s="1"/>
  <c r="AA423" i="3"/>
  <c r="AB423" i="3"/>
  <c r="AD423" i="3"/>
  <c r="C424" i="3"/>
  <c r="B424" i="11" s="1"/>
  <c r="D424" i="3"/>
  <c r="I424" i="3" s="1"/>
  <c r="Z424" i="3"/>
  <c r="AE424" i="3" s="1"/>
  <c r="AA424" i="3"/>
  <c r="AB424" i="3"/>
  <c r="AD424" i="3"/>
  <c r="C425" i="3"/>
  <c r="B425" i="11" s="1"/>
  <c r="D425" i="3"/>
  <c r="I425" i="3" s="1"/>
  <c r="F425" i="11" s="1"/>
  <c r="Z425" i="3"/>
  <c r="AE425" i="3" s="1"/>
  <c r="AA425" i="3"/>
  <c r="AB425" i="3"/>
  <c r="AC425" i="3"/>
  <c r="AD425" i="3"/>
  <c r="C427" i="3"/>
  <c r="B427" i="11" s="1"/>
  <c r="D427" i="3"/>
  <c r="U427" i="3" s="1"/>
  <c r="V427" i="3" s="1"/>
  <c r="Z427" i="3"/>
  <c r="AE427" i="3" s="1"/>
  <c r="AA427" i="3"/>
  <c r="AD427" i="3"/>
  <c r="C428" i="3"/>
  <c r="B428" i="11" s="1"/>
  <c r="D428" i="3"/>
  <c r="U428" i="3" s="1"/>
  <c r="V428" i="3" s="1"/>
  <c r="Z428" i="3"/>
  <c r="AE428" i="3" s="1"/>
  <c r="AA428" i="3"/>
  <c r="AD428" i="3"/>
  <c r="C429" i="3"/>
  <c r="B429" i="11" s="1"/>
  <c r="D429" i="3"/>
  <c r="I429" i="3" s="1"/>
  <c r="Z429" i="3"/>
  <c r="AE429" i="3" s="1"/>
  <c r="AA429" i="3"/>
  <c r="AB429" i="3"/>
  <c r="AD429" i="3"/>
  <c r="C430" i="3"/>
  <c r="B430" i="11" s="1"/>
  <c r="D430" i="3"/>
  <c r="I430" i="3" s="1"/>
  <c r="Z430" i="3"/>
  <c r="AE430" i="3" s="1"/>
  <c r="AA430" i="3"/>
  <c r="AB430" i="3"/>
  <c r="AD430" i="3"/>
  <c r="C431" i="3"/>
  <c r="B431" i="11" s="1"/>
  <c r="D431" i="3"/>
  <c r="I431" i="3" s="1"/>
  <c r="F431" i="11" s="1"/>
  <c r="Z431" i="3"/>
  <c r="AE431" i="3" s="1"/>
  <c r="AA431" i="3"/>
  <c r="AB431" i="3"/>
  <c r="AC431" i="3"/>
  <c r="AD431" i="3"/>
  <c r="C433" i="3"/>
  <c r="B433" i="11" s="1"/>
  <c r="D433" i="3"/>
  <c r="I433" i="3" s="1"/>
  <c r="F433" i="11" s="1"/>
  <c r="Z433" i="3"/>
  <c r="AE433" i="3" s="1"/>
  <c r="AA433" i="3"/>
  <c r="AD433" i="3"/>
  <c r="C434" i="3"/>
  <c r="B434" i="11" s="1"/>
  <c r="D434" i="3"/>
  <c r="I434" i="3" s="1"/>
  <c r="Z434" i="3"/>
  <c r="AE434" i="3" s="1"/>
  <c r="AA434" i="3"/>
  <c r="AB434" i="3"/>
  <c r="AD434" i="3"/>
  <c r="C435" i="3"/>
  <c r="B435" i="11" s="1"/>
  <c r="D435" i="3"/>
  <c r="I435" i="3" s="1"/>
  <c r="F435" i="11" s="1"/>
  <c r="Z435" i="3"/>
  <c r="AE435" i="3" s="1"/>
  <c r="AA435" i="3"/>
  <c r="AB435" i="3"/>
  <c r="AD435" i="3"/>
  <c r="C436" i="3"/>
  <c r="B436" i="11" s="1"/>
  <c r="D436" i="3"/>
  <c r="I436" i="3" s="1"/>
  <c r="Z436" i="3"/>
  <c r="AE436" i="3" s="1"/>
  <c r="AA436" i="3"/>
  <c r="AB436" i="3"/>
  <c r="AC436" i="3"/>
  <c r="AD436" i="3"/>
  <c r="C438" i="3"/>
  <c r="B438" i="11" s="1"/>
  <c r="D438" i="3"/>
  <c r="U438" i="3" s="1"/>
  <c r="V438" i="3" s="1"/>
  <c r="Z438" i="3"/>
  <c r="AE438" i="3" s="1"/>
  <c r="AA438" i="3"/>
  <c r="AD438" i="3"/>
  <c r="C439" i="3"/>
  <c r="B439" i="11" s="1"/>
  <c r="D439" i="3"/>
  <c r="I439" i="3" s="1"/>
  <c r="F439" i="11" s="1"/>
  <c r="Z439" i="3"/>
  <c r="AE439" i="3" s="1"/>
  <c r="AA439" i="3"/>
  <c r="AD439" i="3"/>
  <c r="C440" i="3"/>
  <c r="B440" i="11" s="1"/>
  <c r="D440" i="3"/>
  <c r="I440" i="3" s="1"/>
  <c r="D707" i="2" s="1"/>
  <c r="Z440" i="3"/>
  <c r="AE440" i="3" s="1"/>
  <c r="AA440" i="3"/>
  <c r="AB440" i="3"/>
  <c r="AD440" i="3"/>
  <c r="C441" i="3"/>
  <c r="B441" i="11" s="1"/>
  <c r="D441" i="3"/>
  <c r="I441" i="3" s="1"/>
  <c r="D708" i="2" s="1"/>
  <c r="Z441" i="3"/>
  <c r="AE441" i="3" s="1"/>
  <c r="AA441" i="3"/>
  <c r="AB441" i="3"/>
  <c r="AD441" i="3"/>
  <c r="C442" i="3"/>
  <c r="B442" i="11" s="1"/>
  <c r="D442" i="3"/>
  <c r="I442" i="3" s="1"/>
  <c r="D709" i="2" s="1"/>
  <c r="Z442" i="3"/>
  <c r="AE442" i="3" s="1"/>
  <c r="AA442" i="3"/>
  <c r="AB442" i="3"/>
  <c r="AC442" i="3"/>
  <c r="AD442" i="3"/>
  <c r="C444" i="3"/>
  <c r="B444" i="11" s="1"/>
  <c r="D444" i="3"/>
  <c r="U444" i="3" s="1"/>
  <c r="V444" i="3" s="1"/>
  <c r="Z444" i="3"/>
  <c r="AE444" i="3" s="1"/>
  <c r="AA444" i="3"/>
  <c r="AD444" i="3"/>
  <c r="C445" i="3"/>
  <c r="B445" i="11" s="1"/>
  <c r="D445" i="3"/>
  <c r="I445" i="3" s="1"/>
  <c r="Z445" i="3"/>
  <c r="AE445" i="3" s="1"/>
  <c r="AA445" i="3"/>
  <c r="AB445" i="3"/>
  <c r="AD445" i="3"/>
  <c r="C446" i="3"/>
  <c r="B446" i="11" s="1"/>
  <c r="D446" i="3"/>
  <c r="I446" i="3" s="1"/>
  <c r="D713" i="2" s="1"/>
  <c r="Z446" i="3"/>
  <c r="AE446" i="3" s="1"/>
  <c r="AA446" i="3"/>
  <c r="AB446" i="3"/>
  <c r="AD446" i="3"/>
  <c r="C447" i="3"/>
  <c r="B447" i="11" s="1"/>
  <c r="D447" i="3"/>
  <c r="I447" i="3" s="1"/>
  <c r="Z447" i="3"/>
  <c r="AE447" i="3" s="1"/>
  <c r="AA447" i="3"/>
  <c r="AB447" i="3"/>
  <c r="AC447" i="3"/>
  <c r="AD447" i="3"/>
  <c r="C449" i="3"/>
  <c r="B449" i="11" s="1"/>
  <c r="D449" i="3"/>
  <c r="I449" i="3" s="1"/>
  <c r="D716" i="2" s="1"/>
  <c r="Z449" i="3"/>
  <c r="AE449" i="3" s="1"/>
  <c r="AA449" i="3"/>
  <c r="AD449" i="3"/>
  <c r="C450" i="3"/>
  <c r="B450" i="11" s="1"/>
  <c r="D450" i="3"/>
  <c r="Z450" i="3"/>
  <c r="AE450" i="3" s="1"/>
  <c r="AA450" i="3"/>
  <c r="AD450" i="3"/>
  <c r="C451" i="3"/>
  <c r="B451" i="11" s="1"/>
  <c r="D451" i="3"/>
  <c r="I451" i="3" s="1"/>
  <c r="F451" i="11" s="1"/>
  <c r="Z451" i="3"/>
  <c r="AE451" i="3" s="1"/>
  <c r="AA451" i="3"/>
  <c r="AB451" i="3"/>
  <c r="AD451" i="3"/>
  <c r="C452" i="3"/>
  <c r="B452" i="11" s="1"/>
  <c r="D452" i="3"/>
  <c r="I452" i="3" s="1"/>
  <c r="F452" i="11" s="1"/>
  <c r="Z452" i="3"/>
  <c r="AE452" i="3" s="1"/>
  <c r="AA452" i="3"/>
  <c r="AB452" i="3"/>
  <c r="AD452" i="3"/>
  <c r="C453" i="3"/>
  <c r="B453" i="11" s="1"/>
  <c r="D453" i="3"/>
  <c r="I453" i="3" s="1"/>
  <c r="D720" i="2" s="1"/>
  <c r="Z453" i="3"/>
  <c r="AE453" i="3" s="1"/>
  <c r="AA453" i="3"/>
  <c r="AB453" i="3"/>
  <c r="AC453" i="3"/>
  <c r="AD453" i="3"/>
  <c r="C455" i="3"/>
  <c r="B455" i="11" s="1"/>
  <c r="D455" i="3"/>
  <c r="I455" i="3" s="1"/>
  <c r="D722" i="2" s="1"/>
  <c r="Z455" i="3"/>
  <c r="AE455" i="3" s="1"/>
  <c r="AA455" i="3"/>
  <c r="AD455" i="3"/>
  <c r="C456" i="3"/>
  <c r="B456" i="11" s="1"/>
  <c r="D456" i="3"/>
  <c r="U456" i="3" s="1"/>
  <c r="V456" i="3" s="1"/>
  <c r="Z456" i="3"/>
  <c r="AE456" i="3" s="1"/>
  <c r="AA456" i="3"/>
  <c r="AD456" i="3"/>
  <c r="C457" i="3"/>
  <c r="B457" i="11" s="1"/>
  <c r="D457" i="3"/>
  <c r="I457" i="3" s="1"/>
  <c r="F457" i="11" s="1"/>
  <c r="Z457" i="3"/>
  <c r="AE457" i="3" s="1"/>
  <c r="AA457" i="3"/>
  <c r="AB457" i="3"/>
  <c r="AD457" i="3"/>
  <c r="C458" i="3"/>
  <c r="B458" i="11" s="1"/>
  <c r="D458" i="3"/>
  <c r="I458" i="3" s="1"/>
  <c r="F458" i="11" s="1"/>
  <c r="Z458" i="3"/>
  <c r="AE458" i="3" s="1"/>
  <c r="AA458" i="3"/>
  <c r="AB458" i="3"/>
  <c r="AD458" i="3"/>
  <c r="C459" i="3"/>
  <c r="B459" i="11" s="1"/>
  <c r="D459" i="3"/>
  <c r="I459" i="3" s="1"/>
  <c r="F459" i="11" s="1"/>
  <c r="Z459" i="3"/>
  <c r="AE459" i="3" s="1"/>
  <c r="AA459" i="3"/>
  <c r="AB459" i="3"/>
  <c r="AC459" i="3"/>
  <c r="AD459" i="3"/>
  <c r="C461" i="3"/>
  <c r="B461" i="11" s="1"/>
  <c r="D461" i="3"/>
  <c r="Z461" i="3"/>
  <c r="AE461" i="3" s="1"/>
  <c r="AA461" i="3"/>
  <c r="AD461" i="3"/>
  <c r="C462" i="3"/>
  <c r="B462" i="11" s="1"/>
  <c r="D462" i="3"/>
  <c r="I462" i="3" s="1"/>
  <c r="F462" i="11" s="1"/>
  <c r="Z462" i="3"/>
  <c r="AE462" i="3" s="1"/>
  <c r="AA462" i="3"/>
  <c r="AD462" i="3"/>
  <c r="C463" i="3"/>
  <c r="B463" i="11" s="1"/>
  <c r="D463" i="3"/>
  <c r="I463" i="3" s="1"/>
  <c r="F463" i="11" s="1"/>
  <c r="Z463" i="3"/>
  <c r="AE463" i="3" s="1"/>
  <c r="AA463" i="3"/>
  <c r="AB463" i="3"/>
  <c r="AD463" i="3"/>
  <c r="C464" i="3"/>
  <c r="B464" i="11" s="1"/>
  <c r="D464" i="3"/>
  <c r="I464" i="3" s="1"/>
  <c r="D731" i="2" s="1"/>
  <c r="Z464" i="3"/>
  <c r="AE464" i="3" s="1"/>
  <c r="AA464" i="3"/>
  <c r="AB464" i="3"/>
  <c r="AD464" i="3"/>
  <c r="C465" i="3"/>
  <c r="B465" i="11" s="1"/>
  <c r="D465" i="3"/>
  <c r="I465" i="3" s="1"/>
  <c r="Z465" i="3"/>
  <c r="AE465" i="3" s="1"/>
  <c r="AA465" i="3"/>
  <c r="AB465" i="3"/>
  <c r="AC465" i="3"/>
  <c r="AD465" i="3"/>
  <c r="C467" i="3"/>
  <c r="B467" i="11" s="1"/>
  <c r="D467" i="3"/>
  <c r="U467" i="3" s="1"/>
  <c r="W467" i="3" s="1"/>
  <c r="V467" i="3" s="1"/>
  <c r="Z467" i="3"/>
  <c r="AE467" i="3" s="1"/>
  <c r="AA467" i="3"/>
  <c r="AD467" i="3"/>
  <c r="C468" i="3"/>
  <c r="B468" i="11" s="1"/>
  <c r="D468" i="3"/>
  <c r="I468" i="3" s="1"/>
  <c r="F468" i="11" s="1"/>
  <c r="Z468" i="3"/>
  <c r="AE468" i="3" s="1"/>
  <c r="AA468" i="3"/>
  <c r="AD468" i="3"/>
  <c r="C469" i="3"/>
  <c r="B469" i="11" s="1"/>
  <c r="D469" i="3"/>
  <c r="I469" i="3" s="1"/>
  <c r="Z469" i="3"/>
  <c r="AE469" i="3" s="1"/>
  <c r="AA469" i="3"/>
  <c r="AD469" i="3"/>
  <c r="C470" i="3"/>
  <c r="B470" i="11" s="1"/>
  <c r="D470" i="3"/>
  <c r="I470" i="3" s="1"/>
  <c r="F470" i="11" s="1"/>
  <c r="Z470" i="3"/>
  <c r="AE470" i="3" s="1"/>
  <c r="AA470" i="3"/>
  <c r="AD470" i="3"/>
  <c r="C471" i="3"/>
  <c r="B471" i="11" s="1"/>
  <c r="D471" i="3"/>
  <c r="U471" i="3" s="1"/>
  <c r="W471" i="3" s="1"/>
  <c r="V471" i="3" s="1"/>
  <c r="Z471" i="3"/>
  <c r="AE471" i="3" s="1"/>
  <c r="AA471" i="3"/>
  <c r="AD471" i="3"/>
  <c r="C472" i="3"/>
  <c r="B472" i="11" s="1"/>
  <c r="D472" i="3"/>
  <c r="I472" i="3" s="1"/>
  <c r="F472" i="11" s="1"/>
  <c r="Z472" i="3"/>
  <c r="AE472" i="3" s="1"/>
  <c r="AA472" i="3"/>
  <c r="AD472" i="3"/>
  <c r="C473" i="3"/>
  <c r="B473" i="11" s="1"/>
  <c r="D473" i="3"/>
  <c r="I473" i="3" s="1"/>
  <c r="F473" i="11" s="1"/>
  <c r="Z473" i="3"/>
  <c r="AE473" i="3" s="1"/>
  <c r="AA473" i="3"/>
  <c r="AD473" i="3"/>
  <c r="C474" i="3"/>
  <c r="B474" i="11" s="1"/>
  <c r="D474" i="3"/>
  <c r="I474" i="3" s="1"/>
  <c r="F474" i="11" s="1"/>
  <c r="Z474" i="3"/>
  <c r="AE474" i="3" s="1"/>
  <c r="AA474" i="3"/>
  <c r="AD474" i="3"/>
  <c r="C475" i="3"/>
  <c r="B475" i="11" s="1"/>
  <c r="D475" i="3"/>
  <c r="Z475" i="3"/>
  <c r="AE475" i="3" s="1"/>
  <c r="AA475" i="3"/>
  <c r="AD475" i="3"/>
  <c r="C476" i="3"/>
  <c r="B476" i="11" s="1"/>
  <c r="D476" i="3"/>
  <c r="I476" i="3" s="1"/>
  <c r="F476" i="11" s="1"/>
  <c r="Z476" i="3"/>
  <c r="AE476" i="3" s="1"/>
  <c r="AA476" i="3"/>
  <c r="AD476" i="3"/>
  <c r="C477" i="3"/>
  <c r="B477" i="11" s="1"/>
  <c r="D477" i="3"/>
  <c r="I477" i="3" s="1"/>
  <c r="Z477" i="3"/>
  <c r="AE477" i="3" s="1"/>
  <c r="AA477" i="3"/>
  <c r="AB477" i="3"/>
  <c r="AD477" i="3"/>
  <c r="C478" i="3"/>
  <c r="B478" i="11" s="1"/>
  <c r="D478" i="3"/>
  <c r="I478" i="3" s="1"/>
  <c r="F478" i="11" s="1"/>
  <c r="Z478" i="3"/>
  <c r="AE478" i="3" s="1"/>
  <c r="AA478" i="3"/>
  <c r="AB478" i="3"/>
  <c r="AD478" i="3"/>
  <c r="C479" i="3"/>
  <c r="B479" i="11" s="1"/>
  <c r="D479" i="3"/>
  <c r="I479" i="3" s="1"/>
  <c r="F479" i="11" s="1"/>
  <c r="Z479" i="3"/>
  <c r="AE479" i="3" s="1"/>
  <c r="AA479" i="3"/>
  <c r="AB479" i="3"/>
  <c r="AD479" i="3"/>
  <c r="C480" i="3"/>
  <c r="B480" i="11" s="1"/>
  <c r="D480" i="3"/>
  <c r="I480" i="3" s="1"/>
  <c r="Z480" i="3"/>
  <c r="AE480" i="3" s="1"/>
  <c r="AA480" i="3"/>
  <c r="AB480" i="3"/>
  <c r="AD480" i="3"/>
  <c r="C481" i="3"/>
  <c r="B481" i="11" s="1"/>
  <c r="D481" i="3"/>
  <c r="I481" i="3" s="1"/>
  <c r="Z481" i="3"/>
  <c r="AE481" i="3" s="1"/>
  <c r="AA481" i="3"/>
  <c r="AB481" i="3"/>
  <c r="AD481" i="3"/>
  <c r="C482" i="3"/>
  <c r="B482" i="11" s="1"/>
  <c r="D482" i="3"/>
  <c r="I482" i="3" s="1"/>
  <c r="F482" i="11" s="1"/>
  <c r="Z482" i="3"/>
  <c r="AE482" i="3" s="1"/>
  <c r="AA482" i="3"/>
  <c r="AB482" i="3"/>
  <c r="AD482" i="3"/>
  <c r="C483" i="3"/>
  <c r="B483" i="11" s="1"/>
  <c r="D483" i="3"/>
  <c r="I483" i="3" s="1"/>
  <c r="D750" i="2" s="1"/>
  <c r="Z483" i="3"/>
  <c r="AE483" i="3" s="1"/>
  <c r="AA483" i="3"/>
  <c r="AB483" i="3"/>
  <c r="AD483" i="3"/>
  <c r="C484" i="3"/>
  <c r="B484" i="11" s="1"/>
  <c r="D484" i="3"/>
  <c r="I484" i="3" s="1"/>
  <c r="Z484" i="3"/>
  <c r="AE484" i="3" s="1"/>
  <c r="AA484" i="3"/>
  <c r="AB484" i="3"/>
  <c r="AD484" i="3"/>
  <c r="C485" i="3"/>
  <c r="B485" i="11" s="1"/>
  <c r="D485" i="3"/>
  <c r="I485" i="3" s="1"/>
  <c r="D752" i="2" s="1"/>
  <c r="Z485" i="3"/>
  <c r="AE485" i="3" s="1"/>
  <c r="AA485" i="3"/>
  <c r="AB485" i="3"/>
  <c r="AD485" i="3"/>
  <c r="C486" i="3"/>
  <c r="B486" i="11" s="1"/>
  <c r="D486" i="3"/>
  <c r="I486" i="3" s="1"/>
  <c r="F486" i="11" s="1"/>
  <c r="Z486" i="3"/>
  <c r="AE486" i="3" s="1"/>
  <c r="AA486" i="3"/>
  <c r="AB486" i="3"/>
  <c r="AD486" i="3"/>
  <c r="C487" i="3"/>
  <c r="B487" i="11" s="1"/>
  <c r="D487" i="3"/>
  <c r="I487" i="3" s="1"/>
  <c r="F487" i="11" s="1"/>
  <c r="Z487" i="3"/>
  <c r="AE487" i="3" s="1"/>
  <c r="AA487" i="3"/>
  <c r="AB487" i="3"/>
  <c r="AC487" i="3"/>
  <c r="AD487" i="3"/>
  <c r="C488" i="3"/>
  <c r="B488" i="11" s="1"/>
  <c r="D488" i="3"/>
  <c r="I488" i="3" s="1"/>
  <c r="F488" i="11" s="1"/>
  <c r="Z488" i="3"/>
  <c r="AE488" i="3" s="1"/>
  <c r="AA488" i="3"/>
  <c r="AB488" i="3"/>
  <c r="AC488" i="3"/>
  <c r="AD488" i="3"/>
  <c r="C489" i="3"/>
  <c r="B489" i="11" s="1"/>
  <c r="D489" i="3"/>
  <c r="I489" i="3" s="1"/>
  <c r="F489" i="11" s="1"/>
  <c r="Z489" i="3"/>
  <c r="AE489" i="3" s="1"/>
  <c r="AA489" i="3"/>
  <c r="AB489" i="3"/>
  <c r="AC489" i="3"/>
  <c r="AD489" i="3"/>
  <c r="C490" i="3"/>
  <c r="B490" i="11" s="1"/>
  <c r="D490" i="3"/>
  <c r="I490" i="3" s="1"/>
  <c r="Z490" i="3"/>
  <c r="AE490" i="3" s="1"/>
  <c r="AA490" i="3"/>
  <c r="AB490" i="3"/>
  <c r="AC490" i="3"/>
  <c r="AD490" i="3"/>
  <c r="C491" i="3"/>
  <c r="B491" i="11" s="1"/>
  <c r="D491" i="3"/>
  <c r="I491" i="3" s="1"/>
  <c r="Z491" i="3"/>
  <c r="AE491" i="3" s="1"/>
  <c r="AA491" i="3"/>
  <c r="AB491" i="3"/>
  <c r="AC491" i="3"/>
  <c r="AD491" i="3"/>
  <c r="C493" i="3"/>
  <c r="B493" i="11" s="1"/>
  <c r="D493" i="3"/>
  <c r="U493" i="3" s="1"/>
  <c r="W493" i="3" s="1"/>
  <c r="V493" i="3" s="1"/>
  <c r="Z493" i="3"/>
  <c r="AE493" i="3" s="1"/>
  <c r="AA493" i="3"/>
  <c r="AD493" i="3"/>
  <c r="C494" i="3"/>
  <c r="B494" i="11" s="1"/>
  <c r="D494" i="3"/>
  <c r="U494" i="3" s="1"/>
  <c r="W494" i="3" s="1"/>
  <c r="V494" i="3" s="1"/>
  <c r="Z494" i="3"/>
  <c r="AE494" i="3" s="1"/>
  <c r="AA494" i="3"/>
  <c r="AD494" i="3"/>
  <c r="C495" i="3"/>
  <c r="B495" i="11" s="1"/>
  <c r="D495" i="3"/>
  <c r="I495" i="3" s="1"/>
  <c r="Z495" i="3"/>
  <c r="AE495" i="3" s="1"/>
  <c r="AA495" i="3"/>
  <c r="AD495" i="3"/>
  <c r="C496" i="3"/>
  <c r="B496" i="11" s="1"/>
  <c r="D496" i="3"/>
  <c r="U496" i="3" s="1"/>
  <c r="W496" i="3" s="1"/>
  <c r="V496" i="3" s="1"/>
  <c r="Z496" i="3"/>
  <c r="AE496" i="3" s="1"/>
  <c r="AA496" i="3"/>
  <c r="AD496" i="3"/>
  <c r="C497" i="3"/>
  <c r="B497" i="11" s="1"/>
  <c r="D497" i="3"/>
  <c r="I497" i="3" s="1"/>
  <c r="Z497" i="3"/>
  <c r="AE497" i="3" s="1"/>
  <c r="AA497" i="3"/>
  <c r="AD497" i="3"/>
  <c r="C498" i="3"/>
  <c r="B498" i="11" s="1"/>
  <c r="D498" i="3"/>
  <c r="I498" i="3" s="1"/>
  <c r="D765" i="2" s="1"/>
  <c r="Z498" i="3"/>
  <c r="AE498" i="3" s="1"/>
  <c r="AA498" i="3"/>
  <c r="AD498" i="3"/>
  <c r="C499" i="3"/>
  <c r="B499" i="11" s="1"/>
  <c r="D499" i="3"/>
  <c r="I499" i="3" s="1"/>
  <c r="D766" i="2" s="1"/>
  <c r="Z499" i="3"/>
  <c r="AE499" i="3" s="1"/>
  <c r="AA499" i="3"/>
  <c r="AD499" i="3"/>
  <c r="C500" i="3"/>
  <c r="B500" i="11" s="1"/>
  <c r="D500" i="3"/>
  <c r="Z500" i="3"/>
  <c r="AE500" i="3" s="1"/>
  <c r="AA500" i="3"/>
  <c r="AD500" i="3"/>
  <c r="C501" i="3"/>
  <c r="B501" i="11" s="1"/>
  <c r="D501" i="3"/>
  <c r="I501" i="3" s="1"/>
  <c r="Z501" i="3"/>
  <c r="AE501" i="3" s="1"/>
  <c r="AA501" i="3"/>
  <c r="AD501" i="3"/>
  <c r="C502" i="3"/>
  <c r="B502" i="11" s="1"/>
  <c r="D502" i="3"/>
  <c r="I502" i="3" s="1"/>
  <c r="F502" i="11" s="1"/>
  <c r="Z502" i="3"/>
  <c r="AE502" i="3" s="1"/>
  <c r="AA502" i="3"/>
  <c r="AD502" i="3"/>
  <c r="C503" i="3"/>
  <c r="B503" i="11" s="1"/>
  <c r="D503" i="3"/>
  <c r="I503" i="3" s="1"/>
  <c r="Z503" i="3"/>
  <c r="AE503" i="3" s="1"/>
  <c r="AA503" i="3"/>
  <c r="AB503" i="3"/>
  <c r="AD503" i="3"/>
  <c r="C504" i="3"/>
  <c r="B504" i="11" s="1"/>
  <c r="D504" i="3"/>
  <c r="I504" i="3" s="1"/>
  <c r="F504" i="11" s="1"/>
  <c r="Z504" i="3"/>
  <c r="AE504" i="3" s="1"/>
  <c r="AA504" i="3"/>
  <c r="AB504" i="3"/>
  <c r="AD504" i="3"/>
  <c r="C505" i="3"/>
  <c r="B505" i="11" s="1"/>
  <c r="D505" i="3"/>
  <c r="I505" i="3" s="1"/>
  <c r="F505" i="11" s="1"/>
  <c r="Z505" i="3"/>
  <c r="AE505" i="3" s="1"/>
  <c r="AA505" i="3"/>
  <c r="AB505" i="3"/>
  <c r="AD505" i="3"/>
  <c r="C506" i="3"/>
  <c r="B506" i="11" s="1"/>
  <c r="D506" i="3"/>
  <c r="I506" i="3" s="1"/>
  <c r="F506" i="11" s="1"/>
  <c r="Z506" i="3"/>
  <c r="AE506" i="3" s="1"/>
  <c r="AA506" i="3"/>
  <c r="AB506" i="3"/>
  <c r="AD506" i="3"/>
  <c r="C507" i="3"/>
  <c r="B507" i="11" s="1"/>
  <c r="D507" i="3"/>
  <c r="I507" i="3" s="1"/>
  <c r="D774" i="2" s="1"/>
  <c r="Z507" i="3"/>
  <c r="AE507" i="3" s="1"/>
  <c r="AA507" i="3"/>
  <c r="AB507" i="3"/>
  <c r="AD507" i="3"/>
  <c r="C508" i="3"/>
  <c r="B508" i="11" s="1"/>
  <c r="D508" i="3"/>
  <c r="I508" i="3" s="1"/>
  <c r="D775" i="2" s="1"/>
  <c r="Z508" i="3"/>
  <c r="AE508" i="3" s="1"/>
  <c r="AA508" i="3"/>
  <c r="AB508" i="3"/>
  <c r="AD508" i="3"/>
  <c r="C509" i="3"/>
  <c r="B509" i="11" s="1"/>
  <c r="D509" i="3"/>
  <c r="I509" i="3" s="1"/>
  <c r="F509" i="11" s="1"/>
  <c r="Z509" i="3"/>
  <c r="AE509" i="3" s="1"/>
  <c r="AA509" i="3"/>
  <c r="AB509" i="3"/>
  <c r="AD509" i="3"/>
  <c r="C510" i="3"/>
  <c r="B510" i="11" s="1"/>
  <c r="D510" i="3"/>
  <c r="I510" i="3" s="1"/>
  <c r="D777" i="2" s="1"/>
  <c r="Z510" i="3"/>
  <c r="AE510" i="3" s="1"/>
  <c r="AA510" i="3"/>
  <c r="AB510" i="3"/>
  <c r="AD510" i="3"/>
  <c r="C511" i="3"/>
  <c r="B511" i="11" s="1"/>
  <c r="D511" i="3"/>
  <c r="I511" i="3" s="1"/>
  <c r="D778" i="2" s="1"/>
  <c r="Z511" i="3"/>
  <c r="AE511" i="3" s="1"/>
  <c r="AA511" i="3"/>
  <c r="AB511" i="3"/>
  <c r="AD511" i="3"/>
  <c r="C512" i="3"/>
  <c r="B512" i="11" s="1"/>
  <c r="D512" i="3"/>
  <c r="I512" i="3" s="1"/>
  <c r="D779" i="2" s="1"/>
  <c r="Z512" i="3"/>
  <c r="AE512" i="3" s="1"/>
  <c r="AA512" i="3"/>
  <c r="AB512" i="3"/>
  <c r="AD512" i="3"/>
  <c r="C513" i="3"/>
  <c r="B513" i="11" s="1"/>
  <c r="D513" i="3"/>
  <c r="I513" i="3" s="1"/>
  <c r="F513" i="11" s="1"/>
  <c r="Z513" i="3"/>
  <c r="AE513" i="3" s="1"/>
  <c r="AA513" i="3"/>
  <c r="AB513" i="3"/>
  <c r="AC513" i="3"/>
  <c r="AD513" i="3"/>
  <c r="C514" i="3"/>
  <c r="B514" i="11" s="1"/>
  <c r="D514" i="3"/>
  <c r="I514" i="3" s="1"/>
  <c r="D781" i="2" s="1"/>
  <c r="Z514" i="3"/>
  <c r="AE514" i="3" s="1"/>
  <c r="AA514" i="3"/>
  <c r="AB514" i="3"/>
  <c r="AC514" i="3"/>
  <c r="AD514" i="3"/>
  <c r="C515" i="3"/>
  <c r="B515" i="11" s="1"/>
  <c r="D515" i="3"/>
  <c r="I515" i="3" s="1"/>
  <c r="F515" i="11" s="1"/>
  <c r="Z515" i="3"/>
  <c r="AE515" i="3" s="1"/>
  <c r="AA515" i="3"/>
  <c r="AB515" i="3"/>
  <c r="AC515" i="3"/>
  <c r="AD515" i="3"/>
  <c r="C516" i="3"/>
  <c r="B516" i="11" s="1"/>
  <c r="D516" i="3"/>
  <c r="I516" i="3" s="1"/>
  <c r="Z516" i="3"/>
  <c r="AE516" i="3" s="1"/>
  <c r="AA516" i="3"/>
  <c r="AB516" i="3"/>
  <c r="AC516" i="3"/>
  <c r="AD516" i="3"/>
  <c r="C517" i="3"/>
  <c r="B517" i="11" s="1"/>
  <c r="D517" i="3"/>
  <c r="I517" i="3" s="1"/>
  <c r="F517" i="11" s="1"/>
  <c r="Z517" i="3"/>
  <c r="AE517" i="3" s="1"/>
  <c r="AA517" i="3"/>
  <c r="AB517" i="3"/>
  <c r="AC517" i="3"/>
  <c r="AD517" i="3"/>
  <c r="C519" i="3"/>
  <c r="B519" i="11" s="1"/>
  <c r="D519" i="3"/>
  <c r="U519" i="3" s="1"/>
  <c r="W519" i="3" s="1"/>
  <c r="V519" i="3" s="1"/>
  <c r="Z519" i="3"/>
  <c r="AE519" i="3" s="1"/>
  <c r="AA519" i="3"/>
  <c r="AD519" i="3"/>
  <c r="C520" i="3"/>
  <c r="B520" i="11" s="1"/>
  <c r="D520" i="3"/>
  <c r="Z520" i="3"/>
  <c r="AE520" i="3" s="1"/>
  <c r="AA520" i="3"/>
  <c r="AD520" i="3"/>
  <c r="C521" i="3"/>
  <c r="B521" i="11" s="1"/>
  <c r="D521" i="3"/>
  <c r="I521" i="3" s="1"/>
  <c r="D788" i="2" s="1"/>
  <c r="Z521" i="3"/>
  <c r="AE521" i="3" s="1"/>
  <c r="AA521" i="3"/>
  <c r="AD521" i="3"/>
  <c r="C522" i="3"/>
  <c r="B522" i="11" s="1"/>
  <c r="D522" i="3"/>
  <c r="Z522" i="3"/>
  <c r="AE522" i="3" s="1"/>
  <c r="AA522" i="3"/>
  <c r="AD522" i="3"/>
  <c r="C523" i="3"/>
  <c r="B523" i="11" s="1"/>
  <c r="D523" i="3"/>
  <c r="U523" i="3" s="1"/>
  <c r="W523" i="3" s="1"/>
  <c r="V523" i="3" s="1"/>
  <c r="Z523" i="3"/>
  <c r="AE523" i="3" s="1"/>
  <c r="AA523" i="3"/>
  <c r="AD523" i="3"/>
  <c r="C524" i="3"/>
  <c r="B524" i="11" s="1"/>
  <c r="D524" i="3"/>
  <c r="I524" i="3" s="1"/>
  <c r="Z524" i="3"/>
  <c r="AE524" i="3" s="1"/>
  <c r="AA524" i="3"/>
  <c r="AD524" i="3"/>
  <c r="C525" i="3"/>
  <c r="B525" i="11" s="1"/>
  <c r="D525" i="3"/>
  <c r="U525" i="3" s="1"/>
  <c r="W525" i="3" s="1"/>
  <c r="V525" i="3" s="1"/>
  <c r="Z525" i="3"/>
  <c r="AE525" i="3" s="1"/>
  <c r="AA525" i="3"/>
  <c r="AD525" i="3"/>
  <c r="C526" i="3"/>
  <c r="B526" i="11" s="1"/>
  <c r="D526" i="3"/>
  <c r="U526" i="3" s="1"/>
  <c r="W526" i="3" s="1"/>
  <c r="V526" i="3" s="1"/>
  <c r="Z526" i="3"/>
  <c r="AE526" i="3" s="1"/>
  <c r="AA526" i="3"/>
  <c r="AD526" i="3"/>
  <c r="C527" i="3"/>
  <c r="B527" i="11" s="1"/>
  <c r="D527" i="3"/>
  <c r="I527" i="3" s="1"/>
  <c r="D794" i="2" s="1"/>
  <c r="Z527" i="3"/>
  <c r="AE527" i="3" s="1"/>
  <c r="AA527" i="3"/>
  <c r="AD527" i="3"/>
  <c r="C528" i="3"/>
  <c r="B528" i="11" s="1"/>
  <c r="D528" i="3"/>
  <c r="I528" i="3" s="1"/>
  <c r="Z528" i="3"/>
  <c r="AE528" i="3" s="1"/>
  <c r="AA528" i="3"/>
  <c r="AD528" i="3"/>
  <c r="C529" i="3"/>
  <c r="B529" i="11" s="1"/>
  <c r="D529" i="3"/>
  <c r="I529" i="3" s="1"/>
  <c r="Z529" i="3"/>
  <c r="AE529" i="3" s="1"/>
  <c r="AA529" i="3"/>
  <c r="AB529" i="3"/>
  <c r="AD529" i="3"/>
  <c r="C530" i="3"/>
  <c r="B530" i="11" s="1"/>
  <c r="D530" i="3"/>
  <c r="I530" i="3" s="1"/>
  <c r="F530" i="11" s="1"/>
  <c r="Z530" i="3"/>
  <c r="AE530" i="3" s="1"/>
  <c r="AA530" i="3"/>
  <c r="AB530" i="3"/>
  <c r="AD530" i="3"/>
  <c r="C531" i="3"/>
  <c r="B531" i="11" s="1"/>
  <c r="D531" i="3"/>
  <c r="I531" i="3" s="1"/>
  <c r="Z531" i="3"/>
  <c r="AE531" i="3" s="1"/>
  <c r="AA531" i="3"/>
  <c r="AB531" i="3"/>
  <c r="AD531" i="3"/>
  <c r="C532" i="3"/>
  <c r="B532" i="11" s="1"/>
  <c r="D532" i="3"/>
  <c r="I532" i="3" s="1"/>
  <c r="F532" i="11" s="1"/>
  <c r="Z532" i="3"/>
  <c r="AE532" i="3" s="1"/>
  <c r="AA532" i="3"/>
  <c r="AB532" i="3"/>
  <c r="AD532" i="3"/>
  <c r="C533" i="3"/>
  <c r="B533" i="11" s="1"/>
  <c r="D533" i="3"/>
  <c r="I533" i="3" s="1"/>
  <c r="D800" i="2" s="1"/>
  <c r="Z533" i="3"/>
  <c r="AE533" i="3" s="1"/>
  <c r="AA533" i="3"/>
  <c r="AB533" i="3"/>
  <c r="AD533" i="3"/>
  <c r="C534" i="3"/>
  <c r="B534" i="11" s="1"/>
  <c r="D534" i="3"/>
  <c r="I534" i="3" s="1"/>
  <c r="F534" i="11" s="1"/>
  <c r="Z534" i="3"/>
  <c r="AE534" i="3" s="1"/>
  <c r="AA534" i="3"/>
  <c r="AB534" i="3"/>
  <c r="AD534" i="3"/>
  <c r="C535" i="3"/>
  <c r="B535" i="11" s="1"/>
  <c r="D535" i="3"/>
  <c r="I535" i="3" s="1"/>
  <c r="D802" i="2" s="1"/>
  <c r="Z535" i="3"/>
  <c r="AE535" i="3" s="1"/>
  <c r="AA535" i="3"/>
  <c r="AB535" i="3"/>
  <c r="AD535" i="3"/>
  <c r="C536" i="3"/>
  <c r="B536" i="11" s="1"/>
  <c r="D536" i="3"/>
  <c r="I536" i="3" s="1"/>
  <c r="F536" i="11" s="1"/>
  <c r="Z536" i="3"/>
  <c r="AE536" i="3" s="1"/>
  <c r="AA536" i="3"/>
  <c r="AB536" i="3"/>
  <c r="AD536" i="3"/>
  <c r="C537" i="3"/>
  <c r="B537" i="11" s="1"/>
  <c r="D537" i="3"/>
  <c r="I537" i="3" s="1"/>
  <c r="Z537" i="3"/>
  <c r="AE537" i="3" s="1"/>
  <c r="AA537" i="3"/>
  <c r="AB537" i="3"/>
  <c r="AD537" i="3"/>
  <c r="C538" i="3"/>
  <c r="B538" i="11" s="1"/>
  <c r="D538" i="3"/>
  <c r="I538" i="3" s="1"/>
  <c r="F538" i="11" s="1"/>
  <c r="Z538" i="3"/>
  <c r="AE538" i="3" s="1"/>
  <c r="AA538" i="3"/>
  <c r="AB538" i="3"/>
  <c r="AD538" i="3"/>
  <c r="C539" i="3"/>
  <c r="B539" i="11" s="1"/>
  <c r="D539" i="3"/>
  <c r="Z539" i="3"/>
  <c r="AE539" i="3" s="1"/>
  <c r="AA539" i="3"/>
  <c r="AB539" i="3"/>
  <c r="AC539" i="3"/>
  <c r="AD539" i="3"/>
  <c r="C540" i="3"/>
  <c r="B540" i="11" s="1"/>
  <c r="D540" i="3"/>
  <c r="I540" i="3" s="1"/>
  <c r="D807" i="2" s="1"/>
  <c r="Z540" i="3"/>
  <c r="AE540" i="3" s="1"/>
  <c r="AA540" i="3"/>
  <c r="AB540" i="3"/>
  <c r="AC540" i="3"/>
  <c r="AD540" i="3"/>
  <c r="C541" i="3"/>
  <c r="B541" i="11" s="1"/>
  <c r="D541" i="3"/>
  <c r="I541" i="3" s="1"/>
  <c r="F541" i="11" s="1"/>
  <c r="Z541" i="3"/>
  <c r="AE541" i="3" s="1"/>
  <c r="AA541" i="3"/>
  <c r="AB541" i="3"/>
  <c r="AC541" i="3"/>
  <c r="AD541" i="3"/>
  <c r="C542" i="3"/>
  <c r="B542" i="11" s="1"/>
  <c r="D542" i="3"/>
  <c r="I542" i="3" s="1"/>
  <c r="Z542" i="3"/>
  <c r="AE542" i="3" s="1"/>
  <c r="AA542" i="3"/>
  <c r="AB542" i="3"/>
  <c r="AC542" i="3"/>
  <c r="AD542" i="3"/>
  <c r="C543" i="3"/>
  <c r="B543" i="11" s="1"/>
  <c r="D543" i="3"/>
  <c r="I543" i="3" s="1"/>
  <c r="F543" i="11" s="1"/>
  <c r="Z543" i="3"/>
  <c r="AE543" i="3" s="1"/>
  <c r="AA543" i="3"/>
  <c r="AB543" i="3"/>
  <c r="AC543" i="3"/>
  <c r="AD543" i="3"/>
  <c r="C545" i="3"/>
  <c r="B545" i="11" s="1"/>
  <c r="D545" i="3"/>
  <c r="I545" i="3" s="1"/>
  <c r="Z545" i="3"/>
  <c r="AE545" i="3" s="1"/>
  <c r="AA545" i="3"/>
  <c r="AD545" i="3"/>
  <c r="C546" i="3"/>
  <c r="B546" i="11" s="1"/>
  <c r="D546" i="3"/>
  <c r="I546" i="3" s="1"/>
  <c r="F546" i="11" s="1"/>
  <c r="Z546" i="3"/>
  <c r="AE546" i="3" s="1"/>
  <c r="AA546" i="3"/>
  <c r="AD546" i="3"/>
  <c r="C547" i="3"/>
  <c r="B547" i="11" s="1"/>
  <c r="D547" i="3"/>
  <c r="I547" i="3" s="1"/>
  <c r="D814" i="2" s="1"/>
  <c r="Z547" i="3"/>
  <c r="AE547" i="3" s="1"/>
  <c r="AA547" i="3"/>
  <c r="AB547" i="3"/>
  <c r="AD547" i="3"/>
  <c r="C548" i="3"/>
  <c r="B548" i="11" s="1"/>
  <c r="D548" i="3"/>
  <c r="I548" i="3" s="1"/>
  <c r="Z548" i="3"/>
  <c r="AE548" i="3" s="1"/>
  <c r="AA548" i="3"/>
  <c r="AB548" i="3"/>
  <c r="AC548" i="3"/>
  <c r="AD548" i="3"/>
  <c r="C549" i="3"/>
  <c r="B549" i="11" s="1"/>
  <c r="D549" i="3"/>
  <c r="I549" i="3" s="1"/>
  <c r="D816" i="2" s="1"/>
  <c r="Z549" i="3"/>
  <c r="AE549" i="3" s="1"/>
  <c r="AA549" i="3"/>
  <c r="AB549" i="3"/>
  <c r="AC549" i="3"/>
  <c r="AD549" i="3"/>
  <c r="C551" i="3"/>
  <c r="B551" i="11" s="1"/>
  <c r="D551" i="3"/>
  <c r="U551" i="3" s="1"/>
  <c r="V551" i="3" s="1"/>
  <c r="Z551" i="3"/>
  <c r="AE551" i="3" s="1"/>
  <c r="AA551" i="3"/>
  <c r="AD551" i="3"/>
  <c r="C552" i="3"/>
  <c r="B552" i="11" s="1"/>
  <c r="D552" i="3"/>
  <c r="I552" i="3" s="1"/>
  <c r="F552" i="11" s="1"/>
  <c r="Z552" i="3"/>
  <c r="AE552" i="3" s="1"/>
  <c r="AA552" i="3"/>
  <c r="AD552" i="3"/>
  <c r="C553" i="3"/>
  <c r="B553" i="11" s="1"/>
  <c r="D553" i="3"/>
  <c r="I553" i="3" s="1"/>
  <c r="F553" i="11" s="1"/>
  <c r="Z553" i="3"/>
  <c r="AE553" i="3" s="1"/>
  <c r="AA553" i="3"/>
  <c r="AB553" i="3"/>
  <c r="AD553" i="3"/>
  <c r="C554" i="3"/>
  <c r="B554" i="11" s="1"/>
  <c r="D554" i="3"/>
  <c r="I554" i="3" s="1"/>
  <c r="D821" i="2" s="1"/>
  <c r="Z554" i="3"/>
  <c r="AE554" i="3" s="1"/>
  <c r="AA554" i="3"/>
  <c r="AB554" i="3"/>
  <c r="AC554" i="3"/>
  <c r="AD554" i="3"/>
  <c r="C555" i="3"/>
  <c r="B555" i="11" s="1"/>
  <c r="D555" i="3"/>
  <c r="I555" i="3" s="1"/>
  <c r="Z555" i="3"/>
  <c r="AE555" i="3" s="1"/>
  <c r="AA555" i="3"/>
  <c r="AB555" i="3"/>
  <c r="AC555" i="3"/>
  <c r="AD555" i="3"/>
  <c r="C557" i="3"/>
  <c r="B557" i="11" s="1"/>
  <c r="D557" i="3"/>
  <c r="U557" i="3" s="1"/>
  <c r="V557" i="3" s="1"/>
  <c r="Z557" i="3"/>
  <c r="AE557" i="3" s="1"/>
  <c r="AA557" i="3"/>
  <c r="AD557" i="3"/>
  <c r="C558" i="3"/>
  <c r="B558" i="11" s="1"/>
  <c r="D558" i="3"/>
  <c r="U558" i="3" s="1"/>
  <c r="V558" i="3" s="1"/>
  <c r="Z558" i="3"/>
  <c r="AE558" i="3" s="1"/>
  <c r="AA558" i="3"/>
  <c r="AD558" i="3"/>
  <c r="C559" i="3"/>
  <c r="B559" i="11" s="1"/>
  <c r="D559" i="3"/>
  <c r="I559" i="3" s="1"/>
  <c r="D826" i="2" s="1"/>
  <c r="Z559" i="3"/>
  <c r="AE559" i="3" s="1"/>
  <c r="AA559" i="3"/>
  <c r="AB559" i="3"/>
  <c r="AD559" i="3"/>
  <c r="C560" i="3"/>
  <c r="B560" i="11" s="1"/>
  <c r="D560" i="3"/>
  <c r="I560" i="3" s="1"/>
  <c r="D827" i="2" s="1"/>
  <c r="Z560" i="3"/>
  <c r="AE560" i="3" s="1"/>
  <c r="AA560" i="3"/>
  <c r="AB560" i="3"/>
  <c r="AD560" i="3"/>
  <c r="C561" i="3"/>
  <c r="B561" i="11" s="1"/>
  <c r="D561" i="3"/>
  <c r="I561" i="3" s="1"/>
  <c r="F561" i="11" s="1"/>
  <c r="Z561" i="3"/>
  <c r="AE561" i="3" s="1"/>
  <c r="AA561" i="3"/>
  <c r="AB561" i="3"/>
  <c r="AC561" i="3"/>
  <c r="AD561" i="3"/>
  <c r="C563" i="3"/>
  <c r="B563" i="11" s="1"/>
  <c r="D563" i="3"/>
  <c r="I563" i="3" s="1"/>
  <c r="D830" i="2" s="1"/>
  <c r="Z563" i="3"/>
  <c r="AE563" i="3" s="1"/>
  <c r="AA563" i="3"/>
  <c r="AD563" i="3"/>
  <c r="C564" i="3"/>
  <c r="B564" i="11" s="1"/>
  <c r="D564" i="3"/>
  <c r="I564" i="3" s="1"/>
  <c r="D831" i="2" s="1"/>
  <c r="Z564" i="3"/>
  <c r="AE564" i="3" s="1"/>
  <c r="AA564" i="3"/>
  <c r="AD564" i="3"/>
  <c r="C565" i="3"/>
  <c r="B565" i="11" s="1"/>
  <c r="D565" i="3"/>
  <c r="I565" i="3" s="1"/>
  <c r="F565" i="11" s="1"/>
  <c r="Z565" i="3"/>
  <c r="AE565" i="3" s="1"/>
  <c r="AA565" i="3"/>
  <c r="AB565" i="3"/>
  <c r="AD565" i="3"/>
  <c r="C566" i="3"/>
  <c r="B566" i="11" s="1"/>
  <c r="D566" i="3"/>
  <c r="I566" i="3" s="1"/>
  <c r="F566" i="11" s="1"/>
  <c r="Z566" i="3"/>
  <c r="AE566" i="3" s="1"/>
  <c r="AA566" i="3"/>
  <c r="AB566" i="3"/>
  <c r="AD566" i="3"/>
  <c r="C567" i="3"/>
  <c r="B567" i="11" s="1"/>
  <c r="D567" i="3"/>
  <c r="I567" i="3" s="1"/>
  <c r="D834" i="2" s="1"/>
  <c r="Z567" i="3"/>
  <c r="AE567" i="3" s="1"/>
  <c r="AA567" i="3"/>
  <c r="AB567" i="3"/>
  <c r="AC567" i="3"/>
  <c r="AD567" i="3"/>
  <c r="C569" i="3"/>
  <c r="B569" i="11" s="1"/>
  <c r="D569" i="3"/>
  <c r="U569" i="3" s="1"/>
  <c r="V569" i="3" s="1"/>
  <c r="Z569" i="3"/>
  <c r="AE569" i="3" s="1"/>
  <c r="AA569" i="3"/>
  <c r="AD569" i="3"/>
  <c r="C570" i="3"/>
  <c r="B570" i="11" s="1"/>
  <c r="D570" i="3"/>
  <c r="U570" i="3" s="1"/>
  <c r="V570" i="3" s="1"/>
  <c r="Z570" i="3"/>
  <c r="AE570" i="3" s="1"/>
  <c r="AA570" i="3"/>
  <c r="AD570" i="3"/>
  <c r="C571" i="3"/>
  <c r="B571" i="11" s="1"/>
  <c r="D571" i="3"/>
  <c r="I571" i="3" s="1"/>
  <c r="Z571" i="3"/>
  <c r="AE571" i="3" s="1"/>
  <c r="AA571" i="3"/>
  <c r="AB571" i="3"/>
  <c r="AD571" i="3"/>
  <c r="C572" i="3"/>
  <c r="B572" i="11" s="1"/>
  <c r="D572" i="3"/>
  <c r="I572" i="3" s="1"/>
  <c r="D839" i="2" s="1"/>
  <c r="Z572" i="3"/>
  <c r="AE572" i="3" s="1"/>
  <c r="AA572" i="3"/>
  <c r="AB572" i="3"/>
  <c r="AD572" i="3"/>
  <c r="C573" i="3"/>
  <c r="B573" i="11" s="1"/>
  <c r="D573" i="3"/>
  <c r="I573" i="3" s="1"/>
  <c r="F573" i="11" s="1"/>
  <c r="Z573" i="3"/>
  <c r="AE573" i="3" s="1"/>
  <c r="AA573" i="3"/>
  <c r="AB573" i="3"/>
  <c r="AC573" i="3"/>
  <c r="AD573" i="3"/>
  <c r="C575" i="3"/>
  <c r="B575" i="11" s="1"/>
  <c r="D575" i="3"/>
  <c r="I575" i="3" s="1"/>
  <c r="D842" i="2" s="1"/>
  <c r="Z575" i="3"/>
  <c r="AE575" i="3" s="1"/>
  <c r="AA575" i="3"/>
  <c r="AD575" i="3"/>
  <c r="C576" i="3"/>
  <c r="B576" i="11" s="1"/>
  <c r="D576" i="3"/>
  <c r="Z576" i="3"/>
  <c r="AE576" i="3" s="1"/>
  <c r="AA576" i="3"/>
  <c r="AD576" i="3"/>
  <c r="C577" i="3"/>
  <c r="B577" i="11" s="1"/>
  <c r="D577" i="3"/>
  <c r="I577" i="3" s="1"/>
  <c r="F577" i="11" s="1"/>
  <c r="Z577" i="3"/>
  <c r="AE577" i="3" s="1"/>
  <c r="AA577" i="3"/>
  <c r="AB577" i="3"/>
  <c r="AD577" i="3"/>
  <c r="C578" i="3"/>
  <c r="B578" i="11" s="1"/>
  <c r="D578" i="3"/>
  <c r="I578" i="3" s="1"/>
  <c r="F578" i="11" s="1"/>
  <c r="Z578" i="3"/>
  <c r="AE578" i="3" s="1"/>
  <c r="AA578" i="3"/>
  <c r="AB578" i="3"/>
  <c r="AD578" i="3"/>
  <c r="C579" i="3"/>
  <c r="B579" i="11" s="1"/>
  <c r="D579" i="3"/>
  <c r="I579" i="3" s="1"/>
  <c r="D846" i="2" s="1"/>
  <c r="Z579" i="3"/>
  <c r="AE579" i="3" s="1"/>
  <c r="AA579" i="3"/>
  <c r="AB579" i="3"/>
  <c r="AC579" i="3"/>
  <c r="AD579" i="3"/>
  <c r="N99" i="2"/>
  <c r="J99" i="10" s="1"/>
  <c r="N100" i="2"/>
  <c r="J100" i="10" s="1"/>
  <c r="N101" i="2"/>
  <c r="J101" i="10" s="1"/>
  <c r="N102" i="2"/>
  <c r="J102" i="10" s="1"/>
  <c r="N104" i="2"/>
  <c r="J104" i="10" s="1"/>
  <c r="N105" i="2"/>
  <c r="J105" i="10" s="1"/>
  <c r="N106" i="2"/>
  <c r="J106" i="10" s="1"/>
  <c r="N107" i="2"/>
  <c r="J107" i="10" s="1"/>
  <c r="N109" i="2"/>
  <c r="J109" i="10" s="1"/>
  <c r="N110" i="2"/>
  <c r="J110" i="10" s="1"/>
  <c r="N111" i="2"/>
  <c r="J111" i="10" s="1"/>
  <c r="N112" i="2"/>
  <c r="J112" i="10" s="1"/>
  <c r="N114" i="2"/>
  <c r="J114" i="10" s="1"/>
  <c r="N115" i="2"/>
  <c r="J115" i="10" s="1"/>
  <c r="N116" i="2"/>
  <c r="J116" i="10" s="1"/>
  <c r="N117" i="2"/>
  <c r="J117" i="10" s="1"/>
  <c r="N119" i="2"/>
  <c r="J119" i="10" s="1"/>
  <c r="N120" i="2"/>
  <c r="J120" i="10" s="1"/>
  <c r="N121" i="2"/>
  <c r="J121" i="10" s="1"/>
  <c r="N122" i="2"/>
  <c r="J122" i="10" s="1"/>
  <c r="P189" i="2"/>
  <c r="P198" i="2" s="1"/>
  <c r="R189" i="2"/>
  <c r="R203" i="2" s="1"/>
  <c r="O190" i="2"/>
  <c r="Q190" i="10" s="1"/>
  <c r="O191" i="2"/>
  <c r="Q191" i="10" s="1"/>
  <c r="O192" i="2"/>
  <c r="Q192" i="10" s="1"/>
  <c r="O193" i="2"/>
  <c r="Q193" i="10" s="1"/>
  <c r="N194" i="2"/>
  <c r="J194" i="10" s="1"/>
  <c r="O194" i="2"/>
  <c r="Q194" i="10" s="1"/>
  <c r="O195" i="2"/>
  <c r="Q195" i="10" s="1"/>
  <c r="O196" i="2"/>
  <c r="Q196" i="10" s="1"/>
  <c r="O197" i="2"/>
  <c r="Q197" i="10" s="1"/>
  <c r="O198" i="2"/>
  <c r="Q198" i="10" s="1"/>
  <c r="O199" i="2"/>
  <c r="Q199" i="10" s="1"/>
  <c r="O200" i="2"/>
  <c r="Q200" i="10" s="1"/>
  <c r="O201" i="2"/>
  <c r="Q201" i="10" s="1"/>
  <c r="O202" i="2"/>
  <c r="Q202" i="10" s="1"/>
  <c r="O203" i="2"/>
  <c r="Q203" i="10" s="1"/>
  <c r="O204" i="2"/>
  <c r="Q204" i="10"/>
  <c r="P205" i="2"/>
  <c r="P885" i="2" s="1"/>
  <c r="R205" i="2"/>
  <c r="R213" i="2" s="1"/>
  <c r="O206" i="2"/>
  <c r="Q206" i="10" s="1"/>
  <c r="O207" i="2"/>
  <c r="Q207" i="10" s="1"/>
  <c r="O208" i="2"/>
  <c r="Q208" i="10" s="1"/>
  <c r="O209" i="2"/>
  <c r="Q209" i="10" s="1"/>
  <c r="O210" i="2"/>
  <c r="Q210" i="10"/>
  <c r="O211" i="2"/>
  <c r="Q211" i="10" s="1"/>
  <c r="O212" i="2"/>
  <c r="Q212" i="10" s="1"/>
  <c r="O213" i="2"/>
  <c r="Q213" i="10" s="1"/>
  <c r="P218" i="2"/>
  <c r="P219" i="2" s="1"/>
  <c r="Q219" i="2" s="1"/>
  <c r="R218" i="2"/>
  <c r="O219" i="2"/>
  <c r="Q219" i="10" s="1"/>
  <c r="O220" i="2"/>
  <c r="Q220" i="10" s="1"/>
  <c r="O221" i="2"/>
  <c r="Q221" i="10" s="1"/>
  <c r="O222" i="2"/>
  <c r="Q222" i="10" s="1"/>
  <c r="O223" i="2"/>
  <c r="Q223" i="10" s="1"/>
  <c r="O224" i="2"/>
  <c r="Q224" i="10" s="1"/>
  <c r="O225" i="2"/>
  <c r="Q225" i="10" s="1"/>
  <c r="O226" i="2"/>
  <c r="Q226" i="10" s="1"/>
  <c r="O227" i="2"/>
  <c r="Q227" i="10" s="1"/>
  <c r="O228" i="2"/>
  <c r="Q228" i="10" s="1"/>
  <c r="O229" i="2"/>
  <c r="Q229" i="10" s="1"/>
  <c r="O230" i="2"/>
  <c r="Q230" i="10"/>
  <c r="O231" i="2"/>
  <c r="Q231" i="10" s="1"/>
  <c r="O232" i="2"/>
  <c r="Q232" i="10" s="1"/>
  <c r="O233" i="2"/>
  <c r="Q233" i="10" s="1"/>
  <c r="P234" i="2"/>
  <c r="P249" i="2" s="1"/>
  <c r="R234" i="2"/>
  <c r="R242" i="2" s="1"/>
  <c r="O235" i="2"/>
  <c r="Q235" i="10" s="1"/>
  <c r="O236" i="2"/>
  <c r="Q236" i="10" s="1"/>
  <c r="O237" i="2"/>
  <c r="Q237" i="10" s="1"/>
  <c r="O238" i="2"/>
  <c r="Q238" i="10" s="1"/>
  <c r="O239" i="2"/>
  <c r="Q239" i="10" s="1"/>
  <c r="O240" i="2"/>
  <c r="Q240" i="10" s="1"/>
  <c r="O241" i="2"/>
  <c r="Q241" i="10" s="1"/>
  <c r="O242" i="2"/>
  <c r="Q242" i="10" s="1"/>
  <c r="O243" i="2"/>
  <c r="Q243" i="10" s="1"/>
  <c r="O244" i="2"/>
  <c r="Q244" i="10" s="1"/>
  <c r="O245" i="2"/>
  <c r="Q245" i="10" s="1"/>
  <c r="O246" i="2"/>
  <c r="Q246" i="10"/>
  <c r="O247" i="2"/>
  <c r="Q247" i="10" s="1"/>
  <c r="O248" i="2"/>
  <c r="Q248" i="10" s="1"/>
  <c r="O249" i="2"/>
  <c r="Q249" i="10" s="1"/>
  <c r="P250" i="2"/>
  <c r="R250" i="2"/>
  <c r="R260" i="2" s="1"/>
  <c r="O251" i="2"/>
  <c r="Q251" i="10" s="1"/>
  <c r="O252" i="2"/>
  <c r="Q252" i="10" s="1"/>
  <c r="O253" i="2"/>
  <c r="Q253" i="10" s="1"/>
  <c r="O254" i="2"/>
  <c r="Q254" i="10" s="1"/>
  <c r="O255" i="2"/>
  <c r="Q255" i="10" s="1"/>
  <c r="O256" i="2"/>
  <c r="Q256" i="10" s="1"/>
  <c r="O257" i="2"/>
  <c r="Q257" i="10" s="1"/>
  <c r="O258" i="2"/>
  <c r="Q258" i="10" s="1"/>
  <c r="O259" i="2"/>
  <c r="Q259" i="10" s="1"/>
  <c r="O260" i="2"/>
  <c r="Q260" i="10" s="1"/>
  <c r="O261" i="2"/>
  <c r="Q261" i="10" s="1"/>
  <c r="O262" i="2"/>
  <c r="Q262" i="10" s="1"/>
  <c r="R268" i="2"/>
  <c r="O264" i="2"/>
  <c r="Q264" i="10" s="1"/>
  <c r="O265" i="2"/>
  <c r="Q265" i="10" s="1"/>
  <c r="O266" i="2"/>
  <c r="Q266" i="10" s="1"/>
  <c r="O267" i="2"/>
  <c r="Q267" i="10" s="1"/>
  <c r="O268" i="2"/>
  <c r="Q268" i="10" s="1"/>
  <c r="O269" i="2"/>
  <c r="Q269" i="10" s="1"/>
  <c r="O270" i="2"/>
  <c r="Q270" i="10" s="1"/>
  <c r="O271" i="2"/>
  <c r="Q271" i="10" s="1"/>
  <c r="O272" i="2"/>
  <c r="Q272" i="10" s="1"/>
  <c r="O273" i="2"/>
  <c r="Q273" i="10" s="1"/>
  <c r="O274" i="2"/>
  <c r="Q274" i="10" s="1"/>
  <c r="O275" i="2"/>
  <c r="Q275" i="10" s="1"/>
  <c r="O276" i="2"/>
  <c r="Q276" i="10" s="1"/>
  <c r="O277" i="2"/>
  <c r="Q277" i="10" s="1"/>
  <c r="O278" i="2"/>
  <c r="Q278" i="10" s="1"/>
  <c r="O280" i="2"/>
  <c r="Q280" i="10" s="1"/>
  <c r="O281" i="2"/>
  <c r="Q281" i="10" s="1"/>
  <c r="O282" i="2"/>
  <c r="Q282" i="10" s="1"/>
  <c r="O283" i="2"/>
  <c r="Q283" i="10" s="1"/>
  <c r="O284" i="2"/>
  <c r="Q284" i="10" s="1"/>
  <c r="O285" i="2"/>
  <c r="Q285" i="10" s="1"/>
  <c r="O286" i="2"/>
  <c r="Q286" i="10" s="1"/>
  <c r="O287" i="2"/>
  <c r="Q287" i="10" s="1"/>
  <c r="O288" i="2"/>
  <c r="Q288" i="10" s="1"/>
  <c r="O289" i="2"/>
  <c r="Q289" i="10" s="1"/>
  <c r="O290" i="2"/>
  <c r="Q290" i="10" s="1"/>
  <c r="O291" i="2"/>
  <c r="Q291" i="10" s="1"/>
  <c r="P292" i="2"/>
  <c r="P293" i="2" s="1"/>
  <c r="Q293" i="2" s="1"/>
  <c r="O293" i="2"/>
  <c r="Q293" i="10" s="1"/>
  <c r="O294" i="2"/>
  <c r="Q294" i="10"/>
  <c r="O295" i="2"/>
  <c r="Q295" i="10" s="1"/>
  <c r="O296" i="2"/>
  <c r="Q296" i="10"/>
  <c r="O297" i="2"/>
  <c r="Q297" i="10" s="1"/>
  <c r="O298" i="2"/>
  <c r="Q298" i="10" s="1"/>
  <c r="O299" i="2"/>
  <c r="Q299" i="10" s="1"/>
  <c r="O300" i="2"/>
  <c r="Q300" i="10" s="1"/>
  <c r="O301" i="2"/>
  <c r="Q301" i="10" s="1"/>
  <c r="O302" i="2"/>
  <c r="Q302" i="10" s="1"/>
  <c r="O303" i="2"/>
  <c r="Q303" i="10"/>
  <c r="O304" i="2"/>
  <c r="Q304" i="10" s="1"/>
  <c r="O305" i="2"/>
  <c r="Q305" i="10"/>
  <c r="O306" i="2"/>
  <c r="Q306" i="10" s="1"/>
  <c r="O307" i="2"/>
  <c r="Q307" i="10" s="1"/>
  <c r="P313" i="2"/>
  <c r="O309" i="2"/>
  <c r="Q309" i="10"/>
  <c r="O310" i="2"/>
  <c r="Q310" i="10" s="1"/>
  <c r="O311" i="2"/>
  <c r="Q311" i="10" s="1"/>
  <c r="O312" i="2"/>
  <c r="Q312" i="10" s="1"/>
  <c r="O313" i="2"/>
  <c r="Q313" i="10" s="1"/>
  <c r="O314" i="2"/>
  <c r="Q314" i="10" s="1"/>
  <c r="O315" i="2"/>
  <c r="Q315" i="10" s="1"/>
  <c r="O316" i="2"/>
  <c r="Q316" i="10" s="1"/>
  <c r="O317" i="2"/>
  <c r="Q317" i="10"/>
  <c r="O318" i="2"/>
  <c r="Q318" i="10" s="1"/>
  <c r="O319" i="2"/>
  <c r="Q319" i="10" s="1"/>
  <c r="O320" i="2"/>
  <c r="Q320" i="10" s="1"/>
  <c r="O321" i="2"/>
  <c r="Q321" i="10" s="1"/>
  <c r="O322" i="2"/>
  <c r="Q322" i="10" s="1"/>
  <c r="O323" i="2"/>
  <c r="Q323" i="10" s="1"/>
  <c r="O325" i="2"/>
  <c r="Q325" i="10" s="1"/>
  <c r="P325" i="2"/>
  <c r="Q325" i="2" s="1"/>
  <c r="O326" i="2"/>
  <c r="Q326" i="10" s="1"/>
  <c r="P326" i="2"/>
  <c r="O327" i="2"/>
  <c r="Q327" i="10"/>
  <c r="P327" i="2"/>
  <c r="O328" i="2"/>
  <c r="Q328" i="10"/>
  <c r="P328" i="2"/>
  <c r="O329" i="2"/>
  <c r="Q329" i="10" s="1"/>
  <c r="P329" i="2"/>
  <c r="O330" i="2"/>
  <c r="Q330" i="10" s="1"/>
  <c r="P330" i="2"/>
  <c r="O331" i="2"/>
  <c r="Q331" i="10" s="1"/>
  <c r="P331" i="2"/>
  <c r="O332" i="2"/>
  <c r="Q332" i="10"/>
  <c r="P332" i="2"/>
  <c r="O333" i="2"/>
  <c r="Q333" i="10" s="1"/>
  <c r="P333" i="2"/>
  <c r="O334" i="2"/>
  <c r="Q334" i="10" s="1"/>
  <c r="P334" i="2"/>
  <c r="O335" i="2"/>
  <c r="Q335" i="10"/>
  <c r="P335" i="2"/>
  <c r="O336" i="2"/>
  <c r="Q336" i="10" s="1"/>
  <c r="P336" i="2"/>
  <c r="O337" i="2"/>
  <c r="Q337" i="10" s="1"/>
  <c r="P337" i="2"/>
  <c r="O338" i="2"/>
  <c r="Q338" i="10" s="1"/>
  <c r="P338" i="2"/>
  <c r="O339" i="2"/>
  <c r="Q339" i="10" s="1"/>
  <c r="P339" i="2"/>
  <c r="AC601" i="2"/>
  <c r="T601" i="10" s="1"/>
  <c r="AF601" i="2"/>
  <c r="W601" i="10" s="1"/>
  <c r="AC602" i="2"/>
  <c r="T602" i="10" s="1"/>
  <c r="AF602" i="2"/>
  <c r="W602" i="10" s="1"/>
  <c r="AC603" i="2"/>
  <c r="T603" i="10" s="1"/>
  <c r="AF603" i="2"/>
  <c r="W603" i="10" s="1"/>
  <c r="AC604" i="2"/>
  <c r="T604" i="10" s="1"/>
  <c r="AF604" i="2"/>
  <c r="W604" i="10" s="1"/>
  <c r="AC605" i="2"/>
  <c r="T605" i="10" s="1"/>
  <c r="AF605" i="2"/>
  <c r="W605" i="10"/>
  <c r="AC606" i="2"/>
  <c r="T606" i="10" s="1"/>
  <c r="AF606" i="2"/>
  <c r="W606" i="10"/>
  <c r="AC607" i="2"/>
  <c r="T607" i="10" s="1"/>
  <c r="AF607" i="2"/>
  <c r="W607" i="10" s="1"/>
  <c r="AC608" i="2"/>
  <c r="T608" i="10" s="1"/>
  <c r="AF608" i="2"/>
  <c r="W608" i="10"/>
  <c r="AC609" i="2"/>
  <c r="T609" i="10" s="1"/>
  <c r="AF609" i="2"/>
  <c r="W609" i="10" s="1"/>
  <c r="AC610" i="2"/>
  <c r="T610" i="10" s="1"/>
  <c r="AF610" i="2"/>
  <c r="W610" i="10" s="1"/>
  <c r="AC611" i="2"/>
  <c r="T611" i="10" s="1"/>
  <c r="AF611" i="2"/>
  <c r="W611" i="10" s="1"/>
  <c r="AC612" i="2"/>
  <c r="T612" i="10" s="1"/>
  <c r="AF612" i="2"/>
  <c r="W612" i="10" s="1"/>
  <c r="AC613" i="2"/>
  <c r="T613" i="10" s="1"/>
  <c r="AF613" i="2"/>
  <c r="W613" i="10"/>
  <c r="AC614" i="2"/>
  <c r="T614" i="10" s="1"/>
  <c r="AF614" i="2"/>
  <c r="W614" i="10" s="1"/>
  <c r="AC615" i="2"/>
  <c r="T615" i="10" s="1"/>
  <c r="AF615" i="2"/>
  <c r="W615" i="10" s="1"/>
  <c r="AC617" i="2"/>
  <c r="T617" i="10" s="1"/>
  <c r="AF617" i="2"/>
  <c r="W617" i="10"/>
  <c r="AC618" i="2"/>
  <c r="T618" i="10" s="1"/>
  <c r="AF618" i="2"/>
  <c r="W618" i="10" s="1"/>
  <c r="AC619" i="2"/>
  <c r="T619" i="10" s="1"/>
  <c r="AF619" i="2"/>
  <c r="W619" i="10" s="1"/>
  <c r="AC620" i="2"/>
  <c r="T620" i="10" s="1"/>
  <c r="AF620" i="2"/>
  <c r="W620" i="10" s="1"/>
  <c r="AC621" i="2"/>
  <c r="T621" i="10" s="1"/>
  <c r="AF621" i="2"/>
  <c r="W621" i="10" s="1"/>
  <c r="AC622" i="2"/>
  <c r="T622" i="10" s="1"/>
  <c r="AF622" i="2"/>
  <c r="W622" i="10" s="1"/>
  <c r="AC623" i="2"/>
  <c r="T623" i="10" s="1"/>
  <c r="AF623" i="2"/>
  <c r="W623" i="10"/>
  <c r="AC624" i="2"/>
  <c r="T624" i="10" s="1"/>
  <c r="AF624" i="2"/>
  <c r="W624" i="10" s="1"/>
  <c r="AC625" i="2"/>
  <c r="T625" i="10" s="1"/>
  <c r="AF625" i="2"/>
  <c r="W625" i="10" s="1"/>
  <c r="AC626" i="2"/>
  <c r="T626" i="10" s="1"/>
  <c r="AF626" i="2"/>
  <c r="W626" i="10" s="1"/>
  <c r="AC627" i="2"/>
  <c r="T627" i="10" s="1"/>
  <c r="AF627" i="2"/>
  <c r="W627" i="10" s="1"/>
  <c r="AC628" i="2"/>
  <c r="T628" i="10" s="1"/>
  <c r="AF628" i="2"/>
  <c r="W628" i="10" s="1"/>
  <c r="AC629" i="2"/>
  <c r="T629" i="10" s="1"/>
  <c r="AF629" i="2"/>
  <c r="W629" i="10" s="1"/>
  <c r="AC630" i="2"/>
  <c r="T630" i="10" s="1"/>
  <c r="AF630" i="2"/>
  <c r="W630" i="10" s="1"/>
  <c r="AC631" i="2"/>
  <c r="T631" i="10" s="1"/>
  <c r="AF631" i="2"/>
  <c r="W631" i="10"/>
  <c r="AC633" i="2"/>
  <c r="T633" i="10" s="1"/>
  <c r="AF633" i="2"/>
  <c r="W633" i="10" s="1"/>
  <c r="AC634" i="2"/>
  <c r="T634" i="10" s="1"/>
  <c r="AF634" i="2"/>
  <c r="W634" i="10" s="1"/>
  <c r="AC635" i="2"/>
  <c r="T635" i="10" s="1"/>
  <c r="AF635" i="2"/>
  <c r="W635" i="10" s="1"/>
  <c r="AC636" i="2"/>
  <c r="T636" i="10" s="1"/>
  <c r="AF636" i="2"/>
  <c r="W636" i="10" s="1"/>
  <c r="AC637" i="2"/>
  <c r="T637" i="10" s="1"/>
  <c r="AF637" i="2"/>
  <c r="W637" i="10" s="1"/>
  <c r="AC638" i="2"/>
  <c r="T638" i="10" s="1"/>
  <c r="AF638" i="2"/>
  <c r="W638" i="10" s="1"/>
  <c r="AC639" i="2"/>
  <c r="T639" i="10" s="1"/>
  <c r="AF639" i="2"/>
  <c r="W639" i="10"/>
  <c r="AC640" i="2"/>
  <c r="T640" i="10" s="1"/>
  <c r="AF640" i="2"/>
  <c r="W640" i="10"/>
  <c r="AC641" i="2"/>
  <c r="T641" i="10" s="1"/>
  <c r="AF641" i="2"/>
  <c r="W641" i="10" s="1"/>
  <c r="AC642" i="2"/>
  <c r="T642" i="10" s="1"/>
  <c r="AF642" i="2"/>
  <c r="W642" i="10"/>
  <c r="AC643" i="2"/>
  <c r="T643" i="10" s="1"/>
  <c r="AF643" i="2"/>
  <c r="W643" i="10" s="1"/>
  <c r="AC644" i="2"/>
  <c r="T644" i="10" s="1"/>
  <c r="AF644" i="2"/>
  <c r="W644" i="10" s="1"/>
  <c r="AC645" i="2"/>
  <c r="T645" i="10" s="1"/>
  <c r="AF645" i="2"/>
  <c r="W645" i="10" s="1"/>
  <c r="AC646" i="2"/>
  <c r="T646" i="10" s="1"/>
  <c r="AF646" i="2"/>
  <c r="W646" i="10" s="1"/>
  <c r="AC647" i="2"/>
  <c r="T647" i="10" s="1"/>
  <c r="AF647" i="2"/>
  <c r="W647" i="10"/>
  <c r="AC649" i="2"/>
  <c r="T649" i="10" s="1"/>
  <c r="AF649" i="2"/>
  <c r="W649" i="10" s="1"/>
  <c r="AC650" i="2"/>
  <c r="T650" i="10" s="1"/>
  <c r="AF650" i="2"/>
  <c r="W650" i="10" s="1"/>
  <c r="AC651" i="2"/>
  <c r="T651" i="10" s="1"/>
  <c r="AF651" i="2"/>
  <c r="W651" i="10"/>
  <c r="AC652" i="2"/>
  <c r="T652" i="10" s="1"/>
  <c r="AF652" i="2"/>
  <c r="W652" i="10" s="1"/>
  <c r="AC653" i="2"/>
  <c r="T653" i="10" s="1"/>
  <c r="AF653" i="2"/>
  <c r="W653" i="10" s="1"/>
  <c r="AC654" i="2"/>
  <c r="T654" i="10" s="1"/>
  <c r="AF654" i="2"/>
  <c r="W654" i="10" s="1"/>
  <c r="AC655" i="2"/>
  <c r="T655" i="10" s="1"/>
  <c r="AF655" i="2"/>
  <c r="W655" i="10" s="1"/>
  <c r="AC656" i="2"/>
  <c r="T656" i="10" s="1"/>
  <c r="AF656" i="2"/>
  <c r="W656" i="10" s="1"/>
  <c r="AC657" i="2"/>
  <c r="T657" i="10" s="1"/>
  <c r="AF657" i="2"/>
  <c r="W657" i="10"/>
  <c r="AC658" i="2"/>
  <c r="T658" i="10" s="1"/>
  <c r="AF658" i="2"/>
  <c r="W658" i="10" s="1"/>
  <c r="AC659" i="2"/>
  <c r="T659" i="10" s="1"/>
  <c r="AF659" i="2"/>
  <c r="W659" i="10" s="1"/>
  <c r="AC660" i="2"/>
  <c r="T660" i="10" s="1"/>
  <c r="AF660" i="2"/>
  <c r="W660" i="10" s="1"/>
  <c r="AC661" i="2"/>
  <c r="T661" i="10" s="1"/>
  <c r="AF661" i="2"/>
  <c r="W661" i="10" s="1"/>
  <c r="AC662" i="2"/>
  <c r="T662" i="10" s="1"/>
  <c r="AF662" i="2"/>
  <c r="W662" i="10" s="1"/>
  <c r="AC663" i="2"/>
  <c r="T663" i="10" s="1"/>
  <c r="AF663" i="2"/>
  <c r="W663" i="10" s="1"/>
  <c r="A677" i="2"/>
  <c r="G677" i="2"/>
  <c r="A678" i="2"/>
  <c r="G678" i="2"/>
  <c r="A679" i="2"/>
  <c r="G679" i="2"/>
  <c r="A680" i="2"/>
  <c r="G680" i="2"/>
  <c r="A681" i="2"/>
  <c r="G681" i="2"/>
  <c r="A683" i="2"/>
  <c r="G683" i="2"/>
  <c r="A684" i="2"/>
  <c r="G684" i="2"/>
  <c r="A685" i="2"/>
  <c r="G685" i="2"/>
  <c r="A686" i="2"/>
  <c r="G686" i="2"/>
  <c r="A688" i="2"/>
  <c r="G688" i="2"/>
  <c r="A689" i="2"/>
  <c r="G689" i="2"/>
  <c r="A690" i="2"/>
  <c r="G690" i="2"/>
  <c r="A691" i="2"/>
  <c r="G691" i="2"/>
  <c r="A692" i="2"/>
  <c r="G692" i="2"/>
  <c r="A694" i="2"/>
  <c r="G694" i="2"/>
  <c r="A695" i="2"/>
  <c r="G695" i="2"/>
  <c r="A696" i="2"/>
  <c r="G696" i="2"/>
  <c r="A697" i="2"/>
  <c r="G697" i="2"/>
  <c r="A698" i="2"/>
  <c r="G698" i="2"/>
  <c r="A700" i="2"/>
  <c r="G700" i="2"/>
  <c r="A701" i="2"/>
  <c r="G701" i="2"/>
  <c r="A702" i="2"/>
  <c r="G702" i="2"/>
  <c r="A703" i="2"/>
  <c r="G703" i="2"/>
  <c r="A705" i="2"/>
  <c r="G705" i="2"/>
  <c r="A706" i="2"/>
  <c r="G706" i="2"/>
  <c r="A707" i="2"/>
  <c r="G707" i="2"/>
  <c r="A708" i="2"/>
  <c r="G708" i="2"/>
  <c r="A709" i="2"/>
  <c r="G709" i="2"/>
  <c r="A711" i="2"/>
  <c r="G711" i="2"/>
  <c r="A712" i="2"/>
  <c r="G712" i="2"/>
  <c r="A713" i="2"/>
  <c r="G713" i="2"/>
  <c r="A714" i="2"/>
  <c r="G714" i="2"/>
  <c r="A716" i="2"/>
  <c r="G716" i="2"/>
  <c r="A717" i="2"/>
  <c r="G717" i="2"/>
  <c r="A718" i="2"/>
  <c r="G718" i="2"/>
  <c r="A719" i="2"/>
  <c r="G719" i="2"/>
  <c r="A720" i="2"/>
  <c r="G720" i="2"/>
  <c r="A722" i="2"/>
  <c r="G722" i="2"/>
  <c r="A723" i="2"/>
  <c r="G723" i="2"/>
  <c r="A724" i="2"/>
  <c r="G724" i="2"/>
  <c r="A725" i="2"/>
  <c r="G725" i="2"/>
  <c r="A726" i="2"/>
  <c r="G726" i="2"/>
  <c r="A728" i="2"/>
  <c r="A729" i="2"/>
  <c r="A730" i="2"/>
  <c r="A731" i="2"/>
  <c r="A732" i="2"/>
  <c r="A734" i="2"/>
  <c r="G734" i="2"/>
  <c r="A735" i="2"/>
  <c r="G735" i="2"/>
  <c r="A736" i="2"/>
  <c r="G736" i="2"/>
  <c r="A737" i="2"/>
  <c r="G737" i="2"/>
  <c r="A738" i="2"/>
  <c r="G738" i="2"/>
  <c r="A739" i="2"/>
  <c r="G739" i="2"/>
  <c r="A740" i="2"/>
  <c r="G740" i="2"/>
  <c r="A741" i="2"/>
  <c r="G741" i="2"/>
  <c r="A742" i="2"/>
  <c r="G742" i="2"/>
  <c r="A743" i="2"/>
  <c r="G743" i="2"/>
  <c r="A744" i="2"/>
  <c r="G744" i="2"/>
  <c r="A745" i="2"/>
  <c r="G745" i="2"/>
  <c r="A746" i="2"/>
  <c r="G746" i="2"/>
  <c r="A747" i="2"/>
  <c r="G747" i="2"/>
  <c r="A748" i="2"/>
  <c r="G748" i="2"/>
  <c r="A749" i="2"/>
  <c r="G749" i="2"/>
  <c r="A750" i="2"/>
  <c r="G750" i="2"/>
  <c r="A751" i="2"/>
  <c r="G751" i="2"/>
  <c r="A752" i="2"/>
  <c r="G752" i="2"/>
  <c r="A753" i="2"/>
  <c r="G753" i="2"/>
  <c r="A754" i="2"/>
  <c r="G754" i="2"/>
  <c r="A755" i="2"/>
  <c r="G755" i="2"/>
  <c r="A756" i="2"/>
  <c r="G756" i="2"/>
  <c r="A757" i="2"/>
  <c r="G757" i="2"/>
  <c r="A758" i="2"/>
  <c r="G758" i="2"/>
  <c r="A760" i="2"/>
  <c r="G760" i="2"/>
  <c r="A761" i="2"/>
  <c r="G761" i="2"/>
  <c r="A762" i="2"/>
  <c r="G762" i="2"/>
  <c r="A763" i="2"/>
  <c r="G763" i="2"/>
  <c r="A764" i="2"/>
  <c r="G764" i="2"/>
  <c r="A765" i="2"/>
  <c r="G765" i="2"/>
  <c r="A766" i="2"/>
  <c r="G766" i="2"/>
  <c r="A767" i="2"/>
  <c r="G767" i="2"/>
  <c r="A768" i="2"/>
  <c r="G768" i="2"/>
  <c r="A769" i="2"/>
  <c r="G769" i="2"/>
  <c r="A770" i="2"/>
  <c r="G770" i="2"/>
  <c r="A771" i="2"/>
  <c r="G771" i="2"/>
  <c r="A772" i="2"/>
  <c r="G772" i="2"/>
  <c r="A773" i="2"/>
  <c r="G773" i="2"/>
  <c r="A774" i="2"/>
  <c r="G774" i="2"/>
  <c r="A775" i="2"/>
  <c r="G775" i="2"/>
  <c r="A776" i="2"/>
  <c r="G776" i="2"/>
  <c r="A777" i="2"/>
  <c r="G777" i="2"/>
  <c r="A778" i="2"/>
  <c r="G778" i="2"/>
  <c r="A779" i="2"/>
  <c r="G779" i="2"/>
  <c r="A780" i="2"/>
  <c r="G780" i="2"/>
  <c r="A781" i="2"/>
  <c r="G781" i="2"/>
  <c r="A782" i="2"/>
  <c r="G782" i="2"/>
  <c r="A783" i="2"/>
  <c r="G783" i="2"/>
  <c r="A784" i="2"/>
  <c r="G784" i="2"/>
  <c r="A786" i="2"/>
  <c r="G786" i="2"/>
  <c r="A787" i="2"/>
  <c r="G787" i="2"/>
  <c r="A788" i="2"/>
  <c r="G788" i="2"/>
  <c r="A789" i="2"/>
  <c r="G789" i="2"/>
  <c r="A790" i="2"/>
  <c r="G790" i="2"/>
  <c r="A791" i="2"/>
  <c r="G791" i="2"/>
  <c r="A792" i="2"/>
  <c r="G792" i="2"/>
  <c r="A793" i="2"/>
  <c r="G793" i="2"/>
  <c r="A794" i="2"/>
  <c r="G794" i="2"/>
  <c r="A795" i="2"/>
  <c r="G795" i="2"/>
  <c r="A796" i="2"/>
  <c r="G796" i="2"/>
  <c r="A797" i="2"/>
  <c r="G797" i="2"/>
  <c r="A798" i="2"/>
  <c r="G798" i="2"/>
  <c r="A799" i="2"/>
  <c r="G799" i="2"/>
  <c r="A800" i="2"/>
  <c r="G800" i="2"/>
  <c r="A801" i="2"/>
  <c r="G801" i="2"/>
  <c r="A802" i="2"/>
  <c r="G802" i="2"/>
  <c r="A803" i="2"/>
  <c r="G803" i="2"/>
  <c r="A804" i="2"/>
  <c r="G804" i="2"/>
  <c r="A805" i="2"/>
  <c r="G805" i="2"/>
  <c r="A806" i="2"/>
  <c r="G806" i="2"/>
  <c r="A807" i="2"/>
  <c r="G807" i="2"/>
  <c r="A808" i="2"/>
  <c r="G808" i="2"/>
  <c r="A809" i="2"/>
  <c r="G809" i="2"/>
  <c r="A810" i="2"/>
  <c r="G810" i="2"/>
  <c r="A812" i="2"/>
  <c r="G812" i="2"/>
  <c r="A813" i="2"/>
  <c r="G813" i="2"/>
  <c r="A814" i="2"/>
  <c r="G814" i="2"/>
  <c r="A815" i="2"/>
  <c r="G815" i="2"/>
  <c r="A816" i="2"/>
  <c r="G816" i="2"/>
  <c r="A818" i="2"/>
  <c r="G818" i="2"/>
  <c r="A819" i="2"/>
  <c r="G819" i="2"/>
  <c r="A820" i="2"/>
  <c r="G820" i="2"/>
  <c r="A821" i="2"/>
  <c r="G821" i="2"/>
  <c r="A822" i="2"/>
  <c r="G822" i="2"/>
  <c r="A824" i="2"/>
  <c r="G824" i="2"/>
  <c r="A825" i="2"/>
  <c r="G825" i="2"/>
  <c r="A826" i="2"/>
  <c r="G826" i="2"/>
  <c r="A827" i="2"/>
  <c r="G827" i="2"/>
  <c r="A828" i="2"/>
  <c r="G828" i="2"/>
  <c r="A830" i="2"/>
  <c r="G830" i="2"/>
  <c r="A831" i="2"/>
  <c r="G831" i="2"/>
  <c r="A832" i="2"/>
  <c r="G832" i="2"/>
  <c r="A833" i="2"/>
  <c r="G833" i="2"/>
  <c r="A834" i="2"/>
  <c r="G834" i="2"/>
  <c r="A836" i="2"/>
  <c r="G836" i="2"/>
  <c r="A837" i="2"/>
  <c r="G837" i="2"/>
  <c r="A838" i="2"/>
  <c r="G838" i="2"/>
  <c r="A839" i="2"/>
  <c r="G839" i="2"/>
  <c r="A840" i="2"/>
  <c r="G840" i="2"/>
  <c r="A842" i="2"/>
  <c r="G842" i="2"/>
  <c r="A843" i="2"/>
  <c r="G843" i="2"/>
  <c r="A844" i="2"/>
  <c r="G844" i="2"/>
  <c r="A845" i="2"/>
  <c r="G845" i="2"/>
  <c r="A846" i="2"/>
  <c r="G846" i="2"/>
  <c r="O885" i="2"/>
  <c r="F66" i="5"/>
  <c r="D66" i="5"/>
  <c r="P569" i="10"/>
  <c r="A50" i="5"/>
  <c r="A51" i="5"/>
  <c r="X417" i="2"/>
  <c r="W421" i="2" s="1"/>
  <c r="O421" i="10" s="1"/>
  <c r="X493" i="2"/>
  <c r="W496" i="2" s="1"/>
  <c r="O496" i="10" s="1"/>
  <c r="D37" i="5"/>
  <c r="X341" i="2" s="1"/>
  <c r="W343" i="2" s="1"/>
  <c r="O343" i="10" s="1"/>
  <c r="F37" i="5"/>
  <c r="F62" i="5"/>
  <c r="D62" i="5"/>
  <c r="F32" i="5"/>
  <c r="F28" i="5"/>
  <c r="F3" i="5"/>
  <c r="B4" i="5"/>
  <c r="C4" i="5"/>
  <c r="A5" i="5"/>
  <c r="F31" i="5"/>
  <c r="R275" i="2"/>
  <c r="R277" i="2"/>
  <c r="R271" i="2"/>
  <c r="R273" i="2"/>
  <c r="R276" i="2"/>
  <c r="R274" i="2"/>
  <c r="R265" i="2"/>
  <c r="R281" i="2"/>
  <c r="R266" i="2"/>
  <c r="R270" i="2"/>
  <c r="R278" i="2"/>
  <c r="R267" i="2"/>
  <c r="R264" i="2"/>
  <c r="R272" i="2"/>
  <c r="R269" i="2"/>
  <c r="P264" i="2"/>
  <c r="P266" i="2"/>
  <c r="P268" i="2"/>
  <c r="P270" i="2"/>
  <c r="P272" i="2"/>
  <c r="P274" i="2"/>
  <c r="P276" i="2"/>
  <c r="P278" i="2"/>
  <c r="P265" i="2"/>
  <c r="P267" i="2"/>
  <c r="P269" i="2"/>
  <c r="P271" i="2"/>
  <c r="P273" i="2"/>
  <c r="P275" i="2"/>
  <c r="P277" i="2"/>
  <c r="P280" i="2"/>
  <c r="P282" i="2"/>
  <c r="P284" i="2"/>
  <c r="P286" i="2"/>
  <c r="P288" i="2"/>
  <c r="P290" i="2"/>
  <c r="P281" i="2"/>
  <c r="P283" i="2"/>
  <c r="P285" i="2"/>
  <c r="P287" i="2"/>
  <c r="P289" i="2"/>
  <c r="P291" i="2"/>
  <c r="P319" i="2"/>
  <c r="P317" i="2"/>
  <c r="P309" i="2"/>
  <c r="Q309" i="2" s="1"/>
  <c r="P320" i="2"/>
  <c r="P318" i="2"/>
  <c r="P312" i="2"/>
  <c r="K4" i="11"/>
  <c r="K17" i="11"/>
  <c r="K28" i="11"/>
  <c r="K38" i="11"/>
  <c r="L4" i="12"/>
  <c r="H17" i="12"/>
  <c r="L22" i="12"/>
  <c r="L27" i="12"/>
  <c r="L30" i="12"/>
  <c r="H35" i="12"/>
  <c r="H40" i="12"/>
  <c r="L44" i="12"/>
  <c r="L47" i="12"/>
  <c r="L52" i="12"/>
  <c r="H57" i="12"/>
  <c r="L60" i="12"/>
  <c r="M11" i="11"/>
  <c r="M18" i="11"/>
  <c r="M27" i="11"/>
  <c r="M38" i="11"/>
  <c r="N5" i="12"/>
  <c r="N12" i="12"/>
  <c r="J22" i="12"/>
  <c r="J30" i="12"/>
  <c r="J39" i="12"/>
  <c r="J48" i="12"/>
  <c r="N52" i="12"/>
  <c r="J57" i="12"/>
  <c r="J62" i="12"/>
  <c r="H64" i="12"/>
  <c r="N68" i="12"/>
  <c r="N72" i="12"/>
  <c r="J77" i="12"/>
  <c r="N81" i="12"/>
  <c r="J87" i="12"/>
  <c r="J94" i="12"/>
  <c r="J102" i="12"/>
  <c r="N107" i="12"/>
  <c r="J114" i="12"/>
  <c r="N118" i="12"/>
  <c r="N123" i="12"/>
  <c r="H65" i="12"/>
  <c r="L69" i="12"/>
  <c r="L74" i="12"/>
  <c r="L77" i="12"/>
  <c r="L84" i="12"/>
  <c r="L89" i="12"/>
  <c r="H94" i="12"/>
  <c r="H98" i="12"/>
  <c r="H102" i="12"/>
  <c r="L106" i="12"/>
  <c r="H117" i="12"/>
  <c r="L133" i="12"/>
  <c r="L138" i="12"/>
  <c r="H142" i="12"/>
  <c r="L149" i="12"/>
  <c r="H125" i="12"/>
  <c r="L118" i="12"/>
  <c r="N135" i="12"/>
  <c r="J140" i="12"/>
  <c r="N145" i="12"/>
  <c r="B5" i="5"/>
  <c r="C5" i="5"/>
  <c r="F5" i="5" s="1"/>
  <c r="A6" i="5"/>
  <c r="A7" i="5" s="1"/>
  <c r="H32" i="5"/>
  <c r="J32" i="5"/>
  <c r="G32" i="5"/>
  <c r="I32" i="5"/>
  <c r="F4" i="5"/>
  <c r="D4" i="5"/>
  <c r="B38" i="5"/>
  <c r="E38" i="5"/>
  <c r="D38" i="5" s="1"/>
  <c r="A52" i="5"/>
  <c r="A53" i="5" s="1"/>
  <c r="A54" i="5" s="1"/>
  <c r="A55" i="5" s="1"/>
  <c r="H3" i="5"/>
  <c r="J3" i="5"/>
  <c r="G3" i="5"/>
  <c r="Q157" i="2" s="1"/>
  <c r="S157" i="2" s="1"/>
  <c r="R157" i="10" s="1"/>
  <c r="I3" i="5"/>
  <c r="Q153" i="2" s="1"/>
  <c r="H31" i="5"/>
  <c r="G31" i="5"/>
  <c r="J31" i="5"/>
  <c r="I31" i="5"/>
  <c r="H28" i="5"/>
  <c r="J28" i="5"/>
  <c r="G28" i="5"/>
  <c r="I28" i="5"/>
  <c r="Q152" i="2"/>
  <c r="S152" i="2" s="1"/>
  <c r="R152" i="10" s="1"/>
  <c r="Q156" i="2"/>
  <c r="S156" i="2" s="1"/>
  <c r="R156" i="10" s="1"/>
  <c r="Q151" i="2"/>
  <c r="S151" i="2" s="1"/>
  <c r="R151" i="10" s="1"/>
  <c r="Q884" i="2"/>
  <c r="B6" i="5"/>
  <c r="C6" i="5"/>
  <c r="D6" i="5" s="1"/>
  <c r="B40" i="5" s="1"/>
  <c r="E40" i="5" s="1"/>
  <c r="Q154" i="2"/>
  <c r="T154" i="2" s="1"/>
  <c r="S154" i="10" s="1"/>
  <c r="Q155" i="2"/>
  <c r="S155" i="2" s="1"/>
  <c r="R155" i="10" s="1"/>
  <c r="F38" i="5"/>
  <c r="P585" i="10"/>
  <c r="D5" i="5"/>
  <c r="B39" i="5"/>
  <c r="E39" i="5"/>
  <c r="F39" i="5" s="1"/>
  <c r="Q882" i="2"/>
  <c r="Q883" i="2"/>
  <c r="Q880" i="2"/>
  <c r="I4" i="5"/>
  <c r="B7" i="5"/>
  <c r="C7" i="5" s="1"/>
  <c r="F7" i="5" s="1"/>
  <c r="D39" i="5"/>
  <c r="F6" i="5"/>
  <c r="I5" i="5"/>
  <c r="P570" i="10"/>
  <c r="P586" i="10"/>
  <c r="P571" i="10"/>
  <c r="P599" i="10"/>
  <c r="P579" i="10"/>
  <c r="P583" i="10"/>
  <c r="P587" i="10"/>
  <c r="P595" i="10"/>
  <c r="P572" i="10"/>
  <c r="P588" i="10"/>
  <c r="P573" i="10"/>
  <c r="P580" i="10"/>
  <c r="P589" i="10"/>
  <c r="P596" i="10"/>
  <c r="P574" i="10"/>
  <c r="P590" i="10"/>
  <c r="P575" i="10"/>
  <c r="P581" i="10"/>
  <c r="P591" i="10"/>
  <c r="P597" i="10"/>
  <c r="P576" i="10"/>
  <c r="P592" i="10"/>
  <c r="P577" i="10"/>
  <c r="P582" i="10"/>
  <c r="P593" i="10"/>
  <c r="P598" i="10"/>
  <c r="P578" i="10"/>
  <c r="P594" i="10"/>
  <c r="N193" i="2"/>
  <c r="J193" i="10" s="1"/>
  <c r="Y249" i="3" l="1"/>
  <c r="I249" i="11" s="1"/>
  <c r="N354" i="2"/>
  <c r="J354" i="10" s="1"/>
  <c r="Y67" i="3"/>
  <c r="I67" i="11" s="1"/>
  <c r="Y64" i="3"/>
  <c r="I64" i="11" s="1"/>
  <c r="Y63" i="3"/>
  <c r="I63" i="11" s="1"/>
  <c r="Y66" i="3"/>
  <c r="I66" i="11" s="1"/>
  <c r="N674" i="2"/>
  <c r="J674" i="10" s="1"/>
  <c r="Y65" i="3"/>
  <c r="I65" i="11" s="1"/>
  <c r="N673" i="2"/>
  <c r="J673" i="10" s="1"/>
  <c r="Y62" i="3"/>
  <c r="I62" i="11" s="1"/>
  <c r="N669" i="2"/>
  <c r="J669" i="10" s="1"/>
  <c r="Y61" i="3"/>
  <c r="I61" i="11" s="1"/>
  <c r="N668" i="2"/>
  <c r="J668" i="10" s="1"/>
  <c r="Y59" i="3"/>
  <c r="I59" i="11" s="1"/>
  <c r="N666" i="2"/>
  <c r="J666" i="10" s="1"/>
  <c r="AG58" i="3"/>
  <c r="F446" i="11"/>
  <c r="N350" i="2"/>
  <c r="J350" i="10" s="1"/>
  <c r="Y257" i="3"/>
  <c r="I257" i="11" s="1"/>
  <c r="N342" i="2"/>
  <c r="J342" i="10" s="1"/>
  <c r="N252" i="2"/>
  <c r="J252" i="10" s="1"/>
  <c r="N134" i="12"/>
  <c r="L42" i="12"/>
  <c r="L38" i="12"/>
  <c r="L34" i="12"/>
  <c r="H26" i="12"/>
  <c r="L21" i="12"/>
  <c r="H16" i="12"/>
  <c r="K44" i="11"/>
  <c r="O36" i="11"/>
  <c r="K25" i="11"/>
  <c r="K12" i="11"/>
  <c r="J148" i="12"/>
  <c r="N140" i="12"/>
  <c r="N137" i="12"/>
  <c r="L132" i="12"/>
  <c r="H126" i="12"/>
  <c r="H150" i="12"/>
  <c r="H147" i="12"/>
  <c r="L139" i="12"/>
  <c r="L134" i="12"/>
  <c r="H118" i="12"/>
  <c r="H107" i="12"/>
  <c r="H104" i="12"/>
  <c r="L99" i="12"/>
  <c r="L94" i="12"/>
  <c r="H90" i="12"/>
  <c r="H87" i="12"/>
  <c r="L78" i="12"/>
  <c r="H75" i="12"/>
  <c r="L70" i="12"/>
  <c r="L65" i="12"/>
  <c r="N131" i="12"/>
  <c r="J120" i="12"/>
  <c r="J116" i="12"/>
  <c r="J108" i="12"/>
  <c r="J105" i="12"/>
  <c r="J96" i="12"/>
  <c r="J88" i="12"/>
  <c r="N82" i="12"/>
  <c r="N77" i="12"/>
  <c r="N74" i="12"/>
  <c r="J70" i="12"/>
  <c r="J65" i="12"/>
  <c r="N62" i="12"/>
  <c r="N58" i="12"/>
  <c r="N53" i="12"/>
  <c r="J50" i="12"/>
  <c r="J41" i="12"/>
  <c r="J32" i="12"/>
  <c r="J24" i="12"/>
  <c r="N16" i="12"/>
  <c r="N6" i="12"/>
  <c r="M40" i="11"/>
  <c r="M30" i="11"/>
  <c r="M21" i="11"/>
  <c r="M12" i="11"/>
  <c r="M4" i="11"/>
  <c r="L57" i="12"/>
  <c r="L53" i="12"/>
  <c r="H50" i="12"/>
  <c r="H45" i="12"/>
  <c r="L40" i="12"/>
  <c r="L36" i="12"/>
  <c r="L32" i="12"/>
  <c r="H28" i="12"/>
  <c r="L23" i="12"/>
  <c r="H18" i="12"/>
  <c r="H9" i="12"/>
  <c r="K40" i="11"/>
  <c r="K31" i="11"/>
  <c r="K18" i="11"/>
  <c r="K9" i="11"/>
  <c r="J151" i="12"/>
  <c r="N142" i="12"/>
  <c r="N139" i="12"/>
  <c r="L63" i="12"/>
  <c r="H119" i="12"/>
  <c r="H148" i="12"/>
  <c r="L141" i="12"/>
  <c r="H138" i="12"/>
  <c r="L119" i="12"/>
  <c r="H116" i="12"/>
  <c r="H106" i="12"/>
  <c r="H101" i="12"/>
  <c r="L96" i="12"/>
  <c r="H93" i="12"/>
  <c r="H88" i="12"/>
  <c r="L83" i="12"/>
  <c r="H77" i="12"/>
  <c r="H72" i="12"/>
  <c r="L68" i="12"/>
  <c r="H63" i="12"/>
  <c r="N122" i="12"/>
  <c r="J118" i="12"/>
  <c r="J112" i="12"/>
  <c r="J106" i="12"/>
  <c r="J101" i="12"/>
  <c r="J93" i="12"/>
  <c r="J84" i="12"/>
  <c r="N80" i="12"/>
  <c r="N76" i="12"/>
  <c r="N71" i="12"/>
  <c r="J68" i="12"/>
  <c r="N64" i="12"/>
  <c r="N59" i="12"/>
  <c r="N56" i="12"/>
  <c r="J52" i="12"/>
  <c r="J45" i="12"/>
  <c r="J36" i="12"/>
  <c r="J29" i="12"/>
  <c r="J20" i="12"/>
  <c r="N11" i="12"/>
  <c r="N3" i="12"/>
  <c r="M33" i="11"/>
  <c r="M25" i="11"/>
  <c r="M17" i="11"/>
  <c r="M7" i="11"/>
  <c r="L59" i="12"/>
  <c r="L56" i="12"/>
  <c r="L51" i="12"/>
  <c r="H47" i="12"/>
  <c r="H30" i="12"/>
  <c r="K3" i="11"/>
  <c r="J150" i="12"/>
  <c r="J142" i="12"/>
  <c r="J138" i="12"/>
  <c r="N133" i="12"/>
  <c r="H129" i="12"/>
  <c r="H151" i="12"/>
  <c r="L147" i="12"/>
  <c r="L140" i="12"/>
  <c r="L135" i="12"/>
  <c r="L64" i="12"/>
  <c r="L108" i="12"/>
  <c r="L104" i="12"/>
  <c r="H100" i="12"/>
  <c r="H96" i="12"/>
  <c r="H92" i="12"/>
  <c r="L87" i="12"/>
  <c r="L81" i="12"/>
  <c r="L75" i="12"/>
  <c r="L71" i="12"/>
  <c r="H68" i="12"/>
  <c r="J132" i="12"/>
  <c r="N120" i="12"/>
  <c r="N117" i="12"/>
  <c r="J110" i="12"/>
  <c r="N105" i="12"/>
  <c r="J99" i="12"/>
  <c r="J89" i="12"/>
  <c r="N83" i="12"/>
  <c r="J80" i="12"/>
  <c r="J75" i="12"/>
  <c r="N70" i="12"/>
  <c r="N66" i="12"/>
  <c r="N63" i="12"/>
  <c r="J59" i="12"/>
  <c r="N54" i="12"/>
  <c r="N50" i="12"/>
  <c r="J44" i="12"/>
  <c r="J35" i="12"/>
  <c r="J26" i="12"/>
  <c r="N17" i="12"/>
  <c r="N10" i="12"/>
  <c r="M43" i="11"/>
  <c r="M31" i="11"/>
  <c r="M23" i="11"/>
  <c r="M13" i="11"/>
  <c r="M6" i="11"/>
  <c r="H59" i="12"/>
  <c r="H54" i="12"/>
  <c r="L50" i="12"/>
  <c r="L46" i="12"/>
  <c r="L41" i="12"/>
  <c r="H38" i="12"/>
  <c r="L33" i="12"/>
  <c r="L28" i="12"/>
  <c r="L24" i="12"/>
  <c r="H21" i="12"/>
  <c r="H11" i="12"/>
  <c r="K43" i="11"/>
  <c r="K35" i="11"/>
  <c r="K22" i="11"/>
  <c r="R33" i="4"/>
  <c r="N636" i="2"/>
  <c r="J636" i="10" s="1"/>
  <c r="N352" i="2"/>
  <c r="J352" i="10" s="1"/>
  <c r="N358" i="2"/>
  <c r="J358" i="10" s="1"/>
  <c r="N346" i="2"/>
  <c r="J346" i="10" s="1"/>
  <c r="N266" i="2"/>
  <c r="J266" i="10" s="1"/>
  <c r="N418" i="2"/>
  <c r="J418" i="10" s="1"/>
  <c r="N310" i="2"/>
  <c r="J310" i="10" s="1"/>
  <c r="N508" i="2"/>
  <c r="J508" i="10" s="1"/>
  <c r="Y198" i="3"/>
  <c r="I198" i="11" s="1"/>
  <c r="N311" i="2"/>
  <c r="J311" i="10" s="1"/>
  <c r="N512" i="2"/>
  <c r="J512" i="10" s="1"/>
  <c r="Y247" i="3"/>
  <c r="I247" i="11" s="1"/>
  <c r="AG196" i="3"/>
  <c r="N420" i="2"/>
  <c r="J420" i="10" s="1"/>
  <c r="N500" i="2"/>
  <c r="J500" i="10" s="1"/>
  <c r="AG90" i="3"/>
  <c r="AG308" i="3"/>
  <c r="AG200" i="3"/>
  <c r="N191" i="2"/>
  <c r="J191" i="10" s="1"/>
  <c r="AE55" i="3"/>
  <c r="AG55" i="3" s="1"/>
  <c r="AE48" i="3"/>
  <c r="AG48" i="3" s="1"/>
  <c r="AF67" i="3"/>
  <c r="AJ67" i="3" s="1"/>
  <c r="AK67" i="3" s="1"/>
  <c r="S47" i="4"/>
  <c r="Y378" i="3"/>
  <c r="I378" i="11" s="1"/>
  <c r="R94" i="4"/>
  <c r="U92" i="4"/>
  <c r="Y110" i="3"/>
  <c r="I110" i="11" s="1"/>
  <c r="N206" i="2"/>
  <c r="J206" i="10" s="1"/>
  <c r="Y369" i="3"/>
  <c r="I369" i="11" s="1"/>
  <c r="N237" i="2"/>
  <c r="J237" i="10" s="1"/>
  <c r="R18" i="4"/>
  <c r="Y121" i="3"/>
  <c r="I121" i="11" s="1"/>
  <c r="Y122" i="3"/>
  <c r="AG122" i="3" s="1"/>
  <c r="AE45" i="3"/>
  <c r="AG45" i="3" s="1"/>
  <c r="AE50" i="3"/>
  <c r="AG50" i="3" s="1"/>
  <c r="D745" i="2"/>
  <c r="T41" i="4"/>
  <c r="R100" i="4"/>
  <c r="S108" i="4"/>
  <c r="S139" i="4"/>
  <c r="U142" i="4"/>
  <c r="T116" i="4"/>
  <c r="U35" i="4"/>
  <c r="R57" i="4"/>
  <c r="U151" i="4"/>
  <c r="S12" i="4"/>
  <c r="R74" i="4"/>
  <c r="T101" i="4"/>
  <c r="R139" i="4"/>
  <c r="T56" i="4"/>
  <c r="T87" i="4"/>
  <c r="R28" i="4"/>
  <c r="U24" i="4"/>
  <c r="AE53" i="3"/>
  <c r="AG53" i="3" s="1"/>
  <c r="N588" i="2"/>
  <c r="J588" i="10" s="1"/>
  <c r="T53" i="4"/>
  <c r="R119" i="4"/>
  <c r="S145" i="4"/>
  <c r="S63" i="4"/>
  <c r="S119" i="4"/>
  <c r="T141" i="4"/>
  <c r="R114" i="4"/>
  <c r="R86" i="4"/>
  <c r="U71" i="4"/>
  <c r="U47" i="4"/>
  <c r="R30" i="4"/>
  <c r="R10" i="4"/>
  <c r="S100" i="4"/>
  <c r="S76" i="4"/>
  <c r="T51" i="4"/>
  <c r="R29" i="4"/>
  <c r="S8" i="4"/>
  <c r="T26" i="4"/>
  <c r="S30" i="4"/>
  <c r="S94" i="4"/>
  <c r="T151" i="4"/>
  <c r="S59" i="4"/>
  <c r="Y180" i="3"/>
  <c r="AG180" i="3" s="1"/>
  <c r="Y160" i="3"/>
  <c r="AG160" i="3" s="1"/>
  <c r="N208" i="2"/>
  <c r="J208" i="10" s="1"/>
  <c r="S74" i="4"/>
  <c r="R147" i="4"/>
  <c r="T123" i="4"/>
  <c r="T84" i="4"/>
  <c r="R46" i="4"/>
  <c r="T4" i="4"/>
  <c r="S68" i="4"/>
  <c r="T23" i="4"/>
  <c r="T14" i="4"/>
  <c r="S110" i="4"/>
  <c r="U8" i="4"/>
  <c r="T94" i="4"/>
  <c r="N268" i="2"/>
  <c r="J268" i="10" s="1"/>
  <c r="T126" i="4"/>
  <c r="U77" i="4"/>
  <c r="U150" i="4"/>
  <c r="T100" i="4"/>
  <c r="U63" i="4"/>
  <c r="R26" i="4"/>
  <c r="R93" i="4"/>
  <c r="S44" i="4"/>
  <c r="T42" i="4"/>
  <c r="U60" i="4"/>
  <c r="R80" i="4"/>
  <c r="D718" i="2"/>
  <c r="Y214" i="3"/>
  <c r="I214" i="11" s="1"/>
  <c r="D679" i="2"/>
  <c r="Y150" i="3"/>
  <c r="I150" i="11" s="1"/>
  <c r="R87" i="4"/>
  <c r="U131" i="4"/>
  <c r="R44" i="4"/>
  <c r="S95" i="4"/>
  <c r="R131" i="4"/>
  <c r="R126" i="4"/>
  <c r="R98" i="4"/>
  <c r="R78" i="4"/>
  <c r="R58" i="4"/>
  <c r="R42" i="4"/>
  <c r="T20" i="4"/>
  <c r="T111" i="4"/>
  <c r="R89" i="4"/>
  <c r="T63" i="4"/>
  <c r="R41" i="4"/>
  <c r="S20" i="4"/>
  <c r="R32" i="4"/>
  <c r="U5" i="4"/>
  <c r="U68" i="4"/>
  <c r="R129" i="4"/>
  <c r="R125" i="4"/>
  <c r="T144" i="4"/>
  <c r="S128" i="4"/>
  <c r="N297" i="2"/>
  <c r="J297" i="10" s="1"/>
  <c r="AF104" i="3"/>
  <c r="N605" i="2"/>
  <c r="J605" i="10" s="1"/>
  <c r="T79" i="4"/>
  <c r="N635" i="2"/>
  <c r="J635" i="10" s="1"/>
  <c r="N251" i="2"/>
  <c r="J251" i="10" s="1"/>
  <c r="S58" i="4"/>
  <c r="S106" i="4"/>
  <c r="U135" i="4"/>
  <c r="T29" i="4"/>
  <c r="R76" i="4"/>
  <c r="R108" i="4"/>
  <c r="S134" i="4"/>
  <c r="U127" i="4"/>
  <c r="T108" i="4"/>
  <c r="U87" i="4"/>
  <c r="T36" i="4"/>
  <c r="U3" i="4"/>
  <c r="R77" i="4"/>
  <c r="T35" i="4"/>
  <c r="R40" i="4"/>
  <c r="R16" i="4"/>
  <c r="T17" i="4"/>
  <c r="S135" i="4"/>
  <c r="S34" i="4"/>
  <c r="S140" i="4"/>
  <c r="AG208" i="3"/>
  <c r="F449" i="11"/>
  <c r="Y344" i="3"/>
  <c r="I344" i="11" s="1"/>
  <c r="N637" i="2"/>
  <c r="J637" i="10" s="1"/>
  <c r="I444" i="3"/>
  <c r="D711" i="2" s="1"/>
  <c r="N649" i="2"/>
  <c r="J649" i="10" s="1"/>
  <c r="Y359" i="3"/>
  <c r="AG359" i="3" s="1"/>
  <c r="F419" i="11"/>
  <c r="Y366" i="3"/>
  <c r="I366" i="11" s="1"/>
  <c r="D735" i="2"/>
  <c r="D677" i="2"/>
  <c r="N571" i="2"/>
  <c r="J571" i="10" s="1"/>
  <c r="Y379" i="3"/>
  <c r="I379" i="11" s="1"/>
  <c r="Y355" i="3"/>
  <c r="I355" i="11" s="1"/>
  <c r="U410" i="3"/>
  <c r="V410" i="3" s="1"/>
  <c r="X410" i="3" s="1"/>
  <c r="Y410" i="3" s="1"/>
  <c r="R199" i="2"/>
  <c r="P298" i="2"/>
  <c r="P236" i="2"/>
  <c r="R198" i="2"/>
  <c r="AF136" i="3"/>
  <c r="N506" i="2"/>
  <c r="J506" i="10" s="1"/>
  <c r="N510" i="2"/>
  <c r="J510" i="10" s="1"/>
  <c r="Y296" i="3"/>
  <c r="I296" i="11" s="1"/>
  <c r="I557" i="3"/>
  <c r="F557" i="11" s="1"/>
  <c r="P303" i="2"/>
  <c r="U497" i="3"/>
  <c r="W497" i="3" s="1"/>
  <c r="V497" i="3" s="1"/>
  <c r="D801" i="2"/>
  <c r="U501" i="3"/>
  <c r="W501" i="3" s="1"/>
  <c r="V501" i="3" s="1"/>
  <c r="X501" i="3" s="1"/>
  <c r="Y501" i="3" s="1"/>
  <c r="AG501" i="3" s="1"/>
  <c r="R245" i="2"/>
  <c r="F424" i="11"/>
  <c r="D691" i="2"/>
  <c r="D797" i="2"/>
  <c r="P300" i="2"/>
  <c r="P248" i="2"/>
  <c r="R191" i="2"/>
  <c r="R200" i="2"/>
  <c r="P294" i="2"/>
  <c r="R204" i="2"/>
  <c r="I493" i="3"/>
  <c r="F493" i="11" s="1"/>
  <c r="AG252" i="3"/>
  <c r="AF236" i="3"/>
  <c r="AG211" i="3"/>
  <c r="AG197" i="3"/>
  <c r="AF135" i="3"/>
  <c r="AF116" i="3"/>
  <c r="AF96" i="3"/>
  <c r="AF95" i="3"/>
  <c r="AE38" i="3"/>
  <c r="AG38" i="3" s="1"/>
  <c r="AE33" i="3"/>
  <c r="AG33" i="3" s="1"/>
  <c r="K6" i="11"/>
  <c r="AF62" i="3"/>
  <c r="D780" i="2"/>
  <c r="F547" i="11"/>
  <c r="D743" i="2"/>
  <c r="D784" i="2"/>
  <c r="I526" i="3"/>
  <c r="F526" i="11" s="1"/>
  <c r="D739" i="2"/>
  <c r="P241" i="2"/>
  <c r="U472" i="3"/>
  <c r="W472" i="3" s="1"/>
  <c r="V472" i="3" s="1"/>
  <c r="X472" i="3" s="1"/>
  <c r="Y472" i="3" s="1"/>
  <c r="R201" i="2"/>
  <c r="D828" i="2"/>
  <c r="U552" i="3"/>
  <c r="V552" i="3" s="1"/>
  <c r="X552" i="3" s="1"/>
  <c r="Y552" i="3" s="1"/>
  <c r="D833" i="2"/>
  <c r="D706" i="2"/>
  <c r="N653" i="2"/>
  <c r="J653" i="10" s="1"/>
  <c r="R190" i="2"/>
  <c r="R217" i="2"/>
  <c r="U528" i="3"/>
  <c r="W528" i="3" s="1"/>
  <c r="V528" i="3" s="1"/>
  <c r="X528" i="3" s="1"/>
  <c r="N552" i="2" s="1"/>
  <c r="J552" i="10" s="1"/>
  <c r="N347" i="2"/>
  <c r="J347" i="10" s="1"/>
  <c r="U499" i="3"/>
  <c r="W499" i="3" s="1"/>
  <c r="V499" i="3" s="1"/>
  <c r="X499" i="3" s="1"/>
  <c r="N473" i="2" s="1"/>
  <c r="J473" i="10" s="1"/>
  <c r="W341" i="2"/>
  <c r="O341" i="10" s="1"/>
  <c r="T62" i="4"/>
  <c r="Y293" i="3"/>
  <c r="I293" i="11" s="1"/>
  <c r="I520" i="3"/>
  <c r="D787" i="2" s="1"/>
  <c r="U520" i="3"/>
  <c r="W520" i="3" s="1"/>
  <c r="V520" i="3" s="1"/>
  <c r="X520" i="3" s="1"/>
  <c r="N787" i="2" s="1"/>
  <c r="J787" i="10" s="1"/>
  <c r="R19" i="4"/>
  <c r="T73" i="4"/>
  <c r="N361" i="2"/>
  <c r="J361" i="10" s="1"/>
  <c r="N427" i="2"/>
  <c r="J427" i="10" s="1"/>
  <c r="F554" i="11"/>
  <c r="D749" i="2"/>
  <c r="U524" i="3"/>
  <c r="W524" i="3" s="1"/>
  <c r="V524" i="3" s="1"/>
  <c r="X524" i="3" s="1"/>
  <c r="U474" i="3"/>
  <c r="W474" i="3" s="1"/>
  <c r="V474" i="3" s="1"/>
  <c r="X474" i="3" s="1"/>
  <c r="N398" i="2" s="1"/>
  <c r="J398" i="10" s="1"/>
  <c r="H120" i="12"/>
  <c r="J147" i="12"/>
  <c r="N141" i="12"/>
  <c r="N138" i="12"/>
  <c r="J135" i="12"/>
  <c r="L123" i="12"/>
  <c r="H127" i="12"/>
  <c r="L151" i="12"/>
  <c r="H149" i="12"/>
  <c r="L142" i="12"/>
  <c r="H140" i="12"/>
  <c r="L137" i="12"/>
  <c r="L122" i="12"/>
  <c r="L117" i="12"/>
  <c r="H108" i="12"/>
  <c r="H105" i="12"/>
  <c r="L101" i="12"/>
  <c r="H99" i="12"/>
  <c r="H95" i="12"/>
  <c r="L92" i="12"/>
  <c r="H89" i="12"/>
  <c r="H86" i="12"/>
  <c r="L80" i="12"/>
  <c r="L76" i="12"/>
  <c r="L72" i="12"/>
  <c r="H70" i="12"/>
  <c r="L66" i="12"/>
  <c r="N132" i="12"/>
  <c r="J123" i="12"/>
  <c r="N119" i="12"/>
  <c r="N116" i="12"/>
  <c r="J111" i="12"/>
  <c r="J107" i="12"/>
  <c r="J104" i="12"/>
  <c r="J98" i="12"/>
  <c r="J92" i="12"/>
  <c r="N84" i="12"/>
  <c r="J82" i="12"/>
  <c r="N78" i="12"/>
  <c r="N75" i="12"/>
  <c r="J72" i="12"/>
  <c r="N69" i="12"/>
  <c r="N65" i="12"/>
  <c r="J64" i="12"/>
  <c r="N60" i="12"/>
  <c r="N57" i="12"/>
  <c r="J54" i="12"/>
  <c r="N51" i="12"/>
  <c r="J46" i="12"/>
  <c r="J40" i="12"/>
  <c r="J34" i="12"/>
  <c r="J27" i="12"/>
  <c r="J21" i="12"/>
  <c r="N15" i="12"/>
  <c r="N8" i="12"/>
  <c r="N2" i="12"/>
  <c r="M36" i="11"/>
  <c r="M28" i="11"/>
  <c r="M22" i="11"/>
  <c r="M16" i="11"/>
  <c r="M9" i="11"/>
  <c r="M3" i="11"/>
  <c r="L58" i="12"/>
  <c r="L54" i="12"/>
  <c r="H52" i="12"/>
  <c r="L48" i="12"/>
  <c r="L45" i="12"/>
  <c r="H42" i="12"/>
  <c r="L39" i="12"/>
  <c r="L35" i="12"/>
  <c r="H33" i="12"/>
  <c r="L29" i="12"/>
  <c r="L26" i="12"/>
  <c r="H23" i="12"/>
  <c r="L20" i="12"/>
  <c r="H12" i="12"/>
  <c r="L3" i="12"/>
  <c r="O39" i="11"/>
  <c r="K33" i="11"/>
  <c r="K23" i="11"/>
  <c r="K16" i="11"/>
  <c r="U28" i="4"/>
  <c r="S66" i="4"/>
  <c r="S98" i="4"/>
  <c r="S123" i="4"/>
  <c r="S137" i="4"/>
  <c r="R23" i="4"/>
  <c r="R60" i="4"/>
  <c r="U85" i="4"/>
  <c r="R116" i="4"/>
  <c r="T133" i="4"/>
  <c r="T145" i="4"/>
  <c r="U119" i="4"/>
  <c r="R106" i="4"/>
  <c r="T92" i="4"/>
  <c r="U79" i="4"/>
  <c r="R66" i="4"/>
  <c r="T52" i="4"/>
  <c r="U39" i="4"/>
  <c r="T28" i="4"/>
  <c r="R14" i="4"/>
  <c r="R113" i="4"/>
  <c r="T99" i="4"/>
  <c r="S84" i="4"/>
  <c r="T71" i="4"/>
  <c r="S52" i="4"/>
  <c r="S40" i="4"/>
  <c r="R25" i="4"/>
  <c r="R9" i="4"/>
  <c r="T34" i="4"/>
  <c r="R20" i="4"/>
  <c r="T2" i="4"/>
  <c r="S46" i="4"/>
  <c r="T89" i="4"/>
  <c r="U116" i="4"/>
  <c r="S142" i="4"/>
  <c r="T102" i="4"/>
  <c r="S126" i="4"/>
  <c r="R112" i="4"/>
  <c r="Y258" i="3"/>
  <c r="AG258" i="3" s="1"/>
  <c r="N433" i="2"/>
  <c r="J433" i="10" s="1"/>
  <c r="X77" i="3"/>
  <c r="Y77" i="3" s="1"/>
  <c r="AG77" i="3" s="1"/>
  <c r="N180" i="2"/>
  <c r="J180" i="10" s="1"/>
  <c r="S107" i="4"/>
  <c r="R123" i="4"/>
  <c r="R15" i="4"/>
  <c r="S91" i="4"/>
  <c r="T139" i="4"/>
  <c r="T70" i="4"/>
  <c r="T147" i="4"/>
  <c r="U137" i="4"/>
  <c r="T119" i="4"/>
  <c r="S102" i="4"/>
  <c r="T81" i="4"/>
  <c r="S62" i="4"/>
  <c r="T33" i="4"/>
  <c r="U9" i="4"/>
  <c r="U21" i="4"/>
  <c r="U29" i="4"/>
  <c r="T38" i="4"/>
  <c r="S4" i="4"/>
  <c r="T15" i="4"/>
  <c r="S24" i="4"/>
  <c r="T31" i="4"/>
  <c r="T39" i="4"/>
  <c r="R45" i="4"/>
  <c r="S56" i="4"/>
  <c r="R65" i="4"/>
  <c r="R73" i="4"/>
  <c r="R81" i="4"/>
  <c r="S88" i="4"/>
  <c r="T95" i="4"/>
  <c r="R105" i="4"/>
  <c r="S116" i="4"/>
  <c r="T8" i="4"/>
  <c r="U15" i="4"/>
  <c r="T24" i="4"/>
  <c r="U31" i="4"/>
  <c r="R38" i="4"/>
  <c r="T44" i="4"/>
  <c r="U51" i="4"/>
  <c r="T60" i="4"/>
  <c r="T68" i="4"/>
  <c r="T76" i="4"/>
  <c r="U83" i="4"/>
  <c r="T88" i="4"/>
  <c r="U95" i="4"/>
  <c r="T104" i="4"/>
  <c r="U111" i="4"/>
  <c r="T120" i="4"/>
  <c r="S151" i="4"/>
  <c r="T143" i="4"/>
  <c r="R135" i="4"/>
  <c r="U126" i="4"/>
  <c r="U117" i="4"/>
  <c r="U101" i="4"/>
  <c r="S87" i="4"/>
  <c r="U69" i="4"/>
  <c r="U53" i="4"/>
  <c r="U32" i="4"/>
  <c r="T148" i="4"/>
  <c r="S141" i="4"/>
  <c r="R134" i="4"/>
  <c r="T125" i="4"/>
  <c r="R111" i="4"/>
  <c r="R95" i="4"/>
  <c r="T77" i="4"/>
  <c r="R63" i="4"/>
  <c r="T45" i="4"/>
  <c r="T9" i="4"/>
  <c r="T135" i="4"/>
  <c r="S43" i="4"/>
  <c r="T131" i="4"/>
  <c r="T46" i="4"/>
  <c r="S83" i="4"/>
  <c r="U145" i="4"/>
  <c r="S131" i="4"/>
  <c r="T105" i="4"/>
  <c r="S78" i="4"/>
  <c r="U52" i="4"/>
  <c r="U4" i="4"/>
  <c r="R8" i="4"/>
  <c r="R24" i="4"/>
  <c r="U33" i="4"/>
  <c r="T3" i="4"/>
  <c r="R17" i="4"/>
  <c r="S28" i="4"/>
  <c r="S36" i="4"/>
  <c r="T47" i="4"/>
  <c r="S60" i="4"/>
  <c r="S72" i="4"/>
  <c r="T83" i="4"/>
  <c r="S92" i="4"/>
  <c r="S104" i="4"/>
  <c r="R2" i="4"/>
  <c r="T12" i="4"/>
  <c r="U23" i="4"/>
  <c r="R34" i="4"/>
  <c r="T40" i="4"/>
  <c r="R50" i="4"/>
  <c r="R62" i="4"/>
  <c r="T72" i="4"/>
  <c r="R82" i="4"/>
  <c r="R90" i="4"/>
  <c r="U99" i="4"/>
  <c r="R110" i="4"/>
  <c r="R122" i="4"/>
  <c r="S147" i="4"/>
  <c r="S138" i="4"/>
  <c r="U125" i="4"/>
  <c r="S111" i="4"/>
  <c r="R92" i="4"/>
  <c r="R68" i="4"/>
  <c r="U45" i="4"/>
  <c r="R151" i="4"/>
  <c r="U139" i="4"/>
  <c r="U129" i="4"/>
  <c r="T117" i="4"/>
  <c r="S90" i="4"/>
  <c r="T69" i="4"/>
  <c r="R47" i="4"/>
  <c r="R3" i="4"/>
  <c r="K5" i="11"/>
  <c r="K10" i="11"/>
  <c r="K15" i="11"/>
  <c r="K19" i="11"/>
  <c r="K24" i="11"/>
  <c r="K30" i="11"/>
  <c r="O34" i="11"/>
  <c r="O38" i="11"/>
  <c r="O40" i="11"/>
  <c r="L2" i="12"/>
  <c r="H8" i="12"/>
  <c r="H14" i="12"/>
  <c r="K7" i="11"/>
  <c r="K13" i="11"/>
  <c r="K21" i="11"/>
  <c r="K27" i="11"/>
  <c r="K34" i="11"/>
  <c r="K39" i="11"/>
  <c r="O43" i="11"/>
  <c r="L6" i="12"/>
  <c r="H15" i="12"/>
  <c r="H20" i="12"/>
  <c r="H22" i="12"/>
  <c r="H24" i="12"/>
  <c r="H27" i="12"/>
  <c r="H29" i="12"/>
  <c r="H32" i="12"/>
  <c r="H34" i="12"/>
  <c r="H36" i="12"/>
  <c r="H39" i="12"/>
  <c r="H41" i="12"/>
  <c r="H44" i="12"/>
  <c r="H46" i="12"/>
  <c r="H48" i="12"/>
  <c r="H51" i="12"/>
  <c r="H53" i="12"/>
  <c r="H56" i="12"/>
  <c r="H58" i="12"/>
  <c r="H60" i="12"/>
  <c r="M5" i="11"/>
  <c r="M10" i="11"/>
  <c r="M15" i="11"/>
  <c r="M19" i="11"/>
  <c r="M24" i="11"/>
  <c r="M29" i="11"/>
  <c r="M35" i="11"/>
  <c r="M41" i="11"/>
  <c r="N4" i="12"/>
  <c r="N9" i="12"/>
  <c r="N14" i="12"/>
  <c r="N18" i="12"/>
  <c r="J23" i="12"/>
  <c r="J28" i="12"/>
  <c r="J33" i="12"/>
  <c r="J38" i="12"/>
  <c r="J42" i="12"/>
  <c r="J47" i="12"/>
  <c r="J51" i="12"/>
  <c r="J53" i="12"/>
  <c r="J56" i="12"/>
  <c r="J58" i="12"/>
  <c r="J60" i="12"/>
  <c r="J63" i="12"/>
  <c r="H62" i="12"/>
  <c r="J66" i="12"/>
  <c r="J69" i="12"/>
  <c r="J71" i="12"/>
  <c r="J74" i="12"/>
  <c r="J76" i="12"/>
  <c r="J78" i="12"/>
  <c r="J81" i="12"/>
  <c r="J83" i="12"/>
  <c r="J86" i="12"/>
  <c r="J90" i="12"/>
  <c r="J95" i="12"/>
  <c r="J100" i="12"/>
  <c r="N104" i="12"/>
  <c r="N106" i="12"/>
  <c r="N108" i="12"/>
  <c r="J113" i="12"/>
  <c r="J117" i="12"/>
  <c r="J119" i="12"/>
  <c r="J122" i="12"/>
  <c r="J131" i="12"/>
  <c r="J133" i="12"/>
  <c r="H66" i="12"/>
  <c r="H69" i="12"/>
  <c r="H71" i="12"/>
  <c r="H74" i="12"/>
  <c r="H76" i="12"/>
  <c r="H78" i="12"/>
  <c r="L82" i="12"/>
  <c r="L86" i="12"/>
  <c r="L88" i="12"/>
  <c r="L90" i="12"/>
  <c r="L93" i="12"/>
  <c r="L95" i="12"/>
  <c r="L98" i="12"/>
  <c r="L100" i="12"/>
  <c r="L102" i="12"/>
  <c r="L105" i="12"/>
  <c r="L107" i="12"/>
  <c r="L116" i="12"/>
  <c r="L62" i="12"/>
  <c r="L131" i="12"/>
  <c r="H137" i="12"/>
  <c r="H139" i="12"/>
  <c r="H141" i="12"/>
  <c r="H143" i="12"/>
  <c r="L148" i="12"/>
  <c r="L150" i="12"/>
  <c r="H122" i="12"/>
  <c r="H128" i="12"/>
  <c r="L120" i="12"/>
  <c r="J134" i="12"/>
  <c r="J137" i="12"/>
  <c r="J139" i="12"/>
  <c r="J141" i="12"/>
  <c r="N143" i="12"/>
  <c r="J149" i="12"/>
  <c r="H123" i="12"/>
  <c r="N435" i="2"/>
  <c r="J435" i="10" s="1"/>
  <c r="Y260" i="3"/>
  <c r="I260" i="11" s="1"/>
  <c r="P216" i="2"/>
  <c r="P210" i="2"/>
  <c r="P211" i="2"/>
  <c r="F495" i="11"/>
  <c r="D762" i="2"/>
  <c r="I461" i="3"/>
  <c r="U461" i="3"/>
  <c r="V461" i="3" s="1"/>
  <c r="X461" i="3" s="1"/>
  <c r="N335" i="2" s="1"/>
  <c r="J335" i="10" s="1"/>
  <c r="F436" i="11"/>
  <c r="D703" i="2"/>
  <c r="N267" i="2"/>
  <c r="J267" i="10" s="1"/>
  <c r="Y242" i="3"/>
  <c r="I242" i="11" s="1"/>
  <c r="T85" i="4"/>
  <c r="S67" i="4"/>
  <c r="Y301" i="3"/>
  <c r="I301" i="11" s="1"/>
  <c r="F464" i="11"/>
  <c r="D726" i="2"/>
  <c r="D756" i="2"/>
  <c r="R257" i="2"/>
  <c r="P208" i="2"/>
  <c r="U564" i="3"/>
  <c r="V564" i="3" s="1"/>
  <c r="X564" i="3" s="1"/>
  <c r="Y564" i="3" s="1"/>
  <c r="I564" i="11" s="1"/>
  <c r="R246" i="2"/>
  <c r="P213" i="2"/>
  <c r="P212" i="2"/>
  <c r="W420" i="2"/>
  <c r="O420" i="10" s="1"/>
  <c r="P214" i="2"/>
  <c r="T155" i="2"/>
  <c r="S155" i="10" s="1"/>
  <c r="R253" i="2"/>
  <c r="R256" i="2"/>
  <c r="K29" i="11"/>
  <c r="U421" i="3"/>
  <c r="V421" i="3" s="1"/>
  <c r="X421" i="3" s="1"/>
  <c r="I421" i="3"/>
  <c r="F421" i="11" s="1"/>
  <c r="Y305" i="3"/>
  <c r="I305" i="11" s="1"/>
  <c r="N497" i="2"/>
  <c r="J497" i="10" s="1"/>
  <c r="W344" i="2"/>
  <c r="O344" i="10" s="1"/>
  <c r="S55" i="4"/>
  <c r="U109" i="4"/>
  <c r="T67" i="4"/>
  <c r="T49" i="4"/>
  <c r="N349" i="2"/>
  <c r="J349" i="10" s="1"/>
  <c r="Y295" i="3"/>
  <c r="I295" i="11" s="1"/>
  <c r="N421" i="2"/>
  <c r="J421" i="10" s="1"/>
  <c r="Y311" i="3"/>
  <c r="I311" i="11" s="1"/>
  <c r="N437" i="2"/>
  <c r="J437" i="10" s="1"/>
  <c r="Y213" i="3"/>
  <c r="AG213" i="3" s="1"/>
  <c r="S154" i="2"/>
  <c r="R154" i="10" s="1"/>
  <c r="W345" i="2"/>
  <c r="O345" i="10" s="1"/>
  <c r="R121" i="4"/>
  <c r="S79" i="4"/>
  <c r="T121" i="4"/>
  <c r="U55" i="4"/>
  <c r="AG264" i="3"/>
  <c r="N327" i="2"/>
  <c r="J327" i="10" s="1"/>
  <c r="T156" i="2"/>
  <c r="S156" i="10" s="1"/>
  <c r="W342" i="2"/>
  <c r="O342" i="10" s="1"/>
  <c r="U12" i="4"/>
  <c r="R35" i="4"/>
  <c r="S50" i="4"/>
  <c r="T61" i="4"/>
  <c r="R71" i="4"/>
  <c r="S82" i="4"/>
  <c r="T93" i="4"/>
  <c r="R103" i="4"/>
  <c r="S114" i="4"/>
  <c r="S122" i="4"/>
  <c r="T127" i="4"/>
  <c r="S133" i="4"/>
  <c r="R138" i="4"/>
  <c r="S143" i="4"/>
  <c r="T150" i="4"/>
  <c r="U16" i="4"/>
  <c r="R39" i="4"/>
  <c r="R52" i="4"/>
  <c r="U61" i="4"/>
  <c r="S71" i="4"/>
  <c r="R84" i="4"/>
  <c r="U93" i="4"/>
  <c r="S103" i="4"/>
  <c r="T122" i="4"/>
  <c r="T137" i="4"/>
  <c r="R142" i="4"/>
  <c r="U148" i="4"/>
  <c r="T128" i="4"/>
  <c r="U123" i="4"/>
  <c r="R118" i="4"/>
  <c r="T112" i="4"/>
  <c r="U107" i="4"/>
  <c r="R102" i="4"/>
  <c r="T96" i="4"/>
  <c r="U91" i="4"/>
  <c r="T80" i="4"/>
  <c r="U75" i="4"/>
  <c r="R70" i="4"/>
  <c r="T64" i="4"/>
  <c r="U59" i="4"/>
  <c r="R54" i="4"/>
  <c r="T48" i="4"/>
  <c r="U43" i="4"/>
  <c r="T32" i="4"/>
  <c r="U27" i="4"/>
  <c r="R22" i="4"/>
  <c r="T16" i="4"/>
  <c r="U11" i="4"/>
  <c r="R6" i="4"/>
  <c r="R117" i="4"/>
  <c r="S112" i="4"/>
  <c r="T107" i="4"/>
  <c r="R101" i="4"/>
  <c r="S96" i="4"/>
  <c r="T91" i="4"/>
  <c r="R85" i="4"/>
  <c r="S80" i="4"/>
  <c r="T75" i="4"/>
  <c r="R69" i="4"/>
  <c r="S64" i="4"/>
  <c r="T59" i="4"/>
  <c r="R53" i="4"/>
  <c r="S48" i="4"/>
  <c r="T43" i="4"/>
  <c r="R37" i="4"/>
  <c r="S32" i="4"/>
  <c r="T27" i="4"/>
  <c r="R21" i="4"/>
  <c r="S16" i="4"/>
  <c r="T11" i="4"/>
  <c r="R5" i="4"/>
  <c r="U41" i="4"/>
  <c r="R36" i="4"/>
  <c r="T30" i="4"/>
  <c r="U25" i="4"/>
  <c r="T18" i="4"/>
  <c r="T10" i="4"/>
  <c r="R4" i="4"/>
  <c r="S14" i="4"/>
  <c r="U36" i="4"/>
  <c r="T57" i="4"/>
  <c r="S70" i="4"/>
  <c r="U84" i="4"/>
  <c r="U100" i="4"/>
  <c r="T113" i="4"/>
  <c r="U122" i="4"/>
  <c r="T134" i="4"/>
  <c r="U141" i="4"/>
  <c r="R148" i="4"/>
  <c r="U57" i="4"/>
  <c r="S115" i="4"/>
  <c r="S148" i="4"/>
  <c r="T78" i="4"/>
  <c r="T130" i="4"/>
  <c r="U40" i="4"/>
  <c r="U105" i="4"/>
  <c r="R141" i="4"/>
  <c r="T5" i="4"/>
  <c r="U81" i="4"/>
  <c r="S132" i="4"/>
  <c r="P227" i="2"/>
  <c r="N186" i="2"/>
  <c r="J186" i="10" s="1"/>
  <c r="X83" i="3"/>
  <c r="Y83" i="3" s="1"/>
  <c r="I83" i="11" s="1"/>
  <c r="B5" i="11"/>
  <c r="U138" i="4"/>
  <c r="R124" i="4"/>
  <c r="R88" i="4"/>
  <c r="R56" i="4"/>
  <c r="S18" i="4"/>
  <c r="U149" i="4"/>
  <c r="U134" i="4"/>
  <c r="T118" i="4"/>
  <c r="T86" i="4"/>
  <c r="T54" i="4"/>
  <c r="S2" i="4"/>
  <c r="R137" i="4"/>
  <c r="R104" i="4"/>
  <c r="R72" i="4"/>
  <c r="T37" i="4"/>
  <c r="R145" i="4"/>
  <c r="T129" i="4"/>
  <c r="R96" i="4"/>
  <c r="R64" i="4"/>
  <c r="T21" i="4"/>
  <c r="T149" i="4"/>
  <c r="S144" i="4"/>
  <c r="R140" i="4"/>
  <c r="R136" i="4"/>
  <c r="R132" i="4"/>
  <c r="R128" i="4"/>
  <c r="U120" i="4"/>
  <c r="R115" i="4"/>
  <c r="R107" i="4"/>
  <c r="R99" i="4"/>
  <c r="R91" i="4"/>
  <c r="R83" i="4"/>
  <c r="R75" i="4"/>
  <c r="R67" i="4"/>
  <c r="R59" i="4"/>
  <c r="R51" i="4"/>
  <c r="R43" i="4"/>
  <c r="R27" i="4"/>
  <c r="R11" i="4"/>
  <c r="S3" i="4"/>
  <c r="S7" i="4"/>
  <c r="S11" i="4"/>
  <c r="S15" i="4"/>
  <c r="S19" i="4"/>
  <c r="S23" i="4"/>
  <c r="R143" i="4"/>
  <c r="U113" i="4"/>
  <c r="S75" i="4"/>
  <c r="R31" i="4"/>
  <c r="U147" i="4"/>
  <c r="S127" i="4"/>
  <c r="S99" i="4"/>
  <c r="R48" i="4"/>
  <c r="T142" i="4"/>
  <c r="T110" i="4"/>
  <c r="U65" i="4"/>
  <c r="S150" i="4"/>
  <c r="R133" i="4"/>
  <c r="U89" i="4"/>
  <c r="S51" i="4"/>
  <c r="R150" i="4"/>
  <c r="U143" i="4"/>
  <c r="T138" i="4"/>
  <c r="U133" i="4"/>
  <c r="R127" i="4"/>
  <c r="S118" i="4"/>
  <c r="U108" i="4"/>
  <c r="T97" i="4"/>
  <c r="S86" i="4"/>
  <c r="U76" i="4"/>
  <c r="T65" i="4"/>
  <c r="S54" i="4"/>
  <c r="U44" i="4"/>
  <c r="U20" i="4"/>
  <c r="T6" i="4"/>
  <c r="R12" i="4"/>
  <c r="U17" i="4"/>
  <c r="T22" i="4"/>
  <c r="S27" i="4"/>
  <c r="S31" i="4"/>
  <c r="S35" i="4"/>
  <c r="S39" i="4"/>
  <c r="U2" i="4"/>
  <c r="U6" i="4"/>
  <c r="U10" i="4"/>
  <c r="U14" i="4"/>
  <c r="U18" i="4"/>
  <c r="U22" i="4"/>
  <c r="U26" i="4"/>
  <c r="U30" i="4"/>
  <c r="U34" i="4"/>
  <c r="U38" i="4"/>
  <c r="U42" i="4"/>
  <c r="U46" i="4"/>
  <c r="U50" i="4"/>
  <c r="U54" i="4"/>
  <c r="U58" i="4"/>
  <c r="U62" i="4"/>
  <c r="U66" i="4"/>
  <c r="U70" i="4"/>
  <c r="U74" i="4"/>
  <c r="U78" i="4"/>
  <c r="U82" i="4"/>
  <c r="U86" i="4"/>
  <c r="U90" i="4"/>
  <c r="U94" i="4"/>
  <c r="U98" i="4"/>
  <c r="U102" i="4"/>
  <c r="U106" i="4"/>
  <c r="U110" i="4"/>
  <c r="U114" i="4"/>
  <c r="U118" i="4"/>
  <c r="S5" i="4"/>
  <c r="S9" i="4"/>
  <c r="S13" i="4"/>
  <c r="S17" i="4"/>
  <c r="S21" i="4"/>
  <c r="S25" i="4"/>
  <c r="S29" i="4"/>
  <c r="S33" i="4"/>
  <c r="S37" i="4"/>
  <c r="S41" i="4"/>
  <c r="S45" i="4"/>
  <c r="S49" i="4"/>
  <c r="S53" i="4"/>
  <c r="S57" i="4"/>
  <c r="S61" i="4"/>
  <c r="S65" i="4"/>
  <c r="S69" i="4"/>
  <c r="S73" i="4"/>
  <c r="S77" i="4"/>
  <c r="S81" i="4"/>
  <c r="S85" i="4"/>
  <c r="S89" i="4"/>
  <c r="S93" i="4"/>
  <c r="S97" i="4"/>
  <c r="S101" i="4"/>
  <c r="S105" i="4"/>
  <c r="S109" i="4"/>
  <c r="S113" i="4"/>
  <c r="S117" i="4"/>
  <c r="S121" i="4"/>
  <c r="S125" i="4"/>
  <c r="S129" i="4"/>
  <c r="S149" i="4"/>
  <c r="R144" i="4"/>
  <c r="U140" i="4"/>
  <c r="U136" i="4"/>
  <c r="U132" i="4"/>
  <c r="U124" i="4"/>
  <c r="S120" i="4"/>
  <c r="T114" i="4"/>
  <c r="T106" i="4"/>
  <c r="T98" i="4"/>
  <c r="T90" i="4"/>
  <c r="T82" i="4"/>
  <c r="T74" i="4"/>
  <c r="T66" i="4"/>
  <c r="T58" i="4"/>
  <c r="T50" i="4"/>
  <c r="S42" i="4"/>
  <c r="S26" i="4"/>
  <c r="S10" i="4"/>
  <c r="R149" i="4"/>
  <c r="U144" i="4"/>
  <c r="T140" i="4"/>
  <c r="T136" i="4"/>
  <c r="T132" i="4"/>
  <c r="U128" i="4"/>
  <c r="S124" i="4"/>
  <c r="R120" i="4"/>
  <c r="U112" i="4"/>
  <c r="U104" i="4"/>
  <c r="U96" i="4"/>
  <c r="U88" i="4"/>
  <c r="U80" i="4"/>
  <c r="U72" i="4"/>
  <c r="U64" i="4"/>
  <c r="U56" i="4"/>
  <c r="U48" i="4"/>
  <c r="S38" i="4"/>
  <c r="S22" i="4"/>
  <c r="S6" i="4"/>
  <c r="O44" i="11"/>
  <c r="O41" i="11"/>
  <c r="O35" i="11"/>
  <c r="O33" i="11"/>
  <c r="I450" i="3"/>
  <c r="F450" i="11" s="1"/>
  <c r="U450" i="3"/>
  <c r="V450" i="3" s="1"/>
  <c r="X450" i="3" s="1"/>
  <c r="Y450" i="3" s="1"/>
  <c r="I450" i="11" s="1"/>
  <c r="T25" i="4"/>
  <c r="R55" i="4"/>
  <c r="T109" i="4"/>
  <c r="R7" i="4"/>
  <c r="U115" i="4"/>
  <c r="U67" i="4"/>
  <c r="T115" i="4"/>
  <c r="R61" i="4"/>
  <c r="R13" i="4"/>
  <c r="N503" i="2"/>
  <c r="J503" i="10" s="1"/>
  <c r="P257" i="2"/>
  <c r="P255" i="2"/>
  <c r="P256" i="2"/>
  <c r="R209" i="2"/>
  <c r="R210" i="2"/>
  <c r="R884" i="2"/>
  <c r="U130" i="4"/>
  <c r="U19" i="4"/>
  <c r="R109" i="4"/>
  <c r="T19" i="4"/>
  <c r="S130" i="4"/>
  <c r="S136" i="4"/>
  <c r="U97" i="4"/>
  <c r="U73" i="4"/>
  <c r="U49" i="4"/>
  <c r="R79" i="4"/>
  <c r="T13" i="4"/>
  <c r="R130" i="4"/>
  <c r="T124" i="4"/>
  <c r="U103" i="4"/>
  <c r="U7" i="4"/>
  <c r="T103" i="4"/>
  <c r="R97" i="4"/>
  <c r="T55" i="4"/>
  <c r="R49" i="4"/>
  <c r="T7" i="4"/>
  <c r="U37" i="4"/>
  <c r="U13" i="4"/>
  <c r="U121" i="4"/>
  <c r="U455" i="3"/>
  <c r="V455" i="3" s="1"/>
  <c r="X455" i="3" s="1"/>
  <c r="N722" i="2" s="1"/>
  <c r="J722" i="10" s="1"/>
  <c r="P228" i="2"/>
  <c r="R243" i="2"/>
  <c r="R237" i="2"/>
  <c r="R235" i="2"/>
  <c r="R238" i="2"/>
  <c r="H10" i="12"/>
  <c r="L5" i="12"/>
  <c r="I519" i="3"/>
  <c r="F519" i="11" s="1"/>
  <c r="I494" i="3"/>
  <c r="F494" i="11" s="1"/>
  <c r="P203" i="2"/>
  <c r="W493" i="2"/>
  <c r="O493" i="10" s="1"/>
  <c r="R258" i="2"/>
  <c r="R254" i="2"/>
  <c r="R252" i="2"/>
  <c r="R259" i="2"/>
  <c r="R221" i="2"/>
  <c r="R223" i="2"/>
  <c r="R228" i="2"/>
  <c r="U527" i="3"/>
  <c r="W527" i="3" s="1"/>
  <c r="V527" i="3" s="1"/>
  <c r="X527" i="3" s="1"/>
  <c r="R251" i="2"/>
  <c r="R229" i="2"/>
  <c r="P301" i="2"/>
  <c r="P306" i="2"/>
  <c r="P243" i="2"/>
  <c r="P239" i="2"/>
  <c r="P244" i="2"/>
  <c r="P231" i="2"/>
  <c r="P220" i="2"/>
  <c r="W497" i="2"/>
  <c r="O497" i="10" s="1"/>
  <c r="W494" i="2"/>
  <c r="O494" i="10" s="1"/>
  <c r="F416" i="11"/>
  <c r="D683" i="2"/>
  <c r="P195" i="2"/>
  <c r="R261" i="2"/>
  <c r="P194" i="2"/>
  <c r="P207" i="2"/>
  <c r="P215" i="2"/>
  <c r="P206" i="2"/>
  <c r="P217" i="2"/>
  <c r="P209" i="2"/>
  <c r="P202" i="2"/>
  <c r="N423" i="2"/>
  <c r="J423" i="10" s="1"/>
  <c r="N439" i="2"/>
  <c r="J439" i="10" s="1"/>
  <c r="AE43" i="3"/>
  <c r="AG43" i="3" s="1"/>
  <c r="P190" i="2"/>
  <c r="Q190" i="2" s="1"/>
  <c r="P232" i="2"/>
  <c r="P224" i="2"/>
  <c r="P223" i="2"/>
  <c r="F455" i="11"/>
  <c r="T152" i="2"/>
  <c r="S152" i="10" s="1"/>
  <c r="T151" i="2"/>
  <c r="S151" i="10" s="1"/>
  <c r="P193" i="2"/>
  <c r="P201" i="2"/>
  <c r="R255" i="2"/>
  <c r="P260" i="2"/>
  <c r="U473" i="3"/>
  <c r="W473" i="3" s="1"/>
  <c r="V473" i="3" s="1"/>
  <c r="X473" i="3" s="1"/>
  <c r="P192" i="2"/>
  <c r="P200" i="2"/>
  <c r="P253" i="2"/>
  <c r="P230" i="2"/>
  <c r="P222" i="2"/>
  <c r="P229" i="2"/>
  <c r="P221" i="2"/>
  <c r="W419" i="2"/>
  <c r="O419" i="10" s="1"/>
  <c r="R216" i="2"/>
  <c r="R236" i="2"/>
  <c r="R214" i="2"/>
  <c r="R241" i="2"/>
  <c r="R248" i="2"/>
  <c r="R193" i="2"/>
  <c r="R262" i="2"/>
  <c r="R240" i="2"/>
  <c r="R882" i="2"/>
  <c r="R875" i="2"/>
  <c r="P191" i="2"/>
  <c r="O548" i="11"/>
  <c r="O567" i="11"/>
  <c r="Q561" i="11"/>
  <c r="K560" i="11"/>
  <c r="M554" i="11"/>
  <c r="P197" i="2"/>
  <c r="P196" i="2"/>
  <c r="P204" i="2"/>
  <c r="P226" i="2"/>
  <c r="P233" i="2"/>
  <c r="P225" i="2"/>
  <c r="R195" i="2"/>
  <c r="R247" i="2"/>
  <c r="R197" i="2"/>
  <c r="AG162" i="3"/>
  <c r="AF146" i="3"/>
  <c r="AF127" i="3"/>
  <c r="AF115" i="3"/>
  <c r="AG100" i="3"/>
  <c r="AG91" i="3"/>
  <c r="M566" i="11"/>
  <c r="S558" i="11"/>
  <c r="S555" i="11"/>
  <c r="P199" i="2"/>
  <c r="W418" i="2"/>
  <c r="O418" i="10" s="1"/>
  <c r="M400" i="11"/>
  <c r="S567" i="11"/>
  <c r="K567" i="11"/>
  <c r="M552" i="11"/>
  <c r="Q549" i="11"/>
  <c r="F563" i="11"/>
  <c r="D740" i="2"/>
  <c r="D737" i="2"/>
  <c r="D773" i="2"/>
  <c r="D698" i="2"/>
  <c r="N652" i="2"/>
  <c r="J652" i="10" s="1"/>
  <c r="F540" i="11"/>
  <c r="AG140" i="3"/>
  <c r="Y345" i="3"/>
  <c r="I345" i="11" s="1"/>
  <c r="F441" i="11"/>
  <c r="F567" i="11"/>
  <c r="U563" i="3"/>
  <c r="V563" i="3" s="1"/>
  <c r="X563" i="3" s="1"/>
  <c r="N627" i="2" s="1"/>
  <c r="J627" i="10" s="1"/>
  <c r="F499" i="11"/>
  <c r="F485" i="11"/>
  <c r="I523" i="3"/>
  <c r="F523" i="11" s="1"/>
  <c r="I456" i="3"/>
  <c r="F456" i="11" s="1"/>
  <c r="U469" i="3"/>
  <c r="W469" i="3" s="1"/>
  <c r="V469" i="3" s="1"/>
  <c r="X469" i="3" s="1"/>
  <c r="Y149" i="3"/>
  <c r="I149" i="11" s="1"/>
  <c r="AF167" i="3"/>
  <c r="AF156" i="3"/>
  <c r="AF147" i="3"/>
  <c r="AF105" i="3"/>
  <c r="AF85" i="3"/>
  <c r="AF79" i="3"/>
  <c r="AF73" i="3"/>
  <c r="AE40" i="3"/>
  <c r="AG40" i="3" s="1"/>
  <c r="AE35" i="3"/>
  <c r="AG35" i="3" s="1"/>
  <c r="F535" i="11"/>
  <c r="F514" i="11"/>
  <c r="F527" i="11"/>
  <c r="F440" i="11"/>
  <c r="U498" i="3"/>
  <c r="W498" i="3" s="1"/>
  <c r="V498" i="3" s="1"/>
  <c r="X498" i="3" s="1"/>
  <c r="N472" i="2" s="1"/>
  <c r="J472" i="10" s="1"/>
  <c r="D769" i="2"/>
  <c r="U495" i="3"/>
  <c r="W495" i="3" s="1"/>
  <c r="V495" i="3" s="1"/>
  <c r="X495" i="3" s="1"/>
  <c r="N469" i="2" s="1"/>
  <c r="J469" i="10" s="1"/>
  <c r="I569" i="3"/>
  <c r="D836" i="2" s="1"/>
  <c r="F417" i="11"/>
  <c r="I558" i="3"/>
  <c r="F558" i="11" s="1"/>
  <c r="Y109" i="3"/>
  <c r="I109" i="11" s="1"/>
  <c r="F501" i="11"/>
  <c r="D768" i="2"/>
  <c r="U575" i="3"/>
  <c r="V575" i="3" s="1"/>
  <c r="X575" i="3" s="1"/>
  <c r="F442" i="11"/>
  <c r="D805" i="2"/>
  <c r="F564" i="11"/>
  <c r="D702" i="2"/>
  <c r="D776" i="2"/>
  <c r="U476" i="3"/>
  <c r="W476" i="3" s="1"/>
  <c r="V476" i="3" s="1"/>
  <c r="X476" i="3" s="1"/>
  <c r="U468" i="3"/>
  <c r="W468" i="3" s="1"/>
  <c r="V468" i="3" s="1"/>
  <c r="X468" i="3" s="1"/>
  <c r="N392" i="2" s="1"/>
  <c r="J392" i="10" s="1"/>
  <c r="U449" i="3"/>
  <c r="V449" i="3" s="1"/>
  <c r="X449" i="3" s="1"/>
  <c r="U439" i="3"/>
  <c r="V439" i="3" s="1"/>
  <c r="X439" i="3" s="1"/>
  <c r="AG255" i="3"/>
  <c r="AF237" i="3"/>
  <c r="D771" i="2"/>
  <c r="D681" i="2"/>
  <c r="I211" i="11"/>
  <c r="I467" i="3"/>
  <c r="I471" i="3"/>
  <c r="F471" i="11" s="1"/>
  <c r="N516" i="2"/>
  <c r="J516" i="10" s="1"/>
  <c r="Y347" i="3"/>
  <c r="I347" i="11" s="1"/>
  <c r="Y309" i="3"/>
  <c r="I309" i="11" s="1"/>
  <c r="D770" i="2"/>
  <c r="F503" i="11"/>
  <c r="Y253" i="3"/>
  <c r="I253" i="11" s="1"/>
  <c r="F490" i="11"/>
  <c r="D757" i="2"/>
  <c r="I422" i="3"/>
  <c r="U422" i="3"/>
  <c r="V422" i="3" s="1"/>
  <c r="X422" i="3" s="1"/>
  <c r="N230" i="2" s="1"/>
  <c r="J230" i="10" s="1"/>
  <c r="I197" i="11"/>
  <c r="N426" i="2"/>
  <c r="J426" i="10" s="1"/>
  <c r="N430" i="2"/>
  <c r="J430" i="10" s="1"/>
  <c r="Y259" i="3"/>
  <c r="I259" i="11" s="1"/>
  <c r="F559" i="11"/>
  <c r="AG199" i="3"/>
  <c r="Y265" i="3"/>
  <c r="I265" i="11" s="1"/>
  <c r="U470" i="3"/>
  <c r="W470" i="3" s="1"/>
  <c r="V470" i="3" s="1"/>
  <c r="X470" i="3" s="1"/>
  <c r="I427" i="3"/>
  <c r="AG202" i="3"/>
  <c r="Y201" i="3"/>
  <c r="I201" i="11" s="1"/>
  <c r="N351" i="2"/>
  <c r="J351" i="10" s="1"/>
  <c r="N343" i="2"/>
  <c r="J343" i="10" s="1"/>
  <c r="Y193" i="3"/>
  <c r="I193" i="11" s="1"/>
  <c r="N329" i="2"/>
  <c r="J329" i="10" s="1"/>
  <c r="Y184" i="3"/>
  <c r="Y118" i="3"/>
  <c r="I118" i="11" s="1"/>
  <c r="N235" i="2"/>
  <c r="J235" i="10" s="1"/>
  <c r="U87" i="3"/>
  <c r="V87" i="3" s="1"/>
  <c r="X87" i="3" s="1"/>
  <c r="Y87" i="3" s="1"/>
  <c r="I87" i="11" s="1"/>
  <c r="X82" i="3"/>
  <c r="Y82" i="3" s="1"/>
  <c r="N185" i="2"/>
  <c r="J185" i="10" s="1"/>
  <c r="X76" i="3"/>
  <c r="Y76" i="3" s="1"/>
  <c r="I76" i="11" s="1"/>
  <c r="N179" i="2"/>
  <c r="J179" i="10" s="1"/>
  <c r="X75" i="3"/>
  <c r="Y75" i="3" s="1"/>
  <c r="I75" i="11" s="1"/>
  <c r="N178" i="2"/>
  <c r="J178" i="10" s="1"/>
  <c r="X70" i="3"/>
  <c r="Y70" i="3" s="1"/>
  <c r="N173" i="2"/>
  <c r="J173" i="10" s="1"/>
  <c r="X69" i="3"/>
  <c r="Y69" i="3" s="1"/>
  <c r="N172" i="2"/>
  <c r="J172" i="10" s="1"/>
  <c r="N438" i="2"/>
  <c r="J438" i="10" s="1"/>
  <c r="Y263" i="3"/>
  <c r="F545" i="11"/>
  <c r="D812" i="2"/>
  <c r="AF283" i="3"/>
  <c r="N502" i="2"/>
  <c r="J502" i="10" s="1"/>
  <c r="Y302" i="3"/>
  <c r="I302" i="11" s="1"/>
  <c r="Y244" i="3"/>
  <c r="I244" i="11" s="1"/>
  <c r="N419" i="2"/>
  <c r="J419" i="10" s="1"/>
  <c r="N436" i="2"/>
  <c r="J436" i="10" s="1"/>
  <c r="Y261" i="3"/>
  <c r="I261" i="11" s="1"/>
  <c r="Y99" i="3"/>
  <c r="I99" i="11" s="1"/>
  <c r="N207" i="2"/>
  <c r="J207" i="10" s="1"/>
  <c r="F516" i="11"/>
  <c r="D783" i="2"/>
  <c r="F491" i="11"/>
  <c r="D758" i="2"/>
  <c r="F447" i="11"/>
  <c r="D714" i="2"/>
  <c r="F413" i="11"/>
  <c r="D680" i="2"/>
  <c r="Y158" i="3"/>
  <c r="I158" i="11" s="1"/>
  <c r="N293" i="2"/>
  <c r="J293" i="10" s="1"/>
  <c r="Y107" i="3"/>
  <c r="N219" i="2"/>
  <c r="J219" i="10" s="1"/>
  <c r="N603" i="2"/>
  <c r="J603" i="10" s="1"/>
  <c r="Y368" i="3"/>
  <c r="I368" i="11" s="1"/>
  <c r="Y194" i="3"/>
  <c r="N344" i="2"/>
  <c r="J344" i="10" s="1"/>
  <c r="N236" i="2"/>
  <c r="J236" i="10" s="1"/>
  <c r="Y119" i="3"/>
  <c r="D719" i="2"/>
  <c r="U462" i="3"/>
  <c r="V462" i="3" s="1"/>
  <c r="X462" i="3" s="1"/>
  <c r="I438" i="3"/>
  <c r="F438" i="11" s="1"/>
  <c r="F483" i="11"/>
  <c r="I90" i="11"/>
  <c r="D741" i="2"/>
  <c r="Y254" i="3"/>
  <c r="I254" i="11" s="1"/>
  <c r="Y256" i="3"/>
  <c r="I256" i="11" s="1"/>
  <c r="D725" i="2"/>
  <c r="D754" i="2"/>
  <c r="I496" i="3"/>
  <c r="D763" i="2" s="1"/>
  <c r="I428" i="3"/>
  <c r="D695" i="2" s="1"/>
  <c r="I308" i="11"/>
  <c r="N494" i="2"/>
  <c r="J494" i="10" s="1"/>
  <c r="Y313" i="3"/>
  <c r="I313" i="11" s="1"/>
  <c r="Y367" i="3"/>
  <c r="I367" i="11" s="1"/>
  <c r="I525" i="3"/>
  <c r="D792" i="2" s="1"/>
  <c r="D724" i="2"/>
  <c r="D700" i="2"/>
  <c r="D746" i="2"/>
  <c r="AG243" i="3"/>
  <c r="F453" i="11"/>
  <c r="D796" i="2"/>
  <c r="F529" i="11"/>
  <c r="I192" i="11"/>
  <c r="AG192" i="3"/>
  <c r="I576" i="3"/>
  <c r="U576" i="3"/>
  <c r="V576" i="3" s="1"/>
  <c r="X576" i="3" s="1"/>
  <c r="Y356" i="3"/>
  <c r="I356" i="11" s="1"/>
  <c r="N586" i="2"/>
  <c r="J586" i="10" s="1"/>
  <c r="F507" i="11"/>
  <c r="D832" i="2"/>
  <c r="D772" i="2"/>
  <c r="I140" i="11"/>
  <c r="I208" i="11"/>
  <c r="AG170" i="3"/>
  <c r="I170" i="11"/>
  <c r="F512" i="11"/>
  <c r="F533" i="11"/>
  <c r="Y191" i="3"/>
  <c r="Y173" i="3"/>
  <c r="N313" i="2"/>
  <c r="J313" i="10" s="1"/>
  <c r="AG130" i="3"/>
  <c r="I130" i="11"/>
  <c r="F571" i="11"/>
  <c r="D838" i="2"/>
  <c r="D840" i="2"/>
  <c r="F510" i="11"/>
  <c r="I120" i="11"/>
  <c r="AG120" i="3"/>
  <c r="F418" i="11"/>
  <c r="F465" i="11"/>
  <c r="D732" i="2"/>
  <c r="F481" i="11"/>
  <c r="D748" i="2"/>
  <c r="F430" i="11"/>
  <c r="D697" i="2"/>
  <c r="Y207" i="3"/>
  <c r="I207" i="11" s="1"/>
  <c r="N357" i="2"/>
  <c r="J357" i="10" s="1"/>
  <c r="D729" i="2"/>
  <c r="F498" i="11"/>
  <c r="D692" i="2"/>
  <c r="U416" i="3"/>
  <c r="V416" i="3" s="1"/>
  <c r="X416" i="3" s="1"/>
  <c r="N214" i="2" s="1"/>
  <c r="J214" i="10" s="1"/>
  <c r="U521" i="3"/>
  <c r="W521" i="3" s="1"/>
  <c r="V521" i="3" s="1"/>
  <c r="X521" i="3" s="1"/>
  <c r="U433" i="3"/>
  <c r="V433" i="3" s="1"/>
  <c r="X433" i="3" s="1"/>
  <c r="D822" i="2"/>
  <c r="F555" i="11"/>
  <c r="D795" i="2"/>
  <c r="F528" i="11"/>
  <c r="I255" i="11"/>
  <c r="D782" i="2"/>
  <c r="I551" i="3"/>
  <c r="F429" i="11"/>
  <c r="D696" i="2"/>
  <c r="D844" i="2"/>
  <c r="F548" i="11"/>
  <c r="D815" i="2"/>
  <c r="AG246" i="3"/>
  <c r="AG245" i="3"/>
  <c r="F579" i="11"/>
  <c r="F572" i="11"/>
  <c r="D808" i="2"/>
  <c r="D820" i="2"/>
  <c r="D845" i="2"/>
  <c r="D755" i="2"/>
  <c r="I200" i="11"/>
  <c r="D799" i="2"/>
  <c r="F531" i="11"/>
  <c r="D798" i="2"/>
  <c r="D753" i="2"/>
  <c r="F560" i="11"/>
  <c r="D730" i="2"/>
  <c r="U546" i="3"/>
  <c r="V546" i="3" s="1"/>
  <c r="X546" i="3" s="1"/>
  <c r="D813" i="2"/>
  <c r="AG129" i="3"/>
  <c r="I171" i="11"/>
  <c r="AG171" i="3"/>
  <c r="N309" i="2"/>
  <c r="J309" i="10" s="1"/>
  <c r="F537" i="11"/>
  <c r="D804" i="2"/>
  <c r="U475" i="3"/>
  <c r="W475" i="3" s="1"/>
  <c r="V475" i="3" s="1"/>
  <c r="X475" i="3" s="1"/>
  <c r="I475" i="3"/>
  <c r="N365" i="2"/>
  <c r="J365" i="10" s="1"/>
  <c r="Y215" i="3"/>
  <c r="F434" i="11"/>
  <c r="D701" i="2"/>
  <c r="AG198" i="3"/>
  <c r="F497" i="11"/>
  <c r="D764" i="2"/>
  <c r="Y138" i="3"/>
  <c r="I138" i="11" s="1"/>
  <c r="N264" i="2"/>
  <c r="J264" i="10" s="1"/>
  <c r="AG370" i="3"/>
  <c r="I182" i="11"/>
  <c r="AG182" i="3"/>
  <c r="F511" i="11"/>
  <c r="F423" i="11"/>
  <c r="D690" i="2"/>
  <c r="F549" i="11"/>
  <c r="F484" i="11"/>
  <c r="D751" i="2"/>
  <c r="AG249" i="3"/>
  <c r="D803" i="2"/>
  <c r="F508" i="11"/>
  <c r="I570" i="3"/>
  <c r="D810" i="2"/>
  <c r="D791" i="2"/>
  <c r="F524" i="11"/>
  <c r="I204" i="11"/>
  <c r="AG204" i="3"/>
  <c r="F445" i="11"/>
  <c r="D712" i="2"/>
  <c r="I160" i="11"/>
  <c r="U522" i="3"/>
  <c r="W522" i="3" s="1"/>
  <c r="V522" i="3" s="1"/>
  <c r="X522" i="3" s="1"/>
  <c r="I522" i="3"/>
  <c r="X81" i="3"/>
  <c r="Y81" i="3" s="1"/>
  <c r="I81" i="11" s="1"/>
  <c r="N184" i="2"/>
  <c r="J184" i="10" s="1"/>
  <c r="U545" i="3"/>
  <c r="V545" i="3" s="1"/>
  <c r="X545" i="3" s="1"/>
  <c r="F480" i="11"/>
  <c r="D747" i="2"/>
  <c r="Y388" i="3"/>
  <c r="I388" i="11" s="1"/>
  <c r="N633" i="2"/>
  <c r="J633" i="10" s="1"/>
  <c r="N362" i="2"/>
  <c r="J362" i="10" s="1"/>
  <c r="Y212" i="3"/>
  <c r="I212" i="11" s="1"/>
  <c r="F477" i="11"/>
  <c r="D744" i="2"/>
  <c r="U500" i="3"/>
  <c r="W500" i="3" s="1"/>
  <c r="V500" i="3" s="1"/>
  <c r="X500" i="3" s="1"/>
  <c r="N767" i="2" s="1"/>
  <c r="J767" i="10" s="1"/>
  <c r="I500" i="3"/>
  <c r="I411" i="3"/>
  <c r="U411" i="3"/>
  <c r="V411" i="3" s="1"/>
  <c r="X411" i="3" s="1"/>
  <c r="N425" i="2"/>
  <c r="J425" i="10" s="1"/>
  <c r="N360" i="2"/>
  <c r="J360" i="10" s="1"/>
  <c r="N345" i="2"/>
  <c r="J345" i="10" s="1"/>
  <c r="AG142" i="3"/>
  <c r="U502" i="3"/>
  <c r="W502" i="3" s="1"/>
  <c r="V502" i="3" s="1"/>
  <c r="X502" i="3" s="1"/>
  <c r="X493" i="3"/>
  <c r="N760" i="2" s="1"/>
  <c r="J760" i="10" s="1"/>
  <c r="X428" i="3"/>
  <c r="N246" i="2" s="1"/>
  <c r="J246" i="10" s="1"/>
  <c r="AG403" i="3"/>
  <c r="AG141" i="3"/>
  <c r="S884" i="2"/>
  <c r="T884" i="2"/>
  <c r="Q879" i="2"/>
  <c r="Q878" i="2"/>
  <c r="Q877" i="2"/>
  <c r="Q875" i="2"/>
  <c r="Q881" i="2"/>
  <c r="Y389" i="3"/>
  <c r="I389" i="11" s="1"/>
  <c r="N634" i="2"/>
  <c r="J634" i="10" s="1"/>
  <c r="Y317" i="3"/>
  <c r="I317" i="11" s="1"/>
  <c r="N517" i="2"/>
  <c r="J517" i="10" s="1"/>
  <c r="Y307" i="3"/>
  <c r="I307" i="11" s="1"/>
  <c r="N507" i="2"/>
  <c r="J507" i="10" s="1"/>
  <c r="F575" i="11"/>
  <c r="I202" i="11"/>
  <c r="I252" i="11"/>
  <c r="AG251" i="3"/>
  <c r="D819" i="2"/>
  <c r="T157" i="2"/>
  <c r="S157" i="10" s="1"/>
  <c r="F40" i="5"/>
  <c r="X498" i="2" s="1"/>
  <c r="X422" i="2"/>
  <c r="D40" i="5"/>
  <c r="X346" i="2" s="1"/>
  <c r="T153" i="2"/>
  <c r="S153" i="10" s="1"/>
  <c r="S153" i="2"/>
  <c r="R153" i="10" s="1"/>
  <c r="A56" i="5"/>
  <c r="A57" i="5" s="1"/>
  <c r="A58" i="5" s="1"/>
  <c r="H4" i="5"/>
  <c r="G4" i="5"/>
  <c r="J4" i="5"/>
  <c r="N617" i="2"/>
  <c r="J617" i="10" s="1"/>
  <c r="Y377" i="3"/>
  <c r="I377" i="11" s="1"/>
  <c r="N515" i="2"/>
  <c r="J515" i="10" s="1"/>
  <c r="Y315" i="3"/>
  <c r="N499" i="2"/>
  <c r="J499" i="10" s="1"/>
  <c r="Y299" i="3"/>
  <c r="I299" i="11" s="1"/>
  <c r="G6" i="5"/>
  <c r="Q326" i="2" s="1"/>
  <c r="I6" i="5"/>
  <c r="Q236" i="2" s="1"/>
  <c r="H6" i="5"/>
  <c r="J6" i="5"/>
  <c r="A8" i="5"/>
  <c r="Y401" i="3"/>
  <c r="I401" i="11" s="1"/>
  <c r="N651" i="2"/>
  <c r="J651" i="10" s="1"/>
  <c r="Y380" i="3"/>
  <c r="I380" i="11" s="1"/>
  <c r="N620" i="2"/>
  <c r="J620" i="10" s="1"/>
  <c r="D7" i="5"/>
  <c r="B41" i="5" s="1"/>
  <c r="E41" i="5" s="1"/>
  <c r="G5" i="5"/>
  <c r="J5" i="5"/>
  <c r="H5" i="5"/>
  <c r="Y357" i="3"/>
  <c r="I357" i="11" s="1"/>
  <c r="N587" i="2"/>
  <c r="J587" i="10" s="1"/>
  <c r="Q294" i="2"/>
  <c r="Q876" i="2"/>
  <c r="R208" i="2"/>
  <c r="P296" i="2"/>
  <c r="P304" i="2"/>
  <c r="P316" i="2"/>
  <c r="P251" i="2"/>
  <c r="P261" i="2"/>
  <c r="P240" i="2"/>
  <c r="W417" i="2"/>
  <c r="O417" i="10" s="1"/>
  <c r="W495" i="2"/>
  <c r="O495" i="10" s="1"/>
  <c r="R222" i="2"/>
  <c r="P307" i="2"/>
  <c r="R227" i="2"/>
  <c r="P305" i="2"/>
  <c r="R876" i="2"/>
  <c r="R883" i="2"/>
  <c r="S883" i="2" s="1"/>
  <c r="P252" i="2"/>
  <c r="R239" i="2"/>
  <c r="R244" i="2"/>
  <c r="R249" i="2"/>
  <c r="R192" i="2"/>
  <c r="R194" i="2"/>
  <c r="R196" i="2"/>
  <c r="R215" i="2"/>
  <c r="R202" i="2"/>
  <c r="X558" i="3"/>
  <c r="Y558" i="3" s="1"/>
  <c r="I558" i="11" s="1"/>
  <c r="I539" i="3"/>
  <c r="D736" i="2"/>
  <c r="F469" i="11"/>
  <c r="AG369" i="3"/>
  <c r="Y298" i="3"/>
  <c r="I298" i="11" s="1"/>
  <c r="N498" i="2"/>
  <c r="J498" i="10" s="1"/>
  <c r="P310" i="2"/>
  <c r="Q310" i="2" s="1"/>
  <c r="P323" i="2"/>
  <c r="P315" i="2"/>
  <c r="P237" i="2"/>
  <c r="P245" i="2"/>
  <c r="P238" i="2"/>
  <c r="P246" i="2"/>
  <c r="R233" i="2"/>
  <c r="R226" i="2"/>
  <c r="R219" i="2"/>
  <c r="S219" i="2" s="1"/>
  <c r="R225" i="2"/>
  <c r="R220" i="2"/>
  <c r="R885" i="2"/>
  <c r="R877" i="2"/>
  <c r="R878" i="2"/>
  <c r="R879" i="2"/>
  <c r="R880" i="2"/>
  <c r="T880" i="2" s="1"/>
  <c r="R211" i="2"/>
  <c r="R212" i="2"/>
  <c r="R207" i="2"/>
  <c r="F521" i="11"/>
  <c r="Y381" i="3"/>
  <c r="N621" i="2"/>
  <c r="J621" i="10" s="1"/>
  <c r="N504" i="2"/>
  <c r="J504" i="10" s="1"/>
  <c r="Y304" i="3"/>
  <c r="I304" i="11" s="1"/>
  <c r="P299" i="2"/>
  <c r="P295" i="2"/>
  <c r="F542" i="11"/>
  <c r="D809" i="2"/>
  <c r="X497" i="3"/>
  <c r="N471" i="2" s="1"/>
  <c r="J471" i="10" s="1"/>
  <c r="Y348" i="3"/>
  <c r="I348" i="11" s="1"/>
  <c r="N573" i="2"/>
  <c r="J573" i="10" s="1"/>
  <c r="AG316" i="3"/>
  <c r="AG306" i="3"/>
  <c r="AG250" i="3"/>
  <c r="P254" i="2"/>
  <c r="P258" i="2"/>
  <c r="P262" i="2"/>
  <c r="P302" i="2"/>
  <c r="P314" i="2"/>
  <c r="P322" i="2"/>
  <c r="P259" i="2"/>
  <c r="P311" i="2"/>
  <c r="P321" i="2"/>
  <c r="P242" i="2"/>
  <c r="P247" i="2"/>
  <c r="P235" i="2"/>
  <c r="Q235" i="2" s="1"/>
  <c r="R206" i="2"/>
  <c r="R230" i="2"/>
  <c r="R231" i="2"/>
  <c r="R232" i="2"/>
  <c r="P297" i="2"/>
  <c r="R881" i="2"/>
  <c r="R224" i="2"/>
  <c r="X525" i="3"/>
  <c r="Y525" i="3" s="1"/>
  <c r="X519" i="3"/>
  <c r="N543" i="2" s="1"/>
  <c r="J543" i="10" s="1"/>
  <c r="Y400" i="3"/>
  <c r="I400" i="11" s="1"/>
  <c r="N650" i="2"/>
  <c r="J650" i="10" s="1"/>
  <c r="AG358" i="3"/>
  <c r="Y314" i="3"/>
  <c r="I314" i="11" s="1"/>
  <c r="N514" i="2"/>
  <c r="J514" i="10" s="1"/>
  <c r="N441" i="2"/>
  <c r="J441" i="10" s="1"/>
  <c r="Y266" i="3"/>
  <c r="I266" i="11" s="1"/>
  <c r="Q265" i="2"/>
  <c r="T265" i="2" s="1"/>
  <c r="Q264" i="2"/>
  <c r="X569" i="3"/>
  <c r="N836" i="2" s="1"/>
  <c r="J836" i="10" s="1"/>
  <c r="X523" i="3"/>
  <c r="N790" i="2" s="1"/>
  <c r="J790" i="10" s="1"/>
  <c r="X456" i="3"/>
  <c r="N320" i="2" s="1"/>
  <c r="J320" i="10" s="1"/>
  <c r="X444" i="3"/>
  <c r="Y444" i="3" s="1"/>
  <c r="I444" i="11" s="1"/>
  <c r="AG402" i="3"/>
  <c r="AG399" i="3"/>
  <c r="AG391" i="3"/>
  <c r="F30" i="5"/>
  <c r="D30" i="5"/>
  <c r="B64" i="5" s="1"/>
  <c r="E64" i="5" s="1"/>
  <c r="X570" i="3"/>
  <c r="N837" i="2" s="1"/>
  <c r="J837" i="10" s="1"/>
  <c r="X557" i="3"/>
  <c r="N611" i="2" s="1"/>
  <c r="J611" i="10" s="1"/>
  <c r="X551" i="3"/>
  <c r="N595" i="2" s="1"/>
  <c r="J595" i="10" s="1"/>
  <c r="X496" i="3"/>
  <c r="N763" i="2" s="1"/>
  <c r="J763" i="10" s="1"/>
  <c r="X467" i="3"/>
  <c r="Y467" i="3" s="1"/>
  <c r="I467" i="11" s="1"/>
  <c r="AG303" i="3"/>
  <c r="AG300" i="3"/>
  <c r="AG262" i="3"/>
  <c r="AG210" i="3"/>
  <c r="D29" i="5"/>
  <c r="B63" i="5" s="1"/>
  <c r="E63" i="5" s="1"/>
  <c r="F29" i="5"/>
  <c r="U64" i="3"/>
  <c r="U60" i="3"/>
  <c r="U58" i="3"/>
  <c r="U4" i="3"/>
  <c r="U33" i="3"/>
  <c r="U38" i="3"/>
  <c r="U43" i="3"/>
  <c r="U71" i="3"/>
  <c r="V71" i="3" s="1"/>
  <c r="U89" i="3"/>
  <c r="V89" i="3" s="1"/>
  <c r="X89" i="3" s="1"/>
  <c r="U108" i="3"/>
  <c r="V108" i="3" s="1"/>
  <c r="X108" i="3" s="1"/>
  <c r="U111" i="3"/>
  <c r="V111" i="3" s="1"/>
  <c r="X111" i="3" s="1"/>
  <c r="U131" i="3"/>
  <c r="V131" i="3" s="1"/>
  <c r="X131" i="3" s="1"/>
  <c r="U139" i="3"/>
  <c r="V139" i="3" s="1"/>
  <c r="X139" i="3" s="1"/>
  <c r="U151" i="3"/>
  <c r="V151" i="3" s="1"/>
  <c r="X151" i="3" s="1"/>
  <c r="U159" i="3"/>
  <c r="V159" i="3" s="1"/>
  <c r="X159" i="3" s="1"/>
  <c r="U161" i="3"/>
  <c r="V161" i="3" s="1"/>
  <c r="X161" i="3" s="1"/>
  <c r="U172" i="3"/>
  <c r="V172" i="3" s="1"/>
  <c r="X172" i="3" s="1"/>
  <c r="U181" i="3"/>
  <c r="V181" i="3" s="1"/>
  <c r="X181" i="3" s="1"/>
  <c r="U183" i="3"/>
  <c r="V183" i="3" s="1"/>
  <c r="X183" i="3" s="1"/>
  <c r="U203" i="3"/>
  <c r="W203" i="3" s="1"/>
  <c r="V203" i="3" s="1"/>
  <c r="X203" i="3" s="1"/>
  <c r="U205" i="3"/>
  <c r="W205" i="3" s="1"/>
  <c r="V205" i="3" s="1"/>
  <c r="X205" i="3" s="1"/>
  <c r="U206" i="3"/>
  <c r="W206" i="3" s="1"/>
  <c r="V206" i="3" s="1"/>
  <c r="X206" i="3" s="1"/>
  <c r="U209" i="3"/>
  <c r="W209" i="3" s="1"/>
  <c r="V209" i="3" s="1"/>
  <c r="X209" i="3" s="1"/>
  <c r="U9" i="3"/>
  <c r="U11" i="3"/>
  <c r="U16" i="3"/>
  <c r="U18" i="3"/>
  <c r="U21" i="3"/>
  <c r="U23" i="3"/>
  <c r="U28" i="3"/>
  <c r="U34" i="3"/>
  <c r="U39" i="3"/>
  <c r="U44" i="3"/>
  <c r="U45" i="3"/>
  <c r="U46" i="3"/>
  <c r="U49" i="3"/>
  <c r="U35" i="3"/>
  <c r="U40" i="3"/>
  <c r="A16" i="8"/>
  <c r="A17" i="8" s="1"/>
  <c r="A18" i="8" s="1"/>
  <c r="A19" i="8" s="1"/>
  <c r="A20" i="8" s="1"/>
  <c r="A21" i="8" s="1"/>
  <c r="U371" i="3" s="1"/>
  <c r="V371" i="3" s="1"/>
  <c r="X371" i="3" s="1"/>
  <c r="U36" i="3"/>
  <c r="U41" i="3"/>
  <c r="U219" i="3"/>
  <c r="W219" i="3" s="1"/>
  <c r="V219" i="3" s="1"/>
  <c r="X219" i="3" s="1"/>
  <c r="U133" i="3"/>
  <c r="V133" i="3" s="1"/>
  <c r="X133" i="3" s="1"/>
  <c r="U102" i="3"/>
  <c r="V102" i="3" s="1"/>
  <c r="X102" i="3" s="1"/>
  <c r="U93" i="3"/>
  <c r="V93" i="3" s="1"/>
  <c r="X93" i="3" s="1"/>
  <c r="U24" i="3"/>
  <c r="U12" i="3"/>
  <c r="U59" i="3"/>
  <c r="U63" i="3"/>
  <c r="X526" i="3"/>
  <c r="N793" i="2" s="1"/>
  <c r="J793" i="10" s="1"/>
  <c r="X494" i="3"/>
  <c r="N761" i="2" s="1"/>
  <c r="J761" i="10" s="1"/>
  <c r="X471" i="3"/>
  <c r="N395" i="2" s="1"/>
  <c r="J395" i="10" s="1"/>
  <c r="X438" i="3"/>
  <c r="N705" i="2" s="1"/>
  <c r="J705" i="10" s="1"/>
  <c r="X427" i="3"/>
  <c r="N694" i="2" s="1"/>
  <c r="J694" i="10" s="1"/>
  <c r="AG390" i="3"/>
  <c r="AG346" i="3"/>
  <c r="AG294" i="3"/>
  <c r="U274" i="3"/>
  <c r="W274" i="3" s="1"/>
  <c r="V274" i="3" s="1"/>
  <c r="X274" i="3" s="1"/>
  <c r="U271" i="3"/>
  <c r="W271" i="3" s="1"/>
  <c r="V271" i="3" s="1"/>
  <c r="X271" i="3" s="1"/>
  <c r="U186" i="3"/>
  <c r="V186" i="3" s="1"/>
  <c r="X186" i="3" s="1"/>
  <c r="U123" i="3"/>
  <c r="V123" i="3" s="1"/>
  <c r="X123" i="3" s="1"/>
  <c r="U113" i="3"/>
  <c r="V113" i="3" s="1"/>
  <c r="X113" i="3" s="1"/>
  <c r="U92" i="3"/>
  <c r="V92" i="3" s="1"/>
  <c r="X92" i="3" s="1"/>
  <c r="U5" i="3"/>
  <c r="U3" i="3"/>
  <c r="F65" i="5"/>
  <c r="D65" i="5"/>
  <c r="S22" i="8"/>
  <c r="S15" i="8"/>
  <c r="S13" i="8"/>
  <c r="S12" i="8"/>
  <c r="S6" i="8"/>
  <c r="AG312" i="3"/>
  <c r="AG310" i="3"/>
  <c r="AG297" i="3"/>
  <c r="AG248" i="3"/>
  <c r="AG6" i="3"/>
  <c r="AG4" i="3"/>
  <c r="M143" i="4"/>
  <c r="R309" i="2"/>
  <c r="S309" i="2" s="1"/>
  <c r="U309" i="2" s="1"/>
  <c r="R313" i="2"/>
  <c r="R317" i="2"/>
  <c r="R321" i="2"/>
  <c r="R310" i="2"/>
  <c r="R314" i="2"/>
  <c r="R318" i="2"/>
  <c r="R322" i="2"/>
  <c r="R312" i="2"/>
  <c r="R316" i="2"/>
  <c r="R320" i="2"/>
  <c r="R315" i="2"/>
  <c r="R319" i="2"/>
  <c r="R311" i="2"/>
  <c r="R323" i="2"/>
  <c r="O144" i="12"/>
  <c r="N144" i="12" s="1"/>
  <c r="S573" i="11"/>
  <c r="O573" i="11"/>
  <c r="K573" i="11"/>
  <c r="S570" i="11"/>
  <c r="K570" i="11"/>
  <c r="M569" i="11"/>
  <c r="M565" i="11"/>
  <c r="S564" i="11"/>
  <c r="K564" i="11"/>
  <c r="K563" i="11"/>
  <c r="S560" i="11"/>
  <c r="O560" i="11"/>
  <c r="Q554" i="11"/>
  <c r="K553" i="11"/>
  <c r="K551" i="11"/>
  <c r="S548" i="11"/>
  <c r="M547" i="11"/>
  <c r="M545" i="11"/>
  <c r="S541" i="11"/>
  <c r="K541" i="11"/>
  <c r="M540" i="11"/>
  <c r="S535" i="11"/>
  <c r="S531" i="11"/>
  <c r="M528" i="11"/>
  <c r="S525" i="11"/>
  <c r="K523" i="11"/>
  <c r="S519" i="11"/>
  <c r="S516" i="11"/>
  <c r="M515" i="11"/>
  <c r="K512" i="11"/>
  <c r="O510" i="11"/>
  <c r="O507" i="11"/>
  <c r="M505" i="11"/>
  <c r="O491" i="11"/>
  <c r="O483" i="11"/>
  <c r="O480" i="11"/>
  <c r="M478" i="11"/>
  <c r="S472" i="11"/>
  <c r="K470" i="11"/>
  <c r="S449" i="11"/>
  <c r="S446" i="11"/>
  <c r="O395" i="11"/>
  <c r="AG31" i="3"/>
  <c r="AG29" i="3"/>
  <c r="AG27" i="3"/>
  <c r="AG24" i="3"/>
  <c r="AG22" i="3"/>
  <c r="AG19" i="3"/>
  <c r="AG17" i="3"/>
  <c r="AG15" i="3"/>
  <c r="AG12" i="3"/>
  <c r="AG10" i="3"/>
  <c r="AG7" i="3"/>
  <c r="Q144" i="4"/>
  <c r="I144" i="4"/>
  <c r="K143" i="4"/>
  <c r="R293" i="2"/>
  <c r="T293" i="2" s="1"/>
  <c r="R297" i="2"/>
  <c r="R301" i="2"/>
  <c r="R305" i="2"/>
  <c r="R294" i="2"/>
  <c r="R298" i="2"/>
  <c r="R302" i="2"/>
  <c r="R306" i="2"/>
  <c r="R296" i="2"/>
  <c r="R300" i="2"/>
  <c r="R304" i="2"/>
  <c r="R299" i="2"/>
  <c r="R303" i="2"/>
  <c r="R295" i="2"/>
  <c r="R307" i="2"/>
  <c r="AG63" i="3"/>
  <c r="S572" i="11"/>
  <c r="O572" i="11"/>
  <c r="K572" i="11"/>
  <c r="M571" i="11"/>
  <c r="Q567" i="11"/>
  <c r="M567" i="11"/>
  <c r="S566" i="11"/>
  <c r="O566" i="11"/>
  <c r="K566" i="11"/>
  <c r="S563" i="11"/>
  <c r="M559" i="11"/>
  <c r="M557" i="11"/>
  <c r="K555" i="11"/>
  <c r="S553" i="11"/>
  <c r="O553" i="11"/>
  <c r="S551" i="11"/>
  <c r="K546" i="11"/>
  <c r="O543" i="11"/>
  <c r="Q542" i="11"/>
  <c r="S539" i="11"/>
  <c r="K539" i="11"/>
  <c r="M538" i="11"/>
  <c r="O537" i="11"/>
  <c r="K535" i="11"/>
  <c r="M534" i="11"/>
  <c r="O533" i="11"/>
  <c r="K531" i="11"/>
  <c r="M530" i="11"/>
  <c r="O529" i="11"/>
  <c r="S527" i="11"/>
  <c r="K525" i="11"/>
  <c r="S515" i="11"/>
  <c r="M514" i="11"/>
  <c r="O506" i="11"/>
  <c r="O503" i="11"/>
  <c r="M501" i="11"/>
  <c r="M493" i="11"/>
  <c r="Q489" i="11"/>
  <c r="O479" i="11"/>
  <c r="M474" i="11"/>
  <c r="K463" i="11"/>
  <c r="M452" i="11"/>
  <c r="O451" i="11"/>
  <c r="M435" i="11"/>
  <c r="O434" i="11"/>
  <c r="K422" i="11"/>
  <c r="M397" i="11"/>
  <c r="R325" i="2"/>
  <c r="T325" i="2" s="1"/>
  <c r="S325" i="10" s="1"/>
  <c r="R329" i="2"/>
  <c r="R333" i="2"/>
  <c r="R337" i="2"/>
  <c r="R326" i="2"/>
  <c r="R330" i="2"/>
  <c r="R334" i="2"/>
  <c r="R338" i="2"/>
  <c r="R328" i="2"/>
  <c r="R332" i="2"/>
  <c r="R336" i="2"/>
  <c r="R331" i="2"/>
  <c r="R335" i="2"/>
  <c r="R327" i="2"/>
  <c r="R339" i="2"/>
  <c r="K575" i="11"/>
  <c r="S575" i="11"/>
  <c r="K577" i="11"/>
  <c r="O577" i="11"/>
  <c r="S577" i="11"/>
  <c r="K579" i="11"/>
  <c r="O579" i="11"/>
  <c r="S579" i="11"/>
  <c r="M53" i="11"/>
  <c r="M55" i="11"/>
  <c r="M56" i="11"/>
  <c r="M64" i="11"/>
  <c r="O66" i="11"/>
  <c r="K67" i="11"/>
  <c r="O67" i="11"/>
  <c r="M69" i="11"/>
  <c r="K72" i="11"/>
  <c r="O72" i="11"/>
  <c r="M73" i="11"/>
  <c r="Q73" i="11"/>
  <c r="K76" i="11"/>
  <c r="M78" i="11"/>
  <c r="Q579" i="11"/>
  <c r="M58" i="11"/>
  <c r="M59" i="11"/>
  <c r="M60" i="11"/>
  <c r="M61" i="11"/>
  <c r="Q62" i="11"/>
  <c r="M575" i="11"/>
  <c r="M577" i="11"/>
  <c r="M48" i="11"/>
  <c r="M50" i="11"/>
  <c r="M51" i="11"/>
  <c r="M45" i="11"/>
  <c r="M62" i="11"/>
  <c r="K84" i="11"/>
  <c r="M76" i="11"/>
  <c r="K81" i="11"/>
  <c r="K83" i="11"/>
  <c r="O83" i="11"/>
  <c r="M90" i="11"/>
  <c r="K92" i="11"/>
  <c r="O92" i="11"/>
  <c r="M99" i="11"/>
  <c r="K101" i="11"/>
  <c r="O101" i="11"/>
  <c r="M108" i="11"/>
  <c r="K110" i="11"/>
  <c r="M46" i="11"/>
  <c r="K78" i="11"/>
  <c r="M81" i="11"/>
  <c r="M83" i="11"/>
  <c r="M85" i="11"/>
  <c r="Q85" i="11"/>
  <c r="K88" i="11"/>
  <c r="M94" i="11"/>
  <c r="K96" i="11"/>
  <c r="O96" i="11"/>
  <c r="M103" i="11"/>
  <c r="K105" i="11"/>
  <c r="O105" i="11"/>
  <c r="M112" i="11"/>
  <c r="K70" i="11"/>
  <c r="M71" i="11"/>
  <c r="M72" i="11"/>
  <c r="O78" i="11"/>
  <c r="K98" i="11"/>
  <c r="O114" i="11"/>
  <c r="K119" i="11"/>
  <c r="M125" i="11"/>
  <c r="K127" i="11"/>
  <c r="O132" i="11"/>
  <c r="O136" i="11"/>
  <c r="K138" i="11"/>
  <c r="M140" i="11"/>
  <c r="K146" i="11"/>
  <c r="M149" i="11"/>
  <c r="K155" i="11"/>
  <c r="M158" i="11"/>
  <c r="M100" i="11"/>
  <c r="K114" i="11"/>
  <c r="O123" i="11"/>
  <c r="K132" i="11"/>
  <c r="K136" i="11"/>
  <c r="M139" i="11"/>
  <c r="M143" i="11"/>
  <c r="K145" i="11"/>
  <c r="O145" i="11"/>
  <c r="M152" i="11"/>
  <c r="K154" i="11"/>
  <c r="O154" i="11"/>
  <c r="M161" i="11"/>
  <c r="O73" i="11"/>
  <c r="M91" i="11"/>
  <c r="M109" i="11"/>
  <c r="M116" i="11"/>
  <c r="O127" i="11"/>
  <c r="M130" i="11"/>
  <c r="M134" i="11"/>
  <c r="K141" i="11"/>
  <c r="M147" i="11"/>
  <c r="Q147" i="11"/>
  <c r="K150" i="11"/>
  <c r="M156" i="11"/>
  <c r="Q156" i="11"/>
  <c r="K159" i="11"/>
  <c r="M131" i="11"/>
  <c r="K133" i="11"/>
  <c r="K142" i="11"/>
  <c r="M153" i="11"/>
  <c r="K160" i="11"/>
  <c r="M579" i="11"/>
  <c r="Q116" i="11"/>
  <c r="M163" i="11"/>
  <c r="M165" i="11"/>
  <c r="M167" i="11"/>
  <c r="Q167" i="11"/>
  <c r="M170" i="11"/>
  <c r="M172" i="11"/>
  <c r="M174" i="11"/>
  <c r="M176" i="11"/>
  <c r="M178" i="11"/>
  <c r="Q178" i="11"/>
  <c r="M181" i="11"/>
  <c r="M183" i="11"/>
  <c r="M185" i="11"/>
  <c r="M187" i="11"/>
  <c r="M189" i="11"/>
  <c r="Q189" i="11"/>
  <c r="K192" i="11"/>
  <c r="K194" i="11"/>
  <c r="M196" i="11"/>
  <c r="M198" i="11"/>
  <c r="K200" i="11"/>
  <c r="K202" i="11"/>
  <c r="M204" i="11"/>
  <c r="M206" i="11"/>
  <c r="K208" i="11"/>
  <c r="K210" i="11"/>
  <c r="M212" i="11"/>
  <c r="O213" i="11"/>
  <c r="M214" i="11"/>
  <c r="K216" i="11"/>
  <c r="O216" i="11"/>
  <c r="K89" i="11"/>
  <c r="K107" i="11"/>
  <c r="K129" i="11"/>
  <c r="M135" i="11"/>
  <c r="M144" i="11"/>
  <c r="K151" i="11"/>
  <c r="K163" i="11"/>
  <c r="K170" i="11"/>
  <c r="O176" i="11"/>
  <c r="K178" i="11"/>
  <c r="K185" i="11"/>
  <c r="M194" i="11"/>
  <c r="M210" i="11"/>
  <c r="K218" i="11"/>
  <c r="O218" i="11"/>
  <c r="M222" i="11"/>
  <c r="K226" i="11"/>
  <c r="O226" i="11"/>
  <c r="M230" i="11"/>
  <c r="K234" i="11"/>
  <c r="O234" i="11"/>
  <c r="K242" i="11"/>
  <c r="K244" i="11"/>
  <c r="K246" i="11"/>
  <c r="K248" i="11"/>
  <c r="K250" i="11"/>
  <c r="K252" i="11"/>
  <c r="K254" i="11"/>
  <c r="K256" i="11"/>
  <c r="K258" i="11"/>
  <c r="K260" i="11"/>
  <c r="K262" i="11"/>
  <c r="O262" i="11"/>
  <c r="K264" i="11"/>
  <c r="O264" i="11"/>
  <c r="K266" i="11"/>
  <c r="O266" i="11"/>
  <c r="K268" i="11"/>
  <c r="O268" i="11"/>
  <c r="K270" i="11"/>
  <c r="O270" i="11"/>
  <c r="K272" i="11"/>
  <c r="O272" i="11"/>
  <c r="K274" i="11"/>
  <c r="O274" i="11"/>
  <c r="K276" i="11"/>
  <c r="O276" i="11"/>
  <c r="K278" i="11"/>
  <c r="O278" i="11"/>
  <c r="K280" i="11"/>
  <c r="O280" i="11"/>
  <c r="K282" i="11"/>
  <c r="O282" i="11"/>
  <c r="K284" i="11"/>
  <c r="O284" i="11"/>
  <c r="K286" i="11"/>
  <c r="O286" i="11"/>
  <c r="K288" i="11"/>
  <c r="O288" i="11"/>
  <c r="K290" i="11"/>
  <c r="O290" i="11"/>
  <c r="K306" i="11"/>
  <c r="M308" i="11"/>
  <c r="M121" i="11"/>
  <c r="K123" i="11"/>
  <c r="O167" i="11"/>
  <c r="O174" i="11"/>
  <c r="K176" i="11"/>
  <c r="K183" i="11"/>
  <c r="O189" i="11"/>
  <c r="M192" i="11"/>
  <c r="K204" i="11"/>
  <c r="K206" i="11"/>
  <c r="M208" i="11"/>
  <c r="O214" i="11"/>
  <c r="K220" i="11"/>
  <c r="O220" i="11"/>
  <c r="O221" i="11"/>
  <c r="M224" i="11"/>
  <c r="K228" i="11"/>
  <c r="O228" i="11"/>
  <c r="O229" i="11"/>
  <c r="M232" i="11"/>
  <c r="Q232" i="11"/>
  <c r="Q235" i="11"/>
  <c r="K236" i="11"/>
  <c r="O236" i="11"/>
  <c r="O237" i="11"/>
  <c r="K239" i="11"/>
  <c r="O239" i="11"/>
  <c r="M293" i="11"/>
  <c r="M295" i="11"/>
  <c r="M297" i="11"/>
  <c r="M299" i="11"/>
  <c r="M301" i="11"/>
  <c r="M303" i="11"/>
  <c r="K305" i="11"/>
  <c r="K307" i="11"/>
  <c r="M309" i="11"/>
  <c r="M311" i="11"/>
  <c r="K313" i="11"/>
  <c r="O313" i="11"/>
  <c r="O165" i="11"/>
  <c r="K167" i="11"/>
  <c r="K174" i="11"/>
  <c r="K181" i="11"/>
  <c r="O187" i="11"/>
  <c r="K189" i="11"/>
  <c r="M202" i="11"/>
  <c r="O212" i="11"/>
  <c r="K214" i="11"/>
  <c r="M216" i="11"/>
  <c r="M218" i="11"/>
  <c r="K222" i="11"/>
  <c r="O222" i="11"/>
  <c r="M226" i="11"/>
  <c r="K230" i="11"/>
  <c r="O230" i="11"/>
  <c r="M234" i="11"/>
  <c r="Q234" i="11"/>
  <c r="M242" i="11"/>
  <c r="M244" i="11"/>
  <c r="M246" i="11"/>
  <c r="M248" i="11"/>
  <c r="M250" i="11"/>
  <c r="M252" i="11"/>
  <c r="M254" i="11"/>
  <c r="M256" i="11"/>
  <c r="M258" i="11"/>
  <c r="M260" i="11"/>
  <c r="M262" i="11"/>
  <c r="M264" i="11"/>
  <c r="M266" i="11"/>
  <c r="M268" i="11"/>
  <c r="M270" i="11"/>
  <c r="M272" i="11"/>
  <c r="M274" i="11"/>
  <c r="M276" i="11"/>
  <c r="M278" i="11"/>
  <c r="M280" i="11"/>
  <c r="M282" i="11"/>
  <c r="Q282" i="11"/>
  <c r="M284" i="11"/>
  <c r="Q284" i="11"/>
  <c r="M286" i="11"/>
  <c r="Q286" i="11"/>
  <c r="M288" i="11"/>
  <c r="Q288" i="11"/>
  <c r="M290" i="11"/>
  <c r="Q290" i="11"/>
  <c r="K172" i="11"/>
  <c r="O178" i="11"/>
  <c r="K196" i="11"/>
  <c r="K198" i="11"/>
  <c r="M200" i="11"/>
  <c r="O217" i="11"/>
  <c r="K224" i="11"/>
  <c r="Q236" i="11"/>
  <c r="Q239" i="11"/>
  <c r="K295" i="11"/>
  <c r="K303" i="11"/>
  <c r="M305" i="11"/>
  <c r="O314" i="11"/>
  <c r="M317" i="11"/>
  <c r="K319" i="11"/>
  <c r="O319" i="11"/>
  <c r="K321" i="11"/>
  <c r="O321" i="11"/>
  <c r="M323" i="11"/>
  <c r="O324" i="11"/>
  <c r="M325" i="11"/>
  <c r="K327" i="11"/>
  <c r="O327" i="11"/>
  <c r="K329" i="11"/>
  <c r="O329" i="11"/>
  <c r="M331" i="11"/>
  <c r="O332" i="11"/>
  <c r="M333" i="11"/>
  <c r="Q333" i="11"/>
  <c r="K335" i="11"/>
  <c r="O335" i="11"/>
  <c r="M337" i="11"/>
  <c r="Q337" i="11"/>
  <c r="K339" i="11"/>
  <c r="O339" i="11"/>
  <c r="M341" i="11"/>
  <c r="Q341" i="11"/>
  <c r="K344" i="11"/>
  <c r="M346" i="11"/>
  <c r="K348" i="11"/>
  <c r="O348" i="11"/>
  <c r="M350" i="11"/>
  <c r="Q350" i="11"/>
  <c r="K352" i="11"/>
  <c r="O352" i="11"/>
  <c r="M355" i="11"/>
  <c r="K357" i="11"/>
  <c r="M359" i="11"/>
  <c r="K361" i="11"/>
  <c r="O361" i="11"/>
  <c r="M363" i="11"/>
  <c r="Q363" i="11"/>
  <c r="K366" i="11"/>
  <c r="M368" i="11"/>
  <c r="K370" i="11"/>
  <c r="O370" i="11"/>
  <c r="M372" i="11"/>
  <c r="K374" i="11"/>
  <c r="O374" i="11"/>
  <c r="M377" i="11"/>
  <c r="K379" i="11"/>
  <c r="M381" i="11"/>
  <c r="K383" i="11"/>
  <c r="O383" i="11"/>
  <c r="M385" i="11"/>
  <c r="Q385" i="11"/>
  <c r="K388" i="11"/>
  <c r="M390" i="11"/>
  <c r="K212" i="11"/>
  <c r="M228" i="11"/>
  <c r="O233" i="11"/>
  <c r="M236" i="11"/>
  <c r="M239" i="11"/>
  <c r="K293" i="11"/>
  <c r="K301" i="11"/>
  <c r="K315" i="11"/>
  <c r="O315" i="11"/>
  <c r="O163" i="11"/>
  <c r="K165" i="11"/>
  <c r="O185" i="11"/>
  <c r="K187" i="11"/>
  <c r="M220" i="11"/>
  <c r="O232" i="11"/>
  <c r="K299" i="11"/>
  <c r="K309" i="11"/>
  <c r="M321" i="11"/>
  <c r="K323" i="11"/>
  <c r="O323" i="11"/>
  <c r="M329" i="11"/>
  <c r="K331" i="11"/>
  <c r="O331" i="11"/>
  <c r="K297" i="11"/>
  <c r="M315" i="11"/>
  <c r="K320" i="11"/>
  <c r="Q334" i="11"/>
  <c r="M338" i="11"/>
  <c r="O340" i="11"/>
  <c r="Q351" i="11"/>
  <c r="M360" i="11"/>
  <c r="O362" i="11"/>
  <c r="M382" i="11"/>
  <c r="O384" i="11"/>
  <c r="K392" i="11"/>
  <c r="O393" i="11"/>
  <c r="K396" i="11"/>
  <c r="O397" i="11"/>
  <c r="M399" i="11"/>
  <c r="M403" i="11"/>
  <c r="M407" i="11"/>
  <c r="S410" i="11"/>
  <c r="K412" i="11"/>
  <c r="M413" i="11"/>
  <c r="S414" i="11"/>
  <c r="K416" i="11"/>
  <c r="S416" i="11"/>
  <c r="M417" i="11"/>
  <c r="K418" i="11"/>
  <c r="O418" i="11"/>
  <c r="S418" i="11"/>
  <c r="M419" i="11"/>
  <c r="Q419" i="11"/>
  <c r="K421" i="11"/>
  <c r="S421" i="11"/>
  <c r="M422" i="11"/>
  <c r="K423" i="11"/>
  <c r="O423" i="11"/>
  <c r="S423" i="11"/>
  <c r="M424" i="11"/>
  <c r="K425" i="11"/>
  <c r="O425" i="11"/>
  <c r="S425" i="11"/>
  <c r="M427" i="11"/>
  <c r="K428" i="11"/>
  <c r="S428" i="11"/>
  <c r="M429" i="11"/>
  <c r="K430" i="11"/>
  <c r="O430" i="11"/>
  <c r="S430" i="11"/>
  <c r="M431" i="11"/>
  <c r="Q431" i="11"/>
  <c r="K433" i="11"/>
  <c r="S433" i="11"/>
  <c r="M434" i="11"/>
  <c r="K435" i="11"/>
  <c r="O435" i="11"/>
  <c r="S435" i="11"/>
  <c r="M436" i="11"/>
  <c r="Q436" i="11"/>
  <c r="K438" i="11"/>
  <c r="S438" i="11"/>
  <c r="M439" i="11"/>
  <c r="K440" i="11"/>
  <c r="O440" i="11"/>
  <c r="S440" i="11"/>
  <c r="M441" i="11"/>
  <c r="K442" i="11"/>
  <c r="O442" i="11"/>
  <c r="S442" i="11"/>
  <c r="M444" i="11"/>
  <c r="K445" i="11"/>
  <c r="O445" i="11"/>
  <c r="S445" i="11"/>
  <c r="M446" i="11"/>
  <c r="K447" i="11"/>
  <c r="O447" i="11"/>
  <c r="S447" i="11"/>
  <c r="M449" i="11"/>
  <c r="K450" i="11"/>
  <c r="S450" i="11"/>
  <c r="M451" i="11"/>
  <c r="K452" i="11"/>
  <c r="O452" i="11"/>
  <c r="S452" i="11"/>
  <c r="M453" i="11"/>
  <c r="Q453" i="11"/>
  <c r="K455" i="11"/>
  <c r="S455" i="11"/>
  <c r="M456" i="11"/>
  <c r="K457" i="11"/>
  <c r="O457" i="11"/>
  <c r="S457" i="11"/>
  <c r="M458" i="11"/>
  <c r="K459" i="11"/>
  <c r="O459" i="11"/>
  <c r="S459" i="11"/>
  <c r="M461" i="11"/>
  <c r="K462" i="11"/>
  <c r="S462" i="11"/>
  <c r="M463" i="11"/>
  <c r="K464" i="11"/>
  <c r="O464" i="11"/>
  <c r="S464" i="11"/>
  <c r="M465" i="11"/>
  <c r="Q465" i="11"/>
  <c r="K467" i="11"/>
  <c r="S467" i="11"/>
  <c r="M468" i="11"/>
  <c r="K469" i="11"/>
  <c r="S469" i="11"/>
  <c r="M470" i="11"/>
  <c r="K471" i="11"/>
  <c r="S471" i="11"/>
  <c r="M472" i="11"/>
  <c r="K473" i="11"/>
  <c r="M307" i="11"/>
  <c r="M330" i="11"/>
  <c r="M334" i="11"/>
  <c r="O336" i="11"/>
  <c r="K340" i="11"/>
  <c r="M351" i="11"/>
  <c r="O353" i="11"/>
  <c r="K358" i="11"/>
  <c r="K362" i="11"/>
  <c r="M369" i="11"/>
  <c r="O371" i="11"/>
  <c r="M373" i="11"/>
  <c r="O375" i="11"/>
  <c r="K380" i="11"/>
  <c r="K384" i="11"/>
  <c r="O405" i="11"/>
  <c r="Q231" i="11"/>
  <c r="K232" i="11"/>
  <c r="Q237" i="11"/>
  <c r="M322" i="11"/>
  <c r="K336" i="11"/>
  <c r="Q342" i="11"/>
  <c r="M347" i="11"/>
  <c r="O349" i="11"/>
  <c r="K353" i="11"/>
  <c r="Q364" i="11"/>
  <c r="K367" i="11"/>
  <c r="K371" i="11"/>
  <c r="K375" i="11"/>
  <c r="Q386" i="11"/>
  <c r="K389" i="11"/>
  <c r="M394" i="11"/>
  <c r="K401" i="11"/>
  <c r="K405" i="11"/>
  <c r="O224" i="11"/>
  <c r="O225" i="11"/>
  <c r="M386" i="11"/>
  <c r="Q407" i="11"/>
  <c r="M408" i="11"/>
  <c r="O412" i="11"/>
  <c r="S475" i="11"/>
  <c r="K477" i="11"/>
  <c r="S479" i="11"/>
  <c r="K481" i="11"/>
  <c r="S483" i="11"/>
  <c r="K485" i="11"/>
  <c r="S487" i="11"/>
  <c r="K489" i="11"/>
  <c r="Q490" i="11"/>
  <c r="S491" i="11"/>
  <c r="S494" i="11"/>
  <c r="K496" i="11"/>
  <c r="S498" i="11"/>
  <c r="K500" i="11"/>
  <c r="S502" i="11"/>
  <c r="K504" i="11"/>
  <c r="S506" i="11"/>
  <c r="K508" i="11"/>
  <c r="S510" i="11"/>
  <c r="K311" i="11"/>
  <c r="M313" i="11"/>
  <c r="K328" i="11"/>
  <c r="K349" i="11"/>
  <c r="M364" i="11"/>
  <c r="Q338" i="11"/>
  <c r="K345" i="11"/>
  <c r="M378" i="11"/>
  <c r="O392" i="11"/>
  <c r="K402" i="11"/>
  <c r="S473" i="11"/>
  <c r="K475" i="11"/>
  <c r="S477" i="11"/>
  <c r="K479" i="11"/>
  <c r="S481" i="11"/>
  <c r="K483" i="11"/>
  <c r="S485" i="11"/>
  <c r="K487" i="11"/>
  <c r="Q488" i="11"/>
  <c r="S489" i="11"/>
  <c r="K491" i="11"/>
  <c r="K494" i="11"/>
  <c r="S496" i="11"/>
  <c r="K498" i="11"/>
  <c r="S500" i="11"/>
  <c r="K502" i="11"/>
  <c r="S504" i="11"/>
  <c r="K506" i="11"/>
  <c r="S508" i="11"/>
  <c r="K510" i="11"/>
  <c r="S512" i="11"/>
  <c r="O514" i="11"/>
  <c r="K516" i="11"/>
  <c r="Q517" i="11"/>
  <c r="K519" i="11"/>
  <c r="M522" i="11"/>
  <c r="M523" i="11"/>
  <c r="K524" i="11"/>
  <c r="S524" i="11"/>
  <c r="M525" i="11"/>
  <c r="K526" i="11"/>
  <c r="S526" i="11"/>
  <c r="M527" i="11"/>
  <c r="K528" i="11"/>
  <c r="S528" i="11"/>
  <c r="M529" i="11"/>
  <c r="K530" i="11"/>
  <c r="O530" i="11"/>
  <c r="S530" i="11"/>
  <c r="M531" i="11"/>
  <c r="K532" i="11"/>
  <c r="O532" i="11"/>
  <c r="S532" i="11"/>
  <c r="M533" i="11"/>
  <c r="K534" i="11"/>
  <c r="O534" i="11"/>
  <c r="S534" i="11"/>
  <c r="M535" i="11"/>
  <c r="K536" i="11"/>
  <c r="O536" i="11"/>
  <c r="S536" i="11"/>
  <c r="M537" i="11"/>
  <c r="K538" i="11"/>
  <c r="O538" i="11"/>
  <c r="S538" i="11"/>
  <c r="M539" i="11"/>
  <c r="Q539" i="11"/>
  <c r="K540" i="11"/>
  <c r="O540" i="11"/>
  <c r="S540" i="11"/>
  <c r="M541" i="11"/>
  <c r="Q541" i="11"/>
  <c r="K542" i="11"/>
  <c r="O542" i="11"/>
  <c r="S542" i="11"/>
  <c r="M543" i="11"/>
  <c r="Q543" i="11"/>
  <c r="K545" i="11"/>
  <c r="S545" i="11"/>
  <c r="M546" i="11"/>
  <c r="K547" i="11"/>
  <c r="O547" i="11"/>
  <c r="S547" i="11"/>
  <c r="M548" i="11"/>
  <c r="Q548" i="11"/>
  <c r="K549" i="11"/>
  <c r="O549" i="11"/>
  <c r="S549" i="11"/>
  <c r="M551" i="11"/>
  <c r="K552" i="11"/>
  <c r="S552" i="11"/>
  <c r="M553" i="11"/>
  <c r="K554" i="11"/>
  <c r="O554" i="11"/>
  <c r="S554" i="11"/>
  <c r="M555" i="11"/>
  <c r="Q555" i="11"/>
  <c r="K557" i="11"/>
  <c r="S557" i="11"/>
  <c r="M558" i="11"/>
  <c r="K559" i="11"/>
  <c r="O559" i="11"/>
  <c r="S559" i="11"/>
  <c r="M560" i="11"/>
  <c r="K561" i="11"/>
  <c r="O561" i="11"/>
  <c r="S561" i="11"/>
  <c r="M563" i="11"/>
  <c r="M342" i="11"/>
  <c r="M356" i="11"/>
  <c r="O396" i="11"/>
  <c r="M404" i="11"/>
  <c r="K406" i="11"/>
  <c r="M476" i="11"/>
  <c r="O477" i="11"/>
  <c r="M480" i="11"/>
  <c r="O481" i="11"/>
  <c r="M484" i="11"/>
  <c r="O485" i="11"/>
  <c r="M488" i="11"/>
  <c r="O489" i="11"/>
  <c r="M495" i="11"/>
  <c r="M499" i="11"/>
  <c r="M503" i="11"/>
  <c r="O504" i="11"/>
  <c r="M507" i="11"/>
  <c r="O508" i="11"/>
  <c r="M511" i="11"/>
  <c r="Q573" i="11"/>
  <c r="M573" i="11"/>
  <c r="M570" i="11"/>
  <c r="S569" i="11"/>
  <c r="K569" i="11"/>
  <c r="S565" i="11"/>
  <c r="O565" i="11"/>
  <c r="K565" i="11"/>
  <c r="M564" i="11"/>
  <c r="M561" i="11"/>
  <c r="K558" i="11"/>
  <c r="O555" i="11"/>
  <c r="M549" i="11"/>
  <c r="K548" i="11"/>
  <c r="S546" i="11"/>
  <c r="O541" i="11"/>
  <c r="Q540" i="11"/>
  <c r="S537" i="11"/>
  <c r="S533" i="11"/>
  <c r="S529" i="11"/>
  <c r="K527" i="11"/>
  <c r="M524" i="11"/>
  <c r="K522" i="11"/>
  <c r="S521" i="11"/>
  <c r="O517" i="11"/>
  <c r="Q515" i="11"/>
  <c r="S514" i="11"/>
  <c r="K514" i="11"/>
  <c r="M513" i="11"/>
  <c r="O512" i="11"/>
  <c r="M490" i="11"/>
  <c r="O488" i="11"/>
  <c r="M486" i="11"/>
  <c r="M467" i="11"/>
  <c r="O465" i="11"/>
  <c r="S456" i="11"/>
  <c r="S453" i="11"/>
  <c r="K453" i="11"/>
  <c r="S439" i="11"/>
  <c r="S436" i="11"/>
  <c r="K436" i="11"/>
  <c r="M425" i="11"/>
  <c r="O424" i="11"/>
  <c r="K407" i="11"/>
  <c r="AG169" i="3"/>
  <c r="AG88" i="3"/>
  <c r="AG30" i="3"/>
  <c r="AG28" i="3"/>
  <c r="AG25" i="3"/>
  <c r="AG23" i="3"/>
  <c r="AG21" i="3"/>
  <c r="AG18" i="3"/>
  <c r="AG16" i="3"/>
  <c r="AG13" i="3"/>
  <c r="AG11" i="3"/>
  <c r="AG9" i="3"/>
  <c r="AG61" i="3"/>
  <c r="M572" i="11"/>
  <c r="S571" i="11"/>
  <c r="O571" i="11"/>
  <c r="K571" i="11"/>
  <c r="S543" i="11"/>
  <c r="K543" i="11"/>
  <c r="M542" i="11"/>
  <c r="O539" i="11"/>
  <c r="K537" i="11"/>
  <c r="M536" i="11"/>
  <c r="O535" i="11"/>
  <c r="K533" i="11"/>
  <c r="M532" i="11"/>
  <c r="O531" i="11"/>
  <c r="K529" i="11"/>
  <c r="M526" i="11"/>
  <c r="S523" i="11"/>
  <c r="K521" i="11"/>
  <c r="M520" i="11"/>
  <c r="M517" i="11"/>
  <c r="O516" i="11"/>
  <c r="Q513" i="11"/>
  <c r="O511" i="11"/>
  <c r="M509" i="11"/>
  <c r="M497" i="11"/>
  <c r="O487" i="11"/>
  <c r="O484" i="11"/>
  <c r="M482" i="11"/>
  <c r="M428" i="11"/>
  <c r="S417" i="11"/>
  <c r="K414" i="11"/>
  <c r="S522" i="11"/>
  <c r="M521" i="11"/>
  <c r="Q516" i="11"/>
  <c r="K515" i="11"/>
  <c r="O513" i="11"/>
  <c r="O509" i="11"/>
  <c r="O505" i="11"/>
  <c r="Q491" i="11"/>
  <c r="O490" i="11"/>
  <c r="Q487" i="11"/>
  <c r="O486" i="11"/>
  <c r="O482" i="11"/>
  <c r="O478" i="11"/>
  <c r="M471" i="11"/>
  <c r="S468" i="11"/>
  <c r="S465" i="11"/>
  <c r="K465" i="11"/>
  <c r="M464" i="11"/>
  <c r="O463" i="11"/>
  <c r="S461" i="11"/>
  <c r="S458" i="11"/>
  <c r="M455" i="11"/>
  <c r="O453" i="11"/>
  <c r="K451" i="11"/>
  <c r="S444" i="11"/>
  <c r="S441" i="11"/>
  <c r="M438" i="11"/>
  <c r="O436" i="11"/>
  <c r="K434" i="11"/>
  <c r="S429" i="11"/>
  <c r="K427" i="11"/>
  <c r="Q425" i="11"/>
  <c r="K424" i="11"/>
  <c r="M423" i="11"/>
  <c r="M416" i="11"/>
  <c r="O414" i="11"/>
  <c r="K413" i="11"/>
  <c r="S412" i="11"/>
  <c r="M411" i="11"/>
  <c r="Q408" i="11"/>
  <c r="K393" i="11"/>
  <c r="M391" i="11"/>
  <c r="M388" i="11"/>
  <c r="M383" i="11"/>
  <c r="Q353" i="11"/>
  <c r="O351" i="11"/>
  <c r="O341" i="11"/>
  <c r="K338" i="11"/>
  <c r="Q336" i="11"/>
  <c r="O334" i="11"/>
  <c r="K520" i="11"/>
  <c r="K517" i="11"/>
  <c r="O515" i="11"/>
  <c r="S513" i="11"/>
  <c r="M512" i="11"/>
  <c r="K511" i="11"/>
  <c r="S509" i="11"/>
  <c r="M508" i="11"/>
  <c r="K507" i="11"/>
  <c r="S505" i="11"/>
  <c r="M504" i="11"/>
  <c r="K503" i="11"/>
  <c r="S501" i="11"/>
  <c r="M500" i="11"/>
  <c r="K499" i="11"/>
  <c r="S497" i="11"/>
  <c r="M496" i="11"/>
  <c r="K495" i="11"/>
  <c r="S493" i="11"/>
  <c r="S490" i="11"/>
  <c r="M489" i="11"/>
  <c r="K488" i="11"/>
  <c r="S486" i="11"/>
  <c r="M485" i="11"/>
  <c r="K484" i="11"/>
  <c r="S482" i="11"/>
  <c r="M481" i="11"/>
  <c r="K480" i="11"/>
  <c r="S478" i="11"/>
  <c r="M477" i="11"/>
  <c r="K476" i="11"/>
  <c r="S474" i="11"/>
  <c r="M473" i="11"/>
  <c r="S470" i="11"/>
  <c r="K468" i="11"/>
  <c r="S463" i="11"/>
  <c r="K461" i="11"/>
  <c r="Q459" i="11"/>
  <c r="K458" i="11"/>
  <c r="M457" i="11"/>
  <c r="M450" i="11"/>
  <c r="M447" i="11"/>
  <c r="O446" i="11"/>
  <c r="K444" i="11"/>
  <c r="Q442" i="11"/>
  <c r="K441" i="11"/>
  <c r="M440" i="11"/>
  <c r="M433" i="11"/>
  <c r="O431" i="11"/>
  <c r="K429" i="11"/>
  <c r="S422" i="11"/>
  <c r="S419" i="11"/>
  <c r="K419" i="11"/>
  <c r="M418" i="11"/>
  <c r="O417" i="11"/>
  <c r="S411" i="11"/>
  <c r="K410" i="11"/>
  <c r="O406" i="11"/>
  <c r="K399" i="11"/>
  <c r="Q375" i="11"/>
  <c r="M362" i="11"/>
  <c r="K346" i="11"/>
  <c r="M339" i="11"/>
  <c r="O320" i="11"/>
  <c r="M384" i="11"/>
  <c r="O373" i="11"/>
  <c r="O363" i="11"/>
  <c r="K360" i="11"/>
  <c r="O359" i="11"/>
  <c r="M358" i="11"/>
  <c r="M326" i="11"/>
  <c r="M324" i="11"/>
  <c r="K310" i="11"/>
  <c r="S520" i="11"/>
  <c r="M519" i="11"/>
  <c r="S517" i="11"/>
  <c r="M516" i="11"/>
  <c r="Q514" i="11"/>
  <c r="K513" i="11"/>
  <c r="S511" i="11"/>
  <c r="M510" i="11"/>
  <c r="K509" i="11"/>
  <c r="S507" i="11"/>
  <c r="M506" i="11"/>
  <c r="K505" i="11"/>
  <c r="S503" i="11"/>
  <c r="M502" i="11"/>
  <c r="K501" i="11"/>
  <c r="S499" i="11"/>
  <c r="M498" i="11"/>
  <c r="K497" i="11"/>
  <c r="S495" i="11"/>
  <c r="M494" i="11"/>
  <c r="K493" i="11"/>
  <c r="M491" i="11"/>
  <c r="K490" i="11"/>
  <c r="S488" i="11"/>
  <c r="M487" i="11"/>
  <c r="K486" i="11"/>
  <c r="S484" i="11"/>
  <c r="M483" i="11"/>
  <c r="K482" i="11"/>
  <c r="S480" i="11"/>
  <c r="M479" i="11"/>
  <c r="K478" i="11"/>
  <c r="S476" i="11"/>
  <c r="M475" i="11"/>
  <c r="K474" i="11"/>
  <c r="K472" i="11"/>
  <c r="M469" i="11"/>
  <c r="M462" i="11"/>
  <c r="M459" i="11"/>
  <c r="O458" i="11"/>
  <c r="K456" i="11"/>
  <c r="S451" i="11"/>
  <c r="K449" i="11"/>
  <c r="Q447" i="11"/>
  <c r="K446" i="11"/>
  <c r="M445" i="11"/>
  <c r="M442" i="11"/>
  <c r="O441" i="11"/>
  <c r="K439" i="11"/>
  <c r="S434" i="11"/>
  <c r="S431" i="11"/>
  <c r="K431" i="11"/>
  <c r="M430" i="11"/>
  <c r="O429" i="11"/>
  <c r="S427" i="11"/>
  <c r="S424" i="11"/>
  <c r="M421" i="11"/>
  <c r="O419" i="11"/>
  <c r="K417" i="11"/>
  <c r="Q414" i="11"/>
  <c r="K403" i="11"/>
  <c r="K397" i="11"/>
  <c r="M395" i="11"/>
  <c r="M393" i="11"/>
  <c r="O385" i="11"/>
  <c r="K382" i="11"/>
  <c r="O381" i="11"/>
  <c r="M380" i="11"/>
  <c r="M366" i="11"/>
  <c r="M361" i="11"/>
  <c r="K350" i="11"/>
  <c r="M340" i="11"/>
  <c r="K333" i="11"/>
  <c r="O317" i="11"/>
  <c r="K316" i="11"/>
  <c r="M227" i="11"/>
  <c r="O413" i="11"/>
  <c r="M412" i="11"/>
  <c r="K408" i="11"/>
  <c r="O407" i="11"/>
  <c r="K404" i="11"/>
  <c r="O403" i="11"/>
  <c r="K400" i="11"/>
  <c r="Q397" i="11"/>
  <c r="M396" i="11"/>
  <c r="M392" i="11"/>
  <c r="K390" i="11"/>
  <c r="K386" i="11"/>
  <c r="O382" i="11"/>
  <c r="M379" i="11"/>
  <c r="K378" i="11"/>
  <c r="Q374" i="11"/>
  <c r="K372" i="11"/>
  <c r="K368" i="11"/>
  <c r="K364" i="11"/>
  <c r="Q362" i="11"/>
  <c r="O360" i="11"/>
  <c r="M357" i="11"/>
  <c r="K356" i="11"/>
  <c r="Q352" i="11"/>
  <c r="K342" i="11"/>
  <c r="Q340" i="11"/>
  <c r="O338" i="11"/>
  <c r="K337" i="11"/>
  <c r="Q335" i="11"/>
  <c r="M332" i="11"/>
  <c r="O328" i="11"/>
  <c r="O325" i="11"/>
  <c r="K324" i="11"/>
  <c r="M319" i="11"/>
  <c r="K238" i="11"/>
  <c r="S413" i="11"/>
  <c r="K411" i="11"/>
  <c r="O408" i="11"/>
  <c r="M406" i="11"/>
  <c r="O404" i="11"/>
  <c r="M402" i="11"/>
  <c r="Q396" i="11"/>
  <c r="K394" i="11"/>
  <c r="O386" i="11"/>
  <c r="K385" i="11"/>
  <c r="K381" i="11"/>
  <c r="O364" i="11"/>
  <c r="K363" i="11"/>
  <c r="Q361" i="11"/>
  <c r="K359" i="11"/>
  <c r="O350" i="11"/>
  <c r="M349" i="11"/>
  <c r="M348" i="11"/>
  <c r="K347" i="11"/>
  <c r="M345" i="11"/>
  <c r="O342" i="11"/>
  <c r="K341" i="11"/>
  <c r="Q339" i="11"/>
  <c r="O333" i="11"/>
  <c r="K332" i="11"/>
  <c r="M327" i="11"/>
  <c r="O318" i="11"/>
  <c r="K317" i="11"/>
  <c r="K308" i="11"/>
  <c r="M207" i="11"/>
  <c r="M203" i="11"/>
  <c r="M414" i="11"/>
  <c r="M410" i="11"/>
  <c r="M405" i="11"/>
  <c r="M401" i="11"/>
  <c r="K395" i="11"/>
  <c r="O394" i="11"/>
  <c r="K391" i="11"/>
  <c r="M389" i="11"/>
  <c r="K377" i="11"/>
  <c r="M375" i="11"/>
  <c r="M374" i="11"/>
  <c r="K373" i="11"/>
  <c r="O372" i="11"/>
  <c r="M371" i="11"/>
  <c r="M370" i="11"/>
  <c r="K369" i="11"/>
  <c r="M367" i="11"/>
  <c r="K355" i="11"/>
  <c r="M353" i="11"/>
  <c r="M352" i="11"/>
  <c r="K351" i="11"/>
  <c r="M344" i="11"/>
  <c r="O337" i="11"/>
  <c r="M336" i="11"/>
  <c r="M335" i="11"/>
  <c r="K334" i="11"/>
  <c r="O326" i="11"/>
  <c r="K325" i="11"/>
  <c r="M318" i="11"/>
  <c r="M287" i="11"/>
  <c r="M255" i="11"/>
  <c r="M247" i="11"/>
  <c r="K330" i="11"/>
  <c r="K322" i="11"/>
  <c r="K314" i="11"/>
  <c r="M304" i="11"/>
  <c r="M289" i="11"/>
  <c r="M281" i="11"/>
  <c r="M279" i="11"/>
  <c r="M277" i="11"/>
  <c r="M275" i="11"/>
  <c r="M273" i="11"/>
  <c r="M271" i="11"/>
  <c r="M269" i="11"/>
  <c r="M267" i="11"/>
  <c r="M265" i="11"/>
  <c r="M263" i="11"/>
  <c r="M261" i="11"/>
  <c r="M253" i="11"/>
  <c r="M245" i="11"/>
  <c r="M191" i="11"/>
  <c r="O186" i="11"/>
  <c r="O164" i="11"/>
  <c r="O330" i="11"/>
  <c r="M328" i="11"/>
  <c r="O322" i="11"/>
  <c r="M320" i="11"/>
  <c r="M312" i="11"/>
  <c r="M291" i="11"/>
  <c r="M283" i="11"/>
  <c r="M259" i="11"/>
  <c r="M251" i="11"/>
  <c r="M243" i="11"/>
  <c r="K221" i="11"/>
  <c r="K326" i="11"/>
  <c r="K318" i="11"/>
  <c r="M316" i="11"/>
  <c r="M285" i="11"/>
  <c r="M257" i="11"/>
  <c r="M249" i="11"/>
  <c r="K240" i="11"/>
  <c r="K237" i="11"/>
  <c r="M235" i="11"/>
  <c r="K229" i="11"/>
  <c r="M219" i="11"/>
  <c r="K201" i="11"/>
  <c r="O152" i="11"/>
  <c r="O316" i="11"/>
  <c r="M314" i="11"/>
  <c r="M306" i="11"/>
  <c r="M302" i="11"/>
  <c r="M300" i="11"/>
  <c r="M298" i="11"/>
  <c r="M296" i="11"/>
  <c r="M294" i="11"/>
  <c r="K291" i="11"/>
  <c r="K289" i="11"/>
  <c r="K287" i="11"/>
  <c r="K285" i="11"/>
  <c r="K283" i="11"/>
  <c r="K281" i="11"/>
  <c r="K279" i="11"/>
  <c r="K277" i="11"/>
  <c r="K275" i="11"/>
  <c r="K273" i="11"/>
  <c r="K271" i="11"/>
  <c r="K269" i="11"/>
  <c r="K267" i="11"/>
  <c r="K265" i="11"/>
  <c r="K263" i="11"/>
  <c r="K261" i="11"/>
  <c r="K259" i="11"/>
  <c r="K257" i="11"/>
  <c r="K255" i="11"/>
  <c r="K253" i="11"/>
  <c r="K251" i="11"/>
  <c r="K249" i="11"/>
  <c r="K247" i="11"/>
  <c r="K245" i="11"/>
  <c r="K243" i="11"/>
  <c r="Q240" i="11"/>
  <c r="Q238" i="11"/>
  <c r="K235" i="11"/>
  <c r="K227" i="11"/>
  <c r="K219" i="11"/>
  <c r="K205" i="11"/>
  <c r="K203" i="11"/>
  <c r="O188" i="11"/>
  <c r="O173" i="11"/>
  <c r="O166" i="11"/>
  <c r="O156" i="11"/>
  <c r="K143" i="11"/>
  <c r="O142" i="11"/>
  <c r="M77" i="11"/>
  <c r="K312" i="11"/>
  <c r="K304" i="11"/>
  <c r="K302" i="11"/>
  <c r="K300" i="11"/>
  <c r="K298" i="11"/>
  <c r="K296" i="11"/>
  <c r="K294" i="11"/>
  <c r="Q291" i="11"/>
  <c r="Q289" i="11"/>
  <c r="Q287" i="11"/>
  <c r="Q285" i="11"/>
  <c r="Q283" i="11"/>
  <c r="O240" i="11"/>
  <c r="O238" i="11"/>
  <c r="Q233" i="11"/>
  <c r="K233" i="11"/>
  <c r="M231" i="11"/>
  <c r="K225" i="11"/>
  <c r="M223" i="11"/>
  <c r="K217" i="11"/>
  <c r="M211" i="11"/>
  <c r="K209" i="11"/>
  <c r="M199" i="11"/>
  <c r="M195" i="11"/>
  <c r="K193" i="11"/>
  <c r="O175" i="11"/>
  <c r="M150" i="11"/>
  <c r="K147" i="11"/>
  <c r="O146" i="11"/>
  <c r="K134" i="11"/>
  <c r="O133" i="11"/>
  <c r="M127" i="11"/>
  <c r="O122" i="11"/>
  <c r="M119" i="11"/>
  <c r="M310" i="11"/>
  <c r="O291" i="11"/>
  <c r="O289" i="11"/>
  <c r="O287" i="11"/>
  <c r="O285" i="11"/>
  <c r="O283" i="11"/>
  <c r="O281" i="11"/>
  <c r="O279" i="11"/>
  <c r="O277" i="11"/>
  <c r="O275" i="11"/>
  <c r="O273" i="11"/>
  <c r="O271" i="11"/>
  <c r="O269" i="11"/>
  <c r="O267" i="11"/>
  <c r="O265" i="11"/>
  <c r="O263" i="11"/>
  <c r="M240" i="11"/>
  <c r="M238" i="11"/>
  <c r="K231" i="11"/>
  <c r="K223" i="11"/>
  <c r="M215" i="11"/>
  <c r="K213" i="11"/>
  <c r="K211" i="11"/>
  <c r="K197" i="11"/>
  <c r="K195" i="11"/>
  <c r="O184" i="11"/>
  <c r="O177" i="11"/>
  <c r="O162" i="11"/>
  <c r="K161" i="11"/>
  <c r="K99" i="11"/>
  <c r="O235" i="11"/>
  <c r="M233" i="11"/>
  <c r="O227" i="11"/>
  <c r="M225" i="11"/>
  <c r="O219" i="11"/>
  <c r="M217" i="11"/>
  <c r="O211" i="11"/>
  <c r="M209" i="11"/>
  <c r="M201" i="11"/>
  <c r="M193" i="11"/>
  <c r="M188" i="11"/>
  <c r="M186" i="11"/>
  <c r="M184" i="11"/>
  <c r="M182" i="11"/>
  <c r="M180" i="11"/>
  <c r="M177" i="11"/>
  <c r="M175" i="11"/>
  <c r="M173" i="11"/>
  <c r="M171" i="11"/>
  <c r="M169" i="11"/>
  <c r="M166" i="11"/>
  <c r="M164" i="11"/>
  <c r="M162" i="11"/>
  <c r="M154" i="11"/>
  <c r="M146" i="11"/>
  <c r="Q136" i="11"/>
  <c r="K124" i="11"/>
  <c r="K116" i="11"/>
  <c r="M115" i="11"/>
  <c r="M105" i="11"/>
  <c r="O104" i="11"/>
  <c r="K103" i="11"/>
  <c r="O102" i="11"/>
  <c r="M87" i="11"/>
  <c r="M84" i="11"/>
  <c r="K215" i="11"/>
  <c r="K207" i="11"/>
  <c r="K199" i="11"/>
  <c r="K191" i="11"/>
  <c r="K188" i="11"/>
  <c r="K186" i="11"/>
  <c r="K184" i="11"/>
  <c r="K182" i="11"/>
  <c r="K180" i="11"/>
  <c r="K177" i="11"/>
  <c r="K175" i="11"/>
  <c r="K173" i="11"/>
  <c r="K171" i="11"/>
  <c r="K169" i="11"/>
  <c r="K166" i="11"/>
  <c r="K164" i="11"/>
  <c r="K162" i="11"/>
  <c r="M159" i="11"/>
  <c r="K156" i="11"/>
  <c r="O155" i="11"/>
  <c r="K152" i="11"/>
  <c r="O151" i="11"/>
  <c r="O147" i="11"/>
  <c r="O143" i="11"/>
  <c r="M141" i="11"/>
  <c r="Q135" i="11"/>
  <c r="K130" i="11"/>
  <c r="K126" i="11"/>
  <c r="O125" i="11"/>
  <c r="K118" i="11"/>
  <c r="Q96" i="11"/>
  <c r="O94" i="11"/>
  <c r="K93" i="11"/>
  <c r="O578" i="11"/>
  <c r="M237" i="11"/>
  <c r="O231" i="11"/>
  <c r="M229" i="11"/>
  <c r="O223" i="11"/>
  <c r="M221" i="11"/>
  <c r="O215" i="11"/>
  <c r="M213" i="11"/>
  <c r="M205" i="11"/>
  <c r="M197" i="11"/>
  <c r="Q188" i="11"/>
  <c r="Q177" i="11"/>
  <c r="Q166" i="11"/>
  <c r="M155" i="11"/>
  <c r="M145" i="11"/>
  <c r="M138" i="11"/>
  <c r="O65" i="11"/>
  <c r="K158" i="11"/>
  <c r="K149" i="11"/>
  <c r="K140" i="11"/>
  <c r="M136" i="11"/>
  <c r="M132" i="11"/>
  <c r="M126" i="11"/>
  <c r="K125" i="11"/>
  <c r="M124" i="11"/>
  <c r="M118" i="11"/>
  <c r="O115" i="11"/>
  <c r="M114" i="11"/>
  <c r="K113" i="11"/>
  <c r="O112" i="11"/>
  <c r="K111" i="11"/>
  <c r="Q104" i="11"/>
  <c r="M101" i="11"/>
  <c r="M95" i="11"/>
  <c r="M93" i="11"/>
  <c r="M88" i="11"/>
  <c r="K85" i="11"/>
  <c r="O84" i="11"/>
  <c r="K64" i="11"/>
  <c r="Q155" i="11"/>
  <c r="K153" i="11"/>
  <c r="Q146" i="11"/>
  <c r="K144" i="11"/>
  <c r="K135" i="11"/>
  <c r="O134" i="11"/>
  <c r="K131" i="11"/>
  <c r="Q127" i="11"/>
  <c r="Q126" i="11"/>
  <c r="M122" i="11"/>
  <c r="K121" i="11"/>
  <c r="M120" i="11"/>
  <c r="O116" i="11"/>
  <c r="K115" i="11"/>
  <c r="O113" i="11"/>
  <c r="K112" i="11"/>
  <c r="O111" i="11"/>
  <c r="M110" i="11"/>
  <c r="M104" i="11"/>
  <c r="M102" i="11"/>
  <c r="Q95" i="11"/>
  <c r="M92" i="11"/>
  <c r="O85" i="11"/>
  <c r="M160" i="11"/>
  <c r="O153" i="11"/>
  <c r="M151" i="11"/>
  <c r="O144" i="11"/>
  <c r="M142" i="11"/>
  <c r="K139" i="11"/>
  <c r="O135" i="11"/>
  <c r="M133" i="11"/>
  <c r="O131" i="11"/>
  <c r="M129" i="11"/>
  <c r="O126" i="11"/>
  <c r="O124" i="11"/>
  <c r="M123" i="11"/>
  <c r="K122" i="11"/>
  <c r="K120" i="11"/>
  <c r="Q115" i="11"/>
  <c r="M113" i="11"/>
  <c r="M111" i="11"/>
  <c r="K108" i="11"/>
  <c r="Q105" i="11"/>
  <c r="O103" i="11"/>
  <c r="K102" i="11"/>
  <c r="M96" i="11"/>
  <c r="O95" i="11"/>
  <c r="K94" i="11"/>
  <c r="O93" i="11"/>
  <c r="K90" i="11"/>
  <c r="O79" i="11"/>
  <c r="K104" i="11"/>
  <c r="K95" i="11"/>
  <c r="K87" i="11"/>
  <c r="K82" i="11"/>
  <c r="Q79" i="11"/>
  <c r="O77" i="11"/>
  <c r="K75" i="11"/>
  <c r="M70" i="11"/>
  <c r="M67" i="11"/>
  <c r="O60" i="11"/>
  <c r="K55" i="11"/>
  <c r="K54" i="11"/>
  <c r="K109" i="11"/>
  <c r="K100" i="11"/>
  <c r="K91" i="11"/>
  <c r="M79" i="11"/>
  <c r="K77" i="11"/>
  <c r="K71" i="11"/>
  <c r="Q67" i="11"/>
  <c r="M65" i="11"/>
  <c r="M63" i="11"/>
  <c r="O61" i="11"/>
  <c r="M107" i="11"/>
  <c r="O100" i="11"/>
  <c r="M98" i="11"/>
  <c r="O91" i="11"/>
  <c r="M89" i="11"/>
  <c r="M82" i="11"/>
  <c r="K79" i="11"/>
  <c r="M75" i="11"/>
  <c r="K73" i="11"/>
  <c r="O71" i="11"/>
  <c r="K69" i="11"/>
  <c r="M66" i="11"/>
  <c r="K53" i="11"/>
  <c r="M576" i="11"/>
  <c r="K65" i="11"/>
  <c r="O62" i="11"/>
  <c r="K61" i="11"/>
  <c r="K60" i="11"/>
  <c r="K59" i="11"/>
  <c r="K58" i="11"/>
  <c r="O46" i="11"/>
  <c r="O45" i="11"/>
  <c r="K63" i="11"/>
  <c r="O56" i="11"/>
  <c r="O55" i="11"/>
  <c r="O54" i="11"/>
  <c r="O53" i="11"/>
  <c r="K50" i="11"/>
  <c r="K49" i="11"/>
  <c r="K48" i="11"/>
  <c r="M578" i="11"/>
  <c r="S576" i="11"/>
  <c r="K576" i="11"/>
  <c r="K66" i="11"/>
  <c r="K62" i="11"/>
  <c r="O51" i="11"/>
  <c r="O50" i="11"/>
  <c r="O49" i="11"/>
  <c r="O48" i="11"/>
  <c r="K45" i="11"/>
  <c r="S578" i="11"/>
  <c r="K578" i="11"/>
  <c r="AF235" i="3"/>
  <c r="AF342" i="3"/>
  <c r="AF282" i="3"/>
  <c r="AF352" i="3"/>
  <c r="AF333" i="3"/>
  <c r="AF189" i="3"/>
  <c r="AF490" i="3"/>
  <c r="AF414" i="3"/>
  <c r="AF447" i="3"/>
  <c r="AF442" i="3"/>
  <c r="AF374" i="3"/>
  <c r="AF364" i="3"/>
  <c r="AF351" i="3"/>
  <c r="AF350" i="3"/>
  <c r="AF340" i="3"/>
  <c r="AF286" i="3"/>
  <c r="AF240" i="3"/>
  <c r="AF188" i="3"/>
  <c r="AF542" i="3"/>
  <c r="AF177" i="3"/>
  <c r="AF126" i="3"/>
  <c r="AG195" i="3"/>
  <c r="AG392" i="3"/>
  <c r="AF386" i="3"/>
  <c r="AF543" i="3"/>
  <c r="AF465" i="3"/>
  <c r="AF436" i="3"/>
  <c r="AF361" i="3"/>
  <c r="AF339" i="3"/>
  <c r="AF336" i="3"/>
  <c r="AF334" i="3"/>
  <c r="AF408" i="3"/>
  <c r="AF397" i="3"/>
  <c r="AF238" i="3"/>
  <c r="AF231" i="3"/>
  <c r="AF178" i="3"/>
  <c r="AF155" i="3"/>
  <c r="AF491" i="3"/>
  <c r="AF487" i="3"/>
  <c r="AF291" i="3"/>
  <c r="AF285" i="3"/>
  <c r="AF549" i="3"/>
  <c r="AF517" i="3"/>
  <c r="AF541" i="3"/>
  <c r="AF425" i="3"/>
  <c r="AF407" i="3"/>
  <c r="AF362" i="3"/>
  <c r="AF555" i="3"/>
  <c r="AF554" i="3"/>
  <c r="AF540" i="3"/>
  <c r="AF453" i="3"/>
  <c r="AF290" i="3"/>
  <c r="AF289" i="3"/>
  <c r="AF287" i="3"/>
  <c r="AF239" i="3"/>
  <c r="AF166" i="3"/>
  <c r="AF234" i="3"/>
  <c r="AF233" i="3"/>
  <c r="AF232" i="3"/>
  <c r="AF579" i="3"/>
  <c r="AF548" i="3"/>
  <c r="AF539" i="3"/>
  <c r="AF385" i="3"/>
  <c r="AF516" i="3"/>
  <c r="AF515" i="3"/>
  <c r="AF488" i="3"/>
  <c r="AF363" i="3"/>
  <c r="AF353" i="3"/>
  <c r="AF573" i="3"/>
  <c r="AF431" i="3"/>
  <c r="AF419" i="3"/>
  <c r="AF567" i="3"/>
  <c r="AF459" i="3"/>
  <c r="AF335" i="3"/>
  <c r="AF513" i="3"/>
  <c r="AF396" i="3"/>
  <c r="AF337" i="3"/>
  <c r="AF288" i="3"/>
  <c r="AF284" i="3"/>
  <c r="AG98" i="3"/>
  <c r="AF489" i="3"/>
  <c r="AF375" i="3"/>
  <c r="AF338" i="3"/>
  <c r="AF341" i="3"/>
  <c r="AF514" i="3"/>
  <c r="AF561" i="3"/>
  <c r="S265" i="10"/>
  <c r="V265" i="2"/>
  <c r="T264" i="2"/>
  <c r="S264" i="10" s="1"/>
  <c r="S264" i="2"/>
  <c r="S265" i="2"/>
  <c r="R265" i="10" s="1"/>
  <c r="V325" i="2"/>
  <c r="R309" i="10"/>
  <c r="I180" i="11" l="1"/>
  <c r="AG257" i="3"/>
  <c r="AG110" i="3"/>
  <c r="AG355" i="3"/>
  <c r="I359" i="11"/>
  <c r="V124" i="4"/>
  <c r="V108" i="4"/>
  <c r="AG66" i="3"/>
  <c r="AG64" i="3"/>
  <c r="AG65" i="3"/>
  <c r="AG67" i="3"/>
  <c r="AI62" i="3"/>
  <c r="AG59" i="3"/>
  <c r="AG62" i="3"/>
  <c r="AG214" i="3"/>
  <c r="F444" i="11"/>
  <c r="V47" i="4"/>
  <c r="AI67" i="3"/>
  <c r="AH67" i="3"/>
  <c r="V139" i="4"/>
  <c r="AG296" i="3"/>
  <c r="AG121" i="3"/>
  <c r="AG150" i="3"/>
  <c r="I258" i="11"/>
  <c r="AG378" i="3"/>
  <c r="AG247" i="3"/>
  <c r="AG344" i="3"/>
  <c r="V94" i="4"/>
  <c r="V20" i="4"/>
  <c r="D793" i="2"/>
  <c r="V151" i="4"/>
  <c r="I122" i="11"/>
  <c r="V74" i="4"/>
  <c r="V35" i="4"/>
  <c r="V44" i="4"/>
  <c r="V123" i="4"/>
  <c r="AG558" i="3"/>
  <c r="AG207" i="3"/>
  <c r="Y438" i="3"/>
  <c r="I438" i="11" s="1"/>
  <c r="AG379" i="3"/>
  <c r="V76" i="4"/>
  <c r="V4" i="4"/>
  <c r="V131" i="4"/>
  <c r="AG366" i="3"/>
  <c r="V42" i="4"/>
  <c r="V63" i="4"/>
  <c r="V100" i="4"/>
  <c r="V24" i="4"/>
  <c r="Y526" i="3"/>
  <c r="I526" i="11" s="1"/>
  <c r="V101" i="4"/>
  <c r="AJ62" i="3"/>
  <c r="AK62" i="3" s="1"/>
  <c r="AG304" i="3"/>
  <c r="AG158" i="3"/>
  <c r="V87" i="4"/>
  <c r="N245" i="2"/>
  <c r="J245" i="10" s="1"/>
  <c r="V98" i="4"/>
  <c r="N550" i="2"/>
  <c r="J550" i="10" s="1"/>
  <c r="N764" i="2"/>
  <c r="J764" i="10" s="1"/>
  <c r="V84" i="4"/>
  <c r="N548" i="2"/>
  <c r="J548" i="10" s="1"/>
  <c r="N791" i="2"/>
  <c r="J791" i="10" s="1"/>
  <c r="F520" i="11"/>
  <c r="V5" i="4"/>
  <c r="AG444" i="3"/>
  <c r="N738" i="2"/>
  <c r="J738" i="10" s="1"/>
  <c r="Y427" i="3"/>
  <c r="AG427" i="3" s="1"/>
  <c r="D761" i="2"/>
  <c r="D824" i="2"/>
  <c r="AG472" i="3"/>
  <c r="I472" i="11"/>
  <c r="AG305" i="3"/>
  <c r="Y499" i="3"/>
  <c r="I499" i="11" s="1"/>
  <c r="Y570" i="3"/>
  <c r="AG570" i="3" s="1"/>
  <c r="Y524" i="3"/>
  <c r="I524" i="11" s="1"/>
  <c r="N766" i="2"/>
  <c r="J766" i="10" s="1"/>
  <c r="Y569" i="3"/>
  <c r="AG569" i="3" s="1"/>
  <c r="N644" i="2"/>
  <c r="J644" i="10" s="1"/>
  <c r="AG242" i="3"/>
  <c r="V33" i="4"/>
  <c r="V12" i="4"/>
  <c r="AG76" i="3"/>
  <c r="V32" i="4"/>
  <c r="V60" i="4"/>
  <c r="F428" i="11"/>
  <c r="V37" i="4"/>
  <c r="V26" i="4"/>
  <c r="V57" i="4"/>
  <c r="AG149" i="3"/>
  <c r="V6" i="4"/>
  <c r="V69" i="4"/>
  <c r="V147" i="4"/>
  <c r="V28" i="4"/>
  <c r="Y497" i="3"/>
  <c r="AG497" i="3" s="1"/>
  <c r="N612" i="2"/>
  <c r="J612" i="10" s="1"/>
  <c r="Y519" i="3"/>
  <c r="I519" i="11" s="1"/>
  <c r="V130" i="4"/>
  <c r="AH62" i="3"/>
  <c r="N825" i="2"/>
  <c r="J825" i="10" s="1"/>
  <c r="N468" i="2"/>
  <c r="J468" i="10" s="1"/>
  <c r="AG138" i="3"/>
  <c r="D705" i="2"/>
  <c r="V120" i="4"/>
  <c r="V125" i="4"/>
  <c r="V23" i="4"/>
  <c r="V92" i="4"/>
  <c r="V135" i="4"/>
  <c r="V46" i="4"/>
  <c r="V119" i="4"/>
  <c r="N711" i="2"/>
  <c r="J711" i="10" s="1"/>
  <c r="AG313" i="3"/>
  <c r="V96" i="4"/>
  <c r="V30" i="4"/>
  <c r="V53" i="4"/>
  <c r="V142" i="4"/>
  <c r="V79" i="4"/>
  <c r="Y494" i="3"/>
  <c r="AG494" i="3" s="1"/>
  <c r="N288" i="2"/>
  <c r="J288" i="10" s="1"/>
  <c r="Y449" i="3"/>
  <c r="I449" i="11" s="1"/>
  <c r="N716" i="2"/>
  <c r="J716" i="10" s="1"/>
  <c r="AG260" i="3"/>
  <c r="AG82" i="3"/>
  <c r="V10" i="4"/>
  <c r="V58" i="4"/>
  <c r="V93" i="4"/>
  <c r="V27" i="4"/>
  <c r="V138" i="4"/>
  <c r="V127" i="4"/>
  <c r="V11" i="4"/>
  <c r="V95" i="4"/>
  <c r="AG295" i="3"/>
  <c r="I213" i="11"/>
  <c r="D723" i="2"/>
  <c r="V7" i="4"/>
  <c r="V149" i="4"/>
  <c r="V129" i="4"/>
  <c r="V102" i="4"/>
  <c r="V86" i="4"/>
  <c r="V70" i="4"/>
  <c r="V75" i="4"/>
  <c r="V83" i="4"/>
  <c r="V36" i="4"/>
  <c r="V71" i="4"/>
  <c r="V111" i="4"/>
  <c r="V61" i="4"/>
  <c r="V114" i="4"/>
  <c r="V66" i="4"/>
  <c r="V140" i="4"/>
  <c r="V14" i="4"/>
  <c r="V150" i="4"/>
  <c r="V67" i="4"/>
  <c r="V110" i="4"/>
  <c r="V34" i="4"/>
  <c r="V104" i="4"/>
  <c r="V9" i="4"/>
  <c r="V45" i="4"/>
  <c r="V15" i="4"/>
  <c r="V126" i="4"/>
  <c r="V89" i="4"/>
  <c r="V52" i="4"/>
  <c r="V106" i="4"/>
  <c r="V73" i="4"/>
  <c r="Y575" i="3"/>
  <c r="AG575" i="3" s="1"/>
  <c r="N842" i="2"/>
  <c r="J842" i="10" s="1"/>
  <c r="N794" i="2"/>
  <c r="J794" i="10" s="1"/>
  <c r="Y527" i="3"/>
  <c r="I527" i="11" s="1"/>
  <c r="N551" i="2"/>
  <c r="J551" i="10" s="1"/>
  <c r="N688" i="2"/>
  <c r="J688" i="10" s="1"/>
  <c r="N229" i="2"/>
  <c r="J229" i="10" s="1"/>
  <c r="Y421" i="3"/>
  <c r="AG421" i="3" s="1"/>
  <c r="I77" i="11"/>
  <c r="AG254" i="3"/>
  <c r="N190" i="2"/>
  <c r="J190" i="10" s="1"/>
  <c r="AG293" i="3"/>
  <c r="AG256" i="3"/>
  <c r="AG109" i="3"/>
  <c r="V121" i="4"/>
  <c r="V49" i="4"/>
  <c r="V13" i="4"/>
  <c r="V109" i="4"/>
  <c r="V48" i="4"/>
  <c r="V50" i="4"/>
  <c r="V113" i="4"/>
  <c r="V97" i="4"/>
  <c r="V81" i="4"/>
  <c r="V65" i="4"/>
  <c r="V17" i="4"/>
  <c r="V31" i="4"/>
  <c r="V99" i="4"/>
  <c r="V19" i="4"/>
  <c r="V3" i="4"/>
  <c r="V137" i="4"/>
  <c r="V56" i="4"/>
  <c r="V105" i="4"/>
  <c r="V148" i="4"/>
  <c r="V141" i="4"/>
  <c r="V18" i="4"/>
  <c r="V41" i="4"/>
  <c r="V43" i="4"/>
  <c r="V64" i="4"/>
  <c r="V85" i="4"/>
  <c r="V107" i="4"/>
  <c r="V59" i="4"/>
  <c r="V128" i="4"/>
  <c r="V16" i="4"/>
  <c r="V103" i="4"/>
  <c r="V55" i="4"/>
  <c r="V90" i="4"/>
  <c r="V2" i="4"/>
  <c r="V77" i="4"/>
  <c r="V134" i="4"/>
  <c r="D760" i="2"/>
  <c r="AG83" i="3"/>
  <c r="N275" i="2"/>
  <c r="J275" i="10" s="1"/>
  <c r="Y439" i="3"/>
  <c r="I439" i="11" s="1"/>
  <c r="V54" i="4"/>
  <c r="V51" i="4"/>
  <c r="V115" i="4"/>
  <c r="V136" i="4"/>
  <c r="V118" i="4"/>
  <c r="V132" i="4"/>
  <c r="V21" i="4"/>
  <c r="V80" i="4"/>
  <c r="V133" i="4"/>
  <c r="V122" i="4"/>
  <c r="V82" i="4"/>
  <c r="V72" i="4"/>
  <c r="V78" i="4"/>
  <c r="V117" i="4"/>
  <c r="V68" i="4"/>
  <c r="V38" i="4"/>
  <c r="V8" i="4"/>
  <c r="V88" i="4"/>
  <c r="V29" i="4"/>
  <c r="V62" i="4"/>
  <c r="V91" i="4"/>
  <c r="V112" i="4"/>
  <c r="V116" i="4"/>
  <c r="V40" i="4"/>
  <c r="V39" i="4"/>
  <c r="AG253" i="3"/>
  <c r="AG347" i="3"/>
  <c r="AG367" i="3"/>
  <c r="N740" i="2"/>
  <c r="J740" i="10" s="1"/>
  <c r="Y473" i="3"/>
  <c r="AG473" i="3" s="1"/>
  <c r="Y469" i="3"/>
  <c r="N736" i="2"/>
  <c r="J736" i="10" s="1"/>
  <c r="N393" i="2"/>
  <c r="J393" i="10" s="1"/>
  <c r="AG302" i="3"/>
  <c r="D825" i="2"/>
  <c r="D786" i="2"/>
  <c r="V22" i="4"/>
  <c r="AG311" i="3"/>
  <c r="F525" i="11"/>
  <c r="D688" i="2"/>
  <c r="F461" i="11"/>
  <c r="D728" i="2"/>
  <c r="AG301" i="3"/>
  <c r="AG368" i="3"/>
  <c r="AG388" i="3"/>
  <c r="F496" i="11"/>
  <c r="V25" i="4"/>
  <c r="Y522" i="3"/>
  <c r="I522" i="11" s="1"/>
  <c r="N789" i="2"/>
  <c r="J789" i="10" s="1"/>
  <c r="AG380" i="3"/>
  <c r="F569" i="11"/>
  <c r="D717" i="2"/>
  <c r="AG265" i="3"/>
  <c r="U265" i="2"/>
  <c r="V264" i="2"/>
  <c r="T882" i="2"/>
  <c r="S882" i="2"/>
  <c r="S190" i="2"/>
  <c r="T190" i="2"/>
  <c r="Y462" i="3"/>
  <c r="N336" i="2"/>
  <c r="J336" i="10" s="1"/>
  <c r="N729" i="2"/>
  <c r="J729" i="10" s="1"/>
  <c r="N400" i="2"/>
  <c r="J400" i="10" s="1"/>
  <c r="Y476" i="3"/>
  <c r="N397" i="2"/>
  <c r="J397" i="10" s="1"/>
  <c r="Y461" i="3"/>
  <c r="AG461" i="3" s="1"/>
  <c r="Y520" i="3"/>
  <c r="AG520" i="3" s="1"/>
  <c r="N467" i="2"/>
  <c r="J467" i="10" s="1"/>
  <c r="Y416" i="3"/>
  <c r="I416" i="11" s="1"/>
  <c r="N786" i="2"/>
  <c r="J786" i="10" s="1"/>
  <c r="AG345" i="3"/>
  <c r="AG389" i="3"/>
  <c r="I82" i="11"/>
  <c r="D790" i="2"/>
  <c r="N546" i="2"/>
  <c r="J546" i="10" s="1"/>
  <c r="N728" i="2"/>
  <c r="J728" i="10" s="1"/>
  <c r="N319" i="2"/>
  <c r="J319" i="10" s="1"/>
  <c r="AG307" i="3"/>
  <c r="Y493" i="3"/>
  <c r="I493" i="11" s="1"/>
  <c r="N470" i="2"/>
  <c r="J470" i="10" s="1"/>
  <c r="AG118" i="3"/>
  <c r="Y455" i="3"/>
  <c r="AG455" i="3" s="1"/>
  <c r="N706" i="2"/>
  <c r="J706" i="10" s="1"/>
  <c r="AG357" i="3"/>
  <c r="AG401" i="3"/>
  <c r="AG309" i="3"/>
  <c r="AG261" i="3"/>
  <c r="N545" i="2"/>
  <c r="J545" i="10" s="1"/>
  <c r="N788" i="2"/>
  <c r="J788" i="10" s="1"/>
  <c r="N399" i="2"/>
  <c r="J399" i="10" s="1"/>
  <c r="Y475" i="3"/>
  <c r="N742" i="2"/>
  <c r="J742" i="10" s="1"/>
  <c r="Y546" i="3"/>
  <c r="N580" i="2"/>
  <c r="J580" i="10" s="1"/>
  <c r="N813" i="2"/>
  <c r="J813" i="10" s="1"/>
  <c r="N795" i="2"/>
  <c r="J795" i="10" s="1"/>
  <c r="N474" i="2"/>
  <c r="J474" i="10" s="1"/>
  <c r="N628" i="2"/>
  <c r="J628" i="10" s="1"/>
  <c r="N303" i="2"/>
  <c r="J303" i="10" s="1"/>
  <c r="F467" i="11"/>
  <c r="D734" i="2"/>
  <c r="Y468" i="3"/>
  <c r="Y528" i="3"/>
  <c r="Y500" i="3"/>
  <c r="I500" i="11" s="1"/>
  <c r="Y428" i="3"/>
  <c r="I428" i="11" s="1"/>
  <c r="N596" i="2"/>
  <c r="J596" i="10" s="1"/>
  <c r="N741" i="2"/>
  <c r="J741" i="10" s="1"/>
  <c r="N739" i="2"/>
  <c r="J739" i="10" s="1"/>
  <c r="AG193" i="3"/>
  <c r="D738" i="2"/>
  <c r="N735" i="2"/>
  <c r="J735" i="10" s="1"/>
  <c r="N695" i="2"/>
  <c r="J695" i="10" s="1"/>
  <c r="Y474" i="3"/>
  <c r="AG474" i="3" s="1"/>
  <c r="N677" i="2"/>
  <c r="J677" i="10" s="1"/>
  <c r="AG99" i="3"/>
  <c r="Y470" i="3"/>
  <c r="N394" i="2"/>
  <c r="J394" i="10" s="1"/>
  <c r="N737" i="2"/>
  <c r="J737" i="10" s="1"/>
  <c r="N544" i="2"/>
  <c r="J544" i="10" s="1"/>
  <c r="Y456" i="3"/>
  <c r="I456" i="11" s="1"/>
  <c r="AG87" i="3"/>
  <c r="AG201" i="3"/>
  <c r="AG263" i="3"/>
  <c r="I263" i="11"/>
  <c r="N304" i="2"/>
  <c r="J304" i="10" s="1"/>
  <c r="N391" i="2"/>
  <c r="J391" i="10" s="1"/>
  <c r="AG450" i="3"/>
  <c r="N819" i="2"/>
  <c r="J819" i="10" s="1"/>
  <c r="Y498" i="3"/>
  <c r="AG498" i="3" s="1"/>
  <c r="N396" i="2"/>
  <c r="J396" i="10" s="1"/>
  <c r="N683" i="2"/>
  <c r="J683" i="10" s="1"/>
  <c r="N200" i="2"/>
  <c r="J200" i="10" s="1"/>
  <c r="N547" i="2"/>
  <c r="J547" i="10" s="1"/>
  <c r="AG314" i="3"/>
  <c r="AG356" i="3"/>
  <c r="AG75" i="3"/>
  <c r="I70" i="11"/>
  <c r="AG70" i="3"/>
  <c r="F422" i="11"/>
  <c r="D689" i="2"/>
  <c r="N818" i="2"/>
  <c r="J818" i="10" s="1"/>
  <c r="N768" i="2"/>
  <c r="J768" i="10" s="1"/>
  <c r="Y495" i="3"/>
  <c r="I495" i="11" s="1"/>
  <c r="N717" i="2"/>
  <c r="J717" i="10" s="1"/>
  <c r="AG467" i="3"/>
  <c r="N734" i="2"/>
  <c r="J734" i="10" s="1"/>
  <c r="N643" i="2"/>
  <c r="J643" i="10" s="1"/>
  <c r="N743" i="2"/>
  <c r="J743" i="10" s="1"/>
  <c r="N765" i="2"/>
  <c r="J765" i="10" s="1"/>
  <c r="Y523" i="3"/>
  <c r="N659" i="2"/>
  <c r="J659" i="10" s="1"/>
  <c r="N824" i="2"/>
  <c r="J824" i="10" s="1"/>
  <c r="AG259" i="3"/>
  <c r="AG348" i="3"/>
  <c r="I184" i="11"/>
  <c r="AG184" i="3"/>
  <c r="D694" i="2"/>
  <c r="F427" i="11"/>
  <c r="I69" i="11"/>
  <c r="AG69" i="3"/>
  <c r="I410" i="11"/>
  <c r="N476" i="2"/>
  <c r="J476" i="10" s="1"/>
  <c r="Y502" i="3"/>
  <c r="I502" i="11" s="1"/>
  <c r="N769" i="2"/>
  <c r="J769" i="10" s="1"/>
  <c r="N259" i="2"/>
  <c r="J259" i="10" s="1"/>
  <c r="N700" i="2"/>
  <c r="J700" i="10" s="1"/>
  <c r="Y433" i="3"/>
  <c r="I433" i="11" s="1"/>
  <c r="N843" i="2"/>
  <c r="J843" i="10" s="1"/>
  <c r="N660" i="2"/>
  <c r="J660" i="10" s="1"/>
  <c r="Y576" i="3"/>
  <c r="I576" i="11" s="1"/>
  <c r="N762" i="2"/>
  <c r="J762" i="10" s="1"/>
  <c r="Y551" i="3"/>
  <c r="Y471" i="3"/>
  <c r="AG298" i="3"/>
  <c r="AG564" i="3"/>
  <c r="N831" i="2"/>
  <c r="J831" i="10" s="1"/>
  <c r="N549" i="2"/>
  <c r="J549" i="10" s="1"/>
  <c r="N274" i="2"/>
  <c r="J274" i="10" s="1"/>
  <c r="N723" i="2"/>
  <c r="J723" i="10" s="1"/>
  <c r="Y496" i="3"/>
  <c r="AG244" i="3"/>
  <c r="AG317" i="3"/>
  <c r="AG377" i="3"/>
  <c r="AG119" i="3"/>
  <c r="I119" i="11"/>
  <c r="I107" i="11"/>
  <c r="AG107" i="3"/>
  <c r="N830" i="2"/>
  <c r="J830" i="10" s="1"/>
  <c r="N792" i="2"/>
  <c r="J792" i="10" s="1"/>
  <c r="N475" i="2"/>
  <c r="J475" i="10" s="1"/>
  <c r="AG81" i="3"/>
  <c r="AG299" i="3"/>
  <c r="Y563" i="3"/>
  <c r="I501" i="11"/>
  <c r="I194" i="11"/>
  <c r="AG194" i="3"/>
  <c r="N579" i="2"/>
  <c r="J579" i="10" s="1"/>
  <c r="Y545" i="3"/>
  <c r="AG545" i="3" s="1"/>
  <c r="N812" i="2"/>
  <c r="J812" i="10" s="1"/>
  <c r="I173" i="11"/>
  <c r="AG173" i="3"/>
  <c r="I191" i="11"/>
  <c r="AG191" i="3"/>
  <c r="F576" i="11"/>
  <c r="D843" i="2"/>
  <c r="N201" i="2"/>
  <c r="J201" i="10" s="1"/>
  <c r="Y411" i="3"/>
  <c r="N678" i="2"/>
  <c r="J678" i="10" s="1"/>
  <c r="N689" i="2"/>
  <c r="J689" i="10" s="1"/>
  <c r="D742" i="2"/>
  <c r="F475" i="11"/>
  <c r="D818" i="2"/>
  <c r="F551" i="11"/>
  <c r="Y521" i="3"/>
  <c r="AG521" i="3" s="1"/>
  <c r="Y557" i="3"/>
  <c r="I557" i="11" s="1"/>
  <c r="Y422" i="3"/>
  <c r="AG212" i="3"/>
  <c r="I215" i="11"/>
  <c r="AG215" i="3"/>
  <c r="F411" i="11"/>
  <c r="D678" i="2"/>
  <c r="F500" i="11"/>
  <c r="D767" i="2"/>
  <c r="D789" i="2"/>
  <c r="F522" i="11"/>
  <c r="D837" i="2"/>
  <c r="F570" i="11"/>
  <c r="N606" i="2"/>
  <c r="J606" i="10" s="1"/>
  <c r="Y371" i="3"/>
  <c r="V880" i="2"/>
  <c r="S293" i="10"/>
  <c r="V293" i="2"/>
  <c r="U883" i="2"/>
  <c r="P144" i="12"/>
  <c r="Q145" i="4"/>
  <c r="P145" i="12" s="1"/>
  <c r="N240" i="2"/>
  <c r="J240" i="10" s="1"/>
  <c r="Y123" i="3"/>
  <c r="N210" i="2"/>
  <c r="J210" i="10" s="1"/>
  <c r="Y102" i="3"/>
  <c r="N369" i="2"/>
  <c r="J369" i="10" s="1"/>
  <c r="Y219" i="3"/>
  <c r="N353" i="2"/>
  <c r="J353" i="10" s="1"/>
  <c r="Y203" i="3"/>
  <c r="Y161" i="3"/>
  <c r="N296" i="2"/>
  <c r="J296" i="10" s="1"/>
  <c r="Y139" i="3"/>
  <c r="N265" i="2"/>
  <c r="J265" i="10" s="1"/>
  <c r="U61" i="3"/>
  <c r="U406" i="3"/>
  <c r="V406" i="3" s="1"/>
  <c r="X406" i="3" s="1"/>
  <c r="U268" i="3"/>
  <c r="W268" i="3" s="1"/>
  <c r="V268" i="3" s="1"/>
  <c r="X268" i="3" s="1"/>
  <c r="U322" i="3"/>
  <c r="W322" i="3" s="1"/>
  <c r="V322" i="3" s="1"/>
  <c r="X322" i="3" s="1"/>
  <c r="U382" i="3"/>
  <c r="V382" i="3" s="1"/>
  <c r="X382" i="3" s="1"/>
  <c r="U219" i="2"/>
  <c r="R219" i="10"/>
  <c r="U325" i="3"/>
  <c r="W325" i="3" s="1"/>
  <c r="V325" i="3" s="1"/>
  <c r="X325" i="3" s="1"/>
  <c r="F41" i="5"/>
  <c r="D41" i="5"/>
  <c r="T236" i="2"/>
  <c r="S236" i="2"/>
  <c r="W349" i="2"/>
  <c r="O349" i="10" s="1"/>
  <c r="W346" i="2"/>
  <c r="O346" i="10" s="1"/>
  <c r="W350" i="2"/>
  <c r="O350" i="10" s="1"/>
  <c r="W348" i="2"/>
  <c r="O348" i="10" s="1"/>
  <c r="W347" i="2"/>
  <c r="O347" i="10" s="1"/>
  <c r="T875" i="2"/>
  <c r="S875" i="2"/>
  <c r="S293" i="2"/>
  <c r="T219" i="2"/>
  <c r="Y92" i="3"/>
  <c r="N195" i="2"/>
  <c r="J195" i="10" s="1"/>
  <c r="U112" i="3"/>
  <c r="V112" i="3" s="1"/>
  <c r="X112" i="3" s="1"/>
  <c r="U222" i="3"/>
  <c r="W222" i="3" s="1"/>
  <c r="V222" i="3" s="1"/>
  <c r="X222" i="3" s="1"/>
  <c r="U48" i="3"/>
  <c r="N359" i="2"/>
  <c r="J359" i="10" s="1"/>
  <c r="Y209" i="3"/>
  <c r="U185" i="3"/>
  <c r="V185" i="3" s="1"/>
  <c r="X185" i="3" s="1"/>
  <c r="Y159" i="3"/>
  <c r="N294" i="2"/>
  <c r="J294" i="10" s="1"/>
  <c r="U94" i="3"/>
  <c r="V94" i="3" s="1"/>
  <c r="X94" i="3" s="1"/>
  <c r="U66" i="3"/>
  <c r="D64" i="5"/>
  <c r="F64" i="5"/>
  <c r="U101" i="3"/>
  <c r="V101" i="3" s="1"/>
  <c r="X101" i="3" s="1"/>
  <c r="U221" i="3"/>
  <c r="W221" i="3" s="1"/>
  <c r="V221" i="3" s="1"/>
  <c r="X221" i="3" s="1"/>
  <c r="U319" i="3"/>
  <c r="W319" i="3" s="1"/>
  <c r="V319" i="3" s="1"/>
  <c r="X319" i="3" s="1"/>
  <c r="U360" i="3"/>
  <c r="V360" i="3" s="1"/>
  <c r="X360" i="3" s="1"/>
  <c r="U275" i="3"/>
  <c r="W275" i="3" s="1"/>
  <c r="V275" i="3" s="1"/>
  <c r="X275" i="3" s="1"/>
  <c r="U323" i="3"/>
  <c r="W323" i="3" s="1"/>
  <c r="V323" i="3" s="1"/>
  <c r="X323" i="3" s="1"/>
  <c r="AG400" i="3"/>
  <c r="I381" i="11"/>
  <c r="AG381" i="3"/>
  <c r="S885" i="2"/>
  <c r="T885" i="2"/>
  <c r="T310" i="2"/>
  <c r="S310" i="2"/>
  <c r="U216" i="3"/>
  <c r="W216" i="3" s="1"/>
  <c r="V216" i="3" s="1"/>
  <c r="X216" i="3" s="1"/>
  <c r="U404" i="3"/>
  <c r="V404" i="3" s="1"/>
  <c r="X404" i="3" s="1"/>
  <c r="D806" i="2"/>
  <c r="F539" i="11"/>
  <c r="T294" i="2"/>
  <c r="S294" i="2"/>
  <c r="S325" i="2"/>
  <c r="T326" i="2"/>
  <c r="S326" i="2"/>
  <c r="I315" i="11"/>
  <c r="AG315" i="3"/>
  <c r="W426" i="2"/>
  <c r="O426" i="10" s="1"/>
  <c r="W425" i="2"/>
  <c r="O425" i="10" s="1"/>
  <c r="W422" i="2"/>
  <c r="O422" i="10" s="1"/>
  <c r="W423" i="2"/>
  <c r="O423" i="10" s="1"/>
  <c r="W424" i="2"/>
  <c r="O424" i="10" s="1"/>
  <c r="S877" i="2"/>
  <c r="T877" i="2"/>
  <c r="V884" i="2"/>
  <c r="I7" i="5"/>
  <c r="K143" i="12"/>
  <c r="J143" i="12" s="1"/>
  <c r="K144" i="4"/>
  <c r="V143" i="4"/>
  <c r="M144" i="4"/>
  <c r="M143" i="12"/>
  <c r="L143" i="12" s="1"/>
  <c r="Y186" i="3"/>
  <c r="N331" i="2"/>
  <c r="J331" i="10" s="1"/>
  <c r="Y271" i="3"/>
  <c r="N446" i="2"/>
  <c r="J446" i="10" s="1"/>
  <c r="U125" i="3"/>
  <c r="V125" i="3" s="1"/>
  <c r="X125" i="3" s="1"/>
  <c r="U175" i="3"/>
  <c r="V175" i="3" s="1"/>
  <c r="X175" i="3" s="1"/>
  <c r="U51" i="3"/>
  <c r="Y206" i="3"/>
  <c r="N356" i="2"/>
  <c r="J356" i="10" s="1"/>
  <c r="Y183" i="3"/>
  <c r="N328" i="2"/>
  <c r="J328" i="10" s="1"/>
  <c r="Y172" i="3"/>
  <c r="N312" i="2"/>
  <c r="J312" i="10" s="1"/>
  <c r="Y151" i="3"/>
  <c r="N282" i="2"/>
  <c r="J282" i="10" s="1"/>
  <c r="Y111" i="3"/>
  <c r="N223" i="2"/>
  <c r="J223" i="10" s="1"/>
  <c r="Y89" i="3"/>
  <c r="N192" i="2"/>
  <c r="J192" i="10" s="1"/>
  <c r="I29" i="5"/>
  <c r="J29" i="5"/>
  <c r="G29" i="5"/>
  <c r="H29" i="5"/>
  <c r="U124" i="3"/>
  <c r="V124" i="3" s="1"/>
  <c r="X124" i="3" s="1"/>
  <c r="U272" i="3"/>
  <c r="W272" i="3" s="1"/>
  <c r="V272" i="3" s="1"/>
  <c r="X272" i="3" s="1"/>
  <c r="I30" i="5"/>
  <c r="G30" i="5"/>
  <c r="H30" i="5"/>
  <c r="J30" i="5"/>
  <c r="U269" i="3"/>
  <c r="W269" i="3" s="1"/>
  <c r="V269" i="3" s="1"/>
  <c r="X269" i="3" s="1"/>
  <c r="U349" i="3"/>
  <c r="V349" i="3" s="1"/>
  <c r="X349" i="3" s="1"/>
  <c r="S235" i="2"/>
  <c r="T235" i="2"/>
  <c r="U327" i="3"/>
  <c r="W327" i="3" s="1"/>
  <c r="V327" i="3" s="1"/>
  <c r="X327" i="3" s="1"/>
  <c r="U393" i="3"/>
  <c r="V393" i="3" s="1"/>
  <c r="X393" i="3" s="1"/>
  <c r="U220" i="3"/>
  <c r="W220" i="3" s="1"/>
  <c r="V220" i="3" s="1"/>
  <c r="X220" i="3" s="1"/>
  <c r="U273" i="3"/>
  <c r="W273" i="3" s="1"/>
  <c r="V273" i="3" s="1"/>
  <c r="X273" i="3" s="1"/>
  <c r="U361" i="3"/>
  <c r="V361" i="3" s="1"/>
  <c r="X361" i="3" s="1"/>
  <c r="S880" i="2"/>
  <c r="B8" i="5"/>
  <c r="C8" i="5" s="1"/>
  <c r="A9" i="5"/>
  <c r="Q191" i="2"/>
  <c r="Q220" i="2"/>
  <c r="J7" i="5"/>
  <c r="W499" i="2"/>
  <c r="O499" i="10" s="1"/>
  <c r="W502" i="2"/>
  <c r="O502" i="10" s="1"/>
  <c r="W498" i="2"/>
  <c r="O498" i="10" s="1"/>
  <c r="W501" i="2"/>
  <c r="O501" i="10" s="1"/>
  <c r="W500" i="2"/>
  <c r="O500" i="10" s="1"/>
  <c r="S878" i="2"/>
  <c r="T878" i="2"/>
  <c r="U884" i="2"/>
  <c r="H7" i="5"/>
  <c r="I144" i="12"/>
  <c r="H144" i="12" s="1"/>
  <c r="I145" i="4"/>
  <c r="V144" i="4"/>
  <c r="Y113" i="3"/>
  <c r="N225" i="2"/>
  <c r="J225" i="10" s="1"/>
  <c r="Y274" i="3"/>
  <c r="N449" i="2"/>
  <c r="J449" i="10" s="1"/>
  <c r="Y93" i="3"/>
  <c r="N196" i="2"/>
  <c r="J196" i="10" s="1"/>
  <c r="Y133" i="3"/>
  <c r="N255" i="2"/>
  <c r="J255" i="10" s="1"/>
  <c r="A22" i="8"/>
  <c r="U78" i="3"/>
  <c r="V78" i="3" s="1"/>
  <c r="U84" i="3"/>
  <c r="V84" i="3" s="1"/>
  <c r="U114" i="3"/>
  <c r="V114" i="3" s="1"/>
  <c r="X114" i="3" s="1"/>
  <c r="U143" i="3"/>
  <c r="V143" i="3" s="1"/>
  <c r="X143" i="3" s="1"/>
  <c r="U218" i="3"/>
  <c r="W218" i="3" s="1"/>
  <c r="V218" i="3" s="1"/>
  <c r="X218" i="3" s="1"/>
  <c r="U225" i="3"/>
  <c r="W225" i="3" s="1"/>
  <c r="V225" i="3" s="1"/>
  <c r="X225" i="3" s="1"/>
  <c r="U153" i="3"/>
  <c r="V153" i="3" s="1"/>
  <c r="X153" i="3" s="1"/>
  <c r="U217" i="3"/>
  <c r="W217" i="3" s="1"/>
  <c r="V217" i="3" s="1"/>
  <c r="X217" i="3" s="1"/>
  <c r="U224" i="3"/>
  <c r="W224" i="3" s="1"/>
  <c r="V224" i="3" s="1"/>
  <c r="X224" i="3" s="1"/>
  <c r="U132" i="3"/>
  <c r="V132" i="3" s="1"/>
  <c r="X132" i="3" s="1"/>
  <c r="U145" i="3"/>
  <c r="V145" i="3" s="1"/>
  <c r="X145" i="3" s="1"/>
  <c r="U164" i="3"/>
  <c r="V164" i="3" s="1"/>
  <c r="X164" i="3" s="1"/>
  <c r="U267" i="3"/>
  <c r="W267" i="3" s="1"/>
  <c r="V267" i="3" s="1"/>
  <c r="X267" i="3" s="1"/>
  <c r="U270" i="3"/>
  <c r="W270" i="3" s="1"/>
  <c r="V270" i="3" s="1"/>
  <c r="X270" i="3" s="1"/>
  <c r="U277" i="3"/>
  <c r="W277" i="3" s="1"/>
  <c r="V277" i="3" s="1"/>
  <c r="X277" i="3" s="1"/>
  <c r="U350" i="3"/>
  <c r="V350" i="3" s="1"/>
  <c r="X350" i="3" s="1"/>
  <c r="U276" i="3"/>
  <c r="W276" i="3" s="1"/>
  <c r="V276" i="3" s="1"/>
  <c r="X276" i="3" s="1"/>
  <c r="U324" i="3"/>
  <c r="W324" i="3" s="1"/>
  <c r="V324" i="3" s="1"/>
  <c r="X324" i="3" s="1"/>
  <c r="U328" i="3"/>
  <c r="W328" i="3" s="1"/>
  <c r="V328" i="3" s="1"/>
  <c r="X328" i="3" s="1"/>
  <c r="U329" i="3"/>
  <c r="W329" i="3" s="1"/>
  <c r="V329" i="3" s="1"/>
  <c r="X329" i="3" s="1"/>
  <c r="U383" i="3"/>
  <c r="V383" i="3" s="1"/>
  <c r="X383" i="3" s="1"/>
  <c r="U395" i="3"/>
  <c r="V395" i="3" s="1"/>
  <c r="X395" i="3" s="1"/>
  <c r="U318" i="3"/>
  <c r="W318" i="3" s="1"/>
  <c r="V318" i="3" s="1"/>
  <c r="X318" i="3" s="1"/>
  <c r="U321" i="3"/>
  <c r="W321" i="3" s="1"/>
  <c r="V321" i="3" s="1"/>
  <c r="X321" i="3" s="1"/>
  <c r="U326" i="3"/>
  <c r="W326" i="3" s="1"/>
  <c r="V326" i="3" s="1"/>
  <c r="X326" i="3" s="1"/>
  <c r="U372" i="3"/>
  <c r="V372" i="3" s="1"/>
  <c r="X372" i="3" s="1"/>
  <c r="U50" i="3"/>
  <c r="U30" i="3"/>
  <c r="Y205" i="3"/>
  <c r="N355" i="2"/>
  <c r="J355" i="10" s="1"/>
  <c r="Y181" i="3"/>
  <c r="N326" i="2"/>
  <c r="J326" i="10" s="1"/>
  <c r="U163" i="3"/>
  <c r="V163" i="3" s="1"/>
  <c r="X163" i="3" s="1"/>
  <c r="U144" i="3"/>
  <c r="V144" i="3" s="1"/>
  <c r="X144" i="3" s="1"/>
  <c r="Y131" i="3"/>
  <c r="N253" i="2"/>
  <c r="J253" i="10" s="1"/>
  <c r="Y108" i="3"/>
  <c r="N220" i="2"/>
  <c r="J220" i="10" s="1"/>
  <c r="N174" i="2"/>
  <c r="J174" i="10" s="1"/>
  <c r="X71" i="3"/>
  <c r="Y71" i="3" s="1"/>
  <c r="U6" i="3"/>
  <c r="F63" i="5"/>
  <c r="D63" i="5"/>
  <c r="U152" i="3"/>
  <c r="V152" i="3" s="1"/>
  <c r="X152" i="3" s="1"/>
  <c r="U72" i="3"/>
  <c r="V72" i="3" s="1"/>
  <c r="U174" i="3"/>
  <c r="V174" i="3" s="1"/>
  <c r="X174" i="3" s="1"/>
  <c r="U223" i="3"/>
  <c r="W223" i="3" s="1"/>
  <c r="V223" i="3" s="1"/>
  <c r="X223" i="3" s="1"/>
  <c r="AG266" i="3"/>
  <c r="U394" i="3"/>
  <c r="V394" i="3" s="1"/>
  <c r="X394" i="3" s="1"/>
  <c r="U351" i="3"/>
  <c r="V351" i="3" s="1"/>
  <c r="X351" i="3" s="1"/>
  <c r="U373" i="3"/>
  <c r="V373" i="3" s="1"/>
  <c r="X373" i="3" s="1"/>
  <c r="U405" i="3"/>
  <c r="V405" i="3" s="1"/>
  <c r="X405" i="3" s="1"/>
  <c r="U320" i="3"/>
  <c r="W320" i="3" s="1"/>
  <c r="V320" i="3" s="1"/>
  <c r="X320" i="3" s="1"/>
  <c r="U384" i="3"/>
  <c r="V384" i="3" s="1"/>
  <c r="X384" i="3" s="1"/>
  <c r="T876" i="2"/>
  <c r="S876" i="2"/>
  <c r="T883" i="2"/>
  <c r="A59" i="5"/>
  <c r="T309" i="2"/>
  <c r="S881" i="2"/>
  <c r="T881" i="2"/>
  <c r="T879" i="2"/>
  <c r="S879" i="2"/>
  <c r="G7" i="5"/>
  <c r="AG410" i="3"/>
  <c r="I525" i="11"/>
  <c r="AG525" i="3"/>
  <c r="AG552" i="3"/>
  <c r="I552" i="11"/>
  <c r="R264" i="10"/>
  <c r="U264" i="2"/>
  <c r="AG526" i="3" l="1"/>
  <c r="I520" i="11"/>
  <c r="I427" i="11"/>
  <c r="I569" i="11"/>
  <c r="AG499" i="3"/>
  <c r="AG438" i="3"/>
  <c r="AG519" i="3"/>
  <c r="AG476" i="3"/>
  <c r="AG524" i="3"/>
  <c r="I498" i="11"/>
  <c r="I473" i="11"/>
  <c r="I421" i="11"/>
  <c r="AG493" i="3"/>
  <c r="I570" i="11"/>
  <c r="AG527" i="3"/>
  <c r="I494" i="11"/>
  <c r="I455" i="11"/>
  <c r="AG428" i="3"/>
  <c r="I497" i="11"/>
  <c r="AG500" i="3"/>
  <c r="I476" i="11"/>
  <c r="I474" i="11"/>
  <c r="AG522" i="3"/>
  <c r="AG502" i="3"/>
  <c r="AG416" i="3"/>
  <c r="I563" i="11"/>
  <c r="AG471" i="3"/>
  <c r="AG439" i="3"/>
  <c r="I575" i="11"/>
  <c r="I528" i="11"/>
  <c r="I471" i="11"/>
  <c r="I461" i="11"/>
  <c r="AG433" i="3"/>
  <c r="AG449" i="3"/>
  <c r="AG411" i="3"/>
  <c r="I469" i="11"/>
  <c r="AG469" i="3"/>
  <c r="AG495" i="3"/>
  <c r="I551" i="11"/>
  <c r="I468" i="11"/>
  <c r="AG468" i="3"/>
  <c r="I411" i="11"/>
  <c r="I523" i="11"/>
  <c r="R190" i="10"/>
  <c r="U190" i="2"/>
  <c r="U882" i="2"/>
  <c r="V882" i="2"/>
  <c r="S190" i="10"/>
  <c r="V190" i="2"/>
  <c r="AG462" i="3"/>
  <c r="I462" i="11"/>
  <c r="I475" i="11"/>
  <c r="AG475" i="3"/>
  <c r="AG523" i="3"/>
  <c r="AG546" i="3"/>
  <c r="I546" i="11"/>
  <c r="AG528" i="3"/>
  <c r="AG557" i="3"/>
  <c r="AG456" i="3"/>
  <c r="I545" i="11"/>
  <c r="I470" i="11"/>
  <c r="AG470" i="3"/>
  <c r="AG551" i="3"/>
  <c r="AG563" i="3"/>
  <c r="AG576" i="3"/>
  <c r="AG496" i="3"/>
  <c r="I496" i="11"/>
  <c r="I521" i="11"/>
  <c r="AG422" i="3"/>
  <c r="I422" i="11"/>
  <c r="V879" i="2"/>
  <c r="N451" i="2"/>
  <c r="J451" i="10" s="1"/>
  <c r="Y276" i="3"/>
  <c r="N315" i="2"/>
  <c r="J315" i="10" s="1"/>
  <c r="Y175" i="3"/>
  <c r="I186" i="11"/>
  <c r="AG186" i="3"/>
  <c r="Y94" i="3"/>
  <c r="N197" i="2"/>
  <c r="J197" i="10" s="1"/>
  <c r="I159" i="11"/>
  <c r="AG159" i="3"/>
  <c r="I92" i="11"/>
  <c r="AG92" i="3"/>
  <c r="U293" i="2"/>
  <c r="R293" i="10"/>
  <c r="Y325" i="3"/>
  <c r="N525" i="2"/>
  <c r="J525" i="10" s="1"/>
  <c r="U879" i="2"/>
  <c r="U876" i="2"/>
  <c r="N624" i="2"/>
  <c r="J624" i="10" s="1"/>
  <c r="Y384" i="3"/>
  <c r="Y351" i="3"/>
  <c r="N576" i="2"/>
  <c r="J576" i="10" s="1"/>
  <c r="AG131" i="3"/>
  <c r="I131" i="11"/>
  <c r="I181" i="11"/>
  <c r="AG181" i="3"/>
  <c r="Y383" i="3"/>
  <c r="N623" i="2"/>
  <c r="J623" i="10" s="1"/>
  <c r="N445" i="2"/>
  <c r="J445" i="10" s="1"/>
  <c r="Y270" i="3"/>
  <c r="Y145" i="3"/>
  <c r="N271" i="2"/>
  <c r="J271" i="10" s="1"/>
  <c r="N374" i="2"/>
  <c r="J374" i="10" s="1"/>
  <c r="Y224" i="3"/>
  <c r="Y218" i="3"/>
  <c r="N368" i="2"/>
  <c r="J368" i="10" s="1"/>
  <c r="A23" i="8"/>
  <c r="A24" i="8" s="1"/>
  <c r="U478" i="3"/>
  <c r="W478" i="3" s="1"/>
  <c r="V478" i="3" s="1"/>
  <c r="X478" i="3" s="1"/>
  <c r="U412" i="3"/>
  <c r="V412" i="3" s="1"/>
  <c r="X412" i="3" s="1"/>
  <c r="U480" i="3"/>
  <c r="W480" i="3" s="1"/>
  <c r="V480" i="3" s="1"/>
  <c r="X480" i="3" s="1"/>
  <c r="U578" i="3"/>
  <c r="V578" i="3" s="1"/>
  <c r="X578" i="3" s="1"/>
  <c r="U504" i="3"/>
  <c r="W504" i="3" s="1"/>
  <c r="V504" i="3" s="1"/>
  <c r="X504" i="3" s="1"/>
  <c r="U481" i="3"/>
  <c r="W481" i="3" s="1"/>
  <c r="V481" i="3" s="1"/>
  <c r="X481" i="3" s="1"/>
  <c r="U418" i="3"/>
  <c r="V418" i="3" s="1"/>
  <c r="X418" i="3" s="1"/>
  <c r="U457" i="3"/>
  <c r="V457" i="3" s="1"/>
  <c r="X457" i="3" s="1"/>
  <c r="U565" i="3"/>
  <c r="V565" i="3" s="1"/>
  <c r="X565" i="3" s="1"/>
  <c r="U424" i="3"/>
  <c r="V424" i="3" s="1"/>
  <c r="X424" i="3" s="1"/>
  <c r="U535" i="3"/>
  <c r="W535" i="3" s="1"/>
  <c r="V535" i="3" s="1"/>
  <c r="X535" i="3" s="1"/>
  <c r="U559" i="3"/>
  <c r="V559" i="3" s="1"/>
  <c r="X559" i="3" s="1"/>
  <c r="U506" i="3"/>
  <c r="W506" i="3" s="1"/>
  <c r="V506" i="3" s="1"/>
  <c r="X506" i="3" s="1"/>
  <c r="U571" i="3"/>
  <c r="V571" i="3" s="1"/>
  <c r="X571" i="3" s="1"/>
  <c r="U477" i="3"/>
  <c r="W477" i="3" s="1"/>
  <c r="V477" i="3" s="1"/>
  <c r="X477" i="3" s="1"/>
  <c r="U479" i="3"/>
  <c r="W479" i="3" s="1"/>
  <c r="V479" i="3" s="1"/>
  <c r="X479" i="3" s="1"/>
  <c r="U577" i="3"/>
  <c r="V577" i="3" s="1"/>
  <c r="X577" i="3" s="1"/>
  <c r="U534" i="3"/>
  <c r="W534" i="3" s="1"/>
  <c r="V534" i="3" s="1"/>
  <c r="X534" i="3" s="1"/>
  <c r="U434" i="3"/>
  <c r="V434" i="3" s="1"/>
  <c r="X434" i="3" s="1"/>
  <c r="U440" i="3"/>
  <c r="V440" i="3" s="1"/>
  <c r="X440" i="3" s="1"/>
  <c r="U464" i="3"/>
  <c r="V464" i="3" s="1"/>
  <c r="X464" i="3" s="1"/>
  <c r="U429" i="3"/>
  <c r="V429" i="3" s="1"/>
  <c r="X429" i="3" s="1"/>
  <c r="U560" i="3"/>
  <c r="V560" i="3" s="1"/>
  <c r="X560" i="3" s="1"/>
  <c r="U566" i="3"/>
  <c r="V566" i="3" s="1"/>
  <c r="X566" i="3" s="1"/>
  <c r="U509" i="3"/>
  <c r="W509" i="3" s="1"/>
  <c r="V509" i="3" s="1"/>
  <c r="X509" i="3" s="1"/>
  <c r="U553" i="3"/>
  <c r="V553" i="3" s="1"/>
  <c r="X553" i="3" s="1"/>
  <c r="U507" i="3"/>
  <c r="W507" i="3" s="1"/>
  <c r="V507" i="3" s="1"/>
  <c r="X507" i="3" s="1"/>
  <c r="U508" i="3"/>
  <c r="W508" i="3" s="1"/>
  <c r="V508" i="3" s="1"/>
  <c r="X508" i="3" s="1"/>
  <c r="U529" i="3"/>
  <c r="W529" i="3" s="1"/>
  <c r="V529" i="3" s="1"/>
  <c r="X529" i="3" s="1"/>
  <c r="U458" i="3"/>
  <c r="V458" i="3" s="1"/>
  <c r="X458" i="3" s="1"/>
  <c r="U532" i="3"/>
  <c r="W532" i="3" s="1"/>
  <c r="V532" i="3" s="1"/>
  <c r="X532" i="3" s="1"/>
  <c r="U483" i="3"/>
  <c r="W483" i="3" s="1"/>
  <c r="V483" i="3" s="1"/>
  <c r="X483" i="3" s="1"/>
  <c r="U503" i="3"/>
  <c r="W503" i="3" s="1"/>
  <c r="V503" i="3" s="1"/>
  <c r="X503" i="3" s="1"/>
  <c r="U482" i="3"/>
  <c r="W482" i="3" s="1"/>
  <c r="V482" i="3" s="1"/>
  <c r="X482" i="3" s="1"/>
  <c r="U530" i="3"/>
  <c r="W530" i="3" s="1"/>
  <c r="V530" i="3" s="1"/>
  <c r="X530" i="3" s="1"/>
  <c r="U505" i="3"/>
  <c r="W505" i="3" s="1"/>
  <c r="V505" i="3" s="1"/>
  <c r="X505" i="3" s="1"/>
  <c r="U452" i="3"/>
  <c r="V452" i="3" s="1"/>
  <c r="X452" i="3" s="1"/>
  <c r="U548" i="3"/>
  <c r="V548" i="3" s="1"/>
  <c r="X548" i="3" s="1"/>
  <c r="U572" i="3"/>
  <c r="V572" i="3" s="1"/>
  <c r="X572" i="3" s="1"/>
  <c r="U417" i="3"/>
  <c r="V417" i="3" s="1"/>
  <c r="X417" i="3" s="1"/>
  <c r="U441" i="3"/>
  <c r="V441" i="3" s="1"/>
  <c r="X441" i="3" s="1"/>
  <c r="U430" i="3"/>
  <c r="V430" i="3" s="1"/>
  <c r="X430" i="3" s="1"/>
  <c r="U445" i="3"/>
  <c r="V445" i="3" s="1"/>
  <c r="X445" i="3" s="1"/>
  <c r="U423" i="3"/>
  <c r="V423" i="3" s="1"/>
  <c r="X423" i="3" s="1"/>
  <c r="U413" i="3"/>
  <c r="V413" i="3" s="1"/>
  <c r="X413" i="3" s="1"/>
  <c r="U547" i="3"/>
  <c r="V547" i="3" s="1"/>
  <c r="X547" i="3" s="1"/>
  <c r="U531" i="3"/>
  <c r="W531" i="3" s="1"/>
  <c r="V531" i="3" s="1"/>
  <c r="X531" i="3" s="1"/>
  <c r="U533" i="3"/>
  <c r="W533" i="3" s="1"/>
  <c r="V533" i="3" s="1"/>
  <c r="X533" i="3" s="1"/>
  <c r="U463" i="3"/>
  <c r="V463" i="3" s="1"/>
  <c r="X463" i="3" s="1"/>
  <c r="U451" i="3"/>
  <c r="V451" i="3" s="1"/>
  <c r="X451" i="3" s="1"/>
  <c r="I93" i="11"/>
  <c r="AG93" i="3"/>
  <c r="I113" i="11"/>
  <c r="AG113" i="3"/>
  <c r="U880" i="2"/>
  <c r="U278" i="3"/>
  <c r="W278" i="3" s="1"/>
  <c r="V278" i="3" s="1"/>
  <c r="X278" i="3" s="1"/>
  <c r="U235" i="2"/>
  <c r="R235" i="10"/>
  <c r="I172" i="11"/>
  <c r="AG172" i="3"/>
  <c r="I206" i="11"/>
  <c r="AG206" i="3"/>
  <c r="U226" i="3"/>
  <c r="W226" i="3" s="1"/>
  <c r="V226" i="3" s="1"/>
  <c r="X226" i="3" s="1"/>
  <c r="U877" i="2"/>
  <c r="U325" i="2"/>
  <c r="R325" i="10"/>
  <c r="Y404" i="3"/>
  <c r="N654" i="2"/>
  <c r="J654" i="10" s="1"/>
  <c r="V310" i="2"/>
  <c r="S310" i="10"/>
  <c r="AG209" i="3"/>
  <c r="I209" i="11"/>
  <c r="S219" i="10"/>
  <c r="V219" i="2"/>
  <c r="S236" i="10"/>
  <c r="V236" i="2"/>
  <c r="U227" i="3"/>
  <c r="W227" i="3" s="1"/>
  <c r="V227" i="3" s="1"/>
  <c r="X227" i="3" s="1"/>
  <c r="U187" i="3"/>
  <c r="V187" i="3" s="1"/>
  <c r="X187" i="3" s="1"/>
  <c r="I161" i="11"/>
  <c r="AG161" i="3"/>
  <c r="I219" i="11"/>
  <c r="AG219" i="3"/>
  <c r="AG123" i="3"/>
  <c r="I123" i="11"/>
  <c r="X72" i="3"/>
  <c r="Y72" i="3" s="1"/>
  <c r="N175" i="2"/>
  <c r="J175" i="10" s="1"/>
  <c r="Y144" i="3"/>
  <c r="N270" i="2"/>
  <c r="J270" i="10" s="1"/>
  <c r="Y318" i="3"/>
  <c r="N518" i="2"/>
  <c r="J518" i="10" s="1"/>
  <c r="N442" i="2"/>
  <c r="J442" i="10" s="1"/>
  <c r="Y267" i="3"/>
  <c r="Y132" i="3"/>
  <c r="N254" i="2"/>
  <c r="J254" i="10" s="1"/>
  <c r="Y114" i="3"/>
  <c r="N226" i="2"/>
  <c r="J226" i="10" s="1"/>
  <c r="S220" i="2"/>
  <c r="T220" i="2"/>
  <c r="Y393" i="3"/>
  <c r="N638" i="2"/>
  <c r="J638" i="10" s="1"/>
  <c r="I89" i="11"/>
  <c r="AG89" i="3"/>
  <c r="K145" i="4"/>
  <c r="K145" i="12" s="1"/>
  <c r="J145" i="12" s="1"/>
  <c r="K144" i="12"/>
  <c r="J144" i="12" s="1"/>
  <c r="Y406" i="3"/>
  <c r="N656" i="2"/>
  <c r="J656" i="10" s="1"/>
  <c r="V881" i="2"/>
  <c r="N520" i="2"/>
  <c r="J520" i="10" s="1"/>
  <c r="Y320" i="3"/>
  <c r="Y405" i="3"/>
  <c r="N655" i="2"/>
  <c r="J655" i="10" s="1"/>
  <c r="N639" i="2"/>
  <c r="J639" i="10" s="1"/>
  <c r="Y394" i="3"/>
  <c r="Y152" i="3"/>
  <c r="N283" i="2"/>
  <c r="J283" i="10" s="1"/>
  <c r="I108" i="11"/>
  <c r="AG108" i="3"/>
  <c r="N298" i="2"/>
  <c r="J298" i="10" s="1"/>
  <c r="Y163" i="3"/>
  <c r="I205" i="11"/>
  <c r="AG205" i="3"/>
  <c r="Y321" i="3"/>
  <c r="N521" i="2"/>
  <c r="J521" i="10" s="1"/>
  <c r="N528" i="2"/>
  <c r="J528" i="10" s="1"/>
  <c r="Y328" i="3"/>
  <c r="Y350" i="3"/>
  <c r="N575" i="2"/>
  <c r="J575" i="10" s="1"/>
  <c r="N284" i="2"/>
  <c r="J284" i="10" s="1"/>
  <c r="Y153" i="3"/>
  <c r="X84" i="3"/>
  <c r="Y84" i="3" s="1"/>
  <c r="N187" i="2"/>
  <c r="J187" i="10" s="1"/>
  <c r="I133" i="11"/>
  <c r="AG133" i="3"/>
  <c r="I274" i="11"/>
  <c r="AG274" i="3"/>
  <c r="I145" i="12"/>
  <c r="H145" i="12" s="1"/>
  <c r="V878" i="2"/>
  <c r="S191" i="2"/>
  <c r="T191" i="2"/>
  <c r="A10" i="5"/>
  <c r="B9" i="5"/>
  <c r="C9" i="5" s="1"/>
  <c r="N370" i="2"/>
  <c r="J370" i="10" s="1"/>
  <c r="Y220" i="3"/>
  <c r="Y327" i="3"/>
  <c r="N527" i="2"/>
  <c r="J527" i="10" s="1"/>
  <c r="Y349" i="3"/>
  <c r="N574" i="2"/>
  <c r="J574" i="10" s="1"/>
  <c r="Y272" i="3"/>
  <c r="N447" i="2"/>
  <c r="J447" i="10" s="1"/>
  <c r="I151" i="11"/>
  <c r="AG151" i="3"/>
  <c r="I183" i="11"/>
  <c r="AG183" i="3"/>
  <c r="Y125" i="3"/>
  <c r="N242" i="2"/>
  <c r="J242" i="10" s="1"/>
  <c r="I271" i="11"/>
  <c r="AG271" i="3"/>
  <c r="R326" i="10"/>
  <c r="U326" i="2"/>
  <c r="S294" i="10"/>
  <c r="V294" i="2"/>
  <c r="Y216" i="3"/>
  <c r="N366" i="2"/>
  <c r="J366" i="10" s="1"/>
  <c r="V885" i="2"/>
  <c r="AL67" i="3"/>
  <c r="Y221" i="3"/>
  <c r="N371" i="2"/>
  <c r="J371" i="10" s="1"/>
  <c r="U176" i="3"/>
  <c r="V176" i="3" s="1"/>
  <c r="X176" i="3" s="1"/>
  <c r="U165" i="3"/>
  <c r="V165" i="3" s="1"/>
  <c r="X165" i="3" s="1"/>
  <c r="U875" i="2"/>
  <c r="I139" i="11"/>
  <c r="AG139" i="3"/>
  <c r="AG203" i="3"/>
  <c r="I203" i="11"/>
  <c r="AG102" i="3"/>
  <c r="I102" i="11"/>
  <c r="I371" i="11"/>
  <c r="AG371" i="3"/>
  <c r="V876" i="2"/>
  <c r="Y223" i="3"/>
  <c r="N373" i="2"/>
  <c r="J373" i="10" s="1"/>
  <c r="Y326" i="3"/>
  <c r="N526" i="2"/>
  <c r="J526" i="10" s="1"/>
  <c r="N529" i="2"/>
  <c r="J529" i="10" s="1"/>
  <c r="Y329" i="3"/>
  <c r="Y217" i="3"/>
  <c r="N367" i="2"/>
  <c r="J367" i="10" s="1"/>
  <c r="N448" i="2"/>
  <c r="J448" i="10" s="1"/>
  <c r="Y273" i="3"/>
  <c r="R294" i="10"/>
  <c r="U294" i="2"/>
  <c r="N450" i="2"/>
  <c r="J450" i="10" s="1"/>
  <c r="Y275" i="3"/>
  <c r="N519" i="2"/>
  <c r="J519" i="10" s="1"/>
  <c r="Y319" i="3"/>
  <c r="N372" i="2"/>
  <c r="J372" i="10" s="1"/>
  <c r="Y222" i="3"/>
  <c r="N522" i="2"/>
  <c r="J522" i="10" s="1"/>
  <c r="Y322" i="3"/>
  <c r="U881" i="2"/>
  <c r="V309" i="2"/>
  <c r="S309" i="10"/>
  <c r="A60" i="5"/>
  <c r="V883" i="2"/>
  <c r="Y373" i="3"/>
  <c r="N608" i="2"/>
  <c r="J608" i="10" s="1"/>
  <c r="Y174" i="3"/>
  <c r="N314" i="2"/>
  <c r="J314" i="10" s="1"/>
  <c r="I71" i="11"/>
  <c r="AG71" i="3"/>
  <c r="Y372" i="3"/>
  <c r="N607" i="2"/>
  <c r="J607" i="10" s="1"/>
  <c r="Y395" i="3"/>
  <c r="N640" i="2"/>
  <c r="J640" i="10" s="1"/>
  <c r="N524" i="2"/>
  <c r="J524" i="10" s="1"/>
  <c r="Y324" i="3"/>
  <c r="Y277" i="3"/>
  <c r="N452" i="2"/>
  <c r="J452" i="10" s="1"/>
  <c r="Y164" i="3"/>
  <c r="N299" i="2"/>
  <c r="J299" i="10" s="1"/>
  <c r="N375" i="2"/>
  <c r="J375" i="10" s="1"/>
  <c r="Y225" i="3"/>
  <c r="Y143" i="3"/>
  <c r="N269" i="2"/>
  <c r="J269" i="10" s="1"/>
  <c r="N181" i="2"/>
  <c r="J181" i="10" s="1"/>
  <c r="X78" i="3"/>
  <c r="Y78" i="3" s="1"/>
  <c r="U878" i="2"/>
  <c r="D8" i="5"/>
  <c r="B42" i="5" s="1"/>
  <c r="E42" i="5" s="1"/>
  <c r="F8" i="5"/>
  <c r="Y361" i="3"/>
  <c r="N591" i="2"/>
  <c r="J591" i="10" s="1"/>
  <c r="V235" i="2"/>
  <c r="S235" i="10"/>
  <c r="Y269" i="3"/>
  <c r="N444" i="2"/>
  <c r="J444" i="10" s="1"/>
  <c r="Y124" i="3"/>
  <c r="N241" i="2"/>
  <c r="J241" i="10" s="1"/>
  <c r="I111" i="11"/>
  <c r="AG111" i="3"/>
  <c r="M145" i="4"/>
  <c r="M145" i="12" s="1"/>
  <c r="L145" i="12" s="1"/>
  <c r="M144" i="12"/>
  <c r="L144" i="12" s="1"/>
  <c r="V877" i="2"/>
  <c r="V326" i="2"/>
  <c r="S326" i="10"/>
  <c r="R310" i="10"/>
  <c r="U310" i="2"/>
  <c r="U885" i="2"/>
  <c r="N523" i="2"/>
  <c r="J523" i="10" s="1"/>
  <c r="Y323" i="3"/>
  <c r="Y360" i="3"/>
  <c r="N590" i="2"/>
  <c r="J590" i="10" s="1"/>
  <c r="N209" i="2"/>
  <c r="J209" i="10" s="1"/>
  <c r="Y101" i="3"/>
  <c r="Y185" i="3"/>
  <c r="N330" i="2"/>
  <c r="J330" i="10" s="1"/>
  <c r="Y112" i="3"/>
  <c r="N224" i="2"/>
  <c r="J224" i="10" s="1"/>
  <c r="V875" i="2"/>
  <c r="U236" i="2"/>
  <c r="R236" i="10"/>
  <c r="N622" i="2"/>
  <c r="J622" i="10" s="1"/>
  <c r="Y382" i="3"/>
  <c r="Y268" i="3"/>
  <c r="N443" i="2"/>
  <c r="J443" i="10" s="1"/>
  <c r="AL62" i="3"/>
  <c r="D42" i="5" l="1"/>
  <c r="X351" i="2" s="1"/>
  <c r="X427" i="2"/>
  <c r="F42" i="5"/>
  <c r="X503" i="2" s="1"/>
  <c r="I322" i="11"/>
  <c r="AG322" i="3"/>
  <c r="I319" i="11"/>
  <c r="AG319" i="3"/>
  <c r="I220" i="11"/>
  <c r="AG220" i="3"/>
  <c r="F9" i="5"/>
  <c r="D9" i="5"/>
  <c r="B43" i="5" s="1"/>
  <c r="E43" i="5" s="1"/>
  <c r="Y278" i="3"/>
  <c r="N453" i="2"/>
  <c r="J453" i="10" s="1"/>
  <c r="N730" i="2"/>
  <c r="J730" i="10" s="1"/>
  <c r="N337" i="2"/>
  <c r="J337" i="10" s="1"/>
  <c r="Y463" i="3"/>
  <c r="Y430" i="3"/>
  <c r="N248" i="2"/>
  <c r="J248" i="10" s="1"/>
  <c r="N697" i="2"/>
  <c r="J697" i="10" s="1"/>
  <c r="N797" i="2"/>
  <c r="J797" i="10" s="1"/>
  <c r="Y530" i="3"/>
  <c r="N554" i="2"/>
  <c r="J554" i="10" s="1"/>
  <c r="N774" i="2"/>
  <c r="J774" i="10" s="1"/>
  <c r="Y507" i="3"/>
  <c r="N481" i="2"/>
  <c r="J481" i="10" s="1"/>
  <c r="N260" i="2"/>
  <c r="J260" i="10" s="1"/>
  <c r="Y434" i="3"/>
  <c r="N701" i="2"/>
  <c r="J701" i="10" s="1"/>
  <c r="N685" i="2"/>
  <c r="J685" i="10" s="1"/>
  <c r="Y418" i="3"/>
  <c r="N216" i="2"/>
  <c r="J216" i="10" s="1"/>
  <c r="I112" i="11"/>
  <c r="AG112" i="3"/>
  <c r="I323" i="11"/>
  <c r="AG323" i="3"/>
  <c r="I324" i="11"/>
  <c r="AG324" i="3"/>
  <c r="I174" i="11"/>
  <c r="AG174" i="3"/>
  <c r="I217" i="11"/>
  <c r="AG217" i="3"/>
  <c r="I326" i="11"/>
  <c r="AG326" i="3"/>
  <c r="Y165" i="3"/>
  <c r="N300" i="2"/>
  <c r="J300" i="10" s="1"/>
  <c r="I216" i="11"/>
  <c r="AG216" i="3"/>
  <c r="AG125" i="3"/>
  <c r="I125" i="11"/>
  <c r="I349" i="11"/>
  <c r="AG349" i="3"/>
  <c r="B10" i="5"/>
  <c r="C10" i="5" s="1"/>
  <c r="A11" i="5"/>
  <c r="I153" i="11"/>
  <c r="AG153" i="3"/>
  <c r="I328" i="11"/>
  <c r="AG328" i="3"/>
  <c r="AG163" i="3"/>
  <c r="I163" i="11"/>
  <c r="AG152" i="3"/>
  <c r="I152" i="11"/>
  <c r="I405" i="11"/>
  <c r="AG405" i="3"/>
  <c r="V220" i="2"/>
  <c r="S220" i="10"/>
  <c r="U536" i="3"/>
  <c r="W536" i="3" s="1"/>
  <c r="V536" i="3" s="1"/>
  <c r="X536" i="3" s="1"/>
  <c r="U512" i="3"/>
  <c r="W512" i="3" s="1"/>
  <c r="V512" i="3" s="1"/>
  <c r="X512" i="3" s="1"/>
  <c r="N749" i="2"/>
  <c r="J749" i="10" s="1"/>
  <c r="N406" i="2"/>
  <c r="J406" i="10" s="1"/>
  <c r="Y482" i="3"/>
  <c r="U486" i="3"/>
  <c r="W486" i="3" s="1"/>
  <c r="V486" i="3" s="1"/>
  <c r="X486" i="3" s="1"/>
  <c r="N597" i="2"/>
  <c r="J597" i="10" s="1"/>
  <c r="Y553" i="3"/>
  <c r="N820" i="2"/>
  <c r="J820" i="10" s="1"/>
  <c r="N661" i="2"/>
  <c r="J661" i="10" s="1"/>
  <c r="Y577" i="3"/>
  <c r="N844" i="2"/>
  <c r="J844" i="10" s="1"/>
  <c r="N401" i="2"/>
  <c r="J401" i="10" s="1"/>
  <c r="Y477" i="3"/>
  <c r="N744" i="2"/>
  <c r="J744" i="10" s="1"/>
  <c r="Y457" i="3"/>
  <c r="N724" i="2"/>
  <c r="J724" i="10" s="1"/>
  <c r="N321" i="2"/>
  <c r="J321" i="10" s="1"/>
  <c r="N405" i="2"/>
  <c r="J405" i="10" s="1"/>
  <c r="N748" i="2"/>
  <c r="J748" i="10" s="1"/>
  <c r="Y481" i="3"/>
  <c r="Y478" i="3"/>
  <c r="N402" i="2"/>
  <c r="J402" i="10" s="1"/>
  <c r="N745" i="2"/>
  <c r="J745" i="10" s="1"/>
  <c r="I351" i="11"/>
  <c r="AG351" i="3"/>
  <c r="AH351" i="3"/>
  <c r="AI351" i="3"/>
  <c r="AJ351" i="3"/>
  <c r="AK351" i="3" s="1"/>
  <c r="AL351" i="3" s="1"/>
  <c r="AG325" i="3"/>
  <c r="I325" i="11"/>
  <c r="AG175" i="3"/>
  <c r="I175" i="11"/>
  <c r="I124" i="11"/>
  <c r="AG124" i="3"/>
  <c r="AG277" i="3"/>
  <c r="I277" i="11"/>
  <c r="AG393" i="3"/>
  <c r="I393" i="11"/>
  <c r="I114" i="11"/>
  <c r="AG114" i="3"/>
  <c r="N332" i="2"/>
  <c r="J332" i="10" s="1"/>
  <c r="Y187" i="3"/>
  <c r="I404" i="11"/>
  <c r="AG404" i="3"/>
  <c r="Y413" i="3"/>
  <c r="N680" i="2"/>
  <c r="J680" i="10" s="1"/>
  <c r="N203" i="2"/>
  <c r="J203" i="10" s="1"/>
  <c r="N815" i="2"/>
  <c r="J815" i="10" s="1"/>
  <c r="Y548" i="3"/>
  <c r="N582" i="2"/>
  <c r="J582" i="10" s="1"/>
  <c r="N553" i="2"/>
  <c r="J553" i="10" s="1"/>
  <c r="Y529" i="3"/>
  <c r="N796" i="2"/>
  <c r="J796" i="10" s="1"/>
  <c r="N338" i="2"/>
  <c r="J338" i="10" s="1"/>
  <c r="Y464" i="3"/>
  <c r="N731" i="2"/>
  <c r="J731" i="10" s="1"/>
  <c r="N826" i="2"/>
  <c r="J826" i="10" s="1"/>
  <c r="N613" i="2"/>
  <c r="J613" i="10" s="1"/>
  <c r="Y559" i="3"/>
  <c r="Y412" i="3"/>
  <c r="N202" i="2"/>
  <c r="J202" i="10" s="1"/>
  <c r="N679" i="2"/>
  <c r="J679" i="10" s="1"/>
  <c r="A25" i="8"/>
  <c r="U67" i="3"/>
  <c r="U79" i="3"/>
  <c r="V79" i="3" s="1"/>
  <c r="U73" i="3"/>
  <c r="V73" i="3" s="1"/>
  <c r="U154" i="3"/>
  <c r="V154" i="3" s="1"/>
  <c r="X154" i="3" s="1"/>
  <c r="U54" i="3"/>
  <c r="U19" i="3"/>
  <c r="U285" i="3"/>
  <c r="W285" i="3" s="1"/>
  <c r="V285" i="3" s="1"/>
  <c r="X285" i="3" s="1"/>
  <c r="U85" i="3"/>
  <c r="V85" i="3" s="1"/>
  <c r="U103" i="3"/>
  <c r="V103" i="3" s="1"/>
  <c r="X103" i="3" s="1"/>
  <c r="U286" i="3"/>
  <c r="W286" i="3" s="1"/>
  <c r="V286" i="3" s="1"/>
  <c r="X286" i="3" s="1"/>
  <c r="U334" i="3"/>
  <c r="W334" i="3" s="1"/>
  <c r="V334" i="3" s="1"/>
  <c r="X334" i="3" s="1"/>
  <c r="U332" i="3"/>
  <c r="W332" i="3" s="1"/>
  <c r="V332" i="3" s="1"/>
  <c r="X332" i="3" s="1"/>
  <c r="U336" i="3"/>
  <c r="W336" i="3" s="1"/>
  <c r="V336" i="3" s="1"/>
  <c r="X336" i="3" s="1"/>
  <c r="U31" i="3"/>
  <c r="U56" i="3"/>
  <c r="U279" i="3"/>
  <c r="W279" i="3" s="1"/>
  <c r="V279" i="3" s="1"/>
  <c r="X279" i="3" s="1"/>
  <c r="U283" i="3"/>
  <c r="W283" i="3" s="1"/>
  <c r="V283" i="3" s="1"/>
  <c r="X283" i="3" s="1"/>
  <c r="U231" i="3"/>
  <c r="W231" i="3" s="1"/>
  <c r="V231" i="3" s="1"/>
  <c r="X231" i="3" s="1"/>
  <c r="U333" i="3"/>
  <c r="W333" i="3" s="1"/>
  <c r="V333" i="3" s="1"/>
  <c r="X333" i="3" s="1"/>
  <c r="U232" i="3"/>
  <c r="W232" i="3" s="1"/>
  <c r="V232" i="3" s="1"/>
  <c r="X232" i="3" s="1"/>
  <c r="U407" i="3"/>
  <c r="V407" i="3" s="1"/>
  <c r="X407" i="3" s="1"/>
  <c r="U330" i="3"/>
  <c r="W330" i="3" s="1"/>
  <c r="V330" i="3" s="1"/>
  <c r="X330" i="3" s="1"/>
  <c r="U166" i="3"/>
  <c r="V166" i="3" s="1"/>
  <c r="X166" i="3" s="1"/>
  <c r="U284" i="3"/>
  <c r="W284" i="3" s="1"/>
  <c r="V284" i="3" s="1"/>
  <c r="X284" i="3" s="1"/>
  <c r="U25" i="3"/>
  <c r="U115" i="3"/>
  <c r="V115" i="3" s="1"/>
  <c r="X115" i="3" s="1"/>
  <c r="U362" i="3"/>
  <c r="V362" i="3" s="1"/>
  <c r="X362" i="3" s="1"/>
  <c r="U155" i="3"/>
  <c r="V155" i="3" s="1"/>
  <c r="X155" i="3" s="1"/>
  <c r="U134" i="3"/>
  <c r="V134" i="3" s="1"/>
  <c r="X134" i="3" s="1"/>
  <c r="U228" i="3"/>
  <c r="W228" i="3" s="1"/>
  <c r="V228" i="3" s="1"/>
  <c r="X228" i="3" s="1"/>
  <c r="U234" i="3"/>
  <c r="W234" i="3" s="1"/>
  <c r="V234" i="3" s="1"/>
  <c r="X234" i="3" s="1"/>
  <c r="U230" i="3"/>
  <c r="W230" i="3" s="1"/>
  <c r="V230" i="3" s="1"/>
  <c r="X230" i="3" s="1"/>
  <c r="U280" i="3"/>
  <c r="W280" i="3" s="1"/>
  <c r="V280" i="3" s="1"/>
  <c r="X280" i="3" s="1"/>
  <c r="U282" i="3"/>
  <c r="W282" i="3" s="1"/>
  <c r="V282" i="3" s="1"/>
  <c r="X282" i="3" s="1"/>
  <c r="U95" i="3"/>
  <c r="V95" i="3" s="1"/>
  <c r="X95" i="3" s="1"/>
  <c r="U13" i="3"/>
  <c r="U177" i="3"/>
  <c r="V177" i="3" s="1"/>
  <c r="X177" i="3" s="1"/>
  <c r="U233" i="3"/>
  <c r="W233" i="3" s="1"/>
  <c r="V233" i="3" s="1"/>
  <c r="X233" i="3" s="1"/>
  <c r="U62" i="3"/>
  <c r="U337" i="3"/>
  <c r="W337" i="3" s="1"/>
  <c r="V337" i="3" s="1"/>
  <c r="X337" i="3" s="1"/>
  <c r="U281" i="3"/>
  <c r="W281" i="3" s="1"/>
  <c r="V281" i="3" s="1"/>
  <c r="X281" i="3" s="1"/>
  <c r="U53" i="3"/>
  <c r="U7" i="3"/>
  <c r="U135" i="3"/>
  <c r="V135" i="3" s="1"/>
  <c r="X135" i="3" s="1"/>
  <c r="U335" i="3"/>
  <c r="W335" i="3" s="1"/>
  <c r="V335" i="3" s="1"/>
  <c r="X335" i="3" s="1"/>
  <c r="U229" i="3"/>
  <c r="W229" i="3" s="1"/>
  <c r="V229" i="3" s="1"/>
  <c r="X229" i="3" s="1"/>
  <c r="U235" i="3"/>
  <c r="W235" i="3" s="1"/>
  <c r="V235" i="3" s="1"/>
  <c r="X235" i="3" s="1"/>
  <c r="U331" i="3"/>
  <c r="W331" i="3" s="1"/>
  <c r="V331" i="3" s="1"/>
  <c r="X331" i="3" s="1"/>
  <c r="U104" i="3"/>
  <c r="V104" i="3" s="1"/>
  <c r="X104" i="3" s="1"/>
  <c r="U55" i="3"/>
  <c r="U352" i="3"/>
  <c r="V352" i="3" s="1"/>
  <c r="X352" i="3" s="1"/>
  <c r="I268" i="11"/>
  <c r="AG268" i="3"/>
  <c r="AG269" i="3"/>
  <c r="I269" i="11"/>
  <c r="I372" i="11"/>
  <c r="AG372" i="3"/>
  <c r="A61" i="5"/>
  <c r="A62" i="5" s="1"/>
  <c r="A63" i="5" s="1"/>
  <c r="I222" i="11"/>
  <c r="AG222" i="3"/>
  <c r="I275" i="11"/>
  <c r="AG275" i="3"/>
  <c r="AG273" i="3"/>
  <c r="I273" i="11"/>
  <c r="I329" i="11"/>
  <c r="AG329" i="3"/>
  <c r="N316" i="2"/>
  <c r="J316" i="10" s="1"/>
  <c r="Y176" i="3"/>
  <c r="S191" i="10"/>
  <c r="V191" i="2"/>
  <c r="V145" i="4"/>
  <c r="I394" i="11"/>
  <c r="AG394" i="3"/>
  <c r="AG320" i="3"/>
  <c r="I320" i="11"/>
  <c r="R220" i="10"/>
  <c r="U220" i="2"/>
  <c r="I132" i="11"/>
  <c r="AG132" i="3"/>
  <c r="I318" i="11"/>
  <c r="AG318" i="3"/>
  <c r="I72" i="11"/>
  <c r="AG72" i="3"/>
  <c r="Y227" i="3"/>
  <c r="N377" i="2"/>
  <c r="J377" i="10" s="1"/>
  <c r="N376" i="2"/>
  <c r="J376" i="10" s="1"/>
  <c r="Y226" i="3"/>
  <c r="U484" i="3"/>
  <c r="W484" i="3" s="1"/>
  <c r="V484" i="3" s="1"/>
  <c r="X484" i="3" s="1"/>
  <c r="N555" i="2"/>
  <c r="J555" i="10" s="1"/>
  <c r="Y531" i="3"/>
  <c r="N798" i="2"/>
  <c r="J798" i="10" s="1"/>
  <c r="N690" i="2"/>
  <c r="J690" i="10" s="1"/>
  <c r="Y423" i="3"/>
  <c r="N231" i="2"/>
  <c r="J231" i="10" s="1"/>
  <c r="N277" i="2"/>
  <c r="J277" i="10" s="1"/>
  <c r="N708" i="2"/>
  <c r="J708" i="10" s="1"/>
  <c r="Y441" i="3"/>
  <c r="N839" i="2"/>
  <c r="J839" i="10" s="1"/>
  <c r="N646" i="2"/>
  <c r="J646" i="10" s="1"/>
  <c r="Y572" i="3"/>
  <c r="Y452" i="3"/>
  <c r="N719" i="2"/>
  <c r="J719" i="10" s="1"/>
  <c r="N306" i="2"/>
  <c r="J306" i="10" s="1"/>
  <c r="N477" i="2"/>
  <c r="J477" i="10" s="1"/>
  <c r="Y503" i="3"/>
  <c r="N770" i="2"/>
  <c r="J770" i="10" s="1"/>
  <c r="N556" i="2"/>
  <c r="J556" i="10" s="1"/>
  <c r="N799" i="2"/>
  <c r="J799" i="10" s="1"/>
  <c r="Y532" i="3"/>
  <c r="N482" i="2"/>
  <c r="J482" i="10" s="1"/>
  <c r="N775" i="2"/>
  <c r="J775" i="10" s="1"/>
  <c r="Y508" i="3"/>
  <c r="N827" i="2"/>
  <c r="J827" i="10" s="1"/>
  <c r="N614" i="2"/>
  <c r="J614" i="10" s="1"/>
  <c r="Y560" i="3"/>
  <c r="U554" i="3"/>
  <c r="V554" i="3" s="1"/>
  <c r="X554" i="3" s="1"/>
  <c r="N801" i="2"/>
  <c r="J801" i="10" s="1"/>
  <c r="Y534" i="3"/>
  <c r="N558" i="2"/>
  <c r="J558" i="10" s="1"/>
  <c r="Y571" i="3"/>
  <c r="N645" i="2"/>
  <c r="J645" i="10" s="1"/>
  <c r="N838" i="2"/>
  <c r="J838" i="10" s="1"/>
  <c r="U446" i="3"/>
  <c r="V446" i="3" s="1"/>
  <c r="X446" i="3" s="1"/>
  <c r="U435" i="3"/>
  <c r="V435" i="3" s="1"/>
  <c r="X435" i="3" s="1"/>
  <c r="U485" i="3"/>
  <c r="W485" i="3" s="1"/>
  <c r="V485" i="3" s="1"/>
  <c r="X485" i="3" s="1"/>
  <c r="N747" i="2"/>
  <c r="J747" i="10" s="1"/>
  <c r="N404" i="2"/>
  <c r="J404" i="10" s="1"/>
  <c r="Y480" i="3"/>
  <c r="AG218" i="3"/>
  <c r="I218" i="11"/>
  <c r="I145" i="11"/>
  <c r="AG145" i="3"/>
  <c r="I383" i="11"/>
  <c r="AG383" i="3"/>
  <c r="I101" i="11"/>
  <c r="AG101" i="3"/>
  <c r="I395" i="11"/>
  <c r="AG395" i="3"/>
  <c r="I221" i="11"/>
  <c r="AG221" i="3"/>
  <c r="I84" i="11"/>
  <c r="AG84" i="3"/>
  <c r="I350" i="11"/>
  <c r="AG350" i="3"/>
  <c r="AJ350" i="3"/>
  <c r="AK350" i="3" s="1"/>
  <c r="AL350" i="3" s="1"/>
  <c r="AH350" i="3"/>
  <c r="AI350" i="3"/>
  <c r="I321" i="11"/>
  <c r="AG321" i="3"/>
  <c r="AG144" i="3"/>
  <c r="I144" i="11"/>
  <c r="Y533" i="3"/>
  <c r="N557" i="2"/>
  <c r="J557" i="10" s="1"/>
  <c r="N800" i="2"/>
  <c r="J800" i="10" s="1"/>
  <c r="N215" i="2"/>
  <c r="J215" i="10" s="1"/>
  <c r="Y417" i="3"/>
  <c r="N684" i="2"/>
  <c r="J684" i="10" s="1"/>
  <c r="N750" i="2"/>
  <c r="J750" i="10" s="1"/>
  <c r="Y483" i="3"/>
  <c r="N407" i="2"/>
  <c r="J407" i="10" s="1"/>
  <c r="N630" i="2"/>
  <c r="J630" i="10" s="1"/>
  <c r="Y566" i="3"/>
  <c r="N833" i="2"/>
  <c r="J833" i="10" s="1"/>
  <c r="Y424" i="3"/>
  <c r="N691" i="2"/>
  <c r="J691" i="10" s="1"/>
  <c r="N232" i="2"/>
  <c r="J232" i="10" s="1"/>
  <c r="N845" i="2"/>
  <c r="J845" i="10" s="1"/>
  <c r="Y578" i="3"/>
  <c r="N662" i="2"/>
  <c r="J662" i="10" s="1"/>
  <c r="I361" i="11"/>
  <c r="AG361" i="3"/>
  <c r="AJ361" i="3"/>
  <c r="AK361" i="3" s="1"/>
  <c r="AL361" i="3" s="1"/>
  <c r="AH361" i="3"/>
  <c r="AI361" i="3"/>
  <c r="I143" i="11"/>
  <c r="AG143" i="3"/>
  <c r="I164" i="11"/>
  <c r="AG164" i="3"/>
  <c r="I382" i="11"/>
  <c r="AG382" i="3"/>
  <c r="I185" i="11"/>
  <c r="AG185" i="3"/>
  <c r="I360" i="11"/>
  <c r="AG360" i="3"/>
  <c r="G8" i="5"/>
  <c r="Q327" i="2" s="1"/>
  <c r="I8" i="5"/>
  <c r="H8" i="5"/>
  <c r="J8" i="5"/>
  <c r="AG78" i="3"/>
  <c r="I78" i="11"/>
  <c r="I225" i="11"/>
  <c r="AG225" i="3"/>
  <c r="I373" i="11"/>
  <c r="AG373" i="3"/>
  <c r="I223" i="11"/>
  <c r="AG223" i="3"/>
  <c r="I272" i="11"/>
  <c r="AG272" i="3"/>
  <c r="I327" i="11"/>
  <c r="AG327" i="3"/>
  <c r="R191" i="10"/>
  <c r="U191" i="2"/>
  <c r="I406" i="11"/>
  <c r="AG406" i="3"/>
  <c r="I267" i="11"/>
  <c r="AG267" i="3"/>
  <c r="Y451" i="3"/>
  <c r="N718" i="2"/>
  <c r="J718" i="10" s="1"/>
  <c r="N305" i="2"/>
  <c r="J305" i="10" s="1"/>
  <c r="N814" i="2"/>
  <c r="J814" i="10" s="1"/>
  <c r="N581" i="2"/>
  <c r="J581" i="10" s="1"/>
  <c r="Y547" i="3"/>
  <c r="N712" i="2"/>
  <c r="J712" i="10" s="1"/>
  <c r="N289" i="2"/>
  <c r="J289" i="10" s="1"/>
  <c r="Y445" i="3"/>
  <c r="U510" i="3"/>
  <c r="W510" i="3" s="1"/>
  <c r="V510" i="3" s="1"/>
  <c r="X510" i="3" s="1"/>
  <c r="Y505" i="3"/>
  <c r="N479" i="2"/>
  <c r="J479" i="10" s="1"/>
  <c r="N772" i="2"/>
  <c r="J772" i="10" s="1"/>
  <c r="U511" i="3"/>
  <c r="W511" i="3" s="1"/>
  <c r="V511" i="3" s="1"/>
  <c r="X511" i="3" s="1"/>
  <c r="N322" i="2"/>
  <c r="J322" i="10" s="1"/>
  <c r="Y458" i="3"/>
  <c r="N725" i="2"/>
  <c r="J725" i="10" s="1"/>
  <c r="N483" i="2"/>
  <c r="J483" i="10" s="1"/>
  <c r="Y509" i="3"/>
  <c r="N776" i="2"/>
  <c r="J776" i="10" s="1"/>
  <c r="N247" i="2"/>
  <c r="J247" i="10" s="1"/>
  <c r="N696" i="2"/>
  <c r="J696" i="10" s="1"/>
  <c r="Y429" i="3"/>
  <c r="N707" i="2"/>
  <c r="J707" i="10" s="1"/>
  <c r="Y440" i="3"/>
  <c r="N276" i="2"/>
  <c r="J276" i="10" s="1"/>
  <c r="U538" i="3"/>
  <c r="W538" i="3" s="1"/>
  <c r="V538" i="3" s="1"/>
  <c r="X538" i="3" s="1"/>
  <c r="N403" i="2"/>
  <c r="J403" i="10" s="1"/>
  <c r="N746" i="2"/>
  <c r="J746" i="10" s="1"/>
  <c r="Y479" i="3"/>
  <c r="N480" i="2"/>
  <c r="J480" i="10" s="1"/>
  <c r="Y506" i="3"/>
  <c r="N773" i="2"/>
  <c r="J773" i="10" s="1"/>
  <c r="Y535" i="3"/>
  <c r="N559" i="2"/>
  <c r="J559" i="10" s="1"/>
  <c r="N802" i="2"/>
  <c r="J802" i="10" s="1"/>
  <c r="N832" i="2"/>
  <c r="J832" i="10" s="1"/>
  <c r="N629" i="2"/>
  <c r="J629" i="10" s="1"/>
  <c r="Y565" i="3"/>
  <c r="N478" i="2"/>
  <c r="J478" i="10" s="1"/>
  <c r="N771" i="2"/>
  <c r="J771" i="10" s="1"/>
  <c r="Y504" i="3"/>
  <c r="U537" i="3"/>
  <c r="W537" i="3" s="1"/>
  <c r="V537" i="3" s="1"/>
  <c r="X537" i="3" s="1"/>
  <c r="I224" i="11"/>
  <c r="AG224" i="3"/>
  <c r="I270" i="11"/>
  <c r="AG270" i="3"/>
  <c r="I384" i="11"/>
  <c r="AG384" i="3"/>
  <c r="I94" i="11"/>
  <c r="AG94" i="3"/>
  <c r="I276" i="11"/>
  <c r="AG276" i="3"/>
  <c r="AG429" i="3" l="1"/>
  <c r="I429" i="11"/>
  <c r="I417" i="11"/>
  <c r="AG417" i="3"/>
  <c r="N702" i="2"/>
  <c r="J702" i="10" s="1"/>
  <c r="Y435" i="3"/>
  <c r="N261" i="2"/>
  <c r="J261" i="10" s="1"/>
  <c r="I572" i="11"/>
  <c r="AG572" i="3"/>
  <c r="Y331" i="3"/>
  <c r="N531" i="2"/>
  <c r="J531" i="10" s="1"/>
  <c r="Y337" i="3"/>
  <c r="N537" i="2"/>
  <c r="J537" i="10" s="1"/>
  <c r="N198" i="2"/>
  <c r="J198" i="10" s="1"/>
  <c r="Y95" i="3"/>
  <c r="N382" i="2"/>
  <c r="J382" i="10" s="1"/>
  <c r="Y232" i="3"/>
  <c r="Y334" i="3"/>
  <c r="N534" i="2"/>
  <c r="J534" i="10" s="1"/>
  <c r="AG481" i="3"/>
  <c r="I481" i="11"/>
  <c r="I482" i="11"/>
  <c r="AG482" i="3"/>
  <c r="I165" i="11"/>
  <c r="AG165" i="3"/>
  <c r="G9" i="5"/>
  <c r="Q335" i="2" s="1"/>
  <c r="J9" i="5"/>
  <c r="H9" i="5"/>
  <c r="I9" i="5"/>
  <c r="I535" i="11"/>
  <c r="AG535" i="3"/>
  <c r="AG479" i="3"/>
  <c r="I479" i="11"/>
  <c r="I506" i="11"/>
  <c r="AG506" i="3"/>
  <c r="I458" i="11"/>
  <c r="AG458" i="3"/>
  <c r="Q266" i="2"/>
  <c r="Q237" i="2"/>
  <c r="Q295" i="2"/>
  <c r="Y485" i="3"/>
  <c r="N752" i="2"/>
  <c r="J752" i="10" s="1"/>
  <c r="N409" i="2"/>
  <c r="J409" i="10" s="1"/>
  <c r="I532" i="11"/>
  <c r="AG532" i="3"/>
  <c r="AG503" i="3"/>
  <c r="I503" i="11"/>
  <c r="I452" i="11"/>
  <c r="AG452" i="3"/>
  <c r="I441" i="11"/>
  <c r="AG441" i="3"/>
  <c r="AG423" i="3"/>
  <c r="I423" i="11"/>
  <c r="I226" i="11"/>
  <c r="AG226" i="3"/>
  <c r="Y352" i="3"/>
  <c r="N577" i="2"/>
  <c r="J577" i="10" s="1"/>
  <c r="N535" i="2"/>
  <c r="J535" i="10" s="1"/>
  <c r="Y335" i="3"/>
  <c r="Y281" i="3"/>
  <c r="N456" i="2"/>
  <c r="J456" i="10" s="1"/>
  <c r="Y230" i="3"/>
  <c r="N380" i="2"/>
  <c r="J380" i="10" s="1"/>
  <c r="Y155" i="3"/>
  <c r="N286" i="2"/>
  <c r="J286" i="10" s="1"/>
  <c r="Y407" i="3"/>
  <c r="N657" i="2"/>
  <c r="J657" i="10" s="1"/>
  <c r="N536" i="2"/>
  <c r="J536" i="10" s="1"/>
  <c r="Y336" i="3"/>
  <c r="N532" i="2"/>
  <c r="J532" i="10" s="1"/>
  <c r="Y332" i="3"/>
  <c r="N188" i="2"/>
  <c r="J188" i="10" s="1"/>
  <c r="X85" i="3"/>
  <c r="Y85" i="3" s="1"/>
  <c r="N182" i="2"/>
  <c r="J182" i="10" s="1"/>
  <c r="X79" i="3"/>
  <c r="Y79" i="3" s="1"/>
  <c r="A26" i="8"/>
  <c r="I559" i="11"/>
  <c r="AG559" i="3"/>
  <c r="I464" i="11"/>
  <c r="AG464" i="3"/>
  <c r="I187" i="11"/>
  <c r="AG187" i="3"/>
  <c r="I478" i="11"/>
  <c r="AG478" i="3"/>
  <c r="I477" i="11"/>
  <c r="AG477" i="3"/>
  <c r="N410" i="2"/>
  <c r="J410" i="10" s="1"/>
  <c r="N753" i="2"/>
  <c r="J753" i="10" s="1"/>
  <c r="Y486" i="3"/>
  <c r="N779" i="2"/>
  <c r="J779" i="10" s="1"/>
  <c r="Y512" i="3"/>
  <c r="N486" i="2"/>
  <c r="J486" i="10" s="1"/>
  <c r="D10" i="5"/>
  <c r="B44" i="5" s="1"/>
  <c r="E44" i="5" s="1"/>
  <c r="F10" i="5"/>
  <c r="I434" i="11"/>
  <c r="AG434" i="3"/>
  <c r="D43" i="5"/>
  <c r="X391" i="2" s="1"/>
  <c r="F43" i="5"/>
  <c r="X543" i="2" s="1"/>
  <c r="X467" i="2"/>
  <c r="I505" i="11"/>
  <c r="AG505" i="3"/>
  <c r="S327" i="2"/>
  <c r="T327" i="2"/>
  <c r="N383" i="2"/>
  <c r="J383" i="10" s="1"/>
  <c r="Y233" i="3"/>
  <c r="N459" i="2"/>
  <c r="J459" i="10" s="1"/>
  <c r="Y284" i="3"/>
  <c r="N454" i="2"/>
  <c r="J454" i="10" s="1"/>
  <c r="Y279" i="3"/>
  <c r="Y285" i="3"/>
  <c r="N460" i="2"/>
  <c r="J460" i="10" s="1"/>
  <c r="Y154" i="3"/>
  <c r="N285" i="2"/>
  <c r="J285" i="10" s="1"/>
  <c r="Q192" i="2"/>
  <c r="Q221" i="2"/>
  <c r="Q311" i="2"/>
  <c r="AG483" i="3"/>
  <c r="I483" i="11"/>
  <c r="Y446" i="3"/>
  <c r="N713" i="2"/>
  <c r="J713" i="10" s="1"/>
  <c r="N290" i="2"/>
  <c r="J290" i="10" s="1"/>
  <c r="AG560" i="3"/>
  <c r="I560" i="11"/>
  <c r="AG176" i="3"/>
  <c r="I176" i="11"/>
  <c r="Y104" i="3"/>
  <c r="N212" i="2"/>
  <c r="J212" i="10" s="1"/>
  <c r="Y229" i="3"/>
  <c r="N379" i="2"/>
  <c r="J379" i="10" s="1"/>
  <c r="Y135" i="3"/>
  <c r="N257" i="2"/>
  <c r="J257" i="10" s="1"/>
  <c r="Y177" i="3"/>
  <c r="N317" i="2"/>
  <c r="J317" i="10" s="1"/>
  <c r="Y282" i="3"/>
  <c r="N457" i="2"/>
  <c r="J457" i="10" s="1"/>
  <c r="Y228" i="3"/>
  <c r="N378" i="2"/>
  <c r="J378" i="10" s="1"/>
  <c r="Y362" i="3"/>
  <c r="N592" i="2"/>
  <c r="J592" i="10" s="1"/>
  <c r="Y115" i="3"/>
  <c r="N227" i="2"/>
  <c r="J227" i="10" s="1"/>
  <c r="Y166" i="3"/>
  <c r="N301" i="2"/>
  <c r="J301" i="10" s="1"/>
  <c r="Y333" i="3"/>
  <c r="N533" i="2"/>
  <c r="J533" i="10" s="1"/>
  <c r="N461" i="2"/>
  <c r="J461" i="10" s="1"/>
  <c r="Y286" i="3"/>
  <c r="N176" i="2"/>
  <c r="J176" i="10" s="1"/>
  <c r="X73" i="3"/>
  <c r="Y73" i="3" s="1"/>
  <c r="AG548" i="3"/>
  <c r="I548" i="11"/>
  <c r="AI548" i="3"/>
  <c r="AJ548" i="3"/>
  <c r="AK548" i="3" s="1"/>
  <c r="AL548" i="3" s="1"/>
  <c r="AH548" i="3"/>
  <c r="I413" i="11"/>
  <c r="AG413" i="3"/>
  <c r="AG457" i="3"/>
  <c r="I457" i="11"/>
  <c r="I553" i="11"/>
  <c r="AG553" i="3"/>
  <c r="AG530" i="3"/>
  <c r="I530" i="11"/>
  <c r="I430" i="11"/>
  <c r="AG430" i="3"/>
  <c r="W431" i="2"/>
  <c r="O431" i="10" s="1"/>
  <c r="W429" i="2"/>
  <c r="O429" i="10" s="1"/>
  <c r="W428" i="2"/>
  <c r="O428" i="10" s="1"/>
  <c r="W430" i="2"/>
  <c r="O430" i="10" s="1"/>
  <c r="W427" i="2"/>
  <c r="O427" i="10" s="1"/>
  <c r="Y537" i="3"/>
  <c r="N804" i="2"/>
  <c r="J804" i="10" s="1"/>
  <c r="N561" i="2"/>
  <c r="J561" i="10" s="1"/>
  <c r="I565" i="11"/>
  <c r="AG565" i="3"/>
  <c r="N562" i="2"/>
  <c r="J562" i="10" s="1"/>
  <c r="N805" i="2"/>
  <c r="J805" i="10" s="1"/>
  <c r="Y538" i="3"/>
  <c r="AG509" i="3"/>
  <c r="I509" i="11"/>
  <c r="AG578" i="3"/>
  <c r="I578" i="11"/>
  <c r="I424" i="11"/>
  <c r="AG424" i="3"/>
  <c r="I533" i="11"/>
  <c r="AG533" i="3"/>
  <c r="I480" i="11"/>
  <c r="AG480" i="3"/>
  <c r="I571" i="11"/>
  <c r="AG571" i="3"/>
  <c r="N598" i="2"/>
  <c r="J598" i="10" s="1"/>
  <c r="Y554" i="3"/>
  <c r="N821" i="2"/>
  <c r="J821" i="10" s="1"/>
  <c r="I508" i="11"/>
  <c r="AG508" i="3"/>
  <c r="N408" i="2"/>
  <c r="J408" i="10" s="1"/>
  <c r="Y484" i="3"/>
  <c r="N751" i="2"/>
  <c r="J751" i="10" s="1"/>
  <c r="N385" i="2"/>
  <c r="J385" i="10" s="1"/>
  <c r="Y235" i="3"/>
  <c r="Y234" i="3"/>
  <c r="N384" i="2"/>
  <c r="J384" i="10" s="1"/>
  <c r="N381" i="2"/>
  <c r="J381" i="10" s="1"/>
  <c r="Y231" i="3"/>
  <c r="N560" i="2"/>
  <c r="J560" i="10" s="1"/>
  <c r="Y536" i="3"/>
  <c r="N803" i="2"/>
  <c r="J803" i="10" s="1"/>
  <c r="I418" i="11"/>
  <c r="AG418" i="3"/>
  <c r="W506" i="2"/>
  <c r="O506" i="10" s="1"/>
  <c r="W503" i="2"/>
  <c r="O503" i="10" s="1"/>
  <c r="W507" i="2"/>
  <c r="O507" i="10" s="1"/>
  <c r="W505" i="2"/>
  <c r="O505" i="10" s="1"/>
  <c r="W504" i="2"/>
  <c r="O504" i="10" s="1"/>
  <c r="I504" i="11"/>
  <c r="AG504" i="3"/>
  <c r="Y511" i="3"/>
  <c r="N778" i="2"/>
  <c r="J778" i="10" s="1"/>
  <c r="N485" i="2"/>
  <c r="J485" i="10" s="1"/>
  <c r="N484" i="2"/>
  <c r="J484" i="10" s="1"/>
  <c r="N777" i="2"/>
  <c r="J777" i="10" s="1"/>
  <c r="Y510" i="3"/>
  <c r="AG547" i="3"/>
  <c r="I547" i="11"/>
  <c r="I440" i="11"/>
  <c r="AG440" i="3"/>
  <c r="I445" i="11"/>
  <c r="AG445" i="3"/>
  <c r="I451" i="11"/>
  <c r="AG451" i="3"/>
  <c r="I566" i="11"/>
  <c r="AG566" i="3"/>
  <c r="AG534" i="3"/>
  <c r="I534" i="11"/>
  <c r="AG531" i="3"/>
  <c r="I531" i="11"/>
  <c r="I227" i="11"/>
  <c r="AG227" i="3"/>
  <c r="A64" i="5"/>
  <c r="A65" i="5" s="1"/>
  <c r="A66" i="5" s="1"/>
  <c r="U385" i="3"/>
  <c r="V385" i="3" s="1"/>
  <c r="X385" i="3" s="1"/>
  <c r="U126" i="3"/>
  <c r="V126" i="3" s="1"/>
  <c r="X126" i="3" s="1"/>
  <c r="Y280" i="3"/>
  <c r="N455" i="2"/>
  <c r="J455" i="10" s="1"/>
  <c r="Y134" i="3"/>
  <c r="N256" i="2"/>
  <c r="J256" i="10" s="1"/>
  <c r="U363" i="3"/>
  <c r="V363" i="3" s="1"/>
  <c r="X363" i="3" s="1"/>
  <c r="Y330" i="3"/>
  <c r="N530" i="2"/>
  <c r="J530" i="10" s="1"/>
  <c r="U374" i="3"/>
  <c r="V374" i="3" s="1"/>
  <c r="X374" i="3" s="1"/>
  <c r="Y283" i="3"/>
  <c r="N458" i="2"/>
  <c r="J458" i="10" s="1"/>
  <c r="U396" i="3"/>
  <c r="V396" i="3" s="1"/>
  <c r="X396" i="3" s="1"/>
  <c r="Y103" i="3"/>
  <c r="N211" i="2"/>
  <c r="J211" i="10" s="1"/>
  <c r="U146" i="3"/>
  <c r="V146" i="3" s="1"/>
  <c r="X146" i="3" s="1"/>
  <c r="U188" i="3"/>
  <c r="V188" i="3" s="1"/>
  <c r="X188" i="3" s="1"/>
  <c r="I412" i="11"/>
  <c r="AG412" i="3"/>
  <c r="I529" i="11"/>
  <c r="AG529" i="3"/>
  <c r="I577" i="11"/>
  <c r="AG577" i="3"/>
  <c r="B11" i="5"/>
  <c r="C11" i="5" s="1"/>
  <c r="A12" i="5"/>
  <c r="I507" i="11"/>
  <c r="AG507" i="3"/>
  <c r="AG463" i="3"/>
  <c r="I463" i="11"/>
  <c r="I278" i="11"/>
  <c r="AG278" i="3"/>
  <c r="W355" i="2"/>
  <c r="O355" i="10" s="1"/>
  <c r="W354" i="2"/>
  <c r="O354" i="10" s="1"/>
  <c r="W353" i="2"/>
  <c r="O353" i="10" s="1"/>
  <c r="W351" i="2"/>
  <c r="O351" i="10" s="1"/>
  <c r="W352" i="2"/>
  <c r="O352" i="10" s="1"/>
  <c r="AG234" i="3" l="1"/>
  <c r="I234" i="11"/>
  <c r="AH234" i="3"/>
  <c r="AJ234" i="3"/>
  <c r="AK234" i="3" s="1"/>
  <c r="AL234" i="3" s="1"/>
  <c r="AI234" i="3"/>
  <c r="I538" i="11"/>
  <c r="AG538" i="3"/>
  <c r="T311" i="2"/>
  <c r="S311" i="2"/>
  <c r="A27" i="8"/>
  <c r="U96" i="3" s="1"/>
  <c r="V96" i="3" s="1"/>
  <c r="X96" i="3" s="1"/>
  <c r="U386" i="3"/>
  <c r="V386" i="3" s="1"/>
  <c r="X386" i="3" s="1"/>
  <c r="U178" i="3"/>
  <c r="V178" i="3" s="1"/>
  <c r="X178" i="3" s="1"/>
  <c r="U375" i="3"/>
  <c r="V375" i="3" s="1"/>
  <c r="X375" i="3" s="1"/>
  <c r="U127" i="3"/>
  <c r="V127" i="3" s="1"/>
  <c r="X127" i="3" s="1"/>
  <c r="U288" i="3"/>
  <c r="W288" i="3" s="1"/>
  <c r="V288" i="3" s="1"/>
  <c r="X288" i="3" s="1"/>
  <c r="U364" i="3"/>
  <c r="V364" i="3" s="1"/>
  <c r="X364" i="3" s="1"/>
  <c r="U116" i="3"/>
  <c r="V116" i="3" s="1"/>
  <c r="X116" i="3" s="1"/>
  <c r="U397" i="3"/>
  <c r="V397" i="3" s="1"/>
  <c r="X397" i="3" s="1"/>
  <c r="U338" i="3"/>
  <c r="W338" i="3" s="1"/>
  <c r="V338" i="3" s="1"/>
  <c r="X338" i="3" s="1"/>
  <c r="U136" i="3"/>
  <c r="V136" i="3" s="1"/>
  <c r="X136" i="3" s="1"/>
  <c r="U240" i="3"/>
  <c r="W240" i="3" s="1"/>
  <c r="V240" i="3" s="1"/>
  <c r="X240" i="3" s="1"/>
  <c r="U287" i="3"/>
  <c r="W287" i="3" s="1"/>
  <c r="V287" i="3" s="1"/>
  <c r="X287" i="3" s="1"/>
  <c r="U156" i="3"/>
  <c r="V156" i="3" s="1"/>
  <c r="X156" i="3" s="1"/>
  <c r="U236" i="3"/>
  <c r="W236" i="3" s="1"/>
  <c r="V236" i="3" s="1"/>
  <c r="X236" i="3" s="1"/>
  <c r="U342" i="3"/>
  <c r="W342" i="3" s="1"/>
  <c r="V342" i="3" s="1"/>
  <c r="X342" i="3" s="1"/>
  <c r="U189" i="3"/>
  <c r="V189" i="3" s="1"/>
  <c r="X189" i="3" s="1"/>
  <c r="U408" i="3"/>
  <c r="V408" i="3" s="1"/>
  <c r="X408" i="3" s="1"/>
  <c r="U167" i="3"/>
  <c r="V167" i="3" s="1"/>
  <c r="X167" i="3" s="1"/>
  <c r="U290" i="3"/>
  <c r="W290" i="3" s="1"/>
  <c r="V290" i="3" s="1"/>
  <c r="X290" i="3" s="1"/>
  <c r="U340" i="3"/>
  <c r="W340" i="3" s="1"/>
  <c r="V340" i="3" s="1"/>
  <c r="X340" i="3" s="1"/>
  <c r="U105" i="3"/>
  <c r="V105" i="3" s="1"/>
  <c r="X105" i="3" s="1"/>
  <c r="U238" i="3"/>
  <c r="W238" i="3" s="1"/>
  <c r="V238" i="3" s="1"/>
  <c r="X238" i="3" s="1"/>
  <c r="U237" i="3"/>
  <c r="W237" i="3" s="1"/>
  <c r="V237" i="3" s="1"/>
  <c r="X237" i="3" s="1"/>
  <c r="U239" i="3"/>
  <c r="W239" i="3" s="1"/>
  <c r="V239" i="3" s="1"/>
  <c r="X239" i="3" s="1"/>
  <c r="U291" i="3"/>
  <c r="W291" i="3" s="1"/>
  <c r="V291" i="3" s="1"/>
  <c r="X291" i="3" s="1"/>
  <c r="U339" i="3"/>
  <c r="W339" i="3" s="1"/>
  <c r="V339" i="3" s="1"/>
  <c r="X339" i="3" s="1"/>
  <c r="U147" i="3"/>
  <c r="V147" i="3" s="1"/>
  <c r="X147" i="3" s="1"/>
  <c r="U289" i="3"/>
  <c r="W289" i="3" s="1"/>
  <c r="V289" i="3" s="1"/>
  <c r="X289" i="3" s="1"/>
  <c r="U341" i="3"/>
  <c r="W341" i="3" s="1"/>
  <c r="V341" i="3" s="1"/>
  <c r="X341" i="3" s="1"/>
  <c r="T266" i="2"/>
  <c r="S266" i="2"/>
  <c r="S335" i="2"/>
  <c r="T335" i="2"/>
  <c r="I95" i="11"/>
  <c r="AG95" i="3"/>
  <c r="AI95" i="3"/>
  <c r="AH95" i="3"/>
  <c r="AJ95" i="3"/>
  <c r="AK95" i="3" s="1"/>
  <c r="AL95" i="3" s="1"/>
  <c r="AG435" i="3"/>
  <c r="I435" i="11"/>
  <c r="N272" i="2"/>
  <c r="J272" i="10" s="1"/>
  <c r="Y146" i="3"/>
  <c r="I330" i="11"/>
  <c r="AG330" i="3"/>
  <c r="X487" i="2"/>
  <c r="AG510" i="3"/>
  <c r="I510" i="11"/>
  <c r="I231" i="11"/>
  <c r="AG231" i="3"/>
  <c r="AI231" i="3"/>
  <c r="AJ231" i="3"/>
  <c r="AK231" i="3" s="1"/>
  <c r="AL231" i="3" s="1"/>
  <c r="AH231" i="3"/>
  <c r="I235" i="11"/>
  <c r="AG235" i="3"/>
  <c r="AI235" i="3"/>
  <c r="AJ235" i="3"/>
  <c r="AK235" i="3" s="1"/>
  <c r="AL235" i="3" s="1"/>
  <c r="AH235" i="3"/>
  <c r="AG166" i="3"/>
  <c r="I166" i="11"/>
  <c r="AJ166" i="3"/>
  <c r="AK166" i="3" s="1"/>
  <c r="AL166" i="3" s="1"/>
  <c r="AH166" i="3"/>
  <c r="AI166" i="3"/>
  <c r="I362" i="11"/>
  <c r="AI362" i="3"/>
  <c r="AG362" i="3"/>
  <c r="AJ362" i="3"/>
  <c r="AK362" i="3" s="1"/>
  <c r="AL362" i="3" s="1"/>
  <c r="AH362" i="3"/>
  <c r="I282" i="11"/>
  <c r="AG282" i="3"/>
  <c r="AI282" i="3"/>
  <c r="AJ282" i="3"/>
  <c r="AK282" i="3" s="1"/>
  <c r="AL282" i="3" s="1"/>
  <c r="AH282" i="3"/>
  <c r="I135" i="11"/>
  <c r="AG135" i="3"/>
  <c r="AH135" i="3"/>
  <c r="AI135" i="3"/>
  <c r="AJ135" i="3"/>
  <c r="AK135" i="3" s="1"/>
  <c r="AL135" i="3" s="1"/>
  <c r="I104" i="11"/>
  <c r="AG104" i="3"/>
  <c r="AI104" i="3"/>
  <c r="AH104" i="3"/>
  <c r="AJ104" i="3"/>
  <c r="AK104" i="3" s="1"/>
  <c r="AL104" i="3" s="1"/>
  <c r="S221" i="2"/>
  <c r="T221" i="2"/>
  <c r="I284" i="11"/>
  <c r="AG284" i="3"/>
  <c r="AH284" i="3"/>
  <c r="AJ284" i="3"/>
  <c r="AK284" i="3" s="1"/>
  <c r="AL284" i="3" s="1"/>
  <c r="AI284" i="3"/>
  <c r="S327" i="10"/>
  <c r="V327" i="2"/>
  <c r="W544" i="2"/>
  <c r="O544" i="10" s="1"/>
  <c r="W546" i="2"/>
  <c r="O546" i="10" s="1"/>
  <c r="W547" i="2"/>
  <c r="O547" i="10" s="1"/>
  <c r="W545" i="2"/>
  <c r="O545" i="10" s="1"/>
  <c r="W543" i="2"/>
  <c r="O543" i="10" s="1"/>
  <c r="F44" i="5"/>
  <c r="D44" i="5"/>
  <c r="I486" i="11"/>
  <c r="AG486" i="3"/>
  <c r="I79" i="11"/>
  <c r="AG79" i="3"/>
  <c r="AH79" i="3"/>
  <c r="AJ79" i="3"/>
  <c r="AK79" i="3" s="1"/>
  <c r="AL79" i="3" s="1"/>
  <c r="AI79" i="3"/>
  <c r="I332" i="11"/>
  <c r="AG332" i="3"/>
  <c r="I335" i="11"/>
  <c r="AG335" i="3"/>
  <c r="AJ335" i="3"/>
  <c r="AK335" i="3" s="1"/>
  <c r="AL335" i="3" s="1"/>
  <c r="AI335" i="3"/>
  <c r="AH335" i="3"/>
  <c r="I485" i="11"/>
  <c r="AG485" i="3"/>
  <c r="Q274" i="2"/>
  <c r="Q245" i="2"/>
  <c r="Q303" i="2"/>
  <c r="Q206" i="2"/>
  <c r="I334" i="11"/>
  <c r="AG334" i="3"/>
  <c r="AH334" i="3"/>
  <c r="AJ334" i="3"/>
  <c r="AK334" i="3" s="1"/>
  <c r="AL334" i="3" s="1"/>
  <c r="AI334" i="3"/>
  <c r="I331" i="11"/>
  <c r="AG331" i="3"/>
  <c r="F11" i="5"/>
  <c r="D11" i="5"/>
  <c r="B45" i="5" s="1"/>
  <c r="E45" i="5" s="1"/>
  <c r="Y188" i="3"/>
  <c r="N333" i="2"/>
  <c r="J333" i="10" s="1"/>
  <c r="Y385" i="3"/>
  <c r="N625" i="2"/>
  <c r="J625" i="10" s="1"/>
  <c r="I484" i="11"/>
  <c r="AG484" i="3"/>
  <c r="AG554" i="3"/>
  <c r="AI554" i="3"/>
  <c r="AJ554" i="3"/>
  <c r="AK554" i="3" s="1"/>
  <c r="AL554" i="3" s="1"/>
  <c r="I554" i="11"/>
  <c r="AH554" i="3"/>
  <c r="AG154" i="3"/>
  <c r="I154" i="11"/>
  <c r="I155" i="11"/>
  <c r="AG155" i="3"/>
  <c r="AI155" i="3"/>
  <c r="AJ155" i="3"/>
  <c r="AK155" i="3" s="1"/>
  <c r="AL155" i="3" s="1"/>
  <c r="AH155" i="3"/>
  <c r="I281" i="11"/>
  <c r="AG281" i="3"/>
  <c r="I352" i="11"/>
  <c r="AJ352" i="3"/>
  <c r="AK352" i="3" s="1"/>
  <c r="AL352" i="3" s="1"/>
  <c r="AG352" i="3"/>
  <c r="AH352" i="3"/>
  <c r="AI352" i="3"/>
  <c r="I283" i="11"/>
  <c r="AG283" i="3"/>
  <c r="AJ283" i="3"/>
  <c r="AK283" i="3" s="1"/>
  <c r="AL283" i="3" s="1"/>
  <c r="AI283" i="3"/>
  <c r="AH283" i="3"/>
  <c r="AG280" i="3"/>
  <c r="I280" i="11"/>
  <c r="I511" i="11"/>
  <c r="AG511" i="3"/>
  <c r="I537" i="11"/>
  <c r="AG537" i="3"/>
  <c r="I73" i="11"/>
  <c r="AG73" i="3"/>
  <c r="AJ73" i="3"/>
  <c r="AK73" i="3" s="1"/>
  <c r="AL73" i="3" s="1"/>
  <c r="AI73" i="3"/>
  <c r="AH73" i="3"/>
  <c r="I446" i="11"/>
  <c r="AG446" i="3"/>
  <c r="S192" i="2"/>
  <c r="T192" i="2"/>
  <c r="I285" i="11"/>
  <c r="AG285" i="3"/>
  <c r="AJ285" i="3"/>
  <c r="AK285" i="3" s="1"/>
  <c r="AL285" i="3" s="1"/>
  <c r="AI285" i="3"/>
  <c r="AH285" i="3"/>
  <c r="R327" i="10"/>
  <c r="U327" i="2"/>
  <c r="W395" i="2"/>
  <c r="O395" i="10" s="1"/>
  <c r="W393" i="2"/>
  <c r="O393" i="10" s="1"/>
  <c r="W392" i="2"/>
  <c r="O392" i="10" s="1"/>
  <c r="W394" i="2"/>
  <c r="O394" i="10" s="1"/>
  <c r="W391" i="2"/>
  <c r="O391" i="10" s="1"/>
  <c r="I407" i="11"/>
  <c r="AG407" i="3"/>
  <c r="AH407" i="3"/>
  <c r="AI407" i="3"/>
  <c r="AJ407" i="3"/>
  <c r="AK407" i="3" s="1"/>
  <c r="AL407" i="3" s="1"/>
  <c r="I230" i="11"/>
  <c r="AG230" i="3"/>
  <c r="S295" i="2"/>
  <c r="T295" i="2"/>
  <c r="Q251" i="2"/>
  <c r="Q280" i="2"/>
  <c r="I232" i="11"/>
  <c r="AG232" i="3"/>
  <c r="AH232" i="3"/>
  <c r="AI232" i="3"/>
  <c r="AJ232" i="3"/>
  <c r="AK232" i="3" s="1"/>
  <c r="AL232" i="3" s="1"/>
  <c r="Y396" i="3"/>
  <c r="N641" i="2"/>
  <c r="J641" i="10" s="1"/>
  <c r="I134" i="11"/>
  <c r="AG134" i="3"/>
  <c r="AG286" i="3"/>
  <c r="I286" i="11"/>
  <c r="AI286" i="3"/>
  <c r="AH286" i="3"/>
  <c r="AJ286" i="3"/>
  <c r="AK286" i="3" s="1"/>
  <c r="AL286" i="3" s="1"/>
  <c r="W468" i="2"/>
  <c r="O468" i="10" s="1"/>
  <c r="W469" i="2"/>
  <c r="O469" i="10" s="1"/>
  <c r="W467" i="2"/>
  <c r="O467" i="10" s="1"/>
  <c r="W470" i="2"/>
  <c r="O470" i="10" s="1"/>
  <c r="W471" i="2"/>
  <c r="O471" i="10" s="1"/>
  <c r="H10" i="5"/>
  <c r="G10" i="5"/>
  <c r="I10" i="5"/>
  <c r="J10" i="5"/>
  <c r="Y363" i="3"/>
  <c r="N593" i="2"/>
  <c r="J593" i="10" s="1"/>
  <c r="X563" i="2"/>
  <c r="B12" i="5"/>
  <c r="C12" i="5" s="1"/>
  <c r="A13" i="5"/>
  <c r="I103" i="11"/>
  <c r="AG103" i="3"/>
  <c r="Y374" i="3"/>
  <c r="N609" i="2"/>
  <c r="J609" i="10" s="1"/>
  <c r="Y126" i="3"/>
  <c r="N243" i="2"/>
  <c r="J243" i="10" s="1"/>
  <c r="X411" i="2"/>
  <c r="I536" i="11"/>
  <c r="AG536" i="3"/>
  <c r="I333" i="11"/>
  <c r="AG333" i="3"/>
  <c r="AH333" i="3"/>
  <c r="AJ333" i="3"/>
  <c r="AK333" i="3" s="1"/>
  <c r="AL333" i="3" s="1"/>
  <c r="AI333" i="3"/>
  <c r="I115" i="11"/>
  <c r="AG115" i="3"/>
  <c r="AH115" i="3"/>
  <c r="AI115" i="3"/>
  <c r="AJ115" i="3"/>
  <c r="AK115" i="3" s="1"/>
  <c r="AL115" i="3" s="1"/>
  <c r="I228" i="11"/>
  <c r="AG228" i="3"/>
  <c r="I177" i="11"/>
  <c r="AG177" i="3"/>
  <c r="AI177" i="3"/>
  <c r="AH177" i="3"/>
  <c r="AJ177" i="3"/>
  <c r="AK177" i="3" s="1"/>
  <c r="AL177" i="3" s="1"/>
  <c r="I229" i="11"/>
  <c r="AG229" i="3"/>
  <c r="I279" i="11"/>
  <c r="AG279" i="3"/>
  <c r="AG233" i="3"/>
  <c r="I233" i="11"/>
  <c r="AJ233" i="3"/>
  <c r="AK233" i="3" s="1"/>
  <c r="AL233" i="3" s="1"/>
  <c r="AI233" i="3"/>
  <c r="AH233" i="3"/>
  <c r="AG512" i="3"/>
  <c r="I512" i="11"/>
  <c r="I85" i="11"/>
  <c r="AG85" i="3"/>
  <c r="AJ85" i="3"/>
  <c r="AK85" i="3" s="1"/>
  <c r="AL85" i="3" s="1"/>
  <c r="AH85" i="3"/>
  <c r="AI85" i="3"/>
  <c r="I336" i="11"/>
  <c r="AG336" i="3"/>
  <c r="AJ336" i="3"/>
  <c r="AK336" i="3" s="1"/>
  <c r="AL336" i="3" s="1"/>
  <c r="AH336" i="3"/>
  <c r="AI336" i="3"/>
  <c r="S237" i="2"/>
  <c r="T237" i="2"/>
  <c r="Q229" i="2"/>
  <c r="Q319" i="2"/>
  <c r="Q200" i="2"/>
  <c r="I337" i="11"/>
  <c r="AG337" i="3"/>
  <c r="AH337" i="3"/>
  <c r="AI337" i="3"/>
  <c r="AJ337" i="3"/>
  <c r="AK337" i="3" s="1"/>
  <c r="AL337" i="3" s="1"/>
  <c r="Y96" i="3" l="1"/>
  <c r="N199" i="2"/>
  <c r="J199" i="10" s="1"/>
  <c r="R335" i="10"/>
  <c r="U335" i="2"/>
  <c r="N464" i="2"/>
  <c r="J464" i="10" s="1"/>
  <c r="Y289" i="3"/>
  <c r="N540" i="2"/>
  <c r="J540" i="10" s="1"/>
  <c r="Y340" i="3"/>
  <c r="Y189" i="3"/>
  <c r="N334" i="2"/>
  <c r="J334" i="10" s="1"/>
  <c r="Y287" i="3"/>
  <c r="N462" i="2"/>
  <c r="J462" i="10" s="1"/>
  <c r="N642" i="2"/>
  <c r="J642" i="10" s="1"/>
  <c r="Y397" i="3"/>
  <c r="Y127" i="3"/>
  <c r="N244" i="2"/>
  <c r="J244" i="10" s="1"/>
  <c r="Y386" i="3"/>
  <c r="N626" i="2"/>
  <c r="J626" i="10" s="1"/>
  <c r="S311" i="10"/>
  <c r="V311" i="2"/>
  <c r="T274" i="2"/>
  <c r="S274" i="2"/>
  <c r="V221" i="2"/>
  <c r="S221" i="10"/>
  <c r="AG146" i="3"/>
  <c r="I146" i="11"/>
  <c r="AI146" i="3"/>
  <c r="AH146" i="3"/>
  <c r="AJ146" i="3"/>
  <c r="AK146" i="3" s="1"/>
  <c r="AL146" i="3" s="1"/>
  <c r="N389" i="2"/>
  <c r="J389" i="10" s="1"/>
  <c r="Y239" i="3"/>
  <c r="S237" i="10"/>
  <c r="V237" i="2"/>
  <c r="S280" i="2"/>
  <c r="T280" i="2"/>
  <c r="D45" i="5"/>
  <c r="X356" i="2" s="1"/>
  <c r="X432" i="2"/>
  <c r="F45" i="5"/>
  <c r="X508" i="2" s="1"/>
  <c r="T206" i="2"/>
  <c r="S206" i="2"/>
  <c r="U221" i="2"/>
  <c r="R221" i="10"/>
  <c r="R266" i="10"/>
  <c r="U266" i="2"/>
  <c r="Y147" i="3"/>
  <c r="N273" i="2"/>
  <c r="J273" i="10" s="1"/>
  <c r="Y237" i="3"/>
  <c r="N387" i="2"/>
  <c r="J387" i="10" s="1"/>
  <c r="Y290" i="3"/>
  <c r="N465" i="2"/>
  <c r="J465" i="10" s="1"/>
  <c r="Y342" i="3"/>
  <c r="N542" i="2"/>
  <c r="J542" i="10" s="1"/>
  <c r="N390" i="2"/>
  <c r="J390" i="10" s="1"/>
  <c r="Y240" i="3"/>
  <c r="Y116" i="3"/>
  <c r="N228" i="2"/>
  <c r="J228" i="10" s="1"/>
  <c r="U353" i="3"/>
  <c r="V353" i="3" s="1"/>
  <c r="X353" i="3" s="1"/>
  <c r="I126" i="11"/>
  <c r="AG126" i="3"/>
  <c r="AI126" i="3"/>
  <c r="AJ126" i="3"/>
  <c r="AK126" i="3" s="1"/>
  <c r="AL126" i="3" s="1"/>
  <c r="AH126" i="3"/>
  <c r="W412" i="2"/>
  <c r="O412" i="10" s="1"/>
  <c r="W414" i="2"/>
  <c r="O414" i="10" s="1"/>
  <c r="W413" i="2"/>
  <c r="O413" i="10" s="1"/>
  <c r="W411" i="2"/>
  <c r="O411" i="10" s="1"/>
  <c r="W415" i="2"/>
  <c r="O415" i="10" s="1"/>
  <c r="I374" i="11"/>
  <c r="AG374" i="3"/>
  <c r="AH374" i="3"/>
  <c r="AI374" i="3"/>
  <c r="AJ374" i="3"/>
  <c r="AK374" i="3" s="1"/>
  <c r="AL374" i="3" s="1"/>
  <c r="B13" i="5"/>
  <c r="C13" i="5" s="1"/>
  <c r="A14" i="5"/>
  <c r="I363" i="11"/>
  <c r="AG363" i="3"/>
  <c r="AH363" i="3"/>
  <c r="AJ363" i="3"/>
  <c r="AK363" i="3" s="1"/>
  <c r="AL363" i="3" s="1"/>
  <c r="AI363" i="3"/>
  <c r="T251" i="2"/>
  <c r="S251" i="2"/>
  <c r="AG385" i="3"/>
  <c r="I385" i="11"/>
  <c r="AJ385" i="3"/>
  <c r="AK385" i="3" s="1"/>
  <c r="AL385" i="3" s="1"/>
  <c r="AI385" i="3"/>
  <c r="AH385" i="3"/>
  <c r="G11" i="5"/>
  <c r="Q328" i="2" s="1"/>
  <c r="J11" i="5"/>
  <c r="H11" i="5"/>
  <c r="I11" i="5"/>
  <c r="S303" i="2"/>
  <c r="T303" i="2"/>
  <c r="W488" i="2"/>
  <c r="O488" i="10" s="1"/>
  <c r="W489" i="2"/>
  <c r="O489" i="10" s="1"/>
  <c r="W487" i="2"/>
  <c r="O487" i="10" s="1"/>
  <c r="W490" i="2"/>
  <c r="O490" i="10" s="1"/>
  <c r="W491" i="2"/>
  <c r="O491" i="10" s="1"/>
  <c r="S266" i="10"/>
  <c r="V266" i="2"/>
  <c r="Y339" i="3"/>
  <c r="N539" i="2"/>
  <c r="J539" i="10" s="1"/>
  <c r="Y238" i="3"/>
  <c r="N388" i="2"/>
  <c r="J388" i="10" s="1"/>
  <c r="Y167" i="3"/>
  <c r="N302" i="2"/>
  <c r="J302" i="10" s="1"/>
  <c r="Y236" i="3"/>
  <c r="N386" i="2"/>
  <c r="J386" i="10" s="1"/>
  <c r="N258" i="2"/>
  <c r="J258" i="10" s="1"/>
  <c r="Y136" i="3"/>
  <c r="Y364" i="3"/>
  <c r="N594" i="2"/>
  <c r="J594" i="10" s="1"/>
  <c r="Y375" i="3"/>
  <c r="N610" i="2"/>
  <c r="J610" i="10" s="1"/>
  <c r="A28" i="8"/>
  <c r="U414" i="3"/>
  <c r="V414" i="3" s="1"/>
  <c r="X414" i="3" s="1"/>
  <c r="U541" i="3"/>
  <c r="W541" i="3" s="1"/>
  <c r="V541" i="3" s="1"/>
  <c r="X541" i="3" s="1"/>
  <c r="U515" i="3"/>
  <c r="W515" i="3" s="1"/>
  <c r="V515" i="3" s="1"/>
  <c r="X515" i="3" s="1"/>
  <c r="U579" i="3"/>
  <c r="V579" i="3" s="1"/>
  <c r="X579" i="3" s="1"/>
  <c r="U516" i="3"/>
  <c r="W516" i="3" s="1"/>
  <c r="V516" i="3" s="1"/>
  <c r="X516" i="3" s="1"/>
  <c r="U513" i="3"/>
  <c r="W513" i="3" s="1"/>
  <c r="V513" i="3" s="1"/>
  <c r="X513" i="3" s="1"/>
  <c r="U453" i="3"/>
  <c r="V453" i="3" s="1"/>
  <c r="X453" i="3" s="1"/>
  <c r="U539" i="3"/>
  <c r="W539" i="3" s="1"/>
  <c r="V539" i="3" s="1"/>
  <c r="X539" i="3" s="1"/>
  <c r="U573" i="3"/>
  <c r="V573" i="3" s="1"/>
  <c r="X573" i="3" s="1"/>
  <c r="U425" i="3"/>
  <c r="V425" i="3" s="1"/>
  <c r="X425" i="3" s="1"/>
  <c r="U465" i="3"/>
  <c r="V465" i="3" s="1"/>
  <c r="X465" i="3" s="1"/>
  <c r="U543" i="3"/>
  <c r="W543" i="3" s="1"/>
  <c r="V543" i="3" s="1"/>
  <c r="X543" i="3" s="1"/>
  <c r="U488" i="3"/>
  <c r="W488" i="3" s="1"/>
  <c r="V488" i="3" s="1"/>
  <c r="X488" i="3" s="1"/>
  <c r="U487" i="3"/>
  <c r="W487" i="3" s="1"/>
  <c r="V487" i="3" s="1"/>
  <c r="X487" i="3" s="1"/>
  <c r="U549" i="3"/>
  <c r="V549" i="3" s="1"/>
  <c r="X549" i="3" s="1"/>
  <c r="U489" i="3"/>
  <c r="W489" i="3" s="1"/>
  <c r="V489" i="3" s="1"/>
  <c r="X489" i="3" s="1"/>
  <c r="U555" i="3"/>
  <c r="V555" i="3" s="1"/>
  <c r="X555" i="3" s="1"/>
  <c r="U491" i="3"/>
  <c r="W491" i="3" s="1"/>
  <c r="V491" i="3" s="1"/>
  <c r="X491" i="3" s="1"/>
  <c r="U436" i="3"/>
  <c r="V436" i="3" s="1"/>
  <c r="X436" i="3" s="1"/>
  <c r="U567" i="3"/>
  <c r="V567" i="3" s="1"/>
  <c r="X567" i="3" s="1"/>
  <c r="U514" i="3"/>
  <c r="W514" i="3" s="1"/>
  <c r="V514" i="3" s="1"/>
  <c r="X514" i="3" s="1"/>
  <c r="U542" i="3"/>
  <c r="W542" i="3" s="1"/>
  <c r="V542" i="3" s="1"/>
  <c r="X542" i="3" s="1"/>
  <c r="U540" i="3"/>
  <c r="W540" i="3" s="1"/>
  <c r="V540" i="3" s="1"/>
  <c r="X540" i="3" s="1"/>
  <c r="U419" i="3"/>
  <c r="V419" i="3" s="1"/>
  <c r="X419" i="3" s="1"/>
  <c r="U490" i="3"/>
  <c r="W490" i="3" s="1"/>
  <c r="V490" i="3" s="1"/>
  <c r="X490" i="3" s="1"/>
  <c r="U517" i="3"/>
  <c r="W517" i="3" s="1"/>
  <c r="V517" i="3" s="1"/>
  <c r="X517" i="3" s="1"/>
  <c r="U459" i="3"/>
  <c r="V459" i="3" s="1"/>
  <c r="X459" i="3" s="1"/>
  <c r="U561" i="3"/>
  <c r="V561" i="3" s="1"/>
  <c r="X561" i="3" s="1"/>
  <c r="U442" i="3"/>
  <c r="V442" i="3" s="1"/>
  <c r="X442" i="3" s="1"/>
  <c r="U447" i="3"/>
  <c r="V447" i="3" s="1"/>
  <c r="X447" i="3" s="1"/>
  <c r="U431" i="3"/>
  <c r="V431" i="3" s="1"/>
  <c r="X431" i="3" s="1"/>
  <c r="T229" i="2"/>
  <c r="S229" i="2"/>
  <c r="W565" i="2"/>
  <c r="O565" i="10" s="1"/>
  <c r="W567" i="2"/>
  <c r="O567" i="10" s="1"/>
  <c r="W566" i="2"/>
  <c r="O566" i="10" s="1"/>
  <c r="W564" i="2"/>
  <c r="O564" i="10" s="1"/>
  <c r="W563" i="2"/>
  <c r="O563" i="10" s="1"/>
  <c r="U295" i="2"/>
  <c r="R295" i="10"/>
  <c r="U192" i="2"/>
  <c r="R192" i="10"/>
  <c r="I188" i="11"/>
  <c r="AG188" i="3"/>
  <c r="AI188" i="3"/>
  <c r="AH188" i="3"/>
  <c r="AJ188" i="3"/>
  <c r="AK188" i="3" s="1"/>
  <c r="AL188" i="3" s="1"/>
  <c r="S200" i="2"/>
  <c r="T200" i="2"/>
  <c r="R237" i="10"/>
  <c r="U237" i="2"/>
  <c r="T319" i="2"/>
  <c r="S319" i="2"/>
  <c r="D12" i="5"/>
  <c r="B46" i="5" s="1"/>
  <c r="E46" i="5" s="1"/>
  <c r="F12" i="5"/>
  <c r="I396" i="11"/>
  <c r="AG396" i="3"/>
  <c r="AJ396" i="3"/>
  <c r="AK396" i="3" s="1"/>
  <c r="AL396" i="3" s="1"/>
  <c r="AI396" i="3"/>
  <c r="AH396" i="3"/>
  <c r="V295" i="2"/>
  <c r="S295" i="10"/>
  <c r="V192" i="2"/>
  <c r="S192" i="10"/>
  <c r="T245" i="2"/>
  <c r="S245" i="2"/>
  <c r="S335" i="10"/>
  <c r="V335" i="2"/>
  <c r="N541" i="2"/>
  <c r="J541" i="10" s="1"/>
  <c r="Y341" i="3"/>
  <c r="Y291" i="3"/>
  <c r="N466" i="2"/>
  <c r="J466" i="10" s="1"/>
  <c r="Y105" i="3"/>
  <c r="N213" i="2"/>
  <c r="J213" i="10" s="1"/>
  <c r="Y408" i="3"/>
  <c r="N658" i="2"/>
  <c r="J658" i="10" s="1"/>
  <c r="N287" i="2"/>
  <c r="J287" i="10" s="1"/>
  <c r="Y156" i="3"/>
  <c r="N538" i="2"/>
  <c r="J538" i="10" s="1"/>
  <c r="Y338" i="3"/>
  <c r="Y288" i="3"/>
  <c r="N463" i="2"/>
  <c r="J463" i="10" s="1"/>
  <c r="Y178" i="3"/>
  <c r="N318" i="2"/>
  <c r="J318" i="10" s="1"/>
  <c r="R311" i="10"/>
  <c r="U311" i="2"/>
  <c r="S200" i="10" l="1"/>
  <c r="V200" i="2"/>
  <c r="U229" i="2"/>
  <c r="R229" i="10"/>
  <c r="N709" i="2"/>
  <c r="J709" i="10" s="1"/>
  <c r="Y442" i="3"/>
  <c r="N278" i="2"/>
  <c r="J278" i="10" s="1"/>
  <c r="N781" i="2"/>
  <c r="J781" i="10" s="1"/>
  <c r="N488" i="2"/>
  <c r="J488" i="10" s="1"/>
  <c r="Y514" i="3"/>
  <c r="Y488" i="3"/>
  <c r="N412" i="2"/>
  <c r="J412" i="10" s="1"/>
  <c r="N755" i="2"/>
  <c r="J755" i="10" s="1"/>
  <c r="N490" i="2"/>
  <c r="J490" i="10" s="1"/>
  <c r="Y516" i="3"/>
  <c r="N783" i="2"/>
  <c r="J783" i="10" s="1"/>
  <c r="I338" i="11"/>
  <c r="AG338" i="3"/>
  <c r="AI338" i="3"/>
  <c r="AH338" i="3"/>
  <c r="AJ338" i="3"/>
  <c r="AK338" i="3" s="1"/>
  <c r="AL338" i="3" s="1"/>
  <c r="S319" i="10"/>
  <c r="V319" i="2"/>
  <c r="U200" i="2"/>
  <c r="R200" i="10"/>
  <c r="S229" i="10"/>
  <c r="V229" i="2"/>
  <c r="N828" i="2"/>
  <c r="J828" i="10" s="1"/>
  <c r="N615" i="2"/>
  <c r="J615" i="10" s="1"/>
  <c r="Y561" i="3"/>
  <c r="Y419" i="3"/>
  <c r="N217" i="2"/>
  <c r="J217" i="10" s="1"/>
  <c r="N686" i="2"/>
  <c r="J686" i="10" s="1"/>
  <c r="N631" i="2"/>
  <c r="J631" i="10" s="1"/>
  <c r="Y567" i="3"/>
  <c r="N834" i="2"/>
  <c r="J834" i="10" s="1"/>
  <c r="N756" i="2"/>
  <c r="J756" i="10" s="1"/>
  <c r="N413" i="2"/>
  <c r="J413" i="10" s="1"/>
  <c r="Y489" i="3"/>
  <c r="N810" i="2"/>
  <c r="J810" i="10" s="1"/>
  <c r="N567" i="2"/>
  <c r="J567" i="10" s="1"/>
  <c r="Y543" i="3"/>
  <c r="N563" i="2"/>
  <c r="J563" i="10" s="1"/>
  <c r="N806" i="2"/>
  <c r="J806" i="10" s="1"/>
  <c r="Y539" i="3"/>
  <c r="N663" i="2"/>
  <c r="J663" i="10" s="1"/>
  <c r="Y579" i="3"/>
  <c r="N846" i="2"/>
  <c r="J846" i="10" s="1"/>
  <c r="I364" i="11"/>
  <c r="AH364" i="3"/>
  <c r="AG364" i="3"/>
  <c r="AI364" i="3"/>
  <c r="AJ364" i="3"/>
  <c r="AK364" i="3" s="1"/>
  <c r="AL364" i="3" s="1"/>
  <c r="I236" i="11"/>
  <c r="AG236" i="3"/>
  <c r="AJ236" i="3"/>
  <c r="AK236" i="3" s="1"/>
  <c r="AL236" i="3" s="1"/>
  <c r="AH236" i="3"/>
  <c r="AI236" i="3"/>
  <c r="I238" i="11"/>
  <c r="AG238" i="3"/>
  <c r="AJ238" i="3"/>
  <c r="AK238" i="3" s="1"/>
  <c r="AL238" i="3" s="1"/>
  <c r="AH238" i="3"/>
  <c r="AI238" i="3"/>
  <c r="U303" i="2"/>
  <c r="R303" i="10"/>
  <c r="T328" i="2"/>
  <c r="S328" i="2"/>
  <c r="R206" i="10"/>
  <c r="U206" i="2"/>
  <c r="W357" i="2"/>
  <c r="O357" i="10" s="1"/>
  <c r="W360" i="2"/>
  <c r="O360" i="10" s="1"/>
  <c r="W358" i="2"/>
  <c r="O358" i="10" s="1"/>
  <c r="W359" i="2"/>
  <c r="O359" i="10" s="1"/>
  <c r="W356" i="2"/>
  <c r="O356" i="10" s="1"/>
  <c r="I239" i="11"/>
  <c r="AG239" i="3"/>
  <c r="AI239" i="3"/>
  <c r="AH239" i="3"/>
  <c r="AJ239" i="3"/>
  <c r="AK239" i="3" s="1"/>
  <c r="AL239" i="3" s="1"/>
  <c r="AG127" i="3"/>
  <c r="I127" i="11"/>
  <c r="AI127" i="3"/>
  <c r="AH127" i="3"/>
  <c r="AJ127" i="3"/>
  <c r="AK127" i="3" s="1"/>
  <c r="AL127" i="3" s="1"/>
  <c r="I287" i="11"/>
  <c r="AG287" i="3"/>
  <c r="AI287" i="3"/>
  <c r="AJ287" i="3"/>
  <c r="AK287" i="3" s="1"/>
  <c r="AL287" i="3" s="1"/>
  <c r="AH287" i="3"/>
  <c r="I408" i="11"/>
  <c r="AJ408" i="3"/>
  <c r="AK408" i="3" s="1"/>
  <c r="AL408" i="3" s="1"/>
  <c r="AG408" i="3"/>
  <c r="AH408" i="3"/>
  <c r="AI408" i="3"/>
  <c r="I291" i="11"/>
  <c r="AG291" i="3"/>
  <c r="AJ291" i="3"/>
  <c r="AK291" i="3" s="1"/>
  <c r="AL291" i="3" s="1"/>
  <c r="AH291" i="3"/>
  <c r="AI291" i="3"/>
  <c r="J12" i="5"/>
  <c r="I12" i="5"/>
  <c r="Q207" i="2" s="1"/>
  <c r="H12" i="5"/>
  <c r="G12" i="5"/>
  <c r="N249" i="2"/>
  <c r="J249" i="10" s="1"/>
  <c r="N698" i="2"/>
  <c r="J698" i="10" s="1"/>
  <c r="Y431" i="3"/>
  <c r="N323" i="2"/>
  <c r="J323" i="10" s="1"/>
  <c r="Y459" i="3"/>
  <c r="N726" i="2"/>
  <c r="J726" i="10" s="1"/>
  <c r="N807" i="2"/>
  <c r="J807" i="10" s="1"/>
  <c r="N564" i="2"/>
  <c r="J564" i="10" s="1"/>
  <c r="Y540" i="3"/>
  <c r="N703" i="2"/>
  <c r="J703" i="10" s="1"/>
  <c r="N262" i="2"/>
  <c r="J262" i="10" s="1"/>
  <c r="Y436" i="3"/>
  <c r="N583" i="2"/>
  <c r="J583" i="10" s="1"/>
  <c r="N816" i="2"/>
  <c r="J816" i="10" s="1"/>
  <c r="Y549" i="3"/>
  <c r="N339" i="2"/>
  <c r="J339" i="10" s="1"/>
  <c r="Y465" i="3"/>
  <c r="N732" i="2"/>
  <c r="J732" i="10" s="1"/>
  <c r="N307" i="2"/>
  <c r="J307" i="10" s="1"/>
  <c r="Y453" i="3"/>
  <c r="N720" i="2"/>
  <c r="J720" i="10" s="1"/>
  <c r="N489" i="2"/>
  <c r="J489" i="10" s="1"/>
  <c r="Y515" i="3"/>
  <c r="N782" i="2"/>
  <c r="J782" i="10" s="1"/>
  <c r="AG136" i="3"/>
  <c r="I136" i="11"/>
  <c r="AJ136" i="3"/>
  <c r="AK136" i="3" s="1"/>
  <c r="AL136" i="3" s="1"/>
  <c r="AH136" i="3"/>
  <c r="AI136" i="3"/>
  <c r="Q267" i="2"/>
  <c r="Q238" i="2"/>
  <c r="Q296" i="2"/>
  <c r="I116" i="11"/>
  <c r="AG116" i="3"/>
  <c r="AJ116" i="3"/>
  <c r="AK116" i="3" s="1"/>
  <c r="AL116" i="3" s="1"/>
  <c r="AH116" i="3"/>
  <c r="AI116" i="3"/>
  <c r="I342" i="11"/>
  <c r="AG342" i="3"/>
  <c r="AJ342" i="3"/>
  <c r="AK342" i="3" s="1"/>
  <c r="AL342" i="3" s="1"/>
  <c r="AI342" i="3"/>
  <c r="AH342" i="3"/>
  <c r="I237" i="11"/>
  <c r="AG237" i="3"/>
  <c r="AH237" i="3"/>
  <c r="AI237" i="3"/>
  <c r="AJ237" i="3"/>
  <c r="AK237" i="3" s="1"/>
  <c r="AL237" i="3" s="1"/>
  <c r="S206" i="10"/>
  <c r="V206" i="2"/>
  <c r="S280" i="10"/>
  <c r="V280" i="2"/>
  <c r="R274" i="10"/>
  <c r="U274" i="2"/>
  <c r="I397" i="11"/>
  <c r="AG397" i="3"/>
  <c r="AI397" i="3"/>
  <c r="AJ397" i="3"/>
  <c r="AK397" i="3" s="1"/>
  <c r="AL397" i="3" s="1"/>
  <c r="AH397" i="3"/>
  <c r="I289" i="11"/>
  <c r="AG289" i="3"/>
  <c r="AI289" i="3"/>
  <c r="AH289" i="3"/>
  <c r="AJ289" i="3"/>
  <c r="AK289" i="3" s="1"/>
  <c r="AL289" i="3" s="1"/>
  <c r="I288" i="11"/>
  <c r="AG288" i="3"/>
  <c r="AJ288" i="3"/>
  <c r="AK288" i="3" s="1"/>
  <c r="AL288" i="3" s="1"/>
  <c r="AH288" i="3"/>
  <c r="AI288" i="3"/>
  <c r="I178" i="11"/>
  <c r="AG178" i="3"/>
  <c r="AH178" i="3"/>
  <c r="AI178" i="3"/>
  <c r="AJ178" i="3"/>
  <c r="AK178" i="3" s="1"/>
  <c r="AL178" i="3" s="1"/>
  <c r="I156" i="11"/>
  <c r="AG156" i="3"/>
  <c r="AI156" i="3"/>
  <c r="AJ156" i="3"/>
  <c r="AK156" i="3" s="1"/>
  <c r="AL156" i="3" s="1"/>
  <c r="AH156" i="3"/>
  <c r="I341" i="11"/>
  <c r="AG341" i="3"/>
  <c r="AH341" i="3"/>
  <c r="AJ341" i="3"/>
  <c r="AK341" i="3" s="1"/>
  <c r="AL341" i="3" s="1"/>
  <c r="AI341" i="3"/>
  <c r="R245" i="10"/>
  <c r="U245" i="2"/>
  <c r="F46" i="5"/>
  <c r="D46" i="5"/>
  <c r="Y447" i="3"/>
  <c r="N714" i="2"/>
  <c r="J714" i="10" s="1"/>
  <c r="N291" i="2"/>
  <c r="J291" i="10" s="1"/>
  <c r="N491" i="2"/>
  <c r="J491" i="10" s="1"/>
  <c r="Y517" i="3"/>
  <c r="N784" i="2"/>
  <c r="J784" i="10" s="1"/>
  <c r="N809" i="2"/>
  <c r="J809" i="10" s="1"/>
  <c r="Y542" i="3"/>
  <c r="N566" i="2"/>
  <c r="J566" i="10" s="1"/>
  <c r="N415" i="2"/>
  <c r="J415" i="10" s="1"/>
  <c r="Y491" i="3"/>
  <c r="N758" i="2"/>
  <c r="J758" i="10" s="1"/>
  <c r="N754" i="2"/>
  <c r="J754" i="10" s="1"/>
  <c r="N411" i="2"/>
  <c r="J411" i="10" s="1"/>
  <c r="Y487" i="3"/>
  <c r="Y425" i="3"/>
  <c r="N692" i="2"/>
  <c r="J692" i="10" s="1"/>
  <c r="N233" i="2"/>
  <c r="J233" i="10" s="1"/>
  <c r="N780" i="2"/>
  <c r="J780" i="10" s="1"/>
  <c r="N487" i="2"/>
  <c r="J487" i="10" s="1"/>
  <c r="Y513" i="3"/>
  <c r="Y541" i="3"/>
  <c r="N808" i="2"/>
  <c r="J808" i="10" s="1"/>
  <c r="N565" i="2"/>
  <c r="J565" i="10" s="1"/>
  <c r="I375" i="11"/>
  <c r="AG375" i="3"/>
  <c r="AJ375" i="3"/>
  <c r="AK375" i="3" s="1"/>
  <c r="AL375" i="3" s="1"/>
  <c r="AH375" i="3"/>
  <c r="AI375" i="3"/>
  <c r="I167" i="11"/>
  <c r="AG167" i="3"/>
  <c r="AI167" i="3"/>
  <c r="AJ167" i="3"/>
  <c r="AK167" i="3" s="1"/>
  <c r="AL167" i="3" s="1"/>
  <c r="AH167" i="3"/>
  <c r="I339" i="11"/>
  <c r="AG339" i="3"/>
  <c r="AH339" i="3"/>
  <c r="AJ339" i="3"/>
  <c r="AK339" i="3" s="1"/>
  <c r="AL339" i="3" s="1"/>
  <c r="AI339" i="3"/>
  <c r="R251" i="10"/>
  <c r="U251" i="2"/>
  <c r="B14" i="5"/>
  <c r="C14" i="5" s="1"/>
  <c r="A15" i="5"/>
  <c r="I240" i="11"/>
  <c r="AG240" i="3"/>
  <c r="AJ240" i="3"/>
  <c r="AK240" i="3" s="1"/>
  <c r="AL240" i="3" s="1"/>
  <c r="AI240" i="3"/>
  <c r="AH240" i="3"/>
  <c r="W509" i="2"/>
  <c r="O509" i="10" s="1"/>
  <c r="W511" i="2"/>
  <c r="O511" i="10" s="1"/>
  <c r="W508" i="2"/>
  <c r="O508" i="10" s="1"/>
  <c r="W512" i="2"/>
  <c r="O512" i="10" s="1"/>
  <c r="W510" i="2"/>
  <c r="O510" i="10" s="1"/>
  <c r="U280" i="2"/>
  <c r="R280" i="10"/>
  <c r="V274" i="2"/>
  <c r="S274" i="10"/>
  <c r="I386" i="11"/>
  <c r="AG386" i="3"/>
  <c r="AH386" i="3"/>
  <c r="AI386" i="3"/>
  <c r="AJ386" i="3"/>
  <c r="AK386" i="3" s="1"/>
  <c r="AL386" i="3" s="1"/>
  <c r="I189" i="11"/>
  <c r="AG189" i="3"/>
  <c r="AJ189" i="3"/>
  <c r="AK189" i="3" s="1"/>
  <c r="AL189" i="3" s="1"/>
  <c r="AH189" i="3"/>
  <c r="AI189" i="3"/>
  <c r="I96" i="11"/>
  <c r="AG96" i="3"/>
  <c r="AJ96" i="3"/>
  <c r="AK96" i="3" s="1"/>
  <c r="AL96" i="3" s="1"/>
  <c r="AI96" i="3"/>
  <c r="AH96" i="3"/>
  <c r="I105" i="11"/>
  <c r="AG105" i="3"/>
  <c r="AI105" i="3"/>
  <c r="AJ105" i="3"/>
  <c r="AK105" i="3" s="1"/>
  <c r="AL105" i="3" s="1"/>
  <c r="AH105" i="3"/>
  <c r="S245" i="10"/>
  <c r="V245" i="2"/>
  <c r="U319" i="2"/>
  <c r="R319" i="10"/>
  <c r="Y490" i="3"/>
  <c r="N757" i="2"/>
  <c r="J757" i="10" s="1"/>
  <c r="N414" i="2"/>
  <c r="J414" i="10" s="1"/>
  <c r="N822" i="2"/>
  <c r="J822" i="10" s="1"/>
  <c r="N599" i="2"/>
  <c r="J599" i="10" s="1"/>
  <c r="Y555" i="3"/>
  <c r="N647" i="2"/>
  <c r="J647" i="10" s="1"/>
  <c r="N840" i="2"/>
  <c r="J840" i="10" s="1"/>
  <c r="Y573" i="3"/>
  <c r="Y414" i="3"/>
  <c r="N204" i="2"/>
  <c r="J204" i="10" s="1"/>
  <c r="N681" i="2"/>
  <c r="J681" i="10" s="1"/>
  <c r="V303" i="2"/>
  <c r="S303" i="10"/>
  <c r="Q193" i="2"/>
  <c r="Q222" i="2"/>
  <c r="Q312" i="2"/>
  <c r="S251" i="10"/>
  <c r="V251" i="2"/>
  <c r="D13" i="5"/>
  <c r="B47" i="5" s="1"/>
  <c r="E47" i="5" s="1"/>
  <c r="F13" i="5"/>
  <c r="Y353" i="3"/>
  <c r="N578" i="2"/>
  <c r="J578" i="10" s="1"/>
  <c r="I290" i="11"/>
  <c r="AG290" i="3"/>
  <c r="AJ290" i="3"/>
  <c r="AK290" i="3" s="1"/>
  <c r="AL290" i="3" s="1"/>
  <c r="AI290" i="3"/>
  <c r="AH290" i="3"/>
  <c r="I147" i="11"/>
  <c r="AG147" i="3"/>
  <c r="AJ147" i="3"/>
  <c r="AK147" i="3" s="1"/>
  <c r="AL147" i="3" s="1"/>
  <c r="AH147" i="3"/>
  <c r="AI147" i="3"/>
  <c r="W432" i="2"/>
  <c r="O432" i="10" s="1"/>
  <c r="W435" i="2"/>
  <c r="O435" i="10" s="1"/>
  <c r="W436" i="2"/>
  <c r="O436" i="10" s="1"/>
  <c r="W433" i="2"/>
  <c r="O433" i="10" s="1"/>
  <c r="W434" i="2"/>
  <c r="O434" i="10" s="1"/>
  <c r="I340" i="11"/>
  <c r="AG340" i="3"/>
  <c r="AJ340" i="3"/>
  <c r="AK340" i="3" s="1"/>
  <c r="AL340" i="3" s="1"/>
  <c r="AH340" i="3"/>
  <c r="AI340" i="3"/>
  <c r="T312" i="2" l="1"/>
  <c r="S312" i="2"/>
  <c r="AG573" i="3"/>
  <c r="I573" i="11"/>
  <c r="AI573" i="3"/>
  <c r="AJ573" i="3"/>
  <c r="AK573" i="3" s="1"/>
  <c r="AL573" i="3" s="1"/>
  <c r="AH573" i="3"/>
  <c r="X437" i="2"/>
  <c r="F47" i="5"/>
  <c r="X513" i="2" s="1"/>
  <c r="D47" i="5"/>
  <c r="X361" i="2" s="1"/>
  <c r="AG425" i="3"/>
  <c r="AJ425" i="3"/>
  <c r="AK425" i="3" s="1"/>
  <c r="AL425" i="3" s="1"/>
  <c r="I425" i="11"/>
  <c r="AH425" i="3"/>
  <c r="AI425" i="3"/>
  <c r="I353" i="11"/>
  <c r="AG353" i="3"/>
  <c r="AI353" i="3"/>
  <c r="AJ353" i="3"/>
  <c r="AK353" i="3" s="1"/>
  <c r="AL353" i="3" s="1"/>
  <c r="AH353" i="3"/>
  <c r="AJ414" i="3"/>
  <c r="AK414" i="3" s="1"/>
  <c r="AL414" i="3" s="1"/>
  <c r="AG414" i="3"/>
  <c r="I414" i="11"/>
  <c r="AH414" i="3"/>
  <c r="AI414" i="3"/>
  <c r="AG555" i="3"/>
  <c r="I555" i="11"/>
  <c r="AH555" i="3"/>
  <c r="AI555" i="3"/>
  <c r="AJ555" i="3"/>
  <c r="AK555" i="3" s="1"/>
  <c r="AL555" i="3" s="1"/>
  <c r="A16" i="5"/>
  <c r="B15" i="5"/>
  <c r="C15" i="5" s="1"/>
  <c r="I487" i="11"/>
  <c r="AH487" i="3"/>
  <c r="AG487" i="3"/>
  <c r="AJ487" i="3"/>
  <c r="AK487" i="3" s="1"/>
  <c r="AL487" i="3" s="1"/>
  <c r="AI487" i="3"/>
  <c r="AI491" i="3"/>
  <c r="AG491" i="3"/>
  <c r="AH491" i="3"/>
  <c r="I491" i="11"/>
  <c r="AJ491" i="3"/>
  <c r="AK491" i="3" s="1"/>
  <c r="AL491" i="3" s="1"/>
  <c r="S238" i="2"/>
  <c r="T238" i="2"/>
  <c r="I515" i="11"/>
  <c r="AI515" i="3"/>
  <c r="AG515" i="3"/>
  <c r="AH515" i="3"/>
  <c r="AJ515" i="3"/>
  <c r="AK515" i="3" s="1"/>
  <c r="AL515" i="3" s="1"/>
  <c r="AG549" i="3"/>
  <c r="AH549" i="3"/>
  <c r="AJ549" i="3"/>
  <c r="AK549" i="3" s="1"/>
  <c r="AL549" i="3" s="1"/>
  <c r="AI549" i="3"/>
  <c r="I549" i="11"/>
  <c r="I431" i="11"/>
  <c r="AG431" i="3"/>
  <c r="AI431" i="3"/>
  <c r="AJ431" i="3"/>
  <c r="AK431" i="3" s="1"/>
  <c r="AL431" i="3" s="1"/>
  <c r="AH431" i="3"/>
  <c r="Q281" i="2"/>
  <c r="Q252" i="2"/>
  <c r="R328" i="10"/>
  <c r="U328" i="2"/>
  <c r="I579" i="11"/>
  <c r="AI579" i="3"/>
  <c r="AJ579" i="3"/>
  <c r="AK579" i="3" s="1"/>
  <c r="AL579" i="3" s="1"/>
  <c r="AG579" i="3"/>
  <c r="AH579" i="3"/>
  <c r="I489" i="11"/>
  <c r="AG489" i="3"/>
  <c r="AI489" i="3"/>
  <c r="AJ489" i="3"/>
  <c r="AK489" i="3" s="1"/>
  <c r="AL489" i="3" s="1"/>
  <c r="AH489" i="3"/>
  <c r="AJ567" i="3"/>
  <c r="AK567" i="3" s="1"/>
  <c r="AL567" i="3" s="1"/>
  <c r="AG567" i="3"/>
  <c r="AH567" i="3"/>
  <c r="I567" i="11"/>
  <c r="AI567" i="3"/>
  <c r="I419" i="11"/>
  <c r="AG419" i="3"/>
  <c r="AI419" i="3"/>
  <c r="AH419" i="3"/>
  <c r="AJ419" i="3"/>
  <c r="AK419" i="3" s="1"/>
  <c r="AL419" i="3" s="1"/>
  <c r="AG516" i="3"/>
  <c r="AH516" i="3"/>
  <c r="AJ516" i="3"/>
  <c r="AK516" i="3" s="1"/>
  <c r="AL516" i="3" s="1"/>
  <c r="I516" i="11"/>
  <c r="AI516" i="3"/>
  <c r="AG488" i="3"/>
  <c r="I488" i="11"/>
  <c r="AH488" i="3"/>
  <c r="AJ488" i="3"/>
  <c r="AK488" i="3" s="1"/>
  <c r="AL488" i="3" s="1"/>
  <c r="AI488" i="3"/>
  <c r="I490" i="11"/>
  <c r="AG490" i="3"/>
  <c r="AI490" i="3"/>
  <c r="AH490" i="3"/>
  <c r="AJ490" i="3"/>
  <c r="AK490" i="3" s="1"/>
  <c r="AL490" i="3" s="1"/>
  <c r="F14" i="5"/>
  <c r="D14" i="5"/>
  <c r="B48" i="5" s="1"/>
  <c r="E48" i="5" s="1"/>
  <c r="AG541" i="3"/>
  <c r="AH541" i="3"/>
  <c r="AI541" i="3"/>
  <c r="I541" i="11"/>
  <c r="AJ541" i="3"/>
  <c r="AK541" i="3" s="1"/>
  <c r="AL541" i="3" s="1"/>
  <c r="S267" i="2"/>
  <c r="T267" i="2"/>
  <c r="S207" i="2"/>
  <c r="T207" i="2"/>
  <c r="S328" i="10"/>
  <c r="V328" i="2"/>
  <c r="AI543" i="3"/>
  <c r="AG543" i="3"/>
  <c r="AJ543" i="3"/>
  <c r="AK543" i="3" s="1"/>
  <c r="AL543" i="3" s="1"/>
  <c r="AH543" i="3"/>
  <c r="I543" i="11"/>
  <c r="AH561" i="3"/>
  <c r="AG561" i="3"/>
  <c r="AI561" i="3"/>
  <c r="I561" i="11"/>
  <c r="AJ561" i="3"/>
  <c r="AK561" i="3" s="1"/>
  <c r="AL561" i="3" s="1"/>
  <c r="I514" i="11"/>
  <c r="AH514" i="3"/>
  <c r="AG514" i="3"/>
  <c r="AJ514" i="3"/>
  <c r="AK514" i="3" s="1"/>
  <c r="AL514" i="3" s="1"/>
  <c r="AI514" i="3"/>
  <c r="AH442" i="3"/>
  <c r="AG442" i="3"/>
  <c r="I442" i="11"/>
  <c r="AJ442" i="3"/>
  <c r="AK442" i="3" s="1"/>
  <c r="AL442" i="3" s="1"/>
  <c r="AI442" i="3"/>
  <c r="I513" i="11"/>
  <c r="AJ513" i="3"/>
  <c r="AK513" i="3" s="1"/>
  <c r="AL513" i="3" s="1"/>
  <c r="AI513" i="3"/>
  <c r="AH513" i="3"/>
  <c r="AG513" i="3"/>
  <c r="AH517" i="3"/>
  <c r="AG517" i="3"/>
  <c r="AI517" i="3"/>
  <c r="I517" i="11"/>
  <c r="AJ517" i="3"/>
  <c r="AK517" i="3" s="1"/>
  <c r="AL517" i="3" s="1"/>
  <c r="AG447" i="3"/>
  <c r="I447" i="11"/>
  <c r="AJ447" i="3"/>
  <c r="AK447" i="3" s="1"/>
  <c r="AL447" i="3" s="1"/>
  <c r="AI447" i="3"/>
  <c r="AH447" i="3"/>
  <c r="AI465" i="3"/>
  <c r="I465" i="11"/>
  <c r="AJ465" i="3"/>
  <c r="AK465" i="3" s="1"/>
  <c r="AL465" i="3" s="1"/>
  <c r="AG465" i="3"/>
  <c r="AH465" i="3"/>
  <c r="AG540" i="3"/>
  <c r="AH540" i="3"/>
  <c r="AI540" i="3"/>
  <c r="I540" i="11"/>
  <c r="AJ540" i="3"/>
  <c r="AK540" i="3" s="1"/>
  <c r="AL540" i="3" s="1"/>
  <c r="I459" i="11"/>
  <c r="AG459" i="3"/>
  <c r="AJ459" i="3"/>
  <c r="AK459" i="3" s="1"/>
  <c r="AL459" i="3" s="1"/>
  <c r="AI459" i="3"/>
  <c r="AH459" i="3"/>
  <c r="I539" i="11"/>
  <c r="AI539" i="3"/>
  <c r="AH539" i="3"/>
  <c r="AJ539" i="3"/>
  <c r="AK539" i="3" s="1"/>
  <c r="AL539" i="3" s="1"/>
  <c r="AG539" i="3"/>
  <c r="I13" i="5"/>
  <c r="H13" i="5"/>
  <c r="G13" i="5"/>
  <c r="Q329" i="2" s="1"/>
  <c r="J13" i="5"/>
  <c r="S222" i="2"/>
  <c r="T222" i="2"/>
  <c r="S193" i="2"/>
  <c r="T193" i="2"/>
  <c r="AI542" i="3"/>
  <c r="AJ542" i="3"/>
  <c r="AK542" i="3" s="1"/>
  <c r="AL542" i="3" s="1"/>
  <c r="I542" i="11"/>
  <c r="AG542" i="3"/>
  <c r="AH542" i="3"/>
  <c r="S296" i="2"/>
  <c r="T296" i="2"/>
  <c r="AG453" i="3"/>
  <c r="AI453" i="3"/>
  <c r="I453" i="11"/>
  <c r="AJ453" i="3"/>
  <c r="AK453" i="3" s="1"/>
  <c r="AL453" i="3" s="1"/>
  <c r="AH453" i="3"/>
  <c r="AJ436" i="3"/>
  <c r="AK436" i="3" s="1"/>
  <c r="AL436" i="3" s="1"/>
  <c r="AI436" i="3"/>
  <c r="AG436" i="3"/>
  <c r="AH436" i="3"/>
  <c r="I436" i="11"/>
  <c r="S329" i="2" l="1"/>
  <c r="T329" i="2"/>
  <c r="V207" i="2"/>
  <c r="S207" i="10"/>
  <c r="B16" i="5"/>
  <c r="C16" i="5" s="1"/>
  <c r="A17" i="5"/>
  <c r="R296" i="10"/>
  <c r="U296" i="2"/>
  <c r="S193" i="10"/>
  <c r="V193" i="2"/>
  <c r="Q313" i="2"/>
  <c r="Q194" i="2"/>
  <c r="R267" i="10"/>
  <c r="U267" i="2"/>
  <c r="F15" i="5"/>
  <c r="D15" i="5"/>
  <c r="B49" i="5" s="1"/>
  <c r="E49" i="5" s="1"/>
  <c r="W440" i="2"/>
  <c r="O440" i="10" s="1"/>
  <c r="W437" i="2"/>
  <c r="O437" i="10" s="1"/>
  <c r="W441" i="2"/>
  <c r="O441" i="10" s="1"/>
  <c r="W439" i="2"/>
  <c r="O439" i="10" s="1"/>
  <c r="W438" i="2"/>
  <c r="O438" i="10" s="1"/>
  <c r="S252" i="2"/>
  <c r="T252" i="2"/>
  <c r="R207" i="10"/>
  <c r="U207" i="2"/>
  <c r="F48" i="5"/>
  <c r="X548" i="2" s="1"/>
  <c r="X472" i="2"/>
  <c r="D48" i="5"/>
  <c r="X396" i="2" s="1"/>
  <c r="S281" i="2"/>
  <c r="T281" i="2"/>
  <c r="S238" i="10"/>
  <c r="V238" i="2"/>
  <c r="W361" i="2"/>
  <c r="O361" i="10" s="1"/>
  <c r="W365" i="2"/>
  <c r="O365" i="10" s="1"/>
  <c r="W364" i="2"/>
  <c r="O364" i="10" s="1"/>
  <c r="W363" i="2"/>
  <c r="O363" i="10" s="1"/>
  <c r="W362" i="2"/>
  <c r="O362" i="10" s="1"/>
  <c r="R312" i="10"/>
  <c r="U312" i="2"/>
  <c r="S296" i="10"/>
  <c r="V296" i="2"/>
  <c r="U193" i="2"/>
  <c r="R193" i="10"/>
  <c r="V222" i="2"/>
  <c r="S222" i="10"/>
  <c r="U222" i="2"/>
  <c r="R222" i="10"/>
  <c r="S267" i="10"/>
  <c r="V267" i="2"/>
  <c r="I14" i="5"/>
  <c r="Q275" i="2" s="1"/>
  <c r="G14" i="5"/>
  <c r="Q336" i="2" s="1"/>
  <c r="H14" i="5"/>
  <c r="J14" i="5"/>
  <c r="R238" i="10"/>
  <c r="U238" i="2"/>
  <c r="W516" i="2"/>
  <c r="O516" i="10" s="1"/>
  <c r="W513" i="2"/>
  <c r="O513" i="10" s="1"/>
  <c r="W517" i="2"/>
  <c r="O517" i="10" s="1"/>
  <c r="W515" i="2"/>
  <c r="O515" i="10" s="1"/>
  <c r="W514" i="2"/>
  <c r="O514" i="10" s="1"/>
  <c r="S312" i="10"/>
  <c r="V312" i="2"/>
  <c r="Q253" i="2" l="1"/>
  <c r="Q282" i="2"/>
  <c r="T194" i="2"/>
  <c r="S194" i="2"/>
  <c r="S275" i="2"/>
  <c r="T275" i="2"/>
  <c r="Q230" i="2"/>
  <c r="Q320" i="2"/>
  <c r="R281" i="10"/>
  <c r="U281" i="2"/>
  <c r="W396" i="2"/>
  <c r="O396" i="10" s="1"/>
  <c r="W397" i="2"/>
  <c r="O397" i="10" s="1"/>
  <c r="W398" i="2"/>
  <c r="O398" i="10" s="1"/>
  <c r="W400" i="2"/>
  <c r="O400" i="10" s="1"/>
  <c r="W399" i="2"/>
  <c r="O399" i="10" s="1"/>
  <c r="F49" i="5"/>
  <c r="D49" i="5"/>
  <c r="S336" i="2"/>
  <c r="T336" i="2"/>
  <c r="W472" i="2"/>
  <c r="O472" i="10" s="1"/>
  <c r="W475" i="2"/>
  <c r="O475" i="10" s="1"/>
  <c r="W474" i="2"/>
  <c r="O474" i="10" s="1"/>
  <c r="W473" i="2"/>
  <c r="O473" i="10" s="1"/>
  <c r="W476" i="2"/>
  <c r="O476" i="10" s="1"/>
  <c r="V252" i="2"/>
  <c r="S252" i="10"/>
  <c r="G15" i="5"/>
  <c r="H15" i="5"/>
  <c r="I15" i="5"/>
  <c r="Q214" i="2" s="1"/>
  <c r="J15" i="5"/>
  <c r="T313" i="2"/>
  <c r="S313" i="2"/>
  <c r="A18" i="5"/>
  <c r="B17" i="5"/>
  <c r="C17" i="5" s="1"/>
  <c r="S329" i="10"/>
  <c r="V329" i="2"/>
  <c r="V281" i="2"/>
  <c r="S281" i="10"/>
  <c r="W548" i="2"/>
  <c r="O548" i="10" s="1"/>
  <c r="W549" i="2"/>
  <c r="O549" i="10" s="1"/>
  <c r="W550" i="2"/>
  <c r="O550" i="10" s="1"/>
  <c r="W552" i="2"/>
  <c r="O552" i="10" s="1"/>
  <c r="W551" i="2"/>
  <c r="O551" i="10" s="1"/>
  <c r="R252" i="10"/>
  <c r="U252" i="2"/>
  <c r="F16" i="5"/>
  <c r="D16" i="5"/>
  <c r="B50" i="5" s="1"/>
  <c r="E50" i="5" s="1"/>
  <c r="R329" i="10"/>
  <c r="U329" i="2"/>
  <c r="R194" i="10" l="1"/>
  <c r="U194" i="2"/>
  <c r="D50" i="5"/>
  <c r="X366" i="2" s="1"/>
  <c r="F50" i="5"/>
  <c r="X518" i="2" s="1"/>
  <c r="X442" i="2"/>
  <c r="S313" i="10"/>
  <c r="V313" i="2"/>
  <c r="S336" i="10"/>
  <c r="V336" i="2"/>
  <c r="S230" i="2"/>
  <c r="T230" i="2"/>
  <c r="S194" i="10"/>
  <c r="V194" i="2"/>
  <c r="S320" i="2"/>
  <c r="T320" i="2"/>
  <c r="I16" i="5"/>
  <c r="J16" i="5"/>
  <c r="H16" i="5"/>
  <c r="G16" i="5"/>
  <c r="D17" i="5"/>
  <c r="B51" i="5" s="1"/>
  <c r="E51" i="5" s="1"/>
  <c r="F17" i="5"/>
  <c r="R336" i="10"/>
  <c r="U336" i="2"/>
  <c r="S275" i="10"/>
  <c r="V275" i="2"/>
  <c r="T282" i="2"/>
  <c r="S282" i="2"/>
  <c r="R313" i="10"/>
  <c r="U313" i="2"/>
  <c r="A19" i="5"/>
  <c r="B18" i="5"/>
  <c r="C18" i="5" s="1"/>
  <c r="S214" i="2"/>
  <c r="T214" i="2"/>
  <c r="R275" i="10"/>
  <c r="U275" i="2"/>
  <c r="S253" i="2"/>
  <c r="T253" i="2"/>
  <c r="B19" i="5" l="1"/>
  <c r="C19" i="5" s="1"/>
  <c r="A20" i="5"/>
  <c r="V282" i="2"/>
  <c r="S282" i="10"/>
  <c r="R320" i="10"/>
  <c r="U320" i="2"/>
  <c r="U230" i="2"/>
  <c r="R230" i="10"/>
  <c r="S253" i="10"/>
  <c r="V253" i="2"/>
  <c r="V214" i="2"/>
  <c r="S214" i="10"/>
  <c r="I17" i="5"/>
  <c r="J17" i="5"/>
  <c r="G17" i="5"/>
  <c r="H17" i="5"/>
  <c r="R253" i="10"/>
  <c r="U253" i="2"/>
  <c r="R214" i="10"/>
  <c r="U214" i="2"/>
  <c r="D51" i="5"/>
  <c r="F51" i="5"/>
  <c r="W522" i="2"/>
  <c r="O522" i="10" s="1"/>
  <c r="W521" i="2"/>
  <c r="O521" i="10" s="1"/>
  <c r="W519" i="2"/>
  <c r="O519" i="10" s="1"/>
  <c r="W520" i="2"/>
  <c r="O520" i="10" s="1"/>
  <c r="W518" i="2"/>
  <c r="O518" i="10" s="1"/>
  <c r="F18" i="5"/>
  <c r="D18" i="5"/>
  <c r="B52" i="5" s="1"/>
  <c r="E52" i="5" s="1"/>
  <c r="R282" i="10"/>
  <c r="U282" i="2"/>
  <c r="S320" i="10"/>
  <c r="V320" i="2"/>
  <c r="S230" i="10"/>
  <c r="V230" i="2"/>
  <c r="W369" i="2"/>
  <c r="O369" i="10" s="1"/>
  <c r="W366" i="2"/>
  <c r="O366" i="10" s="1"/>
  <c r="W370" i="2"/>
  <c r="O370" i="10" s="1"/>
  <c r="W368" i="2"/>
  <c r="O368" i="10" s="1"/>
  <c r="W367" i="2"/>
  <c r="O367" i="10" s="1"/>
  <c r="W442" i="2"/>
  <c r="O442" i="10" s="1"/>
  <c r="W445" i="2"/>
  <c r="O445" i="10" s="1"/>
  <c r="W444" i="2"/>
  <c r="O444" i="10" s="1"/>
  <c r="W443" i="2"/>
  <c r="O443" i="10" s="1"/>
  <c r="W446" i="2"/>
  <c r="O446" i="10" s="1"/>
  <c r="G18" i="5" l="1"/>
  <c r="I18" i="5"/>
  <c r="H18" i="5"/>
  <c r="J18" i="5"/>
  <c r="B20" i="5"/>
  <c r="C20" i="5" s="1"/>
  <c r="A21" i="5"/>
  <c r="F52" i="5"/>
  <c r="X523" i="2" s="1"/>
  <c r="D52" i="5"/>
  <c r="X371" i="2" s="1"/>
  <c r="X447" i="2"/>
  <c r="F19" i="5"/>
  <c r="D19" i="5"/>
  <c r="B53" i="5" s="1"/>
  <c r="E53" i="5" s="1"/>
  <c r="W372" i="2" l="1"/>
  <c r="O372" i="10" s="1"/>
  <c r="W375" i="2"/>
  <c r="O375" i="10" s="1"/>
  <c r="W371" i="2"/>
  <c r="O371" i="10" s="1"/>
  <c r="W374" i="2"/>
  <c r="O374" i="10" s="1"/>
  <c r="W373" i="2"/>
  <c r="O373" i="10" s="1"/>
  <c r="F53" i="5"/>
  <c r="X553" i="2" s="1"/>
  <c r="D53" i="5"/>
  <c r="X401" i="2" s="1"/>
  <c r="X477" i="2"/>
  <c r="H19" i="5"/>
  <c r="J19" i="5"/>
  <c r="I19" i="5"/>
  <c r="G19" i="5"/>
  <c r="A22" i="5"/>
  <c r="B21" i="5"/>
  <c r="C21" i="5" s="1"/>
  <c r="W527" i="2"/>
  <c r="O527" i="10" s="1"/>
  <c r="W525" i="2"/>
  <c r="O525" i="10" s="1"/>
  <c r="W524" i="2"/>
  <c r="O524" i="10" s="1"/>
  <c r="W526" i="2"/>
  <c r="O526" i="10" s="1"/>
  <c r="W523" i="2"/>
  <c r="O523" i="10" s="1"/>
  <c r="W450" i="2"/>
  <c r="O450" i="10" s="1"/>
  <c r="W447" i="2"/>
  <c r="O447" i="10" s="1"/>
  <c r="W451" i="2"/>
  <c r="O451" i="10" s="1"/>
  <c r="W449" i="2"/>
  <c r="O449" i="10" s="1"/>
  <c r="W448" i="2"/>
  <c r="O448" i="10" s="1"/>
  <c r="D20" i="5"/>
  <c r="B54" i="5" s="1"/>
  <c r="E54" i="5" s="1"/>
  <c r="F20" i="5"/>
  <c r="W477" i="2" l="1"/>
  <c r="O477" i="10" s="1"/>
  <c r="W481" i="2"/>
  <c r="O481" i="10" s="1"/>
  <c r="W479" i="2"/>
  <c r="O479" i="10" s="1"/>
  <c r="W478" i="2"/>
  <c r="O478" i="10" s="1"/>
  <c r="W480" i="2"/>
  <c r="O480" i="10" s="1"/>
  <c r="W402" i="2"/>
  <c r="O402" i="10" s="1"/>
  <c r="W403" i="2"/>
  <c r="O403" i="10" s="1"/>
  <c r="W401" i="2"/>
  <c r="O401" i="10" s="1"/>
  <c r="W404" i="2"/>
  <c r="O404" i="10" s="1"/>
  <c r="W405" i="2"/>
  <c r="O405" i="10" s="1"/>
  <c r="G20" i="5"/>
  <c r="H20" i="5"/>
  <c r="J20" i="5"/>
  <c r="I20" i="5"/>
  <c r="F21" i="5"/>
  <c r="D21" i="5"/>
  <c r="B55" i="5" s="1"/>
  <c r="E55" i="5" s="1"/>
  <c r="W555" i="2"/>
  <c r="O555" i="10" s="1"/>
  <c r="W557" i="2"/>
  <c r="O557" i="10" s="1"/>
  <c r="W556" i="2"/>
  <c r="O556" i="10" s="1"/>
  <c r="W553" i="2"/>
  <c r="O553" i="10" s="1"/>
  <c r="W554" i="2"/>
  <c r="O554" i="10" s="1"/>
  <c r="D54" i="5"/>
  <c r="F54" i="5"/>
  <c r="B22" i="5"/>
  <c r="C22" i="5" s="1"/>
  <c r="A23" i="5"/>
  <c r="F22" i="5" l="1"/>
  <c r="D22" i="5"/>
  <c r="B56" i="5" s="1"/>
  <c r="E56" i="5" s="1"/>
  <c r="F55" i="5"/>
  <c r="X528" i="2" s="1"/>
  <c r="D55" i="5"/>
  <c r="X376" i="2" s="1"/>
  <c r="X452" i="2"/>
  <c r="J21" i="5"/>
  <c r="H21" i="5"/>
  <c r="I21" i="5"/>
  <c r="G21" i="5"/>
  <c r="A24" i="5"/>
  <c r="B23" i="5"/>
  <c r="C23" i="5" s="1"/>
  <c r="W380" i="2" l="1"/>
  <c r="O380" i="10" s="1"/>
  <c r="W379" i="2"/>
  <c r="O379" i="10" s="1"/>
  <c r="W376" i="2"/>
  <c r="O376" i="10" s="1"/>
  <c r="W378" i="2"/>
  <c r="O378" i="10" s="1"/>
  <c r="W377" i="2"/>
  <c r="O377" i="10" s="1"/>
  <c r="F23" i="5"/>
  <c r="D23" i="5"/>
  <c r="B57" i="5" s="1"/>
  <c r="E57" i="5" s="1"/>
  <c r="W528" i="2"/>
  <c r="O528" i="10" s="1"/>
  <c r="W531" i="2"/>
  <c r="O531" i="10" s="1"/>
  <c r="W532" i="2"/>
  <c r="O532" i="10" s="1"/>
  <c r="W530" i="2"/>
  <c r="O530" i="10" s="1"/>
  <c r="W529" i="2"/>
  <c r="O529" i="10" s="1"/>
  <c r="A25" i="5"/>
  <c r="B24" i="5"/>
  <c r="C24" i="5" s="1"/>
  <c r="F56" i="5"/>
  <c r="D56" i="5"/>
  <c r="W453" i="2"/>
  <c r="O453" i="10" s="1"/>
  <c r="W455" i="2"/>
  <c r="O455" i="10" s="1"/>
  <c r="W452" i="2"/>
  <c r="O452" i="10" s="1"/>
  <c r="W456" i="2"/>
  <c r="O456" i="10" s="1"/>
  <c r="W454" i="2"/>
  <c r="O454" i="10" s="1"/>
  <c r="I22" i="5"/>
  <c r="G22" i="5"/>
  <c r="H22" i="5"/>
  <c r="J22" i="5"/>
  <c r="D57" i="5" l="1"/>
  <c r="X381" i="2" s="1"/>
  <c r="F57" i="5"/>
  <c r="X533" i="2" s="1"/>
  <c r="X457" i="2"/>
  <c r="F24" i="5"/>
  <c r="D24" i="5"/>
  <c r="B58" i="5" s="1"/>
  <c r="E58" i="5" s="1"/>
  <c r="J23" i="5"/>
  <c r="G23" i="5"/>
  <c r="I23" i="5"/>
  <c r="H23" i="5"/>
  <c r="A26" i="5"/>
  <c r="B25" i="5"/>
  <c r="C25" i="5" s="1"/>
  <c r="W536" i="2" l="1"/>
  <c r="O536" i="10" s="1"/>
  <c r="W533" i="2"/>
  <c r="O533" i="10" s="1"/>
  <c r="W535" i="2"/>
  <c r="O535" i="10" s="1"/>
  <c r="W537" i="2"/>
  <c r="O537" i="10" s="1"/>
  <c r="W534" i="2"/>
  <c r="O534" i="10" s="1"/>
  <c r="H24" i="5"/>
  <c r="J24" i="5"/>
  <c r="G24" i="5"/>
  <c r="I24" i="5"/>
  <c r="F25" i="5"/>
  <c r="D25" i="5"/>
  <c r="B59" i="5" s="1"/>
  <c r="E59" i="5" s="1"/>
  <c r="W461" i="2"/>
  <c r="O461" i="10" s="1"/>
  <c r="W459" i="2"/>
  <c r="O459" i="10" s="1"/>
  <c r="W458" i="2"/>
  <c r="O458" i="10" s="1"/>
  <c r="W460" i="2"/>
  <c r="O460" i="10" s="1"/>
  <c r="W457" i="2"/>
  <c r="O457" i="10" s="1"/>
  <c r="B26" i="5"/>
  <c r="C26" i="5" s="1"/>
  <c r="A27" i="5"/>
  <c r="B27" i="5" s="1"/>
  <c r="C27" i="5" s="1"/>
  <c r="F58" i="5"/>
  <c r="X558" i="2" s="1"/>
  <c r="D58" i="5"/>
  <c r="X406" i="2" s="1"/>
  <c r="X482" i="2"/>
  <c r="W382" i="2"/>
  <c r="O382" i="10" s="1"/>
  <c r="W384" i="2"/>
  <c r="O384" i="10" s="1"/>
  <c r="W385" i="2"/>
  <c r="O385" i="10" s="1"/>
  <c r="W381" i="2"/>
  <c r="O381" i="10" s="1"/>
  <c r="W383" i="2"/>
  <c r="O383" i="10" s="1"/>
  <c r="D27" i="5" l="1"/>
  <c r="B61" i="5" s="1"/>
  <c r="E61" i="5" s="1"/>
  <c r="F27" i="5"/>
  <c r="J25" i="5"/>
  <c r="I25" i="5"/>
  <c r="G25" i="5"/>
  <c r="H25" i="5"/>
  <c r="W407" i="2"/>
  <c r="O407" i="10" s="1"/>
  <c r="W410" i="2"/>
  <c r="O410" i="10" s="1"/>
  <c r="W406" i="2"/>
  <c r="O406" i="10" s="1"/>
  <c r="W408" i="2"/>
  <c r="O408" i="10" s="1"/>
  <c r="W409" i="2"/>
  <c r="O409" i="10" s="1"/>
  <c r="W562" i="2"/>
  <c r="O562" i="10" s="1"/>
  <c r="W560" i="2"/>
  <c r="O560" i="10" s="1"/>
  <c r="W559" i="2"/>
  <c r="O559" i="10" s="1"/>
  <c r="W561" i="2"/>
  <c r="O561" i="10" s="1"/>
  <c r="W558" i="2"/>
  <c r="O558" i="10" s="1"/>
  <c r="D59" i="5"/>
  <c r="F59" i="5"/>
  <c r="W486" i="2"/>
  <c r="O486" i="10" s="1"/>
  <c r="W485" i="2"/>
  <c r="O485" i="10" s="1"/>
  <c r="W483" i="2"/>
  <c r="O483" i="10" s="1"/>
  <c r="W482" i="2"/>
  <c r="O482" i="10" s="1"/>
  <c r="W484" i="2"/>
  <c r="O484" i="10" s="1"/>
  <c r="F26" i="5"/>
  <c r="D26" i="5"/>
  <c r="B60" i="5" s="1"/>
  <c r="E60" i="5" s="1"/>
  <c r="I26" i="5" l="1"/>
  <c r="H26" i="5"/>
  <c r="G26" i="5"/>
  <c r="J26" i="5"/>
  <c r="G27" i="5"/>
  <c r="J27" i="5"/>
  <c r="H27" i="5"/>
  <c r="I27" i="5"/>
  <c r="F60" i="5"/>
  <c r="X538" i="2" s="1"/>
  <c r="D60" i="5"/>
  <c r="X386" i="2" s="1"/>
  <c r="X462" i="2"/>
  <c r="F61" i="5"/>
  <c r="D61" i="5"/>
  <c r="W389" i="2" l="1"/>
  <c r="O389" i="10" s="1"/>
  <c r="W386" i="2"/>
  <c r="O386" i="10" s="1"/>
  <c r="W390" i="2"/>
  <c r="O390" i="10" s="1"/>
  <c r="W387" i="2"/>
  <c r="O387" i="10" s="1"/>
  <c r="W388" i="2"/>
  <c r="O388" i="10" s="1"/>
  <c r="Q224" i="2"/>
  <c r="Q332" i="2"/>
  <c r="Q314" i="2"/>
  <c r="Q297" i="2"/>
  <c r="Q261" i="2"/>
  <c r="Q247" i="2"/>
  <c r="Q209" i="2"/>
  <c r="Q315" i="2"/>
  <c r="Q334" i="2"/>
  <c r="Q268" i="2"/>
  <c r="Q248" i="2"/>
  <c r="Q208" i="2"/>
  <c r="Q225" i="2"/>
  <c r="Q254" i="2"/>
  <c r="Q304" i="2"/>
  <c r="Q259" i="2"/>
  <c r="Q215" i="2"/>
  <c r="Q240" i="2"/>
  <c r="Q249" i="2"/>
  <c r="Q291" i="2"/>
  <c r="Q246" i="2"/>
  <c r="Q216" i="2"/>
  <c r="Q242" i="2"/>
  <c r="Q322" i="2"/>
  <c r="Q239" i="2"/>
  <c r="Q321" i="2"/>
  <c r="Q333" i="2"/>
  <c r="Q299" i="2"/>
  <c r="Q270" i="2"/>
  <c r="Q305" i="2"/>
  <c r="Q323" i="2"/>
  <c r="Q243" i="2"/>
  <c r="Q278" i="2"/>
  <c r="Q223" i="2"/>
  <c r="Q306" i="2"/>
  <c r="Q197" i="2"/>
  <c r="Q330" i="2"/>
  <c r="Q331" i="2"/>
  <c r="Q271" i="2"/>
  <c r="Q298" i="2"/>
  <c r="Q262" i="2"/>
  <c r="Q307" i="2"/>
  <c r="Q284" i="2"/>
  <c r="Q316" i="2"/>
  <c r="Q217" i="2"/>
  <c r="Q273" i="2"/>
  <c r="Q232" i="2"/>
  <c r="Q338" i="2"/>
  <c r="Q289" i="2"/>
  <c r="Q213" i="2"/>
  <c r="Q339" i="2"/>
  <c r="Q211" i="2"/>
  <c r="Q201" i="2"/>
  <c r="Q302" i="2"/>
  <c r="Q258" i="2"/>
  <c r="Q290" i="2"/>
  <c r="Q204" i="2"/>
  <c r="Q233" i="2"/>
  <c r="Q244" i="2"/>
  <c r="Q317" i="2"/>
  <c r="Q255" i="2"/>
  <c r="Q241" i="2"/>
  <c r="Q318" i="2"/>
  <c r="Q337" i="2"/>
  <c r="Q227" i="2"/>
  <c r="Q199" i="2"/>
  <c r="Q226" i="2"/>
  <c r="Q257" i="2"/>
  <c r="Q288" i="2"/>
  <c r="Q231" i="2"/>
  <c r="Q300" i="2"/>
  <c r="Q198" i="2"/>
  <c r="Q210" i="2"/>
  <c r="Q286" i="2"/>
  <c r="Q256" i="2"/>
  <c r="Q283" i="2"/>
  <c r="Q285" i="2"/>
  <c r="Q269" i="2"/>
  <c r="Q272" i="2"/>
  <c r="Q287" i="2"/>
  <c r="Q228" i="2"/>
  <c r="Q277" i="2"/>
  <c r="Q202" i="2"/>
  <c r="Q301" i="2"/>
  <c r="Q260" i="2"/>
  <c r="Q196" i="2"/>
  <c r="Q195" i="2"/>
  <c r="Q212" i="2"/>
  <c r="Q203" i="2"/>
  <c r="Q276" i="2"/>
  <c r="W462" i="2"/>
  <c r="O462" i="10" s="1"/>
  <c r="W463" i="2"/>
  <c r="O463" i="10" s="1"/>
  <c r="W464" i="2"/>
  <c r="O464" i="10" s="1"/>
  <c r="W465" i="2"/>
  <c r="O465" i="10" s="1"/>
  <c r="W466" i="2"/>
  <c r="O466" i="10" s="1"/>
  <c r="W538" i="2"/>
  <c r="O538" i="10" s="1"/>
  <c r="W541" i="2"/>
  <c r="O541" i="10" s="1"/>
  <c r="W540" i="2"/>
  <c r="O540" i="10" s="1"/>
  <c r="W539" i="2"/>
  <c r="O539" i="10" s="1"/>
  <c r="W542" i="2"/>
  <c r="O542" i="10" s="1"/>
  <c r="T195" i="2" l="1"/>
  <c r="S195" i="2"/>
  <c r="S272" i="2"/>
  <c r="T272" i="2"/>
  <c r="S300" i="2"/>
  <c r="T300" i="2"/>
  <c r="T318" i="2"/>
  <c r="S318" i="2"/>
  <c r="T258" i="2"/>
  <c r="S258" i="2"/>
  <c r="T232" i="2"/>
  <c r="S232" i="2"/>
  <c r="S271" i="2"/>
  <c r="T271" i="2"/>
  <c r="S323" i="2"/>
  <c r="T323" i="2"/>
  <c r="T242" i="2"/>
  <c r="S242" i="2"/>
  <c r="T304" i="2"/>
  <c r="S304" i="2"/>
  <c r="S314" i="2"/>
  <c r="T314" i="2"/>
  <c r="T276" i="2"/>
  <c r="S276" i="2"/>
  <c r="T277" i="2"/>
  <c r="S277" i="2"/>
  <c r="S286" i="2"/>
  <c r="T286" i="2"/>
  <c r="S199" i="2"/>
  <c r="T199" i="2"/>
  <c r="T233" i="2"/>
  <c r="S233" i="2"/>
  <c r="S213" i="2"/>
  <c r="T213" i="2"/>
  <c r="T307" i="2"/>
  <c r="S307" i="2"/>
  <c r="S223" i="2"/>
  <c r="T223" i="2"/>
  <c r="S321" i="2"/>
  <c r="T321" i="2"/>
  <c r="T240" i="2"/>
  <c r="S240" i="2"/>
  <c r="T268" i="2"/>
  <c r="S268" i="2"/>
  <c r="S332" i="2"/>
  <c r="T332" i="2"/>
  <c r="S260" i="2"/>
  <c r="T260" i="2"/>
  <c r="S285" i="2"/>
  <c r="T285" i="2"/>
  <c r="T288" i="2"/>
  <c r="S288" i="2"/>
  <c r="T204" i="2"/>
  <c r="S204" i="2"/>
  <c r="S217" i="2"/>
  <c r="T217" i="2"/>
  <c r="T278" i="2"/>
  <c r="S278" i="2"/>
  <c r="S246" i="2"/>
  <c r="T246" i="2"/>
  <c r="S261" i="2"/>
  <c r="T261" i="2"/>
  <c r="T202" i="2"/>
  <c r="S202" i="2"/>
  <c r="S256" i="2"/>
  <c r="T256" i="2"/>
  <c r="T226" i="2"/>
  <c r="S226" i="2"/>
  <c r="T244" i="2"/>
  <c r="S244" i="2"/>
  <c r="S339" i="2"/>
  <c r="T339" i="2"/>
  <c r="T284" i="2"/>
  <c r="S284" i="2"/>
  <c r="S306" i="2"/>
  <c r="T306" i="2"/>
  <c r="S333" i="2"/>
  <c r="T333" i="2"/>
  <c r="S249" i="2"/>
  <c r="T249" i="2"/>
  <c r="T248" i="2"/>
  <c r="S248" i="2"/>
  <c r="S209" i="2"/>
  <c r="T209" i="2"/>
  <c r="T196" i="2"/>
  <c r="S196" i="2"/>
  <c r="S269" i="2"/>
  <c r="T269" i="2"/>
  <c r="S231" i="2"/>
  <c r="T231" i="2"/>
  <c r="S241" i="2"/>
  <c r="T241" i="2"/>
  <c r="S302" i="2"/>
  <c r="T302" i="2"/>
  <c r="S273" i="2"/>
  <c r="T273" i="2"/>
  <c r="T331" i="2"/>
  <c r="S331" i="2"/>
  <c r="S305" i="2"/>
  <c r="T305" i="2"/>
  <c r="S216" i="2"/>
  <c r="T216" i="2"/>
  <c r="S254" i="2"/>
  <c r="T254" i="2"/>
  <c r="T247" i="2"/>
  <c r="S247" i="2"/>
  <c r="T203" i="2"/>
  <c r="S203" i="2"/>
  <c r="T228" i="2"/>
  <c r="S228" i="2"/>
  <c r="T210" i="2"/>
  <c r="S210" i="2"/>
  <c r="S227" i="2"/>
  <c r="T227" i="2"/>
  <c r="S255" i="2"/>
  <c r="T255" i="2"/>
  <c r="S201" i="2"/>
  <c r="T201" i="2"/>
  <c r="T289" i="2"/>
  <c r="S289" i="2"/>
  <c r="S262" i="2"/>
  <c r="T262" i="2"/>
  <c r="T330" i="2"/>
  <c r="S330" i="2"/>
  <c r="S270" i="2"/>
  <c r="T270" i="2"/>
  <c r="T239" i="2"/>
  <c r="S239" i="2"/>
  <c r="T215" i="2"/>
  <c r="S215" i="2"/>
  <c r="T225" i="2"/>
  <c r="S225" i="2"/>
  <c r="T334" i="2"/>
  <c r="S334" i="2"/>
  <c r="T224" i="2"/>
  <c r="S224" i="2"/>
  <c r="S212" i="2"/>
  <c r="T212" i="2"/>
  <c r="S301" i="2"/>
  <c r="T301" i="2"/>
  <c r="S287" i="2"/>
  <c r="T287" i="2"/>
  <c r="S283" i="2"/>
  <c r="T283" i="2"/>
  <c r="T198" i="2"/>
  <c r="S198" i="2"/>
  <c r="T257" i="2"/>
  <c r="S257" i="2"/>
  <c r="T337" i="2"/>
  <c r="S337" i="2"/>
  <c r="S317" i="2"/>
  <c r="T317" i="2"/>
  <c r="S290" i="2"/>
  <c r="T290" i="2"/>
  <c r="T211" i="2"/>
  <c r="S211" i="2"/>
  <c r="S338" i="2"/>
  <c r="T338" i="2"/>
  <c r="T316" i="2"/>
  <c r="S316" i="2"/>
  <c r="T298" i="2"/>
  <c r="S298" i="2"/>
  <c r="T197" i="2"/>
  <c r="S197" i="2"/>
  <c r="S243" i="2"/>
  <c r="T243" i="2"/>
  <c r="T299" i="2"/>
  <c r="S299" i="2"/>
  <c r="T322" i="2"/>
  <c r="S322" i="2"/>
  <c r="S291" i="2"/>
  <c r="T291" i="2"/>
  <c r="T259" i="2"/>
  <c r="S259" i="2"/>
  <c r="T208" i="2"/>
  <c r="S208" i="2"/>
  <c r="S315" i="2"/>
  <c r="T315" i="2"/>
  <c r="S297" i="2"/>
  <c r="T297" i="2"/>
  <c r="V208" i="2" l="1"/>
  <c r="S208" i="10"/>
  <c r="S299" i="10"/>
  <c r="V299" i="2"/>
  <c r="S211" i="10"/>
  <c r="V211" i="2"/>
  <c r="U283" i="2"/>
  <c r="R283" i="10"/>
  <c r="S224" i="10"/>
  <c r="V224" i="2"/>
  <c r="S239" i="10"/>
  <c r="V239" i="2"/>
  <c r="U255" i="2"/>
  <c r="R255" i="10"/>
  <c r="U254" i="2"/>
  <c r="R254" i="10"/>
  <c r="U241" i="2"/>
  <c r="R241" i="10"/>
  <c r="R209" i="10"/>
  <c r="U209" i="2"/>
  <c r="R339" i="10"/>
  <c r="U339" i="2"/>
  <c r="V202" i="2"/>
  <c r="S202" i="10"/>
  <c r="R260" i="10"/>
  <c r="U260" i="2"/>
  <c r="S307" i="10"/>
  <c r="V307" i="2"/>
  <c r="U286" i="2"/>
  <c r="R286" i="10"/>
  <c r="U272" i="2"/>
  <c r="R272" i="10"/>
  <c r="S315" i="10"/>
  <c r="V315" i="2"/>
  <c r="S243" i="10"/>
  <c r="V243" i="2"/>
  <c r="V338" i="2"/>
  <c r="S338" i="10"/>
  <c r="S259" i="10"/>
  <c r="V259" i="2"/>
  <c r="V322" i="2"/>
  <c r="S322" i="10"/>
  <c r="S298" i="10"/>
  <c r="V298" i="2"/>
  <c r="R338" i="10"/>
  <c r="U338" i="2"/>
  <c r="R290" i="10"/>
  <c r="U290" i="2"/>
  <c r="S198" i="10"/>
  <c r="V198" i="2"/>
  <c r="U287" i="2"/>
  <c r="R287" i="10"/>
  <c r="S334" i="10"/>
  <c r="V334" i="2"/>
  <c r="S297" i="10"/>
  <c r="V297" i="2"/>
  <c r="R208" i="10"/>
  <c r="U208" i="2"/>
  <c r="S291" i="10"/>
  <c r="V291" i="2"/>
  <c r="R299" i="10"/>
  <c r="U299" i="2"/>
  <c r="R197" i="10"/>
  <c r="U197" i="2"/>
  <c r="R316" i="10"/>
  <c r="U316" i="2"/>
  <c r="R211" i="10"/>
  <c r="U211" i="2"/>
  <c r="S317" i="10"/>
  <c r="V317" i="2"/>
  <c r="U257" i="2"/>
  <c r="R257" i="10"/>
  <c r="V283" i="2"/>
  <c r="S283" i="10"/>
  <c r="S301" i="10"/>
  <c r="V301" i="2"/>
  <c r="U224" i="2"/>
  <c r="R224" i="10"/>
  <c r="R225" i="10"/>
  <c r="U225" i="2"/>
  <c r="R239" i="10"/>
  <c r="U239" i="2"/>
  <c r="U330" i="2"/>
  <c r="R330" i="10"/>
  <c r="U289" i="2"/>
  <c r="R289" i="10"/>
  <c r="S255" i="10"/>
  <c r="V255" i="2"/>
  <c r="U210" i="2"/>
  <c r="R210" i="10"/>
  <c r="R203" i="10"/>
  <c r="U203" i="2"/>
  <c r="S254" i="10"/>
  <c r="V254" i="2"/>
  <c r="V305" i="2"/>
  <c r="S305" i="10"/>
  <c r="S273" i="10"/>
  <c r="V273" i="2"/>
  <c r="V241" i="2"/>
  <c r="S241" i="10"/>
  <c r="S269" i="10"/>
  <c r="V269" i="2"/>
  <c r="V209" i="2"/>
  <c r="S209" i="10"/>
  <c r="V249" i="2"/>
  <c r="S249" i="10"/>
  <c r="V306" i="2"/>
  <c r="S306" i="10"/>
  <c r="S339" i="10"/>
  <c r="V339" i="2"/>
  <c r="U226" i="2"/>
  <c r="R226" i="10"/>
  <c r="R202" i="10"/>
  <c r="U202" i="2"/>
  <c r="S246" i="10"/>
  <c r="V246" i="2"/>
  <c r="S217" i="10"/>
  <c r="V217" i="2"/>
  <c r="U288" i="2"/>
  <c r="R288" i="10"/>
  <c r="S260" i="10"/>
  <c r="V260" i="2"/>
  <c r="R268" i="10"/>
  <c r="U268" i="2"/>
  <c r="V321" i="2"/>
  <c r="S321" i="10"/>
  <c r="R307" i="10"/>
  <c r="U307" i="2"/>
  <c r="U233" i="2"/>
  <c r="R233" i="10"/>
  <c r="V286" i="2"/>
  <c r="S286" i="10"/>
  <c r="R276" i="10"/>
  <c r="U276" i="2"/>
  <c r="R304" i="10"/>
  <c r="U304" i="2"/>
  <c r="S323" i="10"/>
  <c r="V323" i="2"/>
  <c r="U232" i="2"/>
  <c r="R232" i="10"/>
  <c r="R318" i="10"/>
  <c r="U318" i="2"/>
  <c r="S272" i="10"/>
  <c r="V272" i="2"/>
  <c r="R297" i="10"/>
  <c r="U297" i="2"/>
  <c r="V197" i="2"/>
  <c r="S197" i="10"/>
  <c r="R317" i="10"/>
  <c r="U317" i="2"/>
  <c r="R301" i="10"/>
  <c r="U301" i="2"/>
  <c r="V330" i="2"/>
  <c r="S330" i="10"/>
  <c r="S210" i="10"/>
  <c r="V210" i="2"/>
  <c r="U273" i="2"/>
  <c r="R273" i="10"/>
  <c r="U249" i="2"/>
  <c r="R249" i="10"/>
  <c r="S226" i="10"/>
  <c r="V226" i="2"/>
  <c r="R217" i="10"/>
  <c r="U217" i="2"/>
  <c r="S268" i="10"/>
  <c r="V268" i="2"/>
  <c r="V233" i="2"/>
  <c r="S233" i="10"/>
  <c r="S232" i="10"/>
  <c r="V232" i="2"/>
  <c r="U259" i="2"/>
  <c r="R259" i="10"/>
  <c r="R298" i="10"/>
  <c r="U298" i="2"/>
  <c r="S290" i="10"/>
  <c r="V290" i="2"/>
  <c r="R337" i="10"/>
  <c r="U337" i="2"/>
  <c r="R198" i="10"/>
  <c r="U198" i="2"/>
  <c r="V287" i="2"/>
  <c r="S287" i="10"/>
  <c r="V212" i="2"/>
  <c r="S212" i="10"/>
  <c r="R334" i="10"/>
  <c r="U334" i="2"/>
  <c r="U215" i="2"/>
  <c r="R215" i="10"/>
  <c r="S270" i="10"/>
  <c r="V270" i="2"/>
  <c r="S262" i="10"/>
  <c r="V262" i="2"/>
  <c r="S201" i="10"/>
  <c r="V201" i="2"/>
  <c r="V227" i="2"/>
  <c r="S227" i="10"/>
  <c r="R228" i="10"/>
  <c r="U228" i="2"/>
  <c r="R247" i="10"/>
  <c r="U247" i="2"/>
  <c r="V216" i="2"/>
  <c r="S216" i="10"/>
  <c r="R331" i="10"/>
  <c r="U331" i="2"/>
  <c r="S302" i="10"/>
  <c r="V302" i="2"/>
  <c r="S231" i="10"/>
  <c r="V231" i="2"/>
  <c r="R196" i="10"/>
  <c r="U196" i="2"/>
  <c r="R248" i="10"/>
  <c r="U248" i="2"/>
  <c r="S333" i="10"/>
  <c r="V333" i="2"/>
  <c r="R284" i="10"/>
  <c r="U284" i="2"/>
  <c r="U244" i="2"/>
  <c r="R244" i="10"/>
  <c r="V256" i="2"/>
  <c r="S256" i="10"/>
  <c r="V261" i="2"/>
  <c r="S261" i="10"/>
  <c r="R278" i="10"/>
  <c r="U278" i="2"/>
  <c r="U204" i="2"/>
  <c r="R204" i="10"/>
  <c r="V285" i="2"/>
  <c r="S285" i="10"/>
  <c r="V332" i="2"/>
  <c r="S332" i="10"/>
  <c r="U240" i="2"/>
  <c r="R240" i="10"/>
  <c r="S223" i="10"/>
  <c r="V223" i="2"/>
  <c r="S213" i="10"/>
  <c r="V213" i="2"/>
  <c r="S199" i="10"/>
  <c r="V199" i="2"/>
  <c r="R277" i="10"/>
  <c r="U277" i="2"/>
  <c r="S314" i="10"/>
  <c r="V314" i="2"/>
  <c r="U242" i="2"/>
  <c r="R242" i="10"/>
  <c r="S271" i="10"/>
  <c r="V271" i="2"/>
  <c r="R258" i="10"/>
  <c r="U258" i="2"/>
  <c r="S300" i="10"/>
  <c r="V300" i="2"/>
  <c r="R195" i="10"/>
  <c r="U195" i="2"/>
  <c r="U291" i="2"/>
  <c r="R291" i="10"/>
  <c r="V316" i="2"/>
  <c r="S316" i="10"/>
  <c r="V257" i="2"/>
  <c r="S257" i="10"/>
  <c r="V225" i="2"/>
  <c r="S225" i="10"/>
  <c r="V289" i="2"/>
  <c r="S289" i="10"/>
  <c r="S203" i="10"/>
  <c r="V203" i="2"/>
  <c r="R305" i="10"/>
  <c r="U305" i="2"/>
  <c r="R269" i="10"/>
  <c r="U269" i="2"/>
  <c r="R306" i="10"/>
  <c r="U306" i="2"/>
  <c r="U246" i="2"/>
  <c r="R246" i="10"/>
  <c r="V288" i="2"/>
  <c r="S288" i="10"/>
  <c r="R321" i="10"/>
  <c r="U321" i="2"/>
  <c r="S276" i="10"/>
  <c r="V276" i="2"/>
  <c r="S304" i="10"/>
  <c r="V304" i="2"/>
  <c r="R323" i="10"/>
  <c r="U323" i="2"/>
  <c r="S318" i="10"/>
  <c r="V318" i="2"/>
  <c r="R322" i="10"/>
  <c r="U322" i="2"/>
  <c r="R315" i="10"/>
  <c r="U315" i="2"/>
  <c r="R243" i="10"/>
  <c r="U243" i="2"/>
  <c r="V337" i="2"/>
  <c r="S337" i="10"/>
  <c r="R212" i="10"/>
  <c r="U212" i="2"/>
  <c r="S215" i="10"/>
  <c r="V215" i="2"/>
  <c r="R270" i="10"/>
  <c r="U270" i="2"/>
  <c r="R262" i="10"/>
  <c r="U262" i="2"/>
  <c r="R201" i="10"/>
  <c r="U201" i="2"/>
  <c r="R227" i="10"/>
  <c r="U227" i="2"/>
  <c r="S228" i="10"/>
  <c r="V228" i="2"/>
  <c r="S247" i="10"/>
  <c r="V247" i="2"/>
  <c r="R216" i="10"/>
  <c r="U216" i="2"/>
  <c r="S331" i="10"/>
  <c r="V331" i="2"/>
  <c r="R302" i="10"/>
  <c r="U302" i="2"/>
  <c r="U231" i="2"/>
  <c r="R231" i="10"/>
  <c r="V196" i="2"/>
  <c r="S196" i="10"/>
  <c r="V248" i="2"/>
  <c r="S248" i="10"/>
  <c r="R333" i="10"/>
  <c r="U333" i="2"/>
  <c r="V284" i="2"/>
  <c r="S284" i="10"/>
  <c r="S244" i="10"/>
  <c r="V244" i="2"/>
  <c r="U256" i="2"/>
  <c r="R256" i="10"/>
  <c r="U261" i="2"/>
  <c r="R261" i="10"/>
  <c r="S278" i="10"/>
  <c r="V278" i="2"/>
  <c r="S204" i="10"/>
  <c r="V204" i="2"/>
  <c r="R285" i="10"/>
  <c r="U285" i="2"/>
  <c r="R332" i="10"/>
  <c r="U332" i="2"/>
  <c r="S240" i="10"/>
  <c r="V240" i="2"/>
  <c r="R223" i="10"/>
  <c r="U223" i="2"/>
  <c r="U213" i="2"/>
  <c r="R213" i="10"/>
  <c r="U199" i="2"/>
  <c r="R199" i="10"/>
  <c r="S277" i="10"/>
  <c r="V277" i="2"/>
  <c r="U314" i="2"/>
  <c r="R314" i="10"/>
  <c r="S242" i="10"/>
  <c r="V242" i="2"/>
  <c r="R271" i="10"/>
  <c r="U271" i="2"/>
  <c r="V258" i="2"/>
  <c r="S258" i="10"/>
  <c r="R300" i="10"/>
  <c r="U300" i="2"/>
  <c r="S195" i="10"/>
  <c r="V195" i="2"/>
  <c r="AC89" i="3" l="1"/>
  <c r="AC6" i="3"/>
  <c r="AC438" i="3"/>
  <c r="AC576" i="3"/>
  <c r="AC193" i="3"/>
  <c r="AC181" i="3"/>
  <c r="AC139" i="3"/>
  <c r="AC520" i="3"/>
  <c r="AC295" i="3"/>
  <c r="AC129" i="3"/>
  <c r="AC399" i="3"/>
  <c r="AC312" i="3"/>
  <c r="AC248" i="3"/>
  <c r="AC90" i="3"/>
  <c r="AC421" i="3"/>
  <c r="AC455" i="3"/>
  <c r="AC23" i="3"/>
  <c r="AC400" i="3"/>
  <c r="AC243" i="3"/>
  <c r="AC242" i="3"/>
  <c r="AC523" i="3"/>
  <c r="AC253" i="3"/>
  <c r="AC299" i="3"/>
  <c r="AC170" i="3"/>
  <c r="AC427" i="3"/>
  <c r="AC422" i="3"/>
  <c r="AC141" i="3"/>
  <c r="AC28" i="3"/>
  <c r="AC470" i="3"/>
  <c r="AC31" i="3"/>
  <c r="AC24" i="3"/>
  <c r="AC160" i="3"/>
  <c r="AC467" i="3"/>
  <c r="AC17" i="3"/>
  <c r="AC499" i="3"/>
  <c r="AC261" i="3"/>
  <c r="AC303" i="3"/>
  <c r="AC198" i="3"/>
  <c r="AC450" i="3"/>
  <c r="AC11" i="3"/>
  <c r="AC301" i="3"/>
  <c r="AC525" i="3"/>
  <c r="AC76" i="3"/>
  <c r="AC356" i="3"/>
  <c r="AC109" i="3"/>
  <c r="AC9" i="3"/>
  <c r="AC439" i="3"/>
  <c r="AC244" i="3"/>
  <c r="AC367" i="3"/>
  <c r="AC501" i="3"/>
  <c r="AC461" i="3"/>
  <c r="AC476" i="3"/>
  <c r="AC30" i="3"/>
  <c r="AC309" i="3"/>
  <c r="AC575" i="3"/>
  <c r="AC64" i="3"/>
  <c r="AC378" i="3"/>
  <c r="AC197" i="3"/>
  <c r="AC149" i="3"/>
  <c r="AC494" i="3"/>
  <c r="AC99" i="3"/>
  <c r="AC169" i="3"/>
  <c r="AC82" i="3"/>
  <c r="AC545" i="3"/>
  <c r="AC456" i="3"/>
  <c r="AC208" i="3"/>
  <c r="AC255" i="3"/>
  <c r="AC410" i="3"/>
  <c r="AC12" i="3"/>
  <c r="AC3" i="3"/>
  <c r="AC402" i="3"/>
  <c r="AC428" i="3"/>
  <c r="AC552" i="3"/>
  <c r="AC569" i="3"/>
  <c r="AC158" i="3"/>
  <c r="AC249" i="3"/>
  <c r="AC13" i="3"/>
  <c r="AC557" i="3"/>
  <c r="AC87" i="3"/>
  <c r="AC369" i="3"/>
  <c r="AC302" i="3"/>
  <c r="AC472" i="3"/>
  <c r="AC202" i="3"/>
  <c r="AC21" i="3"/>
  <c r="AC411" i="3"/>
  <c r="AC346" i="3"/>
  <c r="AC345" i="3"/>
  <c r="AC493" i="3"/>
  <c r="AC355" i="3"/>
  <c r="AC180" i="3"/>
  <c r="AC527" i="3"/>
  <c r="AC4" i="3"/>
  <c r="AC192" i="3"/>
  <c r="AC191" i="3"/>
  <c r="AC528" i="3"/>
  <c r="AC159" i="3"/>
  <c r="AC69" i="3"/>
  <c r="AC358" i="3"/>
  <c r="AC298" i="3"/>
  <c r="AC449" i="3"/>
  <c r="AC462" i="3"/>
  <c r="AC182" i="3"/>
  <c r="AC201" i="3"/>
  <c r="AC401" i="3"/>
  <c r="AC433" i="3"/>
  <c r="AC200" i="3"/>
  <c r="AC207" i="3"/>
  <c r="AC366" i="3"/>
  <c r="AC59" i="3"/>
  <c r="AC81" i="3"/>
  <c r="AC380" i="3"/>
  <c r="AC306" i="3"/>
  <c r="AC497" i="3"/>
  <c r="AC496" i="3"/>
  <c r="AC252" i="3"/>
  <c r="AC389" i="3"/>
  <c r="AC526" i="3"/>
  <c r="AC357" i="3"/>
  <c r="AC75" i="3"/>
  <c r="AC347" i="3"/>
  <c r="AC294" i="3"/>
  <c r="AC390" i="3"/>
  <c r="AC194" i="3"/>
  <c r="AC63" i="3"/>
  <c r="AC305" i="3"/>
  <c r="AC551" i="3"/>
  <c r="AC206" i="3"/>
  <c r="AC563" i="3"/>
  <c r="AC521" i="3"/>
  <c r="AC260" i="3"/>
  <c r="AC570" i="3"/>
  <c r="AC469" i="3"/>
  <c r="AC172" i="3"/>
  <c r="AC293" i="3"/>
  <c r="AC474" i="3"/>
  <c r="AC27" i="3"/>
  <c r="AC256" i="3"/>
  <c r="AC204" i="3"/>
  <c r="AC247" i="3"/>
  <c r="AC388" i="3"/>
  <c r="AC118" i="3"/>
  <c r="AC120" i="3"/>
  <c r="AC379" i="3"/>
  <c r="AC546" i="3"/>
  <c r="AC300" i="3"/>
  <c r="AC5" i="3"/>
  <c r="AC205" i="3"/>
  <c r="AC171" i="3"/>
  <c r="AC502" i="3"/>
  <c r="AC98" i="3"/>
  <c r="AC110" i="3"/>
  <c r="AC254" i="3"/>
  <c r="AC444" i="3"/>
  <c r="AC88" i="3"/>
  <c r="AC377" i="3"/>
  <c r="AC308" i="3"/>
  <c r="AC10" i="3"/>
  <c r="AC307" i="3"/>
  <c r="AC257" i="3"/>
  <c r="AC251" i="3"/>
  <c r="AC161" i="3"/>
  <c r="AC473" i="3"/>
  <c r="AC18" i="3"/>
  <c r="AC475" i="3"/>
  <c r="AC199" i="3"/>
  <c r="AC498" i="3"/>
  <c r="AC138" i="3"/>
  <c r="AC16" i="3"/>
  <c r="AC304" i="3"/>
  <c r="AC203" i="3"/>
  <c r="AC522" i="3"/>
  <c r="AC468" i="3"/>
  <c r="AC296" i="3"/>
  <c r="AC250" i="3"/>
  <c r="AC297" i="3"/>
  <c r="AC471" i="3"/>
  <c r="AC7" i="3"/>
  <c r="AC564" i="3"/>
  <c r="AC344" i="3"/>
  <c r="AC107" i="3"/>
  <c r="AC259" i="3"/>
  <c r="AC416" i="3"/>
  <c r="AC15" i="3"/>
  <c r="AC210" i="3"/>
  <c r="AC130" i="3"/>
  <c r="AC58" i="3"/>
  <c r="AC558" i="3"/>
  <c r="AC500" i="3"/>
  <c r="AC195" i="3"/>
  <c r="AC150" i="3"/>
  <c r="AC209" i="3"/>
  <c r="AC311" i="3"/>
  <c r="AC29" i="3"/>
  <c r="AC495" i="3"/>
  <c r="AC258" i="3"/>
  <c r="AC183" i="3"/>
  <c r="AC391" i="3"/>
  <c r="AC119" i="3"/>
  <c r="AC70" i="3"/>
  <c r="AC140" i="3"/>
  <c r="AC246" i="3"/>
  <c r="AC22" i="3"/>
  <c r="AC196" i="3"/>
  <c r="AC108" i="3"/>
  <c r="AC310" i="3"/>
  <c r="AC245" i="3"/>
  <c r="AC121" i="3"/>
  <c r="AC368" i="3"/>
  <c r="AC19" i="3"/>
  <c r="AC519" i="3"/>
  <c r="AC524" i="3"/>
  <c r="AC25" i="3"/>
  <c r="AN72" i="3"/>
  <c r="AO72" i="3" s="1"/>
  <c r="AN69" i="3"/>
  <c r="AO69" i="3" s="1"/>
  <c r="AN88" i="3"/>
  <c r="AO88" i="3" s="1"/>
  <c r="AN83" i="3"/>
  <c r="AO83" i="3" s="1"/>
  <c r="AN96" i="3"/>
  <c r="AO96" i="3" s="1"/>
  <c r="AC56" i="3"/>
  <c r="AF56" i="3" s="1"/>
  <c r="AH56" i="3" s="1"/>
  <c r="AC34" i="3"/>
  <c r="AF34" i="3" s="1"/>
  <c r="AH34" i="3" s="1"/>
  <c r="AN84" i="3"/>
  <c r="AO84" i="3" s="1"/>
  <c r="AN81" i="3"/>
  <c r="AO81" i="3" s="1"/>
  <c r="AC41" i="3"/>
  <c r="AF41" i="3" s="1"/>
  <c r="AH41" i="3" s="1"/>
  <c r="AN79" i="3"/>
  <c r="AO79" i="3" s="1"/>
  <c r="AN76" i="3"/>
  <c r="AO76" i="3" s="1"/>
  <c r="AN95" i="3"/>
  <c r="AO95" i="3" s="1"/>
  <c r="AN82" i="3"/>
  <c r="AO82" i="3" s="1"/>
  <c r="AN78" i="3"/>
  <c r="AO78" i="3" s="1"/>
  <c r="AC46" i="3"/>
  <c r="AF46" i="3" s="1"/>
  <c r="AH46" i="3" s="1"/>
  <c r="AN94" i="3"/>
  <c r="AO94" i="3" s="1"/>
  <c r="AN77" i="3"/>
  <c r="AO77" i="3" s="1"/>
  <c r="AN73" i="3"/>
  <c r="AO73" i="3" s="1"/>
  <c r="AC36" i="3"/>
  <c r="AF36" i="3" s="1"/>
  <c r="AH36" i="3" s="1"/>
  <c r="AC44" i="3"/>
  <c r="AF44" i="3" s="1"/>
  <c r="AH44" i="3" s="1"/>
  <c r="AN93" i="3"/>
  <c r="AO93" i="3" s="1"/>
  <c r="AN71" i="3"/>
  <c r="AO71" i="3" s="1"/>
  <c r="AN85" i="3"/>
  <c r="AO85" i="3" s="1"/>
  <c r="AN87" i="3"/>
  <c r="AO87" i="3" s="1"/>
  <c r="AC49" i="3"/>
  <c r="AF49" i="3" s="1"/>
  <c r="AH49" i="3" s="1"/>
  <c r="AC54" i="3"/>
  <c r="AF54" i="3" s="1"/>
  <c r="AH54" i="3" s="1"/>
  <c r="AN92" i="3"/>
  <c r="AO92" i="3" s="1"/>
  <c r="AC91" i="3"/>
  <c r="AF91" i="3" s="1"/>
  <c r="AI91" i="3" s="1"/>
  <c r="AC537" i="3"/>
  <c r="AF537" i="3" s="1"/>
  <c r="AJ537" i="3" s="1"/>
  <c r="AK537" i="3" s="1"/>
  <c r="AL537" i="3" s="1"/>
  <c r="AC510" i="3"/>
  <c r="AF510" i="3" s="1"/>
  <c r="AN70" i="3"/>
  <c r="AO70" i="3" s="1"/>
  <c r="AN89" i="3"/>
  <c r="AO89" i="3" s="1"/>
  <c r="AC51" i="3"/>
  <c r="AF51" i="3" s="1"/>
  <c r="AH51" i="3" s="1"/>
  <c r="AN91" i="3"/>
  <c r="AO91" i="3" s="1"/>
  <c r="AB141" i="3"/>
  <c r="AC267" i="3"/>
  <c r="AF267" i="3" s="1"/>
  <c r="AJ267" i="3" s="1"/>
  <c r="AK267" i="3" s="1"/>
  <c r="AL267" i="3" s="1"/>
  <c r="AC265" i="3"/>
  <c r="AF265" i="3" s="1"/>
  <c r="AC547" i="3"/>
  <c r="AF547" i="3" s="1"/>
  <c r="AC440" i="3"/>
  <c r="AF440" i="3" s="1"/>
  <c r="AC452" i="3"/>
  <c r="AF452" i="3" s="1"/>
  <c r="AC477" i="3"/>
  <c r="AF477" i="3" s="1"/>
  <c r="AJ477" i="3" s="1"/>
  <c r="AK477" i="3" s="1"/>
  <c r="AL477" i="3" s="1"/>
  <c r="AC486" i="3"/>
  <c r="AF486" i="3" s="1"/>
  <c r="AC94" i="3"/>
  <c r="AF94" i="3" s="1"/>
  <c r="AH94" i="3" s="1"/>
  <c r="AC187" i="3"/>
  <c r="AF187" i="3" s="1"/>
  <c r="AC144" i="3"/>
  <c r="AF144" i="3" s="1"/>
  <c r="AJ144" i="3" s="1"/>
  <c r="AK144" i="3" s="1"/>
  <c r="AL144" i="3" s="1"/>
  <c r="AC463" i="3"/>
  <c r="AF463" i="3" s="1"/>
  <c r="AJ463" i="3" s="1"/>
  <c r="AK463" i="3" s="1"/>
  <c r="AL463" i="3" s="1"/>
  <c r="AB255" i="3"/>
  <c r="AC39" i="3"/>
  <c r="AF39" i="3" s="1"/>
  <c r="AH39" i="3" s="1"/>
  <c r="AC262" i="3"/>
  <c r="AF262" i="3" s="1"/>
  <c r="AJ262" i="3" s="1"/>
  <c r="AK262" i="3" s="1"/>
  <c r="AL262" i="3" s="1"/>
  <c r="AB209" i="3"/>
  <c r="AF209" i="3" s="1"/>
  <c r="AC578" i="3"/>
  <c r="AF578" i="3" s="1"/>
  <c r="AH578" i="3" s="1"/>
  <c r="AC270" i="3"/>
  <c r="AF270" i="3" s="1"/>
  <c r="AB253" i="3"/>
  <c r="AC565" i="3"/>
  <c r="AF565" i="3" s="1"/>
  <c r="AC332" i="3"/>
  <c r="AF332" i="3" s="1"/>
  <c r="AC532" i="3"/>
  <c r="AF532" i="3" s="1"/>
  <c r="AC163" i="3"/>
  <c r="AF163" i="3" s="1"/>
  <c r="AB139" i="3"/>
  <c r="AF139" i="3" s="1"/>
  <c r="AC276" i="3"/>
  <c r="AF276" i="3" s="1"/>
  <c r="AC480" i="3"/>
  <c r="AF480" i="3" s="1"/>
  <c r="AH480" i="3" s="1"/>
  <c r="AC281" i="3"/>
  <c r="AF281" i="3" s="1"/>
  <c r="AC482" i="3"/>
  <c r="AF482" i="3" s="1"/>
  <c r="AH482" i="3" s="1"/>
  <c r="AC535" i="3"/>
  <c r="AF535" i="3" s="1"/>
  <c r="AB497" i="3"/>
  <c r="AC269" i="3"/>
  <c r="AF269" i="3" s="1"/>
  <c r="AB461" i="3"/>
  <c r="AF461" i="3" s="1"/>
  <c r="AN90" i="3"/>
  <c r="AO90" i="3" s="1"/>
  <c r="AB545" i="3"/>
  <c r="AC572" i="3"/>
  <c r="AF572" i="3" s="1"/>
  <c r="AC536" i="3"/>
  <c r="AF536" i="3" s="1"/>
  <c r="AC229" i="3"/>
  <c r="AF229" i="3" s="1"/>
  <c r="AB183" i="3"/>
  <c r="AN75" i="3"/>
  <c r="AO75" i="3" s="1"/>
  <c r="AC504" i="3"/>
  <c r="AF504" i="3" s="1"/>
  <c r="AC145" i="3"/>
  <c r="AF145" i="3" s="1"/>
  <c r="AB552" i="3"/>
  <c r="AF552" i="3" s="1"/>
  <c r="AB109" i="3"/>
  <c r="AC507" i="3"/>
  <c r="AF507" i="3" s="1"/>
  <c r="AC383" i="3"/>
  <c r="AF383" i="3" s="1"/>
  <c r="AC226" i="3"/>
  <c r="AF226" i="3" s="1"/>
  <c r="AI226" i="3" s="1"/>
  <c r="AC225" i="3"/>
  <c r="AF225" i="3" s="1"/>
  <c r="AB433" i="3"/>
  <c r="AB475" i="3"/>
  <c r="AC316" i="3"/>
  <c r="AF316" i="3" s="1"/>
  <c r="AC429" i="3"/>
  <c r="AF429" i="3" s="1"/>
  <c r="AH429" i="3" s="1"/>
  <c r="AC571" i="3"/>
  <c r="AF571" i="3" s="1"/>
  <c r="AC78" i="3"/>
  <c r="AF78" i="3" s="1"/>
  <c r="AC164" i="3"/>
  <c r="AF164" i="3" s="1"/>
  <c r="AC93" i="3"/>
  <c r="AF93" i="3" s="1"/>
  <c r="AJ93" i="3" s="1"/>
  <c r="AK93" i="3" s="1"/>
  <c r="AL93" i="3" s="1"/>
  <c r="AC503" i="3"/>
  <c r="AF503" i="3" s="1"/>
  <c r="AC278" i="3"/>
  <c r="AF278" i="3" s="1"/>
  <c r="AC423" i="3"/>
  <c r="AF423" i="3" s="1"/>
  <c r="AJ423" i="3" s="1"/>
  <c r="AK423" i="3" s="1"/>
  <c r="AL423" i="3" s="1"/>
  <c r="AC395" i="3"/>
  <c r="AF395" i="3" s="1"/>
  <c r="AC174" i="3"/>
  <c r="AF174" i="3" s="1"/>
  <c r="AC165" i="3"/>
  <c r="AF165" i="3" s="1"/>
  <c r="AI165" i="3" s="1"/>
  <c r="AC218" i="3"/>
  <c r="AF218" i="3" s="1"/>
  <c r="AC509" i="3"/>
  <c r="AF509" i="3" s="1"/>
  <c r="AH509" i="3" s="1"/>
  <c r="AC481" i="3"/>
  <c r="AF481" i="3" s="1"/>
  <c r="AB416" i="3"/>
  <c r="AC484" i="3"/>
  <c r="AF484" i="3" s="1"/>
  <c r="AC553" i="3"/>
  <c r="AF553" i="3" s="1"/>
  <c r="AI553" i="3" s="1"/>
  <c r="AB388" i="3"/>
  <c r="AB428" i="3"/>
  <c r="AB89" i="3"/>
  <c r="AB473" i="3"/>
  <c r="AC227" i="3"/>
  <c r="AF227" i="3" s="1"/>
  <c r="AC325" i="3"/>
  <c r="AF325" i="3" s="1"/>
  <c r="AH325" i="3" s="1"/>
  <c r="AC511" i="3"/>
  <c r="AF511" i="3" s="1"/>
  <c r="AJ511" i="3" s="1"/>
  <c r="AK511" i="3" s="1"/>
  <c r="AL511" i="3" s="1"/>
  <c r="AB563" i="3"/>
  <c r="AB298" i="3"/>
  <c r="AF298" i="3" s="1"/>
  <c r="AH298" i="3" s="1"/>
  <c r="AB249" i="3"/>
  <c r="AF249" i="3" s="1"/>
  <c r="AC533" i="3"/>
  <c r="AF533" i="3" s="1"/>
  <c r="AC50" i="3"/>
  <c r="AF50" i="3" s="1"/>
  <c r="AB380" i="3"/>
  <c r="AF380" i="3" s="1"/>
  <c r="AH380" i="3" s="1"/>
  <c r="AC360" i="3"/>
  <c r="AF360" i="3" s="1"/>
  <c r="AI360" i="3" s="1"/>
  <c r="AC84" i="3"/>
  <c r="AF84" i="3" s="1"/>
  <c r="AJ84" i="3" s="1"/>
  <c r="AK84" i="3" s="1"/>
  <c r="AL84" i="3" s="1"/>
  <c r="AB98" i="3"/>
  <c r="AC434" i="3"/>
  <c r="AF434" i="3" s="1"/>
  <c r="AJ434" i="3" s="1"/>
  <c r="AK434" i="3" s="1"/>
  <c r="AL434" i="3" s="1"/>
  <c r="AB493" i="3"/>
  <c r="AC320" i="3"/>
  <c r="AF320" i="3" s="1"/>
  <c r="AC48" i="3"/>
  <c r="AF48" i="3" s="1"/>
  <c r="AC559" i="3"/>
  <c r="AF559" i="3" s="1"/>
  <c r="AC186" i="3"/>
  <c r="AF186" i="3" s="1"/>
  <c r="AC370" i="3"/>
  <c r="AF370" i="3" s="1"/>
  <c r="AC216" i="3"/>
  <c r="AF216" i="3" s="1"/>
  <c r="AC506" i="3"/>
  <c r="AF506" i="3" s="1"/>
  <c r="AC534" i="3"/>
  <c r="AF534" i="3" s="1"/>
  <c r="AC321" i="3"/>
  <c r="AF321" i="3" s="1"/>
  <c r="AC441" i="3"/>
  <c r="AF441" i="3" s="1"/>
  <c r="AB242" i="3"/>
  <c r="AC154" i="3"/>
  <c r="AF154" i="3" s="1"/>
  <c r="AA39" i="3"/>
  <c r="AE39" i="3" s="1"/>
  <c r="AB498" i="3"/>
  <c r="AC446" i="3"/>
  <c r="AF446" i="3" s="1"/>
  <c r="AC224" i="3"/>
  <c r="AF224" i="3" s="1"/>
  <c r="AJ224" i="3" s="1"/>
  <c r="AK224" i="3" s="1"/>
  <c r="AL224" i="3" s="1"/>
  <c r="AC279" i="3"/>
  <c r="AF279" i="3" s="1"/>
  <c r="AC566" i="3"/>
  <c r="AF566" i="3" s="1"/>
  <c r="AB570" i="3"/>
  <c r="AF570" i="3" s="1"/>
  <c r="AB3" i="3"/>
  <c r="AC512" i="3"/>
  <c r="AF512" i="3" s="1"/>
  <c r="AJ512" i="3" s="1"/>
  <c r="AK512" i="3" s="1"/>
  <c r="AL512" i="3" s="1"/>
  <c r="AC228" i="3"/>
  <c r="AF228" i="3" s="1"/>
  <c r="AC417" i="3"/>
  <c r="AF417" i="3" s="1"/>
  <c r="AJ417" i="3" s="1"/>
  <c r="AK417" i="3" s="1"/>
  <c r="AL417" i="3" s="1"/>
  <c r="AC530" i="3"/>
  <c r="AF530" i="3" s="1"/>
  <c r="AC505" i="3"/>
  <c r="AF505" i="3" s="1"/>
  <c r="AC418" i="3"/>
  <c r="AF418" i="3" s="1"/>
  <c r="AC529" i="3"/>
  <c r="AF529" i="3" s="1"/>
  <c r="AB470" i="3"/>
  <c r="AB27" i="3"/>
  <c r="AC483" i="3"/>
  <c r="AF483" i="3" s="1"/>
  <c r="AB206" i="3"/>
  <c r="AB309" i="3"/>
  <c r="AB378" i="3"/>
  <c r="AB494" i="3"/>
  <c r="AC318" i="3"/>
  <c r="AF318" i="3" s="1"/>
  <c r="AC577" i="3"/>
  <c r="AF577" i="3" s="1"/>
  <c r="AJ577" i="3" s="1"/>
  <c r="AK577" i="3" s="1"/>
  <c r="AL577" i="3" s="1"/>
  <c r="AC373" i="3"/>
  <c r="AF373" i="3" s="1"/>
  <c r="AC329" i="3"/>
  <c r="AF329" i="3" s="1"/>
  <c r="AC143" i="3"/>
  <c r="AF143" i="3" s="1"/>
  <c r="AJ143" i="3" s="1"/>
  <c r="AK143" i="3" s="1"/>
  <c r="AL143" i="3" s="1"/>
  <c r="AC131" i="3"/>
  <c r="AF131" i="3" s="1"/>
  <c r="AC113" i="3"/>
  <c r="AF113" i="3" s="1"/>
  <c r="AB528" i="3"/>
  <c r="AB502" i="3"/>
  <c r="AC314" i="3"/>
  <c r="AF314" i="3" s="1"/>
  <c r="AC112" i="3"/>
  <c r="AF112" i="3" s="1"/>
  <c r="AB557" i="3"/>
  <c r="AB118" i="3"/>
  <c r="AC445" i="3"/>
  <c r="AF445" i="3" s="1"/>
  <c r="AB455" i="3"/>
  <c r="AB357" i="3"/>
  <c r="AF357" i="3" s="1"/>
  <c r="AJ357" i="3" s="1"/>
  <c r="AK357" i="3" s="1"/>
  <c r="AL357" i="3" s="1"/>
  <c r="AC330" i="3"/>
  <c r="AF330" i="3" s="1"/>
  <c r="AJ330" i="3" s="1"/>
  <c r="AK330" i="3" s="1"/>
  <c r="AL330" i="3" s="1"/>
  <c r="AC124" i="3"/>
  <c r="AF124" i="3" s="1"/>
  <c r="AB244" i="3"/>
  <c r="AB520" i="3"/>
  <c r="AB300" i="3"/>
  <c r="AC393" i="3"/>
  <c r="AF393" i="3" s="1"/>
  <c r="AJ393" i="3" s="1"/>
  <c r="AK393" i="3" s="1"/>
  <c r="AL393" i="3" s="1"/>
  <c r="AB192" i="3"/>
  <c r="AF192" i="3" s="1"/>
  <c r="AB576" i="3"/>
  <c r="AC102" i="3"/>
  <c r="AF102" i="3" s="1"/>
  <c r="AJ102" i="3" s="1"/>
  <c r="AK102" i="3" s="1"/>
  <c r="AL102" i="3" s="1"/>
  <c r="AC392" i="3"/>
  <c r="AF392" i="3" s="1"/>
  <c r="AB399" i="3"/>
  <c r="AC114" i="3"/>
  <c r="AF114" i="3" s="1"/>
  <c r="AJ114" i="3" s="1"/>
  <c r="AK114" i="3" s="1"/>
  <c r="AL114" i="3" s="1"/>
  <c r="AB21" i="3"/>
  <c r="AC508" i="3"/>
  <c r="AF508" i="3" s="1"/>
  <c r="AC479" i="3"/>
  <c r="AF479" i="3" s="1"/>
  <c r="AB456" i="3"/>
  <c r="AC221" i="3"/>
  <c r="AF221" i="3" s="1"/>
  <c r="AJ221" i="3" s="1"/>
  <c r="AK221" i="3" s="1"/>
  <c r="AL221" i="3" s="1"/>
  <c r="AB496" i="3"/>
  <c r="AC323" i="3"/>
  <c r="AF323" i="3" s="1"/>
  <c r="AJ323" i="3" s="1"/>
  <c r="AK323" i="3" s="1"/>
  <c r="AL323" i="3" s="1"/>
  <c r="AB301" i="3"/>
  <c r="AB312" i="3"/>
  <c r="AC122" i="3"/>
  <c r="AF122" i="3" s="1"/>
  <c r="AJ122" i="3" s="1"/>
  <c r="AK122" i="3" s="1"/>
  <c r="AL122" i="3" s="1"/>
  <c r="AC349" i="3"/>
  <c r="AF349" i="3" s="1"/>
  <c r="AJ349" i="3" s="1"/>
  <c r="AK349" i="3" s="1"/>
  <c r="AL349" i="3" s="1"/>
  <c r="AC458" i="3"/>
  <c r="AF458" i="3" s="1"/>
  <c r="AC273" i="3"/>
  <c r="AF273" i="3" s="1"/>
  <c r="AC153" i="3"/>
  <c r="AF153" i="3" s="1"/>
  <c r="AB252" i="3"/>
  <c r="AB75" i="3"/>
  <c r="AB204" i="3"/>
  <c r="AC485" i="3"/>
  <c r="AF485" i="3" s="1"/>
  <c r="AC406" i="3"/>
  <c r="AF406" i="3" s="1"/>
  <c r="AC103" i="3"/>
  <c r="AF103" i="3" s="1"/>
  <c r="AJ103" i="3" s="1"/>
  <c r="AK103" i="3" s="1"/>
  <c r="AL103" i="3" s="1"/>
  <c r="AC531" i="3"/>
  <c r="AF531" i="3" s="1"/>
  <c r="AB243" i="3"/>
  <c r="AF243" i="3" s="1"/>
  <c r="AB462" i="3"/>
  <c r="AC327" i="3"/>
  <c r="AF327" i="3" s="1"/>
  <c r="AJ327" i="3" s="1"/>
  <c r="AK327" i="3" s="1"/>
  <c r="AL327" i="3" s="1"/>
  <c r="AB499" i="3"/>
  <c r="AF499" i="3" s="1"/>
  <c r="AC435" i="3"/>
  <c r="AF435" i="3" s="1"/>
  <c r="AC412" i="3"/>
  <c r="AF412" i="3" s="1"/>
  <c r="AJ412" i="3" s="1"/>
  <c r="AK412" i="3" s="1"/>
  <c r="AL412" i="3" s="1"/>
  <c r="AC381" i="3"/>
  <c r="AF381" i="3" s="1"/>
  <c r="AI381" i="3" s="1"/>
  <c r="AB108" i="3"/>
  <c r="AB258" i="3"/>
  <c r="AC328" i="3"/>
  <c r="AF328" i="3" s="1"/>
  <c r="AC359" i="3"/>
  <c r="AF359" i="3" s="1"/>
  <c r="AJ359" i="3" s="1"/>
  <c r="AK359" i="3" s="1"/>
  <c r="AL359" i="3" s="1"/>
  <c r="AB523" i="3"/>
  <c r="AC272" i="3"/>
  <c r="AF272" i="3" s="1"/>
  <c r="AC72" i="3"/>
  <c r="AF72" i="3" s="1"/>
  <c r="AC430" i="3"/>
  <c r="AF430" i="3" s="1"/>
  <c r="AC560" i="3"/>
  <c r="AF560" i="3" s="1"/>
  <c r="AB422" i="3"/>
  <c r="AC315" i="3"/>
  <c r="AF315" i="3" s="1"/>
  <c r="AC222" i="3"/>
  <c r="AF222" i="3" s="1"/>
  <c r="AC280" i="3"/>
  <c r="AF280" i="3" s="1"/>
  <c r="AB159" i="3"/>
  <c r="AC394" i="3"/>
  <c r="AF394" i="3" s="1"/>
  <c r="AC326" i="3"/>
  <c r="AF326" i="3" s="1"/>
  <c r="AB76" i="3"/>
  <c r="AF76" i="3" s="1"/>
  <c r="AB500" i="3"/>
  <c r="AB476" i="3"/>
  <c r="AC322" i="3"/>
  <c r="AF322" i="3" s="1"/>
  <c r="AB356" i="3"/>
  <c r="AB474" i="3"/>
  <c r="AB368" i="3"/>
  <c r="AB525" i="3"/>
  <c r="AC223" i="3"/>
  <c r="AF223" i="3" s="1"/>
  <c r="AH223" i="3" s="1"/>
  <c r="AC451" i="3"/>
  <c r="AF451" i="3" s="1"/>
  <c r="AB344" i="3"/>
  <c r="AC319" i="3"/>
  <c r="AF319" i="3" s="1"/>
  <c r="AB551" i="3"/>
  <c r="AB439" i="3"/>
  <c r="AC371" i="3"/>
  <c r="AF371" i="3" s="1"/>
  <c r="AC111" i="3"/>
  <c r="AF111" i="3" s="1"/>
  <c r="AH111" i="3" s="1"/>
  <c r="AC101" i="3"/>
  <c r="AF101" i="3" s="1"/>
  <c r="AB203" i="3"/>
  <c r="AB208" i="3"/>
  <c r="AB294" i="3"/>
  <c r="AB471" i="3"/>
  <c r="AC268" i="3"/>
  <c r="AF268" i="3" s="1"/>
  <c r="AC220" i="3"/>
  <c r="AF220" i="3" s="1"/>
  <c r="AH220" i="3" s="1"/>
  <c r="AC77" i="3"/>
  <c r="AF77" i="3" s="1"/>
  <c r="AJ77" i="3" s="1"/>
  <c r="AK77" i="3" s="1"/>
  <c r="AL77" i="3" s="1"/>
  <c r="AC175" i="3"/>
  <c r="AF175" i="3" s="1"/>
  <c r="AJ175" i="3" s="1"/>
  <c r="AK175" i="3" s="1"/>
  <c r="AL175" i="3" s="1"/>
  <c r="AB31" i="3"/>
  <c r="AB169" i="3"/>
  <c r="AB299" i="3"/>
  <c r="AC275" i="3"/>
  <c r="AF275" i="3" s="1"/>
  <c r="AB310" i="3"/>
  <c r="AA54" i="3"/>
  <c r="AE54" i="3" s="1"/>
  <c r="AB200" i="3"/>
  <c r="AB160" i="3"/>
  <c r="AB182" i="3"/>
  <c r="AB247" i="3"/>
  <c r="AC134" i="3"/>
  <c r="AF134" i="3" s="1"/>
  <c r="AJ134" i="3" s="1"/>
  <c r="AK134" i="3" s="1"/>
  <c r="AL134" i="3" s="1"/>
  <c r="AC478" i="3"/>
  <c r="AF478" i="3" s="1"/>
  <c r="AJ478" i="3" s="1"/>
  <c r="AK478" i="3" s="1"/>
  <c r="AL478" i="3" s="1"/>
  <c r="AB25" i="3"/>
  <c r="AF25" i="3" s="1"/>
  <c r="AJ25" i="3" s="1"/>
  <c r="AK25" i="3" s="1"/>
  <c r="AL25" i="3" s="1"/>
  <c r="AC264" i="3"/>
  <c r="AF264" i="3" s="1"/>
  <c r="AB527" i="3"/>
  <c r="AB526" i="3"/>
  <c r="AB450" i="3"/>
  <c r="AC263" i="3"/>
  <c r="AF263" i="3" s="1"/>
  <c r="AI263" i="3" s="1"/>
  <c r="AC424" i="3"/>
  <c r="AF424" i="3" s="1"/>
  <c r="AB469" i="3"/>
  <c r="AB88" i="3"/>
  <c r="AB303" i="3"/>
  <c r="AF303" i="3" s="1"/>
  <c r="AB90" i="3"/>
  <c r="AF90" i="3" s="1"/>
  <c r="AB411" i="3"/>
  <c r="AB87" i="3"/>
  <c r="AA44" i="3"/>
  <c r="AE44" i="3" s="1"/>
  <c r="AC404" i="3"/>
  <c r="AF404" i="3" s="1"/>
  <c r="AC464" i="3"/>
  <c r="AF464" i="3" s="1"/>
  <c r="AC215" i="3"/>
  <c r="AF215" i="3" s="1"/>
  <c r="AJ215" i="3" s="1"/>
  <c r="AK215" i="3" s="1"/>
  <c r="AL215" i="3" s="1"/>
  <c r="AB172" i="3"/>
  <c r="AF172" i="3" s="1"/>
  <c r="AC230" i="3"/>
  <c r="AF230" i="3" s="1"/>
  <c r="AC331" i="3"/>
  <c r="AF331" i="3" s="1"/>
  <c r="AJ331" i="3" s="1"/>
  <c r="AK331" i="3" s="1"/>
  <c r="AL331" i="3" s="1"/>
  <c r="AB524" i="3"/>
  <c r="AB355" i="3"/>
  <c r="AF355" i="3" s="1"/>
  <c r="AB546" i="3"/>
  <c r="AB366" i="3"/>
  <c r="AC274" i="3"/>
  <c r="AF274" i="3" s="1"/>
  <c r="AB297" i="3"/>
  <c r="AB449" i="3"/>
  <c r="AB251" i="3"/>
  <c r="AB401" i="3"/>
  <c r="AF401" i="3" s="1"/>
  <c r="AB367" i="3"/>
  <c r="AF367" i="3" s="1"/>
  <c r="AB575" i="3"/>
  <c r="AB16" i="3"/>
  <c r="AC271" i="3"/>
  <c r="AF271" i="3" s="1"/>
  <c r="AB197" i="3"/>
  <c r="AB377" i="3"/>
  <c r="AB6" i="3"/>
  <c r="AC45" i="3"/>
  <c r="AF45" i="3" s="1"/>
  <c r="AH45" i="3" s="1"/>
  <c r="AC266" i="3"/>
  <c r="AF266" i="3" s="1"/>
  <c r="AH266" i="3" s="1"/>
  <c r="AB28" i="3"/>
  <c r="AB82" i="3"/>
  <c r="AC40" i="3"/>
  <c r="AF40" i="3" s="1"/>
  <c r="AB19" i="3"/>
  <c r="AB18" i="3"/>
  <c r="AB421" i="3"/>
  <c r="AF421" i="3" s="1"/>
  <c r="AB24" i="3"/>
  <c r="AC123" i="3"/>
  <c r="AF123" i="3" s="1"/>
  <c r="AJ123" i="3" s="1"/>
  <c r="AK123" i="3" s="1"/>
  <c r="AL123" i="3" s="1"/>
  <c r="AC382" i="3"/>
  <c r="AF382" i="3" s="1"/>
  <c r="AB427" i="3"/>
  <c r="AC71" i="3"/>
  <c r="AF71" i="3" s="1"/>
  <c r="AJ71" i="3" s="1"/>
  <c r="AK71" i="3" s="1"/>
  <c r="AL71" i="3" s="1"/>
  <c r="AC317" i="3"/>
  <c r="AF317" i="3" s="1"/>
  <c r="AC277" i="3"/>
  <c r="AF277" i="3" s="1"/>
  <c r="AJ277" i="3" s="1"/>
  <c r="AK277" i="3" s="1"/>
  <c r="AL277" i="3" s="1"/>
  <c r="AB304" i="3"/>
  <c r="AB9" i="3"/>
  <c r="AF9" i="3" s="1"/>
  <c r="AH9" i="3" s="1"/>
  <c r="AC38" i="3"/>
  <c r="AF38" i="3" s="1"/>
  <c r="AB261" i="3"/>
  <c r="AC61" i="3"/>
  <c r="AF61" i="3" s="1"/>
  <c r="AB120" i="3"/>
  <c r="AB17" i="3"/>
  <c r="AB569" i="3"/>
  <c r="Z56" i="3"/>
  <c r="AE56" i="3" s="1"/>
  <c r="AB400" i="3"/>
  <c r="AC538" i="3"/>
  <c r="AF538" i="3" s="1"/>
  <c r="AJ538" i="3" s="1"/>
  <c r="AK538" i="3" s="1"/>
  <c r="AL538" i="3" s="1"/>
  <c r="AC372" i="3"/>
  <c r="AF372" i="3" s="1"/>
  <c r="AJ372" i="3" s="1"/>
  <c r="AK372" i="3" s="1"/>
  <c r="AL372" i="3" s="1"/>
  <c r="AC185" i="3"/>
  <c r="AF185" i="3" s="1"/>
  <c r="AC217" i="3"/>
  <c r="AF217" i="3" s="1"/>
  <c r="AC413" i="3"/>
  <c r="AF413" i="3" s="1"/>
  <c r="AJ413" i="3" s="1"/>
  <c r="AK413" i="3" s="1"/>
  <c r="AL413" i="3" s="1"/>
  <c r="AB180" i="3"/>
  <c r="AB438" i="3"/>
  <c r="AF438" i="3" s="1"/>
  <c r="AB196" i="3"/>
  <c r="AB64" i="3"/>
  <c r="AC132" i="3"/>
  <c r="AF132" i="3" s="1"/>
  <c r="AB402" i="3"/>
  <c r="AB345" i="3"/>
  <c r="AB29" i="3"/>
  <c r="AB295" i="3"/>
  <c r="AB69" i="3"/>
  <c r="AB347" i="3"/>
  <c r="AF347" i="3" s="1"/>
  <c r="AB201" i="3"/>
  <c r="AB138" i="3"/>
  <c r="AB119" i="3"/>
  <c r="AB194" i="3"/>
  <c r="Z51" i="3"/>
  <c r="AE51" i="3" s="1"/>
  <c r="AB390" i="3"/>
  <c r="AB391" i="3"/>
  <c r="AB59" i="3"/>
  <c r="AB70" i="3"/>
  <c r="AB307" i="3"/>
  <c r="AB472" i="3"/>
  <c r="AC65" i="3"/>
  <c r="AF65" i="3" s="1"/>
  <c r="AH65" i="3" s="1"/>
  <c r="AB558" i="3"/>
  <c r="AA34" i="3"/>
  <c r="AE34" i="3" s="1"/>
  <c r="AB30" i="3"/>
  <c r="AB389" i="3"/>
  <c r="AF389" i="3" s="1"/>
  <c r="AB257" i="3"/>
  <c r="AB15" i="3"/>
  <c r="AC100" i="3"/>
  <c r="AF100" i="3" s="1"/>
  <c r="AJ100" i="3" s="1"/>
  <c r="AK100" i="3" s="1"/>
  <c r="AL100" i="3" s="1"/>
  <c r="AC162" i="3"/>
  <c r="AF162" i="3" s="1"/>
  <c r="AJ162" i="3" s="1"/>
  <c r="AK162" i="3" s="1"/>
  <c r="AL162" i="3" s="1"/>
  <c r="AC60" i="3"/>
  <c r="AF60" i="3" s="1"/>
  <c r="AC33" i="3"/>
  <c r="AF33" i="3" s="1"/>
  <c r="AJ33" i="3" s="1"/>
  <c r="AK33" i="3" s="1"/>
  <c r="AL33" i="3" s="1"/>
  <c r="Z36" i="3"/>
  <c r="AE36" i="3" s="1"/>
  <c r="AB5" i="3"/>
  <c r="AC184" i="3"/>
  <c r="AF184" i="3" s="1"/>
  <c r="AC92" i="3"/>
  <c r="AF92" i="3" s="1"/>
  <c r="AJ92" i="3" s="1"/>
  <c r="AK92" i="3" s="1"/>
  <c r="AL92" i="3" s="1"/>
  <c r="AB181" i="3"/>
  <c r="AB311" i="3"/>
  <c r="AB522" i="3"/>
  <c r="AC211" i="3"/>
  <c r="AF211" i="3" s="1"/>
  <c r="AC219" i="3"/>
  <c r="AF219" i="3" s="1"/>
  <c r="AJ219" i="3" s="1"/>
  <c r="AK219" i="3" s="1"/>
  <c r="AL219" i="3" s="1"/>
  <c r="AB246" i="3"/>
  <c r="AB519" i="3"/>
  <c r="AB501" i="3"/>
  <c r="AF501" i="3" s="1"/>
  <c r="AJ501" i="3" s="1"/>
  <c r="AK501" i="3" s="1"/>
  <c r="AL501" i="3" s="1"/>
  <c r="AC152" i="3"/>
  <c r="AF152" i="3" s="1"/>
  <c r="AJ152" i="3" s="1"/>
  <c r="AK152" i="3" s="1"/>
  <c r="AL152" i="3" s="1"/>
  <c r="AB198" i="3"/>
  <c r="AB467" i="3"/>
  <c r="AF467" i="3" s="1"/>
  <c r="AB306" i="3"/>
  <c r="AB521" i="3"/>
  <c r="AB564" i="3"/>
  <c r="AC348" i="3"/>
  <c r="AF348" i="3" s="1"/>
  <c r="AJ348" i="3" s="1"/>
  <c r="AK348" i="3" s="1"/>
  <c r="AL348" i="3" s="1"/>
  <c r="AC35" i="3"/>
  <c r="AF35" i="3" s="1"/>
  <c r="AB245" i="3"/>
  <c r="AB195" i="3"/>
  <c r="AC403" i="3"/>
  <c r="AF403" i="3" s="1"/>
  <c r="AC384" i="3"/>
  <c r="AF384" i="3" s="1"/>
  <c r="AJ384" i="3" s="1"/>
  <c r="AK384" i="3" s="1"/>
  <c r="AL384" i="3" s="1"/>
  <c r="AB254" i="3"/>
  <c r="AC43" i="3"/>
  <c r="AF43" i="3" s="1"/>
  <c r="AJ43" i="3" s="1"/>
  <c r="AK43" i="3" s="1"/>
  <c r="AL43" i="3" s="1"/>
  <c r="AC405" i="3"/>
  <c r="AF405" i="3" s="1"/>
  <c r="AJ405" i="3" s="1"/>
  <c r="AK405" i="3" s="1"/>
  <c r="AL405" i="3" s="1"/>
  <c r="AB305" i="3"/>
  <c r="AC66" i="3"/>
  <c r="AF66" i="3" s="1"/>
  <c r="AC214" i="3"/>
  <c r="AF214" i="3" s="1"/>
  <c r="AB23" i="3"/>
  <c r="AF23" i="3" s="1"/>
  <c r="AB256" i="3"/>
  <c r="AB444" i="3"/>
  <c r="AB260" i="3"/>
  <c r="AB13" i="3"/>
  <c r="AC176" i="3"/>
  <c r="AF176" i="3" s="1"/>
  <c r="AC457" i="3"/>
  <c r="AF457" i="3" s="1"/>
  <c r="AB161" i="3"/>
  <c r="AB346" i="3"/>
  <c r="AB121" i="3"/>
  <c r="AB158" i="3"/>
  <c r="AF158" i="3" s="1"/>
  <c r="AB468" i="3"/>
  <c r="AF468" i="3" s="1"/>
  <c r="AB129" i="3"/>
  <c r="AA49" i="3"/>
  <c r="AE49" i="3" s="1"/>
  <c r="AC173" i="3"/>
  <c r="AF173" i="3" s="1"/>
  <c r="AB191" i="3"/>
  <c r="AB296" i="3"/>
  <c r="AF296" i="3" s="1"/>
  <c r="AJ296" i="3" s="1"/>
  <c r="AK296" i="3" s="1"/>
  <c r="AL296" i="3" s="1"/>
  <c r="AB210" i="3"/>
  <c r="AC83" i="3"/>
  <c r="AF83" i="3" s="1"/>
  <c r="AB4" i="3"/>
  <c r="AF4" i="3" s="1"/>
  <c r="AB81" i="3"/>
  <c r="AB110" i="3"/>
  <c r="Z46" i="3"/>
  <c r="AE46" i="3" s="1"/>
  <c r="AC213" i="3"/>
  <c r="AF213" i="3" s="1"/>
  <c r="AB130" i="3"/>
  <c r="AB202" i="3"/>
  <c r="AC313" i="3"/>
  <c r="AF313" i="3" s="1"/>
  <c r="AJ313" i="3" s="1"/>
  <c r="AK313" i="3" s="1"/>
  <c r="AL313" i="3" s="1"/>
  <c r="AC55" i="3"/>
  <c r="AF55" i="3" s="1"/>
  <c r="AB358" i="3"/>
  <c r="AB11" i="3"/>
  <c r="AB293" i="3"/>
  <c r="AB248" i="3"/>
  <c r="AB199" i="3"/>
  <c r="AF199" i="3" s="1"/>
  <c r="AJ199" i="3" s="1"/>
  <c r="AK199" i="3" s="1"/>
  <c r="AL199" i="3" s="1"/>
  <c r="AC142" i="3"/>
  <c r="AF142" i="3" s="1"/>
  <c r="AB171" i="3"/>
  <c r="AB58" i="3"/>
  <c r="AB379" i="3"/>
  <c r="AC53" i="3"/>
  <c r="AF53" i="3" s="1"/>
  <c r="AJ53" i="3" s="1"/>
  <c r="AK53" i="3" s="1"/>
  <c r="AL53" i="3" s="1"/>
  <c r="AB308" i="3"/>
  <c r="AB259" i="3"/>
  <c r="Z41" i="3"/>
  <c r="AE41" i="3" s="1"/>
  <c r="AB22" i="3"/>
  <c r="AB10" i="3"/>
  <c r="AC212" i="3"/>
  <c r="AF212" i="3" s="1"/>
  <c r="AB250" i="3"/>
  <c r="AB193" i="3"/>
  <c r="AC133" i="3"/>
  <c r="AF133" i="3" s="1"/>
  <c r="AB205" i="3"/>
  <c r="AC125" i="3"/>
  <c r="AF125" i="3" s="1"/>
  <c r="AJ125" i="3" s="1"/>
  <c r="AK125" i="3" s="1"/>
  <c r="AL125" i="3" s="1"/>
  <c r="AC324" i="3"/>
  <c r="AF324" i="3" s="1"/>
  <c r="AB150" i="3"/>
  <c r="AB7" i="3"/>
  <c r="AB99" i="3"/>
  <c r="AB149" i="3"/>
  <c r="AB410" i="3"/>
  <c r="AC151" i="3"/>
  <c r="AF151" i="3" s="1"/>
  <c r="AJ151" i="3" s="1"/>
  <c r="AK151" i="3" s="1"/>
  <c r="AL151" i="3" s="1"/>
  <c r="AB302" i="3"/>
  <c r="AF302" i="3" s="1"/>
  <c r="AB63" i="3"/>
  <c r="AB170" i="3"/>
  <c r="AB495" i="3"/>
  <c r="AB369" i="3"/>
  <c r="AB107" i="3"/>
  <c r="AB12" i="3"/>
  <c r="AB207" i="3"/>
  <c r="AB140" i="3"/>
  <c r="AF500" i="3" l="1"/>
  <c r="AF475" i="3"/>
  <c r="AH475" i="3" s="1"/>
  <c r="AF564" i="3"/>
  <c r="AJ564" i="3" s="1"/>
  <c r="AK564" i="3" s="1"/>
  <c r="AL564" i="3" s="1"/>
  <c r="AF203" i="3"/>
  <c r="AI203" i="3" s="1"/>
  <c r="AF6" i="3"/>
  <c r="AH6" i="3" s="1"/>
  <c r="AF58" i="3"/>
  <c r="AJ58" i="3" s="1"/>
  <c r="AK58" i="3" s="1"/>
  <c r="AL58" i="3" s="1"/>
  <c r="AF260" i="3"/>
  <c r="AJ260" i="3" s="1"/>
  <c r="AK260" i="3" s="1"/>
  <c r="AL260" i="3" s="1"/>
  <c r="AF5" i="3"/>
  <c r="AJ5" i="3" s="1"/>
  <c r="AK5" i="3" s="1"/>
  <c r="AL5" i="3" s="1"/>
  <c r="AF496" i="3"/>
  <c r="AJ496" i="3" s="1"/>
  <c r="AK496" i="3" s="1"/>
  <c r="AL496" i="3" s="1"/>
  <c r="AF422" i="3"/>
  <c r="AI422" i="3" s="1"/>
  <c r="AF29" i="3"/>
  <c r="AF19" i="3"/>
  <c r="AJ19" i="3" s="1"/>
  <c r="AK19" i="3" s="1"/>
  <c r="AL19" i="3" s="1"/>
  <c r="AF378" i="3"/>
  <c r="AI378" i="3" s="1"/>
  <c r="AF89" i="3"/>
  <c r="AI89" i="3" s="1"/>
  <c r="AF497" i="3"/>
  <c r="AH497" i="3" s="1"/>
  <c r="AF495" i="3"/>
  <c r="AJ495" i="3" s="1"/>
  <c r="AK495" i="3" s="1"/>
  <c r="AL495" i="3" s="1"/>
  <c r="AF400" i="3"/>
  <c r="AJ400" i="3" s="1"/>
  <c r="AK400" i="3" s="1"/>
  <c r="AL400" i="3" s="1"/>
  <c r="AF130" i="3"/>
  <c r="AJ130" i="3" s="1"/>
  <c r="AK130" i="3" s="1"/>
  <c r="AL130" i="3" s="1"/>
  <c r="AF22" i="3"/>
  <c r="AF390" i="3"/>
  <c r="AI390" i="3" s="1"/>
  <c r="AF180" i="3"/>
  <c r="AJ180" i="3" s="1"/>
  <c r="AK180" i="3" s="1"/>
  <c r="AL180" i="3" s="1"/>
  <c r="AI56" i="3"/>
  <c r="AF150" i="3"/>
  <c r="AH150" i="3" s="1"/>
  <c r="AF24" i="3"/>
  <c r="AH24" i="3" s="1"/>
  <c r="AF450" i="3"/>
  <c r="AI450" i="3" s="1"/>
  <c r="AF182" i="3"/>
  <c r="AH182" i="3" s="1"/>
  <c r="AF31" i="3"/>
  <c r="AI31" i="3" s="1"/>
  <c r="AF3" i="3"/>
  <c r="AH3" i="3" s="1"/>
  <c r="AF416" i="3"/>
  <c r="AH416" i="3" s="1"/>
  <c r="AF473" i="3"/>
  <c r="AI473" i="3" s="1"/>
  <c r="AF200" i="3"/>
  <c r="AH200" i="3" s="1"/>
  <c r="AF569" i="3"/>
  <c r="AI569" i="3" s="1"/>
  <c r="AF525" i="3"/>
  <c r="AJ525" i="3" s="1"/>
  <c r="AK525" i="3" s="1"/>
  <c r="AL525" i="3" s="1"/>
  <c r="AF99" i="3"/>
  <c r="AJ99" i="3" s="1"/>
  <c r="AK99" i="3" s="1"/>
  <c r="AL99" i="3" s="1"/>
  <c r="AF13" i="3"/>
  <c r="AH13" i="3" s="1"/>
  <c r="AF462" i="3"/>
  <c r="AJ462" i="3" s="1"/>
  <c r="AK462" i="3" s="1"/>
  <c r="AL462" i="3" s="1"/>
  <c r="AF293" i="3"/>
  <c r="AI293" i="3" s="1"/>
  <c r="AF245" i="3"/>
  <c r="AJ245" i="3" s="1"/>
  <c r="AK245" i="3" s="1"/>
  <c r="AL245" i="3" s="1"/>
  <c r="AF181" i="3"/>
  <c r="AJ181" i="3" s="1"/>
  <c r="AK181" i="3" s="1"/>
  <c r="AL181" i="3" s="1"/>
  <c r="AF472" i="3"/>
  <c r="AJ472" i="3" s="1"/>
  <c r="AK472" i="3" s="1"/>
  <c r="AL472" i="3" s="1"/>
  <c r="AF119" i="3"/>
  <c r="AI119" i="3" s="1"/>
  <c r="AF551" i="3"/>
  <c r="AJ551" i="3" s="1"/>
  <c r="AK551" i="3" s="1"/>
  <c r="AL551" i="3" s="1"/>
  <c r="AF204" i="3"/>
  <c r="AJ204" i="3" s="1"/>
  <c r="AK204" i="3" s="1"/>
  <c r="AL204" i="3" s="1"/>
  <c r="AF207" i="3"/>
  <c r="AH207" i="3" s="1"/>
  <c r="AF149" i="3"/>
  <c r="AJ149" i="3" s="1"/>
  <c r="AK149" i="3" s="1"/>
  <c r="AL149" i="3" s="1"/>
  <c r="AF307" i="3"/>
  <c r="AJ307" i="3" s="1"/>
  <c r="AK307" i="3" s="1"/>
  <c r="AL307" i="3" s="1"/>
  <c r="AF575" i="3"/>
  <c r="AH575" i="3" s="1"/>
  <c r="AF299" i="3"/>
  <c r="AH299" i="3" s="1"/>
  <c r="AF557" i="3"/>
  <c r="AJ557" i="3" s="1"/>
  <c r="AK557" i="3" s="1"/>
  <c r="AL557" i="3" s="1"/>
  <c r="AF498" i="3"/>
  <c r="AJ498" i="3" s="1"/>
  <c r="AK498" i="3" s="1"/>
  <c r="AL498" i="3" s="1"/>
  <c r="AF98" i="3"/>
  <c r="AH98" i="3" s="1"/>
  <c r="AF253" i="3"/>
  <c r="AJ253" i="3" s="1"/>
  <c r="AK253" i="3" s="1"/>
  <c r="AL253" i="3" s="1"/>
  <c r="AF402" i="3"/>
  <c r="AJ402" i="3" s="1"/>
  <c r="AK402" i="3" s="1"/>
  <c r="AL402" i="3" s="1"/>
  <c r="AF346" i="3"/>
  <c r="AJ346" i="3" s="1"/>
  <c r="AK346" i="3" s="1"/>
  <c r="AL346" i="3" s="1"/>
  <c r="AF17" i="3"/>
  <c r="AH17" i="3" s="1"/>
  <c r="AF197" i="3"/>
  <c r="AH197" i="3" s="1"/>
  <c r="AF191" i="3"/>
  <c r="AJ191" i="3" s="1"/>
  <c r="AK191" i="3" s="1"/>
  <c r="AL191" i="3" s="1"/>
  <c r="AF198" i="3"/>
  <c r="AI198" i="3" s="1"/>
  <c r="AF311" i="3"/>
  <c r="AJ311" i="3" s="1"/>
  <c r="AK311" i="3" s="1"/>
  <c r="AL311" i="3" s="1"/>
  <c r="AF120" i="3"/>
  <c r="AJ120" i="3" s="1"/>
  <c r="AK120" i="3" s="1"/>
  <c r="AL120" i="3" s="1"/>
  <c r="AF88" i="3"/>
  <c r="AI88" i="3" s="1"/>
  <c r="AF439" i="3"/>
  <c r="AJ439" i="3" s="1"/>
  <c r="AK439" i="3" s="1"/>
  <c r="AL439" i="3" s="1"/>
  <c r="AF159" i="3"/>
  <c r="AH159" i="3" s="1"/>
  <c r="AF309" i="3"/>
  <c r="AI309" i="3" s="1"/>
  <c r="AF493" i="3"/>
  <c r="AJ493" i="3" s="1"/>
  <c r="AK493" i="3" s="1"/>
  <c r="AL493" i="3" s="1"/>
  <c r="AF428" i="3"/>
  <c r="AJ428" i="3" s="1"/>
  <c r="AK428" i="3" s="1"/>
  <c r="AL428" i="3" s="1"/>
  <c r="AF82" i="3"/>
  <c r="AH82" i="3" s="1"/>
  <c r="AF206" i="3"/>
  <c r="AJ206" i="3" s="1"/>
  <c r="AK206" i="3" s="1"/>
  <c r="AL206" i="3" s="1"/>
  <c r="AF250" i="3"/>
  <c r="AH250" i="3" s="1"/>
  <c r="AF358" i="3"/>
  <c r="AI358" i="3" s="1"/>
  <c r="AF81" i="3"/>
  <c r="AI81" i="3" s="1"/>
  <c r="AF129" i="3"/>
  <c r="AJ129" i="3" s="1"/>
  <c r="AK129" i="3" s="1"/>
  <c r="AL129" i="3" s="1"/>
  <c r="AF519" i="3"/>
  <c r="AJ519" i="3" s="1"/>
  <c r="AK519" i="3" s="1"/>
  <c r="AL519" i="3" s="1"/>
  <c r="AF169" i="3"/>
  <c r="AJ169" i="3" s="1"/>
  <c r="AK169" i="3" s="1"/>
  <c r="AL169" i="3" s="1"/>
  <c r="AF208" i="3"/>
  <c r="AJ208" i="3" s="1"/>
  <c r="AK208" i="3" s="1"/>
  <c r="AL208" i="3" s="1"/>
  <c r="AF399" i="3"/>
  <c r="AJ399" i="3" s="1"/>
  <c r="AK399" i="3" s="1"/>
  <c r="AL399" i="3" s="1"/>
  <c r="AF379" i="3"/>
  <c r="AJ379" i="3" s="1"/>
  <c r="AK379" i="3" s="1"/>
  <c r="AL379" i="3" s="1"/>
  <c r="AF522" i="3"/>
  <c r="AJ522" i="3" s="1"/>
  <c r="AK522" i="3" s="1"/>
  <c r="AL522" i="3" s="1"/>
  <c r="AF257" i="3"/>
  <c r="AJ257" i="3" s="1"/>
  <c r="AK257" i="3" s="1"/>
  <c r="AL257" i="3" s="1"/>
  <c r="AF558" i="3"/>
  <c r="AJ558" i="3" s="1"/>
  <c r="AK558" i="3" s="1"/>
  <c r="AL558" i="3" s="1"/>
  <c r="AF70" i="3"/>
  <c r="AJ70" i="3" s="1"/>
  <c r="AK70" i="3" s="1"/>
  <c r="AL70" i="3" s="1"/>
  <c r="AF201" i="3"/>
  <c r="AH201" i="3" s="1"/>
  <c r="AF297" i="3"/>
  <c r="AJ297" i="3" s="1"/>
  <c r="AK297" i="3" s="1"/>
  <c r="AL297" i="3" s="1"/>
  <c r="AF247" i="3"/>
  <c r="AI247" i="3" s="1"/>
  <c r="AF252" i="3"/>
  <c r="AJ252" i="3" s="1"/>
  <c r="AK252" i="3" s="1"/>
  <c r="AL252" i="3" s="1"/>
  <c r="AF205" i="3"/>
  <c r="AI205" i="3" s="1"/>
  <c r="AF194" i="3"/>
  <c r="AI194" i="3" s="1"/>
  <c r="AF345" i="3"/>
  <c r="AH345" i="3" s="1"/>
  <c r="AF196" i="3"/>
  <c r="AJ196" i="3" s="1"/>
  <c r="AK196" i="3" s="1"/>
  <c r="AL196" i="3" s="1"/>
  <c r="AF524" i="3"/>
  <c r="AH524" i="3" s="1"/>
  <c r="AF87" i="3"/>
  <c r="AJ87" i="3" s="1"/>
  <c r="AK87" i="3" s="1"/>
  <c r="AL87" i="3" s="1"/>
  <c r="AF474" i="3"/>
  <c r="AI474" i="3" s="1"/>
  <c r="AF202" i="3"/>
  <c r="AH202" i="3" s="1"/>
  <c r="AF110" i="3"/>
  <c r="AI110" i="3" s="1"/>
  <c r="AF121" i="3"/>
  <c r="AI121" i="3" s="1"/>
  <c r="AF15" i="3"/>
  <c r="AH15" i="3" s="1"/>
  <c r="AF138" i="3"/>
  <c r="AI138" i="3" s="1"/>
  <c r="AF18" i="3"/>
  <c r="AI18" i="3" s="1"/>
  <c r="AF377" i="3"/>
  <c r="AH377" i="3" s="1"/>
  <c r="AF527" i="3"/>
  <c r="AH527" i="3" s="1"/>
  <c r="AJ54" i="3"/>
  <c r="AK54" i="3" s="1"/>
  <c r="AL54" i="3" s="1"/>
  <c r="AF344" i="3"/>
  <c r="AH344" i="3" s="1"/>
  <c r="AF258" i="3"/>
  <c r="AI258" i="3" s="1"/>
  <c r="AF255" i="3"/>
  <c r="AH255" i="3" s="1"/>
  <c r="AF141" i="3"/>
  <c r="AJ141" i="3" s="1"/>
  <c r="AK141" i="3" s="1"/>
  <c r="AL141" i="3" s="1"/>
  <c r="AF75" i="3"/>
  <c r="AJ75" i="3" s="1"/>
  <c r="AK75" i="3" s="1"/>
  <c r="AL75" i="3" s="1"/>
  <c r="AF528" i="3"/>
  <c r="AH528" i="3" s="1"/>
  <c r="AF7" i="3"/>
  <c r="AI7" i="3" s="1"/>
  <c r="AF259" i="3"/>
  <c r="AJ259" i="3" s="1"/>
  <c r="AK259" i="3" s="1"/>
  <c r="AL259" i="3" s="1"/>
  <c r="AF248" i="3"/>
  <c r="AJ248" i="3" s="1"/>
  <c r="AK248" i="3" s="1"/>
  <c r="AL248" i="3" s="1"/>
  <c r="AF161" i="3"/>
  <c r="AJ161" i="3" s="1"/>
  <c r="AK161" i="3" s="1"/>
  <c r="AL161" i="3" s="1"/>
  <c r="AF195" i="3"/>
  <c r="AJ195" i="3" s="1"/>
  <c r="AK195" i="3" s="1"/>
  <c r="AL195" i="3" s="1"/>
  <c r="AF246" i="3"/>
  <c r="AH246" i="3" s="1"/>
  <c r="AF59" i="3"/>
  <c r="AJ59" i="3" s="1"/>
  <c r="AK59" i="3" s="1"/>
  <c r="AL59" i="3" s="1"/>
  <c r="AF310" i="3"/>
  <c r="AJ310" i="3" s="1"/>
  <c r="AK310" i="3" s="1"/>
  <c r="AL310" i="3" s="1"/>
  <c r="AF470" i="3"/>
  <c r="AI470" i="3" s="1"/>
  <c r="AF12" i="3"/>
  <c r="AI12" i="3" s="1"/>
  <c r="AF10" i="3"/>
  <c r="AJ10" i="3" s="1"/>
  <c r="AK10" i="3" s="1"/>
  <c r="AL10" i="3" s="1"/>
  <c r="AF444" i="3"/>
  <c r="AH444" i="3" s="1"/>
  <c r="AF521" i="3"/>
  <c r="AJ521" i="3" s="1"/>
  <c r="AK521" i="3" s="1"/>
  <c r="AL521" i="3" s="1"/>
  <c r="AF30" i="3"/>
  <c r="AH30" i="3" s="1"/>
  <c r="AF391" i="3"/>
  <c r="AH391" i="3" s="1"/>
  <c r="AF69" i="3"/>
  <c r="AJ69" i="3" s="1"/>
  <c r="AK69" i="3" s="1"/>
  <c r="AL69" i="3" s="1"/>
  <c r="AF304" i="3"/>
  <c r="AJ304" i="3" s="1"/>
  <c r="AK304" i="3" s="1"/>
  <c r="AL304" i="3" s="1"/>
  <c r="AF427" i="3"/>
  <c r="AJ427" i="3" s="1"/>
  <c r="AK427" i="3" s="1"/>
  <c r="AL427" i="3" s="1"/>
  <c r="AF411" i="3"/>
  <c r="AH411" i="3" s="1"/>
  <c r="AF526" i="3"/>
  <c r="AH526" i="3" s="1"/>
  <c r="AF523" i="3"/>
  <c r="AI523" i="3" s="1"/>
  <c r="AF300" i="3"/>
  <c r="AI300" i="3" s="1"/>
  <c r="AF118" i="3"/>
  <c r="AJ118" i="3" s="1"/>
  <c r="AK118" i="3" s="1"/>
  <c r="AL118" i="3" s="1"/>
  <c r="AF502" i="3"/>
  <c r="AH502" i="3" s="1"/>
  <c r="AF433" i="3"/>
  <c r="AH433" i="3" s="1"/>
  <c r="AF193" i="3"/>
  <c r="AH193" i="3" s="1"/>
  <c r="AF256" i="3"/>
  <c r="AJ256" i="3" s="1"/>
  <c r="AK256" i="3" s="1"/>
  <c r="AL256" i="3" s="1"/>
  <c r="AF305" i="3"/>
  <c r="AI305" i="3" s="1"/>
  <c r="AF295" i="3"/>
  <c r="AJ295" i="3" s="1"/>
  <c r="AK295" i="3" s="1"/>
  <c r="AL295" i="3" s="1"/>
  <c r="AF294" i="3"/>
  <c r="AI294" i="3" s="1"/>
  <c r="AF301" i="3"/>
  <c r="AJ301" i="3" s="1"/>
  <c r="AK301" i="3" s="1"/>
  <c r="AL301" i="3" s="1"/>
  <c r="AF456" i="3"/>
  <c r="AI456" i="3" s="1"/>
  <c r="AF109" i="3"/>
  <c r="AJ109" i="3" s="1"/>
  <c r="AK109" i="3" s="1"/>
  <c r="AL109" i="3" s="1"/>
  <c r="AF140" i="3"/>
  <c r="AJ140" i="3" s="1"/>
  <c r="AK140" i="3" s="1"/>
  <c r="AL140" i="3" s="1"/>
  <c r="AF369" i="3"/>
  <c r="AJ369" i="3" s="1"/>
  <c r="AK369" i="3" s="1"/>
  <c r="AL369" i="3" s="1"/>
  <c r="AF64" i="3"/>
  <c r="AI64" i="3" s="1"/>
  <c r="AF368" i="3"/>
  <c r="AI368" i="3" s="1"/>
  <c r="AF476" i="3"/>
  <c r="AJ476" i="3" s="1"/>
  <c r="AK476" i="3" s="1"/>
  <c r="AL476" i="3" s="1"/>
  <c r="AF244" i="3"/>
  <c r="AJ244" i="3" s="1"/>
  <c r="AK244" i="3" s="1"/>
  <c r="AL244" i="3" s="1"/>
  <c r="AF455" i="3"/>
  <c r="AJ455" i="3" s="1"/>
  <c r="AK455" i="3" s="1"/>
  <c r="AL455" i="3" s="1"/>
  <c r="AF27" i="3"/>
  <c r="AI27" i="3" s="1"/>
  <c r="AF183" i="3"/>
  <c r="AJ183" i="3" s="1"/>
  <c r="AK183" i="3" s="1"/>
  <c r="AL183" i="3" s="1"/>
  <c r="AF545" i="3"/>
  <c r="AI545" i="3" s="1"/>
  <c r="AF170" i="3"/>
  <c r="AI170" i="3" s="1"/>
  <c r="AF308" i="3"/>
  <c r="AJ308" i="3" s="1"/>
  <c r="AK308" i="3" s="1"/>
  <c r="AL308" i="3" s="1"/>
  <c r="AF171" i="3"/>
  <c r="AH171" i="3" s="1"/>
  <c r="AJ46" i="3"/>
  <c r="AK46" i="3" s="1"/>
  <c r="AL46" i="3" s="1"/>
  <c r="AF254" i="3"/>
  <c r="AH254" i="3" s="1"/>
  <c r="AF16" i="3"/>
  <c r="AH16" i="3" s="1"/>
  <c r="AF251" i="3"/>
  <c r="AH251" i="3" s="1"/>
  <c r="AF366" i="3"/>
  <c r="AJ366" i="3" s="1"/>
  <c r="AK366" i="3" s="1"/>
  <c r="AL366" i="3" s="1"/>
  <c r="AF469" i="3"/>
  <c r="AJ469" i="3" s="1"/>
  <c r="AK469" i="3" s="1"/>
  <c r="AL469" i="3" s="1"/>
  <c r="AF160" i="3"/>
  <c r="AJ160" i="3" s="1"/>
  <c r="AK160" i="3" s="1"/>
  <c r="AL160" i="3" s="1"/>
  <c r="AF471" i="3"/>
  <c r="AJ471" i="3" s="1"/>
  <c r="AK471" i="3" s="1"/>
  <c r="AL471" i="3" s="1"/>
  <c r="AF356" i="3"/>
  <c r="AI356" i="3" s="1"/>
  <c r="AF108" i="3"/>
  <c r="AJ108" i="3" s="1"/>
  <c r="AK108" i="3" s="1"/>
  <c r="AL108" i="3" s="1"/>
  <c r="AF312" i="3"/>
  <c r="AJ312" i="3" s="1"/>
  <c r="AK312" i="3" s="1"/>
  <c r="AL312" i="3" s="1"/>
  <c r="AF21" i="3"/>
  <c r="AJ21" i="3" s="1"/>
  <c r="AK21" i="3" s="1"/>
  <c r="AL21" i="3" s="1"/>
  <c r="AF242" i="3"/>
  <c r="AJ242" i="3" s="1"/>
  <c r="AK242" i="3" s="1"/>
  <c r="AL242" i="3" s="1"/>
  <c r="AF388" i="3"/>
  <c r="AJ388" i="3" s="1"/>
  <c r="AK388" i="3" s="1"/>
  <c r="AL388" i="3" s="1"/>
  <c r="AF410" i="3"/>
  <c r="AH410" i="3" s="1"/>
  <c r="AF107" i="3"/>
  <c r="AJ107" i="3" s="1"/>
  <c r="AK107" i="3" s="1"/>
  <c r="AL107" i="3" s="1"/>
  <c r="AF63" i="3"/>
  <c r="AI63" i="3" s="1"/>
  <c r="AF11" i="3"/>
  <c r="AJ11" i="3" s="1"/>
  <c r="AK11" i="3" s="1"/>
  <c r="AL11" i="3" s="1"/>
  <c r="AF210" i="3"/>
  <c r="AJ210" i="3" s="1"/>
  <c r="AK210" i="3" s="1"/>
  <c r="AL210" i="3" s="1"/>
  <c r="AF306" i="3"/>
  <c r="AJ306" i="3" s="1"/>
  <c r="AK306" i="3" s="1"/>
  <c r="AL306" i="3" s="1"/>
  <c r="AF261" i="3"/>
  <c r="AI261" i="3" s="1"/>
  <c r="AF28" i="3"/>
  <c r="AI28" i="3" s="1"/>
  <c r="AF449" i="3"/>
  <c r="AJ449" i="3" s="1"/>
  <c r="AK449" i="3" s="1"/>
  <c r="AL449" i="3" s="1"/>
  <c r="AF546" i="3"/>
  <c r="AH546" i="3" s="1"/>
  <c r="AF576" i="3"/>
  <c r="AJ576" i="3" s="1"/>
  <c r="AK576" i="3" s="1"/>
  <c r="AL576" i="3" s="1"/>
  <c r="AF520" i="3"/>
  <c r="AJ520" i="3" s="1"/>
  <c r="AK520" i="3" s="1"/>
  <c r="AL520" i="3" s="1"/>
  <c r="AF494" i="3"/>
  <c r="AH494" i="3" s="1"/>
  <c r="AF563" i="3"/>
  <c r="AI563" i="3" s="1"/>
  <c r="AH144" i="3"/>
  <c r="AI144" i="3"/>
  <c r="AI184" i="3"/>
  <c r="AJ184" i="3"/>
  <c r="AK184" i="3" s="1"/>
  <c r="AL184" i="3" s="1"/>
  <c r="AH481" i="3"/>
  <c r="AI481" i="3"/>
  <c r="AJ481" i="3"/>
  <c r="AK481" i="3" s="1"/>
  <c r="AL481" i="3" s="1"/>
  <c r="AH29" i="3"/>
  <c r="AJ29" i="3"/>
  <c r="AK29" i="3" s="1"/>
  <c r="AL29" i="3" s="1"/>
  <c r="AH484" i="3"/>
  <c r="AJ484" i="3"/>
  <c r="AK484" i="3" s="1"/>
  <c r="AL484" i="3" s="1"/>
  <c r="AJ571" i="3"/>
  <c r="AK571" i="3" s="1"/>
  <c r="AL571" i="3" s="1"/>
  <c r="AI571" i="3"/>
  <c r="AH571" i="3"/>
  <c r="AH511" i="3"/>
  <c r="AJ553" i="3"/>
  <c r="AK553" i="3" s="1"/>
  <c r="AL553" i="3" s="1"/>
  <c r="AJ509" i="3"/>
  <c r="AK509" i="3" s="1"/>
  <c r="AL509" i="3" s="1"/>
  <c r="AJ360" i="3"/>
  <c r="AK360" i="3" s="1"/>
  <c r="AL360" i="3" s="1"/>
  <c r="AH553" i="3"/>
  <c r="AH226" i="3"/>
  <c r="AI482" i="3"/>
  <c r="AI94" i="3"/>
  <c r="AH477" i="3"/>
  <c r="AI537" i="3"/>
  <c r="AH360" i="3"/>
  <c r="AI298" i="3"/>
  <c r="AJ429" i="3"/>
  <c r="AK429" i="3" s="1"/>
  <c r="AL429" i="3" s="1"/>
  <c r="AJ482" i="3"/>
  <c r="AK482" i="3" s="1"/>
  <c r="AL482" i="3" s="1"/>
  <c r="AJ94" i="3"/>
  <c r="AK94" i="3" s="1"/>
  <c r="AL94" i="3" s="1"/>
  <c r="AI212" i="3"/>
  <c r="AH212" i="3"/>
  <c r="AJ212" i="3"/>
  <c r="AK212" i="3" s="1"/>
  <c r="AL212" i="3" s="1"/>
  <c r="AH23" i="3"/>
  <c r="AJ23" i="3"/>
  <c r="AK23" i="3" s="1"/>
  <c r="AL23" i="3" s="1"/>
  <c r="AI23" i="3"/>
  <c r="AI324" i="3"/>
  <c r="AH324" i="3"/>
  <c r="AJ324" i="3"/>
  <c r="AK324" i="3" s="1"/>
  <c r="AL324" i="3" s="1"/>
  <c r="AI133" i="3"/>
  <c r="AH133" i="3"/>
  <c r="AJ133" i="3"/>
  <c r="AK133" i="3" s="1"/>
  <c r="AL133" i="3" s="1"/>
  <c r="AI142" i="3"/>
  <c r="AH142" i="3"/>
  <c r="AJ142" i="3"/>
  <c r="AK142" i="3" s="1"/>
  <c r="AL142" i="3" s="1"/>
  <c r="AH173" i="3"/>
  <c r="AI173" i="3"/>
  <c r="AJ173" i="3"/>
  <c r="AK173" i="3" s="1"/>
  <c r="AL173" i="3" s="1"/>
  <c r="AH468" i="3"/>
  <c r="AI468" i="3"/>
  <c r="AJ468" i="3"/>
  <c r="AK468" i="3" s="1"/>
  <c r="AL468" i="3" s="1"/>
  <c r="AH457" i="3"/>
  <c r="AI457" i="3"/>
  <c r="AJ457" i="3"/>
  <c r="AK457" i="3" s="1"/>
  <c r="AL457" i="3" s="1"/>
  <c r="AI214" i="3"/>
  <c r="AH214" i="3"/>
  <c r="AJ214" i="3"/>
  <c r="AK214" i="3" s="1"/>
  <c r="AL214" i="3" s="1"/>
  <c r="AH389" i="3"/>
  <c r="AI389" i="3"/>
  <c r="AJ389" i="3"/>
  <c r="AK389" i="3" s="1"/>
  <c r="AL389" i="3" s="1"/>
  <c r="AH55" i="3"/>
  <c r="AI55" i="3"/>
  <c r="AJ55" i="3"/>
  <c r="AK55" i="3" s="1"/>
  <c r="AL55" i="3" s="1"/>
  <c r="AG41" i="3"/>
  <c r="AI41" i="3"/>
  <c r="AJ41" i="3"/>
  <c r="AK41" i="3" s="1"/>
  <c r="AL41" i="3" s="1"/>
  <c r="AI49" i="3"/>
  <c r="AG49" i="3"/>
  <c r="AJ49" i="3"/>
  <c r="AK49" i="3" s="1"/>
  <c r="AL49" i="3" s="1"/>
  <c r="AI158" i="3"/>
  <c r="AH158" i="3"/>
  <c r="AJ158" i="3"/>
  <c r="AK158" i="3" s="1"/>
  <c r="AL158" i="3" s="1"/>
  <c r="AH176" i="3"/>
  <c r="AI176" i="3"/>
  <c r="AJ176" i="3"/>
  <c r="AK176" i="3" s="1"/>
  <c r="AL176" i="3" s="1"/>
  <c r="AH66" i="3"/>
  <c r="AI66" i="3"/>
  <c r="AJ66" i="3"/>
  <c r="AK66" i="3" s="1"/>
  <c r="AL66" i="3" s="1"/>
  <c r="AI4" i="3"/>
  <c r="AH4" i="3"/>
  <c r="AJ4" i="3"/>
  <c r="AK4" i="3" s="1"/>
  <c r="AL4" i="3" s="1"/>
  <c r="AI403" i="3"/>
  <c r="AJ403" i="3"/>
  <c r="AK403" i="3" s="1"/>
  <c r="AL403" i="3" s="1"/>
  <c r="AH403" i="3"/>
  <c r="AJ35" i="3"/>
  <c r="AK35" i="3" s="1"/>
  <c r="AL35" i="3" s="1"/>
  <c r="AI35" i="3"/>
  <c r="AH35" i="3"/>
  <c r="AH60" i="3"/>
  <c r="AI60" i="3"/>
  <c r="AJ60" i="3"/>
  <c r="AK60" i="3" s="1"/>
  <c r="AL60" i="3" s="1"/>
  <c r="AI34" i="3"/>
  <c r="AG34" i="3"/>
  <c r="AJ34" i="3"/>
  <c r="AK34" i="3" s="1"/>
  <c r="AL34" i="3" s="1"/>
  <c r="AI151" i="3"/>
  <c r="AH151" i="3"/>
  <c r="AI22" i="3"/>
  <c r="AH22" i="3"/>
  <c r="AI348" i="3"/>
  <c r="AH348" i="3"/>
  <c r="AI152" i="3"/>
  <c r="AH152" i="3"/>
  <c r="AI92" i="3"/>
  <c r="AH92" i="3"/>
  <c r="AI65" i="3"/>
  <c r="AH317" i="3"/>
  <c r="AI317" i="3"/>
  <c r="AJ317" i="3"/>
  <c r="AK317" i="3" s="1"/>
  <c r="AL317" i="3" s="1"/>
  <c r="AH367" i="3"/>
  <c r="AI367" i="3"/>
  <c r="AJ367" i="3"/>
  <c r="AK367" i="3" s="1"/>
  <c r="AL367" i="3" s="1"/>
  <c r="AH172" i="3"/>
  <c r="AI172" i="3"/>
  <c r="AJ172" i="3"/>
  <c r="AK172" i="3" s="1"/>
  <c r="AL172" i="3" s="1"/>
  <c r="AI371" i="3"/>
  <c r="AH371" i="3"/>
  <c r="AJ371" i="3"/>
  <c r="AK371" i="3" s="1"/>
  <c r="AL371" i="3" s="1"/>
  <c r="AH302" i="3"/>
  <c r="AI302" i="3"/>
  <c r="AJ302" i="3"/>
  <c r="AK302" i="3" s="1"/>
  <c r="AL302" i="3" s="1"/>
  <c r="AJ22" i="3"/>
  <c r="AK22" i="3" s="1"/>
  <c r="AL22" i="3" s="1"/>
  <c r="AI564" i="3"/>
  <c r="AH564" i="3"/>
  <c r="AH211" i="3"/>
  <c r="AI211" i="3"/>
  <c r="AJ211" i="3"/>
  <c r="AK211" i="3" s="1"/>
  <c r="AL211" i="3" s="1"/>
  <c r="AI100" i="3"/>
  <c r="AH100" i="3"/>
  <c r="AJ65" i="3"/>
  <c r="AK65" i="3" s="1"/>
  <c r="AL65" i="3" s="1"/>
  <c r="AH438" i="3"/>
  <c r="AI438" i="3"/>
  <c r="AJ438" i="3"/>
  <c r="AK438" i="3" s="1"/>
  <c r="AL438" i="3" s="1"/>
  <c r="AH217" i="3"/>
  <c r="AI217" i="3"/>
  <c r="AJ217" i="3"/>
  <c r="AK217" i="3" s="1"/>
  <c r="AL217" i="3" s="1"/>
  <c r="AJ38" i="3"/>
  <c r="AK38" i="3" s="1"/>
  <c r="AL38" i="3" s="1"/>
  <c r="AH38" i="3"/>
  <c r="AI38" i="3"/>
  <c r="AH19" i="3"/>
  <c r="AI271" i="3"/>
  <c r="AJ271" i="3"/>
  <c r="AK271" i="3" s="1"/>
  <c r="AL271" i="3" s="1"/>
  <c r="AH271" i="3"/>
  <c r="AH401" i="3"/>
  <c r="AI401" i="3"/>
  <c r="AJ401" i="3"/>
  <c r="AK401" i="3" s="1"/>
  <c r="AL401" i="3" s="1"/>
  <c r="AH90" i="3"/>
  <c r="AI90" i="3"/>
  <c r="AJ90" i="3"/>
  <c r="AK90" i="3" s="1"/>
  <c r="AL90" i="3" s="1"/>
  <c r="AH424" i="3"/>
  <c r="AI424" i="3"/>
  <c r="AJ424" i="3"/>
  <c r="AK424" i="3" s="1"/>
  <c r="AL424" i="3" s="1"/>
  <c r="AI322" i="3"/>
  <c r="AH322" i="3"/>
  <c r="AJ322" i="3"/>
  <c r="AK322" i="3" s="1"/>
  <c r="AL322" i="3" s="1"/>
  <c r="AI199" i="3"/>
  <c r="AH199" i="3"/>
  <c r="AI313" i="3"/>
  <c r="AH313" i="3"/>
  <c r="AI43" i="3"/>
  <c r="AH43" i="3"/>
  <c r="AH467" i="3"/>
  <c r="AI467" i="3"/>
  <c r="AJ467" i="3"/>
  <c r="AK467" i="3" s="1"/>
  <c r="AL467" i="3" s="1"/>
  <c r="AI501" i="3"/>
  <c r="AH501" i="3"/>
  <c r="AH219" i="3"/>
  <c r="AI219" i="3"/>
  <c r="AH184" i="3"/>
  <c r="AG36" i="3"/>
  <c r="AI36" i="3"/>
  <c r="AJ36" i="3"/>
  <c r="AK36" i="3" s="1"/>
  <c r="AL36" i="3" s="1"/>
  <c r="AH33" i="3"/>
  <c r="AI33" i="3"/>
  <c r="AH162" i="3"/>
  <c r="AI162" i="3"/>
  <c r="AI132" i="3"/>
  <c r="AH132" i="3"/>
  <c r="AJ132" i="3"/>
  <c r="AK132" i="3" s="1"/>
  <c r="AL132" i="3" s="1"/>
  <c r="AI180" i="3"/>
  <c r="AH180" i="3"/>
  <c r="AH185" i="3"/>
  <c r="AI185" i="3"/>
  <c r="AJ185" i="3"/>
  <c r="AK185" i="3" s="1"/>
  <c r="AL185" i="3" s="1"/>
  <c r="AH382" i="3"/>
  <c r="AI382" i="3"/>
  <c r="AJ382" i="3"/>
  <c r="AK382" i="3" s="1"/>
  <c r="AL382" i="3" s="1"/>
  <c r="AI40" i="3"/>
  <c r="AH40" i="3"/>
  <c r="AJ40" i="3"/>
  <c r="AK40" i="3" s="1"/>
  <c r="AL40" i="3" s="1"/>
  <c r="AI355" i="3"/>
  <c r="AH355" i="3"/>
  <c r="AJ355" i="3"/>
  <c r="AK355" i="3" s="1"/>
  <c r="AL355" i="3" s="1"/>
  <c r="AG44" i="3"/>
  <c r="AI44" i="3"/>
  <c r="AJ44" i="3"/>
  <c r="AK44" i="3" s="1"/>
  <c r="AL44" i="3" s="1"/>
  <c r="AH303" i="3"/>
  <c r="AI303" i="3"/>
  <c r="AJ303" i="3"/>
  <c r="AK303" i="3" s="1"/>
  <c r="AL303" i="3" s="1"/>
  <c r="AI275" i="3"/>
  <c r="AH275" i="3"/>
  <c r="AJ275" i="3"/>
  <c r="AK275" i="3" s="1"/>
  <c r="AL275" i="3" s="1"/>
  <c r="AI280" i="3"/>
  <c r="AH280" i="3"/>
  <c r="AJ280" i="3"/>
  <c r="AK280" i="3" s="1"/>
  <c r="AL280" i="3" s="1"/>
  <c r="AI125" i="3"/>
  <c r="AH125" i="3"/>
  <c r="AH53" i="3"/>
  <c r="AI53" i="3"/>
  <c r="AI213" i="3"/>
  <c r="AH213" i="3"/>
  <c r="AJ213" i="3"/>
  <c r="AK213" i="3" s="1"/>
  <c r="AL213" i="3" s="1"/>
  <c r="AG46" i="3"/>
  <c r="AI46" i="3"/>
  <c r="AI83" i="3"/>
  <c r="AH83" i="3"/>
  <c r="AJ83" i="3"/>
  <c r="AK83" i="3" s="1"/>
  <c r="AL83" i="3" s="1"/>
  <c r="AI296" i="3"/>
  <c r="AH296" i="3"/>
  <c r="AH405" i="3"/>
  <c r="AI405" i="3"/>
  <c r="AH384" i="3"/>
  <c r="AI384" i="3"/>
  <c r="AG51" i="3"/>
  <c r="AI51" i="3"/>
  <c r="AJ51" i="3"/>
  <c r="AK51" i="3" s="1"/>
  <c r="AL51" i="3" s="1"/>
  <c r="AH347" i="3"/>
  <c r="AJ347" i="3"/>
  <c r="AK347" i="3" s="1"/>
  <c r="AL347" i="3" s="1"/>
  <c r="AI347" i="3"/>
  <c r="AH61" i="3"/>
  <c r="AI61" i="3"/>
  <c r="AJ61" i="3"/>
  <c r="AK61" i="3" s="1"/>
  <c r="AL61" i="3" s="1"/>
  <c r="AJ421" i="3"/>
  <c r="AK421" i="3" s="1"/>
  <c r="AL421" i="3" s="1"/>
  <c r="AH421" i="3"/>
  <c r="AI421" i="3"/>
  <c r="AH230" i="3"/>
  <c r="AI230" i="3"/>
  <c r="AJ230" i="3"/>
  <c r="AK230" i="3" s="1"/>
  <c r="AL230" i="3" s="1"/>
  <c r="AH464" i="3"/>
  <c r="AI464" i="3"/>
  <c r="AJ464" i="3"/>
  <c r="AK464" i="3" s="1"/>
  <c r="AL464" i="3" s="1"/>
  <c r="AJ45" i="3"/>
  <c r="AK45" i="3" s="1"/>
  <c r="AL45" i="3" s="1"/>
  <c r="AJ263" i="3"/>
  <c r="AK263" i="3" s="1"/>
  <c r="AL263" i="3" s="1"/>
  <c r="AH264" i="3"/>
  <c r="AI264" i="3"/>
  <c r="AI9" i="3"/>
  <c r="AH77" i="3"/>
  <c r="AI77" i="3"/>
  <c r="AI111" i="3"/>
  <c r="AJ223" i="3"/>
  <c r="AK223" i="3" s="1"/>
  <c r="AL223" i="3" s="1"/>
  <c r="AI500" i="3"/>
  <c r="AH500" i="3"/>
  <c r="AJ500" i="3"/>
  <c r="AK500" i="3" s="1"/>
  <c r="AL500" i="3" s="1"/>
  <c r="AI406" i="3"/>
  <c r="AH406" i="3"/>
  <c r="AJ406" i="3"/>
  <c r="AK406" i="3" s="1"/>
  <c r="AL406" i="3" s="1"/>
  <c r="AH153" i="3"/>
  <c r="AI153" i="3"/>
  <c r="AJ153" i="3"/>
  <c r="AK153" i="3" s="1"/>
  <c r="AL153" i="3" s="1"/>
  <c r="AH508" i="3"/>
  <c r="AI508" i="3"/>
  <c r="AJ508" i="3"/>
  <c r="AK508" i="3" s="1"/>
  <c r="AL508" i="3" s="1"/>
  <c r="AI392" i="3"/>
  <c r="AH392" i="3"/>
  <c r="AJ392" i="3"/>
  <c r="AK392" i="3" s="1"/>
  <c r="AL392" i="3" s="1"/>
  <c r="AI192" i="3"/>
  <c r="AH192" i="3"/>
  <c r="AJ192" i="3"/>
  <c r="AK192" i="3" s="1"/>
  <c r="AL192" i="3" s="1"/>
  <c r="AJ124" i="3"/>
  <c r="AK124" i="3" s="1"/>
  <c r="AL124" i="3" s="1"/>
  <c r="AH124" i="3"/>
  <c r="AI124" i="3"/>
  <c r="AJ445" i="3"/>
  <c r="AK445" i="3" s="1"/>
  <c r="AL445" i="3" s="1"/>
  <c r="AH445" i="3"/>
  <c r="AI445" i="3"/>
  <c r="AJ9" i="3"/>
  <c r="AK9" i="3" s="1"/>
  <c r="AL9" i="3" s="1"/>
  <c r="AJ56" i="3"/>
  <c r="AK56" i="3" s="1"/>
  <c r="AL56" i="3" s="1"/>
  <c r="AJ266" i="3"/>
  <c r="AK266" i="3" s="1"/>
  <c r="AL266" i="3" s="1"/>
  <c r="AI45" i="3"/>
  <c r="AI266" i="3"/>
  <c r="AH134" i="3"/>
  <c r="AI134" i="3"/>
  <c r="AI29" i="3"/>
  <c r="AI54" i="3"/>
  <c r="AG54" i="3"/>
  <c r="AI101" i="3"/>
  <c r="AH101" i="3"/>
  <c r="AI223" i="3"/>
  <c r="AJ76" i="3"/>
  <c r="AK76" i="3" s="1"/>
  <c r="AL76" i="3" s="1"/>
  <c r="AI76" i="3"/>
  <c r="AH76" i="3"/>
  <c r="AI326" i="3"/>
  <c r="AH326" i="3"/>
  <c r="AJ326" i="3"/>
  <c r="AK326" i="3" s="1"/>
  <c r="AL326" i="3" s="1"/>
  <c r="AH430" i="3"/>
  <c r="AI430" i="3"/>
  <c r="AJ430" i="3"/>
  <c r="AK430" i="3" s="1"/>
  <c r="AL430" i="3" s="1"/>
  <c r="AI272" i="3"/>
  <c r="AH272" i="3"/>
  <c r="AJ272" i="3"/>
  <c r="AK272" i="3" s="1"/>
  <c r="AL272" i="3" s="1"/>
  <c r="AI359" i="3"/>
  <c r="AH359" i="3"/>
  <c r="AH328" i="3"/>
  <c r="AI328" i="3"/>
  <c r="AJ328" i="3"/>
  <c r="AK328" i="3" s="1"/>
  <c r="AL328" i="3" s="1"/>
  <c r="AI435" i="3"/>
  <c r="AJ435" i="3"/>
  <c r="AK435" i="3" s="1"/>
  <c r="AL435" i="3" s="1"/>
  <c r="AH435" i="3"/>
  <c r="AI531" i="3"/>
  <c r="AH531" i="3"/>
  <c r="AJ531" i="3"/>
  <c r="AK531" i="3" s="1"/>
  <c r="AL531" i="3" s="1"/>
  <c r="AI485" i="3"/>
  <c r="AH485" i="3"/>
  <c r="AJ485" i="3"/>
  <c r="AK485" i="3" s="1"/>
  <c r="AL485" i="3" s="1"/>
  <c r="AI273" i="3"/>
  <c r="AH273" i="3"/>
  <c r="AJ273" i="3"/>
  <c r="AK273" i="3" s="1"/>
  <c r="AL273" i="3" s="1"/>
  <c r="AH372" i="3"/>
  <c r="AI372" i="3"/>
  <c r="AI538" i="3"/>
  <c r="AH538" i="3"/>
  <c r="AI400" i="3"/>
  <c r="AH400" i="3"/>
  <c r="AH277" i="3"/>
  <c r="AI277" i="3"/>
  <c r="AI71" i="3"/>
  <c r="AH71" i="3"/>
  <c r="AH123" i="3"/>
  <c r="AI123" i="3"/>
  <c r="AH274" i="3"/>
  <c r="AI274" i="3"/>
  <c r="AH215" i="3"/>
  <c r="AI215" i="3"/>
  <c r="AH404" i="3"/>
  <c r="AI404" i="3"/>
  <c r="AJ404" i="3"/>
  <c r="AK404" i="3" s="1"/>
  <c r="AL404" i="3" s="1"/>
  <c r="AG56" i="3"/>
  <c r="AI478" i="3"/>
  <c r="AH478" i="3"/>
  <c r="AH175" i="3"/>
  <c r="AI175" i="3"/>
  <c r="AI268" i="3"/>
  <c r="AH268" i="3"/>
  <c r="AJ268" i="3"/>
  <c r="AK268" i="3" s="1"/>
  <c r="AL268" i="3" s="1"/>
  <c r="AI222" i="3"/>
  <c r="AJ222" i="3"/>
  <c r="AK222" i="3" s="1"/>
  <c r="AL222" i="3" s="1"/>
  <c r="AH222" i="3"/>
  <c r="AH263" i="3"/>
  <c r="AH458" i="3"/>
  <c r="AI458" i="3"/>
  <c r="AJ458" i="3"/>
  <c r="AK458" i="3" s="1"/>
  <c r="AL458" i="3" s="1"/>
  <c r="AI413" i="3"/>
  <c r="AH413" i="3"/>
  <c r="AI331" i="3"/>
  <c r="AH331" i="3"/>
  <c r="AJ274" i="3"/>
  <c r="AK274" i="3" s="1"/>
  <c r="AL274" i="3" s="1"/>
  <c r="AJ264" i="3"/>
  <c r="AK264" i="3" s="1"/>
  <c r="AL264" i="3" s="1"/>
  <c r="AH25" i="3"/>
  <c r="AI25" i="3"/>
  <c r="AJ220" i="3"/>
  <c r="AK220" i="3" s="1"/>
  <c r="AL220" i="3" s="1"/>
  <c r="AI220" i="3"/>
  <c r="AJ101" i="3"/>
  <c r="AK101" i="3" s="1"/>
  <c r="AL101" i="3" s="1"/>
  <c r="AJ111" i="3"/>
  <c r="AK111" i="3" s="1"/>
  <c r="AL111" i="3" s="1"/>
  <c r="AH319" i="3"/>
  <c r="AJ319" i="3"/>
  <c r="AK319" i="3" s="1"/>
  <c r="AL319" i="3" s="1"/>
  <c r="AI319" i="3"/>
  <c r="AI451" i="3"/>
  <c r="AH451" i="3"/>
  <c r="AJ451" i="3"/>
  <c r="AK451" i="3" s="1"/>
  <c r="AL451" i="3" s="1"/>
  <c r="AH394" i="3"/>
  <c r="AI394" i="3"/>
  <c r="AJ394" i="3"/>
  <c r="AK394" i="3" s="1"/>
  <c r="AL394" i="3" s="1"/>
  <c r="AH315" i="3"/>
  <c r="AI315" i="3"/>
  <c r="AJ315" i="3"/>
  <c r="AK315" i="3" s="1"/>
  <c r="AL315" i="3" s="1"/>
  <c r="AI560" i="3"/>
  <c r="AH560" i="3"/>
  <c r="AJ560" i="3"/>
  <c r="AK560" i="3" s="1"/>
  <c r="AL560" i="3" s="1"/>
  <c r="AJ479" i="3"/>
  <c r="AK479" i="3" s="1"/>
  <c r="AL479" i="3" s="1"/>
  <c r="AI479" i="3"/>
  <c r="AH479" i="3"/>
  <c r="AI496" i="3"/>
  <c r="AI114" i="3"/>
  <c r="AH357" i="3"/>
  <c r="AH483" i="3"/>
  <c r="AI483" i="3"/>
  <c r="AJ483" i="3"/>
  <c r="AK483" i="3" s="1"/>
  <c r="AL483" i="3" s="1"/>
  <c r="AI530" i="3"/>
  <c r="AH530" i="3"/>
  <c r="AJ530" i="3"/>
  <c r="AK530" i="3" s="1"/>
  <c r="AL530" i="3" s="1"/>
  <c r="AI228" i="3"/>
  <c r="AH228" i="3"/>
  <c r="AJ228" i="3"/>
  <c r="AK228" i="3" s="1"/>
  <c r="AL228" i="3" s="1"/>
  <c r="AH570" i="3"/>
  <c r="AI570" i="3"/>
  <c r="AJ570" i="3"/>
  <c r="AK570" i="3" s="1"/>
  <c r="AL570" i="3" s="1"/>
  <c r="AH534" i="3"/>
  <c r="AJ534" i="3"/>
  <c r="AK534" i="3" s="1"/>
  <c r="AL534" i="3" s="1"/>
  <c r="AI534" i="3"/>
  <c r="AI186" i="3"/>
  <c r="AH186" i="3"/>
  <c r="AJ186" i="3"/>
  <c r="AK186" i="3" s="1"/>
  <c r="AL186" i="3" s="1"/>
  <c r="AJ381" i="3"/>
  <c r="AK381" i="3" s="1"/>
  <c r="AL381" i="3" s="1"/>
  <c r="AH381" i="3"/>
  <c r="AH496" i="3"/>
  <c r="AH114" i="3"/>
  <c r="AI357" i="3"/>
  <c r="AI113" i="3"/>
  <c r="AJ113" i="3"/>
  <c r="AK113" i="3" s="1"/>
  <c r="AL113" i="3" s="1"/>
  <c r="AH113" i="3"/>
  <c r="AH373" i="3"/>
  <c r="AI373" i="3"/>
  <c r="AJ373" i="3"/>
  <c r="AK373" i="3" s="1"/>
  <c r="AL373" i="3" s="1"/>
  <c r="AI318" i="3"/>
  <c r="AH318" i="3"/>
  <c r="AJ318" i="3"/>
  <c r="AK318" i="3" s="1"/>
  <c r="AL318" i="3" s="1"/>
  <c r="AI529" i="3"/>
  <c r="AH529" i="3"/>
  <c r="AJ529" i="3"/>
  <c r="AK529" i="3" s="1"/>
  <c r="AL529" i="3" s="1"/>
  <c r="AI566" i="3"/>
  <c r="AH566" i="3"/>
  <c r="AJ566" i="3"/>
  <c r="AK566" i="3" s="1"/>
  <c r="AL566" i="3" s="1"/>
  <c r="AI446" i="3"/>
  <c r="AH446" i="3"/>
  <c r="AJ446" i="3"/>
  <c r="AK446" i="3" s="1"/>
  <c r="AL446" i="3" s="1"/>
  <c r="AH506" i="3"/>
  <c r="AI506" i="3"/>
  <c r="AJ506" i="3"/>
  <c r="AK506" i="3" s="1"/>
  <c r="AL506" i="3" s="1"/>
  <c r="AH559" i="3"/>
  <c r="AI559" i="3"/>
  <c r="AJ559" i="3"/>
  <c r="AK559" i="3" s="1"/>
  <c r="AL559" i="3" s="1"/>
  <c r="AH412" i="3"/>
  <c r="AI412" i="3"/>
  <c r="AI327" i="3"/>
  <c r="AH327" i="3"/>
  <c r="AI243" i="3"/>
  <c r="AJ243" i="3"/>
  <c r="AK243" i="3" s="1"/>
  <c r="AL243" i="3" s="1"/>
  <c r="AH243" i="3"/>
  <c r="AI349" i="3"/>
  <c r="AH349" i="3"/>
  <c r="AI221" i="3"/>
  <c r="AH221" i="3"/>
  <c r="AI102" i="3"/>
  <c r="AH102" i="3"/>
  <c r="AH314" i="3"/>
  <c r="AI314" i="3"/>
  <c r="AJ314" i="3"/>
  <c r="AK314" i="3" s="1"/>
  <c r="AL314" i="3" s="1"/>
  <c r="AH418" i="3"/>
  <c r="AI418" i="3"/>
  <c r="AJ418" i="3"/>
  <c r="AK418" i="3" s="1"/>
  <c r="AL418" i="3" s="1"/>
  <c r="AH279" i="3"/>
  <c r="AI279" i="3"/>
  <c r="AJ279" i="3"/>
  <c r="AK279" i="3" s="1"/>
  <c r="AL279" i="3" s="1"/>
  <c r="AH216" i="3"/>
  <c r="AI216" i="3"/>
  <c r="AJ216" i="3"/>
  <c r="AK216" i="3" s="1"/>
  <c r="AL216" i="3" s="1"/>
  <c r="AI72" i="3"/>
  <c r="AJ72" i="3"/>
  <c r="AK72" i="3" s="1"/>
  <c r="AL72" i="3" s="1"/>
  <c r="AH72" i="3"/>
  <c r="AH499" i="3"/>
  <c r="AJ499" i="3"/>
  <c r="AK499" i="3" s="1"/>
  <c r="AL499" i="3" s="1"/>
  <c r="AI499" i="3"/>
  <c r="AH103" i="3"/>
  <c r="AI103" i="3"/>
  <c r="AH122" i="3"/>
  <c r="AI122" i="3"/>
  <c r="AI323" i="3"/>
  <c r="AH323" i="3"/>
  <c r="AH393" i="3"/>
  <c r="AI393" i="3"/>
  <c r="AI330" i="3"/>
  <c r="AH330" i="3"/>
  <c r="AI112" i="3"/>
  <c r="AJ112" i="3"/>
  <c r="AK112" i="3" s="1"/>
  <c r="AL112" i="3" s="1"/>
  <c r="AH112" i="3"/>
  <c r="AI505" i="3"/>
  <c r="AH505" i="3"/>
  <c r="AJ505" i="3"/>
  <c r="AK505" i="3" s="1"/>
  <c r="AL505" i="3" s="1"/>
  <c r="AI370" i="3"/>
  <c r="AH370" i="3"/>
  <c r="AJ370" i="3"/>
  <c r="AK370" i="3" s="1"/>
  <c r="AL370" i="3" s="1"/>
  <c r="AH131" i="3"/>
  <c r="AJ131" i="3"/>
  <c r="AK131" i="3" s="1"/>
  <c r="AL131" i="3" s="1"/>
  <c r="AI329" i="3"/>
  <c r="AH329" i="3"/>
  <c r="AH417" i="3"/>
  <c r="AI417" i="3"/>
  <c r="AI154" i="3"/>
  <c r="AH154" i="3"/>
  <c r="AI441" i="3"/>
  <c r="AH441" i="3"/>
  <c r="AI84" i="3"/>
  <c r="AH84" i="3"/>
  <c r="AJ380" i="3"/>
  <c r="AK380" i="3" s="1"/>
  <c r="AL380" i="3" s="1"/>
  <c r="AJ298" i="3"/>
  <c r="AK298" i="3" s="1"/>
  <c r="AL298" i="3" s="1"/>
  <c r="AH164" i="3"/>
  <c r="AI164" i="3"/>
  <c r="AJ164" i="3"/>
  <c r="AK164" i="3" s="1"/>
  <c r="AL164" i="3" s="1"/>
  <c r="AJ316" i="3"/>
  <c r="AK316" i="3" s="1"/>
  <c r="AL316" i="3" s="1"/>
  <c r="AI316" i="3"/>
  <c r="AH316" i="3"/>
  <c r="AI225" i="3"/>
  <c r="AH225" i="3"/>
  <c r="AJ225" i="3"/>
  <c r="AK225" i="3" s="1"/>
  <c r="AL225" i="3" s="1"/>
  <c r="AH143" i="3"/>
  <c r="AI143" i="3"/>
  <c r="AI577" i="3"/>
  <c r="AH577" i="3"/>
  <c r="AH48" i="3"/>
  <c r="AI48" i="3"/>
  <c r="AJ48" i="3"/>
  <c r="AK48" i="3" s="1"/>
  <c r="AL48" i="3" s="1"/>
  <c r="AI320" i="3"/>
  <c r="AH320" i="3"/>
  <c r="AJ320" i="3"/>
  <c r="AK320" i="3" s="1"/>
  <c r="AL320" i="3" s="1"/>
  <c r="AH50" i="3"/>
  <c r="AI50" i="3"/>
  <c r="AH249" i="3"/>
  <c r="AI249" i="3"/>
  <c r="AJ249" i="3"/>
  <c r="AK249" i="3" s="1"/>
  <c r="AL249" i="3" s="1"/>
  <c r="AI218" i="3"/>
  <c r="AJ218" i="3"/>
  <c r="AK218" i="3" s="1"/>
  <c r="AL218" i="3" s="1"/>
  <c r="AH218" i="3"/>
  <c r="AH78" i="3"/>
  <c r="AI78" i="3"/>
  <c r="AJ78" i="3"/>
  <c r="AK78" i="3" s="1"/>
  <c r="AL78" i="3" s="1"/>
  <c r="AI512" i="3"/>
  <c r="AH512" i="3"/>
  <c r="AI39" i="3"/>
  <c r="AJ39" i="3"/>
  <c r="AK39" i="3" s="1"/>
  <c r="AL39" i="3" s="1"/>
  <c r="AG39" i="3"/>
  <c r="AI321" i="3"/>
  <c r="AH321" i="3"/>
  <c r="AJ321" i="3"/>
  <c r="AK321" i="3" s="1"/>
  <c r="AL321" i="3" s="1"/>
  <c r="AI131" i="3"/>
  <c r="AI380" i="3"/>
  <c r="AJ50" i="3"/>
  <c r="AK50" i="3" s="1"/>
  <c r="AL50" i="3" s="1"/>
  <c r="AH395" i="3"/>
  <c r="AI395" i="3"/>
  <c r="AJ395" i="3"/>
  <c r="AK395" i="3" s="1"/>
  <c r="AL395" i="3" s="1"/>
  <c r="AH278" i="3"/>
  <c r="AI278" i="3"/>
  <c r="AJ278" i="3"/>
  <c r="AK278" i="3" s="1"/>
  <c r="AL278" i="3" s="1"/>
  <c r="AH145" i="3"/>
  <c r="AI145" i="3"/>
  <c r="AJ145" i="3"/>
  <c r="AK145" i="3" s="1"/>
  <c r="AL145" i="3" s="1"/>
  <c r="AJ329" i="3"/>
  <c r="AK329" i="3" s="1"/>
  <c r="AL329" i="3" s="1"/>
  <c r="AH224" i="3"/>
  <c r="AI224" i="3"/>
  <c r="AJ154" i="3"/>
  <c r="AK154" i="3" s="1"/>
  <c r="AL154" i="3" s="1"/>
  <c r="AJ441" i="3"/>
  <c r="AK441" i="3" s="1"/>
  <c r="AL441" i="3" s="1"/>
  <c r="AH434" i="3"/>
  <c r="AI434" i="3"/>
  <c r="AI533" i="3"/>
  <c r="AH533" i="3"/>
  <c r="AJ533" i="3"/>
  <c r="AK533" i="3" s="1"/>
  <c r="AL533" i="3" s="1"/>
  <c r="AI227" i="3"/>
  <c r="AH227" i="3"/>
  <c r="AJ227" i="3"/>
  <c r="AK227" i="3" s="1"/>
  <c r="AL227" i="3" s="1"/>
  <c r="AH174" i="3"/>
  <c r="AI174" i="3"/>
  <c r="AH503" i="3"/>
  <c r="AJ503" i="3"/>
  <c r="AK503" i="3" s="1"/>
  <c r="AL503" i="3" s="1"/>
  <c r="AI503" i="3"/>
  <c r="AI509" i="3"/>
  <c r="AH229" i="3"/>
  <c r="AI229" i="3"/>
  <c r="AJ229" i="3"/>
  <c r="AK229" i="3" s="1"/>
  <c r="AL229" i="3" s="1"/>
  <c r="AI511" i="3"/>
  <c r="AI423" i="3"/>
  <c r="AH423" i="3"/>
  <c r="AH93" i="3"/>
  <c r="AI93" i="3"/>
  <c r="AI429" i="3"/>
  <c r="AH507" i="3"/>
  <c r="AI507" i="3"/>
  <c r="AJ507" i="3"/>
  <c r="AK507" i="3" s="1"/>
  <c r="AL507" i="3" s="1"/>
  <c r="AH552" i="3"/>
  <c r="AI552" i="3"/>
  <c r="AJ552" i="3"/>
  <c r="AK552" i="3" s="1"/>
  <c r="AL552" i="3" s="1"/>
  <c r="AI484" i="3"/>
  <c r="AI536" i="3"/>
  <c r="AH536" i="3"/>
  <c r="AJ536" i="3"/>
  <c r="AK536" i="3" s="1"/>
  <c r="AL536" i="3" s="1"/>
  <c r="AI461" i="3"/>
  <c r="AH461" i="3"/>
  <c r="AJ461" i="3"/>
  <c r="AK461" i="3" s="1"/>
  <c r="AL461" i="3" s="1"/>
  <c r="AJ226" i="3"/>
  <c r="AK226" i="3" s="1"/>
  <c r="AL226" i="3" s="1"/>
  <c r="AH383" i="3"/>
  <c r="AI383" i="3"/>
  <c r="AJ383" i="3"/>
  <c r="AK383" i="3" s="1"/>
  <c r="AL383" i="3" s="1"/>
  <c r="AI325" i="3"/>
  <c r="AH165" i="3"/>
  <c r="AH572" i="3"/>
  <c r="AI572" i="3"/>
  <c r="AJ572" i="3"/>
  <c r="AK572" i="3" s="1"/>
  <c r="AL572" i="3" s="1"/>
  <c r="AH535" i="3"/>
  <c r="AJ535" i="3"/>
  <c r="AK535" i="3" s="1"/>
  <c r="AL535" i="3" s="1"/>
  <c r="AI535" i="3"/>
  <c r="AJ325" i="3"/>
  <c r="AK325" i="3" s="1"/>
  <c r="AL325" i="3" s="1"/>
  <c r="AJ165" i="3"/>
  <c r="AK165" i="3" s="1"/>
  <c r="AL165" i="3" s="1"/>
  <c r="AJ174" i="3"/>
  <c r="AK174" i="3" s="1"/>
  <c r="AL174" i="3" s="1"/>
  <c r="AH269" i="3"/>
  <c r="AJ269" i="3"/>
  <c r="AK269" i="3" s="1"/>
  <c r="AL269" i="3" s="1"/>
  <c r="AI269" i="3"/>
  <c r="AI276" i="3"/>
  <c r="AH276" i="3"/>
  <c r="AJ276" i="3"/>
  <c r="AK276" i="3" s="1"/>
  <c r="AL276" i="3" s="1"/>
  <c r="AI504" i="3"/>
  <c r="AH504" i="3"/>
  <c r="AJ504" i="3"/>
  <c r="AK504" i="3" s="1"/>
  <c r="AL504" i="3" s="1"/>
  <c r="AH281" i="3"/>
  <c r="AJ281" i="3"/>
  <c r="AK281" i="3" s="1"/>
  <c r="AL281" i="3" s="1"/>
  <c r="AH163" i="3"/>
  <c r="AJ163" i="3"/>
  <c r="AK163" i="3" s="1"/>
  <c r="AL163" i="3" s="1"/>
  <c r="AI565" i="3"/>
  <c r="AH565" i="3"/>
  <c r="AJ565" i="3"/>
  <c r="AK565" i="3" s="1"/>
  <c r="AL565" i="3" s="1"/>
  <c r="AI486" i="3"/>
  <c r="AH486" i="3"/>
  <c r="AI477" i="3"/>
  <c r="AJ452" i="3"/>
  <c r="AK452" i="3" s="1"/>
  <c r="AL452" i="3" s="1"/>
  <c r="AI452" i="3"/>
  <c r="AH547" i="3"/>
  <c r="AI547" i="3"/>
  <c r="AJ547" i="3"/>
  <c r="AK547" i="3" s="1"/>
  <c r="AL547" i="3" s="1"/>
  <c r="AI281" i="3"/>
  <c r="AI163" i="3"/>
  <c r="AJ332" i="3"/>
  <c r="AK332" i="3" s="1"/>
  <c r="AL332" i="3" s="1"/>
  <c r="AH332" i="3"/>
  <c r="AI332" i="3"/>
  <c r="AI578" i="3"/>
  <c r="AJ578" i="3"/>
  <c r="AK578" i="3" s="1"/>
  <c r="AL578" i="3" s="1"/>
  <c r="AH463" i="3"/>
  <c r="AJ440" i="3"/>
  <c r="AK440" i="3" s="1"/>
  <c r="AL440" i="3" s="1"/>
  <c r="AI440" i="3"/>
  <c r="AH440" i="3"/>
  <c r="AH452" i="3"/>
  <c r="AJ270" i="3"/>
  <c r="AK270" i="3" s="1"/>
  <c r="AL270" i="3" s="1"/>
  <c r="AH270" i="3"/>
  <c r="AI270" i="3"/>
  <c r="AH187" i="3"/>
  <c r="AI187" i="3"/>
  <c r="AJ187" i="3"/>
  <c r="AK187" i="3" s="1"/>
  <c r="AL187" i="3" s="1"/>
  <c r="AH265" i="3"/>
  <c r="AJ265" i="3"/>
  <c r="AK265" i="3" s="1"/>
  <c r="AL265" i="3" s="1"/>
  <c r="AI265" i="3"/>
  <c r="AJ480" i="3"/>
  <c r="AK480" i="3" s="1"/>
  <c r="AL480" i="3" s="1"/>
  <c r="AI139" i="3"/>
  <c r="AH139" i="3"/>
  <c r="AI532" i="3"/>
  <c r="AH532" i="3"/>
  <c r="AJ532" i="3"/>
  <c r="AK532" i="3" s="1"/>
  <c r="AL532" i="3" s="1"/>
  <c r="AH209" i="3"/>
  <c r="AI209" i="3"/>
  <c r="AJ209" i="3"/>
  <c r="AK209" i="3" s="1"/>
  <c r="AL209" i="3" s="1"/>
  <c r="AH262" i="3"/>
  <c r="AI262" i="3"/>
  <c r="AI463" i="3"/>
  <c r="AI480" i="3"/>
  <c r="AJ486" i="3"/>
  <c r="AK486" i="3" s="1"/>
  <c r="AL486" i="3" s="1"/>
  <c r="AH267" i="3"/>
  <c r="AI267" i="3"/>
  <c r="AJ139" i="3"/>
  <c r="AK139" i="3" s="1"/>
  <c r="AL139" i="3" s="1"/>
  <c r="AJ510" i="3"/>
  <c r="AK510" i="3" s="1"/>
  <c r="AL510" i="3" s="1"/>
  <c r="AH510" i="3"/>
  <c r="AI510" i="3"/>
  <c r="AJ91" i="3"/>
  <c r="AK91" i="3" s="1"/>
  <c r="AL91" i="3" s="1"/>
  <c r="AH91" i="3"/>
  <c r="AH537" i="3"/>
  <c r="AJ378" i="3" l="1"/>
  <c r="AK378" i="3" s="1"/>
  <c r="AL378" i="3" s="1"/>
  <c r="AH378" i="3"/>
  <c r="AJ6" i="3"/>
  <c r="AK6" i="3" s="1"/>
  <c r="AL6" i="3" s="1"/>
  <c r="AH203" i="3"/>
  <c r="AJ203" i="3"/>
  <c r="AK203" i="3" s="1"/>
  <c r="AL203" i="3" s="1"/>
  <c r="AI6" i="3"/>
  <c r="AJ89" i="3"/>
  <c r="AK89" i="3" s="1"/>
  <c r="AL89" i="3" s="1"/>
  <c r="AH89" i="3"/>
  <c r="AH58" i="3"/>
  <c r="AI58" i="3"/>
  <c r="AH5" i="3"/>
  <c r="AJ475" i="3"/>
  <c r="AK475" i="3" s="1"/>
  <c r="AL475" i="3" s="1"/>
  <c r="AH130" i="3"/>
  <c r="AI475" i="3"/>
  <c r="AI5" i="3"/>
  <c r="AJ24" i="3"/>
  <c r="AK24" i="3" s="1"/>
  <c r="AL24" i="3" s="1"/>
  <c r="AI497" i="3"/>
  <c r="AJ422" i="3"/>
  <c r="AK422" i="3" s="1"/>
  <c r="AL422" i="3" s="1"/>
  <c r="AI495" i="3"/>
  <c r="AH495" i="3"/>
  <c r="AJ150" i="3"/>
  <c r="AK150" i="3" s="1"/>
  <c r="AL150" i="3" s="1"/>
  <c r="AI24" i="3"/>
  <c r="AI260" i="3"/>
  <c r="AH260" i="3"/>
  <c r="AJ497" i="3"/>
  <c r="AK497" i="3" s="1"/>
  <c r="AL497" i="3" s="1"/>
  <c r="AH390" i="3"/>
  <c r="AI130" i="3"/>
  <c r="AH422" i="3"/>
  <c r="AJ390" i="3"/>
  <c r="AK390" i="3" s="1"/>
  <c r="AL390" i="3" s="1"/>
  <c r="AI150" i="3"/>
  <c r="AI19" i="3"/>
  <c r="AH569" i="3"/>
  <c r="AH525" i="3"/>
  <c r="AI525" i="3"/>
  <c r="AJ182" i="3"/>
  <c r="AK182" i="3" s="1"/>
  <c r="AL182" i="3" s="1"/>
  <c r="AJ31" i="3"/>
  <c r="AK31" i="3" s="1"/>
  <c r="AL31" i="3" s="1"/>
  <c r="AI197" i="3"/>
  <c r="AI346" i="3"/>
  <c r="AJ569" i="3"/>
  <c r="AK569" i="3" s="1"/>
  <c r="AL569" i="3" s="1"/>
  <c r="AJ197" i="3"/>
  <c r="AK197" i="3" s="1"/>
  <c r="AL197" i="3" s="1"/>
  <c r="AJ3" i="3"/>
  <c r="AK3" i="3" s="1"/>
  <c r="AL3" i="3" s="1"/>
  <c r="AH31" i="3"/>
  <c r="AI3" i="3"/>
  <c r="AH450" i="3"/>
  <c r="AJ450" i="3"/>
  <c r="AK450" i="3" s="1"/>
  <c r="AL450" i="3" s="1"/>
  <c r="AI416" i="3"/>
  <c r="AH473" i="3"/>
  <c r="AJ200" i="3"/>
  <c r="AK200" i="3" s="1"/>
  <c r="AL200" i="3" s="1"/>
  <c r="AJ473" i="3"/>
  <c r="AK473" i="3" s="1"/>
  <c r="AL473" i="3" s="1"/>
  <c r="AJ416" i="3"/>
  <c r="AK416" i="3" s="1"/>
  <c r="AL416" i="3" s="1"/>
  <c r="AI182" i="3"/>
  <c r="AI99" i="3"/>
  <c r="AJ358" i="3"/>
  <c r="AK358" i="3" s="1"/>
  <c r="AL358" i="3" s="1"/>
  <c r="AH99" i="3"/>
  <c r="AJ575" i="3"/>
  <c r="AK575" i="3" s="1"/>
  <c r="AL575" i="3" s="1"/>
  <c r="AH498" i="3"/>
  <c r="AI200" i="3"/>
  <c r="AH462" i="3"/>
  <c r="AI462" i="3"/>
  <c r="AI402" i="3"/>
  <c r="AJ202" i="3"/>
  <c r="AK202" i="3" s="1"/>
  <c r="AL202" i="3" s="1"/>
  <c r="AJ119" i="3"/>
  <c r="AK119" i="3" s="1"/>
  <c r="AL119" i="3" s="1"/>
  <c r="AH402" i="3"/>
  <c r="AJ13" i="3"/>
  <c r="AK13" i="3" s="1"/>
  <c r="AL13" i="3" s="1"/>
  <c r="AI149" i="3"/>
  <c r="AI13" i="3"/>
  <c r="AH149" i="3"/>
  <c r="AJ293" i="3"/>
  <c r="AK293" i="3" s="1"/>
  <c r="AL293" i="3" s="1"/>
  <c r="AI98" i="3"/>
  <c r="AH293" i="3"/>
  <c r="AH196" i="3"/>
  <c r="AJ299" i="3"/>
  <c r="AK299" i="3" s="1"/>
  <c r="AL299" i="3" s="1"/>
  <c r="AH309" i="3"/>
  <c r="AI575" i="3"/>
  <c r="AH181" i="3"/>
  <c r="AI129" i="3"/>
  <c r="AJ309" i="3"/>
  <c r="AK309" i="3" s="1"/>
  <c r="AL309" i="3" s="1"/>
  <c r="AI181" i="3"/>
  <c r="AH129" i="3"/>
  <c r="AH70" i="3"/>
  <c r="AI299" i="3"/>
  <c r="AH472" i="3"/>
  <c r="AJ17" i="3"/>
  <c r="AK17" i="3" s="1"/>
  <c r="AL17" i="3" s="1"/>
  <c r="AH81" i="3"/>
  <c r="AH191" i="3"/>
  <c r="AH195" i="3"/>
  <c r="AH493" i="3"/>
  <c r="AI472" i="3"/>
  <c r="AI17" i="3"/>
  <c r="AI15" i="3"/>
  <c r="AI191" i="3"/>
  <c r="AH204" i="3"/>
  <c r="AI311" i="3"/>
  <c r="AI551" i="3"/>
  <c r="AH138" i="3"/>
  <c r="AI493" i="3"/>
  <c r="AH119" i="3"/>
  <c r="AH439" i="3"/>
  <c r="AI70" i="3"/>
  <c r="AH519" i="3"/>
  <c r="AI253" i="3"/>
  <c r="AH358" i="3"/>
  <c r="AI307" i="3"/>
  <c r="AH307" i="3"/>
  <c r="AI399" i="3"/>
  <c r="AI204" i="3"/>
  <c r="AH253" i="3"/>
  <c r="AJ207" i="3"/>
  <c r="AK207" i="3" s="1"/>
  <c r="AL207" i="3" s="1"/>
  <c r="AI207" i="3"/>
  <c r="AI439" i="3"/>
  <c r="AH206" i="3"/>
  <c r="AH247" i="3"/>
  <c r="AH346" i="3"/>
  <c r="AH245" i="3"/>
  <c r="AI428" i="3"/>
  <c r="AI120" i="3"/>
  <c r="AH551" i="3"/>
  <c r="AJ82" i="3"/>
  <c r="AK82" i="3" s="1"/>
  <c r="AL82" i="3" s="1"/>
  <c r="AI245" i="3"/>
  <c r="AJ198" i="3"/>
  <c r="AK198" i="3" s="1"/>
  <c r="AL198" i="3" s="1"/>
  <c r="AI82" i="3"/>
  <c r="AI252" i="3"/>
  <c r="AH557" i="3"/>
  <c r="AH198" i="3"/>
  <c r="AH311" i="3"/>
  <c r="AI498" i="3"/>
  <c r="AI141" i="3"/>
  <c r="AJ98" i="3"/>
  <c r="AK98" i="3" s="1"/>
  <c r="AL98" i="3" s="1"/>
  <c r="AH208" i="3"/>
  <c r="AI557" i="3"/>
  <c r="AH18" i="3"/>
  <c r="AI30" i="3"/>
  <c r="AH141" i="3"/>
  <c r="AH428" i="3"/>
  <c r="AH169" i="3"/>
  <c r="AJ138" i="3"/>
  <c r="AK138" i="3" s="1"/>
  <c r="AL138" i="3" s="1"/>
  <c r="AI519" i="3"/>
  <c r="AI169" i="3"/>
  <c r="AI196" i="3"/>
  <c r="AI379" i="3"/>
  <c r="AI202" i="3"/>
  <c r="AJ527" i="3"/>
  <c r="AK527" i="3" s="1"/>
  <c r="AL527" i="3" s="1"/>
  <c r="AJ159" i="3"/>
  <c r="AK159" i="3" s="1"/>
  <c r="AL159" i="3" s="1"/>
  <c r="AI159" i="3"/>
  <c r="AJ88" i="3"/>
  <c r="AK88" i="3" s="1"/>
  <c r="AL88" i="3" s="1"/>
  <c r="AJ81" i="3"/>
  <c r="AK81" i="3" s="1"/>
  <c r="AL81" i="3" s="1"/>
  <c r="AJ250" i="3"/>
  <c r="AK250" i="3" s="1"/>
  <c r="AL250" i="3" s="1"/>
  <c r="AI304" i="3"/>
  <c r="AI206" i="3"/>
  <c r="AH88" i="3"/>
  <c r="AH12" i="3"/>
  <c r="AI250" i="3"/>
  <c r="AH120" i="3"/>
  <c r="AH252" i="3"/>
  <c r="AH399" i="3"/>
  <c r="AI208" i="3"/>
  <c r="AH379" i="3"/>
  <c r="AJ205" i="3"/>
  <c r="AK205" i="3" s="1"/>
  <c r="AL205" i="3" s="1"/>
  <c r="AH110" i="3"/>
  <c r="AJ247" i="3"/>
  <c r="AK247" i="3" s="1"/>
  <c r="AL247" i="3" s="1"/>
  <c r="AH304" i="3"/>
  <c r="AJ345" i="3"/>
  <c r="AK345" i="3" s="1"/>
  <c r="AL345" i="3" s="1"/>
  <c r="AI195" i="3"/>
  <c r="AJ7" i="3"/>
  <c r="AK7" i="3" s="1"/>
  <c r="AL7" i="3" s="1"/>
  <c r="AH558" i="3"/>
  <c r="AJ433" i="3"/>
  <c r="AK433" i="3" s="1"/>
  <c r="AL433" i="3" s="1"/>
  <c r="AJ470" i="3"/>
  <c r="AK470" i="3" s="1"/>
  <c r="AL470" i="3" s="1"/>
  <c r="AI527" i="3"/>
  <c r="AJ523" i="3"/>
  <c r="AK523" i="3" s="1"/>
  <c r="AL523" i="3" s="1"/>
  <c r="AJ255" i="3"/>
  <c r="AK255" i="3" s="1"/>
  <c r="AL255" i="3" s="1"/>
  <c r="AH470" i="3"/>
  <c r="AJ474" i="3"/>
  <c r="AK474" i="3" s="1"/>
  <c r="AL474" i="3" s="1"/>
  <c r="AH474" i="3"/>
  <c r="AH523" i="3"/>
  <c r="AI345" i="3"/>
  <c r="AI521" i="3"/>
  <c r="AJ15" i="3"/>
  <c r="AK15" i="3" s="1"/>
  <c r="AL15" i="3" s="1"/>
  <c r="AH7" i="3"/>
  <c r="AI255" i="3"/>
  <c r="AH109" i="3"/>
  <c r="AI558" i="3"/>
  <c r="AH297" i="3"/>
  <c r="AH521" i="3"/>
  <c r="AI109" i="3"/>
  <c r="AI433" i="3"/>
  <c r="AI295" i="3"/>
  <c r="AI312" i="3"/>
  <c r="AI210" i="3"/>
  <c r="AJ494" i="3"/>
  <c r="AK494" i="3" s="1"/>
  <c r="AL494" i="3" s="1"/>
  <c r="AH295" i="3"/>
  <c r="AI449" i="3"/>
  <c r="AI308" i="3"/>
  <c r="AH160" i="3"/>
  <c r="AI524" i="3"/>
  <c r="AI201" i="3"/>
  <c r="AI522" i="3"/>
  <c r="AJ18" i="3"/>
  <c r="AK18" i="3" s="1"/>
  <c r="AL18" i="3" s="1"/>
  <c r="AH205" i="3"/>
  <c r="AJ110" i="3"/>
  <c r="AK110" i="3" s="1"/>
  <c r="AL110" i="3" s="1"/>
  <c r="AJ524" i="3"/>
  <c r="AK524" i="3" s="1"/>
  <c r="AL524" i="3" s="1"/>
  <c r="AH522" i="3"/>
  <c r="AJ201" i="3"/>
  <c r="AK201" i="3" s="1"/>
  <c r="AL201" i="3" s="1"/>
  <c r="AJ344" i="3"/>
  <c r="AK344" i="3" s="1"/>
  <c r="AL344" i="3" s="1"/>
  <c r="AJ377" i="3"/>
  <c r="AK377" i="3" s="1"/>
  <c r="AL377" i="3" s="1"/>
  <c r="AI87" i="3"/>
  <c r="AH121" i="3"/>
  <c r="AH257" i="3"/>
  <c r="AH194" i="3"/>
  <c r="AH87" i="3"/>
  <c r="AI377" i="3"/>
  <c r="AI257" i="3"/>
  <c r="AJ121" i="3"/>
  <c r="AK121" i="3" s="1"/>
  <c r="AL121" i="3" s="1"/>
  <c r="AJ194" i="3"/>
  <c r="AK194" i="3" s="1"/>
  <c r="AL194" i="3" s="1"/>
  <c r="AI297" i="3"/>
  <c r="AI528" i="3"/>
  <c r="AH183" i="3"/>
  <c r="AJ528" i="3"/>
  <c r="AK528" i="3" s="1"/>
  <c r="AL528" i="3" s="1"/>
  <c r="AH258" i="3"/>
  <c r="AJ258" i="3"/>
  <c r="AK258" i="3" s="1"/>
  <c r="AL258" i="3" s="1"/>
  <c r="AI526" i="3"/>
  <c r="AI69" i="3"/>
  <c r="AH75" i="3"/>
  <c r="AI75" i="3"/>
  <c r="AI344" i="3"/>
  <c r="AI183" i="3"/>
  <c r="AH21" i="3"/>
  <c r="AH427" i="3"/>
  <c r="AH471" i="3"/>
  <c r="AI427" i="3"/>
  <c r="AJ300" i="3"/>
  <c r="AK300" i="3" s="1"/>
  <c r="AL300" i="3" s="1"/>
  <c r="AJ251" i="3"/>
  <c r="AK251" i="3" s="1"/>
  <c r="AL251" i="3" s="1"/>
  <c r="AH300" i="3"/>
  <c r="AH259" i="3"/>
  <c r="AJ294" i="3"/>
  <c r="AK294" i="3" s="1"/>
  <c r="AL294" i="3" s="1"/>
  <c r="AJ12" i="3"/>
  <c r="AK12" i="3" s="1"/>
  <c r="AL12" i="3" s="1"/>
  <c r="AI193" i="3"/>
  <c r="AJ246" i="3"/>
  <c r="AK246" i="3" s="1"/>
  <c r="AL246" i="3" s="1"/>
  <c r="AH107" i="3"/>
  <c r="AI246" i="3"/>
  <c r="AI471" i="3"/>
  <c r="AH476" i="3"/>
  <c r="AI259" i="3"/>
  <c r="AI251" i="3"/>
  <c r="AH294" i="3"/>
  <c r="AJ193" i="3"/>
  <c r="AK193" i="3" s="1"/>
  <c r="AL193" i="3" s="1"/>
  <c r="AH140" i="3"/>
  <c r="AI171" i="3"/>
  <c r="AJ30" i="3"/>
  <c r="AK30" i="3" s="1"/>
  <c r="AL30" i="3" s="1"/>
  <c r="AJ171" i="3"/>
  <c r="AK171" i="3" s="1"/>
  <c r="AL171" i="3" s="1"/>
  <c r="AH545" i="3"/>
  <c r="AI118" i="3"/>
  <c r="AI366" i="3"/>
  <c r="AJ545" i="3"/>
  <c r="AK545" i="3" s="1"/>
  <c r="AL545" i="3" s="1"/>
  <c r="AI242" i="3"/>
  <c r="AI301" i="3"/>
  <c r="AJ391" i="3"/>
  <c r="AK391" i="3" s="1"/>
  <c r="AL391" i="3" s="1"/>
  <c r="AI256" i="3"/>
  <c r="AH59" i="3"/>
  <c r="AJ411" i="3"/>
  <c r="AK411" i="3" s="1"/>
  <c r="AL411" i="3" s="1"/>
  <c r="AH118" i="3"/>
  <c r="AI576" i="3"/>
  <c r="AI391" i="3"/>
  <c r="AH248" i="3"/>
  <c r="AH242" i="3"/>
  <c r="AH301" i="3"/>
  <c r="AI244" i="3"/>
  <c r="AI248" i="3"/>
  <c r="AH256" i="3"/>
  <c r="AH10" i="3"/>
  <c r="AJ456" i="3"/>
  <c r="AK456" i="3" s="1"/>
  <c r="AL456" i="3" s="1"/>
  <c r="AJ502" i="3"/>
  <c r="AK502" i="3" s="1"/>
  <c r="AL502" i="3" s="1"/>
  <c r="AH108" i="3"/>
  <c r="AH388" i="3"/>
  <c r="AI310" i="3"/>
  <c r="AH305" i="3"/>
  <c r="AH369" i="3"/>
  <c r="AI10" i="3"/>
  <c r="AI59" i="3"/>
  <c r="AJ63" i="3"/>
  <c r="AK63" i="3" s="1"/>
  <c r="AL63" i="3" s="1"/>
  <c r="AH63" i="3"/>
  <c r="AI411" i="3"/>
  <c r="AH563" i="3"/>
  <c r="AJ563" i="3"/>
  <c r="AK563" i="3" s="1"/>
  <c r="AL563" i="3" s="1"/>
  <c r="AI388" i="3"/>
  <c r="AH456" i="3"/>
  <c r="AH310" i="3"/>
  <c r="AH69" i="3"/>
  <c r="AI444" i="3"/>
  <c r="AI502" i="3"/>
  <c r="AI161" i="3"/>
  <c r="AJ526" i="3"/>
  <c r="AK526" i="3" s="1"/>
  <c r="AL526" i="3" s="1"/>
  <c r="AJ305" i="3"/>
  <c r="AK305" i="3" s="1"/>
  <c r="AL305" i="3" s="1"/>
  <c r="AJ444" i="3"/>
  <c r="AK444" i="3" s="1"/>
  <c r="AL444" i="3" s="1"/>
  <c r="AI520" i="3"/>
  <c r="AH161" i="3"/>
  <c r="AI469" i="3"/>
  <c r="AH455" i="3"/>
  <c r="AH28" i="3"/>
  <c r="AI108" i="3"/>
  <c r="AH469" i="3"/>
  <c r="AH520" i="3"/>
  <c r="AH11" i="3"/>
  <c r="AJ64" i="3"/>
  <c r="AK64" i="3" s="1"/>
  <c r="AL64" i="3" s="1"/>
  <c r="AJ170" i="3"/>
  <c r="AK170" i="3" s="1"/>
  <c r="AL170" i="3" s="1"/>
  <c r="AI11" i="3"/>
  <c r="AH64" i="3"/>
  <c r="AI306" i="3"/>
  <c r="AJ546" i="3"/>
  <c r="AK546" i="3" s="1"/>
  <c r="AL546" i="3" s="1"/>
  <c r="AI546" i="3"/>
  <c r="AH170" i="3"/>
  <c r="AH312" i="3"/>
  <c r="AJ368" i="3"/>
  <c r="AK368" i="3" s="1"/>
  <c r="AL368" i="3" s="1"/>
  <c r="AI410" i="3"/>
  <c r="AH27" i="3"/>
  <c r="AI494" i="3"/>
  <c r="AJ16" i="3"/>
  <c r="AK16" i="3" s="1"/>
  <c r="AL16" i="3" s="1"/>
  <c r="AJ27" i="3"/>
  <c r="AK27" i="3" s="1"/>
  <c r="AL27" i="3" s="1"/>
  <c r="AH449" i="3"/>
  <c r="AH210" i="3"/>
  <c r="AH308" i="3"/>
  <c r="AI16" i="3"/>
  <c r="AI160" i="3"/>
  <c r="AI140" i="3"/>
  <c r="AJ254" i="3"/>
  <c r="AK254" i="3" s="1"/>
  <c r="AL254" i="3" s="1"/>
  <c r="AH576" i="3"/>
  <c r="AH356" i="3"/>
  <c r="AH261" i="3"/>
  <c r="AJ356" i="3"/>
  <c r="AK356" i="3" s="1"/>
  <c r="AL356" i="3" s="1"/>
  <c r="AH366" i="3"/>
  <c r="AJ261" i="3"/>
  <c r="AK261" i="3" s="1"/>
  <c r="AL261" i="3" s="1"/>
  <c r="AH244" i="3"/>
  <c r="AI369" i="3"/>
  <c r="AI21" i="3"/>
  <c r="AI455" i="3"/>
  <c r="AI476" i="3"/>
  <c r="AH368" i="3"/>
  <c r="AJ28" i="3"/>
  <c r="AK28" i="3" s="1"/>
  <c r="AL28" i="3" s="1"/>
  <c r="AH306" i="3"/>
  <c r="AI107" i="3"/>
  <c r="AJ410" i="3"/>
  <c r="AK410" i="3" s="1"/>
  <c r="AL410" i="3" s="1"/>
  <c r="AI254" i="3"/>
</calcChain>
</file>

<file path=xl/sharedStrings.xml><?xml version="1.0" encoding="utf-8"?>
<sst xmlns="http://schemas.openxmlformats.org/spreadsheetml/2006/main" count="5037" uniqueCount="1330">
  <si>
    <t>Edelsteine</t>
  </si>
  <si>
    <t>Pflanzen</t>
  </si>
  <si>
    <t>Brennstoffe</t>
  </si>
  <si>
    <t>Misc.</t>
  </si>
  <si>
    <t>Stoffe</t>
  </si>
  <si>
    <t>Amethist</t>
  </si>
  <si>
    <t>Alraune</t>
  </si>
  <si>
    <t>Antikakohle</t>
  </si>
  <si>
    <t>Blendpulver</t>
  </si>
  <si>
    <t>Segeltuch</t>
  </si>
  <si>
    <t>Citrin</t>
  </si>
  <si>
    <t>Arohnenstab</t>
  </si>
  <si>
    <t>Brandpulver</t>
  </si>
  <si>
    <t>Druidenöl</t>
  </si>
  <si>
    <t>Spinenseide</t>
  </si>
  <si>
    <t>Geode</t>
  </si>
  <si>
    <t>Bischofskraut</t>
  </si>
  <si>
    <t>Brennende Steine</t>
  </si>
  <si>
    <t>Steinöl</t>
  </si>
  <si>
    <t>Elfentuch</t>
  </si>
  <si>
    <t>Katzenauge</t>
  </si>
  <si>
    <t>Gemeiner Augentrost</t>
  </si>
  <si>
    <t>Drachenzunder</t>
  </si>
  <si>
    <t>Trollpulver</t>
  </si>
  <si>
    <t>Kleine Perle</t>
  </si>
  <si>
    <t>Ginko</t>
  </si>
  <si>
    <t>Feuerholz</t>
  </si>
  <si>
    <t>Magnetit</t>
  </si>
  <si>
    <t>Ginseng</t>
  </si>
  <si>
    <t>Holzkohle</t>
  </si>
  <si>
    <t>Malesit</t>
  </si>
  <si>
    <t>Kammille</t>
  </si>
  <si>
    <t>Steinkohle</t>
  </si>
  <si>
    <t>Mondstein</t>
  </si>
  <si>
    <t>kleiner Fuchserich</t>
  </si>
  <si>
    <t>Königskraut</t>
  </si>
  <si>
    <t>Obsidian</t>
  </si>
  <si>
    <t>Lindenblüte</t>
  </si>
  <si>
    <t>Opal</t>
  </si>
  <si>
    <t>Nachtschatten</t>
  </si>
  <si>
    <t>Perlmuttstück</t>
  </si>
  <si>
    <t>Silberdistel</t>
  </si>
  <si>
    <t>Rosenquartz</t>
  </si>
  <si>
    <t>Tollkirsche</t>
  </si>
  <si>
    <t>Rubin</t>
  </si>
  <si>
    <t>Wermut</t>
  </si>
  <si>
    <t>Schimmernde Perle</t>
  </si>
  <si>
    <t>Wolfsbann</t>
  </si>
  <si>
    <t>Schwarze Perle</t>
  </si>
  <si>
    <t>Lotuspollen</t>
  </si>
  <si>
    <t>Smaragd</t>
  </si>
  <si>
    <t>Tiegerauge</t>
  </si>
  <si>
    <t>Turquosit</t>
  </si>
  <si>
    <t>Leichte Rüstungen</t>
  </si>
  <si>
    <t>Schwere Rüstungen</t>
  </si>
  <si>
    <t>Kopfbedekungen</t>
  </si>
  <si>
    <t>Beschlagene -</t>
  </si>
  <si>
    <t>Schuppen -</t>
  </si>
  <si>
    <t>Barbuta (Helmart)</t>
  </si>
  <si>
    <t>Leder -</t>
  </si>
  <si>
    <t xml:space="preserve">Mitrilplatten - </t>
  </si>
  <si>
    <t>Kopftuch</t>
  </si>
  <si>
    <t xml:space="preserve">Nieten- </t>
  </si>
  <si>
    <t>Schienen -</t>
  </si>
  <si>
    <t>Seidenbandana</t>
  </si>
  <si>
    <t xml:space="preserve">Drachiden- </t>
  </si>
  <si>
    <t>Adamantring -</t>
  </si>
  <si>
    <t>Leinenhut</t>
  </si>
  <si>
    <t xml:space="preserve">Dunkle Äther- </t>
  </si>
  <si>
    <t>Sorandilring -</t>
  </si>
  <si>
    <t>Spitzhut</t>
  </si>
  <si>
    <t>Grünschuppen-</t>
  </si>
  <si>
    <t>Eisenkrone</t>
  </si>
  <si>
    <t>Model ID</t>
  </si>
  <si>
    <t>Name</t>
  </si>
  <si>
    <t>Skill</t>
  </si>
  <si>
    <t>Skill-Req</t>
  </si>
  <si>
    <t>Category</t>
  </si>
  <si>
    <t>Recipe Id</t>
  </si>
  <si>
    <t>Skill ID</t>
  </si>
  <si>
    <t>Qualitätsstufe</t>
  </si>
  <si>
    <t>Gegenstandsart</t>
  </si>
  <si>
    <t>Haltbarkeit</t>
  </si>
  <si>
    <t>Gewicht</t>
  </si>
  <si>
    <t>Stapelbar</t>
  </si>
  <si>
    <t>Shop-Level</t>
  </si>
  <si>
    <t>Einzelpreis</t>
  </si>
  <si>
    <t>Geschwindigkeit (Angriffe / KR)</t>
  </si>
  <si>
    <t>relativer Schaden</t>
  </si>
  <si>
    <t>Durchschn. relativer
Waffenschaden/
Schlag</t>
  </si>
  <si>
    <t>Streuung</t>
  </si>
  <si>
    <t>Min Schaden</t>
  </si>
  <si>
    <t>Max Schaden</t>
  </si>
  <si>
    <t>Min Schaden / KR</t>
  </si>
  <si>
    <t>Max Schaden / KR</t>
  </si>
  <si>
    <t>Absorb</t>
  </si>
  <si>
    <t>Absorb Gesamt</t>
  </si>
  <si>
    <t>Rüstschutz</t>
  </si>
  <si>
    <t>Behinderung</t>
  </si>
  <si>
    <t>Blockwert</t>
  </si>
  <si>
    <t>Ammo Category</t>
  </si>
  <si>
    <t>Schadens Bonus</t>
  </si>
  <si>
    <t>Treffsicherheits-
bonus</t>
  </si>
  <si>
    <t>Reichweiten- bonus</t>
  </si>
  <si>
    <t>Erze</t>
  </si>
  <si>
    <t>Kupfererz</t>
  </si>
  <si>
    <t>Erzverarbeitung</t>
  </si>
  <si>
    <t>Rohstoff</t>
  </si>
  <si>
    <t>Eisenerz</t>
  </si>
  <si>
    <t>Sorandilerz</t>
  </si>
  <si>
    <t>Adamanterz</t>
  </si>
  <si>
    <t>Mithrilerz</t>
  </si>
  <si>
    <t>Barren</t>
  </si>
  <si>
    <t>Kupferbarren</t>
  </si>
  <si>
    <t>Eisenbarren</t>
  </si>
  <si>
    <t>Sorandilbarren</t>
  </si>
  <si>
    <t>Adamantbarren</t>
  </si>
  <si>
    <t>Mithrilbarren</t>
  </si>
  <si>
    <t>Steine</t>
  </si>
  <si>
    <t>Kalkstein</t>
  </si>
  <si>
    <t>Steinverarbeitung</t>
  </si>
  <si>
    <t>Sandstein</t>
  </si>
  <si>
    <t>Schiefer</t>
  </si>
  <si>
    <t>Granit</t>
  </si>
  <si>
    <t>Marmor</t>
  </si>
  <si>
    <t>Ziegel</t>
  </si>
  <si>
    <t>Kalkziegel</t>
  </si>
  <si>
    <t>Sandziegel</t>
  </si>
  <si>
    <t>Schieferziegel</t>
  </si>
  <si>
    <t>Granitziegel</t>
  </si>
  <si>
    <t>Marmorziegel</t>
  </si>
  <si>
    <t>Holz</t>
  </si>
  <si>
    <t>Buchenholz</t>
  </si>
  <si>
    <t>Holzverarbeitung</t>
  </si>
  <si>
    <t>Birkenholz</t>
  </si>
  <si>
    <t>Eichenholz</t>
  </si>
  <si>
    <t>Eschenholz</t>
  </si>
  <si>
    <t>Eibenholz</t>
  </si>
  <si>
    <t>Bretter</t>
  </si>
  <si>
    <t>Buchenbretter</t>
  </si>
  <si>
    <t>Birkenbretter</t>
  </si>
  <si>
    <t>Eichenbretter</t>
  </si>
  <si>
    <t>Eschenbretter</t>
  </si>
  <si>
    <t>Eibenbretter</t>
  </si>
  <si>
    <t>Leinen</t>
  </si>
  <si>
    <t>Stoff- und Lederverarbeitung</t>
  </si>
  <si>
    <t>Wolle</t>
  </si>
  <si>
    <t>Baumwolle</t>
  </si>
  <si>
    <t>Seide</t>
  </si>
  <si>
    <t>Ätherfäden</t>
  </si>
  <si>
    <t>Tuche</t>
  </si>
  <si>
    <t>Leinentuch</t>
  </si>
  <si>
    <t>Wolltuch</t>
  </si>
  <si>
    <t>Baumwolltuch</t>
  </si>
  <si>
    <t>Seidentuch</t>
  </si>
  <si>
    <t>Äthertuch</t>
  </si>
  <si>
    <t>Pelze und Häute</t>
  </si>
  <si>
    <t>Weichpelze</t>
  </si>
  <si>
    <t>Pelze</t>
  </si>
  <si>
    <t>Hartpelz</t>
  </si>
  <si>
    <t>Riesenhaut</t>
  </si>
  <si>
    <t>Drachenhaut</t>
  </si>
  <si>
    <t>Lederballen</t>
  </si>
  <si>
    <t>Weichleder</t>
  </si>
  <si>
    <t>Leder</t>
  </si>
  <si>
    <t>Hartleder</t>
  </si>
  <si>
    <t>Riesenleder</t>
  </si>
  <si>
    <t>Drachenleder</t>
  </si>
  <si>
    <t>Staub</t>
  </si>
  <si>
    <t>Magiestaub</t>
  </si>
  <si>
    <t>Alchemie</t>
  </si>
  <si>
    <t>Todesstaub</t>
  </si>
  <si>
    <t>Schattenstaub</t>
  </si>
  <si>
    <t>Mondstaub</t>
  </si>
  <si>
    <t>Sternenstaub</t>
  </si>
  <si>
    <t>Handwerksmaterialien</t>
  </si>
  <si>
    <t>Schmiedeöl</t>
  </si>
  <si>
    <t>Waffen- &amp; Rüstungen</t>
  </si>
  <si>
    <t>Verarbeitung</t>
  </si>
  <si>
    <t>Schleifstein</t>
  </si>
  <si>
    <t>Waffen</t>
  </si>
  <si>
    <t>Griffband</t>
  </si>
  <si>
    <t>Bogensalbe</t>
  </si>
  <si>
    <t>Fernwaffen</t>
  </si>
  <si>
    <t>Elbenhaar</t>
  </si>
  <si>
    <t>Wattierung</t>
  </si>
  <si>
    <t>Metallrüstungen</t>
  </si>
  <si>
    <t>Nieten</t>
  </si>
  <si>
    <t>Harz</t>
  </si>
  <si>
    <t>Granitharz</t>
  </si>
  <si>
    <t>Zwirn</t>
  </si>
  <si>
    <t>Stoffverarbeitung</t>
  </si>
  <si>
    <t>Glaszwirn</t>
  </si>
  <si>
    <t>Erz- &amp; Steinverarbeitung</t>
  </si>
  <si>
    <t>Nähgarn</t>
  </si>
  <si>
    <t>Stoffrüstungen</t>
  </si>
  <si>
    <t>Schutzpolster</t>
  </si>
  <si>
    <t>Vulkandraht</t>
  </si>
  <si>
    <t>Lederfett</t>
  </si>
  <si>
    <t>Lederrüstungen</t>
  </si>
  <si>
    <t>Ledernieten</t>
  </si>
  <si>
    <t>Beschläge</t>
  </si>
  <si>
    <t>Magiesplitter</t>
  </si>
  <si>
    <t>Magisch</t>
  </si>
  <si>
    <t>Phasenkraut</t>
  </si>
  <si>
    <t>Erdenblut</t>
  </si>
  <si>
    <t>Federn</t>
  </si>
  <si>
    <t>Pfeile &amp; Bolzen</t>
  </si>
  <si>
    <t>Pfeilharz</t>
  </si>
  <si>
    <t>Drachinschneiden</t>
  </si>
  <si>
    <t>Salz</t>
  </si>
  <si>
    <t>Fellverarbeitung</t>
  </si>
  <si>
    <t>Kristallat</t>
  </si>
  <si>
    <t>Mörtel</t>
  </si>
  <si>
    <t>Konstruktion</t>
  </si>
  <si>
    <t>Edelmörtel</t>
  </si>
  <si>
    <t>Bauteile</t>
  </si>
  <si>
    <t>Kalk-Mauerstück</t>
  </si>
  <si>
    <t>Kalk-Bodenplatte</t>
  </si>
  <si>
    <t>Buchen-Dachkonstrukt</t>
  </si>
  <si>
    <t>Buchen-Stützbalken</t>
  </si>
  <si>
    <t>Sand-Mauerstück</t>
  </si>
  <si>
    <t>Sand-Bodenplatte</t>
  </si>
  <si>
    <t>Birken-Dachkonstrukt</t>
  </si>
  <si>
    <t>Birken-Stützbalken</t>
  </si>
  <si>
    <t>Schiefer-Mauerstück</t>
  </si>
  <si>
    <t>Schiefer-Bodenplatte</t>
  </si>
  <si>
    <t>Eichen-Dachkonstrukt</t>
  </si>
  <si>
    <t>Eichen-Stützbalken</t>
  </si>
  <si>
    <t>Granit-Mauerstück</t>
  </si>
  <si>
    <t>Granit-Bodenplatte</t>
  </si>
  <si>
    <t>Eschen-Dachkonstrukt</t>
  </si>
  <si>
    <t>Eschen-Stützbalken</t>
  </si>
  <si>
    <t>Marmor-Mauerstück</t>
  </si>
  <si>
    <t>Marmor-Bodenplatte</t>
  </si>
  <si>
    <t>Eiben-Dachkonstrukt</t>
  </si>
  <si>
    <t>Eiben-Stützbalken</t>
  </si>
  <si>
    <t>Kristall</t>
  </si>
  <si>
    <t>Quarz</t>
  </si>
  <si>
    <t>Achat</t>
  </si>
  <si>
    <t>Topas</t>
  </si>
  <si>
    <t>Saphir</t>
  </si>
  <si>
    <t>Lapis</t>
  </si>
  <si>
    <t>Diamant</t>
  </si>
  <si>
    <t>Pyrit</t>
  </si>
  <si>
    <t>Jaspis</t>
  </si>
  <si>
    <t>Perlmutt</t>
  </si>
  <si>
    <t>Jade</t>
  </si>
  <si>
    <t>Onyx</t>
  </si>
  <si>
    <t>Sprengstoff I</t>
  </si>
  <si>
    <t>Sprengstoff</t>
  </si>
  <si>
    <t>Sprengstoff II</t>
  </si>
  <si>
    <t>Sprengstoff III</t>
  </si>
  <si>
    <t>Sprengstoff IV</t>
  </si>
  <si>
    <t>Sprengstoff V</t>
  </si>
  <si>
    <t>Training</t>
  </si>
  <si>
    <t>Schwert (Training)</t>
  </si>
  <si>
    <t>1H Schwerter</t>
  </si>
  <si>
    <t>Dolch (Training)</t>
  </si>
  <si>
    <t>Dolche</t>
  </si>
  <si>
    <t>Axt (Training)</t>
  </si>
  <si>
    <t>1H Äxte</t>
  </si>
  <si>
    <t>Keule (Training)</t>
  </si>
  <si>
    <t>1H Keulen</t>
  </si>
  <si>
    <t>Speer (Training)</t>
  </si>
  <si>
    <t>Stangenwaffe</t>
  </si>
  <si>
    <t>Bogen (Training)</t>
  </si>
  <si>
    <t>Bogen</t>
  </si>
  <si>
    <t>Armbrust (Training)</t>
  </si>
  <si>
    <t>Armbrust</t>
  </si>
  <si>
    <t>Feuerstab (Training)</t>
  </si>
  <si>
    <t>Stäbe (Feuer)</t>
  </si>
  <si>
    <t>Wasserstab (Training)</t>
  </si>
  <si>
    <t>Stäbe (Wasser)</t>
  </si>
  <si>
    <t>Erdstab (Training)</t>
  </si>
  <si>
    <t>Stäbe (Erde)</t>
  </si>
  <si>
    <t>Luftstab (Training)</t>
  </si>
  <si>
    <t>Stäbe (Luft)</t>
  </si>
  <si>
    <t>Leichte Haube (Training)</t>
  </si>
  <si>
    <t>Leichte Weste (Training)</t>
  </si>
  <si>
    <t>Leichter Schild (Training)</t>
  </si>
  <si>
    <t>Schilde (leicht)</t>
  </si>
  <si>
    <t>Schwere Haube (Training)</t>
  </si>
  <si>
    <t>Schwere Weste (Training)</t>
  </si>
  <si>
    <t>Schwerer Schild (Training)</t>
  </si>
  <si>
    <t>Schilde (schwer)</t>
  </si>
  <si>
    <t>Pfeile (Training)</t>
  </si>
  <si>
    <t>Pfeile</t>
  </si>
  <si>
    <t>Bolzen (Training)</t>
  </si>
  <si>
    <t>Bolzen</t>
  </si>
  <si>
    <t>Essenzen (Training)</t>
  </si>
  <si>
    <t>Essenzen</t>
  </si>
  <si>
    <t>-</t>
  </si>
  <si>
    <t>Jagdpfeile</t>
  </si>
  <si>
    <t>Kriegspfeile</t>
  </si>
  <si>
    <t>Götterstich</t>
  </si>
  <si>
    <t>Panzerbrecher</t>
  </si>
  <si>
    <t xml:space="preserve">Bolzen </t>
  </si>
  <si>
    <t>Jagdbolzen</t>
  </si>
  <si>
    <t>Kriegsbolzen</t>
  </si>
  <si>
    <t>Dämonendorn</t>
  </si>
  <si>
    <t>Steinbrecher</t>
  </si>
  <si>
    <t>Magieessenzen</t>
  </si>
  <si>
    <t>Magieessenz</t>
  </si>
  <si>
    <t>Todesessenz</t>
  </si>
  <si>
    <t>Schattenessenz</t>
  </si>
  <si>
    <t>Mondessenz</t>
  </si>
  <si>
    <t>Sternenessenz</t>
  </si>
  <si>
    <t>Schwerter</t>
  </si>
  <si>
    <t>Kurzschwert</t>
  </si>
  <si>
    <t>Schwert</t>
  </si>
  <si>
    <t>Breitschwert</t>
  </si>
  <si>
    <t>Säbel</t>
  </si>
  <si>
    <t>Krummsäbel</t>
  </si>
  <si>
    <t>Langschwert</t>
  </si>
  <si>
    <t>Krummschwert</t>
  </si>
  <si>
    <t>Gladius</t>
  </si>
  <si>
    <t>Schimmerklinge</t>
  </si>
  <si>
    <t>Lilienklinge</t>
  </si>
  <si>
    <t>Kristall-Schwert</t>
  </si>
  <si>
    <t>Quarz-Schwert</t>
  </si>
  <si>
    <t>Smaragd-Schwert</t>
  </si>
  <si>
    <t>Rubin-Schwert</t>
  </si>
  <si>
    <t>Obsidian-Schwert</t>
  </si>
  <si>
    <t>2H Schwerter</t>
  </si>
  <si>
    <t>Bastardschwert</t>
  </si>
  <si>
    <t>Bidenhänder</t>
  </si>
  <si>
    <t>Schottenschwert</t>
  </si>
  <si>
    <t>Flamberge</t>
  </si>
  <si>
    <t>Prunkschwert</t>
  </si>
  <si>
    <t>Elbenbann</t>
  </si>
  <si>
    <t>Mondklinge</t>
  </si>
  <si>
    <t>Engelsklinge</t>
  </si>
  <si>
    <t>Quarz-Prunkschwert</t>
  </si>
  <si>
    <t>Smaragd-Prunkschwert</t>
  </si>
  <si>
    <t>Rubin-Prunkschwert</t>
  </si>
  <si>
    <t>Obsidian-Prunkschwert</t>
  </si>
  <si>
    <t>Messer</t>
  </si>
  <si>
    <t>Dolch</t>
  </si>
  <si>
    <t>Stilett</t>
  </si>
  <si>
    <t>Ochsenzunge</t>
  </si>
  <si>
    <t>Entermesser</t>
  </si>
  <si>
    <t>Stoßdolch</t>
  </si>
  <si>
    <t>Schlangendolch</t>
  </si>
  <si>
    <t>Assassinenklinge</t>
  </si>
  <si>
    <t>Spitzdolch</t>
  </si>
  <si>
    <t>Nebeldolch</t>
  </si>
  <si>
    <t>Kristall-Dolch</t>
  </si>
  <si>
    <t>Quarz-Dolch</t>
  </si>
  <si>
    <t>Smaragd-Dolch</t>
  </si>
  <si>
    <t>Rubin-Dolch</t>
  </si>
  <si>
    <t>Obsidian-Dolch</t>
  </si>
  <si>
    <t>Äxte</t>
  </si>
  <si>
    <t>Axt</t>
  </si>
  <si>
    <t>Streitaxt</t>
  </si>
  <si>
    <t>Holzfälleraxt</t>
  </si>
  <si>
    <t>Breitaxt</t>
  </si>
  <si>
    <t>Barbarenaxt</t>
  </si>
  <si>
    <t>Militärpicke</t>
  </si>
  <si>
    <t>Zwillingsaxt</t>
  </si>
  <si>
    <t>Kriegsbeil</t>
  </si>
  <si>
    <t>Tomahawk</t>
  </si>
  <si>
    <t>Franziska</t>
  </si>
  <si>
    <t>Kristall-Axt</t>
  </si>
  <si>
    <t>Quarz-Axt</t>
  </si>
  <si>
    <t>Smaragd-Axt</t>
  </si>
  <si>
    <t>Rubin-Axt</t>
  </si>
  <si>
    <t>Obsidian-Axt</t>
  </si>
  <si>
    <t>2H Äxte</t>
  </si>
  <si>
    <t xml:space="preserve"> </t>
  </si>
  <si>
    <t>Bidenaxt</t>
  </si>
  <si>
    <t>Felsenspalter</t>
  </si>
  <si>
    <t>Prunkaxt</t>
  </si>
  <si>
    <t>Heldenaxt</t>
  </si>
  <si>
    <t>Sonnensichel</t>
  </si>
  <si>
    <t>Kampfschnitter</t>
  </si>
  <si>
    <t>Berserkeraxt</t>
  </si>
  <si>
    <t>Tyrannenaxt</t>
  </si>
  <si>
    <t>Quarz-Prunkaxt</t>
  </si>
  <si>
    <t>Smaragd-Prunkaxt</t>
  </si>
  <si>
    <t>Rubin-Prunkaxt</t>
  </si>
  <si>
    <t>Obsidian-Prunkaxt</t>
  </si>
  <si>
    <t>Keulen</t>
  </si>
  <si>
    <t>Knüppel</t>
  </si>
  <si>
    <t>Hammer</t>
  </si>
  <si>
    <t>Streitkolben</t>
  </si>
  <si>
    <t>Flegel</t>
  </si>
  <si>
    <t>Morgenstern</t>
  </si>
  <si>
    <t>Kriegskolben</t>
  </si>
  <si>
    <t>Ogerherde</t>
  </si>
  <si>
    <t>Kriegsknüppel</t>
  </si>
  <si>
    <t>Kriegszepter</t>
  </si>
  <si>
    <t>Zackenstern</t>
  </si>
  <si>
    <t>Kristall-Hammer</t>
  </si>
  <si>
    <t>Quarz-Hammer</t>
  </si>
  <si>
    <t>Smaragd-Hammer</t>
  </si>
  <si>
    <t>Rubin-Hammer</t>
  </si>
  <si>
    <t>Obsidian-Hammer</t>
  </si>
  <si>
    <t>2H Keulen</t>
  </si>
  <si>
    <t>Vorschlaghammer</t>
  </si>
  <si>
    <t>Eisenkeule</t>
  </si>
  <si>
    <t>Stachelkeule</t>
  </si>
  <si>
    <t>Kriegshammer</t>
  </si>
  <si>
    <t>Knochenbrecher</t>
  </si>
  <si>
    <t>Kriegskeule</t>
  </si>
  <si>
    <t>Stabzepter</t>
  </si>
  <si>
    <t>Donnerhammer</t>
  </si>
  <si>
    <t>Quarz-Kriegshammer</t>
  </si>
  <si>
    <t>Smaragd-Kriegshammer</t>
  </si>
  <si>
    <t>Rubin-Kriegshammer</t>
  </si>
  <si>
    <t>Obsidian-Kriegshammer</t>
  </si>
  <si>
    <t>Stangenwaffen</t>
  </si>
  <si>
    <t>Speer</t>
  </si>
  <si>
    <t>Bauernsense</t>
  </si>
  <si>
    <t>Jagdspeer</t>
  </si>
  <si>
    <t>Sense</t>
  </si>
  <si>
    <t>Pike</t>
  </si>
  <si>
    <t>Lanze</t>
  </si>
  <si>
    <t>Dreizack</t>
  </si>
  <si>
    <t>Hellebarde</t>
  </si>
  <si>
    <t>Drescher</t>
  </si>
  <si>
    <t>Kriegspike</t>
  </si>
  <si>
    <t>Kristall-Pike</t>
  </si>
  <si>
    <t>Quarz-Pike</t>
  </si>
  <si>
    <t>Smaragd-Pike</t>
  </si>
  <si>
    <t>Rubin-Pike</t>
  </si>
  <si>
    <t>Obsidian-Pike</t>
  </si>
  <si>
    <t>Bögen</t>
  </si>
  <si>
    <t>Kurzbogen</t>
  </si>
  <si>
    <t>Jagdbogen</t>
  </si>
  <si>
    <t>Kompositbogen</t>
  </si>
  <si>
    <t>Langbogen</t>
  </si>
  <si>
    <t>Spinnenbogen</t>
  </si>
  <si>
    <t>Kriegsbogen</t>
  </si>
  <si>
    <t>Zedernbogen</t>
  </si>
  <si>
    <t>Runenbogen</t>
  </si>
  <si>
    <t>Klingenbogen</t>
  </si>
  <si>
    <t>Prunkbogen</t>
  </si>
  <si>
    <t>Achat-Bogen</t>
  </si>
  <si>
    <t>Topas-Bogen</t>
  </si>
  <si>
    <t>Saphir-Bogen</t>
  </si>
  <si>
    <t>Lapis-Bogen</t>
  </si>
  <si>
    <t>Diamant-Bogen</t>
  </si>
  <si>
    <t>Armbrüste</t>
  </si>
  <si>
    <t>Handarmbrust</t>
  </si>
  <si>
    <t>Arbaleste</t>
  </si>
  <si>
    <t>Ballista</t>
  </si>
  <si>
    <t>Repetierarmbrust</t>
  </si>
  <si>
    <t>Hornarmbrust</t>
  </si>
  <si>
    <t>Belagerungsarmbrust</t>
  </si>
  <si>
    <t>Kolossusarmbrust</t>
  </si>
  <si>
    <t>Kriegsarmbrust</t>
  </si>
  <si>
    <t>Dämonenarmbrust</t>
  </si>
  <si>
    <t>Achat-Armbrust</t>
  </si>
  <si>
    <t>Topas-Armbrust</t>
  </si>
  <si>
    <t>Saphir-Armbrust</t>
  </si>
  <si>
    <t>Lapis-Armbrust</t>
  </si>
  <si>
    <t>Diamant-Armbrust</t>
  </si>
  <si>
    <t>Leinen-Haube</t>
  </si>
  <si>
    <t>Leinen-Robe</t>
  </si>
  <si>
    <t>Leinen-Handschuhe</t>
  </si>
  <si>
    <t>Leinen-Hose</t>
  </si>
  <si>
    <t>Leinen-Schuhe</t>
  </si>
  <si>
    <t>Leinen-Spitzhut</t>
  </si>
  <si>
    <t>Leinen-Tunika</t>
  </si>
  <si>
    <t>Leinen-Stulpen</t>
  </si>
  <si>
    <t>Leinen-Beinlinge</t>
  </si>
  <si>
    <t>Leinen-Stiefel</t>
  </si>
  <si>
    <t>Woll-Haube</t>
  </si>
  <si>
    <t>Woll-Robe</t>
  </si>
  <si>
    <t>Woll-Handschuhe</t>
  </si>
  <si>
    <t>Woll-Hose</t>
  </si>
  <si>
    <t>Woll-Schuhe</t>
  </si>
  <si>
    <t>Woll-Spitzhut</t>
  </si>
  <si>
    <t>Woll-Tunika</t>
  </si>
  <si>
    <t>Woll-Stulpen</t>
  </si>
  <si>
    <t>Woll-Beinlinge</t>
  </si>
  <si>
    <t>Woll-Stiefel</t>
  </si>
  <si>
    <t>Baumwoll-Haube</t>
  </si>
  <si>
    <t>Baumwoll-Robe</t>
  </si>
  <si>
    <t>Baumwoll-Handschuhe</t>
  </si>
  <si>
    <t>Baumwoll-Hose</t>
  </si>
  <si>
    <t>Baumwoll-Schuhe</t>
  </si>
  <si>
    <t>Baumwoll-Spitzhut</t>
  </si>
  <si>
    <t>Baumwoll-Tunika</t>
  </si>
  <si>
    <t>Baumwoll-Stulpen</t>
  </si>
  <si>
    <t>Baumwoll-Beinlinge</t>
  </si>
  <si>
    <t>Baumwoll-Stiefel</t>
  </si>
  <si>
    <t>Seiden-Haube</t>
  </si>
  <si>
    <t>Seiden-Robe</t>
  </si>
  <si>
    <t>Seiden-Handschuhe</t>
  </si>
  <si>
    <t>Seiden-Hose</t>
  </si>
  <si>
    <t>Seiden-Schuhe</t>
  </si>
  <si>
    <t>Seiden-Spitzhut</t>
  </si>
  <si>
    <t>Seiden-Tunika</t>
  </si>
  <si>
    <t>Seiden-Stulpen</t>
  </si>
  <si>
    <t>Seiden-Beinlinge</t>
  </si>
  <si>
    <t>Seiden-Stiefel</t>
  </si>
  <si>
    <t>Äther-Haube</t>
  </si>
  <si>
    <t>Äther-Robe</t>
  </si>
  <si>
    <t>Äther-Handschuhe</t>
  </si>
  <si>
    <t>Äther-Hose</t>
  </si>
  <si>
    <t>Äther-Schuhe</t>
  </si>
  <si>
    <t>Äther-Spitzhut</t>
  </si>
  <si>
    <t>Äther-Tunika</t>
  </si>
  <si>
    <t>Äther-Stulpen</t>
  </si>
  <si>
    <t>Äther-Beinlinge</t>
  </si>
  <si>
    <t>Äther-Stiefel</t>
  </si>
  <si>
    <t>Pyrit-Haube</t>
  </si>
  <si>
    <t>Pyrit-Robe</t>
  </si>
  <si>
    <t>Pyrit-Handschuhe</t>
  </si>
  <si>
    <t>Pyrit-Hose</t>
  </si>
  <si>
    <t>Pyrit-Schuhe</t>
  </si>
  <si>
    <t>Jaspis-Haube</t>
  </si>
  <si>
    <t>Jaspis-Robe</t>
  </si>
  <si>
    <t>Jaspis-Handschuhe</t>
  </si>
  <si>
    <t>Jaspis-Hose</t>
  </si>
  <si>
    <t>Jaspis-Schuhe</t>
  </si>
  <si>
    <t>Perlmutt-Haube</t>
  </si>
  <si>
    <t>Perlmutt-Robe</t>
  </si>
  <si>
    <t>Perlmutt-Handschuhe</t>
  </si>
  <si>
    <t>Perlmutt-Hose</t>
  </si>
  <si>
    <t>Perlmutt-Schuhe</t>
  </si>
  <si>
    <t>Jade-Haube</t>
  </si>
  <si>
    <t>Jade-Robe</t>
  </si>
  <si>
    <t>Jade-Handschuhe</t>
  </si>
  <si>
    <t>Jade-Hose</t>
  </si>
  <si>
    <t>Jade-Schuhe</t>
  </si>
  <si>
    <t>Onyx-Haube</t>
  </si>
  <si>
    <t>Onyx-Robe</t>
  </si>
  <si>
    <t>Onyx-Handschuhe</t>
  </si>
  <si>
    <t>Onyx-Hose</t>
  </si>
  <si>
    <t>Onyx-Schuhe</t>
  </si>
  <si>
    <t>Leder-Rüstungen</t>
  </si>
  <si>
    <t>Weichleder-Haube</t>
  </si>
  <si>
    <t>Weichleder-Wappenrock</t>
  </si>
  <si>
    <t>Weichleder-Handschuhe</t>
  </si>
  <si>
    <t>Weichleder-Hose</t>
  </si>
  <si>
    <t>Weichleder-Schuhe</t>
  </si>
  <si>
    <t>Weichleder-Helm</t>
  </si>
  <si>
    <t>Weichleder-Harnisch</t>
  </si>
  <si>
    <t>Weichleder-Stulpen</t>
  </si>
  <si>
    <t>Weichleder-Beinlinge</t>
  </si>
  <si>
    <t>Weichleder-Stiefel</t>
  </si>
  <si>
    <t>Leder-Haube</t>
  </si>
  <si>
    <t>Leder-Wappenrock</t>
  </si>
  <si>
    <t>Leder-Handschuhe</t>
  </si>
  <si>
    <t>Leder-Hose</t>
  </si>
  <si>
    <t>Leder-Schuhe</t>
  </si>
  <si>
    <t>Leder-Helm</t>
  </si>
  <si>
    <t>Leder-Harnisch</t>
  </si>
  <si>
    <t>Leder-Stulpen</t>
  </si>
  <si>
    <t>Leder-Beinlinge</t>
  </si>
  <si>
    <t>Leder-Stiefel</t>
  </si>
  <si>
    <t>Hartleder-Haube</t>
  </si>
  <si>
    <t>Hartleder-Wappenrock</t>
  </si>
  <si>
    <t>Hartleder-Handschuhe</t>
  </si>
  <si>
    <t>Hartleder-Hose</t>
  </si>
  <si>
    <t>Hartleder-Schuhe</t>
  </si>
  <si>
    <t>Hartleder-Helm</t>
  </si>
  <si>
    <t>Hartleder-Harnisch</t>
  </si>
  <si>
    <t>Hartleder-Stulpen</t>
  </si>
  <si>
    <t>Hartleder-Beinlinge</t>
  </si>
  <si>
    <t>Hartleder-Stiefel</t>
  </si>
  <si>
    <t>Riesenleder-Haube</t>
  </si>
  <si>
    <t>Riesenleder-Wappenrock</t>
  </si>
  <si>
    <t>Riesenleder-Handschuhe</t>
  </si>
  <si>
    <t>Riesenleder-Hose</t>
  </si>
  <si>
    <t>Riesenleder-Schuhe</t>
  </si>
  <si>
    <t>Riesenleder-Helm</t>
  </si>
  <si>
    <t>Riesenleder-Harnisch</t>
  </si>
  <si>
    <t>Riesenleder-Stulpen</t>
  </si>
  <si>
    <t>Riesenleder-Beinlinge</t>
  </si>
  <si>
    <t>Riesenleder-Stiefel</t>
  </si>
  <si>
    <t>Drachenleder-Haube</t>
  </si>
  <si>
    <t>Drachenleder-Wappenrock</t>
  </si>
  <si>
    <t>Drachenleder-Handschuhe</t>
  </si>
  <si>
    <t>Drachenleder-Hose</t>
  </si>
  <si>
    <t>Drachenleder-Schuhe</t>
  </si>
  <si>
    <t>Drachenleder-Helm</t>
  </si>
  <si>
    <t>Drachenleder-Harnisch</t>
  </si>
  <si>
    <t>Drachenleder-Stulpen</t>
  </si>
  <si>
    <t>Drachenleder-Beinlinge</t>
  </si>
  <si>
    <t>Drachenleder-Stiefel</t>
  </si>
  <si>
    <t>Achat-Lederhelm</t>
  </si>
  <si>
    <t>Achat-Lederharnisch</t>
  </si>
  <si>
    <t>Achat-Lederstulpen</t>
  </si>
  <si>
    <t>Achat-Lederbeinlinge</t>
  </si>
  <si>
    <t>Achat-Lederstiefel</t>
  </si>
  <si>
    <t>Topas-Lederhelm</t>
  </si>
  <si>
    <t>Topas-Lederharnisch</t>
  </si>
  <si>
    <t>Topas-Lederstulpen</t>
  </si>
  <si>
    <t>Topas-Lederbeinlinge</t>
  </si>
  <si>
    <t>Topas-Lederstiefel</t>
  </si>
  <si>
    <t>Saphir-Lederhelm</t>
  </si>
  <si>
    <t>Saphir-Lederharnisch</t>
  </si>
  <si>
    <t>Saphir-Lederstulpen</t>
  </si>
  <si>
    <t>Saphir-Lederbeinlinge</t>
  </si>
  <si>
    <t>Saphir-Lederstiefel</t>
  </si>
  <si>
    <t>Lapis-Lederhelm</t>
  </si>
  <si>
    <t>Lapis-Lederharnisch</t>
  </si>
  <si>
    <t>Lapis-Lederstulpen</t>
  </si>
  <si>
    <t>Lapis-Lederbeinlinge</t>
  </si>
  <si>
    <t>Lapis-Lederstiefel</t>
  </si>
  <si>
    <t>Diamant-Lederhelm</t>
  </si>
  <si>
    <t>Diamant-Lederharnisch</t>
  </si>
  <si>
    <t>Diamant-Lederstulpen</t>
  </si>
  <si>
    <t>Diamant-Lederbeinlinge</t>
  </si>
  <si>
    <t>Diamant-Lederstiefel</t>
  </si>
  <si>
    <t>Kupfer-Kettenhaube</t>
  </si>
  <si>
    <t>Kupfer-Kettenhemd</t>
  </si>
  <si>
    <t>Kupfer-Kettenhandschuhe</t>
  </si>
  <si>
    <t>Kupfer-Kettenbeinlinge</t>
  </si>
  <si>
    <t>Kupfer-Kettenstiefel</t>
  </si>
  <si>
    <t>Kupfer-Plattenhelm</t>
  </si>
  <si>
    <t>Kupfer-Plattenpanzer</t>
  </si>
  <si>
    <t>Kupfer-Plattenhandschuhe</t>
  </si>
  <si>
    <t>Kupfer-Plattenbeinlinge</t>
  </si>
  <si>
    <t>Kupfer-Plattenstiefel</t>
  </si>
  <si>
    <t>Eisen-Kettenhaube</t>
  </si>
  <si>
    <t>Eisen-Kettenhemd</t>
  </si>
  <si>
    <t>Eisen-Kettenhandschuhe</t>
  </si>
  <si>
    <t>Eisen-Kettenbeinlinge</t>
  </si>
  <si>
    <t>Eisen-Kettenstiefel</t>
  </si>
  <si>
    <t>Eisen-Plattenhelm</t>
  </si>
  <si>
    <t>Eisen-Plattenpanzer</t>
  </si>
  <si>
    <t>Eisen-Plattenhandschuhe</t>
  </si>
  <si>
    <t>Eisen-Plattenbeinlinge</t>
  </si>
  <si>
    <t>Eisen-Plattenstiefel</t>
  </si>
  <si>
    <t>Sorandil-Kettenhaube</t>
  </si>
  <si>
    <t>Sorandil-Kettenhemd</t>
  </si>
  <si>
    <t>Sorandil-Kettenhandschuhe</t>
  </si>
  <si>
    <t>Sorandil-Kettenbeinlinge</t>
  </si>
  <si>
    <t>Sorandil-Kettenstiefel</t>
  </si>
  <si>
    <t>Sorandil-Plattenhelm</t>
  </si>
  <si>
    <t>Sorandil-Plattenpanzer</t>
  </si>
  <si>
    <t>Sorandil-Plattenhandschuhe</t>
  </si>
  <si>
    <t>Sorandil-Plattenbeinlinge</t>
  </si>
  <si>
    <t>Sorandil-Plattenstiefel</t>
  </si>
  <si>
    <t>Adamant-Kettenhaube</t>
  </si>
  <si>
    <t>Adamant-Kettenhemd</t>
  </si>
  <si>
    <t>Adamant-Kettenhandschuhe</t>
  </si>
  <si>
    <t>Adamant-Kettenbeinlinge</t>
  </si>
  <si>
    <t>Adamant-Kettenstiefel</t>
  </si>
  <si>
    <t>Adamant-Plattenhelm</t>
  </si>
  <si>
    <t>Adamant-Plattenpanzer</t>
  </si>
  <si>
    <t>Adamant-Plattenhandschuhe</t>
  </si>
  <si>
    <t>Adamant-Plattenbeinlinge</t>
  </si>
  <si>
    <t>Adamant-Plattenstiefel</t>
  </si>
  <si>
    <t>Mithril-Kettenhaube</t>
  </si>
  <si>
    <t>Mithril-Kettenhemd</t>
  </si>
  <si>
    <t>Mithril-Kettenhandschuhe</t>
  </si>
  <si>
    <t>Mithril-Kettenbeinlinge</t>
  </si>
  <si>
    <t>Mithril-Kettenstiefel</t>
  </si>
  <si>
    <t>Mithril-Plattenhelm</t>
  </si>
  <si>
    <t>Mithril-Plattenpanzer</t>
  </si>
  <si>
    <t>Mithril-Plattenhandschuhe</t>
  </si>
  <si>
    <t>Mithril-Plattenbeinlinge</t>
  </si>
  <si>
    <t>Mithril-Plattenstiefel</t>
  </si>
  <si>
    <t>Kristall-Plattenhelm</t>
  </si>
  <si>
    <t>Kristall-Plattenpanzer</t>
  </si>
  <si>
    <t>Kristall-Plattenhandschuhe</t>
  </si>
  <si>
    <t>Kristall-Plattenbeinlinge</t>
  </si>
  <si>
    <t>Kristall-Plattenstiefel</t>
  </si>
  <si>
    <t>Quarz-Plattenhelm</t>
  </si>
  <si>
    <t>Quarz-Plattenpanzer</t>
  </si>
  <si>
    <t>Quarz-Plattenhandschuhe</t>
  </si>
  <si>
    <t>Quarz-Plattenbeinlinge</t>
  </si>
  <si>
    <t>Quarz-Plattenstiefel</t>
  </si>
  <si>
    <t>Smaragd-Plattenhelm</t>
  </si>
  <si>
    <t>Smaragd-Plattenpanzer</t>
  </si>
  <si>
    <t>Smaragd-Plattenhandschuhe</t>
  </si>
  <si>
    <t>Smaragd-Plattenbeinlinge</t>
  </si>
  <si>
    <t>Smaragd-Plattenstiefel</t>
  </si>
  <si>
    <t>Rubin-Plattenhelm</t>
  </si>
  <si>
    <t>Rubin-Plattenpanzer</t>
  </si>
  <si>
    <t>Rubin-Plattenhandschuhe</t>
  </si>
  <si>
    <t>Rubin-Plattenbeinlinge</t>
  </si>
  <si>
    <t>Rubin-Plattenstiefel</t>
  </si>
  <si>
    <t>Obsidian-Plattenhelm</t>
  </si>
  <si>
    <t>Obsidian-Plattenpanzer</t>
  </si>
  <si>
    <t>Obsidian-Plattenhandschuhe</t>
  </si>
  <si>
    <t>Obsidian-Plattenbeinlinge</t>
  </si>
  <si>
    <t>Obsidian-Plattenstiefel</t>
  </si>
  <si>
    <t>Leichte Schilde</t>
  </si>
  <si>
    <t>Lederschild</t>
  </si>
  <si>
    <t>Rundschild</t>
  </si>
  <si>
    <t>Tartsche</t>
  </si>
  <si>
    <t>Zirkelschild</t>
  </si>
  <si>
    <t>Stachelschild</t>
  </si>
  <si>
    <t>Beschützer</t>
  </si>
  <si>
    <t>Dornenschild</t>
  </si>
  <si>
    <t>Nietenschild</t>
  </si>
  <si>
    <t>Verteidiger</t>
  </si>
  <si>
    <t>Nebelschild</t>
  </si>
  <si>
    <t>Achat-Rundschild</t>
  </si>
  <si>
    <t>Topas-Rundschild</t>
  </si>
  <si>
    <t>Saphir-Rundschild</t>
  </si>
  <si>
    <t>Lapis-Rundschild</t>
  </si>
  <si>
    <t>Diamant-Rundschild</t>
  </si>
  <si>
    <t>Schwere Schilde</t>
  </si>
  <si>
    <t>Eckschild</t>
  </si>
  <si>
    <t>Kampfschild</t>
  </si>
  <si>
    <t>Drachenschild</t>
  </si>
  <si>
    <t>Gothika</t>
  </si>
  <si>
    <t>Pavese</t>
  </si>
  <si>
    <t>Prunkschild</t>
  </si>
  <si>
    <t>Wappenschild</t>
  </si>
  <si>
    <t>Turmschild</t>
  </si>
  <si>
    <t>Wall</t>
  </si>
  <si>
    <t>Monarchenschild</t>
  </si>
  <si>
    <t>Kristall-Prunkschild</t>
  </si>
  <si>
    <t>Quarz-Prunkschild</t>
  </si>
  <si>
    <t>Smaragd-Prunkschild</t>
  </si>
  <si>
    <t>Rubin-Prunkschild</t>
  </si>
  <si>
    <t>Obsidian-Prunkschild</t>
  </si>
  <si>
    <t>Feuer-Stecken</t>
  </si>
  <si>
    <t>Feuermagie</t>
  </si>
  <si>
    <t>Feuer-Krummstab</t>
  </si>
  <si>
    <t>Feuer-Langholz</t>
  </si>
  <si>
    <t>Feuer-Runenstab</t>
  </si>
  <si>
    <t>Feuer-Lichtstab</t>
  </si>
  <si>
    <t>Feuer-Rute</t>
  </si>
  <si>
    <t>Feuer-Spiralstab</t>
  </si>
  <si>
    <t>Feuer-Eschenstab</t>
  </si>
  <si>
    <t>Feuer-Eibenlanze</t>
  </si>
  <si>
    <t>Feuer-Wächterstab</t>
  </si>
  <si>
    <t>Pyrit-Feuerstab</t>
  </si>
  <si>
    <t>Jaspis-Feuerstab</t>
  </si>
  <si>
    <t>Perlmutt-Feuerstab</t>
  </si>
  <si>
    <t>Jade-Feuerstab</t>
  </si>
  <si>
    <t>Onyx-Feuerstab</t>
  </si>
  <si>
    <t>Wasser-Stecken</t>
  </si>
  <si>
    <t>Wassermagie</t>
  </si>
  <si>
    <t>Wasser-Krummstab</t>
  </si>
  <si>
    <t>Wasser-Langholz</t>
  </si>
  <si>
    <t>Wasser-Runenstab</t>
  </si>
  <si>
    <t>Wasser-Lichtstab</t>
  </si>
  <si>
    <t>Wasser-Rute</t>
  </si>
  <si>
    <t>Wasser-Spiralstab</t>
  </si>
  <si>
    <t>Wasser-Eschenstab</t>
  </si>
  <si>
    <t>Wasser-Eibenlanze</t>
  </si>
  <si>
    <t>Wasser-Wächterstab</t>
  </si>
  <si>
    <t>Pyrit-Wasserstab</t>
  </si>
  <si>
    <t>Jaspis-Wasserstab</t>
  </si>
  <si>
    <t>Perlmutt-Wasserstab</t>
  </si>
  <si>
    <t>Jade-Wasserstab</t>
  </si>
  <si>
    <t>Onyx-Wasserstab</t>
  </si>
  <si>
    <t>Erde-Stecken</t>
  </si>
  <si>
    <t>Erdmagie</t>
  </si>
  <si>
    <t>Erde-Krummstab</t>
  </si>
  <si>
    <t>Erde-Langholz</t>
  </si>
  <si>
    <t>Erde-Runenstab</t>
  </si>
  <si>
    <t>Erde-Lichtstab</t>
  </si>
  <si>
    <t>Erde-Rute</t>
  </si>
  <si>
    <t>Erde-Spiralstab</t>
  </si>
  <si>
    <t>Erde-Eschenstab</t>
  </si>
  <si>
    <t>Erde-Eibenlanze</t>
  </si>
  <si>
    <t>Erde-Wächterstab</t>
  </si>
  <si>
    <t>Pyrit-Erdenstab</t>
  </si>
  <si>
    <t>Jaspis-Erdenstab</t>
  </si>
  <si>
    <t>Perlmutt-Erdenstab</t>
  </si>
  <si>
    <t>Jade-Erdenstab</t>
  </si>
  <si>
    <t>Onyx-Erdenstab</t>
  </si>
  <si>
    <t>Luft-Stecken</t>
  </si>
  <si>
    <t>Luftmagie</t>
  </si>
  <si>
    <t>Luft-Krummstab</t>
  </si>
  <si>
    <t>Luft-Langholz</t>
  </si>
  <si>
    <t>Luft-Runenstab</t>
  </si>
  <si>
    <t>Luft-Lichtstab</t>
  </si>
  <si>
    <t>Luft-Rute</t>
  </si>
  <si>
    <t>Luft-Spiralstab</t>
  </si>
  <si>
    <t>Luft-Eschenstab</t>
  </si>
  <si>
    <t>Luft-Eibenlanze</t>
  </si>
  <si>
    <t>Luft-Wächterstab</t>
  </si>
  <si>
    <t>Pyrit-Luftstab</t>
  </si>
  <si>
    <t>Jaspis-Luftstab</t>
  </si>
  <si>
    <t>Perlmutt-Luftstab</t>
  </si>
  <si>
    <t>Jade-Luftstab</t>
  </si>
  <si>
    <t>Onyx-Luftstab</t>
  </si>
  <si>
    <t>Kristall-Schwert (Plan)</t>
  </si>
  <si>
    <t>Bauplan</t>
  </si>
  <si>
    <t>Quarz-Schwert (Plan)</t>
  </si>
  <si>
    <t>Smaragd-Schwert (Plan)</t>
  </si>
  <si>
    <t>Rubin-Schwert (Plan)</t>
  </si>
  <si>
    <t>Obsidian-Schwert (Plan)</t>
  </si>
  <si>
    <t>Quarz-Prunkschwert (Plan)</t>
  </si>
  <si>
    <t>Smaragd-Prunkschwert (Plan)</t>
  </si>
  <si>
    <t>Rubin-Prunkschwert (Plan)</t>
  </si>
  <si>
    <t>Obsidian-Prunkschwert (Plan)</t>
  </si>
  <si>
    <t>Kristall-Dolch (Plan)</t>
  </si>
  <si>
    <t>Quarz-Dolch (Plan)</t>
  </si>
  <si>
    <t>Smaragd-Dolch (Plan)</t>
  </si>
  <si>
    <t>Rubin-Dolch (Plan)</t>
  </si>
  <si>
    <t>Obsidian-Dolch (Plan)</t>
  </si>
  <si>
    <t>Kristall-Axt (Plan)</t>
  </si>
  <si>
    <t>Quarz-Axt (Plan)</t>
  </si>
  <si>
    <t>Smaragd-Axt (Plan)</t>
  </si>
  <si>
    <t>Rubin-Axt (Plan)</t>
  </si>
  <si>
    <t>Obsidian-Axt (Plan)</t>
  </si>
  <si>
    <t>Quarz-Prunkaxt (Plan)</t>
  </si>
  <si>
    <t>Smaragd-Prunkaxt (Plan)</t>
  </si>
  <si>
    <t>Rubin-Prunkaxt (Plan)</t>
  </si>
  <si>
    <t>Obsidian-Prunkaxt (Plan)</t>
  </si>
  <si>
    <t>Kristall-Hammer (Plan)</t>
  </si>
  <si>
    <t>Quarz-Hammer (Plan)</t>
  </si>
  <si>
    <t>Smaragd-Hammer (Plan)</t>
  </si>
  <si>
    <t>Rubin-Hammer (Plan)</t>
  </si>
  <si>
    <t>Obsidian-Hammer (Plan)</t>
  </si>
  <si>
    <t>Quarz-Kriegshammer (Plan)</t>
  </si>
  <si>
    <t>Smaragd-Kriegshammer (Plan)</t>
  </si>
  <si>
    <t>Rubin-Kriegshammer (Plan)</t>
  </si>
  <si>
    <t>Obsidian-Kriegshammer (Plan)</t>
  </si>
  <si>
    <t>Kristall-Pike (Plan)</t>
  </si>
  <si>
    <t>Quarz-Pike (Plan)</t>
  </si>
  <si>
    <t>Smaragd-Pike (Plan)</t>
  </si>
  <si>
    <t>Rubin-Pike (Plan)</t>
  </si>
  <si>
    <t>Obsidian-Pike (Plan)</t>
  </si>
  <si>
    <t>Achat-Bogen (Plan)</t>
  </si>
  <si>
    <t>Topas-Bogen (Plan)</t>
  </si>
  <si>
    <t>Saphir-Bogen (Plan)</t>
  </si>
  <si>
    <t>Lapis-Bogen (Plan)</t>
  </si>
  <si>
    <t>Diamant-Bogen (Plan)</t>
  </si>
  <si>
    <t>Achat-Armbrust (Plan)</t>
  </si>
  <si>
    <t>Topas-Armbrust (Plan)</t>
  </si>
  <si>
    <t>Saphir-Armbrust (Plan)</t>
  </si>
  <si>
    <t>Lapis-Armbrust (Plan)</t>
  </si>
  <si>
    <t>Diamant-Armbrust (Plan)</t>
  </si>
  <si>
    <t>Pyrit-Haube (Plan)</t>
  </si>
  <si>
    <t>Pyrit-Robe (Plan)</t>
  </si>
  <si>
    <t>Pyrit-Handschuhe (Plan)</t>
  </si>
  <si>
    <t>Pyrit-Hose (Plan)</t>
  </si>
  <si>
    <t>Pyrit-Schuhe (Plan)</t>
  </si>
  <si>
    <t>Jaspis-Haube (Plan)</t>
  </si>
  <si>
    <t>Jaspis-Robe (Plan)</t>
  </si>
  <si>
    <t>Jaspis-Handschuhe (Plan)</t>
  </si>
  <si>
    <t>Jaspis-Hose (Plan)</t>
  </si>
  <si>
    <t>Jaspis-Schuhe (Plan)</t>
  </si>
  <si>
    <t>Perlmutt-Haube (Plan)</t>
  </si>
  <si>
    <t>Perlmutt-Robe (Plan)</t>
  </si>
  <si>
    <t>Perlmutt-Handschuhe (Plan)</t>
  </si>
  <si>
    <t>Perlmutt-Hose (Plan)</t>
  </si>
  <si>
    <t>Perlmutt-Schuhe (Plan)</t>
  </si>
  <si>
    <t>Jade-Haube (Plan)</t>
  </si>
  <si>
    <t>Jade-Robe (Plan)</t>
  </si>
  <si>
    <t>Jade-Handschuhe (Plan)</t>
  </si>
  <si>
    <t>Jade-Hose (Plan)</t>
  </si>
  <si>
    <t>Jade-Schuhe (Plan)</t>
  </si>
  <si>
    <t>Onyx-Haube (Plan)</t>
  </si>
  <si>
    <t>Onyx-Robe (Plan)</t>
  </si>
  <si>
    <t>Onyx-Handschuhe (Plan)</t>
  </si>
  <si>
    <t>Onyx-Hose (Plan)</t>
  </si>
  <si>
    <t>Onyx-Schuhe (Plan)</t>
  </si>
  <si>
    <t>Achat-Lederhelm (Plan)</t>
  </si>
  <si>
    <t>Achat-Lederharnisch (Plan)</t>
  </si>
  <si>
    <t>Achat-Lederstulpen (Plan)</t>
  </si>
  <si>
    <t>Achat-Lederbeinlinge (Plan)</t>
  </si>
  <si>
    <t>Achat-Lederstiefel (Plan)</t>
  </si>
  <si>
    <t>Topas-Lederhelm (Plan)</t>
  </si>
  <si>
    <t>Topas-Lederharnisch (Plan)</t>
  </si>
  <si>
    <t>Topas-Lederstulpen (Plan)</t>
  </si>
  <si>
    <t>Topas-Lederbeinlinge (Plan)</t>
  </si>
  <si>
    <t>Topas-Lederstiefel (Plan)</t>
  </si>
  <si>
    <t>Saphir-Lederhelm (Plan)</t>
  </si>
  <si>
    <t>Saphir-Lederharnisch (Plan)</t>
  </si>
  <si>
    <t>Saphir-Lederstulpen (Plan)</t>
  </si>
  <si>
    <t>Saphir-Lederbeinlinge (Plan)</t>
  </si>
  <si>
    <t>Saphir-Lederstiefel (Plan)</t>
  </si>
  <si>
    <t>Lapis-Lederhelm (Plan)</t>
  </si>
  <si>
    <t>Lapis-Lederharnisch (Plan)</t>
  </si>
  <si>
    <t>Lapis-Lederstulpen (Plan)</t>
  </si>
  <si>
    <t>Lapis-Lederbeinlinge (Plan)</t>
  </si>
  <si>
    <t>Lapis-Lederstiefel (Plan)</t>
  </si>
  <si>
    <t>Diamant-Lederhelm (Plan)</t>
  </si>
  <si>
    <t>Diamant-Lederharnisch (Plan)</t>
  </si>
  <si>
    <t>Diamant-Lederstulpen (Plan)</t>
  </si>
  <si>
    <t>Diamant-Lederbeinlinge (Plan)</t>
  </si>
  <si>
    <t>Diamant-Lederstiefel (Plan)</t>
  </si>
  <si>
    <t>Kristall-Plattenhelm (Plan)</t>
  </si>
  <si>
    <t>Kristall-Plattenpanzer (Plan)</t>
  </si>
  <si>
    <t>Kristall-Plattenhandschuhe (Plan)</t>
  </si>
  <si>
    <t>Kristall-Plattenbeinlinge (Plan)</t>
  </si>
  <si>
    <t>Kristall-Plattenstiefel (Plan)</t>
  </si>
  <si>
    <t>Quarz-Plattenhelm (Plan)</t>
  </si>
  <si>
    <t>Quarz-Plattenpanzer (Plan)</t>
  </si>
  <si>
    <t>Quarz-Plattenhandschuhe (Plan)</t>
  </si>
  <si>
    <t>Quarz-Plattenbeinlinge (Plan)</t>
  </si>
  <si>
    <t>Quarz-Plattenstiefel (Plan)</t>
  </si>
  <si>
    <t>Smaragd-Plattenhelm (Plan)</t>
  </si>
  <si>
    <t>Smaragd-Plattenpanzer (Plan)</t>
  </si>
  <si>
    <t>Smaragd-Plattenhandschuhe (Plan)</t>
  </si>
  <si>
    <t>Smaragd-Plattenbeinlinge (Plan)</t>
  </si>
  <si>
    <t>Smaragd-Plattenstiefel (Plan)</t>
  </si>
  <si>
    <t>Rubin-Plattenhelm (Plan)</t>
  </si>
  <si>
    <t>Rubin-Plattenpanzer (Plan)</t>
  </si>
  <si>
    <t>Rubin-Plattenhandschuhe (Plan)</t>
  </si>
  <si>
    <t>Rubin-Plattenbeinlinge (Plan)</t>
  </si>
  <si>
    <t>Rubin-Plattenstiefel (Plan)</t>
  </si>
  <si>
    <t>Obsidian-Plattenhelm (Plan)</t>
  </si>
  <si>
    <t>Obsidian-Plattenpanzer (Plan)</t>
  </si>
  <si>
    <t>Obsidian-Plattenhandschuhe (Plan)</t>
  </si>
  <si>
    <t>Obsidian-Plattenbeinlinge (Plan)</t>
  </si>
  <si>
    <t>Obsidian-Plattenstiefel (Plan)</t>
  </si>
  <si>
    <t>Achat-Rundschild (Plan)</t>
  </si>
  <si>
    <t>Topas-Rundschild (Plan)</t>
  </si>
  <si>
    <t>Saphir-Rundschild (Plan)</t>
  </si>
  <si>
    <t>Lapis-Rundschild (Plan)</t>
  </si>
  <si>
    <t>Diamant-Rundschild (Plan)</t>
  </si>
  <si>
    <t>Kristall-Prunkschild (Plan)</t>
  </si>
  <si>
    <t>Quarz-Prunkschild (Plan)</t>
  </si>
  <si>
    <t>Smaragd-Prunkschild (Plan)</t>
  </si>
  <si>
    <t>Rubin-Prunkschild (Plan)</t>
  </si>
  <si>
    <t>Obsidian-Prunkschild (Plan)</t>
  </si>
  <si>
    <t>Pyrit-Feuerstab (Plan)</t>
  </si>
  <si>
    <t>Jaspis-Feuerstab (Plan)</t>
  </si>
  <si>
    <t>Perlmutt-Feuerstab (Plan)</t>
  </si>
  <si>
    <t>Jade-Feuerstab (Plan)</t>
  </si>
  <si>
    <t>Onyx-Feuerstab (Plan)</t>
  </si>
  <si>
    <t>Pyrit-Wasserstab (Plan)</t>
  </si>
  <si>
    <t>Jaspis-Wasserstab (Plan)</t>
  </si>
  <si>
    <t>Perlmutt-Wasserstab (Plan)</t>
  </si>
  <si>
    <t>Jade-Wasserstab (Plan)</t>
  </si>
  <si>
    <t>Onyx-Wasserstab (Plan)</t>
  </si>
  <si>
    <t>Pyrit-Erdenstab (Plan)</t>
  </si>
  <si>
    <t>Jaspis-Erdenstab (Plan)</t>
  </si>
  <si>
    <t>Perlmutt-Erdenstab (Plan)</t>
  </si>
  <si>
    <t>Jade-Erdenstab (Plan)</t>
  </si>
  <si>
    <t>Onyx-Erdenstab (Plan)</t>
  </si>
  <si>
    <t>Pyrit-Luftstab (Plan)</t>
  </si>
  <si>
    <t>Jaspis-Luftstab (Plan)</t>
  </si>
  <si>
    <t>Perlmutt-Luftstab (Plan)</t>
  </si>
  <si>
    <t>Jade-Luftstab (Plan)</t>
  </si>
  <si>
    <t>Onyx-Luftstab (Plan)</t>
  </si>
  <si>
    <t>Recipe ID</t>
  </si>
  <si>
    <t>Skill Level</t>
  </si>
  <si>
    <t xml:space="preserve">Gebäude </t>
  </si>
  <si>
    <t>Dauer (Herstellung)</t>
  </si>
  <si>
    <t>Käuflich</t>
  </si>
  <si>
    <t>Crafting Skill</t>
  </si>
  <si>
    <t>Crafting Level</t>
  </si>
  <si>
    <t>Menge</t>
  </si>
  <si>
    <t>Rohstoffe</t>
  </si>
  <si>
    <t>Handwerkswaren (Stufe 1)</t>
  </si>
  <si>
    <t>Handwerkswaren (Stufe 2)</t>
  </si>
  <si>
    <t>Handwerkswaren (Stufe 3)</t>
  </si>
  <si>
    <t>Rohstoffe (Sonderrohstoffe)</t>
  </si>
  <si>
    <t>Lvl-Preis-Faktor</t>
  </si>
  <si>
    <t>Gesamtwert Rüstung (Hilfswert)</t>
  </si>
  <si>
    <t>Endpreis
(Gerundet)</t>
  </si>
  <si>
    <t>Endpreis (Stapel)</t>
  </si>
  <si>
    <t>Kosten für Zutaten (Einzelpreise)</t>
  </si>
  <si>
    <t>Herstellkosten
(Rohstoffe)</t>
  </si>
  <si>
    <t>Herstellkosten
(Handwerkswaren)</t>
  </si>
  <si>
    <t>Rohstoffe / Endpreis (ca. 33%)</t>
  </si>
  <si>
    <t>Handwerkswaren / Endpreis
(ca. 33%)</t>
  </si>
  <si>
    <t>Herstellungskosten / Endpreis</t>
  </si>
  <si>
    <t>Potenzieller Gewinn (Gesamt)</t>
  </si>
  <si>
    <t>Potenzieller Gewinn (pro Stunde)</t>
  </si>
  <si>
    <t>Potentieller Gewinn (Lvl-Faktor)</t>
  </si>
  <si>
    <t>ID</t>
  </si>
  <si>
    <t>Spezialname</t>
  </si>
  <si>
    <t>Plätze</t>
  </si>
  <si>
    <t>Kosten (Tag)</t>
  </si>
  <si>
    <t>Req. ID</t>
  </si>
  <si>
    <t>Req. Town</t>
  </si>
  <si>
    <t>Mauer</t>
  </si>
  <si>
    <t>Boden</t>
  </si>
  <si>
    <t>Dach</t>
  </si>
  <si>
    <t>Balken</t>
  </si>
  <si>
    <t>Punkte</t>
  </si>
  <si>
    <t>Preis 1</t>
  </si>
  <si>
    <t>Preis 2</t>
  </si>
  <si>
    <t>Preis 3</t>
  </si>
  <si>
    <t>Preis 4</t>
  </si>
  <si>
    <t>Wert</t>
  </si>
  <si>
    <t>Forstanlage I</t>
  </si>
  <si>
    <t>Forstanlage II</t>
  </si>
  <si>
    <t>Forstanlage III</t>
  </si>
  <si>
    <t>Forstanlage IV</t>
  </si>
  <si>
    <t>Forstanlage V</t>
  </si>
  <si>
    <t>Steinbruch I</t>
  </si>
  <si>
    <t>Steinbruch II</t>
  </si>
  <si>
    <t>Steinbruch III</t>
  </si>
  <si>
    <t>Steinbruch IV</t>
  </si>
  <si>
    <t>Steinbruch V</t>
  </si>
  <si>
    <t>Bergwerk I</t>
  </si>
  <si>
    <t>Bergwerk II</t>
  </si>
  <si>
    <t>Bergwerk III</t>
  </si>
  <si>
    <t>Bergwerk IV</t>
  </si>
  <si>
    <t>Bergwerk V</t>
  </si>
  <si>
    <t>Sägewerk I</t>
  </si>
  <si>
    <t>Sägewerk II</t>
  </si>
  <si>
    <t>Sägewerk III</t>
  </si>
  <si>
    <t>Sägewerk IV</t>
  </si>
  <si>
    <t>Sägewerk V</t>
  </si>
  <si>
    <t>Ziegelei I</t>
  </si>
  <si>
    <t>Ziegelei II</t>
  </si>
  <si>
    <t>Ziegelei III</t>
  </si>
  <si>
    <t>Ziegelei IV</t>
  </si>
  <si>
    <t>Ziegelei V</t>
  </si>
  <si>
    <t>Schmelze I</t>
  </si>
  <si>
    <t>Schmelze II</t>
  </si>
  <si>
    <t>Schmelze III</t>
  </si>
  <si>
    <t>Schmelze IV</t>
  </si>
  <si>
    <t>Schmelze V</t>
  </si>
  <si>
    <t>Gerberei I</t>
  </si>
  <si>
    <t>Gerberei II</t>
  </si>
  <si>
    <t>Gerberei III</t>
  </si>
  <si>
    <t>Gerberei IV</t>
  </si>
  <si>
    <t>Gerberei V</t>
  </si>
  <si>
    <t>Weberei I</t>
  </si>
  <si>
    <t>Weberei II</t>
  </si>
  <si>
    <t>Weberei III</t>
  </si>
  <si>
    <t>Weberei IV</t>
  </si>
  <si>
    <t>Weberei V</t>
  </si>
  <si>
    <t>Schmiede I</t>
  </si>
  <si>
    <t>Schmiede II</t>
  </si>
  <si>
    <t>Schmiede III</t>
  </si>
  <si>
    <t>Schmiede IV</t>
  </si>
  <si>
    <t>Schmiede V</t>
  </si>
  <si>
    <t>Sattlerei I</t>
  </si>
  <si>
    <t>Sattlerei II</t>
  </si>
  <si>
    <t>Sattlerei III</t>
  </si>
  <si>
    <t>Sattlerei IV</t>
  </si>
  <si>
    <t>Sattlerei V</t>
  </si>
  <si>
    <t>Werkstatt I</t>
  </si>
  <si>
    <t>Werkstatt II</t>
  </si>
  <si>
    <t>Werkstatt III</t>
  </si>
  <si>
    <t>Werkstatt IV</t>
  </si>
  <si>
    <t>Werkstatt V</t>
  </si>
  <si>
    <t>Schneiderei I</t>
  </si>
  <si>
    <t>Schneiderei II</t>
  </si>
  <si>
    <t>Schneiderei III</t>
  </si>
  <si>
    <t>Schneiderei IV</t>
  </si>
  <si>
    <t>Schneiderei V</t>
  </si>
  <si>
    <t>Laboratorium I</t>
  </si>
  <si>
    <t>Laboratorium II</t>
  </si>
  <si>
    <t>Laboratorium III</t>
  </si>
  <si>
    <t>Laboratorium IV</t>
  </si>
  <si>
    <t>Laboratorium V</t>
  </si>
  <si>
    <t>Bauhof I</t>
  </si>
  <si>
    <t>Bauhof II</t>
  </si>
  <si>
    <t>Bauhof III</t>
  </si>
  <si>
    <t>Bauhof IV</t>
  </si>
  <si>
    <t>Bauhof V</t>
  </si>
  <si>
    <t>Wachhaus I</t>
  </si>
  <si>
    <t>Wachhaus II</t>
  </si>
  <si>
    <t>Wachhaus III</t>
  </si>
  <si>
    <t>Wachhaus IV</t>
  </si>
  <si>
    <t>Wachhaus V</t>
  </si>
  <si>
    <t>Taverne I</t>
  </si>
  <si>
    <t>Taverne II</t>
  </si>
  <si>
    <t>Taverne III</t>
  </si>
  <si>
    <t>Taverne IV</t>
  </si>
  <si>
    <t>Taverne V</t>
  </si>
  <si>
    <t>Akademie I</t>
  </si>
  <si>
    <t>Akademie II</t>
  </si>
  <si>
    <t>Akademie III</t>
  </si>
  <si>
    <t>Akademie IV</t>
  </si>
  <si>
    <t>Akademie V</t>
  </si>
  <si>
    <t>Auktionshaus I</t>
  </si>
  <si>
    <t>Auktionshaus II</t>
  </si>
  <si>
    <t>Auktionshaus III</t>
  </si>
  <si>
    <t>Auktionshaus IV</t>
  </si>
  <si>
    <t>Auktionshaus V</t>
  </si>
  <si>
    <t>Marktplatz I</t>
  </si>
  <si>
    <t>Marktplatz II</t>
  </si>
  <si>
    <t>Marktplatz III</t>
  </si>
  <si>
    <t>Marktplatz IV</t>
  </si>
  <si>
    <t>Marktplatz V</t>
  </si>
  <si>
    <t>Tempel I</t>
  </si>
  <si>
    <t>Tempel II</t>
  </si>
  <si>
    <t>Tempel III</t>
  </si>
  <si>
    <t>Tempel IV</t>
  </si>
  <si>
    <t>Tempel V</t>
  </si>
  <si>
    <t>Badehaus I</t>
  </si>
  <si>
    <t>Badehaus II</t>
  </si>
  <si>
    <t>Stadtmauern I</t>
  </si>
  <si>
    <t>Stadtmauern II</t>
  </si>
  <si>
    <t>Stadtmauern III</t>
  </si>
  <si>
    <t>Stadtmauern IV</t>
  </si>
  <si>
    <t>Stadtmauern V</t>
  </si>
  <si>
    <t>Wachturm I</t>
  </si>
  <si>
    <t>Wachturm II</t>
  </si>
  <si>
    <t>Wachturm III</t>
  </si>
  <si>
    <t>Wachturm IV</t>
  </si>
  <si>
    <t>Wachturm V</t>
  </si>
  <si>
    <t>Lager I</t>
  </si>
  <si>
    <t>Lager II</t>
  </si>
  <si>
    <t>Lager III</t>
  </si>
  <si>
    <t>Lager IV</t>
  </si>
  <si>
    <t>Lager V</t>
  </si>
  <si>
    <t>3 Minuten ( 9 * 20 Sec)</t>
  </si>
  <si>
    <t>Leder (10%)</t>
  </si>
  <si>
    <t>Waffenschaden</t>
  </si>
  <si>
    <t>Durchschnittliche Waffenschäden pro Schlag</t>
  </si>
  <si>
    <t>Level</t>
  </si>
  <si>
    <t>Leben</t>
  </si>
  <si>
    <t>Effektiver Schaden</t>
  </si>
  <si>
    <t>Durchschn. Absorb</t>
  </si>
  <si>
    <t>vor Ausweichen+Trefferchance</t>
  </si>
  <si>
    <t>langsam</t>
  </si>
  <si>
    <t>mittel</t>
  </si>
  <si>
    <t>schnell</t>
  </si>
  <si>
    <t>Leder (Absolut)</t>
  </si>
  <si>
    <t xml:space="preserve">Rüstwert </t>
  </si>
  <si>
    <t>Rüstwert</t>
  </si>
  <si>
    <t>Stoff</t>
  </si>
  <si>
    <t>Metall</t>
  </si>
  <si>
    <t>Waffe</t>
  </si>
  <si>
    <t>Angriffe / Runde</t>
  </si>
  <si>
    <t>relativer Waffenschaden</t>
  </si>
  <si>
    <t>Schadensraum</t>
  </si>
  <si>
    <t>" in Prozent</t>
  </si>
  <si>
    <t>Prozent</t>
  </si>
  <si>
    <t>Schnell</t>
  </si>
  <si>
    <t>eng</t>
  </si>
  <si>
    <t>normal</t>
  </si>
  <si>
    <t>Mittel</t>
  </si>
  <si>
    <t>weit</t>
  </si>
  <si>
    <t>Langsam</t>
  </si>
  <si>
    <t>Rüstungsart</t>
  </si>
  <si>
    <t>Categroy</t>
  </si>
  <si>
    <t>Class</t>
  </si>
  <si>
    <t>1H Waffe</t>
  </si>
  <si>
    <t>2H Waffe</t>
  </si>
  <si>
    <t>Schild</t>
  </si>
  <si>
    <t>Körperteil</t>
  </si>
  <si>
    <t>Rüstwertanteil</t>
  </si>
  <si>
    <t>Fernkampfwaffe</t>
  </si>
  <si>
    <t>Kopf</t>
  </si>
  <si>
    <t>Munition</t>
  </si>
  <si>
    <t>Torso</t>
  </si>
  <si>
    <t>Hände</t>
  </si>
  <si>
    <t>Beine</t>
  </si>
  <si>
    <t>Hand</t>
  </si>
  <si>
    <t>Füße</t>
  </si>
  <si>
    <t>Bein</t>
  </si>
  <si>
    <t>Fuß</t>
  </si>
  <si>
    <t>Schildbonus</t>
  </si>
  <si>
    <t>Kette</t>
  </si>
  <si>
    <t>Blockwertbonus</t>
  </si>
  <si>
    <t>vom durchschnittl. Schaden</t>
  </si>
  <si>
    <t>Ring</t>
  </si>
  <si>
    <t>Gürtel</t>
  </si>
  <si>
    <t>Trank</t>
  </si>
  <si>
    <t>Edelstein</t>
  </si>
  <si>
    <t>Kristalmir</t>
  </si>
  <si>
    <t>Fang</t>
  </si>
  <si>
    <t>Mondsichel</t>
  </si>
  <si>
    <t>Kriegsstachel</t>
  </si>
  <si>
    <t>Schwerer Dolch</t>
  </si>
  <si>
    <t>Adamantdorn</t>
  </si>
  <si>
    <t>Schattenstich</t>
  </si>
  <si>
    <t>Kampflilien</t>
  </si>
  <si>
    <t>Schwarze Sense</t>
  </si>
  <si>
    <t>Stangenschwert</t>
  </si>
  <si>
    <t>Kampfsichel</t>
  </si>
  <si>
    <t>Naginata</t>
  </si>
  <si>
    <t>Eibenholzbogen</t>
  </si>
  <si>
    <t>Lichtbogen</t>
  </si>
  <si>
    <t>Blitzbogen</t>
  </si>
  <si>
    <t>Schattenbogen</t>
  </si>
  <si>
    <t>Wächterbogen</t>
  </si>
  <si>
    <t>Zwergenarmbrust</t>
  </si>
  <si>
    <t>Todesbote</t>
  </si>
  <si>
    <t>Fertigkeitenlevel</t>
  </si>
  <si>
    <t>Rang</t>
  </si>
  <si>
    <t>5-9</t>
  </si>
  <si>
    <t>Aushilfe</t>
  </si>
  <si>
    <t>10-14</t>
  </si>
  <si>
    <t>Lehrling</t>
  </si>
  <si>
    <t>15-19</t>
  </si>
  <si>
    <t>Geselle</t>
  </si>
  <si>
    <t>20-24</t>
  </si>
  <si>
    <t>Meister</t>
  </si>
  <si>
    <t>25+</t>
  </si>
  <si>
    <t>Großmeister</t>
  </si>
  <si>
    <t>Faktor Einnahmen</t>
  </si>
  <si>
    <t>Faktor Kosten</t>
  </si>
  <si>
    <t>Rohstoffabbau</t>
  </si>
  <si>
    <t>Durchschnittliche Förderung</t>
  </si>
  <si>
    <t>Ertrag "Worst Case"</t>
  </si>
  <si>
    <t>Ertrag in GOLD</t>
  </si>
  <si>
    <t>Tatsächlicher Faktor</t>
  </si>
  <si>
    <t>pro Schicht</t>
  </si>
  <si>
    <t>pro Tag</t>
  </si>
  <si>
    <t>im "Worst Case"</t>
  </si>
  <si>
    <t>= 100-R2-R3-R4-R5</t>
  </si>
  <si>
    <t>Gebäudestufenbonus 0,2% je Gebäudestufe auf Hauptrohstoffart</t>
  </si>
  <si>
    <t>Fördermenge</t>
  </si>
  <si>
    <t>Preise</t>
  </si>
  <si>
    <t>Abkürzung</t>
  </si>
  <si>
    <t>Bedeutung</t>
  </si>
  <si>
    <t>KR</t>
  </si>
  <si>
    <t>Kampfrunde
2 Schläge = Langsam, 3 Schläge = Normal, 4 Schläge = Schnell</t>
  </si>
  <si>
    <t>Minimalanforderung an den Fertigkeitenlevel zum Benutzen des Items</t>
  </si>
  <si>
    <t>model_id</t>
  </si>
  <si>
    <t>name</t>
  </si>
  <si>
    <t>name2</t>
  </si>
  <si>
    <t>weight</t>
  </si>
  <si>
    <t>type</t>
  </si>
  <si>
    <t>category</t>
  </si>
  <si>
    <t>class</t>
  </si>
  <si>
    <t>skill_id</t>
  </si>
  <si>
    <t>skill_level</t>
  </si>
  <si>
    <t>value</t>
  </si>
  <si>
    <t>start_dur</t>
  </si>
  <si>
    <t>stack</t>
  </si>
  <si>
    <t>handicap</t>
  </si>
  <si>
    <t>defense</t>
  </si>
  <si>
    <t>absorb</t>
  </si>
  <si>
    <t>block</t>
  </si>
  <si>
    <t>speed</t>
  </si>
  <si>
    <t>mindamage</t>
  </si>
  <si>
    <t>maxdamage</t>
  </si>
  <si>
    <t>bonus_power</t>
  </si>
  <si>
    <t>bonus_accuracy</t>
  </si>
  <si>
    <t>bonus_range</t>
  </si>
  <si>
    <t>bonus_attr1</t>
  </si>
  <si>
    <t>bonus_attr2</t>
  </si>
  <si>
    <t>bonus_attr3</t>
  </si>
  <si>
    <t>bonus_attr4</t>
  </si>
  <si>
    <t>shop_level</t>
  </si>
  <si>
    <t>ammo_category</t>
  </si>
  <si>
    <t>recipe_id</t>
  </si>
  <si>
    <t>amount</t>
  </si>
  <si>
    <t>craft_id</t>
  </si>
  <si>
    <t>craft_level</t>
  </si>
  <si>
    <t>build_id</t>
  </si>
  <si>
    <t>duration</t>
  </si>
  <si>
    <t>price</t>
  </si>
  <si>
    <t>ing_id1</t>
  </si>
  <si>
    <t>ing_amount1</t>
  </si>
  <si>
    <t>ing_id2</t>
  </si>
  <si>
    <t>ing_amount2</t>
  </si>
  <si>
    <t>ing_id3</t>
  </si>
  <si>
    <t>ing_amount3</t>
  </si>
  <si>
    <t>ing_id4</t>
  </si>
  <si>
    <t>ing_amount4</t>
  </si>
  <si>
    <t>ing_id5</t>
  </si>
  <si>
    <t>ing_amount5</t>
  </si>
  <si>
    <t>workplace</t>
  </si>
  <si>
    <t>tax</t>
  </si>
  <si>
    <t>durability</t>
  </si>
  <si>
    <t>req_build</t>
  </si>
  <si>
    <t>req_town</t>
  </si>
  <si>
    <t>part_id1</t>
  </si>
  <si>
    <t>part_count1</t>
  </si>
  <si>
    <t>part_id2</t>
  </si>
  <si>
    <t>part_count2</t>
  </si>
  <si>
    <t>part_id3</t>
  </si>
  <si>
    <t>part_count3</t>
  </si>
  <si>
    <t>part_id4</t>
  </si>
  <si>
    <t>part_count4</t>
  </si>
  <si>
    <t>points</t>
  </si>
  <si>
    <t>Lager VI</t>
  </si>
  <si>
    <t>Lager VII</t>
  </si>
  <si>
    <t>Lager VIII</t>
  </si>
  <si>
    <t>Lager IX</t>
  </si>
  <si>
    <t>Baumeister I</t>
  </si>
  <si>
    <t>Baumeister II</t>
  </si>
  <si>
    <t>Baumeister III</t>
  </si>
  <si>
    <t>Baumeister IV</t>
  </si>
  <si>
    <t>Baumeister V</t>
  </si>
  <si>
    <t>sehr langsam</t>
  </si>
  <si>
    <t>Event</t>
  </si>
  <si>
    <t>Kürbis</t>
  </si>
  <si>
    <t>Kürbiskrone</t>
  </si>
  <si>
    <t>Heroldsflügel</t>
  </si>
  <si>
    <t>Melone</t>
  </si>
  <si>
    <t>Flammenkrone</t>
  </si>
  <si>
    <t>Henkermaske</t>
  </si>
  <si>
    <t>Umhang</t>
  </si>
  <si>
    <t>Greifenwams</t>
  </si>
  <si>
    <t>Ledermantel</t>
  </si>
  <si>
    <t>Erzmagierrobe</t>
  </si>
  <si>
    <t>Brokatwams</t>
  </si>
  <si>
    <t>Event-Waffen-Rüstungen</t>
  </si>
  <si>
    <t>Klauen</t>
  </si>
  <si>
    <t>Siegelring</t>
  </si>
  <si>
    <t>Samthandschuhe</t>
  </si>
  <si>
    <t>Knochenring</t>
  </si>
  <si>
    <t>Metzgerhandschuhe</t>
  </si>
  <si>
    <t>Greifenrock</t>
  </si>
  <si>
    <t>Tuchhose</t>
  </si>
  <si>
    <t>Zwergenrock</t>
  </si>
  <si>
    <t>Braguettebeinlinge</t>
  </si>
  <si>
    <t>Lindwurmledersandalen</t>
  </si>
  <si>
    <t>Greifenreiterstiefel</t>
  </si>
  <si>
    <t>Reitstiefel</t>
  </si>
  <si>
    <t>Schwarzfederstiefel</t>
  </si>
  <si>
    <t>Schnabelschuhe</t>
  </si>
  <si>
    <t>Weinflasche</t>
  </si>
  <si>
    <t>Flagge</t>
  </si>
  <si>
    <t>Drachenzahn</t>
  </si>
  <si>
    <t>Bratpfanne</t>
  </si>
  <si>
    <t>Trinkhorn</t>
  </si>
  <si>
    <t>Kantholz</t>
  </si>
  <si>
    <t>Todessichel</t>
  </si>
  <si>
    <t>Orkschlächter</t>
  </si>
  <si>
    <t>Schmiedehammer</t>
  </si>
  <si>
    <t>Ausbeinermesser</t>
  </si>
  <si>
    <t>Engelsklinge des Kürbisschlächters</t>
  </si>
  <si>
    <t>Wolfszepter</t>
  </si>
  <si>
    <t>Krittische Treffer-
bonus</t>
  </si>
  <si>
    <t>bonus_critical</t>
  </si>
  <si>
    <t>Sprengstoff/Diebstahlsachen</t>
  </si>
  <si>
    <t>Dietrich I</t>
  </si>
  <si>
    <t>Dietrich II</t>
  </si>
  <si>
    <t>Dietrich III</t>
  </si>
  <si>
    <t>Dietrich IV</t>
  </si>
  <si>
    <t>Dietrich V</t>
  </si>
  <si>
    <t>Sabotage</t>
  </si>
  <si>
    <t>Diebstahl</t>
  </si>
  <si>
    <t>Ditriche</t>
  </si>
  <si>
    <t>Dietriche</t>
  </si>
  <si>
    <t>Sprengstoff II (Plan)</t>
  </si>
  <si>
    <t>Sprengstoff III (Plan)</t>
  </si>
  <si>
    <t>Sprengstoff IV (Plan)</t>
  </si>
  <si>
    <t>Sprengstoff V (Plan)</t>
  </si>
  <si>
    <t>Dietrich II (Plan)</t>
  </si>
  <si>
    <t>Dietrich III (Plan)</t>
  </si>
  <si>
    <t>Dietrich IV (Plan)</t>
  </si>
  <si>
    <t>Dietrich V (Plan)</t>
  </si>
  <si>
    <t>Dietrich I (Plan)</t>
  </si>
  <si>
    <t>Sprengstoff I (Plan)</t>
  </si>
  <si>
    <t>Magierhut</t>
  </si>
  <si>
    <t>Seidenumhang</t>
  </si>
  <si>
    <t>Spitzschuhe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</si>
</sst>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_-* #,##0.00&quot; €&quot;_-;\-* #,##0.00&quot; €&quot;_-;_-* \-??&quot; €&quot;_-;_-@_-"/>
    <numFmt numFmtId="166" formatCode="#,##0_ ;\-#,##0\ "/>
    <numFmt numFmtId="167" formatCode="0.0%"/>
  </numFmts>
  <fonts count="25" x14ac:knownFonts="1">
    <font>
      <sz val="1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23"/>
      <name val="Arial"/>
      <family val="2"/>
    </font>
    <font>
      <b/>
      <sz val="10"/>
      <color indexed="10"/>
      <name val="Arial"/>
      <family val="2"/>
    </font>
    <font>
      <sz val="10"/>
      <color indexed="63"/>
      <name val="Arial"/>
      <family val="2"/>
    </font>
    <font>
      <b/>
      <sz val="10"/>
      <color indexed="63"/>
      <name val="Arial"/>
      <family val="2"/>
    </font>
    <font>
      <sz val="10"/>
      <color indexed="20"/>
      <name val="Arial"/>
      <family val="2"/>
    </font>
    <font>
      <sz val="10"/>
      <color indexed="55"/>
      <name val="Arial"/>
      <family val="2"/>
    </font>
    <font>
      <b/>
      <sz val="10"/>
      <color indexed="55"/>
      <name val="Arial"/>
      <family val="2"/>
    </font>
    <font>
      <sz val="10"/>
      <color indexed="22"/>
      <name val="Arial"/>
      <family val="2"/>
    </font>
    <font>
      <sz val="10"/>
      <color indexed="54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23"/>
      <name val="Arial"/>
      <family val="2"/>
    </font>
    <font>
      <b/>
      <sz val="10"/>
      <color indexed="20"/>
      <name val="Arial"/>
      <family val="2"/>
    </font>
    <font>
      <b/>
      <sz val="10"/>
      <color indexed="22"/>
      <name val="Arial"/>
      <family val="2"/>
    </font>
    <font>
      <b/>
      <sz val="10"/>
      <color indexed="54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sz val="10"/>
      <color indexed="48"/>
      <name val="Arial"/>
      <family val="2"/>
    </font>
    <font>
      <sz val="10"/>
      <color indexed="17"/>
      <name val="Arial"/>
      <family val="2"/>
    </font>
    <font>
      <sz val="10"/>
      <name val="Arial"/>
      <family val="2"/>
    </font>
    <font>
      <b/>
      <sz val="10"/>
      <color theme="0" tint="-0.499984740745262"/>
      <name val="Arial"/>
      <family val="2"/>
    </font>
    <font>
      <sz val="10"/>
      <color theme="4" tint="-0.24997711111789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indexed="51"/>
        <bgColor indexed="13"/>
      </patternFill>
    </fill>
    <fill>
      <patternFill patternType="solid">
        <fgColor indexed="40"/>
        <bgColor indexed="49"/>
      </patternFill>
    </fill>
    <fill>
      <patternFill patternType="solid">
        <fgColor indexed="48"/>
        <bgColor indexed="30"/>
      </patternFill>
    </fill>
    <fill>
      <patternFill patternType="solid">
        <fgColor indexed="45"/>
        <bgColor indexed="29"/>
      </patternFill>
    </fill>
    <fill>
      <patternFill patternType="solid">
        <fgColor indexed="50"/>
        <b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46"/>
        <bgColor indexed="24"/>
      </patternFill>
    </fill>
    <fill>
      <patternFill patternType="solid">
        <fgColor indexed="43"/>
        <bgColor indexed="26"/>
      </patternFill>
    </fill>
    <fill>
      <patternFill patternType="solid">
        <fgColor indexed="42"/>
        <bgColor indexed="27"/>
      </patternFill>
    </fill>
    <fill>
      <patternFill patternType="solid">
        <fgColor indexed="13"/>
        <bgColor indexed="34"/>
      </patternFill>
    </fill>
    <fill>
      <patternFill patternType="solid">
        <fgColor indexed="47"/>
        <bgColor indexed="22"/>
      </patternFill>
    </fill>
    <fill>
      <patternFill patternType="solid">
        <fgColor rgb="FF00B0F0"/>
        <bgColor indexed="51"/>
      </patternFill>
    </fill>
    <fill>
      <patternFill patternType="solid">
        <fgColor rgb="FFFF0000"/>
        <bgColor indexed="31"/>
      </patternFill>
    </fill>
    <fill>
      <patternFill patternType="solid">
        <fgColor rgb="FFFF0000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9" fontId="22" fillId="0" borderId="0" applyFill="0" applyAlignment="0" applyProtection="0"/>
    <xf numFmtId="165" fontId="22" fillId="0" borderId="0" applyFill="0" applyAlignment="0" applyProtection="0"/>
  </cellStyleXfs>
  <cellXfs count="873">
    <xf numFmtId="0" fontId="0" fillId="0" borderId="0" xfId="0"/>
    <xf numFmtId="0" fontId="0" fillId="0" borderId="0" xfId="0" applyFont="1" applyBorder="1"/>
    <xf numFmtId="0" fontId="1" fillId="0" borderId="1" xfId="0" applyFont="1" applyFill="1" applyBorder="1"/>
    <xf numFmtId="0" fontId="0" fillId="0" borderId="0" xfId="0" applyFont="1" applyFill="1" applyBorder="1"/>
    <xf numFmtId="0" fontId="1" fillId="0" borderId="1" xfId="0" applyFont="1" applyBorder="1"/>
    <xf numFmtId="0" fontId="0" fillId="0" borderId="2" xfId="0" applyFont="1" applyBorder="1" applyAlignment="1">
      <alignment horizontal="right"/>
    </xf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0" fillId="0" borderId="0" xfId="0" applyFont="1" applyBorder="1" applyAlignment="1"/>
    <xf numFmtId="0" fontId="0" fillId="0" borderId="2" xfId="0" applyFont="1" applyBorder="1" applyAlignment="1">
      <alignment horizontal="center"/>
    </xf>
    <xf numFmtId="1" fontId="0" fillId="0" borderId="3" xfId="0" applyNumberFormat="1" applyFont="1" applyBorder="1" applyAlignment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" fontId="3" fillId="0" borderId="0" xfId="0" applyNumberFormat="1" applyFont="1" applyBorder="1"/>
    <xf numFmtId="0" fontId="3" fillId="0" borderId="2" xfId="0" applyFont="1" applyBorder="1"/>
    <xf numFmtId="1" fontId="3" fillId="0" borderId="2" xfId="0" applyNumberFormat="1" applyFont="1" applyBorder="1"/>
    <xf numFmtId="164" fontId="3" fillId="0" borderId="4" xfId="0" applyNumberFormat="1" applyFont="1" applyBorder="1"/>
    <xf numFmtId="164" fontId="3" fillId="0" borderId="0" xfId="0" applyNumberFormat="1" applyFont="1" applyBorder="1"/>
    <xf numFmtId="164" fontId="3" fillId="0" borderId="0" xfId="0" applyNumberFormat="1" applyFont="1" applyBorder="1" applyAlignment="1"/>
    <xf numFmtId="9" fontId="0" fillId="0" borderId="0" xfId="1" applyFont="1" applyFill="1" applyBorder="1" applyAlignment="1" applyProtection="1"/>
    <xf numFmtId="9" fontId="0" fillId="0" borderId="2" xfId="1" applyFont="1" applyFill="1" applyBorder="1" applyAlignment="1" applyProtection="1"/>
    <xf numFmtId="0" fontId="1" fillId="2" borderId="2" xfId="0" applyFont="1" applyFill="1" applyBorder="1" applyAlignment="1">
      <alignment horizontal="right" textRotation="90"/>
    </xf>
    <xf numFmtId="0" fontId="1" fillId="2" borderId="0" xfId="0" applyFont="1" applyFill="1" applyBorder="1" applyAlignment="1">
      <alignment horizontal="center" textRotation="90"/>
    </xf>
    <xf numFmtId="0" fontId="1" fillId="2" borderId="0" xfId="0" applyFont="1" applyFill="1" applyBorder="1" applyAlignment="1">
      <alignment horizontal="left" textRotation="90"/>
    </xf>
    <xf numFmtId="0" fontId="4" fillId="2" borderId="2" xfId="0" applyFont="1" applyFill="1" applyBorder="1" applyAlignment="1">
      <alignment horizontal="center" textRotation="90"/>
    </xf>
    <xf numFmtId="0" fontId="1" fillId="2" borderId="0" xfId="0" applyFont="1" applyFill="1" applyBorder="1" applyAlignment="1">
      <alignment textRotation="90"/>
    </xf>
    <xf numFmtId="0" fontId="1" fillId="2" borderId="2" xfId="0" applyFont="1" applyFill="1" applyBorder="1" applyAlignment="1">
      <alignment horizontal="center" textRotation="90"/>
    </xf>
    <xf numFmtId="1" fontId="1" fillId="2" borderId="3" xfId="0" applyNumberFormat="1" applyFont="1" applyFill="1" applyBorder="1" applyAlignment="1">
      <alignment textRotation="90"/>
    </xf>
    <xf numFmtId="0" fontId="1" fillId="2" borderId="0" xfId="0" applyFont="1" applyFill="1" applyBorder="1" applyAlignment="1">
      <alignment horizontal="center" textRotation="90" wrapText="1"/>
    </xf>
    <xf numFmtId="1" fontId="1" fillId="2" borderId="0" xfId="0" applyNumberFormat="1" applyFont="1" applyFill="1" applyBorder="1" applyAlignment="1">
      <alignment horizontal="center" textRotation="90" wrapText="1"/>
    </xf>
    <xf numFmtId="1" fontId="1" fillId="2" borderId="0" xfId="0" applyNumberFormat="1" applyFont="1" applyFill="1" applyBorder="1" applyAlignment="1">
      <alignment horizontal="center" textRotation="90"/>
    </xf>
    <xf numFmtId="1" fontId="1" fillId="2" borderId="2" xfId="0" applyNumberFormat="1" applyFont="1" applyFill="1" applyBorder="1" applyAlignment="1">
      <alignment horizontal="center" textRotation="90"/>
    </xf>
    <xf numFmtId="164" fontId="1" fillId="2" borderId="4" xfId="0" applyNumberFormat="1" applyFont="1" applyFill="1" applyBorder="1" applyAlignment="1">
      <alignment horizontal="center" textRotation="90"/>
    </xf>
    <xf numFmtId="164" fontId="1" fillId="2" borderId="0" xfId="0" applyNumberFormat="1" applyFont="1" applyFill="1" applyBorder="1" applyAlignment="1">
      <alignment horizontal="center" textRotation="90"/>
    </xf>
    <xf numFmtId="9" fontId="1" fillId="2" borderId="0" xfId="1" applyFont="1" applyFill="1" applyBorder="1" applyAlignment="1" applyProtection="1">
      <alignment horizontal="center" textRotation="90"/>
    </xf>
    <xf numFmtId="9" fontId="1" fillId="2" borderId="0" xfId="1" applyFont="1" applyFill="1" applyBorder="1" applyAlignment="1" applyProtection="1">
      <alignment horizontal="center" textRotation="90" wrapText="1"/>
    </xf>
    <xf numFmtId="9" fontId="1" fillId="2" borderId="2" xfId="1" applyFont="1" applyFill="1" applyBorder="1" applyAlignment="1" applyProtection="1">
      <alignment horizontal="center" textRotation="90" wrapText="1"/>
    </xf>
    <xf numFmtId="0" fontId="5" fillId="3" borderId="5" xfId="0" applyFont="1" applyFill="1" applyBorder="1" applyAlignment="1">
      <alignment horizontal="right"/>
    </xf>
    <xf numFmtId="0" fontId="6" fillId="3" borderId="1" xfId="0" applyFont="1" applyFill="1" applyBorder="1"/>
    <xf numFmtId="0" fontId="6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left"/>
    </xf>
    <xf numFmtId="0" fontId="4" fillId="3" borderId="5" xfId="0" applyFont="1" applyFill="1" applyBorder="1" applyAlignment="1">
      <alignment horizontal="center"/>
    </xf>
    <xf numFmtId="0" fontId="6" fillId="3" borderId="6" xfId="0" applyFont="1" applyFill="1" applyBorder="1"/>
    <xf numFmtId="0" fontId="6" fillId="3" borderId="6" xfId="0" applyFont="1" applyFill="1" applyBorder="1" applyAlignment="1">
      <alignment horizontal="center"/>
    </xf>
    <xf numFmtId="0" fontId="6" fillId="3" borderId="6" xfId="0" applyFont="1" applyFill="1" applyBorder="1" applyAlignment="1"/>
    <xf numFmtId="0" fontId="6" fillId="3" borderId="7" xfId="0" applyFont="1" applyFill="1" applyBorder="1" applyAlignment="1">
      <alignment horizontal="center"/>
    </xf>
    <xf numFmtId="1" fontId="0" fillId="3" borderId="8" xfId="0" applyNumberFormat="1" applyFont="1" applyFill="1" applyBorder="1" applyAlignment="1"/>
    <xf numFmtId="0" fontId="0" fillId="3" borderId="1" xfId="0" applyFont="1" applyFill="1" applyBorder="1"/>
    <xf numFmtId="0" fontId="0" fillId="3" borderId="5" xfId="0" applyFont="1" applyFill="1" applyBorder="1"/>
    <xf numFmtId="164" fontId="0" fillId="3" borderId="9" xfId="0" applyNumberFormat="1" applyFont="1" applyFill="1" applyBorder="1"/>
    <xf numFmtId="164" fontId="0" fillId="3" borderId="1" xfId="0" applyNumberFormat="1" applyFont="1" applyFill="1" applyBorder="1"/>
    <xf numFmtId="164" fontId="0" fillId="3" borderId="1" xfId="0" applyNumberFormat="1" applyFont="1" applyFill="1" applyBorder="1" applyAlignment="1"/>
    <xf numFmtId="0" fontId="0" fillId="0" borderId="2" xfId="0" applyFont="1" applyFill="1" applyBorder="1" applyAlignment="1">
      <alignment horizontal="right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2" fillId="0" borderId="2" xfId="0" applyFont="1" applyFill="1" applyBorder="1" applyAlignment="1">
      <alignment horizontal="center"/>
    </xf>
    <xf numFmtId="0" fontId="0" fillId="0" borderId="0" xfId="0" applyFont="1" applyFill="1" applyBorder="1" applyAlignment="1"/>
    <xf numFmtId="0" fontId="0" fillId="0" borderId="2" xfId="0" applyFont="1" applyFill="1" applyBorder="1" applyAlignment="1">
      <alignment horizontal="center"/>
    </xf>
    <xf numFmtId="1" fontId="0" fillId="0" borderId="3" xfId="0" applyNumberFormat="1" applyFont="1" applyFill="1" applyBorder="1" applyAlignment="1"/>
    <xf numFmtId="0" fontId="0" fillId="0" borderId="2" xfId="0" applyFont="1" applyFill="1" applyBorder="1"/>
    <xf numFmtId="164" fontId="0" fillId="0" borderId="4" xfId="0" applyNumberFormat="1" applyFont="1" applyFill="1" applyBorder="1"/>
    <xf numFmtId="164" fontId="0" fillId="0" borderId="0" xfId="0" applyNumberFormat="1" applyFont="1" applyFill="1" applyBorder="1"/>
    <xf numFmtId="164" fontId="0" fillId="0" borderId="0" xfId="0" applyNumberFormat="1" applyFont="1" applyFill="1" applyBorder="1" applyAlignment="1"/>
    <xf numFmtId="0" fontId="1" fillId="3" borderId="1" xfId="0" applyFont="1" applyFill="1" applyBorder="1" applyAlignment="1">
      <alignment horizontal="center"/>
    </xf>
    <xf numFmtId="0" fontId="6" fillId="3" borderId="1" xfId="0" applyFont="1" applyFill="1" applyBorder="1" applyAlignment="1"/>
    <xf numFmtId="0" fontId="6" fillId="3" borderId="5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0" fillId="0" borderId="10" xfId="0" applyFont="1" applyFill="1" applyBorder="1"/>
    <xf numFmtId="0" fontId="0" fillId="4" borderId="8" xfId="0" applyFont="1" applyFill="1" applyBorder="1" applyAlignment="1">
      <alignment horizontal="right"/>
    </xf>
    <xf numFmtId="0" fontId="1" fillId="4" borderId="1" xfId="0" applyFont="1" applyFill="1" applyBorder="1"/>
    <xf numFmtId="0" fontId="0" fillId="4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0" fontId="0" fillId="4" borderId="1" xfId="0" applyFont="1" applyFill="1" applyBorder="1"/>
    <xf numFmtId="0" fontId="0" fillId="4" borderId="1" xfId="0" applyFont="1" applyFill="1" applyBorder="1" applyAlignment="1"/>
    <xf numFmtId="0" fontId="0" fillId="4" borderId="5" xfId="0" applyFont="1" applyFill="1" applyBorder="1" applyAlignment="1">
      <alignment horizontal="center"/>
    </xf>
    <xf numFmtId="1" fontId="0" fillId="4" borderId="8" xfId="0" applyNumberFormat="1" applyFont="1" applyFill="1" applyBorder="1" applyAlignment="1"/>
    <xf numFmtId="0" fontId="0" fillId="4" borderId="5" xfId="0" applyFont="1" applyFill="1" applyBorder="1"/>
    <xf numFmtId="164" fontId="0" fillId="4" borderId="9" xfId="0" applyNumberFormat="1" applyFont="1" applyFill="1" applyBorder="1"/>
    <xf numFmtId="164" fontId="0" fillId="4" borderId="1" xfId="0" applyNumberFormat="1" applyFont="1" applyFill="1" applyBorder="1"/>
    <xf numFmtId="164" fontId="0" fillId="4" borderId="1" xfId="0" applyNumberFormat="1" applyFont="1" applyFill="1" applyBorder="1" applyAlignment="1"/>
    <xf numFmtId="0" fontId="7" fillId="0" borderId="11" xfId="0" applyFont="1" applyBorder="1" applyAlignment="1">
      <alignment horizontal="right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/>
    <xf numFmtId="0" fontId="7" fillId="0" borderId="2" xfId="0" applyFont="1" applyBorder="1" applyAlignment="1">
      <alignment horizontal="center"/>
    </xf>
    <xf numFmtId="0" fontId="7" fillId="0" borderId="3" xfId="0" applyFont="1" applyBorder="1" applyAlignment="1"/>
    <xf numFmtId="0" fontId="7" fillId="0" borderId="10" xfId="0" applyFont="1" applyBorder="1"/>
    <xf numFmtId="0" fontId="7" fillId="0" borderId="12" xfId="0" applyFont="1" applyBorder="1"/>
    <xf numFmtId="0" fontId="7" fillId="0" borderId="2" xfId="0" applyFont="1" applyBorder="1"/>
    <xf numFmtId="164" fontId="7" fillId="0" borderId="13" xfId="0" applyNumberFormat="1" applyFont="1" applyBorder="1"/>
    <xf numFmtId="164" fontId="7" fillId="0" borderId="10" xfId="0" applyNumberFormat="1" applyFont="1" applyBorder="1"/>
    <xf numFmtId="164" fontId="7" fillId="0" borderId="10" xfId="0" applyNumberFormat="1" applyFont="1" applyBorder="1" applyAlignment="1"/>
    <xf numFmtId="0" fontId="7" fillId="0" borderId="3" xfId="0" applyFont="1" applyBorder="1" applyAlignment="1">
      <alignment horizontal="right"/>
    </xf>
    <xf numFmtId="164" fontId="7" fillId="0" borderId="4" xfId="0" applyNumberFormat="1" applyFont="1" applyBorder="1"/>
    <xf numFmtId="164" fontId="7" fillId="0" borderId="0" xfId="0" applyNumberFormat="1" applyFont="1" applyBorder="1"/>
    <xf numFmtId="164" fontId="7" fillId="0" borderId="0" xfId="0" applyNumberFormat="1" applyFont="1" applyBorder="1" applyAlignment="1"/>
    <xf numFmtId="0" fontId="7" fillId="0" borderId="3" xfId="0" applyFont="1" applyFill="1" applyBorder="1" applyAlignment="1">
      <alignment horizontal="right"/>
    </xf>
    <xf numFmtId="0" fontId="7" fillId="0" borderId="14" xfId="0" applyFont="1" applyFill="1" applyBorder="1" applyAlignment="1">
      <alignment horizontal="right"/>
    </xf>
    <xf numFmtId="0" fontId="7" fillId="0" borderId="2" xfId="0" applyFont="1" applyFill="1" applyBorder="1" applyAlignment="1">
      <alignment horizontal="right"/>
    </xf>
    <xf numFmtId="0" fontId="0" fillId="5" borderId="5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left"/>
    </xf>
    <xf numFmtId="0" fontId="3" fillId="5" borderId="1" xfId="0" applyFont="1" applyFill="1" applyBorder="1"/>
    <xf numFmtId="0" fontId="3" fillId="5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left"/>
    </xf>
    <xf numFmtId="0" fontId="2" fillId="5" borderId="5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right"/>
    </xf>
    <xf numFmtId="0" fontId="0" fillId="5" borderId="1" xfId="0" applyFont="1" applyFill="1" applyBorder="1" applyAlignment="1">
      <alignment horizontal="center"/>
    </xf>
    <xf numFmtId="0" fontId="0" fillId="5" borderId="1" xfId="0" applyFont="1" applyFill="1" applyBorder="1" applyAlignment="1"/>
    <xf numFmtId="0" fontId="0" fillId="5" borderId="5" xfId="0" applyFont="1" applyFill="1" applyBorder="1" applyAlignment="1">
      <alignment horizontal="center"/>
    </xf>
    <xf numFmtId="0" fontId="7" fillId="5" borderId="8" xfId="0" applyFont="1" applyFill="1" applyBorder="1" applyAlignment="1"/>
    <xf numFmtId="0" fontId="7" fillId="5" borderId="1" xfId="0" applyFont="1" applyFill="1" applyBorder="1"/>
    <xf numFmtId="0" fontId="7" fillId="5" borderId="1" xfId="0" applyFont="1" applyFill="1" applyBorder="1" applyAlignment="1">
      <alignment horizontal="center"/>
    </xf>
    <xf numFmtId="0" fontId="0" fillId="5" borderId="1" xfId="0" applyFont="1" applyFill="1" applyBorder="1"/>
    <xf numFmtId="2" fontId="8" fillId="5" borderId="5" xfId="0" applyNumberFormat="1" applyFont="1" applyFill="1" applyBorder="1" applyAlignment="1">
      <alignment horizontal="center"/>
    </xf>
    <xf numFmtId="1" fontId="0" fillId="5" borderId="1" xfId="0" applyNumberFormat="1" applyFont="1" applyFill="1" applyBorder="1" applyAlignment="1">
      <alignment horizontal="center"/>
    </xf>
    <xf numFmtId="1" fontId="8" fillId="5" borderId="1" xfId="0" applyNumberFormat="1" applyFont="1" applyFill="1" applyBorder="1"/>
    <xf numFmtId="164" fontId="9" fillId="5" borderId="9" xfId="0" applyNumberFormat="1" applyFont="1" applyFill="1" applyBorder="1"/>
    <xf numFmtId="164" fontId="10" fillId="5" borderId="1" xfId="0" applyNumberFormat="1" applyFont="1" applyFill="1" applyBorder="1"/>
    <xf numFmtId="164" fontId="10" fillId="5" borderId="1" xfId="0" applyNumberFormat="1" applyFont="1" applyFill="1" applyBorder="1" applyAlignment="1"/>
    <xf numFmtId="0" fontId="8" fillId="5" borderId="1" xfId="0" applyFont="1" applyFill="1" applyBorder="1"/>
    <xf numFmtId="0" fontId="8" fillId="5" borderId="5" xfId="0" applyFont="1" applyFill="1" applyBorder="1"/>
    <xf numFmtId="3" fontId="8" fillId="5" borderId="1" xfId="0" applyNumberFormat="1" applyFont="1" applyFill="1" applyBorder="1"/>
    <xf numFmtId="3" fontId="8" fillId="5" borderId="5" xfId="0" applyNumberFormat="1" applyFont="1" applyFill="1" applyBorder="1"/>
    <xf numFmtId="9" fontId="8" fillId="0" borderId="0" xfId="1" applyFont="1" applyFill="1" applyBorder="1" applyAlignment="1" applyProtection="1">
      <alignment horizontal="center"/>
    </xf>
    <xf numFmtId="9" fontId="8" fillId="0" borderId="0" xfId="0" applyNumberFormat="1" applyFont="1" applyFill="1" applyBorder="1"/>
    <xf numFmtId="166" fontId="8" fillId="0" borderId="0" xfId="2" applyNumberFormat="1" applyFont="1" applyFill="1" applyBorder="1" applyAlignment="1" applyProtection="1">
      <alignment horizontal="right"/>
    </xf>
    <xf numFmtId="1" fontId="8" fillId="0" borderId="0" xfId="0" applyNumberFormat="1" applyFont="1" applyFill="1" applyBorder="1"/>
    <xf numFmtId="0" fontId="3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right"/>
    </xf>
    <xf numFmtId="0" fontId="0" fillId="0" borderId="3" xfId="0" applyFont="1" applyFill="1" applyBorder="1" applyAlignment="1"/>
    <xf numFmtId="0" fontId="7" fillId="0" borderId="2" xfId="0" applyFont="1" applyFill="1" applyBorder="1" applyAlignment="1">
      <alignment horizontal="center"/>
    </xf>
    <xf numFmtId="2" fontId="8" fillId="0" borderId="2" xfId="0" applyNumberFormat="1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4" fontId="9" fillId="0" borderId="4" xfId="0" applyNumberFormat="1" applyFont="1" applyFill="1" applyBorder="1"/>
    <xf numFmtId="164" fontId="10" fillId="0" borderId="0" xfId="0" applyNumberFormat="1" applyFont="1" applyFill="1" applyBorder="1"/>
    <xf numFmtId="164" fontId="10" fillId="0" borderId="0" xfId="0" applyNumberFormat="1" applyFont="1" applyFill="1" applyBorder="1" applyAlignment="1"/>
    <xf numFmtId="0" fontId="8" fillId="0" borderId="0" xfId="0" applyFont="1" applyFill="1" applyBorder="1"/>
    <xf numFmtId="0" fontId="8" fillId="0" borderId="2" xfId="0" applyFont="1" applyFill="1" applyBorder="1"/>
    <xf numFmtId="3" fontId="8" fillId="0" borderId="0" xfId="0" applyNumberFormat="1" applyFont="1" applyFill="1" applyBorder="1"/>
    <xf numFmtId="3" fontId="8" fillId="0" borderId="2" xfId="0" applyNumberFormat="1" applyFont="1" applyFill="1" applyBorder="1"/>
    <xf numFmtId="0" fontId="0" fillId="6" borderId="8" xfId="0" applyFont="1" applyFill="1" applyBorder="1" applyAlignment="1">
      <alignment horizontal="right"/>
    </xf>
    <xf numFmtId="0" fontId="1" fillId="6" borderId="1" xfId="0" applyFont="1" applyFill="1" applyBorder="1"/>
    <xf numFmtId="0" fontId="0" fillId="6" borderId="1" xfId="0" applyFont="1" applyFill="1" applyBorder="1"/>
    <xf numFmtId="0" fontId="0" fillId="6" borderId="1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left"/>
    </xf>
    <xf numFmtId="0" fontId="2" fillId="6" borderId="5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right"/>
    </xf>
    <xf numFmtId="0" fontId="0" fillId="6" borderId="1" xfId="0" applyFont="1" applyFill="1" applyBorder="1" applyAlignment="1"/>
    <xf numFmtId="0" fontId="0" fillId="6" borderId="5" xfId="0" applyFont="1" applyFill="1" applyBorder="1" applyAlignment="1">
      <alignment horizontal="center"/>
    </xf>
    <xf numFmtId="0" fontId="0" fillId="6" borderId="8" xfId="0" applyFont="1" applyFill="1" applyBorder="1" applyAlignment="1"/>
    <xf numFmtId="2" fontId="0" fillId="6" borderId="5" xfId="0" applyNumberFormat="1" applyFont="1" applyFill="1" applyBorder="1" applyAlignment="1">
      <alignment horizontal="center"/>
    </xf>
    <xf numFmtId="1" fontId="0" fillId="6" borderId="1" xfId="0" applyNumberFormat="1" applyFont="1" applyFill="1" applyBorder="1" applyAlignment="1">
      <alignment horizontal="center"/>
    </xf>
    <xf numFmtId="1" fontId="0" fillId="6" borderId="1" xfId="0" applyNumberFormat="1" applyFont="1" applyFill="1" applyBorder="1"/>
    <xf numFmtId="164" fontId="1" fillId="6" borderId="9" xfId="0" applyNumberFormat="1" applyFont="1" applyFill="1" applyBorder="1"/>
    <xf numFmtId="164" fontId="0" fillId="6" borderId="1" xfId="0" applyNumberFormat="1" applyFont="1" applyFill="1" applyBorder="1"/>
    <xf numFmtId="164" fontId="0" fillId="6" borderId="1" xfId="0" applyNumberFormat="1" applyFont="1" applyFill="1" applyBorder="1" applyAlignment="1"/>
    <xf numFmtId="0" fontId="0" fillId="6" borderId="5" xfId="0" applyFont="1" applyFill="1" applyBorder="1"/>
    <xf numFmtId="3" fontId="0" fillId="6" borderId="1" xfId="0" applyNumberFormat="1" applyFont="1" applyFill="1" applyBorder="1"/>
    <xf numFmtId="3" fontId="0" fillId="6" borderId="5" xfId="0" applyNumberFormat="1" applyFont="1" applyFill="1" applyBorder="1"/>
    <xf numFmtId="9" fontId="0" fillId="0" borderId="0" xfId="1" applyFont="1" applyFill="1" applyBorder="1" applyAlignment="1" applyProtection="1">
      <alignment horizontal="center"/>
    </xf>
    <xf numFmtId="9" fontId="0" fillId="0" borderId="0" xfId="0" applyNumberFormat="1" applyFont="1" applyFill="1" applyBorder="1"/>
    <xf numFmtId="166" fontId="0" fillId="0" borderId="0" xfId="2" applyNumberFormat="1" applyFont="1" applyFill="1" applyBorder="1" applyAlignment="1" applyProtection="1">
      <alignment horizontal="right"/>
    </xf>
    <xf numFmtId="1" fontId="0" fillId="0" borderId="0" xfId="0" applyNumberFormat="1" applyFont="1" applyFill="1" applyBorder="1"/>
    <xf numFmtId="0" fontId="11" fillId="0" borderId="2" xfId="0" applyFont="1" applyFill="1" applyBorder="1" applyAlignment="1">
      <alignment horizontal="right"/>
    </xf>
    <xf numFmtId="0" fontId="11" fillId="0" borderId="0" xfId="0" applyFont="1" applyFill="1" applyBorder="1"/>
    <xf numFmtId="0" fontId="11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right"/>
    </xf>
    <xf numFmtId="0" fontId="11" fillId="0" borderId="0" xfId="0" applyFont="1" applyFill="1" applyBorder="1" applyAlignment="1"/>
    <xf numFmtId="0" fontId="11" fillId="0" borderId="2" xfId="0" applyFont="1" applyFill="1" applyBorder="1" applyAlignment="1">
      <alignment horizontal="center"/>
    </xf>
    <xf numFmtId="0" fontId="11" fillId="0" borderId="3" xfId="0" applyFont="1" applyFill="1" applyBorder="1" applyAlignment="1"/>
    <xf numFmtId="0" fontId="12" fillId="0" borderId="0" xfId="0" applyFont="1" applyFill="1" applyBorder="1"/>
    <xf numFmtId="0" fontId="12" fillId="0" borderId="0" xfId="0" applyFont="1" applyFill="1" applyBorder="1" applyAlignment="1">
      <alignment horizontal="center"/>
    </xf>
    <xf numFmtId="0" fontId="12" fillId="0" borderId="2" xfId="0" applyFont="1" applyFill="1" applyBorder="1" applyAlignment="1">
      <alignment horizontal="center"/>
    </xf>
    <xf numFmtId="2" fontId="12" fillId="0" borderId="2" xfId="0" applyNumberFormat="1" applyFont="1" applyFill="1" applyBorder="1" applyAlignment="1">
      <alignment horizontal="center"/>
    </xf>
    <xf numFmtId="1" fontId="12" fillId="0" borderId="0" xfId="0" applyNumberFormat="1" applyFont="1" applyFill="1" applyBorder="1" applyAlignment="1">
      <alignment horizontal="center"/>
    </xf>
    <xf numFmtId="1" fontId="12" fillId="0" borderId="0" xfId="0" applyNumberFormat="1" applyFont="1" applyFill="1" applyBorder="1"/>
    <xf numFmtId="164" fontId="13" fillId="0" borderId="4" xfId="0" applyNumberFormat="1" applyFont="1" applyFill="1" applyBorder="1"/>
    <xf numFmtId="164" fontId="12" fillId="0" borderId="0" xfId="0" applyNumberFormat="1" applyFont="1" applyFill="1" applyBorder="1"/>
    <xf numFmtId="164" fontId="12" fillId="0" borderId="0" xfId="0" applyNumberFormat="1" applyFont="1" applyFill="1" applyBorder="1" applyAlignment="1"/>
    <xf numFmtId="0" fontId="12" fillId="0" borderId="2" xfId="0" applyFont="1" applyFill="1" applyBorder="1"/>
    <xf numFmtId="3" fontId="12" fillId="0" borderId="0" xfId="0" applyNumberFormat="1" applyFont="1" applyFill="1" applyBorder="1"/>
    <xf numFmtId="3" fontId="12" fillId="0" borderId="2" xfId="0" applyNumberFormat="1" applyFont="1" applyFill="1" applyBorder="1"/>
    <xf numFmtId="9" fontId="12" fillId="0" borderId="0" xfId="1" applyFont="1" applyFill="1" applyBorder="1" applyAlignment="1" applyProtection="1">
      <alignment horizontal="center"/>
    </xf>
    <xf numFmtId="9" fontId="12" fillId="0" borderId="0" xfId="0" applyNumberFormat="1" applyFont="1" applyFill="1" applyBorder="1"/>
    <xf numFmtId="166" fontId="12" fillId="0" borderId="0" xfId="2" applyNumberFormat="1" applyFont="1" applyFill="1" applyBorder="1" applyAlignment="1" applyProtection="1">
      <alignment horizontal="right"/>
    </xf>
    <xf numFmtId="0" fontId="1" fillId="7" borderId="1" xfId="0" applyFont="1" applyFill="1" applyBorder="1"/>
    <xf numFmtId="0" fontId="0" fillId="7" borderId="1" xfId="0" applyFont="1" applyFill="1" applyBorder="1"/>
    <xf numFmtId="0" fontId="0" fillId="7" borderId="1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left"/>
    </xf>
    <xf numFmtId="0" fontId="2" fillId="7" borderId="5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right"/>
    </xf>
    <xf numFmtId="0" fontId="0" fillId="7" borderId="1" xfId="0" applyFont="1" applyFill="1" applyBorder="1" applyAlignment="1"/>
    <xf numFmtId="0" fontId="0" fillId="7" borderId="5" xfId="0" applyFont="1" applyFill="1" applyBorder="1" applyAlignment="1">
      <alignment horizontal="center"/>
    </xf>
    <xf numFmtId="1" fontId="0" fillId="7" borderId="1" xfId="0" applyNumberFormat="1" applyFont="1" applyFill="1" applyBorder="1"/>
    <xf numFmtId="3" fontId="0" fillId="7" borderId="1" xfId="0" applyNumberFormat="1" applyFont="1" applyFill="1" applyBorder="1"/>
    <xf numFmtId="0" fontId="0" fillId="8" borderId="8" xfId="0" applyFont="1" applyFill="1" applyBorder="1" applyAlignment="1">
      <alignment horizontal="right"/>
    </xf>
    <xf numFmtId="0" fontId="1" fillId="8" borderId="1" xfId="0" applyFont="1" applyFill="1" applyBorder="1"/>
    <xf numFmtId="0" fontId="0" fillId="8" borderId="1" xfId="0" applyFont="1" applyFill="1" applyBorder="1"/>
    <xf numFmtId="0" fontId="0" fillId="8" borderId="1" xfId="0" applyFont="1" applyFill="1" applyBorder="1" applyAlignment="1">
      <alignment horizontal="left"/>
    </xf>
    <xf numFmtId="0" fontId="2" fillId="8" borderId="5" xfId="0" applyFont="1" applyFill="1" applyBorder="1"/>
    <xf numFmtId="0" fontId="0" fillId="8" borderId="1" xfId="0" applyFont="1" applyFill="1" applyBorder="1" applyAlignment="1">
      <alignment horizontal="center"/>
    </xf>
    <xf numFmtId="0" fontId="0" fillId="8" borderId="1" xfId="0" applyFont="1" applyFill="1" applyBorder="1" applyAlignment="1"/>
    <xf numFmtId="0" fontId="0" fillId="8" borderId="5" xfId="0" applyFont="1" applyFill="1" applyBorder="1" applyAlignment="1">
      <alignment horizontal="center"/>
    </xf>
    <xf numFmtId="0" fontId="0" fillId="8" borderId="8" xfId="0" applyFont="1" applyFill="1" applyBorder="1" applyAlignment="1"/>
    <xf numFmtId="1" fontId="0" fillId="8" borderId="5" xfId="0" applyNumberFormat="1" applyFont="1" applyFill="1" applyBorder="1"/>
    <xf numFmtId="0" fontId="0" fillId="8" borderId="5" xfId="0" applyFont="1" applyFill="1" applyBorder="1"/>
    <xf numFmtId="0" fontId="0" fillId="8" borderId="1" xfId="0" applyFont="1" applyFill="1" applyBorder="1" applyAlignment="1">
      <alignment horizontal="right"/>
    </xf>
    <xf numFmtId="164" fontId="0" fillId="8" borderId="9" xfId="0" applyNumberFormat="1" applyFont="1" applyFill="1" applyBorder="1"/>
    <xf numFmtId="164" fontId="0" fillId="8" borderId="1" xfId="0" applyNumberFormat="1" applyFont="1" applyFill="1" applyBorder="1"/>
    <xf numFmtId="164" fontId="0" fillId="8" borderId="1" xfId="0" applyNumberFormat="1" applyFont="1" applyFill="1" applyBorder="1" applyAlignment="1"/>
    <xf numFmtId="1" fontId="0" fillId="8" borderId="1" xfId="0" applyNumberFormat="1" applyFont="1" applyFill="1" applyBorder="1"/>
    <xf numFmtId="0" fontId="0" fillId="0" borderId="3" xfId="0" applyFont="1" applyFill="1" applyBorder="1" applyAlignment="1">
      <alignment horizontal="right"/>
    </xf>
    <xf numFmtId="0" fontId="2" fillId="0" borderId="2" xfId="0" applyFont="1" applyFill="1" applyBorder="1"/>
    <xf numFmtId="164" fontId="8" fillId="0" borderId="0" xfId="0" applyNumberFormat="1" applyFont="1" applyFill="1" applyBorder="1"/>
    <xf numFmtId="9" fontId="8" fillId="0" borderId="2" xfId="0" applyNumberFormat="1" applyFont="1" applyFill="1" applyBorder="1"/>
    <xf numFmtId="164" fontId="0" fillId="0" borderId="4" xfId="0" applyNumberFormat="1" applyFont="1" applyBorder="1"/>
    <xf numFmtId="1" fontId="0" fillId="0" borderId="2" xfId="0" applyNumberFormat="1" applyFont="1" applyFill="1" applyBorder="1"/>
    <xf numFmtId="0" fontId="0" fillId="0" borderId="2" xfId="0" applyFont="1" applyBorder="1"/>
    <xf numFmtId="164" fontId="0" fillId="0" borderId="4" xfId="0" applyNumberFormat="1" applyFont="1" applyFill="1" applyBorder="1" applyAlignment="1">
      <alignment horizontal="right"/>
    </xf>
    <xf numFmtId="0" fontId="0" fillId="0" borderId="14" xfId="0" applyFont="1" applyFill="1" applyBorder="1" applyAlignment="1">
      <alignment horizontal="right"/>
    </xf>
    <xf numFmtId="1" fontId="0" fillId="0" borderId="0" xfId="1" applyNumberFormat="1" applyFont="1" applyFill="1" applyBorder="1" applyAlignment="1" applyProtection="1"/>
    <xf numFmtId="1" fontId="0" fillId="0" borderId="2" xfId="1" applyNumberFormat="1" applyFont="1" applyFill="1" applyBorder="1" applyAlignment="1" applyProtection="1"/>
    <xf numFmtId="1" fontId="3" fillId="0" borderId="15" xfId="0" applyNumberFormat="1" applyFont="1" applyBorder="1"/>
    <xf numFmtId="1" fontId="3" fillId="0" borderId="7" xfId="0" applyNumberFormat="1" applyFont="1" applyBorder="1"/>
    <xf numFmtId="1" fontId="3" fillId="0" borderId="6" xfId="0" applyNumberFormat="1" applyFont="1" applyBorder="1"/>
    <xf numFmtId="164" fontId="3" fillId="0" borderId="15" xfId="0" applyNumberFormat="1" applyFont="1" applyBorder="1"/>
    <xf numFmtId="164" fontId="3" fillId="0" borderId="6" xfId="0" applyNumberFormat="1" applyFont="1" applyBorder="1"/>
    <xf numFmtId="164" fontId="3" fillId="0" borderId="6" xfId="0" applyNumberFormat="1" applyFont="1" applyBorder="1" applyAlignment="1"/>
    <xf numFmtId="0" fontId="3" fillId="0" borderId="6" xfId="0" applyFont="1" applyBorder="1"/>
    <xf numFmtId="0" fontId="3" fillId="0" borderId="7" xfId="0" applyFont="1" applyBorder="1"/>
    <xf numFmtId="0" fontId="0" fillId="9" borderId="7" xfId="0" applyFont="1" applyFill="1" applyBorder="1" applyAlignment="1">
      <alignment horizontal="right"/>
    </xf>
    <xf numFmtId="0" fontId="1" fillId="9" borderId="1" xfId="0" applyFont="1" applyFill="1" applyBorder="1"/>
    <xf numFmtId="0" fontId="0" fillId="9" borderId="1" xfId="0" applyFont="1" applyFill="1" applyBorder="1"/>
    <xf numFmtId="0" fontId="0" fillId="9" borderId="1" xfId="0" applyFont="1" applyFill="1" applyBorder="1" applyAlignment="1">
      <alignment horizontal="center"/>
    </xf>
    <xf numFmtId="0" fontId="0" fillId="9" borderId="1" xfId="0" applyFont="1" applyFill="1" applyBorder="1" applyAlignment="1">
      <alignment horizontal="left"/>
    </xf>
    <xf numFmtId="0" fontId="2" fillId="9" borderId="5" xfId="0" applyFont="1" applyFill="1" applyBorder="1" applyAlignment="1">
      <alignment horizontal="center"/>
    </xf>
    <xf numFmtId="0" fontId="0" fillId="10" borderId="8" xfId="0" applyFont="1" applyFill="1" applyBorder="1" applyAlignment="1">
      <alignment horizontal="center"/>
    </xf>
    <xf numFmtId="0" fontId="0" fillId="9" borderId="1" xfId="0" applyFont="1" applyFill="1" applyBorder="1" applyAlignment="1"/>
    <xf numFmtId="0" fontId="0" fillId="9" borderId="5" xfId="0" applyFont="1" applyFill="1" applyBorder="1" applyAlignment="1">
      <alignment horizontal="center"/>
    </xf>
    <xf numFmtId="1" fontId="0" fillId="9" borderId="8" xfId="0" applyNumberFormat="1" applyFont="1" applyFill="1" applyBorder="1" applyAlignment="1"/>
    <xf numFmtId="1" fontId="3" fillId="9" borderId="1" xfId="0" applyNumberFormat="1" applyFont="1" applyFill="1" applyBorder="1" applyAlignment="1">
      <alignment horizontal="center"/>
    </xf>
    <xf numFmtId="1" fontId="3" fillId="9" borderId="1" xfId="0" applyNumberFormat="1" applyFont="1" applyFill="1" applyBorder="1"/>
    <xf numFmtId="9" fontId="3" fillId="9" borderId="5" xfId="1" applyFont="1" applyFill="1" applyBorder="1" applyAlignment="1" applyProtection="1">
      <alignment horizontal="center"/>
    </xf>
    <xf numFmtId="1" fontId="3" fillId="9" borderId="6" xfId="0" applyNumberFormat="1" applyFont="1" applyFill="1" applyBorder="1"/>
    <xf numFmtId="1" fontId="3" fillId="9" borderId="7" xfId="0" applyNumberFormat="1" applyFont="1" applyFill="1" applyBorder="1"/>
    <xf numFmtId="164" fontId="3" fillId="9" borderId="15" xfId="0" applyNumberFormat="1" applyFont="1" applyFill="1" applyBorder="1"/>
    <xf numFmtId="164" fontId="3" fillId="9" borderId="6" xfId="0" applyNumberFormat="1" applyFont="1" applyFill="1" applyBorder="1"/>
    <xf numFmtId="164" fontId="3" fillId="9" borderId="6" xfId="0" applyNumberFormat="1" applyFont="1" applyFill="1" applyBorder="1" applyAlignment="1"/>
    <xf numFmtId="0" fontId="3" fillId="9" borderId="6" xfId="0" applyFont="1" applyFill="1" applyBorder="1"/>
    <xf numFmtId="0" fontId="3" fillId="9" borderId="7" xfId="0" applyFont="1" applyFill="1" applyBorder="1"/>
    <xf numFmtId="1" fontId="0" fillId="9" borderId="1" xfId="1" applyNumberFormat="1" applyFont="1" applyFill="1" applyBorder="1" applyAlignment="1" applyProtection="1"/>
    <xf numFmtId="1" fontId="0" fillId="9" borderId="5" xfId="1" applyNumberFormat="1" applyFont="1" applyFill="1" applyBorder="1" applyAlignment="1" applyProtection="1"/>
    <xf numFmtId="0" fontId="0" fillId="9" borderId="5" xfId="0" applyFont="1" applyFill="1" applyBorder="1" applyAlignment="1">
      <alignment horizontal="right"/>
    </xf>
    <xf numFmtId="1" fontId="3" fillId="9" borderId="5" xfId="0" applyNumberFormat="1" applyFont="1" applyFill="1" applyBorder="1"/>
    <xf numFmtId="164" fontId="3" fillId="9" borderId="9" xfId="0" applyNumberFormat="1" applyFont="1" applyFill="1" applyBorder="1"/>
    <xf numFmtId="164" fontId="3" fillId="9" borderId="1" xfId="0" applyNumberFormat="1" applyFont="1" applyFill="1" applyBorder="1"/>
    <xf numFmtId="164" fontId="3" fillId="9" borderId="1" xfId="0" applyNumberFormat="1" applyFont="1" applyFill="1" applyBorder="1" applyAlignment="1"/>
    <xf numFmtId="0" fontId="3" fillId="9" borderId="1" xfId="0" applyFont="1" applyFill="1" applyBorder="1"/>
    <xf numFmtId="0" fontId="3" fillId="9" borderId="5" xfId="0" applyFont="1" applyFill="1" applyBorder="1"/>
    <xf numFmtId="0" fontId="1" fillId="9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left"/>
    </xf>
    <xf numFmtId="0" fontId="4" fillId="9" borderId="5" xfId="0" applyFont="1" applyFill="1" applyBorder="1" applyAlignment="1">
      <alignment horizontal="center"/>
    </xf>
    <xf numFmtId="0" fontId="1" fillId="9" borderId="1" xfId="0" applyFont="1" applyFill="1" applyBorder="1" applyAlignment="1"/>
    <xf numFmtId="0" fontId="1" fillId="9" borderId="5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right"/>
    </xf>
    <xf numFmtId="0" fontId="1" fillId="11" borderId="1" xfId="0" applyFont="1" applyFill="1" applyBorder="1"/>
    <xf numFmtId="0" fontId="1" fillId="11" borderId="1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left"/>
    </xf>
    <xf numFmtId="0" fontId="4" fillId="11" borderId="5" xfId="0" applyFont="1" applyFill="1" applyBorder="1" applyAlignment="1">
      <alignment horizontal="center"/>
    </xf>
    <xf numFmtId="0" fontId="1" fillId="11" borderId="1" xfId="0" applyFont="1" applyFill="1" applyBorder="1" applyAlignment="1"/>
    <xf numFmtId="0" fontId="1" fillId="11" borderId="5" xfId="0" applyFont="1" applyFill="1" applyBorder="1" applyAlignment="1">
      <alignment horizontal="center"/>
    </xf>
    <xf numFmtId="1" fontId="0" fillId="11" borderId="9" xfId="0" applyNumberFormat="1" applyFont="1" applyFill="1" applyBorder="1" applyAlignment="1"/>
    <xf numFmtId="1" fontId="3" fillId="10" borderId="8" xfId="0" applyNumberFormat="1" applyFont="1" applyFill="1" applyBorder="1" applyAlignment="1">
      <alignment horizontal="center"/>
    </xf>
    <xf numFmtId="9" fontId="3" fillId="10" borderId="8" xfId="1" applyFont="1" applyFill="1" applyBorder="1" applyAlignment="1" applyProtection="1">
      <alignment horizontal="center"/>
    </xf>
    <xf numFmtId="1" fontId="3" fillId="11" borderId="1" xfId="0" applyNumberFormat="1" applyFont="1" applyFill="1" applyBorder="1"/>
    <xf numFmtId="1" fontId="3" fillId="11" borderId="5" xfId="0" applyNumberFormat="1" applyFont="1" applyFill="1" applyBorder="1"/>
    <xf numFmtId="164" fontId="3" fillId="11" borderId="9" xfId="0" applyNumberFormat="1" applyFont="1" applyFill="1" applyBorder="1"/>
    <xf numFmtId="164" fontId="3" fillId="11" borderId="1" xfId="0" applyNumberFormat="1" applyFont="1" applyFill="1" applyBorder="1"/>
    <xf numFmtId="164" fontId="3" fillId="11" borderId="1" xfId="0" applyNumberFormat="1" applyFont="1" applyFill="1" applyBorder="1" applyAlignment="1"/>
    <xf numFmtId="0" fontId="3" fillId="11" borderId="1" xfId="0" applyFont="1" applyFill="1" applyBorder="1"/>
    <xf numFmtId="0" fontId="3" fillId="11" borderId="5" xfId="0" applyFont="1" applyFill="1" applyBorder="1"/>
    <xf numFmtId="1" fontId="0" fillId="11" borderId="1" xfId="1" applyNumberFormat="1" applyFont="1" applyFill="1" applyBorder="1" applyAlignment="1" applyProtection="1"/>
    <xf numFmtId="1" fontId="0" fillId="11" borderId="5" xfId="1" applyNumberFormat="1" applyFont="1" applyFill="1" applyBorder="1" applyAlignment="1" applyProtection="1"/>
    <xf numFmtId="9" fontId="3" fillId="0" borderId="0" xfId="0" applyNumberFormat="1" applyFont="1" applyFill="1" applyBorder="1"/>
    <xf numFmtId="1" fontId="3" fillId="0" borderId="0" xfId="0" applyNumberFormat="1" applyFont="1" applyFill="1" applyBorder="1"/>
    <xf numFmtId="9" fontId="3" fillId="0" borderId="2" xfId="1" applyFont="1" applyFill="1" applyBorder="1" applyAlignment="1" applyProtection="1"/>
    <xf numFmtId="0" fontId="12" fillId="0" borderId="2" xfId="0" applyFont="1" applyBorder="1" applyAlignment="1">
      <alignment horizontal="right"/>
    </xf>
    <xf numFmtId="0" fontId="12" fillId="0" borderId="0" xfId="0" applyFont="1" applyBorder="1"/>
    <xf numFmtId="0" fontId="12" fillId="0" borderId="0" xfId="0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 applyAlignment="1"/>
    <xf numFmtId="0" fontId="12" fillId="0" borderId="2" xfId="0" applyFont="1" applyBorder="1" applyAlignment="1">
      <alignment horizontal="center"/>
    </xf>
    <xf numFmtId="1" fontId="12" fillId="0" borderId="3" xfId="0" applyNumberFormat="1" applyFont="1" applyFill="1" applyBorder="1" applyAlignment="1"/>
    <xf numFmtId="9" fontId="12" fillId="0" borderId="2" xfId="1" applyFont="1" applyFill="1" applyBorder="1" applyAlignment="1" applyProtection="1"/>
    <xf numFmtId="1" fontId="12" fillId="0" borderId="0" xfId="0" applyNumberFormat="1" applyFont="1" applyBorder="1"/>
    <xf numFmtId="1" fontId="12" fillId="0" borderId="2" xfId="0" applyNumberFormat="1" applyFont="1" applyBorder="1"/>
    <xf numFmtId="164" fontId="12" fillId="0" borderId="4" xfId="0" applyNumberFormat="1" applyFont="1" applyBorder="1"/>
    <xf numFmtId="164" fontId="12" fillId="0" borderId="0" xfId="0" applyNumberFormat="1" applyFont="1" applyBorder="1"/>
    <xf numFmtId="164" fontId="12" fillId="0" borderId="0" xfId="0" applyNumberFormat="1" applyFont="1" applyBorder="1" applyAlignment="1"/>
    <xf numFmtId="0" fontId="12" fillId="0" borderId="2" xfId="0" applyFont="1" applyBorder="1"/>
    <xf numFmtId="1" fontId="12" fillId="0" borderId="0" xfId="1" applyNumberFormat="1" applyFont="1" applyFill="1" applyBorder="1" applyAlignment="1" applyProtection="1"/>
    <xf numFmtId="1" fontId="12" fillId="0" borderId="2" xfId="1" applyNumberFormat="1" applyFont="1" applyFill="1" applyBorder="1" applyAlignment="1" applyProtection="1"/>
    <xf numFmtId="1" fontId="3" fillId="0" borderId="0" xfId="0" applyNumberFormat="1" applyFont="1" applyFill="1" applyBorder="1" applyAlignment="1">
      <alignment horizontal="center"/>
    </xf>
    <xf numFmtId="1" fontId="3" fillId="0" borderId="0" xfId="0" applyNumberFormat="1" applyFont="1" applyBorder="1" applyAlignment="1">
      <alignment horizontal="center"/>
    </xf>
    <xf numFmtId="9" fontId="3" fillId="0" borderId="0" xfId="0" applyNumberFormat="1" applyFont="1" applyBorder="1"/>
    <xf numFmtId="9" fontId="3" fillId="0" borderId="2" xfId="0" applyNumberFormat="1" applyFont="1" applyBorder="1"/>
    <xf numFmtId="1" fontId="12" fillId="0" borderId="0" xfId="0" applyNumberFormat="1" applyFont="1" applyBorder="1" applyAlignment="1">
      <alignment horizontal="center"/>
    </xf>
    <xf numFmtId="9" fontId="12" fillId="0" borderId="0" xfId="0" applyNumberFormat="1" applyFont="1" applyBorder="1"/>
    <xf numFmtId="9" fontId="12" fillId="0" borderId="2" xfId="0" applyNumberFormat="1" applyFont="1" applyBorder="1"/>
    <xf numFmtId="0" fontId="12" fillId="0" borderId="0" xfId="0" applyFont="1" applyFill="1" applyBorder="1" applyAlignment="1">
      <alignment horizontal="left"/>
    </xf>
    <xf numFmtId="0" fontId="12" fillId="0" borderId="0" xfId="0" applyFont="1" applyFill="1" applyBorder="1" applyAlignment="1"/>
    <xf numFmtId="0" fontId="3" fillId="0" borderId="12" xfId="0" applyFont="1" applyFill="1" applyBorder="1"/>
    <xf numFmtId="0" fontId="3" fillId="0" borderId="2" xfId="0" applyFont="1" applyFill="1" applyBorder="1"/>
    <xf numFmtId="0" fontId="12" fillId="0" borderId="12" xfId="0" applyFont="1" applyFill="1" applyBorder="1"/>
    <xf numFmtId="0" fontId="0" fillId="11" borderId="1" xfId="0" applyFont="1" applyFill="1" applyBorder="1"/>
    <xf numFmtId="0" fontId="0" fillId="11" borderId="1" xfId="0" applyFont="1" applyFill="1" applyBorder="1" applyAlignment="1">
      <alignment horizontal="center"/>
    </xf>
    <xf numFmtId="0" fontId="0" fillId="11" borderId="10" xfId="0" applyFont="1" applyFill="1" applyBorder="1" applyAlignment="1">
      <alignment horizontal="left"/>
    </xf>
    <xf numFmtId="0" fontId="2" fillId="11" borderId="12" xfId="0" applyFont="1" applyFill="1" applyBorder="1" applyAlignment="1">
      <alignment horizontal="center"/>
    </xf>
    <xf numFmtId="0" fontId="0" fillId="11" borderId="1" xfId="0" applyFont="1" applyFill="1" applyBorder="1" applyAlignment="1"/>
    <xf numFmtId="0" fontId="0" fillId="11" borderId="5" xfId="0" applyFont="1" applyFill="1" applyBorder="1" applyAlignment="1">
      <alignment horizontal="center"/>
    </xf>
    <xf numFmtId="1" fontId="0" fillId="11" borderId="8" xfId="0" applyNumberFormat="1" applyFont="1" applyFill="1" applyBorder="1" applyAlignment="1"/>
    <xf numFmtId="1" fontId="3" fillId="11" borderId="1" xfId="0" applyNumberFormat="1" applyFont="1" applyFill="1" applyBorder="1" applyAlignment="1">
      <alignment horizontal="center"/>
    </xf>
    <xf numFmtId="9" fontId="3" fillId="11" borderId="1" xfId="1" applyFont="1" applyFill="1" applyBorder="1" applyAlignment="1" applyProtection="1">
      <alignment horizontal="center"/>
    </xf>
    <xf numFmtId="9" fontId="3" fillId="11" borderId="5" xfId="1" applyFont="1" applyFill="1" applyBorder="1" applyAlignment="1" applyProtection="1">
      <alignment horizontal="center"/>
    </xf>
    <xf numFmtId="0" fontId="0" fillId="0" borderId="10" xfId="0" applyFont="1" applyFill="1" applyBorder="1" applyAlignment="1">
      <alignment horizontal="left"/>
    </xf>
    <xf numFmtId="164" fontId="3" fillId="0" borderId="0" xfId="0" applyNumberFormat="1" applyFont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 vertical="center" textRotation="90"/>
    </xf>
    <xf numFmtId="0" fontId="0" fillId="0" borderId="6" xfId="0" applyFont="1" applyFill="1" applyBorder="1"/>
    <xf numFmtId="0" fontId="0" fillId="0" borderId="6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left"/>
    </xf>
    <xf numFmtId="0" fontId="2" fillId="0" borderId="7" xfId="0" applyFont="1" applyFill="1" applyBorder="1" applyAlignment="1">
      <alignment horizontal="center"/>
    </xf>
    <xf numFmtId="0" fontId="0" fillId="0" borderId="6" xfId="0" applyFont="1" applyFill="1" applyBorder="1" applyAlignment="1"/>
    <xf numFmtId="0" fontId="0" fillId="0" borderId="7" xfId="0" applyFont="1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164" fontId="3" fillId="0" borderId="6" xfId="0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 textRotation="90"/>
    </xf>
    <xf numFmtId="1" fontId="0" fillId="0" borderId="6" xfId="1" applyNumberFormat="1" applyFont="1" applyFill="1" applyBorder="1" applyAlignment="1" applyProtection="1"/>
    <xf numFmtId="1" fontId="0" fillId="0" borderId="7" xfId="1" applyNumberFormat="1" applyFont="1" applyFill="1" applyBorder="1" applyAlignment="1" applyProtection="1"/>
    <xf numFmtId="0" fontId="0" fillId="0" borderId="7" xfId="0" applyFont="1" applyBorder="1" applyAlignment="1">
      <alignment horizontal="right"/>
    </xf>
    <xf numFmtId="1" fontId="0" fillId="0" borderId="14" xfId="0" applyNumberFormat="1" applyFont="1" applyFill="1" applyBorder="1" applyAlignment="1"/>
    <xf numFmtId="0" fontId="0" fillId="0" borderId="6" xfId="0" applyFont="1" applyBorder="1"/>
    <xf numFmtId="164" fontId="12" fillId="0" borderId="0" xfId="0" applyNumberFormat="1" applyFont="1" applyBorder="1" applyAlignment="1">
      <alignment horizontal="center" vertical="center"/>
    </xf>
    <xf numFmtId="1" fontId="12" fillId="0" borderId="0" xfId="0" applyNumberFormat="1" applyFont="1" applyBorder="1" applyAlignment="1">
      <alignment horizontal="center" vertical="center" textRotation="90"/>
    </xf>
    <xf numFmtId="0" fontId="12" fillId="0" borderId="6" xfId="0" applyFont="1" applyFill="1" applyBorder="1"/>
    <xf numFmtId="0" fontId="12" fillId="0" borderId="6" xfId="0" applyFont="1" applyFill="1" applyBorder="1" applyAlignment="1">
      <alignment horizontal="center"/>
    </xf>
    <xf numFmtId="0" fontId="12" fillId="0" borderId="6" xfId="0" applyFont="1" applyFill="1" applyBorder="1" applyAlignment="1">
      <alignment horizontal="left"/>
    </xf>
    <xf numFmtId="0" fontId="12" fillId="0" borderId="6" xfId="0" applyFont="1" applyFill="1" applyBorder="1" applyAlignment="1"/>
    <xf numFmtId="0" fontId="12" fillId="0" borderId="7" xfId="0" applyFont="1" applyFill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6" xfId="0" applyFont="1" applyBorder="1"/>
    <xf numFmtId="1" fontId="12" fillId="0" borderId="6" xfId="0" applyNumberFormat="1" applyFont="1" applyBorder="1"/>
    <xf numFmtId="0" fontId="12" fillId="0" borderId="7" xfId="0" applyFont="1" applyBorder="1"/>
    <xf numFmtId="1" fontId="12" fillId="0" borderId="7" xfId="0" applyNumberFormat="1" applyFont="1" applyBorder="1"/>
    <xf numFmtId="164" fontId="12" fillId="0" borderId="15" xfId="0" applyNumberFormat="1" applyFont="1" applyBorder="1"/>
    <xf numFmtId="164" fontId="12" fillId="0" borderId="6" xfId="0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 textRotation="90"/>
    </xf>
    <xf numFmtId="1" fontId="12" fillId="0" borderId="6" xfId="1" applyNumberFormat="1" applyFont="1" applyFill="1" applyBorder="1" applyAlignment="1" applyProtection="1"/>
    <xf numFmtId="1" fontId="12" fillId="0" borderId="7" xfId="1" applyNumberFormat="1" applyFont="1" applyFill="1" applyBorder="1" applyAlignment="1" applyProtection="1"/>
    <xf numFmtId="0" fontId="0" fillId="11" borderId="1" xfId="0" applyFont="1" applyFill="1" applyBorder="1" applyAlignment="1">
      <alignment horizontal="left"/>
    </xf>
    <xf numFmtId="0" fontId="2" fillId="11" borderId="5" xfId="0" applyFont="1" applyFill="1" applyBorder="1" applyAlignment="1">
      <alignment horizontal="center"/>
    </xf>
    <xf numFmtId="1" fontId="3" fillId="0" borderId="0" xfId="0" applyNumberFormat="1" applyFont="1" applyBorder="1" applyAlignment="1">
      <alignment vertical="center"/>
    </xf>
    <xf numFmtId="1" fontId="3" fillId="0" borderId="6" xfId="0" applyNumberFormat="1" applyFont="1" applyBorder="1" applyAlignment="1">
      <alignment vertical="center"/>
    </xf>
    <xf numFmtId="0" fontId="12" fillId="0" borderId="10" xfId="0" applyFont="1" applyFill="1" applyBorder="1" applyAlignment="1">
      <alignment horizontal="left"/>
    </xf>
    <xf numFmtId="0" fontId="12" fillId="0" borderId="10" xfId="0" applyFont="1" applyFill="1" applyBorder="1"/>
    <xf numFmtId="0" fontId="12" fillId="0" borderId="10" xfId="0" applyFont="1" applyFill="1" applyBorder="1" applyAlignment="1">
      <alignment horizontal="center"/>
    </xf>
    <xf numFmtId="0" fontId="12" fillId="0" borderId="10" xfId="0" applyFont="1" applyFill="1" applyBorder="1" applyAlignment="1"/>
    <xf numFmtId="0" fontId="12" fillId="0" borderId="12" xfId="0" applyFont="1" applyFill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10" xfId="0" applyFont="1" applyBorder="1"/>
    <xf numFmtId="1" fontId="12" fillId="0" borderId="10" xfId="0" applyNumberFormat="1" applyFont="1" applyBorder="1"/>
    <xf numFmtId="0" fontId="12" fillId="0" borderId="12" xfId="0" applyFont="1" applyBorder="1"/>
    <xf numFmtId="1" fontId="12" fillId="0" borderId="0" xfId="0" applyNumberFormat="1" applyFont="1" applyBorder="1" applyAlignment="1">
      <alignment vertical="center"/>
    </xf>
    <xf numFmtId="0" fontId="12" fillId="0" borderId="4" xfId="0" applyFont="1" applyBorder="1" applyAlignment="1">
      <alignment horizontal="center"/>
    </xf>
    <xf numFmtId="0" fontId="12" fillId="0" borderId="15" xfId="0" applyFont="1" applyFill="1" applyBorder="1"/>
    <xf numFmtId="1" fontId="12" fillId="0" borderId="6" xfId="0" applyNumberFormat="1" applyFont="1" applyBorder="1" applyAlignment="1">
      <alignment vertical="center"/>
    </xf>
    <xf numFmtId="0" fontId="12" fillId="0" borderId="15" xfId="0" applyFont="1" applyBorder="1" applyAlignment="1">
      <alignment horizontal="center"/>
    </xf>
    <xf numFmtId="1" fontId="3" fillId="11" borderId="6" xfId="0" applyNumberFormat="1" applyFont="1" applyFill="1" applyBorder="1" applyAlignment="1">
      <alignment horizontal="center"/>
    </xf>
    <xf numFmtId="9" fontId="3" fillId="11" borderId="6" xfId="1" applyFont="1" applyFill="1" applyBorder="1" applyAlignment="1" applyProtection="1">
      <alignment horizontal="center"/>
    </xf>
    <xf numFmtId="1" fontId="3" fillId="11" borderId="6" xfId="0" applyNumberFormat="1" applyFont="1" applyFill="1" applyBorder="1"/>
    <xf numFmtId="9" fontId="3" fillId="11" borderId="7" xfId="1" applyFont="1" applyFill="1" applyBorder="1" applyAlignment="1" applyProtection="1">
      <alignment horizontal="center"/>
    </xf>
    <xf numFmtId="0" fontId="3" fillId="11" borderId="1" xfId="0" applyFont="1" applyFill="1" applyBorder="1" applyAlignment="1">
      <alignment vertical="center"/>
    </xf>
    <xf numFmtId="0" fontId="0" fillId="11" borderId="6" xfId="0" applyFont="1" applyFill="1" applyBorder="1"/>
    <xf numFmtId="0" fontId="0" fillId="11" borderId="6" xfId="0" applyFont="1" applyFill="1" applyBorder="1" applyAlignment="1">
      <alignment horizontal="center"/>
    </xf>
    <xf numFmtId="0" fontId="0" fillId="11" borderId="6" xfId="0" applyFont="1" applyFill="1" applyBorder="1" applyAlignment="1"/>
    <xf numFmtId="0" fontId="0" fillId="11" borderId="7" xfId="0" applyFont="1" applyFill="1" applyBorder="1" applyAlignment="1">
      <alignment horizontal="center"/>
    </xf>
    <xf numFmtId="1" fontId="0" fillId="0" borderId="4" xfId="1" applyNumberFormat="1" applyFont="1" applyFill="1" applyBorder="1" applyAlignment="1" applyProtection="1"/>
    <xf numFmtId="1" fontId="3" fillId="0" borderId="4" xfId="0" applyNumberFormat="1" applyFont="1" applyBorder="1"/>
    <xf numFmtId="1" fontId="8" fillId="0" borderId="0" xfId="1" applyNumberFormat="1" applyFont="1" applyFill="1" applyBorder="1" applyAlignment="1" applyProtection="1"/>
    <xf numFmtId="1" fontId="8" fillId="0" borderId="2" xfId="1" applyNumberFormat="1" applyFont="1" applyFill="1" applyBorder="1" applyAlignment="1" applyProtection="1"/>
    <xf numFmtId="0" fontId="3" fillId="11" borderId="1" xfId="0" applyFont="1" applyFill="1" applyBorder="1" applyAlignment="1">
      <alignment horizontal="center"/>
    </xf>
    <xf numFmtId="1" fontId="8" fillId="11" borderId="1" xfId="1" applyNumberFormat="1" applyFont="1" applyFill="1" applyBorder="1" applyAlignment="1" applyProtection="1"/>
    <xf numFmtId="1" fontId="8" fillId="11" borderId="5" xfId="1" applyNumberFormat="1" applyFont="1" applyFill="1" applyBorder="1" applyAlignment="1" applyProtection="1"/>
    <xf numFmtId="0" fontId="1" fillId="7" borderId="8" xfId="0" applyFont="1" applyFill="1" applyBorder="1" applyAlignment="1">
      <alignment horizontal="right"/>
    </xf>
    <xf numFmtId="0" fontId="0" fillId="7" borderId="9" xfId="0" applyFont="1" applyFill="1" applyBorder="1"/>
    <xf numFmtId="1" fontId="0" fillId="7" borderId="8" xfId="0" applyNumberFormat="1" applyFont="1" applyFill="1" applyBorder="1" applyAlignment="1"/>
    <xf numFmtId="0" fontId="3" fillId="7" borderId="1" xfId="0" applyFont="1" applyFill="1" applyBorder="1" applyAlignment="1">
      <alignment horizontal="center"/>
    </xf>
    <xf numFmtId="0" fontId="3" fillId="7" borderId="1" xfId="0" applyFont="1" applyFill="1" applyBorder="1"/>
    <xf numFmtId="1" fontId="3" fillId="7" borderId="1" xfId="0" applyNumberFormat="1" applyFont="1" applyFill="1" applyBorder="1"/>
    <xf numFmtId="0" fontId="3" fillId="7" borderId="5" xfId="0" applyFont="1" applyFill="1" applyBorder="1"/>
    <xf numFmtId="1" fontId="3" fillId="7" borderId="5" xfId="0" applyNumberFormat="1" applyFont="1" applyFill="1" applyBorder="1"/>
    <xf numFmtId="164" fontId="3" fillId="7" borderId="9" xfId="0" applyNumberFormat="1" applyFont="1" applyFill="1" applyBorder="1"/>
    <xf numFmtId="164" fontId="3" fillId="7" borderId="1" xfId="0" applyNumberFormat="1" applyFont="1" applyFill="1" applyBorder="1"/>
    <xf numFmtId="164" fontId="3" fillId="7" borderId="1" xfId="0" applyNumberFormat="1" applyFont="1" applyFill="1" applyBorder="1" applyAlignment="1"/>
    <xf numFmtId="9" fontId="0" fillId="7" borderId="1" xfId="1" applyFont="1" applyFill="1" applyBorder="1" applyAlignment="1" applyProtection="1"/>
    <xf numFmtId="9" fontId="0" fillId="7" borderId="5" xfId="1" applyFont="1" applyFill="1" applyBorder="1" applyAlignment="1" applyProtection="1"/>
    <xf numFmtId="0" fontId="0" fillId="0" borderId="3" xfId="0" applyFont="1" applyBorder="1" applyAlignment="1">
      <alignment horizontal="right"/>
    </xf>
    <xf numFmtId="0" fontId="3" fillId="0" borderId="6" xfId="0" applyFont="1" applyFill="1" applyBorder="1"/>
    <xf numFmtId="0" fontId="0" fillId="0" borderId="4" xfId="0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11" fillId="0" borderId="0" xfId="0" applyFont="1" applyBorder="1"/>
    <xf numFmtId="1" fontId="0" fillId="0" borderId="0" xfId="0" applyNumberFormat="1" applyFont="1" applyBorder="1" applyAlignment="1">
      <alignment horizontal="center"/>
    </xf>
    <xf numFmtId="1" fontId="8" fillId="0" borderId="0" xfId="0" applyNumberFormat="1" applyFont="1" applyBorder="1"/>
    <xf numFmtId="3" fontId="9" fillId="0" borderId="0" xfId="0" applyNumberFormat="1" applyFont="1" applyBorder="1"/>
    <xf numFmtId="0" fontId="10" fillId="0" borderId="0" xfId="0" applyFont="1" applyBorder="1"/>
    <xf numFmtId="0" fontId="8" fillId="0" borderId="0" xfId="0" applyFont="1" applyBorder="1"/>
    <xf numFmtId="3" fontId="8" fillId="0" borderId="0" xfId="0" applyNumberFormat="1" applyFont="1" applyBorder="1"/>
    <xf numFmtId="3" fontId="8" fillId="0" borderId="4" xfId="0" applyNumberFormat="1" applyFont="1" applyBorder="1"/>
    <xf numFmtId="166" fontId="8" fillId="0" borderId="4" xfId="2" applyNumberFormat="1" applyFont="1" applyFill="1" applyBorder="1" applyAlignment="1" applyProtection="1">
      <alignment horizontal="right"/>
    </xf>
    <xf numFmtId="1" fontId="0" fillId="0" borderId="0" xfId="0" applyNumberFormat="1" applyFont="1" applyBorder="1"/>
    <xf numFmtId="1" fontId="8" fillId="0" borderId="2" xfId="0" applyNumberFormat="1" applyFont="1" applyBorder="1"/>
    <xf numFmtId="0" fontId="1" fillId="2" borderId="3" xfId="0" applyFont="1" applyFill="1" applyBorder="1" applyAlignment="1">
      <alignment horizontal="center" textRotation="90"/>
    </xf>
    <xf numFmtId="0" fontId="14" fillId="2" borderId="0" xfId="0" applyFont="1" applyFill="1" applyBorder="1" applyAlignment="1">
      <alignment horizontal="center" textRotation="90"/>
    </xf>
    <xf numFmtId="0" fontId="1" fillId="2" borderId="4" xfId="0" applyFont="1" applyFill="1" applyBorder="1" applyAlignment="1">
      <alignment horizontal="center" textRotation="90"/>
    </xf>
    <xf numFmtId="0" fontId="15" fillId="2" borderId="0" xfId="0" applyFont="1" applyFill="1" applyBorder="1" applyAlignment="1">
      <alignment horizontal="center" textRotation="90"/>
    </xf>
    <xf numFmtId="0" fontId="11" fillId="2" borderId="0" xfId="0" applyFont="1" applyFill="1" applyBorder="1"/>
    <xf numFmtId="0" fontId="1" fillId="2" borderId="3" xfId="0" applyFont="1" applyFill="1" applyBorder="1" applyAlignment="1">
      <alignment horizontal="center" textRotation="90" wrapText="1"/>
    </xf>
    <xf numFmtId="1" fontId="9" fillId="2" borderId="0" xfId="0" applyNumberFormat="1" applyFont="1" applyFill="1" applyBorder="1" applyAlignment="1">
      <alignment horizontal="center" textRotation="90" wrapText="1"/>
    </xf>
    <xf numFmtId="3" fontId="9" fillId="2" borderId="3" xfId="0" applyNumberFormat="1" applyFont="1" applyFill="1" applyBorder="1" applyAlignment="1">
      <alignment horizontal="center" textRotation="90" wrapText="1"/>
    </xf>
    <xf numFmtId="0" fontId="16" fillId="2" borderId="0" xfId="0" applyFont="1" applyFill="1" applyBorder="1" applyAlignment="1">
      <alignment horizontal="center" textRotation="90"/>
    </xf>
    <xf numFmtId="4" fontId="1" fillId="2" borderId="0" xfId="0" applyNumberFormat="1" applyFont="1" applyFill="1" applyBorder="1" applyAlignment="1">
      <alignment horizontal="center" textRotation="90" wrapText="1"/>
    </xf>
    <xf numFmtId="3" fontId="1" fillId="2" borderId="4" xfId="0" applyNumberFormat="1" applyFont="1" applyFill="1" applyBorder="1" applyAlignment="1">
      <alignment horizontal="center" textRotation="90" wrapText="1"/>
    </xf>
    <xf numFmtId="3" fontId="1" fillId="2" borderId="3" xfId="0" applyNumberFormat="1" applyFont="1" applyFill="1" applyBorder="1" applyAlignment="1">
      <alignment horizontal="center" textRotation="90" wrapText="1"/>
    </xf>
    <xf numFmtId="4" fontId="1" fillId="2" borderId="3" xfId="0" applyNumberFormat="1" applyFont="1" applyFill="1" applyBorder="1" applyAlignment="1" applyProtection="1">
      <alignment horizontal="center" textRotation="90" wrapText="1"/>
    </xf>
    <xf numFmtId="166" fontId="1" fillId="2" borderId="3" xfId="2" applyNumberFormat="1" applyFont="1" applyFill="1" applyBorder="1" applyAlignment="1" applyProtection="1">
      <alignment horizontal="center" textRotation="90" wrapText="1"/>
    </xf>
    <xf numFmtId="1" fontId="1" fillId="2" borderId="3" xfId="2" applyNumberFormat="1" applyFont="1" applyFill="1" applyBorder="1" applyAlignment="1" applyProtection="1">
      <alignment horizontal="center" textRotation="90" wrapText="1"/>
    </xf>
    <xf numFmtId="1" fontId="1" fillId="2" borderId="2" xfId="0" applyNumberFormat="1" applyFont="1" applyFill="1" applyBorder="1" applyAlignment="1">
      <alignment horizontal="center" textRotation="90" wrapText="1"/>
    </xf>
    <xf numFmtId="0" fontId="1" fillId="3" borderId="5" xfId="0" applyFont="1" applyFill="1" applyBorder="1" applyAlignment="1">
      <alignment horizontal="right"/>
    </xf>
    <xf numFmtId="0" fontId="1" fillId="3" borderId="8" xfId="0" applyFont="1" applyFill="1" applyBorder="1" applyAlignment="1">
      <alignment horizontal="right"/>
    </xf>
    <xf numFmtId="0" fontId="14" fillId="3" borderId="1" xfId="0" applyFont="1" applyFill="1" applyBorder="1"/>
    <xf numFmtId="0" fontId="14" fillId="3" borderId="1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right"/>
    </xf>
    <xf numFmtId="0" fontId="1" fillId="3" borderId="1" xfId="0" applyFont="1" applyFill="1" applyBorder="1" applyAlignment="1">
      <alignment horizontal="right"/>
    </xf>
    <xf numFmtId="0" fontId="1" fillId="3" borderId="9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17" fillId="3" borderId="9" xfId="0" applyFont="1" applyFill="1" applyBorder="1" applyAlignment="1">
      <alignment horizontal="center"/>
    </xf>
    <xf numFmtId="0" fontId="0" fillId="3" borderId="8" xfId="0" applyFont="1" applyFill="1" applyBorder="1" applyAlignment="1">
      <alignment horizontal="center"/>
    </xf>
    <xf numFmtId="1" fontId="0" fillId="3" borderId="1" xfId="0" applyNumberFormat="1" applyFont="1" applyFill="1" applyBorder="1" applyAlignment="1">
      <alignment horizontal="center"/>
    </xf>
    <xf numFmtId="1" fontId="8" fillId="3" borderId="1" xfId="0" applyNumberFormat="1" applyFont="1" applyFill="1" applyBorder="1"/>
    <xf numFmtId="3" fontId="9" fillId="3" borderId="8" xfId="0" applyNumberFormat="1" applyFont="1" applyFill="1" applyBorder="1"/>
    <xf numFmtId="0" fontId="10" fillId="3" borderId="9" xfId="0" applyFont="1" applyFill="1" applyBorder="1"/>
    <xf numFmtId="0" fontId="8" fillId="3" borderId="9" xfId="0" applyFont="1" applyFill="1" applyBorder="1"/>
    <xf numFmtId="0" fontId="8" fillId="3" borderId="1" xfId="0" applyFont="1" applyFill="1" applyBorder="1"/>
    <xf numFmtId="0" fontId="8" fillId="3" borderId="0" xfId="0" applyFont="1" applyFill="1" applyBorder="1"/>
    <xf numFmtId="3" fontId="8" fillId="3" borderId="9" xfId="0" applyNumberFormat="1" applyFont="1" applyFill="1" applyBorder="1"/>
    <xf numFmtId="3" fontId="8" fillId="3" borderId="8" xfId="0" applyNumberFormat="1" applyFont="1" applyFill="1" applyBorder="1"/>
    <xf numFmtId="9" fontId="8" fillId="3" borderId="1" xfId="1" applyFont="1" applyFill="1" applyBorder="1" applyAlignment="1" applyProtection="1">
      <alignment horizontal="center"/>
    </xf>
    <xf numFmtId="9" fontId="8" fillId="3" borderId="1" xfId="0" applyNumberFormat="1" applyFont="1" applyFill="1" applyBorder="1"/>
    <xf numFmtId="166" fontId="8" fillId="3" borderId="9" xfId="2" applyNumberFormat="1" applyFont="1" applyFill="1" applyBorder="1" applyAlignment="1" applyProtection="1">
      <alignment horizontal="right"/>
    </xf>
    <xf numFmtId="1" fontId="8" fillId="3" borderId="5" xfId="0" applyNumberFormat="1" applyFont="1" applyFill="1" applyBorder="1"/>
    <xf numFmtId="0" fontId="0" fillId="0" borderId="4" xfId="0" applyFont="1" applyFill="1" applyBorder="1" applyAlignment="1">
      <alignment horizontal="right"/>
    </xf>
    <xf numFmtId="0" fontId="0" fillId="0" borderId="4" xfId="0" applyFont="1" applyFill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2" fontId="8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/>
    <xf numFmtId="0" fontId="10" fillId="0" borderId="0" xfId="0" applyFont="1" applyFill="1" applyBorder="1"/>
    <xf numFmtId="0" fontId="8" fillId="0" borderId="4" xfId="0" applyFont="1" applyFill="1" applyBorder="1"/>
    <xf numFmtId="3" fontId="8" fillId="0" borderId="4" xfId="0" applyNumberFormat="1" applyFont="1" applyFill="1" applyBorder="1"/>
    <xf numFmtId="3" fontId="8" fillId="0" borderId="3" xfId="0" applyNumberFormat="1" applyFont="1" applyFill="1" applyBorder="1"/>
    <xf numFmtId="1" fontId="8" fillId="0" borderId="2" xfId="0" applyNumberFormat="1" applyFont="1" applyFill="1" applyBorder="1"/>
    <xf numFmtId="0" fontId="3" fillId="3" borderId="1" xfId="0" applyFont="1" applyFill="1" applyBorder="1"/>
    <xf numFmtId="0" fontId="3" fillId="3" borderId="1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1" xfId="0" applyFont="1" applyFill="1" applyBorder="1" applyAlignment="1">
      <alignment horizontal="right"/>
    </xf>
    <xf numFmtId="0" fontId="0" fillId="3" borderId="1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center"/>
    </xf>
    <xf numFmtId="0" fontId="17" fillId="3" borderId="1" xfId="0" applyFont="1" applyFill="1" applyBorder="1" applyAlignment="1">
      <alignment horizontal="center"/>
    </xf>
    <xf numFmtId="3" fontId="1" fillId="3" borderId="8" xfId="0" applyNumberFormat="1" applyFont="1" applyFill="1" applyBorder="1"/>
    <xf numFmtId="3" fontId="8" fillId="3" borderId="1" xfId="0" applyNumberFormat="1" applyFont="1" applyFill="1" applyBorder="1"/>
    <xf numFmtId="0" fontId="0" fillId="5" borderId="8" xfId="0" applyFont="1" applyFill="1" applyBorder="1" applyAlignment="1">
      <alignment horizontal="right"/>
    </xf>
    <xf numFmtId="0" fontId="0" fillId="5" borderId="9" xfId="0" applyFont="1" applyFill="1" applyBorder="1" applyAlignment="1">
      <alignment horizontal="right"/>
    </xf>
    <xf numFmtId="0" fontId="0" fillId="5" borderId="9" xfId="0" applyFont="1" applyFill="1" applyBorder="1" applyAlignment="1">
      <alignment horizontal="center"/>
    </xf>
    <xf numFmtId="0" fontId="0" fillId="5" borderId="8" xfId="0" applyFont="1" applyFill="1" applyBorder="1" applyAlignment="1">
      <alignment horizontal="center"/>
    </xf>
    <xf numFmtId="0" fontId="11" fillId="5" borderId="1" xfId="0" applyFont="1" applyFill="1" applyBorder="1"/>
    <xf numFmtId="2" fontId="8" fillId="5" borderId="8" xfId="0" applyNumberFormat="1" applyFont="1" applyFill="1" applyBorder="1" applyAlignment="1">
      <alignment horizontal="center"/>
    </xf>
    <xf numFmtId="3" fontId="9" fillId="5" borderId="8" xfId="0" applyNumberFormat="1" applyFont="1" applyFill="1" applyBorder="1"/>
    <xf numFmtId="0" fontId="10" fillId="5" borderId="1" xfId="0" applyFont="1" applyFill="1" applyBorder="1"/>
    <xf numFmtId="0" fontId="8" fillId="5" borderId="9" xfId="0" applyFont="1" applyFill="1" applyBorder="1"/>
    <xf numFmtId="3" fontId="8" fillId="5" borderId="8" xfId="0" applyNumberFormat="1" applyFont="1" applyFill="1" applyBorder="1"/>
    <xf numFmtId="9" fontId="8" fillId="5" borderId="1" xfId="1" applyFont="1" applyFill="1" applyBorder="1" applyAlignment="1" applyProtection="1">
      <alignment horizontal="center"/>
    </xf>
    <xf numFmtId="9" fontId="8" fillId="5" borderId="1" xfId="0" applyNumberFormat="1" applyFont="1" applyFill="1" applyBorder="1"/>
    <xf numFmtId="166" fontId="8" fillId="5" borderId="9" xfId="2" applyNumberFormat="1" applyFont="1" applyFill="1" applyBorder="1" applyAlignment="1" applyProtection="1">
      <alignment horizontal="right"/>
    </xf>
    <xf numFmtId="1" fontId="8" fillId="5" borderId="5" xfId="0" applyNumberFormat="1" applyFont="1" applyFill="1" applyBorder="1"/>
    <xf numFmtId="0" fontId="1" fillId="9" borderId="5" xfId="0" applyFont="1" applyFill="1" applyBorder="1" applyAlignment="1">
      <alignment horizontal="right"/>
    </xf>
    <xf numFmtId="0" fontId="1" fillId="9" borderId="8" xfId="0" applyFont="1" applyFill="1" applyBorder="1" applyAlignment="1">
      <alignment horizontal="right"/>
    </xf>
    <xf numFmtId="0" fontId="3" fillId="9" borderId="1" xfId="0" applyFont="1" applyFill="1" applyBorder="1" applyAlignment="1">
      <alignment horizontal="center"/>
    </xf>
    <xf numFmtId="0" fontId="0" fillId="9" borderId="9" xfId="0" applyFont="1" applyFill="1" applyBorder="1" applyAlignment="1">
      <alignment horizontal="right"/>
    </xf>
    <xf numFmtId="0" fontId="0" fillId="9" borderId="1" xfId="0" applyFont="1" applyFill="1" applyBorder="1" applyAlignment="1">
      <alignment horizontal="right"/>
    </xf>
    <xf numFmtId="0" fontId="0" fillId="9" borderId="9" xfId="0" applyFont="1" applyFill="1" applyBorder="1" applyAlignment="1">
      <alignment horizontal="center"/>
    </xf>
    <xf numFmtId="0" fontId="0" fillId="9" borderId="8" xfId="0" applyFont="1" applyFill="1" applyBorder="1" applyAlignment="1">
      <alignment horizontal="center"/>
    </xf>
    <xf numFmtId="0" fontId="17" fillId="9" borderId="1" xfId="0" applyFont="1" applyFill="1" applyBorder="1" applyAlignment="1">
      <alignment horizontal="center"/>
    </xf>
    <xf numFmtId="0" fontId="8" fillId="9" borderId="8" xfId="0" applyFont="1" applyFill="1" applyBorder="1" applyAlignment="1">
      <alignment horizontal="center"/>
    </xf>
    <xf numFmtId="1" fontId="18" fillId="12" borderId="16" xfId="0" applyNumberFormat="1" applyFont="1" applyFill="1" applyBorder="1" applyAlignment="1">
      <alignment horizontal="center"/>
    </xf>
    <xf numFmtId="1" fontId="9" fillId="9" borderId="1" xfId="0" applyNumberFormat="1" applyFont="1" applyFill="1" applyBorder="1" applyAlignment="1">
      <alignment horizontal="center"/>
    </xf>
    <xf numFmtId="3" fontId="9" fillId="9" borderId="8" xfId="0" applyNumberFormat="1" applyFont="1" applyFill="1" applyBorder="1"/>
    <xf numFmtId="0" fontId="10" fillId="9" borderId="9" xfId="0" applyFont="1" applyFill="1" applyBorder="1"/>
    <xf numFmtId="0" fontId="8" fillId="9" borderId="9" xfId="0" applyFont="1" applyFill="1" applyBorder="1"/>
    <xf numFmtId="0" fontId="8" fillId="9" borderId="1" xfId="0" applyFont="1" applyFill="1" applyBorder="1"/>
    <xf numFmtId="3" fontId="8" fillId="9" borderId="1" xfId="0" applyNumberFormat="1" applyFont="1" applyFill="1" applyBorder="1"/>
    <xf numFmtId="3" fontId="8" fillId="9" borderId="8" xfId="0" applyNumberFormat="1" applyFont="1" applyFill="1" applyBorder="1"/>
    <xf numFmtId="9" fontId="8" fillId="9" borderId="1" xfId="1" applyFont="1" applyFill="1" applyBorder="1" applyAlignment="1" applyProtection="1">
      <alignment horizontal="center"/>
    </xf>
    <xf numFmtId="9" fontId="8" fillId="9" borderId="1" xfId="0" applyNumberFormat="1" applyFont="1" applyFill="1" applyBorder="1"/>
    <xf numFmtId="166" fontId="8" fillId="9" borderId="9" xfId="2" applyNumberFormat="1" applyFont="1" applyFill="1" applyBorder="1" applyAlignment="1" applyProtection="1">
      <alignment horizontal="right"/>
    </xf>
    <xf numFmtId="1" fontId="8" fillId="9" borderId="1" xfId="0" applyNumberFormat="1" applyFont="1" applyFill="1" applyBorder="1"/>
    <xf numFmtId="1" fontId="8" fillId="9" borderId="5" xfId="0" applyNumberFormat="1" applyFont="1" applyFill="1" applyBorder="1"/>
    <xf numFmtId="1" fontId="8" fillId="0" borderId="0" xfId="0" applyNumberFormat="1" applyFont="1" applyFill="1" applyBorder="1" applyAlignment="1">
      <alignment horizontal="center"/>
    </xf>
    <xf numFmtId="2" fontId="8" fillId="9" borderId="8" xfId="0" applyNumberFormat="1" applyFont="1" applyFill="1" applyBorder="1" applyAlignment="1">
      <alignment horizontal="center"/>
    </xf>
    <xf numFmtId="0" fontId="1" fillId="11" borderId="5" xfId="0" applyFont="1" applyFill="1" applyBorder="1" applyAlignment="1">
      <alignment horizontal="right"/>
    </xf>
    <xf numFmtId="0" fontId="1" fillId="11" borderId="8" xfId="0" applyFont="1" applyFill="1" applyBorder="1" applyAlignment="1">
      <alignment horizontal="right"/>
    </xf>
    <xf numFmtId="0" fontId="0" fillId="11" borderId="9" xfId="0" applyFont="1" applyFill="1" applyBorder="1" applyAlignment="1">
      <alignment horizontal="right"/>
    </xf>
    <xf numFmtId="0" fontId="0" fillId="11" borderId="1" xfId="0" applyFont="1" applyFill="1" applyBorder="1" applyAlignment="1">
      <alignment horizontal="right"/>
    </xf>
    <xf numFmtId="0" fontId="0" fillId="11" borderId="9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/>
    </xf>
    <xf numFmtId="0" fontId="6" fillId="11" borderId="8" xfId="0" applyFont="1" applyFill="1" applyBorder="1" applyAlignment="1">
      <alignment horizontal="center"/>
    </xf>
    <xf numFmtId="0" fontId="6" fillId="11" borderId="1" xfId="0" applyFont="1" applyFill="1" applyBorder="1"/>
    <xf numFmtId="0" fontId="15" fillId="11" borderId="1" xfId="0" applyFont="1" applyFill="1" applyBorder="1" applyAlignment="1">
      <alignment horizontal="center"/>
    </xf>
    <xf numFmtId="0" fontId="17" fillId="11" borderId="1" xfId="0" applyFont="1" applyFill="1" applyBorder="1"/>
    <xf numFmtId="0" fontId="17" fillId="11" borderId="5" xfId="0" applyFont="1" applyFill="1" applyBorder="1"/>
    <xf numFmtId="2" fontId="8" fillId="11" borderId="8" xfId="0" applyNumberFormat="1" applyFont="1" applyFill="1" applyBorder="1" applyAlignment="1">
      <alignment horizontal="center"/>
    </xf>
    <xf numFmtId="1" fontId="18" fillId="12" borderId="17" xfId="0" applyNumberFormat="1" applyFont="1" applyFill="1" applyBorder="1" applyAlignment="1">
      <alignment horizontal="center"/>
    </xf>
    <xf numFmtId="1" fontId="9" fillId="11" borderId="1" xfId="0" applyNumberFormat="1" applyFont="1" applyFill="1" applyBorder="1" applyAlignment="1">
      <alignment horizontal="center"/>
    </xf>
    <xf numFmtId="3" fontId="9" fillId="11" borderId="8" xfId="0" applyNumberFormat="1" applyFont="1" applyFill="1" applyBorder="1"/>
    <xf numFmtId="0" fontId="10" fillId="11" borderId="9" xfId="0" applyFont="1" applyFill="1" applyBorder="1"/>
    <xf numFmtId="0" fontId="8" fillId="11" borderId="9" xfId="0" applyFont="1" applyFill="1" applyBorder="1"/>
    <xf numFmtId="0" fontId="8" fillId="11" borderId="1" xfId="0" applyFont="1" applyFill="1" applyBorder="1"/>
    <xf numFmtId="3" fontId="8" fillId="11" borderId="1" xfId="0" applyNumberFormat="1" applyFont="1" applyFill="1" applyBorder="1"/>
    <xf numFmtId="3" fontId="8" fillId="11" borderId="8" xfId="0" applyNumberFormat="1" applyFont="1" applyFill="1" applyBorder="1"/>
    <xf numFmtId="9" fontId="8" fillId="11" borderId="1" xfId="1" applyFont="1" applyFill="1" applyBorder="1" applyAlignment="1" applyProtection="1">
      <alignment horizontal="center"/>
    </xf>
    <xf numFmtId="9" fontId="8" fillId="11" borderId="1" xfId="0" applyNumberFormat="1" applyFont="1" applyFill="1" applyBorder="1"/>
    <xf numFmtId="166" fontId="8" fillId="11" borderId="9" xfId="2" applyNumberFormat="1" applyFont="1" applyFill="1" applyBorder="1" applyAlignment="1" applyProtection="1">
      <alignment horizontal="right"/>
    </xf>
    <xf numFmtId="1" fontId="8" fillId="11" borderId="1" xfId="0" applyNumberFormat="1" applyFont="1" applyFill="1" applyBorder="1"/>
    <xf numFmtId="1" fontId="8" fillId="11" borderId="5" xfId="0" applyNumberFormat="1" applyFont="1" applyFill="1" applyBorder="1"/>
    <xf numFmtId="0" fontId="6" fillId="11" borderId="5" xfId="0" applyFont="1" applyFill="1" applyBorder="1" applyAlignment="1">
      <alignment horizontal="center"/>
    </xf>
    <xf numFmtId="1" fontId="18" fillId="12" borderId="18" xfId="0" applyNumberFormat="1" applyFont="1" applyFill="1" applyBorder="1" applyAlignment="1">
      <alignment horizontal="center"/>
    </xf>
    <xf numFmtId="0" fontId="0" fillId="11" borderId="8" xfId="0" applyFont="1" applyFill="1" applyBorder="1" applyAlignment="1">
      <alignment horizontal="center"/>
    </xf>
    <xf numFmtId="0" fontId="7" fillId="11" borderId="1" xfId="0" applyFont="1" applyFill="1" applyBorder="1" applyAlignment="1">
      <alignment horizontal="center"/>
    </xf>
    <xf numFmtId="0" fontId="11" fillId="11" borderId="1" xfId="0" applyFont="1" applyFill="1" applyBorder="1"/>
    <xf numFmtId="0" fontId="11" fillId="11" borderId="5" xfId="0" applyFont="1" applyFill="1" applyBorder="1"/>
    <xf numFmtId="3" fontId="8" fillId="11" borderId="9" xfId="0" applyNumberFormat="1" applyFont="1" applyFill="1" applyBorder="1"/>
    <xf numFmtId="3" fontId="9" fillId="0" borderId="11" xfId="0" applyNumberFormat="1" applyFont="1" applyFill="1" applyBorder="1"/>
    <xf numFmtId="1" fontId="8" fillId="0" borderId="6" xfId="0" applyNumberFormat="1" applyFont="1" applyFill="1" applyBorder="1" applyAlignment="1">
      <alignment horizontal="center"/>
    </xf>
    <xf numFmtId="1" fontId="8" fillId="0" borderId="6" xfId="0" applyNumberFormat="1" applyFont="1" applyFill="1" applyBorder="1"/>
    <xf numFmtId="3" fontId="9" fillId="0" borderId="14" xfId="0" applyNumberFormat="1" applyFont="1" applyFill="1" applyBorder="1"/>
    <xf numFmtId="0" fontId="0" fillId="0" borderId="14" xfId="0" applyFont="1" applyBorder="1" applyAlignment="1">
      <alignment horizontal="right"/>
    </xf>
    <xf numFmtId="0" fontId="3" fillId="0" borderId="6" xfId="0" applyFont="1" applyFill="1" applyBorder="1" applyAlignment="1">
      <alignment horizontal="center"/>
    </xf>
    <xf numFmtId="0" fontId="0" fillId="0" borderId="15" xfId="0" applyFont="1" applyFill="1" applyBorder="1" applyAlignment="1">
      <alignment horizontal="right"/>
    </xf>
    <xf numFmtId="0" fontId="0" fillId="0" borderId="7" xfId="0" applyFont="1" applyFill="1" applyBorder="1"/>
    <xf numFmtId="0" fontId="0" fillId="0" borderId="15" xfId="0" applyFont="1" applyFill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6" xfId="0" applyFont="1" applyFill="1" applyBorder="1"/>
    <xf numFmtId="0" fontId="11" fillId="0" borderId="6" xfId="0" applyFont="1" applyFill="1" applyBorder="1"/>
    <xf numFmtId="0" fontId="11" fillId="0" borderId="7" xfId="0" applyFont="1" applyFill="1" applyBorder="1"/>
    <xf numFmtId="0" fontId="0" fillId="0" borderId="11" xfId="0" applyFont="1" applyFill="1" applyBorder="1" applyAlignment="1">
      <alignment horizontal="center"/>
    </xf>
    <xf numFmtId="0" fontId="7" fillId="0" borderId="10" xfId="0" applyFont="1" applyFill="1" applyBorder="1"/>
    <xf numFmtId="1" fontId="0" fillId="11" borderId="1" xfId="0" applyNumberFormat="1" applyFont="1" applyFill="1" applyBorder="1" applyAlignment="1">
      <alignment horizontal="center"/>
    </xf>
    <xf numFmtId="0" fontId="7" fillId="0" borderId="6" xfId="0" applyFont="1" applyBorder="1"/>
    <xf numFmtId="0" fontId="11" fillId="0" borderId="6" xfId="0" applyFont="1" applyBorder="1"/>
    <xf numFmtId="0" fontId="11" fillId="0" borderId="7" xfId="0" applyFont="1" applyBorder="1"/>
    <xf numFmtId="3" fontId="9" fillId="11" borderId="11" xfId="0" applyNumberFormat="1" applyFont="1" applyFill="1" applyBorder="1"/>
    <xf numFmtId="0" fontId="11" fillId="0" borderId="2" xfId="0" applyFont="1" applyFill="1" applyBorder="1"/>
    <xf numFmtId="1" fontId="9" fillId="11" borderId="1" xfId="0" applyNumberFormat="1" applyFont="1" applyFill="1" applyBorder="1"/>
    <xf numFmtId="3" fontId="9" fillId="11" borderId="8" xfId="0" applyNumberFormat="1" applyFont="1" applyFill="1" applyBorder="1" applyAlignment="1">
      <alignment horizontal="center"/>
    </xf>
    <xf numFmtId="0" fontId="1" fillId="7" borderId="5" xfId="0" applyFont="1" applyFill="1" applyBorder="1" applyAlignment="1">
      <alignment horizontal="right"/>
    </xf>
    <xf numFmtId="0" fontId="0" fillId="7" borderId="9" xfId="0" applyFont="1" applyFill="1" applyBorder="1" applyAlignment="1">
      <alignment horizontal="right"/>
    </xf>
    <xf numFmtId="0" fontId="0" fillId="7" borderId="9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7" borderId="8" xfId="0" applyFont="1" applyFill="1" applyBorder="1" applyAlignment="1">
      <alignment horizontal="center"/>
    </xf>
    <xf numFmtId="0" fontId="17" fillId="7" borderId="1" xfId="0" applyFont="1" applyFill="1" applyBorder="1"/>
    <xf numFmtId="0" fontId="17" fillId="7" borderId="5" xfId="0" applyFont="1" applyFill="1" applyBorder="1"/>
    <xf numFmtId="2" fontId="0" fillId="7" borderId="9" xfId="0" applyNumberFormat="1" applyFont="1" applyFill="1" applyBorder="1" applyAlignment="1">
      <alignment horizontal="center"/>
    </xf>
    <xf numFmtId="1" fontId="18" fillId="12" borderId="8" xfId="0" applyNumberFormat="1" applyFont="1" applyFill="1" applyBorder="1" applyAlignment="1">
      <alignment horizontal="center"/>
    </xf>
    <xf numFmtId="1" fontId="1" fillId="7" borderId="1" xfId="0" applyNumberFormat="1" applyFont="1" applyFill="1" applyBorder="1" applyAlignment="1">
      <alignment horizontal="center"/>
    </xf>
    <xf numFmtId="3" fontId="1" fillId="7" borderId="8" xfId="0" applyNumberFormat="1" applyFont="1" applyFill="1" applyBorder="1"/>
    <xf numFmtId="3" fontId="0" fillId="7" borderId="8" xfId="0" applyNumberFormat="1" applyFont="1" applyFill="1" applyBorder="1"/>
    <xf numFmtId="9" fontId="0" fillId="7" borderId="1" xfId="1" applyFont="1" applyFill="1" applyBorder="1" applyAlignment="1" applyProtection="1">
      <alignment horizontal="center"/>
    </xf>
    <xf numFmtId="9" fontId="0" fillId="7" borderId="1" xfId="0" applyNumberFormat="1" applyFont="1" applyFill="1" applyBorder="1"/>
    <xf numFmtId="166" fontId="0" fillId="7" borderId="9" xfId="2" applyNumberFormat="1" applyFont="1" applyFill="1" applyBorder="1" applyAlignment="1" applyProtection="1">
      <alignment horizontal="right"/>
    </xf>
    <xf numFmtId="1" fontId="0" fillId="7" borderId="5" xfId="0" applyNumberFormat="1" applyFont="1" applyFill="1" applyBorder="1"/>
    <xf numFmtId="0" fontId="3" fillId="7" borderId="5" xfId="0" applyFont="1" applyFill="1" applyBorder="1" applyAlignment="1">
      <alignment horizontal="center"/>
    </xf>
    <xf numFmtId="2" fontId="8" fillId="7" borderId="8" xfId="0" applyNumberFormat="1" applyFont="1" applyFill="1" applyBorder="1" applyAlignment="1">
      <alignment horizontal="center"/>
    </xf>
    <xf numFmtId="3" fontId="9" fillId="7" borderId="8" xfId="0" applyNumberFormat="1" applyFont="1" applyFill="1" applyBorder="1"/>
    <xf numFmtId="0" fontId="10" fillId="7" borderId="1" xfId="0" applyFont="1" applyFill="1" applyBorder="1"/>
    <xf numFmtId="0" fontId="8" fillId="7" borderId="1" xfId="0" applyFont="1" applyFill="1" applyBorder="1"/>
    <xf numFmtId="3" fontId="8" fillId="7" borderId="9" xfId="0" applyNumberFormat="1" applyFont="1" applyFill="1" applyBorder="1"/>
    <xf numFmtId="3" fontId="8" fillId="7" borderId="8" xfId="0" applyNumberFormat="1" applyFont="1" applyFill="1" applyBorder="1"/>
    <xf numFmtId="9" fontId="8" fillId="7" borderId="1" xfId="1" applyFont="1" applyFill="1" applyBorder="1" applyAlignment="1" applyProtection="1">
      <alignment horizontal="center"/>
    </xf>
    <xf numFmtId="9" fontId="0" fillId="7" borderId="5" xfId="0" applyNumberFormat="1" applyFont="1" applyFill="1" applyBorder="1"/>
    <xf numFmtId="3" fontId="9" fillId="7" borderId="3" xfId="0" applyNumberFormat="1" applyFont="1" applyFill="1" applyBorder="1"/>
    <xf numFmtId="0" fontId="10" fillId="7" borderId="9" xfId="0" applyFont="1" applyFill="1" applyBorder="1"/>
    <xf numFmtId="0" fontId="1" fillId="7" borderId="12" xfId="0" applyFont="1" applyFill="1" applyBorder="1" applyAlignment="1">
      <alignment horizontal="right"/>
    </xf>
    <xf numFmtId="0" fontId="1" fillId="7" borderId="11" xfId="0" applyFont="1" applyFill="1" applyBorder="1" applyAlignment="1">
      <alignment horizontal="right"/>
    </xf>
    <xf numFmtId="0" fontId="3" fillId="0" borderId="7" xfId="0" applyFont="1" applyBorder="1" applyAlignment="1">
      <alignment horizontal="center"/>
    </xf>
    <xf numFmtId="2" fontId="8" fillId="0" borderId="14" xfId="0" applyNumberFormat="1" applyFont="1" applyFill="1" applyBorder="1" applyAlignment="1">
      <alignment horizontal="center"/>
    </xf>
    <xf numFmtId="0" fontId="10" fillId="0" borderId="6" xfId="0" applyFont="1" applyFill="1" applyBorder="1"/>
    <xf numFmtId="0" fontId="8" fillId="0" borderId="15" xfId="0" applyFont="1" applyFill="1" applyBorder="1"/>
    <xf numFmtId="0" fontId="8" fillId="0" borderId="6" xfId="0" applyFont="1" applyFill="1" applyBorder="1"/>
    <xf numFmtId="3" fontId="8" fillId="0" borderId="15" xfId="0" applyNumberFormat="1" applyFont="1" applyFill="1" applyBorder="1"/>
    <xf numFmtId="3" fontId="8" fillId="0" borderId="14" xfId="0" applyNumberFormat="1" applyFont="1" applyFill="1" applyBorder="1"/>
    <xf numFmtId="9" fontId="8" fillId="0" borderId="6" xfId="1" applyFont="1" applyFill="1" applyBorder="1" applyAlignment="1" applyProtection="1">
      <alignment horizontal="center"/>
    </xf>
    <xf numFmtId="9" fontId="8" fillId="0" borderId="6" xfId="0" applyNumberFormat="1" applyFont="1" applyFill="1" applyBorder="1"/>
    <xf numFmtId="166" fontId="8" fillId="0" borderId="15" xfId="2" applyNumberFormat="1" applyFont="1" applyFill="1" applyBorder="1" applyAlignment="1" applyProtection="1">
      <alignment horizontal="right"/>
    </xf>
    <xf numFmtId="1" fontId="8" fillId="0" borderId="7" xfId="0" applyNumberFormat="1" applyFont="1" applyFill="1" applyBorder="1"/>
    <xf numFmtId="0" fontId="10" fillId="7" borderId="5" xfId="0" applyFont="1" applyFill="1" applyBorder="1"/>
    <xf numFmtId="0" fontId="8" fillId="7" borderId="9" xfId="0" applyFont="1" applyFill="1" applyBorder="1"/>
    <xf numFmtId="9" fontId="8" fillId="7" borderId="1" xfId="0" applyNumberFormat="1" applyFont="1" applyFill="1" applyBorder="1"/>
    <xf numFmtId="166" fontId="8" fillId="7" borderId="9" xfId="2" applyNumberFormat="1" applyFont="1" applyFill="1" applyBorder="1" applyAlignment="1" applyProtection="1">
      <alignment horizontal="right"/>
    </xf>
    <xf numFmtId="1" fontId="8" fillId="7" borderId="1" xfId="0" applyNumberFormat="1" applyFont="1" applyFill="1" applyBorder="1"/>
    <xf numFmtId="1" fontId="8" fillId="7" borderId="5" xfId="0" applyNumberFormat="1" applyFont="1" applyFill="1" applyBorder="1"/>
    <xf numFmtId="0" fontId="0" fillId="0" borderId="0" xfId="0" applyFont="1"/>
    <xf numFmtId="0" fontId="0" fillId="0" borderId="4" xfId="0" applyFont="1" applyBorder="1"/>
    <xf numFmtId="0" fontId="0" fillId="0" borderId="0" xfId="0" applyFont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4" fillId="0" borderId="3" xfId="0" applyFont="1" applyBorder="1" applyAlignment="1">
      <alignment horizontal="center"/>
    </xf>
    <xf numFmtId="0" fontId="0" fillId="2" borderId="7" xfId="0" applyFont="1" applyFill="1" applyBorder="1"/>
    <xf numFmtId="0" fontId="0" fillId="2" borderId="9" xfId="0" applyFont="1" applyFill="1" applyBorder="1"/>
    <xf numFmtId="0" fontId="0" fillId="2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" xfId="0" applyFont="1" applyFill="1" applyBorder="1" applyAlignment="1"/>
    <xf numFmtId="0" fontId="0" fillId="2" borderId="9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4" fillId="2" borderId="8" xfId="0" applyFont="1" applyFill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13" borderId="11" xfId="0" applyFont="1" applyFill="1" applyBorder="1"/>
    <xf numFmtId="0" fontId="0" fillId="13" borderId="12" xfId="0" applyFont="1" applyFill="1" applyBorder="1"/>
    <xf numFmtId="0" fontId="19" fillId="13" borderId="13" xfId="0" applyFont="1" applyFill="1" applyBorder="1" applyAlignment="1">
      <alignment horizontal="center"/>
    </xf>
    <xf numFmtId="0" fontId="19" fillId="13" borderId="11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right"/>
    </xf>
    <xf numFmtId="0" fontId="1" fillId="13" borderId="2" xfId="0" applyFont="1" applyFill="1" applyBorder="1" applyAlignment="1">
      <alignment horizontal="center"/>
    </xf>
    <xf numFmtId="0" fontId="1" fillId="13" borderId="4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0" fillId="10" borderId="19" xfId="0" applyFont="1" applyFill="1" applyBorder="1"/>
    <xf numFmtId="1" fontId="0" fillId="0" borderId="11" xfId="0" applyNumberFormat="1" applyFont="1" applyFill="1" applyBorder="1" applyAlignment="1">
      <alignment horizontal="center"/>
    </xf>
    <xf numFmtId="164" fontId="3" fillId="0" borderId="10" xfId="0" applyNumberFormat="1" applyFont="1" applyBorder="1" applyAlignment="1">
      <alignment horizontal="center"/>
    </xf>
    <xf numFmtId="164" fontId="3" fillId="0" borderId="11" xfId="0" applyNumberFormat="1" applyFont="1" applyBorder="1" applyAlignment="1">
      <alignment horizontal="center"/>
    </xf>
    <xf numFmtId="164" fontId="14" fillId="0" borderId="10" xfId="0" applyNumberFormat="1" applyFont="1" applyBorder="1" applyAlignment="1">
      <alignment horizontal="center"/>
    </xf>
    <xf numFmtId="164" fontId="14" fillId="0" borderId="12" xfId="0" applyNumberFormat="1" applyFont="1" applyBorder="1" applyAlignment="1">
      <alignment horizontal="center"/>
    </xf>
    <xf numFmtId="0" fontId="3" fillId="0" borderId="4" xfId="0" applyFont="1" applyBorder="1"/>
    <xf numFmtId="1" fontId="0" fillId="0" borderId="3" xfId="0" applyNumberFormat="1" applyFont="1" applyFill="1" applyBorder="1" applyAlignment="1">
      <alignment horizontal="center"/>
    </xf>
    <xf numFmtId="164" fontId="3" fillId="0" borderId="0" xfId="0" applyNumberFormat="1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164" fontId="14" fillId="0" borderId="0" xfId="0" applyNumberFormat="1" applyFont="1" applyBorder="1" applyAlignment="1">
      <alignment horizontal="center"/>
    </xf>
    <xf numFmtId="164" fontId="14" fillId="0" borderId="2" xfId="0" applyNumberFormat="1" applyFont="1" applyBorder="1" applyAlignment="1">
      <alignment horizontal="center"/>
    </xf>
    <xf numFmtId="164" fontId="14" fillId="0" borderId="4" xfId="0" applyNumberFormat="1" applyFont="1" applyBorder="1" applyAlignment="1">
      <alignment horizontal="center"/>
    </xf>
    <xf numFmtId="164" fontId="3" fillId="0" borderId="4" xfId="0" applyNumberFormat="1" applyFont="1" applyBorder="1" applyAlignment="1">
      <alignment horizontal="center"/>
    </xf>
    <xf numFmtId="1" fontId="0" fillId="0" borderId="4" xfId="0" applyNumberFormat="1" applyFont="1" applyFill="1" applyBorder="1" applyAlignment="1">
      <alignment horizontal="center"/>
    </xf>
    <xf numFmtId="0" fontId="3" fillId="0" borderId="15" xfId="0" applyFont="1" applyBorder="1"/>
    <xf numFmtId="1" fontId="0" fillId="0" borderId="15" xfId="0" applyNumberFormat="1" applyFont="1" applyFill="1" applyBorder="1" applyAlignment="1">
      <alignment horizontal="center"/>
    </xf>
    <xf numFmtId="164" fontId="3" fillId="0" borderId="15" xfId="0" applyNumberFormat="1" applyFont="1" applyBorder="1" applyAlignment="1">
      <alignment horizontal="center"/>
    </xf>
    <xf numFmtId="164" fontId="14" fillId="0" borderId="15" xfId="0" applyNumberFormat="1" applyFont="1" applyBorder="1" applyAlignment="1">
      <alignment horizontal="center"/>
    </xf>
    <xf numFmtId="164" fontId="14" fillId="0" borderId="6" xfId="0" applyNumberFormat="1" applyFont="1" applyBorder="1" applyAlignment="1">
      <alignment horizontal="center"/>
    </xf>
    <xf numFmtId="164" fontId="14" fillId="0" borderId="7" xfId="0" applyNumberFormat="1" applyFont="1" applyBorder="1" applyAlignment="1">
      <alignment horizontal="center"/>
    </xf>
    <xf numFmtId="0" fontId="1" fillId="13" borderId="12" xfId="0" applyFont="1" applyFill="1" applyBorder="1" applyAlignment="1">
      <alignment horizontal="center"/>
    </xf>
    <xf numFmtId="0" fontId="1" fillId="13" borderId="13" xfId="0" applyFont="1" applyFill="1" applyBorder="1" applyAlignment="1">
      <alignment horizontal="center"/>
    </xf>
    <xf numFmtId="0" fontId="1" fillId="13" borderId="14" xfId="0" applyFont="1" applyFill="1" applyBorder="1" applyAlignment="1">
      <alignment horizontal="right"/>
    </xf>
    <xf numFmtId="0" fontId="1" fillId="13" borderId="14" xfId="0" applyFont="1" applyFill="1" applyBorder="1" applyAlignment="1">
      <alignment horizontal="center"/>
    </xf>
    <xf numFmtId="0" fontId="1" fillId="13" borderId="7" xfId="0" applyFont="1" applyFill="1" applyBorder="1" applyAlignment="1">
      <alignment horizontal="center"/>
    </xf>
    <xf numFmtId="0" fontId="1" fillId="13" borderId="15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3" fillId="0" borderId="13" xfId="0" applyFont="1" applyBorder="1"/>
    <xf numFmtId="1" fontId="3" fillId="0" borderId="10" xfId="0" applyNumberFormat="1" applyFont="1" applyBorder="1" applyAlignment="1">
      <alignment horizontal="center"/>
    </xf>
    <xf numFmtId="164" fontId="14" fillId="0" borderId="13" xfId="0" applyNumberFormat="1" applyFont="1" applyBorder="1" applyAlignment="1">
      <alignment horizontal="center"/>
    </xf>
    <xf numFmtId="0" fontId="3" fillId="0" borderId="3" xfId="0" applyFont="1" applyBorder="1"/>
    <xf numFmtId="164" fontId="3" fillId="0" borderId="2" xfId="0" applyNumberFormat="1" applyFont="1" applyBorder="1" applyAlignment="1">
      <alignment horizontal="center"/>
    </xf>
    <xf numFmtId="0" fontId="3" fillId="0" borderId="14" xfId="0" applyFont="1" applyBorder="1"/>
    <xf numFmtId="164" fontId="3" fillId="0" borderId="7" xfId="0" applyNumberFormat="1" applyFont="1" applyBorder="1" applyAlignment="1">
      <alignment horizontal="center"/>
    </xf>
    <xf numFmtId="1" fontId="3" fillId="0" borderId="6" xfId="0" applyNumberFormat="1" applyFont="1" applyBorder="1" applyAlignment="1">
      <alignment horizontal="center"/>
    </xf>
    <xf numFmtId="9" fontId="0" fillId="0" borderId="0" xfId="0" applyNumberFormat="1" applyFont="1" applyBorder="1" applyAlignment="1">
      <alignment horizontal="center"/>
    </xf>
    <xf numFmtId="0" fontId="1" fillId="13" borderId="8" xfId="0" applyFont="1" applyFill="1" applyBorder="1"/>
    <xf numFmtId="0" fontId="1" fillId="13" borderId="11" xfId="0" applyFont="1" applyFill="1" applyBorder="1"/>
    <xf numFmtId="0" fontId="1" fillId="13" borderId="13" xfId="0" applyFont="1" applyFill="1" applyBorder="1"/>
    <xf numFmtId="1" fontId="0" fillId="10" borderId="20" xfId="0" applyNumberFormat="1" applyFont="1" applyFill="1" applyBorder="1"/>
    <xf numFmtId="9" fontId="0" fillId="10" borderId="21" xfId="0" applyNumberFormat="1" applyFont="1" applyFill="1" applyBorder="1" applyAlignment="1">
      <alignment horizontal="center"/>
    </xf>
    <xf numFmtId="0" fontId="0" fillId="10" borderId="22" xfId="0" applyFont="1" applyFill="1" applyBorder="1"/>
    <xf numFmtId="0" fontId="0" fillId="0" borderId="11" xfId="0" applyFont="1" applyFill="1" applyBorder="1"/>
    <xf numFmtId="0" fontId="0" fillId="0" borderId="11" xfId="0" applyFont="1" applyBorder="1"/>
    <xf numFmtId="1" fontId="0" fillId="10" borderId="23" xfId="0" applyNumberFormat="1" applyFont="1" applyFill="1" applyBorder="1"/>
    <xf numFmtId="9" fontId="0" fillId="10" borderId="2" xfId="0" applyNumberFormat="1" applyFont="1" applyFill="1" applyBorder="1" applyAlignment="1">
      <alignment horizontal="center"/>
    </xf>
    <xf numFmtId="0" fontId="0" fillId="10" borderId="24" xfId="0" applyFont="1" applyFill="1" applyBorder="1"/>
    <xf numFmtId="0" fontId="0" fillId="0" borderId="3" xfId="0" applyFont="1" applyFill="1" applyBorder="1"/>
    <xf numFmtId="0" fontId="0" fillId="0" borderId="3" xfId="0" applyFont="1" applyBorder="1"/>
    <xf numFmtId="0" fontId="0" fillId="0" borderId="14" xfId="0" applyFont="1" applyFill="1" applyBorder="1"/>
    <xf numFmtId="0" fontId="0" fillId="0" borderId="14" xfId="0" applyFont="1" applyBorder="1"/>
    <xf numFmtId="0" fontId="0" fillId="0" borderId="15" xfId="0" applyFont="1" applyBorder="1"/>
    <xf numFmtId="1" fontId="0" fillId="10" borderId="25" xfId="0" applyNumberFormat="1" applyFont="1" applyFill="1" applyBorder="1"/>
    <xf numFmtId="9" fontId="0" fillId="10" borderId="26" xfId="0" applyNumberFormat="1" applyFont="1" applyFill="1" applyBorder="1" applyAlignment="1">
      <alignment horizontal="center"/>
    </xf>
    <xf numFmtId="0" fontId="0" fillId="10" borderId="27" xfId="0" applyFont="1" applyFill="1" applyBorder="1"/>
    <xf numFmtId="9" fontId="3" fillId="0" borderId="28" xfId="1" applyFont="1" applyFill="1" applyBorder="1" applyAlignment="1" applyProtection="1"/>
    <xf numFmtId="0" fontId="0" fillId="0" borderId="4" xfId="0" applyFont="1" applyFill="1" applyBorder="1"/>
    <xf numFmtId="0" fontId="1" fillId="13" borderId="9" xfId="0" applyFont="1" applyFill="1" applyBorder="1"/>
    <xf numFmtId="0" fontId="1" fillId="13" borderId="8" xfId="0" applyFont="1" applyFill="1" applyBorder="1" applyAlignment="1">
      <alignment horizontal="center"/>
    </xf>
    <xf numFmtId="9" fontId="0" fillId="0" borderId="3" xfId="0" applyNumberFormat="1" applyFont="1" applyBorder="1" applyAlignment="1">
      <alignment horizontal="center"/>
    </xf>
    <xf numFmtId="0" fontId="0" fillId="0" borderId="15" xfId="0" applyFont="1" applyFill="1" applyBorder="1"/>
    <xf numFmtId="9" fontId="0" fillId="0" borderId="14" xfId="0" applyNumberFormat="1" applyFont="1" applyBorder="1" applyAlignment="1">
      <alignment horizontal="center"/>
    </xf>
    <xf numFmtId="9" fontId="0" fillId="0" borderId="8" xfId="0" applyNumberFormat="1" applyFont="1" applyFill="1" applyBorder="1" applyAlignment="1">
      <alignment horizontal="center"/>
    </xf>
    <xf numFmtId="0" fontId="1" fillId="0" borderId="0" xfId="0" applyFont="1" applyBorder="1"/>
    <xf numFmtId="0" fontId="12" fillId="0" borderId="4" xfId="0" applyFont="1" applyBorder="1"/>
    <xf numFmtId="0" fontId="1" fillId="0" borderId="0" xfId="0" applyFont="1" applyFill="1" applyBorder="1"/>
    <xf numFmtId="49" fontId="0" fillId="0" borderId="0" xfId="0" applyNumberFormat="1" applyFont="1" applyBorder="1"/>
    <xf numFmtId="49" fontId="1" fillId="11" borderId="9" xfId="0" applyNumberFormat="1" applyFont="1" applyFill="1" applyBorder="1" applyAlignment="1">
      <alignment horizontal="center"/>
    </xf>
    <xf numFmtId="0" fontId="1" fillId="11" borderId="8" xfId="0" applyFont="1" applyFill="1" applyBorder="1" applyAlignment="1">
      <alignment horizontal="center"/>
    </xf>
    <xf numFmtId="49" fontId="0" fillId="0" borderId="13" xfId="0" applyNumberFormat="1" applyFont="1" applyBorder="1" applyAlignment="1">
      <alignment horizontal="center"/>
    </xf>
    <xf numFmtId="49" fontId="0" fillId="0" borderId="4" xfId="0" applyNumberFormat="1" applyFont="1" applyBorder="1" applyAlignment="1">
      <alignment horizontal="center"/>
    </xf>
    <xf numFmtId="49" fontId="0" fillId="0" borderId="15" xfId="0" applyNumberFormat="1" applyFont="1" applyBorder="1" applyAlignment="1">
      <alignment horizontal="center"/>
    </xf>
    <xf numFmtId="2" fontId="0" fillId="0" borderId="0" xfId="0" applyNumberFormat="1" applyFont="1" applyBorder="1"/>
    <xf numFmtId="2" fontId="0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11" borderId="8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0" fontId="1" fillId="12" borderId="29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8" xfId="0" applyFont="1" applyBorder="1"/>
    <xf numFmtId="2" fontId="1" fillId="13" borderId="8" xfId="0" applyNumberFormat="1" applyFont="1" applyFill="1" applyBorder="1" applyAlignment="1">
      <alignment wrapText="1"/>
    </xf>
    <xf numFmtId="2" fontId="1" fillId="13" borderId="5" xfId="0" applyNumberFormat="1" applyFont="1" applyFill="1" applyBorder="1" applyAlignment="1">
      <alignment wrapText="1"/>
    </xf>
    <xf numFmtId="2" fontId="1" fillId="13" borderId="1" xfId="0" applyNumberFormat="1" applyFont="1" applyFill="1" applyBorder="1" applyAlignment="1">
      <alignment wrapText="1"/>
    </xf>
    <xf numFmtId="1" fontId="1" fillId="13" borderId="8" xfId="0" applyNumberFormat="1" applyFont="1" applyFill="1" applyBorder="1" applyAlignment="1">
      <alignment horizontal="center" wrapText="1"/>
    </xf>
    <xf numFmtId="1" fontId="1" fillId="13" borderId="9" xfId="0" applyNumberFormat="1" applyFont="1" applyFill="1" applyBorder="1" applyAlignment="1">
      <alignment horizontal="center" wrapText="1"/>
    </xf>
    <xf numFmtId="0" fontId="1" fillId="12" borderId="29" xfId="0" applyFont="1" applyFill="1" applyBorder="1" applyAlignment="1">
      <alignment horizontal="center"/>
    </xf>
    <xf numFmtId="164" fontId="8" fillId="0" borderId="3" xfId="0" applyNumberFormat="1" applyFont="1" applyBorder="1" applyAlignment="1">
      <alignment horizontal="center"/>
    </xf>
    <xf numFmtId="167" fontId="20" fillId="0" borderId="4" xfId="0" applyNumberFormat="1" applyFont="1" applyBorder="1" applyAlignment="1">
      <alignment horizontal="center"/>
    </xf>
    <xf numFmtId="167" fontId="21" fillId="0" borderId="0" xfId="0" applyNumberFormat="1" applyFont="1" applyBorder="1" applyAlignment="1">
      <alignment horizontal="center"/>
    </xf>
    <xf numFmtId="167" fontId="2" fillId="0" borderId="0" xfId="0" applyNumberFormat="1" applyFont="1" applyBorder="1" applyAlignment="1">
      <alignment horizontal="center"/>
    </xf>
    <xf numFmtId="167" fontId="2" fillId="0" borderId="2" xfId="0" applyNumberFormat="1" applyFont="1" applyBorder="1" applyAlignment="1">
      <alignment horizontal="center"/>
    </xf>
    <xf numFmtId="2" fontId="20" fillId="0" borderId="4" xfId="0" applyNumberFormat="1" applyFont="1" applyBorder="1" applyAlignment="1">
      <alignment wrapText="1"/>
    </xf>
    <xf numFmtId="2" fontId="21" fillId="0" borderId="0" xfId="0" applyNumberFormat="1" applyFont="1" applyBorder="1" applyAlignment="1">
      <alignment wrapText="1"/>
    </xf>
    <xf numFmtId="2" fontId="0" fillId="0" borderId="0" xfId="0" applyNumberFormat="1" applyFont="1" applyBorder="1" applyAlignment="1">
      <alignment wrapText="1"/>
    </xf>
    <xf numFmtId="1" fontId="8" fillId="0" borderId="3" xfId="0" applyNumberFormat="1" applyFont="1" applyBorder="1"/>
    <xf numFmtId="1" fontId="8" fillId="0" borderId="4" xfId="0" applyNumberFormat="1" applyFont="1" applyBorder="1"/>
    <xf numFmtId="2" fontId="9" fillId="12" borderId="30" xfId="0" applyNumberFormat="1" applyFont="1" applyFill="1" applyBorder="1" applyAlignment="1">
      <alignment horizontal="center" wrapText="1"/>
    </xf>
    <xf numFmtId="0" fontId="8" fillId="0" borderId="3" xfId="0" applyFont="1" applyBorder="1" applyAlignment="1">
      <alignment horizontal="center"/>
    </xf>
    <xf numFmtId="2" fontId="9" fillId="12" borderId="31" xfId="0" applyNumberFormat="1" applyFont="1" applyFill="1" applyBorder="1" applyAlignment="1">
      <alignment horizontal="center" wrapText="1"/>
    </xf>
    <xf numFmtId="167" fontId="20" fillId="0" borderId="15" xfId="0" applyNumberFormat="1" applyFont="1" applyBorder="1" applyAlignment="1">
      <alignment horizontal="center"/>
    </xf>
    <xf numFmtId="167" fontId="21" fillId="0" borderId="6" xfId="0" applyNumberFormat="1" applyFont="1" applyBorder="1" applyAlignment="1">
      <alignment horizontal="center"/>
    </xf>
    <xf numFmtId="167" fontId="2" fillId="0" borderId="6" xfId="0" applyNumberFormat="1" applyFont="1" applyBorder="1" applyAlignment="1">
      <alignment horizontal="center"/>
    </xf>
    <xf numFmtId="167" fontId="2" fillId="0" borderId="7" xfId="0" applyNumberFormat="1" applyFont="1" applyBorder="1" applyAlignment="1">
      <alignment horizontal="center"/>
    </xf>
    <xf numFmtId="2" fontId="20" fillId="0" borderId="15" xfId="0" applyNumberFormat="1" applyFont="1" applyBorder="1" applyAlignment="1">
      <alignment wrapText="1"/>
    </xf>
    <xf numFmtId="2" fontId="21" fillId="0" borderId="6" xfId="0" applyNumberFormat="1" applyFont="1" applyBorder="1" applyAlignment="1">
      <alignment wrapText="1"/>
    </xf>
    <xf numFmtId="2" fontId="0" fillId="0" borderId="6" xfId="0" applyNumberFormat="1" applyFont="1" applyBorder="1" applyAlignment="1">
      <alignment wrapText="1"/>
    </xf>
    <xf numFmtId="1" fontId="8" fillId="0" borderId="14" xfId="0" applyNumberFormat="1" applyFont="1" applyBorder="1"/>
    <xf numFmtId="1" fontId="8" fillId="0" borderId="15" xfId="0" applyNumberFormat="1" applyFont="1" applyBorder="1"/>
    <xf numFmtId="167" fontId="20" fillId="0" borderId="0" xfId="0" applyNumberFormat="1" applyFont="1" applyBorder="1" applyAlignment="1">
      <alignment horizontal="center"/>
    </xf>
    <xf numFmtId="2" fontId="20" fillId="0" borderId="0" xfId="0" applyNumberFormat="1" applyFont="1" applyBorder="1" applyAlignment="1">
      <alignment wrapText="1"/>
    </xf>
    <xf numFmtId="167" fontId="20" fillId="0" borderId="6" xfId="0" applyNumberFormat="1" applyFont="1" applyBorder="1" applyAlignment="1">
      <alignment horizontal="center"/>
    </xf>
    <xf numFmtId="2" fontId="20" fillId="0" borderId="6" xfId="0" applyNumberFormat="1" applyFont="1" applyBorder="1" applyAlignment="1">
      <alignment wrapText="1"/>
    </xf>
    <xf numFmtId="1" fontId="8" fillId="0" borderId="11" xfId="0" applyNumberFormat="1" applyFont="1" applyBorder="1"/>
    <xf numFmtId="1" fontId="8" fillId="0" borderId="13" xfId="0" applyNumberFormat="1" applyFont="1" applyBorder="1"/>
    <xf numFmtId="167" fontId="21" fillId="0" borderId="2" xfId="0" applyNumberFormat="1" applyFont="1" applyBorder="1" applyAlignment="1">
      <alignment horizontal="center"/>
    </xf>
    <xf numFmtId="167" fontId="21" fillId="0" borderId="7" xfId="0" applyNumberFormat="1" applyFont="1" applyBorder="1" applyAlignment="1">
      <alignment horizontal="center"/>
    </xf>
    <xf numFmtId="167" fontId="20" fillId="0" borderId="2" xfId="0" applyNumberFormat="1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164" fontId="8" fillId="0" borderId="14" xfId="0" applyNumberFormat="1" applyFont="1" applyBorder="1" applyAlignment="1">
      <alignment horizontal="center"/>
    </xf>
    <xf numFmtId="167" fontId="20" fillId="0" borderId="7" xfId="0" applyNumberFormat="1" applyFont="1" applyBorder="1" applyAlignment="1">
      <alignment horizontal="center"/>
    </xf>
    <xf numFmtId="2" fontId="9" fillId="12" borderId="32" xfId="0" applyNumberFormat="1" applyFont="1" applyFill="1" applyBorder="1" applyAlignment="1">
      <alignment horizontal="center" wrapText="1"/>
    </xf>
    <xf numFmtId="0" fontId="0" fillId="0" borderId="10" xfId="0" applyFont="1" applyBorder="1"/>
    <xf numFmtId="0" fontId="19" fillId="12" borderId="29" xfId="0" applyFont="1" applyFill="1" applyBorder="1" applyAlignment="1">
      <alignment horizontal="center"/>
    </xf>
    <xf numFmtId="1" fontId="0" fillId="12" borderId="29" xfId="0" applyNumberFormat="1" applyFont="1" applyFill="1" applyBorder="1" applyAlignment="1">
      <alignment horizontal="center"/>
    </xf>
    <xf numFmtId="0" fontId="0" fillId="0" borderId="0" xfId="0" applyFont="1" applyBorder="1" applyAlignment="1">
      <alignment vertical="top"/>
    </xf>
    <xf numFmtId="0" fontId="0" fillId="0" borderId="0" xfId="0" applyFont="1" applyBorder="1" applyAlignment="1">
      <alignment vertical="top" wrapText="1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>
      <alignment vertical="top" wrapText="1"/>
    </xf>
    <xf numFmtId="0" fontId="0" fillId="0" borderId="0" xfId="0" applyNumberFormat="1" applyFont="1" applyFill="1" applyBorder="1"/>
    <xf numFmtId="0" fontId="0" fillId="0" borderId="1" xfId="0" applyFont="1" applyFill="1" applyBorder="1"/>
    <xf numFmtId="0" fontId="0" fillId="2" borderId="0" xfId="0" applyFont="1" applyFill="1"/>
    <xf numFmtId="164" fontId="12" fillId="0" borderId="1" xfId="0" applyNumberFormat="1" applyFont="1" applyBorder="1" applyAlignment="1">
      <alignment horizontal="center" vertical="center" textRotation="90"/>
    </xf>
    <xf numFmtId="164" fontId="3" fillId="0" borderId="1" xfId="0" applyNumberFormat="1" applyFont="1" applyBorder="1" applyAlignment="1">
      <alignment horizontal="center" vertical="center" textRotation="90"/>
    </xf>
    <xf numFmtId="164" fontId="12" fillId="0" borderId="6" xfId="0" applyNumberFormat="1" applyFont="1" applyBorder="1" applyAlignment="1">
      <alignment horizontal="center" vertical="center" textRotation="90"/>
    </xf>
    <xf numFmtId="164" fontId="3" fillId="0" borderId="6" xfId="0" applyNumberFormat="1" applyFont="1" applyBorder="1" applyAlignment="1">
      <alignment horizontal="center" vertical="center" textRotation="90"/>
    </xf>
    <xf numFmtId="0" fontId="0" fillId="0" borderId="33" xfId="0" applyFont="1" applyBorder="1"/>
    <xf numFmtId="164" fontId="23" fillId="0" borderId="34" xfId="0" applyNumberFormat="1" applyFont="1" applyBorder="1" applyAlignment="1">
      <alignment horizontal="center"/>
    </xf>
    <xf numFmtId="164" fontId="23" fillId="0" borderId="35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0" fontId="1" fillId="14" borderId="8" xfId="0" applyFont="1" applyFill="1" applyBorder="1" applyAlignment="1">
      <alignment horizontal="right"/>
    </xf>
    <xf numFmtId="0" fontId="0" fillId="14" borderId="1" xfId="0" applyFont="1" applyFill="1" applyBorder="1"/>
    <xf numFmtId="0" fontId="0" fillId="14" borderId="1" xfId="0" applyFont="1" applyFill="1" applyBorder="1" applyAlignment="1">
      <alignment horizontal="center"/>
    </xf>
    <xf numFmtId="0" fontId="0" fillId="14" borderId="1" xfId="0" applyFont="1" applyFill="1" applyBorder="1" applyAlignment="1">
      <alignment horizontal="left"/>
    </xf>
    <xf numFmtId="0" fontId="2" fillId="14" borderId="5" xfId="0" applyFont="1" applyFill="1" applyBorder="1" applyAlignment="1">
      <alignment horizontal="center"/>
    </xf>
    <xf numFmtId="0" fontId="0" fillId="14" borderId="1" xfId="0" applyFont="1" applyFill="1" applyBorder="1" applyAlignment="1"/>
    <xf numFmtId="0" fontId="0" fillId="14" borderId="5" xfId="0" applyFont="1" applyFill="1" applyBorder="1" applyAlignment="1">
      <alignment horizontal="center"/>
    </xf>
    <xf numFmtId="1" fontId="0" fillId="14" borderId="8" xfId="0" applyNumberFormat="1" applyFont="1" applyFill="1" applyBorder="1" applyAlignment="1"/>
    <xf numFmtId="0" fontId="3" fillId="14" borderId="1" xfId="0" applyFont="1" applyFill="1" applyBorder="1" applyAlignment="1">
      <alignment horizontal="center"/>
    </xf>
    <xf numFmtId="0" fontId="3" fillId="14" borderId="1" xfId="0" applyFont="1" applyFill="1" applyBorder="1"/>
    <xf numFmtId="1" fontId="3" fillId="14" borderId="1" xfId="0" applyNumberFormat="1" applyFont="1" applyFill="1" applyBorder="1"/>
    <xf numFmtId="0" fontId="3" fillId="14" borderId="5" xfId="0" applyFont="1" applyFill="1" applyBorder="1"/>
    <xf numFmtId="1" fontId="3" fillId="14" borderId="5" xfId="0" applyNumberFormat="1" applyFont="1" applyFill="1" applyBorder="1"/>
    <xf numFmtId="164" fontId="3" fillId="14" borderId="9" xfId="0" applyNumberFormat="1" applyFont="1" applyFill="1" applyBorder="1"/>
    <xf numFmtId="164" fontId="3" fillId="14" borderId="1" xfId="0" applyNumberFormat="1" applyFont="1" applyFill="1" applyBorder="1"/>
    <xf numFmtId="164" fontId="3" fillId="14" borderId="1" xfId="0" applyNumberFormat="1" applyFont="1" applyFill="1" applyBorder="1" applyAlignment="1"/>
    <xf numFmtId="9" fontId="22" fillId="14" borderId="1" xfId="1" applyFont="1" applyFill="1" applyBorder="1" applyAlignment="1" applyProtection="1"/>
    <xf numFmtId="9" fontId="22" fillId="14" borderId="5" xfId="1" applyFont="1" applyFill="1" applyBorder="1" applyAlignment="1" applyProtection="1"/>
    <xf numFmtId="0" fontId="1" fillId="14" borderId="9" xfId="0" applyFont="1" applyFill="1" applyBorder="1"/>
    <xf numFmtId="0" fontId="0" fillId="15" borderId="8" xfId="0" applyFont="1" applyFill="1" applyBorder="1" applyAlignment="1">
      <alignment horizontal="right"/>
    </xf>
    <xf numFmtId="0" fontId="1" fillId="15" borderId="1" xfId="0" applyFont="1" applyFill="1" applyBorder="1"/>
    <xf numFmtId="0" fontId="0" fillId="15" borderId="1" xfId="0" applyFont="1" applyFill="1" applyBorder="1"/>
    <xf numFmtId="0" fontId="0" fillId="15" borderId="1" xfId="0" applyFont="1" applyFill="1" applyBorder="1" applyAlignment="1">
      <alignment horizontal="left"/>
    </xf>
    <xf numFmtId="0" fontId="2" fillId="15" borderId="5" xfId="0" applyFont="1" applyFill="1" applyBorder="1"/>
    <xf numFmtId="0" fontId="0" fillId="15" borderId="1" xfId="0" applyFont="1" applyFill="1" applyBorder="1" applyAlignment="1">
      <alignment horizontal="center"/>
    </xf>
    <xf numFmtId="0" fontId="0" fillId="15" borderId="1" xfId="0" applyFont="1" applyFill="1" applyBorder="1" applyAlignment="1"/>
    <xf numFmtId="0" fontId="0" fillId="15" borderId="5" xfId="0" applyFont="1" applyFill="1" applyBorder="1" applyAlignment="1">
      <alignment horizontal="center"/>
    </xf>
    <xf numFmtId="0" fontId="0" fillId="15" borderId="8" xfId="0" applyFont="1" applyFill="1" applyBorder="1" applyAlignment="1"/>
    <xf numFmtId="1" fontId="0" fillId="15" borderId="5" xfId="0" applyNumberFormat="1" applyFont="1" applyFill="1" applyBorder="1"/>
    <xf numFmtId="0" fontId="0" fillId="15" borderId="5" xfId="0" applyFont="1" applyFill="1" applyBorder="1"/>
    <xf numFmtId="0" fontId="0" fillId="15" borderId="1" xfId="0" applyFont="1" applyFill="1" applyBorder="1" applyAlignment="1">
      <alignment horizontal="right"/>
    </xf>
    <xf numFmtId="164" fontId="0" fillId="15" borderId="9" xfId="0" applyNumberFormat="1" applyFont="1" applyFill="1" applyBorder="1"/>
    <xf numFmtId="164" fontId="0" fillId="15" borderId="1" xfId="0" applyNumberFormat="1" applyFont="1" applyFill="1" applyBorder="1"/>
    <xf numFmtId="164" fontId="0" fillId="15" borderId="1" xfId="0" applyNumberFormat="1" applyFont="1" applyFill="1" applyBorder="1" applyAlignment="1"/>
    <xf numFmtId="1" fontId="0" fillId="15" borderId="1" xfId="0" applyNumberFormat="1" applyFont="1" applyFill="1" applyBorder="1"/>
    <xf numFmtId="0" fontId="0" fillId="16" borderId="0" xfId="0" applyFont="1" applyFill="1" applyBorder="1"/>
    <xf numFmtId="0" fontId="0" fillId="16" borderId="2" xfId="0" applyFont="1" applyFill="1" applyBorder="1" applyAlignment="1">
      <alignment horizontal="right"/>
    </xf>
    <xf numFmtId="0" fontId="0" fillId="16" borderId="3" xfId="0" applyFont="1" applyFill="1" applyBorder="1" applyAlignment="1">
      <alignment horizontal="right"/>
    </xf>
    <xf numFmtId="0" fontId="3" fillId="16" borderId="0" xfId="0" applyFont="1" applyFill="1" applyBorder="1"/>
    <xf numFmtId="0" fontId="3" fillId="16" borderId="0" xfId="0" applyFont="1" applyFill="1" applyBorder="1" applyAlignment="1">
      <alignment horizontal="center"/>
    </xf>
    <xf numFmtId="0" fontId="0" fillId="16" borderId="4" xfId="0" applyFont="1" applyFill="1" applyBorder="1" applyAlignment="1">
      <alignment horizontal="right"/>
    </xf>
    <xf numFmtId="0" fontId="0" fillId="16" borderId="0" xfId="0" applyFont="1" applyFill="1" applyBorder="1" applyAlignment="1">
      <alignment horizontal="right"/>
    </xf>
    <xf numFmtId="0" fontId="0" fillId="16" borderId="0" xfId="0" applyFont="1" applyFill="1" applyBorder="1" applyAlignment="1">
      <alignment horizontal="center"/>
    </xf>
    <xf numFmtId="0" fontId="0" fillId="16" borderId="4" xfId="0" applyFont="1" applyFill="1" applyBorder="1" applyAlignment="1">
      <alignment horizontal="center"/>
    </xf>
    <xf numFmtId="0" fontId="0" fillId="16" borderId="3" xfId="0" applyFont="1" applyFill="1" applyBorder="1" applyAlignment="1">
      <alignment horizontal="center"/>
    </xf>
    <xf numFmtId="0" fontId="7" fillId="16" borderId="0" xfId="0" applyFont="1" applyFill="1" applyBorder="1" applyAlignment="1">
      <alignment horizontal="center"/>
    </xf>
    <xf numFmtId="0" fontId="7" fillId="16" borderId="0" xfId="0" applyFont="1" applyFill="1" applyBorder="1"/>
    <xf numFmtId="0" fontId="11" fillId="16" borderId="0" xfId="0" applyFont="1" applyFill="1" applyBorder="1"/>
    <xf numFmtId="2" fontId="8" fillId="16" borderId="3" xfId="0" applyNumberFormat="1" applyFont="1" applyFill="1" applyBorder="1" applyAlignment="1">
      <alignment horizontal="center"/>
    </xf>
    <xf numFmtId="1" fontId="0" fillId="16" borderId="0" xfId="0" applyNumberFormat="1" applyFont="1" applyFill="1" applyBorder="1" applyAlignment="1">
      <alignment horizontal="center"/>
    </xf>
    <xf numFmtId="1" fontId="8" fillId="16" borderId="0" xfId="0" applyNumberFormat="1" applyFont="1" applyFill="1" applyBorder="1"/>
    <xf numFmtId="3" fontId="9" fillId="16" borderId="3" xfId="0" applyNumberFormat="1" applyFont="1" applyFill="1" applyBorder="1"/>
    <xf numFmtId="0" fontId="10" fillId="16" borderId="0" xfId="0" applyFont="1" applyFill="1" applyBorder="1"/>
    <xf numFmtId="0" fontId="8" fillId="16" borderId="4" xfId="0" applyFont="1" applyFill="1" applyBorder="1"/>
    <xf numFmtId="0" fontId="8" fillId="16" borderId="0" xfId="0" applyFont="1" applyFill="1" applyBorder="1"/>
    <xf numFmtId="3" fontId="8" fillId="16" borderId="0" xfId="0" applyNumberFormat="1" applyFont="1" applyFill="1" applyBorder="1"/>
    <xf numFmtId="3" fontId="8" fillId="16" borderId="3" xfId="0" applyNumberFormat="1" applyFont="1" applyFill="1" applyBorder="1"/>
    <xf numFmtId="9" fontId="8" fillId="16" borderId="0" xfId="1" applyFont="1" applyFill="1" applyBorder="1" applyAlignment="1" applyProtection="1">
      <alignment horizontal="center"/>
    </xf>
    <xf numFmtId="9" fontId="8" fillId="16" borderId="0" xfId="0" applyNumberFormat="1" applyFont="1" applyFill="1" applyBorder="1"/>
    <xf numFmtId="166" fontId="8" fillId="16" borderId="4" xfId="2" applyNumberFormat="1" applyFont="1" applyFill="1" applyBorder="1" applyAlignment="1" applyProtection="1">
      <alignment horizontal="right"/>
    </xf>
    <xf numFmtId="1" fontId="8" fillId="16" borderId="2" xfId="0" applyNumberFormat="1" applyFont="1" applyFill="1" applyBorder="1"/>
    <xf numFmtId="1" fontId="0" fillId="0" borderId="37" xfId="0" applyNumberFormat="1" applyFont="1" applyFill="1" applyBorder="1" applyAlignment="1">
      <alignment horizontal="right"/>
    </xf>
    <xf numFmtId="0" fontId="24" fillId="0" borderId="2" xfId="0" applyFont="1" applyBorder="1"/>
    <xf numFmtId="1" fontId="3" fillId="0" borderId="2" xfId="0" applyNumberFormat="1" applyFont="1" applyFill="1" applyBorder="1"/>
    <xf numFmtId="164" fontId="3" fillId="0" borderId="4" xfId="0" applyNumberFormat="1" applyFont="1" applyFill="1" applyBorder="1"/>
    <xf numFmtId="164" fontId="3" fillId="0" borderId="0" xfId="0" applyNumberFormat="1" applyFont="1" applyFill="1" applyBorder="1"/>
    <xf numFmtId="164" fontId="3" fillId="0" borderId="0" xfId="0" applyNumberFormat="1" applyFont="1" applyFill="1" applyBorder="1" applyAlignment="1"/>
    <xf numFmtId="0" fontId="1" fillId="9" borderId="1" xfId="0" applyFont="1" applyFill="1" applyBorder="1" applyAlignment="1">
      <alignment horizontal="center"/>
    </xf>
    <xf numFmtId="4" fontId="1" fillId="2" borderId="3" xfId="0" applyNumberFormat="1" applyFont="1" applyFill="1" applyBorder="1" applyAlignment="1">
      <alignment horizontal="center" textRotation="90" wrapText="1"/>
    </xf>
    <xf numFmtId="0" fontId="6" fillId="3" borderId="9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19" fillId="13" borderId="11" xfId="0" applyFont="1" applyFill="1" applyBorder="1" applyAlignment="1">
      <alignment horizontal="center"/>
    </xf>
    <xf numFmtId="1" fontId="1" fillId="11" borderId="38" xfId="0" applyNumberFormat="1" applyFont="1" applyFill="1" applyBorder="1" applyAlignment="1">
      <alignment horizontal="center" vertical="center"/>
    </xf>
    <xf numFmtId="49" fontId="1" fillId="13" borderId="8" xfId="0" applyNumberFormat="1" applyFont="1" applyFill="1" applyBorder="1" applyAlignment="1">
      <alignment horizontal="left"/>
    </xf>
    <xf numFmtId="0" fontId="1" fillId="11" borderId="8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2" fontId="1" fillId="11" borderId="8" xfId="0" applyNumberFormat="1" applyFont="1" applyFill="1" applyBorder="1" applyAlignment="1">
      <alignment horizontal="center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70</xdr:row>
      <xdr:rowOff>85725</xdr:rowOff>
    </xdr:from>
    <xdr:to>
      <xdr:col>5</xdr:col>
      <xdr:colOff>1924050</xdr:colOff>
      <xdr:row>70</xdr:row>
      <xdr:rowOff>85725</xdr:rowOff>
    </xdr:to>
    <xdr:sp macro="" textlink="">
      <xdr:nvSpPr>
        <xdr:cNvPr id="5173" name="Line 1"/>
        <xdr:cNvSpPr>
          <a:spLocks noChangeShapeType="1"/>
        </xdr:cNvSpPr>
      </xdr:nvSpPr>
      <xdr:spPr bwMode="auto">
        <a:xfrm flipH="1">
          <a:off x="7143750" y="11420475"/>
          <a:ext cx="18288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Larissa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G30"/>
  <sheetViews>
    <sheetView topLeftCell="A4" workbookViewId="0">
      <selection activeCell="W49" sqref="W49"/>
    </sheetView>
  </sheetViews>
  <sheetFormatPr baseColWidth="10" defaultColWidth="9" defaultRowHeight="12.75" x14ac:dyDescent="0.2"/>
  <cols>
    <col min="1" max="1" width="17.5703125" style="1" customWidth="1"/>
    <col min="2" max="2" width="18.7109375" style="1" customWidth="1"/>
    <col min="3" max="3" width="18.140625" style="1" customWidth="1"/>
    <col min="4" max="4" width="19.42578125" style="1" customWidth="1"/>
    <col min="5" max="5" width="16.5703125" style="1" customWidth="1"/>
    <col min="6" max="6" width="14.28515625" style="1" customWidth="1"/>
    <col min="7" max="7" width="18.85546875" style="1" customWidth="1"/>
    <col min="8" max="8" width="15" style="1" customWidth="1"/>
    <col min="9" max="16384" width="9" style="1"/>
  </cols>
  <sheetData>
    <row r="1" spans="1: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2">
      <c r="A2" s="3" t="s">
        <v>5</v>
      </c>
      <c r="B2" s="3" t="s">
        <v>6</v>
      </c>
      <c r="C2" s="3" t="s">
        <v>7</v>
      </c>
      <c r="D2" s="3" t="s">
        <v>8</v>
      </c>
      <c r="E2" s="3" t="s">
        <v>9</v>
      </c>
    </row>
    <row r="3" spans="1:5" x14ac:dyDescent="0.2">
      <c r="A3" s="3" t="s">
        <v>10</v>
      </c>
      <c r="B3" s="3" t="s">
        <v>11</v>
      </c>
      <c r="C3" s="3" t="s">
        <v>12</v>
      </c>
      <c r="D3" s="3" t="s">
        <v>13</v>
      </c>
      <c r="E3" s="3" t="s">
        <v>14</v>
      </c>
    </row>
    <row r="4" spans="1:5" x14ac:dyDescent="0.2">
      <c r="A4" s="3" t="s">
        <v>15</v>
      </c>
      <c r="B4" s="3" t="s">
        <v>16</v>
      </c>
      <c r="C4" s="3" t="s">
        <v>17</v>
      </c>
      <c r="D4" s="3" t="s">
        <v>18</v>
      </c>
      <c r="E4" s="3" t="s">
        <v>19</v>
      </c>
    </row>
    <row r="5" spans="1:5" x14ac:dyDescent="0.2">
      <c r="A5" s="3" t="s">
        <v>20</v>
      </c>
      <c r="B5" s="3" t="s">
        <v>21</v>
      </c>
      <c r="C5" s="3" t="s">
        <v>22</v>
      </c>
      <c r="D5" s="3" t="s">
        <v>23</v>
      </c>
      <c r="E5" s="3"/>
    </row>
    <row r="6" spans="1:5" x14ac:dyDescent="0.2">
      <c r="A6" s="3" t="s">
        <v>24</v>
      </c>
      <c r="B6" s="3" t="s">
        <v>25</v>
      </c>
      <c r="C6" s="3" t="s">
        <v>26</v>
      </c>
      <c r="D6" s="3"/>
      <c r="E6" s="3"/>
    </row>
    <row r="7" spans="1:5" x14ac:dyDescent="0.2">
      <c r="A7" s="3" t="s">
        <v>27</v>
      </c>
      <c r="B7" s="3" t="s">
        <v>28</v>
      </c>
      <c r="C7" s="3" t="s">
        <v>29</v>
      </c>
      <c r="D7" s="3"/>
      <c r="E7" s="3"/>
    </row>
    <row r="8" spans="1:5" x14ac:dyDescent="0.2">
      <c r="A8" s="3" t="s">
        <v>30</v>
      </c>
      <c r="B8" s="3" t="s">
        <v>31</v>
      </c>
      <c r="C8" s="3" t="s">
        <v>32</v>
      </c>
      <c r="D8" s="3"/>
    </row>
    <row r="9" spans="1:5" x14ac:dyDescent="0.2">
      <c r="A9" s="3" t="s">
        <v>33</v>
      </c>
      <c r="B9" s="3" t="s">
        <v>34</v>
      </c>
      <c r="C9" s="3"/>
      <c r="D9" s="3"/>
      <c r="E9" s="3"/>
    </row>
    <row r="10" spans="1:5" x14ac:dyDescent="0.2">
      <c r="A10" s="3" t="s">
        <v>33</v>
      </c>
      <c r="B10" s="3" t="s">
        <v>35</v>
      </c>
      <c r="C10" s="3"/>
      <c r="D10" s="3"/>
      <c r="E10" s="3"/>
    </row>
    <row r="11" spans="1:5" x14ac:dyDescent="0.2">
      <c r="A11" s="3" t="s">
        <v>36</v>
      </c>
      <c r="B11" s="3" t="s">
        <v>37</v>
      </c>
      <c r="C11" s="3"/>
      <c r="D11" s="3"/>
      <c r="E11" s="3"/>
    </row>
    <row r="12" spans="1:5" x14ac:dyDescent="0.2">
      <c r="A12" s="3" t="s">
        <v>38</v>
      </c>
      <c r="B12" s="3" t="s">
        <v>39</v>
      </c>
      <c r="C12" s="3"/>
      <c r="D12" s="3"/>
      <c r="E12" s="3"/>
    </row>
    <row r="13" spans="1:5" x14ac:dyDescent="0.2">
      <c r="A13" s="3" t="s">
        <v>40</v>
      </c>
      <c r="B13" s="3" t="s">
        <v>41</v>
      </c>
      <c r="C13" s="3"/>
      <c r="D13" s="3"/>
      <c r="E13" s="3"/>
    </row>
    <row r="14" spans="1:5" x14ac:dyDescent="0.2">
      <c r="A14" s="3" t="s">
        <v>42</v>
      </c>
      <c r="B14" s="3" t="s">
        <v>43</v>
      </c>
      <c r="C14" s="3"/>
      <c r="D14" s="3"/>
      <c r="E14" s="3"/>
    </row>
    <row r="15" spans="1:5" x14ac:dyDescent="0.2">
      <c r="A15" s="3" t="s">
        <v>44</v>
      </c>
      <c r="B15" s="3" t="s">
        <v>45</v>
      </c>
      <c r="C15" s="3"/>
      <c r="D15" s="3"/>
      <c r="E15" s="3"/>
    </row>
    <row r="16" spans="1:5" x14ac:dyDescent="0.2">
      <c r="A16" s="3" t="s">
        <v>46</v>
      </c>
      <c r="B16" s="3" t="s">
        <v>47</v>
      </c>
      <c r="C16" s="3"/>
      <c r="D16" s="3"/>
      <c r="E16" s="3"/>
    </row>
    <row r="17" spans="1:7" x14ac:dyDescent="0.2">
      <c r="A17" s="3" t="s">
        <v>48</v>
      </c>
      <c r="B17" s="3" t="s">
        <v>49</v>
      </c>
      <c r="C17" s="3"/>
      <c r="D17" s="3"/>
      <c r="E17" s="3"/>
    </row>
    <row r="18" spans="1:7" x14ac:dyDescent="0.2">
      <c r="A18" s="3" t="s">
        <v>50</v>
      </c>
      <c r="B18" s="3"/>
      <c r="C18" s="3"/>
      <c r="D18" s="3"/>
      <c r="E18" s="3"/>
    </row>
    <row r="19" spans="1:7" x14ac:dyDescent="0.2">
      <c r="A19" s="3" t="s">
        <v>51</v>
      </c>
      <c r="C19" s="3"/>
      <c r="D19" s="3"/>
      <c r="E19" s="3"/>
      <c r="F19" s="3"/>
      <c r="G19" s="3"/>
    </row>
    <row r="20" spans="1:7" x14ac:dyDescent="0.2">
      <c r="A20" s="3" t="s">
        <v>52</v>
      </c>
      <c r="C20" s="3"/>
      <c r="D20" s="3"/>
      <c r="E20" s="3"/>
      <c r="F20" s="3"/>
      <c r="G20" s="3"/>
    </row>
    <row r="21" spans="1:7" x14ac:dyDescent="0.2">
      <c r="A21" s="3"/>
      <c r="B21" s="3"/>
      <c r="C21" s="3"/>
      <c r="D21" s="3"/>
      <c r="E21" s="3"/>
      <c r="F21" s="3"/>
      <c r="G21" s="3"/>
    </row>
    <row r="22" spans="1:7" x14ac:dyDescent="0.2">
      <c r="A22" s="3"/>
      <c r="B22" s="3"/>
      <c r="C22" s="3"/>
      <c r="D22" s="3"/>
      <c r="E22" s="3"/>
      <c r="F22" s="3"/>
      <c r="G22" s="3"/>
    </row>
    <row r="23" spans="1:7" x14ac:dyDescent="0.2">
      <c r="A23" s="3"/>
      <c r="B23" s="3"/>
      <c r="C23" s="3"/>
      <c r="D23" s="3"/>
      <c r="E23" s="3"/>
      <c r="F23" s="3"/>
      <c r="G23" s="3"/>
    </row>
    <row r="24" spans="1:7" x14ac:dyDescent="0.2">
      <c r="A24" s="4" t="s">
        <v>53</v>
      </c>
      <c r="B24" s="4" t="s">
        <v>54</v>
      </c>
      <c r="C24" s="4" t="s">
        <v>55</v>
      </c>
    </row>
    <row r="25" spans="1:7" x14ac:dyDescent="0.2">
      <c r="A25" s="1" t="s">
        <v>56</v>
      </c>
      <c r="B25" s="1" t="s">
        <v>57</v>
      </c>
      <c r="C25" s="1" t="s">
        <v>58</v>
      </c>
    </row>
    <row r="26" spans="1:7" x14ac:dyDescent="0.2">
      <c r="A26" s="1" t="s">
        <v>59</v>
      </c>
      <c r="B26" s="1" t="s">
        <v>60</v>
      </c>
      <c r="C26" s="1" t="s">
        <v>61</v>
      </c>
    </row>
    <row r="27" spans="1:7" x14ac:dyDescent="0.2">
      <c r="A27" s="1" t="s">
        <v>62</v>
      </c>
      <c r="B27" s="1" t="s">
        <v>63</v>
      </c>
      <c r="C27" s="1" t="s">
        <v>64</v>
      </c>
    </row>
    <row r="28" spans="1:7" x14ac:dyDescent="0.2">
      <c r="A28" s="1" t="s">
        <v>65</v>
      </c>
      <c r="B28" s="1" t="s">
        <v>66</v>
      </c>
      <c r="C28" s="1" t="s">
        <v>67</v>
      </c>
    </row>
    <row r="29" spans="1:7" x14ac:dyDescent="0.2">
      <c r="A29" s="1" t="s">
        <v>68</v>
      </c>
      <c r="B29" s="1" t="s">
        <v>69</v>
      </c>
      <c r="C29" s="1" t="s">
        <v>70</v>
      </c>
    </row>
    <row r="30" spans="1:7" x14ac:dyDescent="0.2">
      <c r="A30" s="1" t="s">
        <v>71</v>
      </c>
      <c r="C30" s="1" t="s">
        <v>72</v>
      </c>
    </row>
  </sheetData>
  <pageMargins left="0.78749999999999998" right="0.78749999999999998" top="0.78749999999999998" bottom="0.78749999999999998" header="0.51180555555555551" footer="0.51180555555555551"/>
  <pageSetup firstPageNumber="0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IV901"/>
  <sheetViews>
    <sheetView tabSelected="1" zoomScaleNormal="100" workbookViewId="0">
      <pane xSplit="2" ySplit="1" topLeftCell="C733" activePane="bottomRight" state="frozen"/>
      <selection activeCell="W49" sqref="W49"/>
      <selection pane="topRight" activeCell="W49" sqref="W49"/>
      <selection pane="bottomLeft" activeCell="W49" sqref="W49"/>
      <selection pane="bottomRight" activeCell="L683" sqref="L683:L686"/>
    </sheetView>
  </sheetViews>
  <sheetFormatPr baseColWidth="10" defaultColWidth="9" defaultRowHeight="12.75" outlineLevelRow="1" x14ac:dyDescent="0.2"/>
  <cols>
    <col min="1" max="1" width="7" style="5" customWidth="1"/>
    <col min="2" max="2" width="31.42578125" style="1" customWidth="1"/>
    <col min="3" max="3" width="24.28515625" style="1" customWidth="1"/>
    <col min="4" max="4" width="4.85546875" style="6" customWidth="1"/>
    <col min="5" max="5" width="15.28515625" style="7" customWidth="1"/>
    <col min="6" max="6" width="5.140625" style="8" customWidth="1"/>
    <col min="7" max="7" width="4" style="1" customWidth="1"/>
    <col min="8" max="8" width="4" style="6" customWidth="1"/>
    <col min="9" max="9" width="4.7109375" style="6" customWidth="1"/>
    <col min="10" max="10" width="6.42578125" style="1" customWidth="1"/>
    <col min="11" max="11" width="6.42578125" style="9" customWidth="1"/>
    <col min="12" max="12" width="4.85546875" style="6" customWidth="1"/>
    <col min="13" max="13" width="6.42578125" style="10" customWidth="1"/>
    <col min="14" max="14" width="9" style="11"/>
    <col min="15" max="15" width="9.140625" style="12" customWidth="1"/>
    <col min="16" max="16" width="9.140625" style="13" customWidth="1"/>
    <col min="17" max="17" width="11.140625" style="14" customWidth="1"/>
    <col min="18" max="18" width="8.85546875" style="15" customWidth="1"/>
    <col min="19" max="19" width="9.140625" style="14" customWidth="1"/>
    <col min="20" max="20" width="9.140625" style="16" customWidth="1"/>
    <col min="21" max="22" width="9.140625" style="14" customWidth="1"/>
    <col min="23" max="23" width="6.140625" style="17" customWidth="1"/>
    <col min="24" max="24" width="6.42578125" style="18" customWidth="1"/>
    <col min="25" max="25" width="6.42578125" style="19" customWidth="1"/>
    <col min="26" max="26" width="6" style="13" customWidth="1"/>
    <col min="27" max="28" width="5.7109375" style="15" customWidth="1"/>
    <col min="29" max="31" width="9.140625" style="20" customWidth="1"/>
    <col min="32" max="32" width="9.140625" style="21" customWidth="1"/>
    <col min="33" max="16384" width="9" style="1"/>
  </cols>
  <sheetData>
    <row r="1" spans="1:256" ht="110.25" customHeight="1" x14ac:dyDescent="0.2">
      <c r="A1" s="22" t="s">
        <v>73</v>
      </c>
      <c r="B1" s="23" t="s">
        <v>74</v>
      </c>
      <c r="C1" s="23" t="s">
        <v>75</v>
      </c>
      <c r="D1" s="23" t="s">
        <v>76</v>
      </c>
      <c r="E1" s="24" t="s">
        <v>77</v>
      </c>
      <c r="F1" s="25" t="s">
        <v>78</v>
      </c>
      <c r="G1" s="23" t="s">
        <v>79</v>
      </c>
      <c r="H1" s="23" t="s">
        <v>80</v>
      </c>
      <c r="I1" s="23" t="s">
        <v>81</v>
      </c>
      <c r="J1" s="23" t="s">
        <v>82</v>
      </c>
      <c r="K1" s="26" t="s">
        <v>83</v>
      </c>
      <c r="L1" s="23" t="s">
        <v>84</v>
      </c>
      <c r="M1" s="27" t="s">
        <v>85</v>
      </c>
      <c r="N1" s="28" t="s">
        <v>86</v>
      </c>
      <c r="O1" s="29" t="s">
        <v>87</v>
      </c>
      <c r="P1" s="23" t="s">
        <v>88</v>
      </c>
      <c r="Q1" s="30" t="s">
        <v>89</v>
      </c>
      <c r="R1" s="27" t="s">
        <v>90</v>
      </c>
      <c r="S1" s="31" t="s">
        <v>91</v>
      </c>
      <c r="T1" s="32" t="s">
        <v>92</v>
      </c>
      <c r="U1" s="31" t="s">
        <v>93</v>
      </c>
      <c r="V1" s="31" t="s">
        <v>94</v>
      </c>
      <c r="W1" s="33" t="s">
        <v>95</v>
      </c>
      <c r="X1" s="34" t="s">
        <v>96</v>
      </c>
      <c r="Y1" s="34" t="s">
        <v>97</v>
      </c>
      <c r="Z1" s="31" t="s">
        <v>98</v>
      </c>
      <c r="AA1" s="32" t="s">
        <v>99</v>
      </c>
      <c r="AB1" s="32" t="s">
        <v>100</v>
      </c>
      <c r="AC1" s="35" t="s">
        <v>101</v>
      </c>
      <c r="AD1" s="36" t="s">
        <v>1305</v>
      </c>
      <c r="AE1" s="36" t="s">
        <v>102</v>
      </c>
      <c r="AF1" s="37" t="s">
        <v>103</v>
      </c>
    </row>
    <row r="2" spans="1:256" s="3" customFormat="1" x14ac:dyDescent="0.2">
      <c r="A2" s="38"/>
      <c r="B2" s="39" t="s">
        <v>104</v>
      </c>
      <c r="C2" s="39"/>
      <c r="D2" s="40"/>
      <c r="E2" s="41"/>
      <c r="F2" s="42"/>
      <c r="G2" s="43"/>
      <c r="H2" s="44"/>
      <c r="I2" s="44"/>
      <c r="J2" s="43"/>
      <c r="K2" s="45"/>
      <c r="L2" s="44"/>
      <c r="M2" s="46"/>
      <c r="N2" s="47"/>
      <c r="O2" s="48"/>
      <c r="P2" s="48"/>
      <c r="Q2" s="48"/>
      <c r="R2" s="49"/>
      <c r="S2" s="48"/>
      <c r="T2" s="49"/>
      <c r="U2" s="48"/>
      <c r="V2" s="48"/>
      <c r="W2" s="50"/>
      <c r="X2" s="51"/>
      <c r="Y2" s="52"/>
      <c r="Z2" s="48"/>
      <c r="AA2" s="49"/>
      <c r="AB2" s="49"/>
      <c r="AC2" s="48"/>
      <c r="AD2" s="48"/>
      <c r="AE2" s="48"/>
      <c r="AF2" s="49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</row>
    <row r="3" spans="1:256" s="3" customFormat="1" outlineLevel="1" x14ac:dyDescent="0.2">
      <c r="A3" s="53">
        <v>1</v>
      </c>
      <c r="B3" s="3" t="s">
        <v>105</v>
      </c>
      <c r="C3" s="3" t="s">
        <v>106</v>
      </c>
      <c r="D3" s="54">
        <v>0</v>
      </c>
      <c r="E3" s="55" t="s">
        <v>107</v>
      </c>
      <c r="F3" s="56"/>
      <c r="H3" s="54">
        <v>1</v>
      </c>
      <c r="I3" s="54">
        <v>31</v>
      </c>
      <c r="K3" s="57">
        <v>400</v>
      </c>
      <c r="L3" s="54">
        <v>1</v>
      </c>
      <c r="M3" s="58">
        <v>1</v>
      </c>
      <c r="N3" s="59">
        <v>20</v>
      </c>
      <c r="R3" s="60"/>
      <c r="T3" s="60"/>
      <c r="W3" s="61"/>
      <c r="X3" s="62"/>
      <c r="Y3" s="63"/>
      <c r="AA3" s="60"/>
      <c r="AB3" s="60"/>
      <c r="AF3" s="60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</row>
    <row r="4" spans="1:256" s="3" customFormat="1" outlineLevel="1" x14ac:dyDescent="0.2">
      <c r="A4" s="53">
        <v>2</v>
      </c>
      <c r="B4" s="3" t="s">
        <v>108</v>
      </c>
      <c r="C4" s="3" t="s">
        <v>106</v>
      </c>
      <c r="D4" s="54">
        <v>5</v>
      </c>
      <c r="E4" s="55" t="s">
        <v>107</v>
      </c>
      <c r="F4" s="56"/>
      <c r="H4" s="54">
        <v>1</v>
      </c>
      <c r="I4" s="54">
        <v>31</v>
      </c>
      <c r="K4" s="57">
        <v>400</v>
      </c>
      <c r="L4" s="54">
        <v>1</v>
      </c>
      <c r="M4" s="58"/>
      <c r="N4" s="59">
        <v>40</v>
      </c>
      <c r="R4" s="60"/>
      <c r="T4" s="60"/>
      <c r="W4" s="61"/>
      <c r="X4" s="62"/>
      <c r="Y4" s="63"/>
      <c r="AA4" s="60"/>
      <c r="AB4" s="60"/>
      <c r="AF4" s="60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</row>
    <row r="5" spans="1:256" s="3" customFormat="1" outlineLevel="1" x14ac:dyDescent="0.2">
      <c r="A5" s="53">
        <v>3</v>
      </c>
      <c r="B5" s="3" t="s">
        <v>109</v>
      </c>
      <c r="C5" s="3" t="s">
        <v>106</v>
      </c>
      <c r="D5" s="54">
        <v>10</v>
      </c>
      <c r="E5" s="55" t="s">
        <v>107</v>
      </c>
      <c r="F5" s="56"/>
      <c r="H5" s="54">
        <v>1</v>
      </c>
      <c r="I5" s="54">
        <v>31</v>
      </c>
      <c r="K5" s="57">
        <v>400</v>
      </c>
      <c r="L5" s="54">
        <v>1</v>
      </c>
      <c r="M5" s="58"/>
      <c r="N5" s="59">
        <v>60</v>
      </c>
      <c r="R5" s="60"/>
      <c r="T5" s="60"/>
      <c r="W5" s="61"/>
      <c r="X5" s="62"/>
      <c r="Y5" s="63"/>
      <c r="AA5" s="60"/>
      <c r="AB5" s="60"/>
      <c r="AF5" s="60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</row>
    <row r="6" spans="1:256" s="3" customFormat="1" outlineLevel="1" x14ac:dyDescent="0.2">
      <c r="A6" s="53">
        <v>4</v>
      </c>
      <c r="B6" s="3" t="s">
        <v>110</v>
      </c>
      <c r="C6" s="3" t="s">
        <v>106</v>
      </c>
      <c r="D6" s="54">
        <v>15</v>
      </c>
      <c r="E6" s="55" t="s">
        <v>107</v>
      </c>
      <c r="F6" s="56"/>
      <c r="H6" s="54">
        <v>1</v>
      </c>
      <c r="I6" s="54">
        <v>31</v>
      </c>
      <c r="K6" s="57">
        <v>400</v>
      </c>
      <c r="L6" s="54">
        <v>1</v>
      </c>
      <c r="M6" s="58"/>
      <c r="N6" s="59">
        <v>90</v>
      </c>
      <c r="R6" s="60"/>
      <c r="T6" s="60"/>
      <c r="W6" s="61"/>
      <c r="X6" s="62"/>
      <c r="Y6" s="63"/>
      <c r="AA6" s="60"/>
      <c r="AB6" s="60"/>
      <c r="AF6" s="60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</row>
    <row r="7" spans="1:256" s="3" customFormat="1" outlineLevel="1" x14ac:dyDescent="0.2">
      <c r="A7" s="53">
        <v>5</v>
      </c>
      <c r="B7" s="3" t="s">
        <v>111</v>
      </c>
      <c r="C7" s="3" t="s">
        <v>106</v>
      </c>
      <c r="D7" s="54">
        <v>20</v>
      </c>
      <c r="E7" s="55" t="s">
        <v>107</v>
      </c>
      <c r="F7" s="56"/>
      <c r="H7" s="54">
        <v>1</v>
      </c>
      <c r="I7" s="54">
        <v>31</v>
      </c>
      <c r="K7" s="57">
        <v>400</v>
      </c>
      <c r="L7" s="54">
        <v>1</v>
      </c>
      <c r="M7" s="58"/>
      <c r="N7" s="59">
        <v>120</v>
      </c>
      <c r="R7" s="60"/>
      <c r="T7" s="60"/>
      <c r="W7" s="61"/>
      <c r="X7" s="62"/>
      <c r="Y7" s="63"/>
      <c r="AA7" s="60"/>
      <c r="AB7" s="60"/>
      <c r="AF7" s="60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</row>
    <row r="8" spans="1:256" s="3" customFormat="1" x14ac:dyDescent="0.2">
      <c r="A8" s="38"/>
      <c r="B8" s="39" t="s">
        <v>112</v>
      </c>
      <c r="C8" s="39"/>
      <c r="D8" s="64"/>
      <c r="E8" s="41"/>
      <c r="F8" s="42"/>
      <c r="G8" s="39"/>
      <c r="H8" s="40"/>
      <c r="I8" s="40"/>
      <c r="J8" s="39"/>
      <c r="K8" s="65"/>
      <c r="L8" s="40"/>
      <c r="M8" s="66"/>
      <c r="N8" s="47"/>
      <c r="O8" s="48"/>
      <c r="P8" s="48"/>
      <c r="Q8" s="48"/>
      <c r="R8" s="49"/>
      <c r="S8" s="48"/>
      <c r="T8" s="49"/>
      <c r="U8" s="48"/>
      <c r="V8" s="48"/>
      <c r="W8" s="50"/>
      <c r="X8" s="51"/>
      <c r="Y8" s="52"/>
      <c r="Z8" s="48"/>
      <c r="AA8" s="49"/>
      <c r="AB8" s="49"/>
      <c r="AC8" s="48"/>
      <c r="AD8" s="48"/>
      <c r="AE8" s="48"/>
      <c r="AF8" s="49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</row>
    <row r="9" spans="1:256" s="3" customFormat="1" outlineLevel="1" x14ac:dyDescent="0.2">
      <c r="A9" s="53">
        <v>6</v>
      </c>
      <c r="B9" s="3" t="s">
        <v>113</v>
      </c>
      <c r="C9" s="3" t="s">
        <v>106</v>
      </c>
      <c r="D9" s="54">
        <v>0</v>
      </c>
      <c r="E9" s="55" t="s">
        <v>107</v>
      </c>
      <c r="F9" s="56"/>
      <c r="H9" s="54">
        <v>1</v>
      </c>
      <c r="I9" s="54">
        <v>31</v>
      </c>
      <c r="K9" s="57">
        <v>200</v>
      </c>
      <c r="L9" s="54">
        <v>1</v>
      </c>
      <c r="M9" s="58">
        <v>1</v>
      </c>
      <c r="N9" s="59">
        <v>60</v>
      </c>
      <c r="R9" s="60"/>
      <c r="T9" s="60"/>
      <c r="W9" s="61"/>
      <c r="X9" s="62"/>
      <c r="Y9" s="63"/>
      <c r="AA9" s="60"/>
      <c r="AB9" s="60"/>
      <c r="AF9" s="60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</row>
    <row r="10" spans="1:256" s="3" customFormat="1" outlineLevel="1" x14ac:dyDescent="0.2">
      <c r="A10" s="53">
        <v>7</v>
      </c>
      <c r="B10" s="3" t="s">
        <v>114</v>
      </c>
      <c r="C10" s="3" t="s">
        <v>106</v>
      </c>
      <c r="D10" s="54">
        <v>5</v>
      </c>
      <c r="E10" s="55" t="s">
        <v>107</v>
      </c>
      <c r="F10" s="56"/>
      <c r="H10" s="54">
        <v>1</v>
      </c>
      <c r="I10" s="54">
        <v>31</v>
      </c>
      <c r="K10" s="57">
        <v>200</v>
      </c>
      <c r="L10" s="54">
        <v>1</v>
      </c>
      <c r="M10" s="58"/>
      <c r="N10" s="59">
        <v>120</v>
      </c>
      <c r="R10" s="60"/>
      <c r="T10" s="60"/>
      <c r="W10" s="61"/>
      <c r="X10" s="62"/>
      <c r="Y10" s="63"/>
      <c r="AA10" s="60"/>
      <c r="AB10" s="60"/>
      <c r="AF10" s="60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 s="3" customFormat="1" outlineLevel="1" x14ac:dyDescent="0.2">
      <c r="A11" s="53">
        <v>8</v>
      </c>
      <c r="B11" s="3" t="s">
        <v>115</v>
      </c>
      <c r="C11" s="3" t="s">
        <v>106</v>
      </c>
      <c r="D11" s="54">
        <v>10</v>
      </c>
      <c r="E11" s="55" t="s">
        <v>107</v>
      </c>
      <c r="F11" s="56"/>
      <c r="H11" s="54">
        <v>1</v>
      </c>
      <c r="I11" s="54">
        <v>31</v>
      </c>
      <c r="K11" s="57">
        <v>200</v>
      </c>
      <c r="L11" s="54">
        <v>1</v>
      </c>
      <c r="M11" s="58"/>
      <c r="N11" s="59">
        <v>180</v>
      </c>
      <c r="R11" s="60"/>
      <c r="T11" s="60"/>
      <c r="W11" s="61"/>
      <c r="X11" s="62"/>
      <c r="Y11" s="63"/>
      <c r="AA11" s="60"/>
      <c r="AB11" s="60"/>
      <c r="AF11" s="60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</row>
    <row r="12" spans="1:256" s="3" customFormat="1" outlineLevel="1" x14ac:dyDescent="0.2">
      <c r="A12" s="53">
        <v>9</v>
      </c>
      <c r="B12" s="3" t="s">
        <v>116</v>
      </c>
      <c r="C12" s="3" t="s">
        <v>106</v>
      </c>
      <c r="D12" s="54">
        <v>15</v>
      </c>
      <c r="E12" s="55" t="s">
        <v>107</v>
      </c>
      <c r="F12" s="56"/>
      <c r="H12" s="54">
        <v>1</v>
      </c>
      <c r="I12" s="54">
        <v>31</v>
      </c>
      <c r="K12" s="57">
        <v>200</v>
      </c>
      <c r="L12" s="54">
        <v>1</v>
      </c>
      <c r="M12" s="58"/>
      <c r="N12" s="59">
        <v>270</v>
      </c>
      <c r="R12" s="60"/>
      <c r="T12" s="60"/>
      <c r="W12" s="61"/>
      <c r="X12" s="62"/>
      <c r="Y12" s="63"/>
      <c r="AA12" s="60"/>
      <c r="AB12" s="60"/>
      <c r="AF12" s="60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</row>
    <row r="13" spans="1:256" s="3" customFormat="1" outlineLevel="1" x14ac:dyDescent="0.2">
      <c r="A13" s="53">
        <v>10</v>
      </c>
      <c r="B13" s="3" t="s">
        <v>117</v>
      </c>
      <c r="C13" s="3" t="s">
        <v>106</v>
      </c>
      <c r="D13" s="54">
        <v>20</v>
      </c>
      <c r="E13" s="55" t="s">
        <v>107</v>
      </c>
      <c r="F13" s="56"/>
      <c r="H13" s="54">
        <v>1</v>
      </c>
      <c r="I13" s="54">
        <v>31</v>
      </c>
      <c r="K13" s="57">
        <v>200</v>
      </c>
      <c r="L13" s="54">
        <v>1</v>
      </c>
      <c r="M13" s="58"/>
      <c r="N13" s="59">
        <v>360</v>
      </c>
      <c r="R13" s="60"/>
      <c r="T13" s="60"/>
      <c r="W13" s="61"/>
      <c r="X13" s="62"/>
      <c r="Y13" s="63"/>
      <c r="AA13" s="60"/>
      <c r="AB13" s="60"/>
      <c r="AF13" s="60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</row>
    <row r="14" spans="1:256" s="3" customFormat="1" x14ac:dyDescent="0.2">
      <c r="A14" s="38"/>
      <c r="B14" s="39" t="s">
        <v>118</v>
      </c>
      <c r="C14" s="39"/>
      <c r="D14" s="64"/>
      <c r="E14" s="41"/>
      <c r="F14" s="42"/>
      <c r="G14" s="39"/>
      <c r="H14" s="40"/>
      <c r="I14" s="40"/>
      <c r="J14" s="39"/>
      <c r="K14" s="65"/>
      <c r="L14" s="40"/>
      <c r="M14" s="66"/>
      <c r="N14" s="47"/>
      <c r="O14" s="48"/>
      <c r="P14" s="48"/>
      <c r="Q14" s="48"/>
      <c r="R14" s="49"/>
      <c r="S14" s="48"/>
      <c r="T14" s="49"/>
      <c r="U14" s="48"/>
      <c r="V14" s="48"/>
      <c r="W14" s="50"/>
      <c r="X14" s="51"/>
      <c r="Y14" s="52"/>
      <c r="Z14" s="48"/>
      <c r="AA14" s="49"/>
      <c r="AB14" s="49"/>
      <c r="AC14" s="48"/>
      <c r="AD14" s="48"/>
      <c r="AE14" s="48"/>
      <c r="AF14" s="49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</row>
    <row r="15" spans="1:256" s="3" customFormat="1" outlineLevel="1" x14ac:dyDescent="0.2">
      <c r="A15" s="53">
        <v>11</v>
      </c>
      <c r="B15" s="3" t="s">
        <v>119</v>
      </c>
      <c r="C15" s="3" t="s">
        <v>120</v>
      </c>
      <c r="D15" s="54">
        <v>0</v>
      </c>
      <c r="E15" s="55" t="s">
        <v>107</v>
      </c>
      <c r="F15" s="56"/>
      <c r="H15" s="54">
        <v>1</v>
      </c>
      <c r="I15" s="54">
        <v>31</v>
      </c>
      <c r="K15" s="57">
        <v>600</v>
      </c>
      <c r="L15" s="54">
        <v>1</v>
      </c>
      <c r="M15" s="58">
        <v>1</v>
      </c>
      <c r="N15" s="59">
        <v>20</v>
      </c>
      <c r="R15" s="60"/>
      <c r="T15" s="60"/>
      <c r="W15" s="61"/>
      <c r="X15" s="62"/>
      <c r="Y15" s="63"/>
      <c r="AA15" s="60"/>
      <c r="AB15" s="60"/>
      <c r="AF15" s="60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</row>
    <row r="16" spans="1:256" s="3" customFormat="1" outlineLevel="1" x14ac:dyDescent="0.2">
      <c r="A16" s="53">
        <v>12</v>
      </c>
      <c r="B16" s="3" t="s">
        <v>121</v>
      </c>
      <c r="C16" s="3" t="s">
        <v>120</v>
      </c>
      <c r="D16" s="54">
        <v>5</v>
      </c>
      <c r="E16" s="55" t="s">
        <v>107</v>
      </c>
      <c r="F16" s="56"/>
      <c r="H16" s="54">
        <v>1</v>
      </c>
      <c r="I16" s="54">
        <v>31</v>
      </c>
      <c r="K16" s="57">
        <v>600</v>
      </c>
      <c r="L16" s="54">
        <v>1</v>
      </c>
      <c r="M16" s="58"/>
      <c r="N16" s="59">
        <v>40</v>
      </c>
      <c r="R16" s="60"/>
      <c r="T16" s="60"/>
      <c r="W16" s="61"/>
      <c r="X16" s="62"/>
      <c r="Y16" s="63"/>
      <c r="AA16" s="60"/>
      <c r="AB16" s="60"/>
      <c r="AF16" s="60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</row>
    <row r="17" spans="1:256" s="3" customFormat="1" outlineLevel="1" x14ac:dyDescent="0.2">
      <c r="A17" s="53">
        <v>13</v>
      </c>
      <c r="B17" s="3" t="s">
        <v>122</v>
      </c>
      <c r="C17" s="3" t="s">
        <v>120</v>
      </c>
      <c r="D17" s="54">
        <v>10</v>
      </c>
      <c r="E17" s="55" t="s">
        <v>107</v>
      </c>
      <c r="F17" s="56"/>
      <c r="H17" s="54">
        <v>1</v>
      </c>
      <c r="I17" s="54">
        <v>31</v>
      </c>
      <c r="K17" s="57">
        <v>600</v>
      </c>
      <c r="L17" s="54">
        <v>1</v>
      </c>
      <c r="M17" s="58"/>
      <c r="N17" s="59">
        <v>60</v>
      </c>
      <c r="R17" s="60"/>
      <c r="T17" s="60"/>
      <c r="W17" s="61"/>
      <c r="X17" s="62"/>
      <c r="Y17" s="63"/>
      <c r="AA17" s="60"/>
      <c r="AB17" s="60"/>
      <c r="AF17" s="60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</row>
    <row r="18" spans="1:256" s="3" customFormat="1" outlineLevel="1" x14ac:dyDescent="0.2">
      <c r="A18" s="53">
        <v>14</v>
      </c>
      <c r="B18" s="3" t="s">
        <v>123</v>
      </c>
      <c r="C18" s="3" t="s">
        <v>120</v>
      </c>
      <c r="D18" s="54">
        <v>15</v>
      </c>
      <c r="E18" s="55" t="s">
        <v>107</v>
      </c>
      <c r="F18" s="56"/>
      <c r="H18" s="54">
        <v>1</v>
      </c>
      <c r="I18" s="54">
        <v>31</v>
      </c>
      <c r="K18" s="57">
        <v>600</v>
      </c>
      <c r="L18" s="54">
        <v>1</v>
      </c>
      <c r="M18" s="58"/>
      <c r="N18" s="59">
        <v>90</v>
      </c>
      <c r="R18" s="60"/>
      <c r="T18" s="60"/>
      <c r="W18" s="61"/>
      <c r="X18" s="62"/>
      <c r="Y18" s="63"/>
      <c r="AA18" s="60"/>
      <c r="AB18" s="60"/>
      <c r="AF18" s="60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</row>
    <row r="19" spans="1:256" s="3" customFormat="1" outlineLevel="1" x14ac:dyDescent="0.2">
      <c r="A19" s="53">
        <v>15</v>
      </c>
      <c r="B19" s="3" t="s">
        <v>124</v>
      </c>
      <c r="C19" s="3" t="s">
        <v>120</v>
      </c>
      <c r="D19" s="54">
        <v>20</v>
      </c>
      <c r="E19" s="55" t="s">
        <v>107</v>
      </c>
      <c r="F19" s="56"/>
      <c r="H19" s="54">
        <v>1</v>
      </c>
      <c r="I19" s="54">
        <v>31</v>
      </c>
      <c r="K19" s="57">
        <v>600</v>
      </c>
      <c r="L19" s="54">
        <v>1</v>
      </c>
      <c r="M19" s="58"/>
      <c r="N19" s="59">
        <v>120</v>
      </c>
      <c r="R19" s="60"/>
      <c r="T19" s="60"/>
      <c r="W19" s="61"/>
      <c r="X19" s="62"/>
      <c r="Y19" s="63"/>
      <c r="AA19" s="60"/>
      <c r="AB19" s="60"/>
      <c r="AF19" s="60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</row>
    <row r="20" spans="1:256" s="3" customFormat="1" x14ac:dyDescent="0.2">
      <c r="A20" s="38"/>
      <c r="B20" s="39" t="s">
        <v>125</v>
      </c>
      <c r="C20" s="39"/>
      <c r="D20" s="64"/>
      <c r="E20" s="41"/>
      <c r="F20" s="42"/>
      <c r="G20" s="39"/>
      <c r="H20" s="40"/>
      <c r="I20" s="40"/>
      <c r="J20" s="39"/>
      <c r="K20" s="65"/>
      <c r="L20" s="40"/>
      <c r="M20" s="66"/>
      <c r="N20" s="47"/>
      <c r="O20" s="48"/>
      <c r="P20" s="48"/>
      <c r="Q20" s="48"/>
      <c r="R20" s="49"/>
      <c r="S20" s="48"/>
      <c r="T20" s="49"/>
      <c r="U20" s="48"/>
      <c r="V20" s="48"/>
      <c r="W20" s="50"/>
      <c r="X20" s="51"/>
      <c r="Y20" s="52"/>
      <c r="Z20" s="48"/>
      <c r="AA20" s="49"/>
      <c r="AB20" s="49"/>
      <c r="AC20" s="48"/>
      <c r="AD20" s="48"/>
      <c r="AE20" s="48"/>
      <c r="AF20" s="49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</row>
    <row r="21" spans="1:256" s="3" customFormat="1" outlineLevel="1" x14ac:dyDescent="0.2">
      <c r="A21" s="53">
        <v>16</v>
      </c>
      <c r="B21" s="3" t="s">
        <v>126</v>
      </c>
      <c r="C21" s="3" t="s">
        <v>120</v>
      </c>
      <c r="D21" s="54">
        <v>0</v>
      </c>
      <c r="E21" s="55" t="s">
        <v>107</v>
      </c>
      <c r="F21" s="56"/>
      <c r="H21" s="54">
        <v>1</v>
      </c>
      <c r="I21" s="54">
        <v>31</v>
      </c>
      <c r="K21" s="57">
        <v>600</v>
      </c>
      <c r="L21" s="54">
        <v>1</v>
      </c>
      <c r="M21" s="58">
        <v>1</v>
      </c>
      <c r="N21" s="59">
        <v>60</v>
      </c>
      <c r="R21" s="60"/>
      <c r="T21" s="60"/>
      <c r="W21" s="61"/>
      <c r="X21" s="62"/>
      <c r="Y21" s="63"/>
      <c r="AA21" s="60"/>
      <c r="AB21" s="60"/>
      <c r="AF21" s="60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</row>
    <row r="22" spans="1:256" s="3" customFormat="1" outlineLevel="1" x14ac:dyDescent="0.2">
      <c r="A22" s="53">
        <v>17</v>
      </c>
      <c r="B22" s="3" t="s">
        <v>127</v>
      </c>
      <c r="C22" s="3" t="s">
        <v>120</v>
      </c>
      <c r="D22" s="54">
        <v>5</v>
      </c>
      <c r="E22" s="55" t="s">
        <v>107</v>
      </c>
      <c r="F22" s="56"/>
      <c r="H22" s="54">
        <v>1</v>
      </c>
      <c r="I22" s="54">
        <v>31</v>
      </c>
      <c r="K22" s="57">
        <v>600</v>
      </c>
      <c r="L22" s="54">
        <v>1</v>
      </c>
      <c r="M22" s="58"/>
      <c r="N22" s="59">
        <v>120</v>
      </c>
      <c r="R22" s="60"/>
      <c r="T22" s="60"/>
      <c r="W22" s="61"/>
      <c r="X22" s="62"/>
      <c r="Y22" s="63"/>
      <c r="AA22" s="60"/>
      <c r="AB22" s="60"/>
      <c r="AF22" s="60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</row>
    <row r="23" spans="1:256" s="3" customFormat="1" outlineLevel="1" x14ac:dyDescent="0.2">
      <c r="A23" s="53">
        <v>18</v>
      </c>
      <c r="B23" s="3" t="s">
        <v>128</v>
      </c>
      <c r="C23" s="3" t="s">
        <v>120</v>
      </c>
      <c r="D23" s="54">
        <v>10</v>
      </c>
      <c r="E23" s="55" t="s">
        <v>107</v>
      </c>
      <c r="F23" s="56"/>
      <c r="H23" s="54">
        <v>1</v>
      </c>
      <c r="I23" s="54">
        <v>31</v>
      </c>
      <c r="K23" s="57">
        <v>600</v>
      </c>
      <c r="L23" s="54">
        <v>1</v>
      </c>
      <c r="M23" s="58"/>
      <c r="N23" s="59">
        <v>180</v>
      </c>
      <c r="R23" s="60"/>
      <c r="T23" s="60"/>
      <c r="W23" s="61"/>
      <c r="X23" s="62"/>
      <c r="Y23" s="63"/>
      <c r="AA23" s="60"/>
      <c r="AB23" s="60"/>
      <c r="AF23" s="60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</row>
    <row r="24" spans="1:256" s="3" customFormat="1" outlineLevel="1" x14ac:dyDescent="0.2">
      <c r="A24" s="53">
        <v>19</v>
      </c>
      <c r="B24" s="3" t="s">
        <v>129</v>
      </c>
      <c r="C24" s="3" t="s">
        <v>120</v>
      </c>
      <c r="D24" s="54">
        <v>15</v>
      </c>
      <c r="E24" s="55" t="s">
        <v>107</v>
      </c>
      <c r="F24" s="56"/>
      <c r="H24" s="54">
        <v>1</v>
      </c>
      <c r="I24" s="54">
        <v>31</v>
      </c>
      <c r="K24" s="57">
        <v>600</v>
      </c>
      <c r="L24" s="54">
        <v>1</v>
      </c>
      <c r="M24" s="58"/>
      <c r="N24" s="59">
        <v>270</v>
      </c>
      <c r="R24" s="60"/>
      <c r="T24" s="60"/>
      <c r="W24" s="61"/>
      <c r="X24" s="62"/>
      <c r="Y24" s="63"/>
      <c r="AA24" s="60"/>
      <c r="AB24" s="60"/>
      <c r="AF24" s="60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</row>
    <row r="25" spans="1:256" s="3" customFormat="1" outlineLevel="1" x14ac:dyDescent="0.2">
      <c r="A25" s="53">
        <v>20</v>
      </c>
      <c r="B25" s="3" t="s">
        <v>130</v>
      </c>
      <c r="C25" s="3" t="s">
        <v>120</v>
      </c>
      <c r="D25" s="54">
        <v>20</v>
      </c>
      <c r="E25" s="55" t="s">
        <v>107</v>
      </c>
      <c r="F25" s="56"/>
      <c r="H25" s="54">
        <v>1</v>
      </c>
      <c r="I25" s="54">
        <v>31</v>
      </c>
      <c r="K25" s="57">
        <v>600</v>
      </c>
      <c r="L25" s="54">
        <v>1</v>
      </c>
      <c r="M25" s="58"/>
      <c r="N25" s="59">
        <v>360</v>
      </c>
      <c r="R25" s="60"/>
      <c r="T25" s="60"/>
      <c r="W25" s="61"/>
      <c r="X25" s="62"/>
      <c r="Y25" s="63"/>
      <c r="AA25" s="60"/>
      <c r="AB25" s="60"/>
      <c r="AF25" s="60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</row>
    <row r="26" spans="1:256" s="3" customFormat="1" x14ac:dyDescent="0.2">
      <c r="A26" s="38"/>
      <c r="B26" s="39" t="s">
        <v>131</v>
      </c>
      <c r="C26" s="39"/>
      <c r="D26" s="64"/>
      <c r="E26" s="41"/>
      <c r="F26" s="42"/>
      <c r="G26" s="39"/>
      <c r="H26" s="40"/>
      <c r="I26" s="40"/>
      <c r="J26" s="39"/>
      <c r="K26" s="65"/>
      <c r="L26" s="40"/>
      <c r="M26" s="66"/>
      <c r="N26" s="47"/>
      <c r="O26" s="48"/>
      <c r="P26" s="48"/>
      <c r="Q26" s="48"/>
      <c r="R26" s="49"/>
      <c r="S26" s="48"/>
      <c r="T26" s="49"/>
      <c r="U26" s="48"/>
      <c r="V26" s="48"/>
      <c r="W26" s="50"/>
      <c r="X26" s="51"/>
      <c r="Y26" s="52"/>
      <c r="Z26" s="48"/>
      <c r="AA26" s="49"/>
      <c r="AB26" s="49"/>
      <c r="AC26" s="48"/>
      <c r="AD26" s="48"/>
      <c r="AE26" s="48"/>
      <c r="AF26" s="49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</row>
    <row r="27" spans="1:256" s="3" customFormat="1" outlineLevel="1" x14ac:dyDescent="0.2">
      <c r="A27" s="53">
        <v>21</v>
      </c>
      <c r="B27" s="3" t="s">
        <v>132</v>
      </c>
      <c r="C27" s="3" t="s">
        <v>133</v>
      </c>
      <c r="D27" s="54">
        <v>0</v>
      </c>
      <c r="E27" s="55" t="s">
        <v>107</v>
      </c>
      <c r="F27" s="56"/>
      <c r="H27" s="54">
        <v>1</v>
      </c>
      <c r="I27" s="54">
        <v>31</v>
      </c>
      <c r="K27" s="57">
        <v>400</v>
      </c>
      <c r="L27" s="54">
        <v>1</v>
      </c>
      <c r="M27" s="58">
        <v>1</v>
      </c>
      <c r="N27" s="59">
        <v>20</v>
      </c>
      <c r="R27" s="60"/>
      <c r="T27" s="60"/>
      <c r="W27" s="61"/>
      <c r="X27" s="62"/>
      <c r="Y27" s="63"/>
      <c r="AA27" s="60"/>
      <c r="AB27" s="60"/>
      <c r="AF27" s="60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</row>
    <row r="28" spans="1:256" s="3" customFormat="1" outlineLevel="1" x14ac:dyDescent="0.2">
      <c r="A28" s="53">
        <v>22</v>
      </c>
      <c r="B28" s="3" t="s">
        <v>134</v>
      </c>
      <c r="C28" s="3" t="s">
        <v>133</v>
      </c>
      <c r="D28" s="54">
        <v>5</v>
      </c>
      <c r="E28" s="55" t="s">
        <v>107</v>
      </c>
      <c r="F28" s="56"/>
      <c r="H28" s="54">
        <v>1</v>
      </c>
      <c r="I28" s="54">
        <v>31</v>
      </c>
      <c r="K28" s="57">
        <v>400</v>
      </c>
      <c r="L28" s="54">
        <v>1</v>
      </c>
      <c r="M28" s="58"/>
      <c r="N28" s="59">
        <v>40</v>
      </c>
      <c r="R28" s="60"/>
      <c r="T28" s="60"/>
      <c r="W28" s="61"/>
      <c r="X28" s="62"/>
      <c r="Y28" s="63"/>
      <c r="AA28" s="60"/>
      <c r="AB28" s="60"/>
      <c r="AF28" s="60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</row>
    <row r="29" spans="1:256" s="3" customFormat="1" outlineLevel="1" x14ac:dyDescent="0.2">
      <c r="A29" s="53">
        <v>23</v>
      </c>
      <c r="B29" s="3" t="s">
        <v>135</v>
      </c>
      <c r="C29" s="3" t="s">
        <v>133</v>
      </c>
      <c r="D29" s="54">
        <v>10</v>
      </c>
      <c r="E29" s="55" t="s">
        <v>107</v>
      </c>
      <c r="F29" s="56"/>
      <c r="H29" s="54">
        <v>1</v>
      </c>
      <c r="I29" s="54">
        <v>31</v>
      </c>
      <c r="K29" s="57">
        <v>400</v>
      </c>
      <c r="L29" s="54">
        <v>1</v>
      </c>
      <c r="M29" s="58"/>
      <c r="N29" s="59">
        <v>60</v>
      </c>
      <c r="R29" s="60"/>
      <c r="T29" s="60"/>
      <c r="W29" s="61"/>
      <c r="X29" s="62"/>
      <c r="Y29" s="63"/>
      <c r="AA29" s="60"/>
      <c r="AB29" s="60"/>
      <c r="AF29" s="60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</row>
    <row r="30" spans="1:256" s="3" customFormat="1" outlineLevel="1" x14ac:dyDescent="0.2">
      <c r="A30" s="53">
        <v>24</v>
      </c>
      <c r="B30" s="3" t="s">
        <v>136</v>
      </c>
      <c r="C30" s="3" t="s">
        <v>133</v>
      </c>
      <c r="D30" s="54">
        <v>15</v>
      </c>
      <c r="E30" s="55" t="s">
        <v>107</v>
      </c>
      <c r="F30" s="56"/>
      <c r="H30" s="54">
        <v>1</v>
      </c>
      <c r="I30" s="54">
        <v>31</v>
      </c>
      <c r="K30" s="57">
        <v>400</v>
      </c>
      <c r="L30" s="54">
        <v>1</v>
      </c>
      <c r="M30" s="58"/>
      <c r="N30" s="59">
        <v>90</v>
      </c>
      <c r="R30" s="60"/>
      <c r="T30" s="60"/>
      <c r="W30" s="61"/>
      <c r="X30" s="62"/>
      <c r="Y30" s="63"/>
      <c r="AA30" s="60"/>
      <c r="AB30" s="60"/>
      <c r="AF30" s="60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</row>
    <row r="31" spans="1:256" s="3" customFormat="1" outlineLevel="1" x14ac:dyDescent="0.2">
      <c r="A31" s="53">
        <v>25</v>
      </c>
      <c r="B31" s="3" t="s">
        <v>137</v>
      </c>
      <c r="C31" s="3" t="s">
        <v>133</v>
      </c>
      <c r="D31" s="54">
        <v>20</v>
      </c>
      <c r="E31" s="55" t="s">
        <v>107</v>
      </c>
      <c r="F31" s="56"/>
      <c r="H31" s="54">
        <v>1</v>
      </c>
      <c r="I31" s="54">
        <v>31</v>
      </c>
      <c r="K31" s="57">
        <v>400</v>
      </c>
      <c r="L31" s="54">
        <v>1</v>
      </c>
      <c r="M31" s="58"/>
      <c r="N31" s="59">
        <v>120</v>
      </c>
      <c r="R31" s="60"/>
      <c r="T31" s="60"/>
      <c r="W31" s="61"/>
      <c r="X31" s="62"/>
      <c r="Y31" s="63"/>
      <c r="AA31" s="60"/>
      <c r="AB31" s="60"/>
      <c r="AF31" s="60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</row>
    <row r="32" spans="1:256" s="3" customFormat="1" x14ac:dyDescent="0.2">
      <c r="A32" s="38"/>
      <c r="B32" s="39" t="s">
        <v>138</v>
      </c>
      <c r="C32" s="39"/>
      <c r="D32" s="64"/>
      <c r="E32" s="41"/>
      <c r="F32" s="42"/>
      <c r="G32" s="39"/>
      <c r="H32" s="40"/>
      <c r="I32" s="40"/>
      <c r="J32" s="39"/>
      <c r="K32" s="65"/>
      <c r="L32" s="40"/>
      <c r="M32" s="66"/>
      <c r="N32" s="47"/>
      <c r="O32" s="48"/>
      <c r="P32" s="48"/>
      <c r="Q32" s="48"/>
      <c r="R32" s="49"/>
      <c r="S32" s="48"/>
      <c r="T32" s="49"/>
      <c r="U32" s="48"/>
      <c r="V32" s="48"/>
      <c r="W32" s="50"/>
      <c r="X32" s="51"/>
      <c r="Y32" s="52"/>
      <c r="Z32" s="48"/>
      <c r="AA32" s="49"/>
      <c r="AB32" s="49"/>
      <c r="AC32" s="48"/>
      <c r="AD32" s="48"/>
      <c r="AE32" s="48"/>
      <c r="AF32" s="49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</row>
    <row r="33" spans="1:256" s="3" customFormat="1" outlineLevel="1" x14ac:dyDescent="0.2">
      <c r="A33" s="53">
        <v>26</v>
      </c>
      <c r="B33" s="3" t="s">
        <v>139</v>
      </c>
      <c r="C33" s="3" t="s">
        <v>133</v>
      </c>
      <c r="D33" s="54">
        <v>0</v>
      </c>
      <c r="E33" s="55" t="s">
        <v>107</v>
      </c>
      <c r="F33" s="56"/>
      <c r="H33" s="54">
        <v>1</v>
      </c>
      <c r="I33" s="54">
        <v>31</v>
      </c>
      <c r="K33" s="57">
        <v>300</v>
      </c>
      <c r="L33" s="54">
        <v>1</v>
      </c>
      <c r="M33" s="58">
        <v>1</v>
      </c>
      <c r="N33" s="59">
        <v>60</v>
      </c>
      <c r="R33" s="60"/>
      <c r="T33" s="60"/>
      <c r="W33" s="61"/>
      <c r="X33" s="62"/>
      <c r="Y33" s="63"/>
      <c r="AA33" s="60"/>
      <c r="AB33" s="60"/>
      <c r="AF33" s="60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</row>
    <row r="34" spans="1:256" s="3" customFormat="1" outlineLevel="1" x14ac:dyDescent="0.2">
      <c r="A34" s="53">
        <v>27</v>
      </c>
      <c r="B34" s="3" t="s">
        <v>140</v>
      </c>
      <c r="C34" s="3" t="s">
        <v>133</v>
      </c>
      <c r="D34" s="54">
        <v>5</v>
      </c>
      <c r="E34" s="55" t="s">
        <v>107</v>
      </c>
      <c r="F34" s="56"/>
      <c r="H34" s="54">
        <v>1</v>
      </c>
      <c r="I34" s="54">
        <v>31</v>
      </c>
      <c r="K34" s="57">
        <v>300</v>
      </c>
      <c r="L34" s="54">
        <v>1</v>
      </c>
      <c r="M34" s="58"/>
      <c r="N34" s="59">
        <v>120</v>
      </c>
      <c r="R34" s="60"/>
      <c r="T34" s="60"/>
      <c r="W34" s="61"/>
      <c r="X34" s="62"/>
      <c r="Y34" s="63"/>
      <c r="AA34" s="60"/>
      <c r="AB34" s="60"/>
      <c r="AF34" s="60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</row>
    <row r="35" spans="1:256" s="3" customFormat="1" outlineLevel="1" x14ac:dyDescent="0.2">
      <c r="A35" s="53">
        <v>28</v>
      </c>
      <c r="B35" s="3" t="s">
        <v>141</v>
      </c>
      <c r="C35" s="3" t="s">
        <v>133</v>
      </c>
      <c r="D35" s="54">
        <v>10</v>
      </c>
      <c r="E35" s="55" t="s">
        <v>107</v>
      </c>
      <c r="F35" s="56"/>
      <c r="H35" s="54">
        <v>1</v>
      </c>
      <c r="I35" s="54">
        <v>31</v>
      </c>
      <c r="K35" s="57">
        <v>300</v>
      </c>
      <c r="L35" s="54">
        <v>1</v>
      </c>
      <c r="M35" s="58"/>
      <c r="N35" s="59">
        <v>180</v>
      </c>
      <c r="R35" s="60"/>
      <c r="T35" s="60"/>
      <c r="W35" s="61"/>
      <c r="X35" s="62"/>
      <c r="Y35" s="63"/>
      <c r="AA35" s="60"/>
      <c r="AB35" s="60"/>
      <c r="AF35" s="60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</row>
    <row r="36" spans="1:256" s="3" customFormat="1" outlineLevel="1" x14ac:dyDescent="0.2">
      <c r="A36" s="53">
        <v>29</v>
      </c>
      <c r="B36" s="3" t="s">
        <v>142</v>
      </c>
      <c r="C36" s="3" t="s">
        <v>133</v>
      </c>
      <c r="D36" s="54">
        <v>15</v>
      </c>
      <c r="E36" s="55" t="s">
        <v>107</v>
      </c>
      <c r="F36" s="56"/>
      <c r="H36" s="54">
        <v>1</v>
      </c>
      <c r="I36" s="54">
        <v>31</v>
      </c>
      <c r="K36" s="57">
        <v>300</v>
      </c>
      <c r="L36" s="54">
        <v>1</v>
      </c>
      <c r="M36" s="58"/>
      <c r="N36" s="59">
        <v>270</v>
      </c>
      <c r="R36" s="60"/>
      <c r="T36" s="60"/>
      <c r="W36" s="61"/>
      <c r="X36" s="62"/>
      <c r="Y36" s="63"/>
      <c r="AA36" s="60"/>
      <c r="AB36" s="60"/>
      <c r="AF36" s="60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</row>
    <row r="37" spans="1:256" s="3" customFormat="1" outlineLevel="1" x14ac:dyDescent="0.2">
      <c r="A37" s="53">
        <v>30</v>
      </c>
      <c r="B37" s="3" t="s">
        <v>143</v>
      </c>
      <c r="C37" s="3" t="s">
        <v>133</v>
      </c>
      <c r="D37" s="54">
        <v>20</v>
      </c>
      <c r="E37" s="55" t="s">
        <v>107</v>
      </c>
      <c r="F37" s="56"/>
      <c r="H37" s="54">
        <v>1</v>
      </c>
      <c r="I37" s="54">
        <v>31</v>
      </c>
      <c r="K37" s="57">
        <v>300</v>
      </c>
      <c r="L37" s="54">
        <v>1</v>
      </c>
      <c r="M37" s="58"/>
      <c r="N37" s="59">
        <v>360</v>
      </c>
      <c r="R37" s="60"/>
      <c r="T37" s="60"/>
      <c r="W37" s="61"/>
      <c r="X37" s="62"/>
      <c r="Y37" s="63"/>
      <c r="AA37" s="60"/>
      <c r="AB37" s="60"/>
      <c r="AF37" s="60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</row>
    <row r="38" spans="1:256" s="3" customFormat="1" x14ac:dyDescent="0.2">
      <c r="A38" s="38"/>
      <c r="B38" s="39" t="s">
        <v>4</v>
      </c>
      <c r="C38" s="39"/>
      <c r="D38" s="64"/>
      <c r="E38" s="41"/>
      <c r="F38" s="42"/>
      <c r="G38" s="39"/>
      <c r="H38" s="40"/>
      <c r="I38" s="40"/>
      <c r="J38" s="39"/>
      <c r="K38" s="65"/>
      <c r="L38" s="40"/>
      <c r="M38" s="66"/>
      <c r="N38" s="47"/>
      <c r="O38" s="48"/>
      <c r="P38" s="48"/>
      <c r="Q38" s="48"/>
      <c r="R38" s="49"/>
      <c r="S38" s="48"/>
      <c r="T38" s="49"/>
      <c r="U38" s="48"/>
      <c r="V38" s="48"/>
      <c r="W38" s="50"/>
      <c r="X38" s="51"/>
      <c r="Y38" s="52"/>
      <c r="Z38" s="48"/>
      <c r="AA38" s="49"/>
      <c r="AB38" s="49"/>
      <c r="AC38" s="48"/>
      <c r="AD38" s="48"/>
      <c r="AE38" s="48"/>
      <c r="AF38" s="49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</row>
    <row r="39" spans="1:256" s="3" customFormat="1" outlineLevel="1" x14ac:dyDescent="0.2">
      <c r="A39" s="53">
        <v>31</v>
      </c>
      <c r="B39" s="3" t="s">
        <v>144</v>
      </c>
      <c r="C39" s="3" t="s">
        <v>145</v>
      </c>
      <c r="D39" s="54">
        <v>0</v>
      </c>
      <c r="E39" s="55" t="s">
        <v>107</v>
      </c>
      <c r="F39" s="56"/>
      <c r="H39" s="54">
        <v>1</v>
      </c>
      <c r="I39" s="54">
        <v>31</v>
      </c>
      <c r="K39" s="57">
        <v>250</v>
      </c>
      <c r="L39" s="54">
        <v>1</v>
      </c>
      <c r="M39" s="58">
        <v>1</v>
      </c>
      <c r="N39" s="59">
        <v>20</v>
      </c>
      <c r="R39" s="60"/>
      <c r="T39" s="60"/>
      <c r="W39" s="61"/>
      <c r="X39" s="62"/>
      <c r="Y39" s="63"/>
      <c r="AA39" s="60"/>
      <c r="AB39" s="60"/>
      <c r="AF39" s="60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</row>
    <row r="40" spans="1:256" s="3" customFormat="1" outlineLevel="1" x14ac:dyDescent="0.2">
      <c r="A40" s="53">
        <v>32</v>
      </c>
      <c r="B40" s="3" t="s">
        <v>146</v>
      </c>
      <c r="C40" s="3" t="s">
        <v>145</v>
      </c>
      <c r="D40" s="54">
        <v>5</v>
      </c>
      <c r="E40" s="55" t="s">
        <v>107</v>
      </c>
      <c r="F40" s="56"/>
      <c r="H40" s="54">
        <v>1</v>
      </c>
      <c r="I40" s="54">
        <v>31</v>
      </c>
      <c r="K40" s="57">
        <v>250</v>
      </c>
      <c r="L40" s="54">
        <v>1</v>
      </c>
      <c r="M40" s="58"/>
      <c r="N40" s="59">
        <v>40</v>
      </c>
      <c r="R40" s="60"/>
      <c r="T40" s="60"/>
      <c r="W40" s="61"/>
      <c r="X40" s="62"/>
      <c r="Y40" s="63"/>
      <c r="AA40" s="60"/>
      <c r="AB40" s="60"/>
      <c r="AF40" s="60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</row>
    <row r="41" spans="1:256" s="3" customFormat="1" outlineLevel="1" x14ac:dyDescent="0.2">
      <c r="A41" s="53">
        <v>33</v>
      </c>
      <c r="B41" s="3" t="s">
        <v>147</v>
      </c>
      <c r="C41" s="3" t="s">
        <v>145</v>
      </c>
      <c r="D41" s="54">
        <v>10</v>
      </c>
      <c r="E41" s="55" t="s">
        <v>107</v>
      </c>
      <c r="F41" s="56"/>
      <c r="H41" s="54">
        <v>1</v>
      </c>
      <c r="I41" s="54">
        <v>31</v>
      </c>
      <c r="K41" s="57">
        <v>250</v>
      </c>
      <c r="L41" s="54">
        <v>1</v>
      </c>
      <c r="M41" s="58"/>
      <c r="N41" s="59">
        <v>60</v>
      </c>
      <c r="R41" s="60"/>
      <c r="T41" s="60"/>
      <c r="W41" s="61"/>
      <c r="X41" s="62"/>
      <c r="Y41" s="63"/>
      <c r="AA41" s="60"/>
      <c r="AB41" s="60"/>
      <c r="AF41" s="60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</row>
    <row r="42" spans="1:256" s="3" customFormat="1" outlineLevel="1" x14ac:dyDescent="0.2">
      <c r="A42" s="53">
        <v>34</v>
      </c>
      <c r="B42" s="3" t="s">
        <v>148</v>
      </c>
      <c r="C42" s="3" t="s">
        <v>145</v>
      </c>
      <c r="D42" s="54">
        <v>15</v>
      </c>
      <c r="E42" s="55" t="s">
        <v>107</v>
      </c>
      <c r="F42" s="56"/>
      <c r="H42" s="54">
        <v>1</v>
      </c>
      <c r="I42" s="54">
        <v>31</v>
      </c>
      <c r="K42" s="57">
        <v>250</v>
      </c>
      <c r="L42" s="54">
        <v>1</v>
      </c>
      <c r="M42" s="58"/>
      <c r="N42" s="59">
        <v>90</v>
      </c>
      <c r="R42" s="60"/>
      <c r="T42" s="60"/>
      <c r="W42" s="61"/>
      <c r="X42" s="62"/>
      <c r="Y42" s="63"/>
      <c r="AA42" s="60"/>
      <c r="AB42" s="60"/>
      <c r="AF42" s="60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</row>
    <row r="43" spans="1:256" s="3" customFormat="1" outlineLevel="1" x14ac:dyDescent="0.2">
      <c r="A43" s="53">
        <v>35</v>
      </c>
      <c r="B43" s="3" t="s">
        <v>149</v>
      </c>
      <c r="C43" s="3" t="s">
        <v>145</v>
      </c>
      <c r="D43" s="54">
        <v>20</v>
      </c>
      <c r="E43" s="55" t="s">
        <v>107</v>
      </c>
      <c r="F43" s="56"/>
      <c r="H43" s="54">
        <v>1</v>
      </c>
      <c r="I43" s="54">
        <v>31</v>
      </c>
      <c r="K43" s="57">
        <v>250</v>
      </c>
      <c r="L43" s="54">
        <v>1</v>
      </c>
      <c r="M43" s="58"/>
      <c r="N43" s="59">
        <v>120</v>
      </c>
      <c r="R43" s="60"/>
      <c r="T43" s="60"/>
      <c r="W43" s="61"/>
      <c r="X43" s="62"/>
      <c r="Y43" s="63"/>
      <c r="AA43" s="60"/>
      <c r="AB43" s="60"/>
      <c r="AF43" s="60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</row>
    <row r="44" spans="1:256" s="3" customFormat="1" x14ac:dyDescent="0.2">
      <c r="A44" s="38"/>
      <c r="B44" s="39" t="s">
        <v>150</v>
      </c>
      <c r="C44" s="39"/>
      <c r="D44" s="64"/>
      <c r="E44" s="41"/>
      <c r="F44" s="42"/>
      <c r="G44" s="39"/>
      <c r="H44" s="40"/>
      <c r="I44" s="40"/>
      <c r="J44" s="39"/>
      <c r="K44" s="65"/>
      <c r="L44" s="40"/>
      <c r="M44" s="66"/>
      <c r="N44" s="47"/>
      <c r="O44" s="48"/>
      <c r="P44" s="48"/>
      <c r="Q44" s="48"/>
      <c r="R44" s="49"/>
      <c r="S44" s="48"/>
      <c r="T44" s="49"/>
      <c r="U44" s="48"/>
      <c r="V44" s="48"/>
      <c r="W44" s="50"/>
      <c r="X44" s="51"/>
      <c r="Y44" s="52"/>
      <c r="Z44" s="48"/>
      <c r="AA44" s="49"/>
      <c r="AB44" s="49"/>
      <c r="AC44" s="48"/>
      <c r="AD44" s="48"/>
      <c r="AE44" s="48"/>
      <c r="AF44" s="49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</row>
    <row r="45" spans="1:256" s="3" customFormat="1" outlineLevel="1" x14ac:dyDescent="0.2">
      <c r="A45" s="53">
        <v>36</v>
      </c>
      <c r="B45" s="3" t="s">
        <v>151</v>
      </c>
      <c r="C45" s="3" t="s">
        <v>145</v>
      </c>
      <c r="D45" s="54">
        <v>0</v>
      </c>
      <c r="E45" s="55" t="s">
        <v>107</v>
      </c>
      <c r="F45" s="56"/>
      <c r="H45" s="54">
        <v>1</v>
      </c>
      <c r="I45" s="54">
        <v>31</v>
      </c>
      <c r="K45" s="57">
        <v>150</v>
      </c>
      <c r="L45" s="54">
        <v>1</v>
      </c>
      <c r="M45" s="58">
        <v>1</v>
      </c>
      <c r="N45" s="59">
        <v>60</v>
      </c>
      <c r="R45" s="60"/>
      <c r="T45" s="60"/>
      <c r="W45" s="61"/>
      <c r="X45" s="62"/>
      <c r="Y45" s="63"/>
      <c r="AA45" s="60"/>
      <c r="AB45" s="60"/>
      <c r="AF45" s="60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</row>
    <row r="46" spans="1:256" s="3" customFormat="1" outlineLevel="1" x14ac:dyDescent="0.2">
      <c r="A46" s="53">
        <v>37</v>
      </c>
      <c r="B46" s="3" t="s">
        <v>152</v>
      </c>
      <c r="C46" s="3" t="s">
        <v>145</v>
      </c>
      <c r="D46" s="54">
        <v>5</v>
      </c>
      <c r="E46" s="55" t="s">
        <v>107</v>
      </c>
      <c r="F46" s="56"/>
      <c r="H46" s="54">
        <v>1</v>
      </c>
      <c r="I46" s="54">
        <v>31</v>
      </c>
      <c r="K46" s="57">
        <v>150</v>
      </c>
      <c r="L46" s="54">
        <v>1</v>
      </c>
      <c r="M46" s="58"/>
      <c r="N46" s="59">
        <v>120</v>
      </c>
      <c r="R46" s="60"/>
      <c r="T46" s="60"/>
      <c r="W46" s="61"/>
      <c r="X46" s="62"/>
      <c r="Y46" s="63"/>
      <c r="AA46" s="60"/>
      <c r="AB46" s="60"/>
      <c r="AF46" s="60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</row>
    <row r="47" spans="1:256" s="3" customFormat="1" outlineLevel="1" x14ac:dyDescent="0.2">
      <c r="A47" s="53">
        <v>38</v>
      </c>
      <c r="B47" s="3" t="s">
        <v>153</v>
      </c>
      <c r="C47" s="3" t="s">
        <v>145</v>
      </c>
      <c r="D47" s="54">
        <v>10</v>
      </c>
      <c r="E47" s="55" t="s">
        <v>107</v>
      </c>
      <c r="F47" s="56"/>
      <c r="H47" s="54">
        <v>1</v>
      </c>
      <c r="I47" s="54">
        <v>31</v>
      </c>
      <c r="K47" s="57">
        <v>150</v>
      </c>
      <c r="L47" s="54">
        <v>1</v>
      </c>
      <c r="M47" s="58"/>
      <c r="N47" s="59">
        <v>180</v>
      </c>
      <c r="R47" s="60"/>
      <c r="T47" s="60"/>
      <c r="W47" s="61"/>
      <c r="X47" s="62"/>
      <c r="Y47" s="63"/>
      <c r="AA47" s="60"/>
      <c r="AB47" s="60"/>
      <c r="AF47" s="60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</row>
    <row r="48" spans="1:256" s="3" customFormat="1" outlineLevel="1" x14ac:dyDescent="0.2">
      <c r="A48" s="53">
        <v>39</v>
      </c>
      <c r="B48" s="3" t="s">
        <v>154</v>
      </c>
      <c r="C48" s="3" t="s">
        <v>145</v>
      </c>
      <c r="D48" s="54">
        <v>15</v>
      </c>
      <c r="E48" s="55" t="s">
        <v>107</v>
      </c>
      <c r="F48" s="56"/>
      <c r="H48" s="54">
        <v>1</v>
      </c>
      <c r="I48" s="54">
        <v>31</v>
      </c>
      <c r="K48" s="57">
        <v>150</v>
      </c>
      <c r="L48" s="54">
        <v>1</v>
      </c>
      <c r="M48" s="58"/>
      <c r="N48" s="59">
        <v>270</v>
      </c>
      <c r="R48" s="60"/>
      <c r="T48" s="60"/>
      <c r="W48" s="61"/>
      <c r="X48" s="62"/>
      <c r="Y48" s="63"/>
      <c r="AA48" s="60"/>
      <c r="AB48" s="60"/>
      <c r="AF48" s="60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</row>
    <row r="49" spans="1:256" s="3" customFormat="1" outlineLevel="1" x14ac:dyDescent="0.2">
      <c r="A49" s="53">
        <v>40</v>
      </c>
      <c r="B49" s="3" t="s">
        <v>155</v>
      </c>
      <c r="C49" s="3" t="s">
        <v>145</v>
      </c>
      <c r="D49" s="54">
        <v>20</v>
      </c>
      <c r="E49" s="55" t="s">
        <v>107</v>
      </c>
      <c r="F49" s="56"/>
      <c r="H49" s="54">
        <v>1</v>
      </c>
      <c r="I49" s="54">
        <v>31</v>
      </c>
      <c r="K49" s="57">
        <v>150</v>
      </c>
      <c r="L49" s="54">
        <v>1</v>
      </c>
      <c r="M49" s="58"/>
      <c r="N49" s="59">
        <v>360</v>
      </c>
      <c r="R49" s="60"/>
      <c r="T49" s="60"/>
      <c r="W49" s="61"/>
      <c r="X49" s="62"/>
      <c r="Y49" s="63"/>
      <c r="AA49" s="60"/>
      <c r="AB49" s="60"/>
      <c r="AF49" s="60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</row>
    <row r="50" spans="1:256" s="3" customFormat="1" x14ac:dyDescent="0.2">
      <c r="A50" s="38"/>
      <c r="B50" s="39" t="s">
        <v>156</v>
      </c>
      <c r="C50" s="39"/>
      <c r="D50" s="64"/>
      <c r="E50" s="41"/>
      <c r="F50" s="42"/>
      <c r="G50" s="39"/>
      <c r="H50" s="40"/>
      <c r="I50" s="40"/>
      <c r="J50" s="39"/>
      <c r="K50" s="65"/>
      <c r="L50" s="40"/>
      <c r="M50" s="66"/>
      <c r="N50" s="47"/>
      <c r="O50" s="48"/>
      <c r="P50" s="48"/>
      <c r="Q50" s="48"/>
      <c r="R50" s="49"/>
      <c r="S50" s="48"/>
      <c r="T50" s="49"/>
      <c r="U50" s="48"/>
      <c r="V50" s="48"/>
      <c r="W50" s="50"/>
      <c r="X50" s="51"/>
      <c r="Y50" s="52"/>
      <c r="Z50" s="48"/>
      <c r="AA50" s="49"/>
      <c r="AB50" s="49"/>
      <c r="AC50" s="48"/>
      <c r="AD50" s="48"/>
      <c r="AE50" s="48"/>
      <c r="AF50" s="49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</row>
    <row r="51" spans="1:256" s="3" customFormat="1" outlineLevel="1" x14ac:dyDescent="0.2">
      <c r="A51" s="53">
        <v>41</v>
      </c>
      <c r="B51" s="3" t="s">
        <v>157</v>
      </c>
      <c r="C51" s="3" t="s">
        <v>145</v>
      </c>
      <c r="D51" s="54">
        <v>0</v>
      </c>
      <c r="E51" s="55" t="s">
        <v>107</v>
      </c>
      <c r="F51" s="56"/>
      <c r="H51" s="54">
        <v>1</v>
      </c>
      <c r="I51" s="54">
        <v>31</v>
      </c>
      <c r="K51" s="57">
        <v>400</v>
      </c>
      <c r="L51" s="54">
        <v>1</v>
      </c>
      <c r="M51" s="58">
        <v>1</v>
      </c>
      <c r="N51" s="59">
        <v>20</v>
      </c>
      <c r="R51" s="60"/>
      <c r="T51" s="60"/>
      <c r="W51" s="61"/>
      <c r="X51" s="62"/>
      <c r="Y51" s="63"/>
      <c r="AA51" s="60"/>
      <c r="AB51" s="60"/>
      <c r="AF51" s="60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</row>
    <row r="52" spans="1:256" s="3" customFormat="1" outlineLevel="1" x14ac:dyDescent="0.2">
      <c r="A52" s="53">
        <v>42</v>
      </c>
      <c r="B52" s="3" t="s">
        <v>158</v>
      </c>
      <c r="C52" s="3" t="s">
        <v>145</v>
      </c>
      <c r="D52" s="54">
        <v>5</v>
      </c>
      <c r="E52" s="55" t="s">
        <v>107</v>
      </c>
      <c r="F52" s="56"/>
      <c r="H52" s="54">
        <v>1</v>
      </c>
      <c r="I52" s="54">
        <v>31</v>
      </c>
      <c r="K52" s="57">
        <v>400</v>
      </c>
      <c r="L52" s="54">
        <v>1</v>
      </c>
      <c r="M52" s="58"/>
      <c r="N52" s="59">
        <v>40</v>
      </c>
      <c r="R52" s="60"/>
      <c r="T52" s="60"/>
      <c r="W52" s="61"/>
      <c r="X52" s="62"/>
      <c r="Y52" s="63"/>
      <c r="AA52" s="60"/>
      <c r="AB52" s="60"/>
      <c r="AF52" s="60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</row>
    <row r="53" spans="1:256" s="3" customFormat="1" outlineLevel="1" x14ac:dyDescent="0.2">
      <c r="A53" s="53">
        <v>43</v>
      </c>
      <c r="B53" s="3" t="s">
        <v>159</v>
      </c>
      <c r="C53" s="3" t="s">
        <v>145</v>
      </c>
      <c r="D53" s="54">
        <v>10</v>
      </c>
      <c r="E53" s="55" t="s">
        <v>107</v>
      </c>
      <c r="F53" s="56"/>
      <c r="H53" s="54">
        <v>1</v>
      </c>
      <c r="I53" s="54">
        <v>31</v>
      </c>
      <c r="K53" s="57">
        <v>400</v>
      </c>
      <c r="L53" s="54">
        <v>1</v>
      </c>
      <c r="M53" s="58"/>
      <c r="N53" s="59">
        <v>60</v>
      </c>
      <c r="R53" s="60"/>
      <c r="T53" s="60"/>
      <c r="W53" s="61"/>
      <c r="X53" s="62"/>
      <c r="Y53" s="63"/>
      <c r="AA53" s="60"/>
      <c r="AB53" s="60"/>
      <c r="AF53" s="60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</row>
    <row r="54" spans="1:256" s="3" customFormat="1" outlineLevel="1" x14ac:dyDescent="0.2">
      <c r="A54" s="53">
        <v>44</v>
      </c>
      <c r="B54" s="3" t="s">
        <v>160</v>
      </c>
      <c r="C54" s="3" t="s">
        <v>145</v>
      </c>
      <c r="D54" s="54">
        <v>15</v>
      </c>
      <c r="E54" s="55" t="s">
        <v>107</v>
      </c>
      <c r="F54" s="56"/>
      <c r="H54" s="54">
        <v>1</v>
      </c>
      <c r="I54" s="54">
        <v>31</v>
      </c>
      <c r="K54" s="57">
        <v>400</v>
      </c>
      <c r="L54" s="54">
        <v>1</v>
      </c>
      <c r="M54" s="58"/>
      <c r="N54" s="59">
        <v>90</v>
      </c>
      <c r="R54" s="60"/>
      <c r="T54" s="60"/>
      <c r="W54" s="61"/>
      <c r="X54" s="62"/>
      <c r="Y54" s="63"/>
      <c r="AA54" s="60"/>
      <c r="AB54" s="60"/>
      <c r="AF54" s="60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</row>
    <row r="55" spans="1:256" s="3" customFormat="1" outlineLevel="1" x14ac:dyDescent="0.2">
      <c r="A55" s="53">
        <v>45</v>
      </c>
      <c r="B55" s="3" t="s">
        <v>161</v>
      </c>
      <c r="C55" s="3" t="s">
        <v>145</v>
      </c>
      <c r="D55" s="54">
        <v>20</v>
      </c>
      <c r="E55" s="55" t="s">
        <v>107</v>
      </c>
      <c r="F55" s="56"/>
      <c r="H55" s="54">
        <v>1</v>
      </c>
      <c r="I55" s="54">
        <v>31</v>
      </c>
      <c r="K55" s="57">
        <v>400</v>
      </c>
      <c r="L55" s="54">
        <v>1</v>
      </c>
      <c r="M55" s="58"/>
      <c r="N55" s="59">
        <v>120</v>
      </c>
      <c r="R55" s="60"/>
      <c r="T55" s="60"/>
      <c r="W55" s="61"/>
      <c r="X55" s="62"/>
      <c r="Y55" s="63"/>
      <c r="AA55" s="60"/>
      <c r="AB55" s="60"/>
      <c r="AF55" s="60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</row>
    <row r="56" spans="1:256" s="3" customFormat="1" x14ac:dyDescent="0.2">
      <c r="A56" s="38"/>
      <c r="B56" s="39" t="s">
        <v>162</v>
      </c>
      <c r="C56" s="39"/>
      <c r="D56" s="64"/>
      <c r="E56" s="41"/>
      <c r="F56" s="67"/>
      <c r="G56" s="39"/>
      <c r="H56" s="40"/>
      <c r="I56" s="40"/>
      <c r="J56" s="39"/>
      <c r="K56" s="65"/>
      <c r="L56" s="40"/>
      <c r="M56" s="66"/>
      <c r="N56" s="47"/>
      <c r="O56" s="48"/>
      <c r="P56" s="48"/>
      <c r="Q56" s="48"/>
      <c r="R56" s="49"/>
      <c r="S56" s="48"/>
      <c r="T56" s="49"/>
      <c r="U56" s="48"/>
      <c r="V56" s="48"/>
      <c r="W56" s="50"/>
      <c r="X56" s="51"/>
      <c r="Y56" s="52"/>
      <c r="Z56" s="48"/>
      <c r="AA56" s="49"/>
      <c r="AB56" s="49"/>
      <c r="AC56" s="48"/>
      <c r="AD56" s="48"/>
      <c r="AE56" s="48"/>
      <c r="AF56" s="49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</row>
    <row r="57" spans="1:256" s="3" customFormat="1" outlineLevel="1" x14ac:dyDescent="0.2">
      <c r="A57" s="53">
        <v>46</v>
      </c>
      <c r="B57" s="3" t="s">
        <v>163</v>
      </c>
      <c r="C57" s="3" t="s">
        <v>145</v>
      </c>
      <c r="D57" s="54">
        <v>0</v>
      </c>
      <c r="E57" s="55" t="s">
        <v>107</v>
      </c>
      <c r="F57" s="56"/>
      <c r="H57" s="54">
        <v>1</v>
      </c>
      <c r="I57" s="54">
        <v>31</v>
      </c>
      <c r="K57" s="57">
        <v>250</v>
      </c>
      <c r="L57" s="54">
        <v>1</v>
      </c>
      <c r="M57" s="58">
        <v>1</v>
      </c>
      <c r="N57" s="59">
        <v>60</v>
      </c>
      <c r="R57" s="60"/>
      <c r="T57" s="60"/>
      <c r="W57" s="61"/>
      <c r="X57" s="62"/>
      <c r="Y57" s="63"/>
      <c r="AA57" s="60"/>
      <c r="AB57" s="60"/>
      <c r="AF57" s="60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</row>
    <row r="58" spans="1:256" s="3" customFormat="1" outlineLevel="1" x14ac:dyDescent="0.2">
      <c r="A58" s="53">
        <v>47</v>
      </c>
      <c r="B58" s="3" t="s">
        <v>164</v>
      </c>
      <c r="C58" s="3" t="s">
        <v>145</v>
      </c>
      <c r="D58" s="54">
        <v>5</v>
      </c>
      <c r="E58" s="55" t="s">
        <v>107</v>
      </c>
      <c r="F58" s="56"/>
      <c r="H58" s="54">
        <v>1</v>
      </c>
      <c r="I58" s="54">
        <v>31</v>
      </c>
      <c r="K58" s="57">
        <v>250</v>
      </c>
      <c r="L58" s="54">
        <v>1</v>
      </c>
      <c r="M58" s="58"/>
      <c r="N58" s="59">
        <v>120</v>
      </c>
      <c r="R58" s="60"/>
      <c r="T58" s="60"/>
      <c r="W58" s="61"/>
      <c r="X58" s="62"/>
      <c r="Y58" s="63"/>
      <c r="AA58" s="60"/>
      <c r="AB58" s="60"/>
      <c r="AF58" s="60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</row>
    <row r="59" spans="1:256" s="3" customFormat="1" outlineLevel="1" x14ac:dyDescent="0.2">
      <c r="A59" s="53">
        <v>48</v>
      </c>
      <c r="B59" s="3" t="s">
        <v>165</v>
      </c>
      <c r="C59" s="3" t="s">
        <v>145</v>
      </c>
      <c r="D59" s="54">
        <v>10</v>
      </c>
      <c r="E59" s="55" t="s">
        <v>107</v>
      </c>
      <c r="F59" s="56"/>
      <c r="H59" s="54">
        <v>1</v>
      </c>
      <c r="I59" s="54">
        <v>31</v>
      </c>
      <c r="K59" s="57">
        <v>250</v>
      </c>
      <c r="L59" s="54">
        <v>1</v>
      </c>
      <c r="M59" s="58"/>
      <c r="N59" s="59">
        <v>180</v>
      </c>
      <c r="R59" s="60"/>
      <c r="T59" s="60"/>
      <c r="W59" s="61"/>
      <c r="X59" s="62"/>
      <c r="Y59" s="63"/>
      <c r="AA59" s="60"/>
      <c r="AB59" s="60"/>
      <c r="AF59" s="60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</row>
    <row r="60" spans="1:256" s="3" customFormat="1" outlineLevel="1" x14ac:dyDescent="0.2">
      <c r="A60" s="53">
        <v>49</v>
      </c>
      <c r="B60" s="3" t="s">
        <v>166</v>
      </c>
      <c r="C60" s="3" t="s">
        <v>145</v>
      </c>
      <c r="D60" s="54">
        <v>15</v>
      </c>
      <c r="E60" s="55" t="s">
        <v>107</v>
      </c>
      <c r="F60" s="56"/>
      <c r="H60" s="54">
        <v>1</v>
      </c>
      <c r="I60" s="54">
        <v>31</v>
      </c>
      <c r="K60" s="57">
        <v>250</v>
      </c>
      <c r="L60" s="54">
        <v>1</v>
      </c>
      <c r="M60" s="58"/>
      <c r="N60" s="59">
        <v>270</v>
      </c>
      <c r="R60" s="60"/>
      <c r="T60" s="60"/>
      <c r="W60" s="61"/>
      <c r="X60" s="62"/>
      <c r="Y60" s="63"/>
      <c r="AA60" s="60"/>
      <c r="AB60" s="60"/>
      <c r="AF60" s="60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</row>
    <row r="61" spans="1:256" s="3" customFormat="1" outlineLevel="1" x14ac:dyDescent="0.2">
      <c r="A61" s="53">
        <v>50</v>
      </c>
      <c r="B61" s="3" t="s">
        <v>167</v>
      </c>
      <c r="C61" s="3" t="s">
        <v>145</v>
      </c>
      <c r="D61" s="54">
        <v>20</v>
      </c>
      <c r="E61" s="55" t="s">
        <v>107</v>
      </c>
      <c r="F61" s="56"/>
      <c r="H61" s="54">
        <v>1</v>
      </c>
      <c r="I61" s="54">
        <v>31</v>
      </c>
      <c r="K61" s="57">
        <v>250</v>
      </c>
      <c r="L61" s="54">
        <v>1</v>
      </c>
      <c r="M61" s="58"/>
      <c r="N61" s="59">
        <v>360</v>
      </c>
      <c r="R61" s="60"/>
      <c r="T61" s="60"/>
      <c r="W61" s="61"/>
      <c r="X61" s="62"/>
      <c r="Y61" s="63"/>
      <c r="AA61" s="60"/>
      <c r="AB61" s="60"/>
      <c r="AF61" s="60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</row>
    <row r="62" spans="1:256" s="3" customFormat="1" x14ac:dyDescent="0.2">
      <c r="A62" s="38"/>
      <c r="B62" s="39" t="s">
        <v>168</v>
      </c>
      <c r="C62" s="39"/>
      <c r="D62" s="64"/>
      <c r="E62" s="41"/>
      <c r="F62" s="42"/>
      <c r="G62" s="39"/>
      <c r="H62" s="40"/>
      <c r="I62" s="40"/>
      <c r="J62" s="39"/>
      <c r="K62" s="65"/>
      <c r="L62" s="40"/>
      <c r="M62" s="66"/>
      <c r="N62" s="47"/>
      <c r="O62" s="48"/>
      <c r="P62" s="48"/>
      <c r="Q62" s="48"/>
      <c r="R62" s="49"/>
      <c r="S62" s="48"/>
      <c r="T62" s="49"/>
      <c r="U62" s="48"/>
      <c r="V62" s="48"/>
      <c r="W62" s="50"/>
      <c r="X62" s="51"/>
      <c r="Y62" s="52"/>
      <c r="Z62" s="48"/>
      <c r="AA62" s="49"/>
      <c r="AB62" s="49"/>
      <c r="AC62" s="48"/>
      <c r="AD62" s="48"/>
      <c r="AE62" s="48"/>
      <c r="AF62" s="49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</row>
    <row r="63" spans="1:256" s="3" customFormat="1" outlineLevel="1" x14ac:dyDescent="0.2">
      <c r="A63" s="5">
        <v>51</v>
      </c>
      <c r="B63" s="68" t="s">
        <v>169</v>
      </c>
      <c r="C63" s="1" t="s">
        <v>170</v>
      </c>
      <c r="D63" s="6">
        <v>0</v>
      </c>
      <c r="E63" s="7" t="s">
        <v>107</v>
      </c>
      <c r="F63" s="8"/>
      <c r="G63" s="1"/>
      <c r="H63" s="6">
        <v>1</v>
      </c>
      <c r="I63" s="6">
        <v>31</v>
      </c>
      <c r="J63" s="1"/>
      <c r="K63" s="9">
        <v>100</v>
      </c>
      <c r="L63" s="6">
        <v>1</v>
      </c>
      <c r="M63" s="10">
        <v>1</v>
      </c>
      <c r="N63" s="59">
        <v>20</v>
      </c>
      <c r="R63" s="60"/>
      <c r="T63" s="60"/>
      <c r="W63" s="61"/>
      <c r="X63" s="62"/>
      <c r="Y63" s="63"/>
      <c r="AA63" s="60"/>
      <c r="AB63" s="60"/>
      <c r="AF63" s="60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</row>
    <row r="64" spans="1:256" s="3" customFormat="1" outlineLevel="1" x14ac:dyDescent="0.2">
      <c r="A64" s="5">
        <v>52</v>
      </c>
      <c r="B64" s="3" t="s">
        <v>171</v>
      </c>
      <c r="C64" s="1" t="s">
        <v>170</v>
      </c>
      <c r="D64" s="6">
        <v>5</v>
      </c>
      <c r="E64" s="7" t="s">
        <v>107</v>
      </c>
      <c r="F64" s="8"/>
      <c r="G64" s="1"/>
      <c r="H64" s="6">
        <v>1</v>
      </c>
      <c r="I64" s="6">
        <v>31</v>
      </c>
      <c r="J64" s="1"/>
      <c r="K64" s="9">
        <v>100</v>
      </c>
      <c r="L64" s="6">
        <v>1</v>
      </c>
      <c r="M64" s="10"/>
      <c r="N64" s="59">
        <v>40</v>
      </c>
      <c r="R64" s="60"/>
      <c r="T64" s="60"/>
      <c r="W64" s="61"/>
      <c r="X64" s="62"/>
      <c r="Y64" s="63"/>
      <c r="AA64" s="60"/>
      <c r="AB64" s="60"/>
      <c r="AF64" s="60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</row>
    <row r="65" spans="1:256" s="3" customFormat="1" outlineLevel="1" x14ac:dyDescent="0.2">
      <c r="A65" s="5">
        <v>53</v>
      </c>
      <c r="B65" s="3" t="s">
        <v>172</v>
      </c>
      <c r="C65" s="1" t="s">
        <v>170</v>
      </c>
      <c r="D65" s="6">
        <v>10</v>
      </c>
      <c r="E65" s="7" t="s">
        <v>107</v>
      </c>
      <c r="F65" s="8"/>
      <c r="G65" s="1"/>
      <c r="H65" s="6">
        <v>1</v>
      </c>
      <c r="I65" s="6">
        <v>31</v>
      </c>
      <c r="J65" s="1"/>
      <c r="K65" s="9">
        <v>100</v>
      </c>
      <c r="L65" s="6">
        <v>1</v>
      </c>
      <c r="M65" s="10"/>
      <c r="N65" s="59">
        <v>60</v>
      </c>
      <c r="R65" s="60"/>
      <c r="T65" s="60"/>
      <c r="W65" s="61"/>
      <c r="X65" s="62"/>
      <c r="Y65" s="63"/>
      <c r="AA65" s="60"/>
      <c r="AB65" s="60"/>
      <c r="AF65" s="60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</row>
    <row r="66" spans="1:256" s="3" customFormat="1" outlineLevel="1" x14ac:dyDescent="0.2">
      <c r="A66" s="5">
        <v>54</v>
      </c>
      <c r="B66" s="3" t="s">
        <v>173</v>
      </c>
      <c r="C66" s="1" t="s">
        <v>170</v>
      </c>
      <c r="D66" s="6">
        <v>15</v>
      </c>
      <c r="E66" s="7" t="s">
        <v>107</v>
      </c>
      <c r="F66" s="8"/>
      <c r="G66" s="1"/>
      <c r="H66" s="6">
        <v>1</v>
      </c>
      <c r="I66" s="6">
        <v>31</v>
      </c>
      <c r="J66" s="1"/>
      <c r="K66" s="9">
        <v>100</v>
      </c>
      <c r="L66" s="6">
        <v>1</v>
      </c>
      <c r="M66" s="10"/>
      <c r="N66" s="59">
        <v>90</v>
      </c>
      <c r="R66" s="60"/>
      <c r="T66" s="60"/>
      <c r="W66" s="61"/>
      <c r="X66" s="62"/>
      <c r="Y66" s="63"/>
      <c r="AA66" s="60"/>
      <c r="AB66" s="60"/>
      <c r="AF66" s="60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</row>
    <row r="67" spans="1:256" s="3" customFormat="1" outlineLevel="1" x14ac:dyDescent="0.2">
      <c r="A67" s="5">
        <v>55</v>
      </c>
      <c r="B67" s="3" t="s">
        <v>174</v>
      </c>
      <c r="C67" s="1" t="s">
        <v>170</v>
      </c>
      <c r="D67" s="6">
        <v>20</v>
      </c>
      <c r="E67" s="7" t="s">
        <v>107</v>
      </c>
      <c r="F67" s="8"/>
      <c r="G67" s="1"/>
      <c r="H67" s="6">
        <v>1</v>
      </c>
      <c r="I67" s="6">
        <v>31</v>
      </c>
      <c r="J67" s="1"/>
      <c r="K67" s="9">
        <v>100</v>
      </c>
      <c r="L67" s="6">
        <v>1</v>
      </c>
      <c r="M67" s="10"/>
      <c r="N67" s="59">
        <v>120</v>
      </c>
      <c r="R67" s="60"/>
      <c r="T67" s="60"/>
      <c r="W67" s="61"/>
      <c r="X67" s="62"/>
      <c r="Y67" s="63"/>
      <c r="AA67" s="60"/>
      <c r="AB67" s="60"/>
      <c r="AF67" s="60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</row>
    <row r="68" spans="1:256" s="3" customFormat="1" x14ac:dyDescent="0.2">
      <c r="A68" s="69"/>
      <c r="B68" s="70" t="s">
        <v>175</v>
      </c>
      <c r="C68" s="70"/>
      <c r="D68" s="71"/>
      <c r="E68" s="72"/>
      <c r="F68" s="73"/>
      <c r="G68" s="74"/>
      <c r="H68" s="71"/>
      <c r="I68" s="71"/>
      <c r="J68" s="74"/>
      <c r="K68" s="75"/>
      <c r="L68" s="71"/>
      <c r="M68" s="76"/>
      <c r="N68" s="77"/>
      <c r="O68" s="74"/>
      <c r="P68" s="74"/>
      <c r="Q68" s="74"/>
      <c r="R68" s="78"/>
      <c r="S68" s="74"/>
      <c r="T68" s="78"/>
      <c r="U68" s="74"/>
      <c r="V68" s="74"/>
      <c r="W68" s="79"/>
      <c r="X68" s="80"/>
      <c r="Y68" s="81"/>
      <c r="Z68" s="74"/>
      <c r="AA68" s="78"/>
      <c r="AB68" s="78"/>
      <c r="AC68" s="74"/>
      <c r="AD68" s="74"/>
      <c r="AE68" s="74"/>
      <c r="AF68" s="78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</row>
    <row r="69" spans="1:256" s="84" customFormat="1" outlineLevel="1" x14ac:dyDescent="0.2">
      <c r="A69" s="82">
        <v>101</v>
      </c>
      <c r="B69" s="83" t="s">
        <v>176</v>
      </c>
      <c r="C69" s="84" t="s">
        <v>177</v>
      </c>
      <c r="D69" s="85">
        <v>0</v>
      </c>
      <c r="E69" s="86" t="s">
        <v>178</v>
      </c>
      <c r="F69" s="56"/>
      <c r="H69" s="87">
        <v>1</v>
      </c>
      <c r="I69" s="87">
        <v>32</v>
      </c>
      <c r="K69" s="88">
        <v>100</v>
      </c>
      <c r="L69" s="87">
        <v>1</v>
      </c>
      <c r="M69" s="89">
        <v>1</v>
      </c>
      <c r="N69" s="90">
        <v>80</v>
      </c>
      <c r="Q69" s="91"/>
      <c r="R69" s="92"/>
      <c r="T69" s="93"/>
      <c r="U69" s="91"/>
      <c r="V69" s="91"/>
      <c r="W69" s="94"/>
      <c r="X69" s="95"/>
      <c r="Y69" s="96"/>
      <c r="Z69" s="91"/>
      <c r="AA69" s="92"/>
      <c r="AB69" s="93"/>
      <c r="AF69" s="93"/>
    </row>
    <row r="70" spans="1:256" s="84" customFormat="1" outlineLevel="1" x14ac:dyDescent="0.2">
      <c r="A70" s="97">
        <v>102</v>
      </c>
      <c r="B70" s="83" t="s">
        <v>179</v>
      </c>
      <c r="C70" s="84" t="s">
        <v>180</v>
      </c>
      <c r="D70" s="85">
        <v>10</v>
      </c>
      <c r="E70" s="86" t="s">
        <v>178</v>
      </c>
      <c r="F70" s="56"/>
      <c r="H70" s="87">
        <v>1</v>
      </c>
      <c r="I70" s="87">
        <v>32</v>
      </c>
      <c r="K70" s="88">
        <v>100</v>
      </c>
      <c r="L70" s="87">
        <v>1</v>
      </c>
      <c r="M70" s="89">
        <v>3</v>
      </c>
      <c r="N70" s="90">
        <v>200</v>
      </c>
      <c r="R70" s="93"/>
      <c r="T70" s="93"/>
      <c r="W70" s="98"/>
      <c r="X70" s="99"/>
      <c r="Y70" s="100"/>
      <c r="AA70" s="93"/>
      <c r="AB70" s="93"/>
      <c r="AF70" s="93"/>
    </row>
    <row r="71" spans="1:256" s="84" customFormat="1" outlineLevel="1" x14ac:dyDescent="0.2">
      <c r="A71" s="97">
        <v>103</v>
      </c>
      <c r="B71" s="83" t="s">
        <v>181</v>
      </c>
      <c r="C71" s="84" t="s">
        <v>180</v>
      </c>
      <c r="D71" s="85">
        <v>20</v>
      </c>
      <c r="E71" s="86" t="s">
        <v>178</v>
      </c>
      <c r="F71" s="56"/>
      <c r="H71" s="87">
        <v>1</v>
      </c>
      <c r="I71" s="87">
        <v>32</v>
      </c>
      <c r="K71" s="88">
        <v>100</v>
      </c>
      <c r="L71" s="87">
        <v>1</v>
      </c>
      <c r="M71" s="89">
        <v>5</v>
      </c>
      <c r="N71" s="90">
        <v>500</v>
      </c>
      <c r="R71" s="93"/>
      <c r="T71" s="93"/>
      <c r="W71" s="98"/>
      <c r="X71" s="99"/>
      <c r="Y71" s="100"/>
      <c r="AA71" s="93"/>
      <c r="AB71" s="93"/>
      <c r="AF71" s="93"/>
    </row>
    <row r="72" spans="1:256" s="84" customFormat="1" outlineLevel="1" x14ac:dyDescent="0.2">
      <c r="A72" s="97">
        <v>104</v>
      </c>
      <c r="B72" s="83" t="s">
        <v>182</v>
      </c>
      <c r="C72" s="84" t="s">
        <v>183</v>
      </c>
      <c r="D72" s="85">
        <v>0</v>
      </c>
      <c r="E72" s="86" t="s">
        <v>178</v>
      </c>
      <c r="F72" s="56"/>
      <c r="H72" s="87">
        <v>1</v>
      </c>
      <c r="I72" s="87">
        <v>32</v>
      </c>
      <c r="K72" s="88">
        <v>100</v>
      </c>
      <c r="L72" s="87">
        <v>1</v>
      </c>
      <c r="M72" s="89">
        <v>1</v>
      </c>
      <c r="N72" s="90">
        <v>80</v>
      </c>
      <c r="R72" s="93"/>
      <c r="T72" s="93"/>
      <c r="W72" s="98"/>
      <c r="X72" s="99"/>
      <c r="Y72" s="100"/>
      <c r="AA72" s="93"/>
      <c r="AB72" s="93"/>
      <c r="AF72" s="93"/>
    </row>
    <row r="73" spans="1:256" s="84" customFormat="1" outlineLevel="1" x14ac:dyDescent="0.2">
      <c r="A73" s="97">
        <v>105</v>
      </c>
      <c r="B73" s="83" t="s">
        <v>184</v>
      </c>
      <c r="C73" s="83" t="s">
        <v>183</v>
      </c>
      <c r="D73" s="85">
        <v>10</v>
      </c>
      <c r="E73" s="86" t="s">
        <v>178</v>
      </c>
      <c r="F73" s="56"/>
      <c r="H73" s="87">
        <v>1</v>
      </c>
      <c r="I73" s="87">
        <v>32</v>
      </c>
      <c r="K73" s="88">
        <v>100</v>
      </c>
      <c r="L73" s="87">
        <v>1</v>
      </c>
      <c r="M73" s="89">
        <v>3</v>
      </c>
      <c r="N73" s="90">
        <v>200</v>
      </c>
      <c r="R73" s="93"/>
      <c r="T73" s="93"/>
      <c r="W73" s="98"/>
      <c r="X73" s="99"/>
      <c r="Y73" s="100"/>
      <c r="AA73" s="93"/>
      <c r="AB73" s="93"/>
      <c r="AF73" s="93"/>
    </row>
    <row r="74" spans="1:256" s="84" customFormat="1" outlineLevel="1" x14ac:dyDescent="0.2">
      <c r="A74" s="97">
        <v>106</v>
      </c>
      <c r="B74" s="83" t="s">
        <v>185</v>
      </c>
      <c r="C74" s="83" t="s">
        <v>186</v>
      </c>
      <c r="D74" s="85">
        <v>10</v>
      </c>
      <c r="E74" s="86" t="s">
        <v>178</v>
      </c>
      <c r="F74" s="56"/>
      <c r="H74" s="87">
        <v>1</v>
      </c>
      <c r="I74" s="87">
        <v>32</v>
      </c>
      <c r="K74" s="88">
        <v>100</v>
      </c>
      <c r="L74" s="87">
        <v>1</v>
      </c>
      <c r="M74" s="89">
        <v>3</v>
      </c>
      <c r="N74" s="90">
        <v>200</v>
      </c>
      <c r="R74" s="93"/>
      <c r="T74" s="93"/>
      <c r="W74" s="98"/>
      <c r="X74" s="99"/>
      <c r="Y74" s="100"/>
      <c r="AA74" s="93"/>
      <c r="AB74" s="93"/>
      <c r="AF74" s="93"/>
    </row>
    <row r="75" spans="1:256" s="84" customFormat="1" outlineLevel="1" x14ac:dyDescent="0.2">
      <c r="A75" s="97">
        <v>107</v>
      </c>
      <c r="B75" s="83" t="s">
        <v>187</v>
      </c>
      <c r="C75" s="83" t="s">
        <v>186</v>
      </c>
      <c r="D75" s="85">
        <v>20</v>
      </c>
      <c r="E75" s="86" t="s">
        <v>178</v>
      </c>
      <c r="F75" s="56"/>
      <c r="H75" s="87">
        <v>1</v>
      </c>
      <c r="I75" s="87">
        <v>32</v>
      </c>
      <c r="K75" s="88">
        <v>100</v>
      </c>
      <c r="L75" s="87">
        <v>1</v>
      </c>
      <c r="M75" s="89">
        <v>5</v>
      </c>
      <c r="N75" s="90">
        <v>500</v>
      </c>
      <c r="R75" s="93"/>
      <c r="T75" s="93"/>
      <c r="W75" s="98"/>
      <c r="X75" s="99"/>
      <c r="Y75" s="100"/>
      <c r="AA75" s="93"/>
      <c r="AB75" s="93"/>
      <c r="AF75" s="93"/>
    </row>
    <row r="76" spans="1:256" s="84" customFormat="1" outlineLevel="1" x14ac:dyDescent="0.2">
      <c r="A76" s="97">
        <v>108</v>
      </c>
      <c r="B76" s="83" t="s">
        <v>188</v>
      </c>
      <c r="C76" s="83" t="s">
        <v>133</v>
      </c>
      <c r="D76" s="85">
        <v>0</v>
      </c>
      <c r="E76" s="86" t="s">
        <v>178</v>
      </c>
      <c r="F76" s="56"/>
      <c r="H76" s="87">
        <v>1</v>
      </c>
      <c r="I76" s="87">
        <v>32</v>
      </c>
      <c r="K76" s="88">
        <v>100</v>
      </c>
      <c r="L76" s="87">
        <v>1</v>
      </c>
      <c r="M76" s="89">
        <v>1</v>
      </c>
      <c r="N76" s="90">
        <v>100</v>
      </c>
      <c r="R76" s="93"/>
      <c r="T76" s="93"/>
      <c r="W76" s="98"/>
      <c r="X76" s="99"/>
      <c r="Y76" s="100"/>
      <c r="AA76" s="93"/>
      <c r="AB76" s="93"/>
      <c r="AF76" s="93"/>
    </row>
    <row r="77" spans="1:256" s="84" customFormat="1" outlineLevel="1" x14ac:dyDescent="0.2">
      <c r="A77" s="97">
        <v>109</v>
      </c>
      <c r="B77" s="83" t="s">
        <v>189</v>
      </c>
      <c r="C77" s="83" t="s">
        <v>133</v>
      </c>
      <c r="D77" s="85">
        <v>10</v>
      </c>
      <c r="E77" s="86" t="s">
        <v>178</v>
      </c>
      <c r="F77" s="56"/>
      <c r="H77" s="87">
        <v>1</v>
      </c>
      <c r="I77" s="87">
        <v>32</v>
      </c>
      <c r="K77" s="88">
        <v>100</v>
      </c>
      <c r="L77" s="87">
        <v>1</v>
      </c>
      <c r="M77" s="89">
        <v>3</v>
      </c>
      <c r="N77" s="90">
        <v>150</v>
      </c>
      <c r="R77" s="93"/>
      <c r="T77" s="93"/>
      <c r="W77" s="98"/>
      <c r="X77" s="99"/>
      <c r="Y77" s="100"/>
      <c r="AA77" s="93"/>
      <c r="AB77" s="93"/>
      <c r="AF77" s="93"/>
    </row>
    <row r="78" spans="1:256" s="84" customFormat="1" outlineLevel="1" x14ac:dyDescent="0.2">
      <c r="A78" s="97">
        <v>110</v>
      </c>
      <c r="B78" s="83" t="s">
        <v>190</v>
      </c>
      <c r="C78" s="83" t="s">
        <v>191</v>
      </c>
      <c r="D78" s="85">
        <v>0</v>
      </c>
      <c r="E78" s="86" t="s">
        <v>178</v>
      </c>
      <c r="F78" s="56"/>
      <c r="H78" s="87">
        <v>1</v>
      </c>
      <c r="I78" s="87">
        <v>32</v>
      </c>
      <c r="K78" s="88">
        <v>100</v>
      </c>
      <c r="L78" s="87">
        <v>1</v>
      </c>
      <c r="M78" s="89">
        <v>1</v>
      </c>
      <c r="N78" s="90">
        <v>100</v>
      </c>
      <c r="R78" s="93"/>
      <c r="T78" s="93"/>
      <c r="W78" s="98"/>
      <c r="X78" s="99"/>
      <c r="Y78" s="100"/>
      <c r="AA78" s="93"/>
      <c r="AB78" s="93"/>
      <c r="AF78" s="93"/>
    </row>
    <row r="79" spans="1:256" s="84" customFormat="1" outlineLevel="1" x14ac:dyDescent="0.2">
      <c r="A79" s="97">
        <v>111</v>
      </c>
      <c r="B79" s="83" t="s">
        <v>192</v>
      </c>
      <c r="C79" s="83" t="s">
        <v>191</v>
      </c>
      <c r="D79" s="85">
        <v>10</v>
      </c>
      <c r="E79" s="86" t="s">
        <v>178</v>
      </c>
      <c r="F79" s="56"/>
      <c r="H79" s="87">
        <v>1</v>
      </c>
      <c r="I79" s="87">
        <v>32</v>
      </c>
      <c r="K79" s="88">
        <v>100</v>
      </c>
      <c r="L79" s="87">
        <v>1</v>
      </c>
      <c r="M79" s="89">
        <v>3</v>
      </c>
      <c r="N79" s="90">
        <v>150</v>
      </c>
      <c r="R79" s="93"/>
      <c r="T79" s="93"/>
      <c r="W79" s="98"/>
      <c r="X79" s="99"/>
      <c r="Y79" s="100"/>
      <c r="AA79" s="93"/>
      <c r="AB79" s="93"/>
      <c r="AF79" s="93"/>
    </row>
    <row r="80" spans="1:256" s="84" customFormat="1" outlineLevel="1" x14ac:dyDescent="0.2">
      <c r="A80" s="97">
        <v>112</v>
      </c>
      <c r="B80" s="83" t="s">
        <v>32</v>
      </c>
      <c r="C80" s="83" t="s">
        <v>193</v>
      </c>
      <c r="D80" s="85">
        <v>0</v>
      </c>
      <c r="E80" s="86" t="s">
        <v>178</v>
      </c>
      <c r="F80" s="56"/>
      <c r="H80" s="87">
        <v>1</v>
      </c>
      <c r="I80" s="87">
        <v>32</v>
      </c>
      <c r="K80" s="88">
        <v>100</v>
      </c>
      <c r="L80" s="87">
        <v>1</v>
      </c>
      <c r="M80" s="89">
        <v>1</v>
      </c>
      <c r="N80" s="90">
        <v>100</v>
      </c>
      <c r="R80" s="93"/>
      <c r="T80" s="93"/>
      <c r="W80" s="98"/>
      <c r="X80" s="99"/>
      <c r="Y80" s="100"/>
      <c r="AA80" s="93"/>
      <c r="AB80" s="93"/>
      <c r="AF80" s="93"/>
    </row>
    <row r="81" spans="1:32" s="84" customFormat="1" outlineLevel="1" x14ac:dyDescent="0.2">
      <c r="A81" s="97">
        <v>113</v>
      </c>
      <c r="B81" s="83" t="s">
        <v>22</v>
      </c>
      <c r="C81" s="83" t="s">
        <v>193</v>
      </c>
      <c r="D81" s="85">
        <v>10</v>
      </c>
      <c r="E81" s="86" t="s">
        <v>178</v>
      </c>
      <c r="F81" s="56"/>
      <c r="H81" s="87">
        <v>1</v>
      </c>
      <c r="I81" s="87">
        <v>32</v>
      </c>
      <c r="K81" s="88">
        <v>100</v>
      </c>
      <c r="L81" s="87">
        <v>1</v>
      </c>
      <c r="M81" s="89">
        <v>3</v>
      </c>
      <c r="N81" s="90">
        <v>150</v>
      </c>
      <c r="R81" s="93"/>
      <c r="T81" s="93"/>
      <c r="W81" s="98"/>
      <c r="X81" s="99"/>
      <c r="Y81" s="100"/>
      <c r="AA81" s="93"/>
      <c r="AB81" s="93"/>
      <c r="AF81" s="93"/>
    </row>
    <row r="82" spans="1:32" s="84" customFormat="1" outlineLevel="1" x14ac:dyDescent="0.2">
      <c r="A82" s="97">
        <v>114</v>
      </c>
      <c r="B82" s="84" t="s">
        <v>194</v>
      </c>
      <c r="C82" s="84" t="s">
        <v>195</v>
      </c>
      <c r="D82" s="85">
        <v>0</v>
      </c>
      <c r="E82" s="86" t="s">
        <v>178</v>
      </c>
      <c r="F82" s="56"/>
      <c r="H82" s="87">
        <v>1</v>
      </c>
      <c r="I82" s="87">
        <v>32</v>
      </c>
      <c r="K82" s="88">
        <v>100</v>
      </c>
      <c r="L82" s="87">
        <v>1</v>
      </c>
      <c r="M82" s="89">
        <v>1</v>
      </c>
      <c r="N82" s="90">
        <v>80</v>
      </c>
      <c r="R82" s="93"/>
      <c r="T82" s="93"/>
      <c r="W82" s="98"/>
      <c r="X82" s="99"/>
      <c r="Y82" s="100"/>
      <c r="AA82" s="93"/>
      <c r="AB82" s="93"/>
      <c r="AF82" s="93"/>
    </row>
    <row r="83" spans="1:32" s="84" customFormat="1" outlineLevel="1" x14ac:dyDescent="0.2">
      <c r="A83" s="97">
        <v>115</v>
      </c>
      <c r="B83" s="84" t="s">
        <v>196</v>
      </c>
      <c r="C83" s="84" t="s">
        <v>195</v>
      </c>
      <c r="D83" s="85">
        <v>10</v>
      </c>
      <c r="E83" s="86" t="s">
        <v>178</v>
      </c>
      <c r="F83" s="56"/>
      <c r="H83" s="87">
        <v>1</v>
      </c>
      <c r="I83" s="87">
        <v>32</v>
      </c>
      <c r="K83" s="88">
        <v>100</v>
      </c>
      <c r="L83" s="87">
        <v>1</v>
      </c>
      <c r="M83" s="89">
        <v>3</v>
      </c>
      <c r="N83" s="90">
        <v>200</v>
      </c>
      <c r="R83" s="93"/>
      <c r="T83" s="93"/>
      <c r="W83" s="98"/>
      <c r="X83" s="99"/>
      <c r="Y83" s="100"/>
      <c r="AA83" s="93"/>
      <c r="AB83" s="93"/>
      <c r="AF83" s="93"/>
    </row>
    <row r="84" spans="1:32" s="84" customFormat="1" outlineLevel="1" x14ac:dyDescent="0.2">
      <c r="A84" s="97">
        <v>116</v>
      </c>
      <c r="B84" s="84" t="s">
        <v>197</v>
      </c>
      <c r="C84" s="84" t="s">
        <v>195</v>
      </c>
      <c r="D84" s="85">
        <v>20</v>
      </c>
      <c r="E84" s="86" t="s">
        <v>178</v>
      </c>
      <c r="F84" s="56"/>
      <c r="H84" s="87">
        <v>1</v>
      </c>
      <c r="I84" s="87">
        <v>32</v>
      </c>
      <c r="K84" s="88">
        <v>100</v>
      </c>
      <c r="L84" s="87">
        <v>1</v>
      </c>
      <c r="M84" s="89">
        <v>5</v>
      </c>
      <c r="N84" s="90">
        <v>500</v>
      </c>
      <c r="R84" s="93"/>
      <c r="T84" s="93"/>
      <c r="W84" s="98"/>
      <c r="X84" s="99"/>
      <c r="Y84" s="100"/>
      <c r="AA84" s="93"/>
      <c r="AB84" s="93"/>
      <c r="AF84" s="93"/>
    </row>
    <row r="85" spans="1:32" s="84" customFormat="1" outlineLevel="1" x14ac:dyDescent="0.2">
      <c r="A85" s="97">
        <v>117</v>
      </c>
      <c r="B85" s="84" t="s">
        <v>198</v>
      </c>
      <c r="C85" s="84" t="s">
        <v>199</v>
      </c>
      <c r="D85" s="85">
        <v>0</v>
      </c>
      <c r="E85" s="86" t="s">
        <v>178</v>
      </c>
      <c r="F85" s="56"/>
      <c r="H85" s="87">
        <v>1</v>
      </c>
      <c r="I85" s="87">
        <v>32</v>
      </c>
      <c r="K85" s="88">
        <v>100</v>
      </c>
      <c r="L85" s="87">
        <v>1</v>
      </c>
      <c r="M85" s="89">
        <v>1</v>
      </c>
      <c r="N85" s="90">
        <v>80</v>
      </c>
      <c r="R85" s="93"/>
      <c r="T85" s="93"/>
      <c r="W85" s="98"/>
      <c r="X85" s="99"/>
      <c r="Y85" s="100"/>
      <c r="AA85" s="93"/>
      <c r="AB85" s="93"/>
      <c r="AF85" s="93"/>
    </row>
    <row r="86" spans="1:32" s="84" customFormat="1" outlineLevel="1" x14ac:dyDescent="0.2">
      <c r="A86" s="97">
        <v>118</v>
      </c>
      <c r="B86" s="84" t="s">
        <v>200</v>
      </c>
      <c r="C86" s="84" t="s">
        <v>199</v>
      </c>
      <c r="D86" s="85">
        <v>10</v>
      </c>
      <c r="E86" s="86" t="s">
        <v>178</v>
      </c>
      <c r="F86" s="56"/>
      <c r="H86" s="87">
        <v>1</v>
      </c>
      <c r="I86" s="87">
        <v>32</v>
      </c>
      <c r="K86" s="88">
        <v>100</v>
      </c>
      <c r="L86" s="87">
        <v>1</v>
      </c>
      <c r="M86" s="89">
        <v>3</v>
      </c>
      <c r="N86" s="90">
        <v>200</v>
      </c>
      <c r="R86" s="93"/>
      <c r="T86" s="93"/>
      <c r="W86" s="98"/>
      <c r="X86" s="99"/>
      <c r="Y86" s="100"/>
      <c r="AA86" s="93"/>
      <c r="AB86" s="93"/>
      <c r="AF86" s="93"/>
    </row>
    <row r="87" spans="1:32" s="84" customFormat="1" outlineLevel="1" x14ac:dyDescent="0.2">
      <c r="A87" s="97">
        <v>119</v>
      </c>
      <c r="B87" s="84" t="s">
        <v>201</v>
      </c>
      <c r="C87" s="84" t="s">
        <v>199</v>
      </c>
      <c r="D87" s="85">
        <v>20</v>
      </c>
      <c r="E87" s="86" t="s">
        <v>178</v>
      </c>
      <c r="F87" s="56"/>
      <c r="H87" s="87">
        <v>1</v>
      </c>
      <c r="I87" s="87">
        <v>32</v>
      </c>
      <c r="K87" s="88">
        <v>100</v>
      </c>
      <c r="L87" s="87">
        <v>1</v>
      </c>
      <c r="M87" s="89">
        <v>5</v>
      </c>
      <c r="N87" s="90">
        <v>500</v>
      </c>
      <c r="R87" s="93"/>
      <c r="T87" s="93"/>
      <c r="W87" s="98"/>
      <c r="X87" s="99"/>
      <c r="Y87" s="100"/>
      <c r="AA87" s="93"/>
      <c r="AB87" s="93"/>
      <c r="AF87" s="93"/>
    </row>
    <row r="88" spans="1:32" s="84" customFormat="1" outlineLevel="1" x14ac:dyDescent="0.2">
      <c r="A88" s="101">
        <v>120</v>
      </c>
      <c r="B88" s="83" t="s">
        <v>202</v>
      </c>
      <c r="C88" s="83" t="s">
        <v>203</v>
      </c>
      <c r="D88" s="85">
        <v>0</v>
      </c>
      <c r="E88" s="86" t="s">
        <v>178</v>
      </c>
      <c r="F88" s="56"/>
      <c r="H88" s="87">
        <v>1</v>
      </c>
      <c r="I88" s="87">
        <v>32</v>
      </c>
      <c r="K88" s="88">
        <v>100</v>
      </c>
      <c r="L88" s="87">
        <v>1</v>
      </c>
      <c r="M88" s="89">
        <v>1</v>
      </c>
      <c r="N88" s="90">
        <v>60</v>
      </c>
      <c r="R88" s="93"/>
      <c r="T88" s="93"/>
      <c r="W88" s="98"/>
      <c r="X88" s="99"/>
      <c r="Y88" s="100"/>
      <c r="AA88" s="93"/>
      <c r="AB88" s="93"/>
      <c r="AF88" s="93"/>
    </row>
    <row r="89" spans="1:32" s="84" customFormat="1" outlineLevel="1" x14ac:dyDescent="0.2">
      <c r="A89" s="101">
        <v>121</v>
      </c>
      <c r="B89" s="83" t="s">
        <v>204</v>
      </c>
      <c r="C89" s="83" t="s">
        <v>203</v>
      </c>
      <c r="D89" s="85">
        <v>10</v>
      </c>
      <c r="E89" s="86" t="s">
        <v>178</v>
      </c>
      <c r="F89" s="56"/>
      <c r="H89" s="87">
        <v>1</v>
      </c>
      <c r="I89" s="87">
        <v>32</v>
      </c>
      <c r="K89" s="88">
        <v>100</v>
      </c>
      <c r="L89" s="87">
        <v>1</v>
      </c>
      <c r="M89" s="89">
        <v>3</v>
      </c>
      <c r="N89" s="90">
        <v>200</v>
      </c>
      <c r="R89" s="93"/>
      <c r="T89" s="93"/>
      <c r="W89" s="98"/>
      <c r="X89" s="99"/>
      <c r="Y89" s="100"/>
      <c r="AA89" s="93"/>
      <c r="AB89" s="93"/>
      <c r="AF89" s="93"/>
    </row>
    <row r="90" spans="1:32" s="84" customFormat="1" outlineLevel="1" x14ac:dyDescent="0.2">
      <c r="A90" s="101">
        <v>122</v>
      </c>
      <c r="B90" s="83" t="s">
        <v>205</v>
      </c>
      <c r="C90" s="83" t="s">
        <v>203</v>
      </c>
      <c r="D90" s="85">
        <v>20</v>
      </c>
      <c r="E90" s="86" t="s">
        <v>178</v>
      </c>
      <c r="F90" s="56"/>
      <c r="H90" s="87">
        <v>1</v>
      </c>
      <c r="I90" s="87">
        <v>32</v>
      </c>
      <c r="K90" s="88">
        <v>100</v>
      </c>
      <c r="L90" s="87">
        <v>1</v>
      </c>
      <c r="M90" s="89">
        <v>5</v>
      </c>
      <c r="N90" s="90">
        <v>500</v>
      </c>
      <c r="R90" s="93"/>
      <c r="T90" s="93"/>
      <c r="W90" s="98"/>
      <c r="X90" s="99"/>
      <c r="Y90" s="100"/>
      <c r="AA90" s="93"/>
      <c r="AB90" s="93"/>
      <c r="AF90" s="93"/>
    </row>
    <row r="91" spans="1:32" s="84" customFormat="1" outlineLevel="1" x14ac:dyDescent="0.2">
      <c r="A91" s="101">
        <v>123</v>
      </c>
      <c r="B91" s="83" t="s">
        <v>206</v>
      </c>
      <c r="C91" s="83" t="s">
        <v>207</v>
      </c>
      <c r="D91" s="87">
        <v>0</v>
      </c>
      <c r="E91" s="86" t="s">
        <v>178</v>
      </c>
      <c r="F91" s="8"/>
      <c r="H91" s="87">
        <v>1</v>
      </c>
      <c r="I91" s="87">
        <v>32</v>
      </c>
      <c r="K91" s="88">
        <v>100</v>
      </c>
      <c r="L91" s="87">
        <v>1</v>
      </c>
      <c r="M91" s="89">
        <v>1</v>
      </c>
      <c r="N91" s="90">
        <v>25</v>
      </c>
      <c r="R91" s="93"/>
      <c r="T91" s="93"/>
      <c r="W91" s="98"/>
      <c r="X91" s="99"/>
      <c r="Y91" s="100"/>
      <c r="AA91" s="93"/>
      <c r="AB91" s="93"/>
      <c r="AF91" s="93"/>
    </row>
    <row r="92" spans="1:32" s="84" customFormat="1" outlineLevel="1" x14ac:dyDescent="0.2">
      <c r="A92" s="101">
        <v>124</v>
      </c>
      <c r="B92" s="83" t="s">
        <v>208</v>
      </c>
      <c r="C92" s="83" t="s">
        <v>207</v>
      </c>
      <c r="D92" s="87">
        <v>10</v>
      </c>
      <c r="E92" s="86" t="s">
        <v>178</v>
      </c>
      <c r="F92" s="8"/>
      <c r="H92" s="87">
        <v>1</v>
      </c>
      <c r="I92" s="87">
        <v>32</v>
      </c>
      <c r="K92" s="88">
        <v>100</v>
      </c>
      <c r="L92" s="87">
        <v>1</v>
      </c>
      <c r="M92" s="89">
        <v>3</v>
      </c>
      <c r="N92" s="90">
        <v>150</v>
      </c>
      <c r="R92" s="93"/>
      <c r="T92" s="93"/>
      <c r="W92" s="98"/>
      <c r="X92" s="99"/>
      <c r="Y92" s="100"/>
      <c r="AA92" s="93"/>
      <c r="AB92" s="93"/>
      <c r="AF92" s="93"/>
    </row>
    <row r="93" spans="1:32" s="84" customFormat="1" outlineLevel="1" x14ac:dyDescent="0.2">
      <c r="A93" s="101">
        <v>125</v>
      </c>
      <c r="B93" s="83" t="s">
        <v>209</v>
      </c>
      <c r="C93" s="83" t="s">
        <v>207</v>
      </c>
      <c r="D93" s="87">
        <v>20</v>
      </c>
      <c r="E93" s="86" t="s">
        <v>178</v>
      </c>
      <c r="F93" s="8"/>
      <c r="H93" s="87">
        <v>1</v>
      </c>
      <c r="I93" s="87">
        <v>32</v>
      </c>
      <c r="K93" s="88">
        <v>100</v>
      </c>
      <c r="L93" s="87">
        <v>1</v>
      </c>
      <c r="M93" s="89">
        <v>5</v>
      </c>
      <c r="N93" s="90">
        <v>500</v>
      </c>
      <c r="R93" s="93"/>
      <c r="T93" s="93"/>
      <c r="W93" s="98"/>
      <c r="X93" s="99"/>
      <c r="Y93" s="100"/>
      <c r="AA93" s="93"/>
      <c r="AB93" s="93"/>
      <c r="AF93" s="93"/>
    </row>
    <row r="94" spans="1:32" s="84" customFormat="1" outlineLevel="1" x14ac:dyDescent="0.2">
      <c r="A94" s="101">
        <v>126</v>
      </c>
      <c r="B94" s="83" t="s">
        <v>210</v>
      </c>
      <c r="C94" s="83" t="s">
        <v>211</v>
      </c>
      <c r="D94" s="87">
        <v>0</v>
      </c>
      <c r="E94" s="86" t="s">
        <v>178</v>
      </c>
      <c r="F94" s="8"/>
      <c r="H94" s="87">
        <v>1</v>
      </c>
      <c r="I94" s="87">
        <v>32</v>
      </c>
      <c r="K94" s="88">
        <v>100</v>
      </c>
      <c r="L94" s="87">
        <v>1</v>
      </c>
      <c r="M94" s="89">
        <v>1</v>
      </c>
      <c r="N94" s="90">
        <v>100</v>
      </c>
      <c r="R94" s="93"/>
      <c r="T94" s="93"/>
      <c r="W94" s="98"/>
      <c r="X94" s="99"/>
      <c r="Y94" s="100"/>
      <c r="AA94" s="93"/>
      <c r="AB94" s="93"/>
      <c r="AF94" s="93"/>
    </row>
    <row r="95" spans="1:32" s="84" customFormat="1" outlineLevel="1" x14ac:dyDescent="0.2">
      <c r="A95" s="102">
        <v>127</v>
      </c>
      <c r="B95" s="83" t="s">
        <v>212</v>
      </c>
      <c r="C95" s="83" t="s">
        <v>211</v>
      </c>
      <c r="D95" s="87">
        <v>10</v>
      </c>
      <c r="E95" s="86" t="s">
        <v>178</v>
      </c>
      <c r="F95" s="8"/>
      <c r="H95" s="87">
        <v>1</v>
      </c>
      <c r="I95" s="87">
        <v>32</v>
      </c>
      <c r="K95" s="88">
        <v>100</v>
      </c>
      <c r="L95" s="87">
        <v>1</v>
      </c>
      <c r="M95" s="89">
        <v>3</v>
      </c>
      <c r="N95" s="90">
        <v>150</v>
      </c>
      <c r="R95" s="93"/>
      <c r="T95" s="93"/>
      <c r="W95" s="98"/>
      <c r="X95" s="99"/>
      <c r="Y95" s="100"/>
      <c r="AA95" s="93"/>
      <c r="AB95" s="93"/>
      <c r="AF95" s="93"/>
    </row>
    <row r="96" spans="1:32" s="84" customFormat="1" outlineLevel="1" x14ac:dyDescent="0.2">
      <c r="A96" s="101">
        <v>128</v>
      </c>
      <c r="B96" s="83" t="s">
        <v>213</v>
      </c>
      <c r="C96" s="83" t="s">
        <v>214</v>
      </c>
      <c r="D96" s="87">
        <v>0</v>
      </c>
      <c r="E96" s="86" t="s">
        <v>178</v>
      </c>
      <c r="F96" s="8"/>
      <c r="H96" s="87">
        <v>1</v>
      </c>
      <c r="I96" s="87">
        <v>32</v>
      </c>
      <c r="K96" s="88">
        <v>200</v>
      </c>
      <c r="L96" s="87">
        <v>1</v>
      </c>
      <c r="M96" s="89">
        <v>1</v>
      </c>
      <c r="N96" s="90">
        <v>80</v>
      </c>
      <c r="R96" s="93"/>
      <c r="T96" s="93"/>
      <c r="W96" s="98"/>
      <c r="X96" s="99"/>
      <c r="Y96" s="100"/>
      <c r="AA96" s="93"/>
      <c r="AB96" s="93"/>
      <c r="AF96" s="93"/>
    </row>
    <row r="97" spans="1:38" s="84" customFormat="1" outlineLevel="1" x14ac:dyDescent="0.2">
      <c r="A97" s="103">
        <v>129</v>
      </c>
      <c r="B97" s="83" t="s">
        <v>215</v>
      </c>
      <c r="C97" s="83" t="s">
        <v>214</v>
      </c>
      <c r="D97" s="87">
        <v>10</v>
      </c>
      <c r="E97" s="86" t="s">
        <v>178</v>
      </c>
      <c r="F97" s="8"/>
      <c r="H97" s="87">
        <v>1</v>
      </c>
      <c r="I97" s="87">
        <v>32</v>
      </c>
      <c r="K97" s="88">
        <v>200</v>
      </c>
      <c r="L97" s="87">
        <v>1</v>
      </c>
      <c r="M97" s="89">
        <v>3</v>
      </c>
      <c r="N97" s="90">
        <v>180</v>
      </c>
      <c r="R97" s="93"/>
      <c r="T97" s="93"/>
      <c r="W97" s="98"/>
      <c r="X97" s="99"/>
      <c r="Y97" s="100"/>
      <c r="AA97" s="93"/>
      <c r="AB97" s="93"/>
      <c r="AF97" s="93"/>
    </row>
    <row r="98" spans="1:38" s="3" customFormat="1" x14ac:dyDescent="0.2">
      <c r="A98" s="104"/>
      <c r="B98" s="105" t="s">
        <v>216</v>
      </c>
      <c r="C98" s="106"/>
      <c r="D98" s="107"/>
      <c r="E98" s="108"/>
      <c r="F98" s="109"/>
      <c r="G98" s="110"/>
      <c r="H98" s="111"/>
      <c r="I98" s="111"/>
      <c r="J98" s="111"/>
      <c r="K98" s="112"/>
      <c r="L98" s="111"/>
      <c r="M98" s="113"/>
      <c r="N98" s="114"/>
      <c r="O98" s="115"/>
      <c r="P98" s="116"/>
      <c r="Q98" s="117"/>
      <c r="R98" s="113"/>
      <c r="S98" s="117"/>
      <c r="T98" s="118"/>
      <c r="U98" s="119"/>
      <c r="V98" s="120"/>
      <c r="W98" s="121"/>
      <c r="X98" s="122"/>
      <c r="Y98" s="123"/>
      <c r="Z98" s="124"/>
      <c r="AA98" s="125"/>
      <c r="AB98" s="125"/>
      <c r="AC98" s="124"/>
      <c r="AD98" s="124"/>
      <c r="AE98" s="126"/>
      <c r="AF98" s="127"/>
      <c r="AG98" s="128"/>
      <c r="AH98" s="128"/>
      <c r="AI98" s="129"/>
      <c r="AJ98" s="130"/>
      <c r="AK98" s="131"/>
      <c r="AL98" s="131"/>
    </row>
    <row r="99" spans="1:38" s="3" customFormat="1" outlineLevel="1" x14ac:dyDescent="0.2">
      <c r="A99" s="53">
        <v>201</v>
      </c>
      <c r="B99" s="132" t="s">
        <v>217</v>
      </c>
      <c r="D99" s="133">
        <v>0</v>
      </c>
      <c r="E99" s="55" t="s">
        <v>216</v>
      </c>
      <c r="F99" s="56"/>
      <c r="G99" s="134"/>
      <c r="H99" s="54">
        <v>1</v>
      </c>
      <c r="I99" s="54">
        <v>33</v>
      </c>
      <c r="J99" s="54"/>
      <c r="K99" s="57">
        <v>10000</v>
      </c>
      <c r="L99" s="54">
        <v>1</v>
      </c>
      <c r="M99" s="58"/>
      <c r="N99" s="135">
        <f>VLOOKUP(A99,Baupläne!$B$2:$X$1019,21,FALSE)</f>
        <v>2600</v>
      </c>
      <c r="P99" s="85"/>
      <c r="Q99" s="83"/>
      <c r="R99" s="136"/>
      <c r="S99" s="83"/>
      <c r="T99" s="137"/>
      <c r="U99" s="138"/>
      <c r="V99" s="131"/>
      <c r="W99" s="139"/>
      <c r="X99" s="140"/>
      <c r="Y99" s="141"/>
      <c r="Z99" s="142"/>
      <c r="AA99" s="143"/>
      <c r="AB99" s="143"/>
      <c r="AC99" s="142"/>
      <c r="AD99" s="142"/>
      <c r="AE99" s="144"/>
      <c r="AF99" s="145"/>
      <c r="AG99" s="128"/>
      <c r="AH99" s="128"/>
      <c r="AI99" s="129"/>
      <c r="AJ99" s="130"/>
      <c r="AK99" s="131"/>
      <c r="AL99" s="131"/>
    </row>
    <row r="100" spans="1:38" s="3" customFormat="1" outlineLevel="1" x14ac:dyDescent="0.2">
      <c r="A100" s="53">
        <v>202</v>
      </c>
      <c r="B100" s="132" t="s">
        <v>218</v>
      </c>
      <c r="D100" s="133">
        <v>0</v>
      </c>
      <c r="E100" s="55" t="s">
        <v>216</v>
      </c>
      <c r="F100" s="56"/>
      <c r="G100" s="134"/>
      <c r="H100" s="54">
        <v>1</v>
      </c>
      <c r="I100" s="54">
        <v>33</v>
      </c>
      <c r="J100" s="54"/>
      <c r="K100" s="57">
        <v>10000</v>
      </c>
      <c r="L100" s="54">
        <v>1</v>
      </c>
      <c r="M100" s="58"/>
      <c r="N100" s="135">
        <f>VLOOKUP(A100,Baupläne!$B$2:$X$1019,21,FALSE)</f>
        <v>2200</v>
      </c>
      <c r="O100" s="83"/>
      <c r="P100" s="85"/>
      <c r="Q100" s="83"/>
      <c r="R100" s="136"/>
      <c r="S100" s="83"/>
      <c r="T100" s="137"/>
      <c r="U100" s="138"/>
      <c r="V100" s="131"/>
      <c r="W100" s="139"/>
      <c r="X100" s="140"/>
      <c r="Y100" s="141"/>
      <c r="Z100" s="142"/>
      <c r="AA100" s="143"/>
      <c r="AB100" s="143"/>
      <c r="AC100" s="142"/>
      <c r="AD100" s="142"/>
      <c r="AE100" s="144"/>
      <c r="AF100" s="145"/>
      <c r="AG100" s="128"/>
      <c r="AH100" s="128"/>
      <c r="AI100" s="129"/>
      <c r="AJ100" s="130"/>
      <c r="AK100" s="131"/>
      <c r="AL100" s="131"/>
    </row>
    <row r="101" spans="1:38" s="3" customFormat="1" outlineLevel="1" x14ac:dyDescent="0.2">
      <c r="A101" s="53">
        <v>203</v>
      </c>
      <c r="B101" s="132" t="s">
        <v>219</v>
      </c>
      <c r="D101" s="133">
        <v>0</v>
      </c>
      <c r="E101" s="55" t="s">
        <v>216</v>
      </c>
      <c r="F101" s="56"/>
      <c r="G101" s="134"/>
      <c r="H101" s="54">
        <v>1</v>
      </c>
      <c r="I101" s="54">
        <v>33</v>
      </c>
      <c r="J101" s="54"/>
      <c r="K101" s="57">
        <v>10000</v>
      </c>
      <c r="L101" s="54">
        <v>1</v>
      </c>
      <c r="M101" s="58"/>
      <c r="N101" s="135">
        <f>VLOOKUP(A101,Baupläne!$B$2:$X$1019,21,FALSE)</f>
        <v>3200</v>
      </c>
      <c r="P101" s="85"/>
      <c r="Q101" s="83"/>
      <c r="R101" s="136"/>
      <c r="S101" s="83"/>
      <c r="T101" s="137"/>
      <c r="U101" s="138"/>
      <c r="V101" s="131"/>
      <c r="W101" s="139"/>
      <c r="X101" s="140"/>
      <c r="Y101" s="141"/>
      <c r="Z101" s="142"/>
      <c r="AA101" s="143"/>
      <c r="AB101" s="143"/>
      <c r="AC101" s="142"/>
      <c r="AD101" s="142"/>
      <c r="AE101" s="144"/>
      <c r="AF101" s="145"/>
      <c r="AG101" s="128"/>
      <c r="AH101" s="128"/>
      <c r="AI101" s="129"/>
      <c r="AJ101" s="130"/>
      <c r="AK101" s="131"/>
      <c r="AL101" s="131"/>
    </row>
    <row r="102" spans="1:38" s="3" customFormat="1" outlineLevel="1" x14ac:dyDescent="0.2">
      <c r="A102" s="53">
        <v>204</v>
      </c>
      <c r="B102" s="132" t="s">
        <v>220</v>
      </c>
      <c r="D102" s="133">
        <v>0</v>
      </c>
      <c r="E102" s="55" t="s">
        <v>216</v>
      </c>
      <c r="F102" s="56"/>
      <c r="G102" s="134"/>
      <c r="H102" s="54">
        <v>1</v>
      </c>
      <c r="I102" s="54">
        <v>33</v>
      </c>
      <c r="J102" s="54"/>
      <c r="K102" s="57">
        <v>10000</v>
      </c>
      <c r="L102" s="54">
        <v>1</v>
      </c>
      <c r="M102" s="58"/>
      <c r="N102" s="135">
        <f>VLOOKUP(A102,Baupläne!$B$2:$X$1019,21,FALSE)</f>
        <v>1800</v>
      </c>
      <c r="P102" s="85"/>
      <c r="Q102" s="83"/>
      <c r="R102" s="136"/>
      <c r="S102" s="83"/>
      <c r="T102" s="137"/>
      <c r="U102" s="138"/>
      <c r="V102" s="131"/>
      <c r="W102" s="139"/>
      <c r="X102" s="140"/>
      <c r="Y102" s="141"/>
      <c r="Z102" s="142"/>
      <c r="AA102" s="143"/>
      <c r="AB102" s="143"/>
      <c r="AC102" s="142"/>
      <c r="AD102" s="142"/>
      <c r="AE102" s="144"/>
      <c r="AF102" s="145"/>
      <c r="AG102" s="128"/>
      <c r="AH102" s="128"/>
      <c r="AI102" s="129"/>
      <c r="AJ102" s="130"/>
      <c r="AK102" s="131"/>
      <c r="AL102" s="131"/>
    </row>
    <row r="103" spans="1:38" s="3" customFormat="1" outlineLevel="1" x14ac:dyDescent="0.2">
      <c r="A103" s="104"/>
      <c r="B103" s="106"/>
      <c r="C103" s="117"/>
      <c r="D103" s="107"/>
      <c r="E103" s="108"/>
      <c r="F103" s="109"/>
      <c r="G103" s="110"/>
      <c r="H103" s="111"/>
      <c r="I103" s="111"/>
      <c r="J103" s="111"/>
      <c r="K103" s="112"/>
      <c r="L103" s="111"/>
      <c r="M103" s="113"/>
      <c r="N103" s="114"/>
      <c r="O103" s="115"/>
      <c r="P103" s="116"/>
      <c r="Q103" s="117"/>
      <c r="R103" s="113"/>
      <c r="S103" s="117"/>
      <c r="T103" s="118"/>
      <c r="U103" s="119"/>
      <c r="V103" s="120"/>
      <c r="W103" s="121"/>
      <c r="X103" s="122"/>
      <c r="Y103" s="123"/>
      <c r="Z103" s="124"/>
      <c r="AA103" s="125"/>
      <c r="AB103" s="125"/>
      <c r="AC103" s="124"/>
      <c r="AD103" s="124"/>
      <c r="AE103" s="126"/>
      <c r="AF103" s="127"/>
      <c r="AG103" s="128"/>
      <c r="AH103" s="128"/>
      <c r="AI103" s="129"/>
      <c r="AJ103" s="130"/>
      <c r="AK103" s="131"/>
      <c r="AL103" s="131"/>
    </row>
    <row r="104" spans="1:38" s="3" customFormat="1" outlineLevel="1" x14ac:dyDescent="0.2">
      <c r="A104" s="53">
        <v>211</v>
      </c>
      <c r="B104" s="132" t="s">
        <v>221</v>
      </c>
      <c r="D104" s="133">
        <v>5</v>
      </c>
      <c r="E104" s="55" t="s">
        <v>216</v>
      </c>
      <c r="F104" s="56"/>
      <c r="G104" s="134"/>
      <c r="H104" s="54">
        <v>1</v>
      </c>
      <c r="I104" s="54">
        <v>33</v>
      </c>
      <c r="J104" s="54"/>
      <c r="K104" s="57">
        <v>10000</v>
      </c>
      <c r="L104" s="54">
        <v>1</v>
      </c>
      <c r="M104" s="58"/>
      <c r="N104" s="135">
        <f>VLOOKUP(A104,Baupläne!$B$2:$X$1019,21,FALSE)</f>
        <v>5200</v>
      </c>
      <c r="P104" s="85"/>
      <c r="Q104" s="83"/>
      <c r="R104" s="136"/>
      <c r="S104" s="83"/>
      <c r="T104" s="137"/>
      <c r="U104" s="138"/>
      <c r="V104" s="131"/>
      <c r="W104" s="139"/>
      <c r="X104" s="140"/>
      <c r="Y104" s="141"/>
      <c r="Z104" s="142"/>
      <c r="AA104" s="143"/>
      <c r="AB104" s="143"/>
      <c r="AC104" s="142"/>
      <c r="AD104" s="142"/>
      <c r="AE104" s="144"/>
      <c r="AF104" s="145"/>
      <c r="AG104" s="128"/>
      <c r="AH104" s="128"/>
      <c r="AI104" s="129"/>
      <c r="AJ104" s="130"/>
      <c r="AK104" s="131"/>
      <c r="AL104" s="131"/>
    </row>
    <row r="105" spans="1:38" s="3" customFormat="1" outlineLevel="1" x14ac:dyDescent="0.2">
      <c r="A105" s="53">
        <v>212</v>
      </c>
      <c r="B105" s="132" t="s">
        <v>222</v>
      </c>
      <c r="D105" s="133">
        <v>5</v>
      </c>
      <c r="E105" s="55" t="s">
        <v>216</v>
      </c>
      <c r="F105" s="56"/>
      <c r="G105" s="134"/>
      <c r="H105" s="54">
        <v>1</v>
      </c>
      <c r="I105" s="54">
        <v>33</v>
      </c>
      <c r="J105" s="54"/>
      <c r="K105" s="57">
        <v>10000</v>
      </c>
      <c r="L105" s="54">
        <v>1</v>
      </c>
      <c r="M105" s="58"/>
      <c r="N105" s="135">
        <f>VLOOKUP(A105,Baupläne!$B$2:$X$1019,21,FALSE)</f>
        <v>4400</v>
      </c>
      <c r="O105" s="83"/>
      <c r="P105" s="85"/>
      <c r="Q105" s="83"/>
      <c r="R105" s="136"/>
      <c r="S105" s="83"/>
      <c r="T105" s="137"/>
      <c r="U105" s="138"/>
      <c r="V105" s="131"/>
      <c r="W105" s="139"/>
      <c r="X105" s="140"/>
      <c r="Y105" s="141"/>
      <c r="Z105" s="142"/>
      <c r="AA105" s="143"/>
      <c r="AB105" s="143"/>
      <c r="AC105" s="142"/>
      <c r="AD105" s="142"/>
      <c r="AE105" s="144"/>
      <c r="AF105" s="145"/>
      <c r="AG105" s="128"/>
      <c r="AH105" s="128"/>
      <c r="AI105" s="129"/>
      <c r="AJ105" s="130"/>
      <c r="AK105" s="131"/>
      <c r="AL105" s="131"/>
    </row>
    <row r="106" spans="1:38" s="3" customFormat="1" outlineLevel="1" x14ac:dyDescent="0.2">
      <c r="A106" s="53">
        <v>213</v>
      </c>
      <c r="B106" s="132" t="s">
        <v>223</v>
      </c>
      <c r="D106" s="133">
        <v>5</v>
      </c>
      <c r="E106" s="55" t="s">
        <v>216</v>
      </c>
      <c r="F106" s="56"/>
      <c r="G106" s="134"/>
      <c r="H106" s="54">
        <v>1</v>
      </c>
      <c r="I106" s="54">
        <v>33</v>
      </c>
      <c r="J106" s="54"/>
      <c r="K106" s="57">
        <v>10000</v>
      </c>
      <c r="L106" s="54">
        <v>1</v>
      </c>
      <c r="M106" s="58"/>
      <c r="N106" s="135">
        <f>VLOOKUP(A106,Baupläne!$B$2:$X$1019,21,FALSE)</f>
        <v>6400</v>
      </c>
      <c r="P106" s="85"/>
      <c r="Q106" s="83"/>
      <c r="R106" s="136"/>
      <c r="S106" s="83"/>
      <c r="T106" s="137"/>
      <c r="U106" s="138"/>
      <c r="V106" s="131"/>
      <c r="W106" s="139"/>
      <c r="X106" s="140"/>
      <c r="Y106" s="141"/>
      <c r="Z106" s="142"/>
      <c r="AA106" s="143"/>
      <c r="AB106" s="143"/>
      <c r="AC106" s="142"/>
      <c r="AD106" s="142"/>
      <c r="AE106" s="144"/>
      <c r="AF106" s="145"/>
      <c r="AG106" s="128"/>
      <c r="AH106" s="128"/>
      <c r="AI106" s="129"/>
      <c r="AJ106" s="130"/>
      <c r="AK106" s="131"/>
      <c r="AL106" s="131"/>
    </row>
    <row r="107" spans="1:38" s="3" customFormat="1" outlineLevel="1" x14ac:dyDescent="0.2">
      <c r="A107" s="53">
        <v>214</v>
      </c>
      <c r="B107" s="132" t="s">
        <v>224</v>
      </c>
      <c r="D107" s="133">
        <v>5</v>
      </c>
      <c r="E107" s="55" t="s">
        <v>216</v>
      </c>
      <c r="F107" s="56"/>
      <c r="G107" s="134"/>
      <c r="H107" s="54">
        <v>1</v>
      </c>
      <c r="I107" s="54">
        <v>33</v>
      </c>
      <c r="J107" s="54"/>
      <c r="K107" s="57">
        <v>10000</v>
      </c>
      <c r="L107" s="54">
        <v>1</v>
      </c>
      <c r="M107" s="58"/>
      <c r="N107" s="135">
        <f>VLOOKUP(A107,Baupläne!$B$2:$X$1019,21,FALSE)</f>
        <v>3600</v>
      </c>
      <c r="P107" s="85"/>
      <c r="Q107" s="83"/>
      <c r="R107" s="136"/>
      <c r="S107" s="83"/>
      <c r="T107" s="137"/>
      <c r="U107" s="138"/>
      <c r="V107" s="131"/>
      <c r="W107" s="139"/>
      <c r="X107" s="140"/>
      <c r="Y107" s="141"/>
      <c r="Z107" s="142"/>
      <c r="AA107" s="143"/>
      <c r="AB107" s="143"/>
      <c r="AC107" s="142"/>
      <c r="AD107" s="142"/>
      <c r="AE107" s="144"/>
      <c r="AF107" s="145"/>
      <c r="AG107" s="128"/>
      <c r="AH107" s="128"/>
      <c r="AI107" s="129"/>
      <c r="AJ107" s="130"/>
      <c r="AK107" s="131"/>
      <c r="AL107" s="131"/>
    </row>
    <row r="108" spans="1:38" s="3" customFormat="1" outlineLevel="1" x14ac:dyDescent="0.2">
      <c r="A108" s="104"/>
      <c r="B108" s="106"/>
      <c r="C108" s="117"/>
      <c r="D108" s="107"/>
      <c r="E108" s="108"/>
      <c r="F108" s="109"/>
      <c r="G108" s="110"/>
      <c r="H108" s="111"/>
      <c r="I108" s="111"/>
      <c r="J108" s="111"/>
      <c r="K108" s="112"/>
      <c r="L108" s="111"/>
      <c r="M108" s="113"/>
      <c r="N108" s="114"/>
      <c r="O108" s="115"/>
      <c r="P108" s="116"/>
      <c r="Q108" s="117"/>
      <c r="R108" s="113"/>
      <c r="S108" s="117"/>
      <c r="T108" s="118"/>
      <c r="U108" s="119"/>
      <c r="V108" s="120"/>
      <c r="W108" s="121"/>
      <c r="X108" s="122"/>
      <c r="Y108" s="123"/>
      <c r="Z108" s="124"/>
      <c r="AA108" s="125"/>
      <c r="AB108" s="125"/>
      <c r="AC108" s="124"/>
      <c r="AD108" s="124"/>
      <c r="AE108" s="126"/>
      <c r="AF108" s="127"/>
      <c r="AG108" s="128"/>
      <c r="AH108" s="128"/>
      <c r="AI108" s="129"/>
      <c r="AJ108" s="130"/>
      <c r="AK108" s="131"/>
      <c r="AL108" s="131"/>
    </row>
    <row r="109" spans="1:38" s="3" customFormat="1" outlineLevel="1" x14ac:dyDescent="0.2">
      <c r="A109" s="53">
        <v>221</v>
      </c>
      <c r="B109" s="132" t="s">
        <v>225</v>
      </c>
      <c r="D109" s="133">
        <v>10</v>
      </c>
      <c r="E109" s="55" t="s">
        <v>216</v>
      </c>
      <c r="F109" s="56"/>
      <c r="G109" s="134"/>
      <c r="H109" s="54">
        <v>1</v>
      </c>
      <c r="I109" s="54">
        <v>33</v>
      </c>
      <c r="J109" s="54"/>
      <c r="K109" s="57">
        <v>10000</v>
      </c>
      <c r="L109" s="54">
        <v>1</v>
      </c>
      <c r="M109" s="58"/>
      <c r="N109" s="135">
        <f>VLOOKUP(A109,Baupläne!$B$2:$X$1019,21,FALSE)</f>
        <v>10400</v>
      </c>
      <c r="P109" s="85"/>
      <c r="Q109" s="83"/>
      <c r="R109" s="136"/>
      <c r="S109" s="83"/>
      <c r="T109" s="137"/>
      <c r="U109" s="138"/>
      <c r="V109" s="131"/>
      <c r="W109" s="139"/>
      <c r="X109" s="140"/>
      <c r="Y109" s="141"/>
      <c r="Z109" s="142"/>
      <c r="AA109" s="143"/>
      <c r="AB109" s="143"/>
      <c r="AC109" s="142"/>
      <c r="AD109" s="142"/>
      <c r="AE109" s="144"/>
      <c r="AF109" s="145"/>
      <c r="AG109" s="128"/>
      <c r="AH109" s="128"/>
      <c r="AI109" s="129"/>
      <c r="AJ109" s="130"/>
      <c r="AK109" s="131"/>
      <c r="AL109" s="131"/>
    </row>
    <row r="110" spans="1:38" s="3" customFormat="1" outlineLevel="1" x14ac:dyDescent="0.2">
      <c r="A110" s="53">
        <v>222</v>
      </c>
      <c r="B110" s="132" t="s">
        <v>226</v>
      </c>
      <c r="D110" s="133">
        <v>10</v>
      </c>
      <c r="E110" s="55" t="s">
        <v>216</v>
      </c>
      <c r="F110" s="56"/>
      <c r="G110" s="134"/>
      <c r="H110" s="54">
        <v>1</v>
      </c>
      <c r="I110" s="54">
        <v>33</v>
      </c>
      <c r="J110" s="54"/>
      <c r="K110" s="57">
        <v>10000</v>
      </c>
      <c r="L110" s="54">
        <v>1</v>
      </c>
      <c r="M110" s="58"/>
      <c r="N110" s="135">
        <f>VLOOKUP(A110,Baupläne!$B$2:$X$1019,21,FALSE)</f>
        <v>8800</v>
      </c>
      <c r="O110" s="83"/>
      <c r="P110" s="85"/>
      <c r="Q110" s="83"/>
      <c r="R110" s="136"/>
      <c r="S110" s="83"/>
      <c r="T110" s="137"/>
      <c r="U110" s="138"/>
      <c r="V110" s="131"/>
      <c r="W110" s="139"/>
      <c r="X110" s="140"/>
      <c r="Y110" s="141"/>
      <c r="Z110" s="142"/>
      <c r="AA110" s="143"/>
      <c r="AB110" s="143"/>
      <c r="AC110" s="142"/>
      <c r="AD110" s="142"/>
      <c r="AE110" s="144"/>
      <c r="AF110" s="145"/>
      <c r="AG110" s="128"/>
      <c r="AH110" s="128"/>
      <c r="AI110" s="129"/>
      <c r="AJ110" s="130"/>
      <c r="AK110" s="131"/>
      <c r="AL110" s="131"/>
    </row>
    <row r="111" spans="1:38" s="3" customFormat="1" outlineLevel="1" x14ac:dyDescent="0.2">
      <c r="A111" s="53">
        <v>223</v>
      </c>
      <c r="B111" s="132" t="s">
        <v>227</v>
      </c>
      <c r="D111" s="133">
        <v>10</v>
      </c>
      <c r="E111" s="55" t="s">
        <v>216</v>
      </c>
      <c r="F111" s="56"/>
      <c r="G111" s="134"/>
      <c r="H111" s="54">
        <v>1</v>
      </c>
      <c r="I111" s="54">
        <v>33</v>
      </c>
      <c r="J111" s="54"/>
      <c r="K111" s="57">
        <v>10000</v>
      </c>
      <c r="L111" s="54">
        <v>1</v>
      </c>
      <c r="M111" s="58"/>
      <c r="N111" s="135">
        <f>VLOOKUP(A111,Baupläne!$B$2:$X$1019,21,FALSE)</f>
        <v>12800</v>
      </c>
      <c r="P111" s="85"/>
      <c r="Q111" s="83"/>
      <c r="R111" s="136"/>
      <c r="S111" s="83"/>
      <c r="T111" s="137"/>
      <c r="U111" s="138"/>
      <c r="V111" s="131"/>
      <c r="W111" s="139"/>
      <c r="X111" s="140"/>
      <c r="Y111" s="141"/>
      <c r="Z111" s="142"/>
      <c r="AA111" s="143"/>
      <c r="AB111" s="143"/>
      <c r="AC111" s="142"/>
      <c r="AD111" s="142"/>
      <c r="AE111" s="144"/>
      <c r="AF111" s="145"/>
      <c r="AG111" s="128"/>
      <c r="AH111" s="128"/>
      <c r="AI111" s="129"/>
      <c r="AJ111" s="130"/>
      <c r="AK111" s="131"/>
      <c r="AL111" s="131"/>
    </row>
    <row r="112" spans="1:38" s="3" customFormat="1" outlineLevel="1" x14ac:dyDescent="0.2">
      <c r="A112" s="53">
        <v>224</v>
      </c>
      <c r="B112" s="132" t="s">
        <v>228</v>
      </c>
      <c r="D112" s="133">
        <v>10</v>
      </c>
      <c r="E112" s="55" t="s">
        <v>216</v>
      </c>
      <c r="F112" s="56"/>
      <c r="G112" s="134"/>
      <c r="H112" s="54">
        <v>1</v>
      </c>
      <c r="I112" s="54">
        <v>33</v>
      </c>
      <c r="J112" s="54"/>
      <c r="K112" s="57">
        <v>10000</v>
      </c>
      <c r="L112" s="54">
        <v>1</v>
      </c>
      <c r="M112" s="58"/>
      <c r="N112" s="135">
        <f>VLOOKUP(A112,Baupläne!$B$2:$X$1019,21,FALSE)</f>
        <v>7200</v>
      </c>
      <c r="P112" s="85"/>
      <c r="Q112" s="83"/>
      <c r="R112" s="136"/>
      <c r="S112" s="83"/>
      <c r="T112" s="137"/>
      <c r="U112" s="138"/>
      <c r="V112" s="131"/>
      <c r="W112" s="139"/>
      <c r="X112" s="140"/>
      <c r="Y112" s="141"/>
      <c r="Z112" s="142"/>
      <c r="AA112" s="143"/>
      <c r="AB112" s="143"/>
      <c r="AC112" s="142"/>
      <c r="AD112" s="142"/>
      <c r="AE112" s="144"/>
      <c r="AF112" s="145"/>
      <c r="AG112" s="128"/>
      <c r="AH112" s="128"/>
      <c r="AI112" s="129"/>
      <c r="AJ112" s="130"/>
      <c r="AK112" s="131"/>
      <c r="AL112" s="131"/>
    </row>
    <row r="113" spans="1:38" s="3" customFormat="1" outlineLevel="1" x14ac:dyDescent="0.2">
      <c r="A113" s="104"/>
      <c r="B113" s="106"/>
      <c r="C113" s="117"/>
      <c r="D113" s="107"/>
      <c r="E113" s="108"/>
      <c r="F113" s="109"/>
      <c r="G113" s="110"/>
      <c r="H113" s="111"/>
      <c r="I113" s="111"/>
      <c r="J113" s="111"/>
      <c r="K113" s="112"/>
      <c r="L113" s="111"/>
      <c r="M113" s="113"/>
      <c r="N113" s="114"/>
      <c r="O113" s="115"/>
      <c r="P113" s="116"/>
      <c r="Q113" s="117"/>
      <c r="R113" s="113"/>
      <c r="S113" s="117"/>
      <c r="T113" s="118"/>
      <c r="U113" s="119"/>
      <c r="V113" s="120"/>
      <c r="W113" s="121"/>
      <c r="X113" s="122"/>
      <c r="Y113" s="123"/>
      <c r="Z113" s="124"/>
      <c r="AA113" s="125"/>
      <c r="AB113" s="125"/>
      <c r="AC113" s="124"/>
      <c r="AD113" s="124"/>
      <c r="AE113" s="126"/>
      <c r="AF113" s="127"/>
      <c r="AG113" s="128"/>
      <c r="AH113" s="128"/>
      <c r="AI113" s="129"/>
      <c r="AJ113" s="130"/>
      <c r="AK113" s="131"/>
      <c r="AL113" s="131"/>
    </row>
    <row r="114" spans="1:38" s="3" customFormat="1" outlineLevel="1" x14ac:dyDescent="0.2">
      <c r="A114" s="53">
        <v>231</v>
      </c>
      <c r="B114" s="132" t="s">
        <v>229</v>
      </c>
      <c r="D114" s="133">
        <v>15</v>
      </c>
      <c r="E114" s="55" t="s">
        <v>216</v>
      </c>
      <c r="F114" s="56"/>
      <c r="G114" s="134"/>
      <c r="H114" s="54">
        <v>1</v>
      </c>
      <c r="I114" s="54">
        <v>33</v>
      </c>
      <c r="J114" s="54"/>
      <c r="K114" s="57">
        <v>10000</v>
      </c>
      <c r="L114" s="54">
        <v>1</v>
      </c>
      <c r="M114" s="58"/>
      <c r="N114" s="135">
        <f>VLOOKUP(A114,Baupläne!$B$2:$X$1019,21,FALSE)</f>
        <v>20800</v>
      </c>
      <c r="P114" s="85"/>
      <c r="Q114" s="83"/>
      <c r="R114" s="136"/>
      <c r="S114" s="83"/>
      <c r="T114" s="137"/>
      <c r="U114" s="138"/>
      <c r="V114" s="131"/>
      <c r="W114" s="139"/>
      <c r="X114" s="140"/>
      <c r="Y114" s="141"/>
      <c r="Z114" s="142"/>
      <c r="AA114" s="143"/>
      <c r="AB114" s="143"/>
      <c r="AC114" s="142"/>
      <c r="AD114" s="142"/>
      <c r="AE114" s="144"/>
      <c r="AF114" s="145"/>
      <c r="AG114" s="128"/>
      <c r="AH114" s="128"/>
      <c r="AI114" s="129"/>
      <c r="AJ114" s="130"/>
      <c r="AK114" s="131"/>
      <c r="AL114" s="131"/>
    </row>
    <row r="115" spans="1:38" s="3" customFormat="1" outlineLevel="1" x14ac:dyDescent="0.2">
      <c r="A115" s="53">
        <v>232</v>
      </c>
      <c r="B115" s="132" t="s">
        <v>230</v>
      </c>
      <c r="D115" s="133">
        <v>15</v>
      </c>
      <c r="E115" s="55" t="s">
        <v>216</v>
      </c>
      <c r="F115" s="56"/>
      <c r="G115" s="134"/>
      <c r="H115" s="54">
        <v>1</v>
      </c>
      <c r="I115" s="54">
        <v>33</v>
      </c>
      <c r="J115" s="54"/>
      <c r="K115" s="57">
        <v>10000</v>
      </c>
      <c r="L115" s="54">
        <v>1</v>
      </c>
      <c r="M115" s="58"/>
      <c r="N115" s="135">
        <f>VLOOKUP(A115,Baupläne!$B$2:$X$1019,21,FALSE)</f>
        <v>17600</v>
      </c>
      <c r="O115" s="83"/>
      <c r="P115" s="85"/>
      <c r="Q115" s="83"/>
      <c r="R115" s="136"/>
      <c r="S115" s="83"/>
      <c r="T115" s="137"/>
      <c r="U115" s="138"/>
      <c r="V115" s="131"/>
      <c r="W115" s="139"/>
      <c r="X115" s="140"/>
      <c r="Y115" s="141"/>
      <c r="Z115" s="142"/>
      <c r="AA115" s="143"/>
      <c r="AB115" s="143"/>
      <c r="AC115" s="142"/>
      <c r="AD115" s="142"/>
      <c r="AE115" s="144"/>
      <c r="AF115" s="145"/>
      <c r="AG115" s="128"/>
      <c r="AH115" s="128"/>
      <c r="AI115" s="129"/>
      <c r="AJ115" s="130"/>
      <c r="AK115" s="131"/>
      <c r="AL115" s="131"/>
    </row>
    <row r="116" spans="1:38" s="3" customFormat="1" outlineLevel="1" x14ac:dyDescent="0.2">
      <c r="A116" s="53">
        <v>233</v>
      </c>
      <c r="B116" s="132" t="s">
        <v>231</v>
      </c>
      <c r="D116" s="133">
        <v>15</v>
      </c>
      <c r="E116" s="55" t="s">
        <v>216</v>
      </c>
      <c r="F116" s="56"/>
      <c r="G116" s="134"/>
      <c r="H116" s="54">
        <v>1</v>
      </c>
      <c r="I116" s="54">
        <v>33</v>
      </c>
      <c r="J116" s="54"/>
      <c r="K116" s="57">
        <v>10000</v>
      </c>
      <c r="L116" s="54">
        <v>1</v>
      </c>
      <c r="M116" s="58"/>
      <c r="N116" s="135">
        <f>VLOOKUP(A116,Baupläne!$B$2:$X$1019,21,FALSE)</f>
        <v>25600</v>
      </c>
      <c r="P116" s="85"/>
      <c r="Q116" s="83"/>
      <c r="R116" s="136"/>
      <c r="S116" s="83"/>
      <c r="T116" s="137"/>
      <c r="U116" s="138"/>
      <c r="V116" s="131"/>
      <c r="W116" s="139"/>
      <c r="X116" s="140"/>
      <c r="Y116" s="141"/>
      <c r="Z116" s="142"/>
      <c r="AA116" s="143"/>
      <c r="AB116" s="143"/>
      <c r="AC116" s="142"/>
      <c r="AD116" s="142"/>
      <c r="AE116" s="144"/>
      <c r="AF116" s="145"/>
      <c r="AG116" s="128"/>
      <c r="AH116" s="128"/>
      <c r="AI116" s="129"/>
      <c r="AJ116" s="130"/>
      <c r="AK116" s="131"/>
      <c r="AL116" s="131"/>
    </row>
    <row r="117" spans="1:38" s="3" customFormat="1" outlineLevel="1" x14ac:dyDescent="0.2">
      <c r="A117" s="53">
        <v>234</v>
      </c>
      <c r="B117" s="132" t="s">
        <v>232</v>
      </c>
      <c r="D117" s="133">
        <v>15</v>
      </c>
      <c r="E117" s="55" t="s">
        <v>216</v>
      </c>
      <c r="F117" s="56"/>
      <c r="G117" s="134"/>
      <c r="H117" s="54">
        <v>1</v>
      </c>
      <c r="I117" s="54">
        <v>33</v>
      </c>
      <c r="J117" s="54"/>
      <c r="K117" s="57">
        <v>10000</v>
      </c>
      <c r="L117" s="54">
        <v>1</v>
      </c>
      <c r="M117" s="58"/>
      <c r="N117" s="135">
        <f>VLOOKUP(A117,Baupläne!$B$2:$X$1019,21,FALSE)</f>
        <v>14400</v>
      </c>
      <c r="P117" s="85"/>
      <c r="Q117" s="83"/>
      <c r="R117" s="136"/>
      <c r="S117" s="83"/>
      <c r="T117" s="137"/>
      <c r="U117" s="138"/>
      <c r="V117" s="131"/>
      <c r="W117" s="139"/>
      <c r="X117" s="140"/>
      <c r="Y117" s="141"/>
      <c r="Z117" s="142"/>
      <c r="AA117" s="143"/>
      <c r="AB117" s="143"/>
      <c r="AC117" s="142"/>
      <c r="AD117" s="142"/>
      <c r="AE117" s="144"/>
      <c r="AF117" s="145"/>
      <c r="AG117" s="128"/>
      <c r="AH117" s="128"/>
      <c r="AI117" s="129"/>
      <c r="AJ117" s="130"/>
      <c r="AK117" s="131"/>
      <c r="AL117" s="131"/>
    </row>
    <row r="118" spans="1:38" s="3" customFormat="1" outlineLevel="1" x14ac:dyDescent="0.2">
      <c r="A118" s="104"/>
      <c r="B118" s="106"/>
      <c r="C118" s="117"/>
      <c r="D118" s="107"/>
      <c r="E118" s="108"/>
      <c r="F118" s="109"/>
      <c r="G118" s="110"/>
      <c r="H118" s="111"/>
      <c r="I118" s="111"/>
      <c r="J118" s="111"/>
      <c r="K118" s="112"/>
      <c r="L118" s="111"/>
      <c r="M118" s="113"/>
      <c r="N118" s="114"/>
      <c r="O118" s="115"/>
      <c r="P118" s="116"/>
      <c r="Q118" s="117"/>
      <c r="R118" s="113"/>
      <c r="S118" s="117"/>
      <c r="T118" s="118"/>
      <c r="U118" s="119"/>
      <c r="V118" s="120"/>
      <c r="W118" s="121"/>
      <c r="X118" s="122"/>
      <c r="Y118" s="123"/>
      <c r="Z118" s="124"/>
      <c r="AA118" s="125"/>
      <c r="AB118" s="125"/>
      <c r="AC118" s="124"/>
      <c r="AD118" s="124"/>
      <c r="AE118" s="126"/>
      <c r="AF118" s="127"/>
      <c r="AG118" s="128"/>
      <c r="AH118" s="128"/>
      <c r="AI118" s="129"/>
      <c r="AJ118" s="130"/>
      <c r="AK118" s="131"/>
      <c r="AL118" s="131"/>
    </row>
    <row r="119" spans="1:38" s="3" customFormat="1" outlineLevel="1" x14ac:dyDescent="0.2">
      <c r="A119" s="53">
        <v>241</v>
      </c>
      <c r="B119" s="132" t="s">
        <v>233</v>
      </c>
      <c r="D119" s="133">
        <v>20</v>
      </c>
      <c r="E119" s="55" t="s">
        <v>216</v>
      </c>
      <c r="F119" s="56"/>
      <c r="G119" s="134"/>
      <c r="H119" s="54">
        <v>1</v>
      </c>
      <c r="I119" s="54">
        <v>33</v>
      </c>
      <c r="J119" s="54"/>
      <c r="K119" s="57">
        <v>10000</v>
      </c>
      <c r="L119" s="54">
        <v>1</v>
      </c>
      <c r="M119" s="58"/>
      <c r="N119" s="135">
        <f>VLOOKUP(A119,Baupläne!$B$2:$X$1019,21,FALSE)</f>
        <v>41600</v>
      </c>
      <c r="P119" s="85"/>
      <c r="Q119" s="83"/>
      <c r="R119" s="136"/>
      <c r="S119" s="83"/>
      <c r="T119" s="137"/>
      <c r="U119" s="138"/>
      <c r="V119" s="131"/>
      <c r="W119" s="139"/>
      <c r="X119" s="140"/>
      <c r="Y119" s="141"/>
      <c r="Z119" s="142"/>
      <c r="AA119" s="143"/>
      <c r="AB119" s="143"/>
      <c r="AC119" s="142"/>
      <c r="AD119" s="142"/>
      <c r="AE119" s="144"/>
      <c r="AF119" s="145"/>
      <c r="AG119" s="128"/>
      <c r="AH119" s="128"/>
      <c r="AI119" s="129"/>
      <c r="AJ119" s="130"/>
      <c r="AK119" s="131"/>
      <c r="AL119" s="131"/>
    </row>
    <row r="120" spans="1:38" s="3" customFormat="1" outlineLevel="1" x14ac:dyDescent="0.2">
      <c r="A120" s="53">
        <v>242</v>
      </c>
      <c r="B120" s="132" t="s">
        <v>234</v>
      </c>
      <c r="D120" s="133">
        <v>20</v>
      </c>
      <c r="E120" s="55" t="s">
        <v>216</v>
      </c>
      <c r="F120" s="56"/>
      <c r="G120" s="134"/>
      <c r="H120" s="54">
        <v>1</v>
      </c>
      <c r="I120" s="54">
        <v>33</v>
      </c>
      <c r="J120" s="54"/>
      <c r="K120" s="57">
        <v>10000</v>
      </c>
      <c r="L120" s="54">
        <v>1</v>
      </c>
      <c r="M120" s="58"/>
      <c r="N120" s="135">
        <f>VLOOKUP(A120,Baupläne!$B$2:$X$1019,21,FALSE)</f>
        <v>35200</v>
      </c>
      <c r="O120" s="83"/>
      <c r="P120" s="85"/>
      <c r="Q120" s="83"/>
      <c r="R120" s="136"/>
      <c r="S120" s="83"/>
      <c r="T120" s="137"/>
      <c r="U120" s="138"/>
      <c r="V120" s="131"/>
      <c r="W120" s="139"/>
      <c r="X120" s="140"/>
      <c r="Y120" s="141"/>
      <c r="Z120" s="142"/>
      <c r="AA120" s="143"/>
      <c r="AB120" s="143"/>
      <c r="AC120" s="142"/>
      <c r="AD120" s="142"/>
      <c r="AE120" s="144"/>
      <c r="AF120" s="145"/>
      <c r="AG120" s="128"/>
      <c r="AH120" s="128"/>
      <c r="AI120" s="129"/>
      <c r="AJ120" s="130"/>
      <c r="AK120" s="131"/>
      <c r="AL120" s="131"/>
    </row>
    <row r="121" spans="1:38" s="3" customFormat="1" outlineLevel="1" x14ac:dyDescent="0.2">
      <c r="A121" s="53">
        <v>243</v>
      </c>
      <c r="B121" s="132" t="s">
        <v>235</v>
      </c>
      <c r="D121" s="133">
        <v>20</v>
      </c>
      <c r="E121" s="55" t="s">
        <v>216</v>
      </c>
      <c r="F121" s="56"/>
      <c r="G121" s="134"/>
      <c r="H121" s="54">
        <v>1</v>
      </c>
      <c r="I121" s="54">
        <v>33</v>
      </c>
      <c r="J121" s="54"/>
      <c r="K121" s="57">
        <v>10000</v>
      </c>
      <c r="L121" s="54">
        <v>1</v>
      </c>
      <c r="M121" s="58"/>
      <c r="N121" s="135">
        <f>VLOOKUP(A121,Baupläne!$B$2:$X$1019,21,FALSE)</f>
        <v>51200</v>
      </c>
      <c r="P121" s="85"/>
      <c r="Q121" s="83"/>
      <c r="R121" s="136"/>
      <c r="S121" s="83"/>
      <c r="T121" s="137"/>
      <c r="U121" s="138"/>
      <c r="V121" s="131"/>
      <c r="W121" s="139"/>
      <c r="X121" s="140"/>
      <c r="Y121" s="141"/>
      <c r="Z121" s="142"/>
      <c r="AA121" s="143"/>
      <c r="AB121" s="143"/>
      <c r="AC121" s="142"/>
      <c r="AD121" s="142"/>
      <c r="AE121" s="144"/>
      <c r="AF121" s="145"/>
      <c r="AG121" s="128"/>
      <c r="AH121" s="128"/>
      <c r="AI121" s="129"/>
      <c r="AJ121" s="130"/>
      <c r="AK121" s="131"/>
      <c r="AL121" s="131"/>
    </row>
    <row r="122" spans="1:38" s="3" customFormat="1" outlineLevel="1" x14ac:dyDescent="0.2">
      <c r="A122" s="53">
        <v>244</v>
      </c>
      <c r="B122" s="132" t="s">
        <v>236</v>
      </c>
      <c r="D122" s="133">
        <v>20</v>
      </c>
      <c r="E122" s="55" t="s">
        <v>216</v>
      </c>
      <c r="F122" s="56"/>
      <c r="G122" s="134"/>
      <c r="H122" s="54">
        <v>1</v>
      </c>
      <c r="I122" s="54">
        <v>33</v>
      </c>
      <c r="J122" s="54"/>
      <c r="K122" s="57">
        <v>10000</v>
      </c>
      <c r="L122" s="54">
        <v>1</v>
      </c>
      <c r="M122" s="58"/>
      <c r="N122" s="135">
        <f>VLOOKUP(A122,Baupläne!$B$2:$X$1019,21,FALSE)</f>
        <v>28800</v>
      </c>
      <c r="P122" s="85"/>
      <c r="Q122" s="83"/>
      <c r="R122" s="136"/>
      <c r="S122" s="83"/>
      <c r="T122" s="137"/>
      <c r="U122" s="138"/>
      <c r="V122" s="131"/>
      <c r="W122" s="139"/>
      <c r="X122" s="140"/>
      <c r="Y122" s="141"/>
      <c r="Z122" s="142"/>
      <c r="AA122" s="143"/>
      <c r="AB122" s="143"/>
      <c r="AC122" s="142"/>
      <c r="AD122" s="142"/>
      <c r="AE122" s="144"/>
      <c r="AF122" s="145"/>
      <c r="AG122" s="128"/>
      <c r="AH122" s="128"/>
      <c r="AI122" s="129"/>
      <c r="AJ122" s="130"/>
      <c r="AK122" s="131"/>
      <c r="AL122" s="131"/>
    </row>
    <row r="123" spans="1:38" s="3" customFormat="1" outlineLevel="1" x14ac:dyDescent="0.2">
      <c r="A123" s="146"/>
      <c r="B123" s="147" t="s">
        <v>0</v>
      </c>
      <c r="C123" s="148"/>
      <c r="D123" s="149"/>
      <c r="E123" s="150"/>
      <c r="F123" s="151"/>
      <c r="G123" s="152"/>
      <c r="H123" s="149"/>
      <c r="I123" s="149"/>
      <c r="J123" s="149"/>
      <c r="K123" s="153"/>
      <c r="L123" s="149"/>
      <c r="M123" s="154"/>
      <c r="N123" s="155"/>
      <c r="O123" s="148"/>
      <c r="P123" s="149"/>
      <c r="Q123" s="148"/>
      <c r="R123" s="154"/>
      <c r="S123" s="148"/>
      <c r="T123" s="156"/>
      <c r="U123" s="157"/>
      <c r="V123" s="158"/>
      <c r="W123" s="159"/>
      <c r="X123" s="160"/>
      <c r="Y123" s="161"/>
      <c r="Z123" s="148"/>
      <c r="AA123" s="162"/>
      <c r="AB123" s="162"/>
      <c r="AC123" s="148"/>
      <c r="AD123" s="148"/>
      <c r="AE123" s="163"/>
      <c r="AF123" s="164"/>
      <c r="AG123" s="165"/>
      <c r="AH123" s="165"/>
      <c r="AI123" s="166"/>
      <c r="AJ123" s="167"/>
      <c r="AK123" s="168"/>
      <c r="AL123" s="168"/>
    </row>
    <row r="124" spans="1:38" s="177" customFormat="1" outlineLevel="1" x14ac:dyDescent="0.2">
      <c r="A124" s="169">
        <v>301</v>
      </c>
      <c r="B124" s="170" t="s">
        <v>237</v>
      </c>
      <c r="C124" s="170"/>
      <c r="D124" s="171">
        <v>0</v>
      </c>
      <c r="E124" s="172" t="s">
        <v>0</v>
      </c>
      <c r="F124" s="56"/>
      <c r="G124" s="173"/>
      <c r="H124" s="171">
        <v>2</v>
      </c>
      <c r="I124" s="171">
        <v>34</v>
      </c>
      <c r="J124" s="171"/>
      <c r="K124" s="174">
        <v>100</v>
      </c>
      <c r="L124" s="171">
        <v>1</v>
      </c>
      <c r="M124" s="175"/>
      <c r="N124" s="176">
        <v>500</v>
      </c>
      <c r="P124" s="178"/>
      <c r="R124" s="179"/>
      <c r="T124" s="180"/>
      <c r="U124" s="181"/>
      <c r="V124" s="182"/>
      <c r="W124" s="183"/>
      <c r="X124" s="184"/>
      <c r="Y124" s="185"/>
      <c r="AA124" s="186"/>
      <c r="AB124" s="186"/>
      <c r="AE124" s="187"/>
      <c r="AF124" s="188"/>
      <c r="AG124" s="189"/>
      <c r="AH124" s="189"/>
      <c r="AI124" s="190"/>
      <c r="AJ124" s="191"/>
      <c r="AK124" s="182"/>
      <c r="AL124" s="182"/>
    </row>
    <row r="125" spans="1:38" s="177" customFormat="1" outlineLevel="1" x14ac:dyDescent="0.2">
      <c r="A125" s="169">
        <v>302</v>
      </c>
      <c r="B125" s="170" t="s">
        <v>238</v>
      </c>
      <c r="C125" s="170"/>
      <c r="D125" s="171">
        <v>5</v>
      </c>
      <c r="E125" s="172" t="s">
        <v>0</v>
      </c>
      <c r="F125" s="56"/>
      <c r="G125" s="173"/>
      <c r="H125" s="171">
        <v>2</v>
      </c>
      <c r="I125" s="171">
        <v>34</v>
      </c>
      <c r="J125" s="171"/>
      <c r="K125" s="174">
        <v>100</v>
      </c>
      <c r="L125" s="171">
        <v>1</v>
      </c>
      <c r="M125" s="175"/>
      <c r="N125" s="176">
        <v>1000</v>
      </c>
      <c r="P125" s="178"/>
      <c r="R125" s="179"/>
      <c r="T125" s="180"/>
      <c r="U125" s="181"/>
      <c r="V125" s="182"/>
      <c r="W125" s="183"/>
      <c r="X125" s="184"/>
      <c r="Y125" s="185"/>
      <c r="AA125" s="186"/>
      <c r="AB125" s="186"/>
      <c r="AE125" s="187"/>
      <c r="AF125" s="188"/>
      <c r="AG125" s="189"/>
      <c r="AH125" s="189"/>
      <c r="AI125" s="190"/>
      <c r="AJ125" s="191"/>
      <c r="AK125" s="182"/>
      <c r="AL125" s="182"/>
    </row>
    <row r="126" spans="1:38" s="177" customFormat="1" outlineLevel="1" x14ac:dyDescent="0.2">
      <c r="A126" s="169">
        <v>303</v>
      </c>
      <c r="B126" s="170" t="s">
        <v>50</v>
      </c>
      <c r="C126" s="170"/>
      <c r="D126" s="171">
        <v>10</v>
      </c>
      <c r="E126" s="172" t="s">
        <v>0</v>
      </c>
      <c r="F126" s="56"/>
      <c r="G126" s="173"/>
      <c r="H126" s="171">
        <v>2</v>
      </c>
      <c r="I126" s="171">
        <v>34</v>
      </c>
      <c r="J126" s="171"/>
      <c r="K126" s="174">
        <v>100</v>
      </c>
      <c r="L126" s="171">
        <v>1</v>
      </c>
      <c r="M126" s="175"/>
      <c r="N126" s="176">
        <v>2000</v>
      </c>
      <c r="P126" s="178"/>
      <c r="R126" s="179"/>
      <c r="T126" s="180"/>
      <c r="U126" s="181"/>
      <c r="V126" s="182"/>
      <c r="W126" s="183"/>
      <c r="X126" s="184"/>
      <c r="Y126" s="185"/>
      <c r="AA126" s="186"/>
      <c r="AB126" s="186"/>
      <c r="AE126" s="187"/>
      <c r="AF126" s="188"/>
      <c r="AG126" s="189"/>
      <c r="AH126" s="189"/>
      <c r="AI126" s="190"/>
      <c r="AJ126" s="191"/>
      <c r="AK126" s="182"/>
      <c r="AL126" s="182"/>
    </row>
    <row r="127" spans="1:38" s="177" customFormat="1" outlineLevel="1" x14ac:dyDescent="0.2">
      <c r="A127" s="169">
        <v>304</v>
      </c>
      <c r="B127" s="170" t="s">
        <v>44</v>
      </c>
      <c r="C127" s="170"/>
      <c r="D127" s="171">
        <v>15</v>
      </c>
      <c r="E127" s="172" t="s">
        <v>0</v>
      </c>
      <c r="F127" s="56"/>
      <c r="G127" s="173"/>
      <c r="H127" s="171">
        <v>2</v>
      </c>
      <c r="I127" s="171">
        <v>34</v>
      </c>
      <c r="J127" s="171"/>
      <c r="K127" s="174">
        <v>100</v>
      </c>
      <c r="L127" s="171">
        <v>1</v>
      </c>
      <c r="M127" s="175"/>
      <c r="N127" s="176">
        <v>3500</v>
      </c>
      <c r="P127" s="178"/>
      <c r="R127" s="179"/>
      <c r="T127" s="180"/>
      <c r="U127" s="181"/>
      <c r="V127" s="182"/>
      <c r="W127" s="183"/>
      <c r="X127" s="184"/>
      <c r="Y127" s="185"/>
      <c r="AA127" s="186"/>
      <c r="AB127" s="186"/>
      <c r="AE127" s="187"/>
      <c r="AF127" s="188"/>
      <c r="AG127" s="189"/>
      <c r="AH127" s="189"/>
      <c r="AI127" s="190"/>
      <c r="AJ127" s="191"/>
      <c r="AK127" s="182"/>
      <c r="AL127" s="182"/>
    </row>
    <row r="128" spans="1:38" s="177" customFormat="1" outlineLevel="1" x14ac:dyDescent="0.2">
      <c r="A128" s="169">
        <v>305</v>
      </c>
      <c r="B128" s="170" t="s">
        <v>36</v>
      </c>
      <c r="C128" s="170"/>
      <c r="D128" s="171">
        <v>20</v>
      </c>
      <c r="E128" s="172" t="s">
        <v>0</v>
      </c>
      <c r="F128" s="56"/>
      <c r="G128" s="173"/>
      <c r="H128" s="171">
        <v>2</v>
      </c>
      <c r="I128" s="171">
        <v>34</v>
      </c>
      <c r="J128" s="171"/>
      <c r="K128" s="174">
        <v>100</v>
      </c>
      <c r="L128" s="171">
        <v>1</v>
      </c>
      <c r="M128" s="175"/>
      <c r="N128" s="176">
        <v>5000</v>
      </c>
      <c r="P128" s="178"/>
      <c r="R128" s="179"/>
      <c r="T128" s="180"/>
      <c r="U128" s="181"/>
      <c r="V128" s="182"/>
      <c r="W128" s="183"/>
      <c r="X128" s="184"/>
      <c r="Y128" s="185"/>
      <c r="AA128" s="186"/>
      <c r="AB128" s="186"/>
      <c r="AE128" s="187"/>
      <c r="AF128" s="188"/>
      <c r="AG128" s="189"/>
      <c r="AH128" s="189"/>
      <c r="AI128" s="190"/>
      <c r="AJ128" s="191"/>
      <c r="AK128" s="182"/>
      <c r="AL128" s="182"/>
    </row>
    <row r="129" spans="1:38" s="177" customFormat="1" outlineLevel="1" x14ac:dyDescent="0.2">
      <c r="A129" s="169">
        <v>306</v>
      </c>
      <c r="B129" s="170" t="s">
        <v>239</v>
      </c>
      <c r="C129" s="170"/>
      <c r="D129" s="171">
        <v>0</v>
      </c>
      <c r="E129" s="172" t="s">
        <v>0</v>
      </c>
      <c r="F129" s="56"/>
      <c r="G129" s="173"/>
      <c r="H129" s="171">
        <v>2</v>
      </c>
      <c r="I129" s="171">
        <v>34</v>
      </c>
      <c r="J129" s="171"/>
      <c r="K129" s="174">
        <v>100</v>
      </c>
      <c r="L129" s="171">
        <v>1</v>
      </c>
      <c r="M129" s="175"/>
      <c r="N129" s="176">
        <v>500</v>
      </c>
      <c r="P129" s="178"/>
      <c r="R129" s="179"/>
      <c r="T129" s="180"/>
      <c r="U129" s="181"/>
      <c r="V129" s="182"/>
      <c r="W129" s="183"/>
      <c r="X129" s="184"/>
      <c r="Y129" s="185"/>
      <c r="AA129" s="186"/>
      <c r="AB129" s="186"/>
      <c r="AE129" s="187"/>
      <c r="AF129" s="188"/>
      <c r="AG129" s="189"/>
      <c r="AH129" s="189"/>
      <c r="AI129" s="190"/>
      <c r="AJ129" s="191"/>
      <c r="AK129" s="182"/>
      <c r="AL129" s="182"/>
    </row>
    <row r="130" spans="1:38" s="177" customFormat="1" outlineLevel="1" x14ac:dyDescent="0.2">
      <c r="A130" s="169">
        <v>307</v>
      </c>
      <c r="B130" s="170" t="s">
        <v>240</v>
      </c>
      <c r="C130" s="170"/>
      <c r="D130" s="171">
        <v>5</v>
      </c>
      <c r="E130" s="172" t="s">
        <v>0</v>
      </c>
      <c r="F130" s="56"/>
      <c r="G130" s="173"/>
      <c r="H130" s="171">
        <v>2</v>
      </c>
      <c r="I130" s="171">
        <v>34</v>
      </c>
      <c r="J130" s="171"/>
      <c r="K130" s="174">
        <v>100</v>
      </c>
      <c r="L130" s="171">
        <v>1</v>
      </c>
      <c r="M130" s="175"/>
      <c r="N130" s="176">
        <v>1000</v>
      </c>
      <c r="P130" s="178"/>
      <c r="R130" s="179"/>
      <c r="T130" s="180"/>
      <c r="U130" s="181"/>
      <c r="V130" s="182"/>
      <c r="W130" s="183"/>
      <c r="X130" s="184"/>
      <c r="Y130" s="185"/>
      <c r="AA130" s="186"/>
      <c r="AB130" s="186"/>
      <c r="AE130" s="187"/>
      <c r="AF130" s="188"/>
      <c r="AG130" s="189"/>
      <c r="AH130" s="189"/>
      <c r="AI130" s="190"/>
      <c r="AJ130" s="191"/>
      <c r="AK130" s="182"/>
      <c r="AL130" s="182"/>
    </row>
    <row r="131" spans="1:38" s="177" customFormat="1" outlineLevel="1" x14ac:dyDescent="0.2">
      <c r="A131" s="169">
        <v>308</v>
      </c>
      <c r="B131" s="170" t="s">
        <v>241</v>
      </c>
      <c r="C131" s="170"/>
      <c r="D131" s="171">
        <v>10</v>
      </c>
      <c r="E131" s="172" t="s">
        <v>0</v>
      </c>
      <c r="F131" s="56"/>
      <c r="G131" s="173"/>
      <c r="H131" s="171">
        <v>2</v>
      </c>
      <c r="I131" s="171">
        <v>34</v>
      </c>
      <c r="J131" s="171"/>
      <c r="K131" s="174">
        <v>100</v>
      </c>
      <c r="L131" s="171">
        <v>1</v>
      </c>
      <c r="M131" s="175"/>
      <c r="N131" s="176">
        <v>2000</v>
      </c>
      <c r="P131" s="178"/>
      <c r="R131" s="179"/>
      <c r="T131" s="180"/>
      <c r="U131" s="181"/>
      <c r="V131" s="182"/>
      <c r="W131" s="183"/>
      <c r="X131" s="184"/>
      <c r="Y131" s="185"/>
      <c r="AA131" s="186"/>
      <c r="AB131" s="186"/>
      <c r="AE131" s="187"/>
      <c r="AF131" s="188"/>
      <c r="AG131" s="189"/>
      <c r="AH131" s="189"/>
      <c r="AI131" s="190"/>
      <c r="AJ131" s="191"/>
      <c r="AK131" s="182"/>
      <c r="AL131" s="182"/>
    </row>
    <row r="132" spans="1:38" s="177" customFormat="1" outlineLevel="1" x14ac:dyDescent="0.2">
      <c r="A132" s="169">
        <v>309</v>
      </c>
      <c r="B132" s="170" t="s">
        <v>242</v>
      </c>
      <c r="C132" s="170"/>
      <c r="D132" s="171">
        <v>15</v>
      </c>
      <c r="E132" s="172" t="s">
        <v>0</v>
      </c>
      <c r="F132" s="56"/>
      <c r="G132" s="173"/>
      <c r="H132" s="171">
        <v>2</v>
      </c>
      <c r="I132" s="171">
        <v>34</v>
      </c>
      <c r="J132" s="171"/>
      <c r="K132" s="174">
        <v>100</v>
      </c>
      <c r="L132" s="171">
        <v>1</v>
      </c>
      <c r="M132" s="175"/>
      <c r="N132" s="176">
        <v>3500</v>
      </c>
      <c r="P132" s="178"/>
      <c r="R132" s="179"/>
      <c r="T132" s="180"/>
      <c r="U132" s="181"/>
      <c r="V132" s="182"/>
      <c r="W132" s="183"/>
      <c r="X132" s="184"/>
      <c r="Y132" s="185"/>
      <c r="AA132" s="186"/>
      <c r="AB132" s="186"/>
      <c r="AE132" s="187"/>
      <c r="AF132" s="188"/>
      <c r="AG132" s="189"/>
      <c r="AH132" s="189"/>
      <c r="AI132" s="190"/>
      <c r="AJ132" s="191"/>
      <c r="AK132" s="182"/>
      <c r="AL132" s="182"/>
    </row>
    <row r="133" spans="1:38" s="177" customFormat="1" outlineLevel="1" x14ac:dyDescent="0.2">
      <c r="A133" s="169">
        <v>310</v>
      </c>
      <c r="B133" s="170" t="s">
        <v>243</v>
      </c>
      <c r="C133" s="170"/>
      <c r="D133" s="171">
        <v>20</v>
      </c>
      <c r="E133" s="172" t="s">
        <v>0</v>
      </c>
      <c r="F133" s="56"/>
      <c r="G133" s="173"/>
      <c r="H133" s="171">
        <v>2</v>
      </c>
      <c r="I133" s="171">
        <v>34</v>
      </c>
      <c r="J133" s="171"/>
      <c r="K133" s="174">
        <v>100</v>
      </c>
      <c r="L133" s="171">
        <v>1</v>
      </c>
      <c r="M133" s="175"/>
      <c r="N133" s="176">
        <v>5000</v>
      </c>
      <c r="P133" s="178"/>
      <c r="R133" s="179"/>
      <c r="T133" s="180"/>
      <c r="U133" s="181"/>
      <c r="V133" s="182"/>
      <c r="W133" s="183"/>
      <c r="X133" s="184"/>
      <c r="Y133" s="185"/>
      <c r="AA133" s="186"/>
      <c r="AB133" s="186"/>
      <c r="AE133" s="187"/>
      <c r="AF133" s="188"/>
      <c r="AG133" s="189"/>
      <c r="AH133" s="189"/>
      <c r="AI133" s="190"/>
      <c r="AJ133" s="191"/>
      <c r="AK133" s="182"/>
      <c r="AL133" s="182"/>
    </row>
    <row r="134" spans="1:38" s="177" customFormat="1" outlineLevel="1" x14ac:dyDescent="0.2">
      <c r="A134" s="169">
        <v>311</v>
      </c>
      <c r="B134" s="170" t="s">
        <v>244</v>
      </c>
      <c r="C134" s="170"/>
      <c r="D134" s="171">
        <v>0</v>
      </c>
      <c r="E134" s="172" t="s">
        <v>0</v>
      </c>
      <c r="F134" s="56"/>
      <c r="G134" s="173"/>
      <c r="H134" s="171">
        <v>2</v>
      </c>
      <c r="I134" s="171">
        <v>34</v>
      </c>
      <c r="J134" s="171"/>
      <c r="K134" s="174">
        <v>100</v>
      </c>
      <c r="L134" s="171">
        <v>1</v>
      </c>
      <c r="M134" s="175"/>
      <c r="N134" s="176">
        <v>500</v>
      </c>
      <c r="P134" s="178"/>
      <c r="R134" s="179"/>
      <c r="T134" s="180"/>
      <c r="U134" s="181"/>
      <c r="V134" s="182"/>
      <c r="W134" s="183"/>
      <c r="X134" s="184"/>
      <c r="Y134" s="185"/>
      <c r="AA134" s="186"/>
      <c r="AB134" s="186"/>
      <c r="AE134" s="187"/>
      <c r="AF134" s="188"/>
      <c r="AG134" s="189"/>
      <c r="AH134" s="189"/>
      <c r="AI134" s="190"/>
      <c r="AJ134" s="191"/>
      <c r="AK134" s="182"/>
      <c r="AL134" s="182"/>
    </row>
    <row r="135" spans="1:38" s="177" customFormat="1" outlineLevel="1" x14ac:dyDescent="0.2">
      <c r="A135" s="169">
        <v>312</v>
      </c>
      <c r="B135" s="170" t="s">
        <v>245</v>
      </c>
      <c r="C135" s="170"/>
      <c r="D135" s="171">
        <v>5</v>
      </c>
      <c r="E135" s="172" t="s">
        <v>0</v>
      </c>
      <c r="F135" s="56"/>
      <c r="G135" s="173"/>
      <c r="H135" s="171">
        <v>2</v>
      </c>
      <c r="I135" s="171">
        <v>34</v>
      </c>
      <c r="J135" s="171"/>
      <c r="K135" s="174">
        <v>100</v>
      </c>
      <c r="L135" s="171">
        <v>1</v>
      </c>
      <c r="M135" s="175"/>
      <c r="N135" s="176">
        <v>1000</v>
      </c>
      <c r="P135" s="178"/>
      <c r="R135" s="179"/>
      <c r="T135" s="180"/>
      <c r="U135" s="181"/>
      <c r="V135" s="182"/>
      <c r="W135" s="183"/>
      <c r="X135" s="184"/>
      <c r="Y135" s="185"/>
      <c r="AA135" s="186"/>
      <c r="AB135" s="186"/>
      <c r="AE135" s="187"/>
      <c r="AF135" s="188"/>
      <c r="AG135" s="189"/>
      <c r="AH135" s="189"/>
      <c r="AI135" s="190"/>
      <c r="AJ135" s="191"/>
      <c r="AK135" s="182"/>
      <c r="AL135" s="182"/>
    </row>
    <row r="136" spans="1:38" s="177" customFormat="1" outlineLevel="1" x14ac:dyDescent="0.2">
      <c r="A136" s="169">
        <v>313</v>
      </c>
      <c r="B136" s="170" t="s">
        <v>246</v>
      </c>
      <c r="C136" s="170"/>
      <c r="D136" s="171">
        <v>10</v>
      </c>
      <c r="E136" s="172" t="s">
        <v>0</v>
      </c>
      <c r="F136" s="56"/>
      <c r="G136" s="173"/>
      <c r="H136" s="171">
        <v>2</v>
      </c>
      <c r="I136" s="171">
        <v>34</v>
      </c>
      <c r="J136" s="171"/>
      <c r="K136" s="174">
        <v>100</v>
      </c>
      <c r="L136" s="171">
        <v>1</v>
      </c>
      <c r="M136" s="175"/>
      <c r="N136" s="176">
        <v>2000</v>
      </c>
      <c r="P136" s="178"/>
      <c r="R136" s="179"/>
      <c r="T136" s="180"/>
      <c r="U136" s="181"/>
      <c r="V136" s="182"/>
      <c r="W136" s="183"/>
      <c r="X136" s="184"/>
      <c r="Y136" s="185"/>
      <c r="AA136" s="186"/>
      <c r="AB136" s="186"/>
      <c r="AE136" s="187"/>
      <c r="AF136" s="188"/>
      <c r="AG136" s="189"/>
      <c r="AH136" s="189"/>
      <c r="AI136" s="190"/>
      <c r="AJ136" s="191"/>
      <c r="AK136" s="182"/>
      <c r="AL136" s="182"/>
    </row>
    <row r="137" spans="1:38" s="177" customFormat="1" outlineLevel="1" x14ac:dyDescent="0.2">
      <c r="A137" s="169">
        <v>314</v>
      </c>
      <c r="B137" s="170" t="s">
        <v>247</v>
      </c>
      <c r="C137" s="170"/>
      <c r="D137" s="171">
        <v>15</v>
      </c>
      <c r="E137" s="172" t="s">
        <v>0</v>
      </c>
      <c r="F137" s="56"/>
      <c r="G137" s="173"/>
      <c r="H137" s="171">
        <v>2</v>
      </c>
      <c r="I137" s="171">
        <v>34</v>
      </c>
      <c r="J137" s="171"/>
      <c r="K137" s="174">
        <v>100</v>
      </c>
      <c r="L137" s="171">
        <v>1</v>
      </c>
      <c r="M137" s="175"/>
      <c r="N137" s="176">
        <v>3500</v>
      </c>
      <c r="P137" s="178"/>
      <c r="R137" s="179"/>
      <c r="T137" s="180"/>
      <c r="U137" s="181"/>
      <c r="V137" s="182"/>
      <c r="W137" s="183"/>
      <c r="X137" s="184"/>
      <c r="Y137" s="185"/>
      <c r="AA137" s="186"/>
      <c r="AB137" s="186"/>
      <c r="AE137" s="187"/>
      <c r="AF137" s="188"/>
      <c r="AG137" s="189"/>
      <c r="AH137" s="189"/>
      <c r="AI137" s="190"/>
      <c r="AJ137" s="191"/>
      <c r="AK137" s="182"/>
      <c r="AL137" s="182"/>
    </row>
    <row r="138" spans="1:38" s="177" customFormat="1" outlineLevel="1" x14ac:dyDescent="0.2">
      <c r="A138" s="169">
        <v>315</v>
      </c>
      <c r="B138" s="170" t="s">
        <v>248</v>
      </c>
      <c r="C138" s="170"/>
      <c r="D138" s="171">
        <v>20</v>
      </c>
      <c r="E138" s="172" t="s">
        <v>0</v>
      </c>
      <c r="F138" s="56"/>
      <c r="G138" s="173"/>
      <c r="H138" s="171">
        <v>2</v>
      </c>
      <c r="I138" s="171">
        <v>34</v>
      </c>
      <c r="J138" s="171"/>
      <c r="K138" s="174">
        <v>100</v>
      </c>
      <c r="L138" s="171">
        <v>1</v>
      </c>
      <c r="M138" s="175"/>
      <c r="N138" s="176">
        <v>5000</v>
      </c>
      <c r="P138" s="178"/>
      <c r="R138" s="179"/>
      <c r="T138" s="180"/>
      <c r="U138" s="181"/>
      <c r="V138" s="182"/>
      <c r="W138" s="183"/>
      <c r="X138" s="184"/>
      <c r="Y138" s="185"/>
      <c r="AA138" s="186"/>
      <c r="AB138" s="186"/>
      <c r="AE138" s="187"/>
      <c r="AF138" s="188"/>
      <c r="AG138" s="189"/>
      <c r="AH138" s="189"/>
      <c r="AI138" s="190"/>
      <c r="AJ138" s="191"/>
      <c r="AK138" s="182"/>
      <c r="AL138" s="182"/>
    </row>
    <row r="139" spans="1:38" s="829" customFormat="1" x14ac:dyDescent="0.2">
      <c r="A139" s="813"/>
      <c r="B139" s="814" t="s">
        <v>1307</v>
      </c>
      <c r="C139" s="815"/>
      <c r="D139" s="815"/>
      <c r="E139" s="816"/>
      <c r="F139" s="817"/>
      <c r="G139" s="815"/>
      <c r="H139" s="818"/>
      <c r="I139" s="818"/>
      <c r="J139" s="815"/>
      <c r="K139" s="819"/>
      <c r="L139" s="818"/>
      <c r="M139" s="820"/>
      <c r="N139" s="821"/>
      <c r="O139" s="815"/>
      <c r="P139" s="815"/>
      <c r="Q139" s="815"/>
      <c r="R139" s="822"/>
      <c r="S139" s="815"/>
      <c r="T139" s="823"/>
      <c r="U139" s="815"/>
      <c r="V139" s="824"/>
      <c r="W139" s="825"/>
      <c r="X139" s="826"/>
      <c r="Y139" s="827"/>
      <c r="Z139" s="828"/>
      <c r="AA139" s="822"/>
      <c r="AB139" s="822"/>
      <c r="AC139" s="815"/>
      <c r="AD139" s="815"/>
      <c r="AE139" s="815"/>
      <c r="AF139" s="822"/>
    </row>
    <row r="140" spans="1:38" s="177" customFormat="1" outlineLevel="1" x14ac:dyDescent="0.2">
      <c r="A140" s="169">
        <v>401</v>
      </c>
      <c r="B140" s="170" t="s">
        <v>249</v>
      </c>
      <c r="C140" s="170" t="s">
        <v>1313</v>
      </c>
      <c r="D140" s="171">
        <v>0</v>
      </c>
      <c r="E140" s="170" t="s">
        <v>250</v>
      </c>
      <c r="F140" s="56"/>
      <c r="G140" s="173">
        <v>16</v>
      </c>
      <c r="H140" s="171">
        <v>0</v>
      </c>
      <c r="I140" s="171">
        <v>36</v>
      </c>
      <c r="J140" s="171"/>
      <c r="K140" s="174">
        <v>100</v>
      </c>
      <c r="L140" s="171">
        <v>1</v>
      </c>
      <c r="M140" s="175"/>
      <c r="N140" s="855">
        <v>2000</v>
      </c>
      <c r="P140" s="178"/>
      <c r="R140" s="179"/>
      <c r="T140" s="180"/>
      <c r="U140" s="181"/>
      <c r="V140" s="182"/>
      <c r="W140" s="183"/>
      <c r="X140" s="184"/>
      <c r="Y140" s="185"/>
      <c r="AA140" s="186"/>
      <c r="AB140" s="186"/>
      <c r="AE140" s="187"/>
      <c r="AF140" s="188"/>
      <c r="AG140" s="189"/>
      <c r="AH140" s="189"/>
      <c r="AI140" s="190"/>
      <c r="AJ140" s="191"/>
      <c r="AK140" s="182"/>
      <c r="AL140" s="182"/>
    </row>
    <row r="141" spans="1:38" s="177" customFormat="1" outlineLevel="1" x14ac:dyDescent="0.2">
      <c r="A141" s="169">
        <v>402</v>
      </c>
      <c r="B141" s="170" t="s">
        <v>251</v>
      </c>
      <c r="C141" s="170" t="s">
        <v>1313</v>
      </c>
      <c r="D141" s="171">
        <v>5</v>
      </c>
      <c r="E141" s="170" t="s">
        <v>250</v>
      </c>
      <c r="F141" s="56"/>
      <c r="G141" s="173">
        <v>16</v>
      </c>
      <c r="H141" s="171">
        <v>0</v>
      </c>
      <c r="I141" s="171">
        <v>36</v>
      </c>
      <c r="J141" s="171"/>
      <c r="K141" s="174">
        <v>150</v>
      </c>
      <c r="L141" s="171">
        <v>1</v>
      </c>
      <c r="M141" s="175"/>
      <c r="N141" s="855">
        <v>5000</v>
      </c>
      <c r="P141" s="178"/>
      <c r="R141" s="179"/>
      <c r="T141" s="180"/>
      <c r="U141" s="181"/>
      <c r="V141" s="182"/>
      <c r="W141" s="183"/>
      <c r="X141" s="184"/>
      <c r="Y141" s="185"/>
      <c r="AA141" s="186"/>
      <c r="AB141" s="186"/>
      <c r="AE141" s="187"/>
      <c r="AF141" s="188"/>
      <c r="AG141" s="189"/>
      <c r="AH141" s="189"/>
      <c r="AI141" s="190"/>
      <c r="AJ141" s="191"/>
      <c r="AK141" s="182"/>
      <c r="AL141" s="182"/>
    </row>
    <row r="142" spans="1:38" s="177" customFormat="1" outlineLevel="1" x14ac:dyDescent="0.2">
      <c r="A142" s="169">
        <v>403</v>
      </c>
      <c r="B142" s="170" t="s">
        <v>252</v>
      </c>
      <c r="C142" s="170" t="s">
        <v>1313</v>
      </c>
      <c r="D142" s="171">
        <v>10</v>
      </c>
      <c r="E142" s="170" t="s">
        <v>250</v>
      </c>
      <c r="F142" s="56"/>
      <c r="G142" s="173">
        <v>16</v>
      </c>
      <c r="H142" s="171">
        <v>0</v>
      </c>
      <c r="I142" s="171">
        <v>36</v>
      </c>
      <c r="J142" s="171"/>
      <c r="K142" s="174">
        <v>200</v>
      </c>
      <c r="L142" s="171">
        <v>1</v>
      </c>
      <c r="M142" s="175"/>
      <c r="N142" s="855">
        <v>10000</v>
      </c>
      <c r="P142" s="178"/>
      <c r="R142" s="179"/>
      <c r="T142" s="180"/>
      <c r="U142" s="181"/>
      <c r="V142" s="182"/>
      <c r="W142" s="183"/>
      <c r="X142" s="184"/>
      <c r="Y142" s="185"/>
      <c r="AA142" s="186"/>
      <c r="AB142" s="186"/>
      <c r="AE142" s="187"/>
      <c r="AF142" s="188"/>
      <c r="AG142" s="189"/>
      <c r="AH142" s="189"/>
      <c r="AI142" s="190"/>
      <c r="AJ142" s="191"/>
      <c r="AK142" s="182"/>
      <c r="AL142" s="182"/>
    </row>
    <row r="143" spans="1:38" s="177" customFormat="1" outlineLevel="1" x14ac:dyDescent="0.2">
      <c r="A143" s="169">
        <v>404</v>
      </c>
      <c r="B143" s="170" t="s">
        <v>253</v>
      </c>
      <c r="C143" s="170" t="s">
        <v>1313</v>
      </c>
      <c r="D143" s="171">
        <v>15</v>
      </c>
      <c r="E143" s="170" t="s">
        <v>250</v>
      </c>
      <c r="F143" s="56"/>
      <c r="G143" s="173">
        <v>16</v>
      </c>
      <c r="H143" s="171">
        <v>0</v>
      </c>
      <c r="I143" s="171">
        <v>36</v>
      </c>
      <c r="J143" s="171"/>
      <c r="K143" s="174">
        <v>250</v>
      </c>
      <c r="L143" s="171">
        <v>1</v>
      </c>
      <c r="M143" s="175"/>
      <c r="N143" s="855">
        <v>25000</v>
      </c>
      <c r="P143" s="178"/>
      <c r="R143" s="179"/>
      <c r="T143" s="180"/>
      <c r="U143" s="181"/>
      <c r="V143" s="182"/>
      <c r="W143" s="183"/>
      <c r="X143" s="184"/>
      <c r="Y143" s="185"/>
      <c r="AA143" s="186"/>
      <c r="AB143" s="186"/>
      <c r="AE143" s="187"/>
      <c r="AF143" s="188"/>
      <c r="AG143" s="189"/>
      <c r="AH143" s="189"/>
      <c r="AI143" s="190"/>
      <c r="AJ143" s="191"/>
      <c r="AK143" s="182"/>
      <c r="AL143" s="182"/>
    </row>
    <row r="144" spans="1:38" s="177" customFormat="1" outlineLevel="1" x14ac:dyDescent="0.2">
      <c r="A144" s="169">
        <v>405</v>
      </c>
      <c r="B144" s="170" t="s">
        <v>254</v>
      </c>
      <c r="C144" s="170" t="s">
        <v>1313</v>
      </c>
      <c r="D144" s="171">
        <v>20</v>
      </c>
      <c r="E144" s="170" t="s">
        <v>250</v>
      </c>
      <c r="F144" s="56"/>
      <c r="G144" s="173">
        <v>16</v>
      </c>
      <c r="H144" s="171">
        <v>0</v>
      </c>
      <c r="I144" s="171">
        <v>36</v>
      </c>
      <c r="J144" s="171"/>
      <c r="K144" s="174">
        <v>300</v>
      </c>
      <c r="L144" s="171">
        <v>1</v>
      </c>
      <c r="M144" s="175"/>
      <c r="N144" s="855">
        <v>50000</v>
      </c>
      <c r="P144" s="178"/>
      <c r="R144" s="179"/>
      <c r="T144" s="180"/>
      <c r="U144" s="181"/>
      <c r="V144" s="182"/>
      <c r="W144" s="183"/>
      <c r="X144" s="184"/>
      <c r="Y144" s="185"/>
      <c r="AA144" s="186"/>
      <c r="AB144" s="186"/>
      <c r="AE144" s="187"/>
      <c r="AF144" s="188"/>
      <c r="AG144" s="189"/>
      <c r="AH144" s="189"/>
      <c r="AI144" s="190"/>
      <c r="AJ144" s="191"/>
      <c r="AK144" s="182"/>
      <c r="AL144" s="182"/>
    </row>
    <row r="145" spans="1:39" s="177" customFormat="1" outlineLevel="1" x14ac:dyDescent="0.2">
      <c r="A145" s="169">
        <v>411</v>
      </c>
      <c r="B145" s="170" t="s">
        <v>1308</v>
      </c>
      <c r="C145" s="170" t="s">
        <v>1314</v>
      </c>
      <c r="D145" s="171">
        <v>0</v>
      </c>
      <c r="E145" s="170" t="s">
        <v>1316</v>
      </c>
      <c r="F145" s="56"/>
      <c r="G145" s="173">
        <v>15</v>
      </c>
      <c r="H145" s="171">
        <v>0</v>
      </c>
      <c r="I145" s="171">
        <v>37</v>
      </c>
      <c r="J145" s="171"/>
      <c r="K145" s="174">
        <v>50</v>
      </c>
      <c r="L145" s="171">
        <v>1</v>
      </c>
      <c r="M145" s="175"/>
      <c r="N145" s="855">
        <v>2000</v>
      </c>
      <c r="P145" s="178"/>
      <c r="R145" s="179"/>
      <c r="T145" s="180"/>
      <c r="U145" s="181"/>
      <c r="V145" s="182"/>
      <c r="W145" s="183"/>
      <c r="X145" s="184"/>
      <c r="Y145" s="185"/>
      <c r="AA145" s="186"/>
      <c r="AB145" s="186"/>
      <c r="AE145" s="187"/>
      <c r="AF145" s="188"/>
      <c r="AG145" s="189"/>
      <c r="AH145" s="189"/>
      <c r="AI145" s="190"/>
      <c r="AJ145" s="191"/>
      <c r="AK145" s="182"/>
      <c r="AL145" s="182"/>
    </row>
    <row r="146" spans="1:39" s="177" customFormat="1" outlineLevel="1" x14ac:dyDescent="0.2">
      <c r="A146" s="169">
        <v>412</v>
      </c>
      <c r="B146" s="170" t="s">
        <v>1309</v>
      </c>
      <c r="C146" s="170" t="s">
        <v>1314</v>
      </c>
      <c r="D146" s="171">
        <v>5</v>
      </c>
      <c r="E146" s="170" t="s">
        <v>1316</v>
      </c>
      <c r="F146" s="56"/>
      <c r="G146" s="173">
        <v>15</v>
      </c>
      <c r="H146" s="171">
        <v>0</v>
      </c>
      <c r="I146" s="171">
        <v>37</v>
      </c>
      <c r="J146" s="171"/>
      <c r="K146" s="174">
        <v>50</v>
      </c>
      <c r="L146" s="171">
        <v>1</v>
      </c>
      <c r="M146" s="175"/>
      <c r="N146" s="855">
        <v>5000</v>
      </c>
      <c r="P146" s="178"/>
      <c r="R146" s="179"/>
      <c r="T146" s="180"/>
      <c r="U146" s="181"/>
      <c r="V146" s="182"/>
      <c r="W146" s="183"/>
      <c r="X146" s="184"/>
      <c r="Y146" s="185"/>
      <c r="AA146" s="186"/>
      <c r="AB146" s="186"/>
      <c r="AE146" s="187"/>
      <c r="AF146" s="188"/>
      <c r="AG146" s="189"/>
      <c r="AH146" s="189"/>
      <c r="AI146" s="190"/>
      <c r="AJ146" s="191"/>
      <c r="AK146" s="182"/>
      <c r="AL146" s="182"/>
    </row>
    <row r="147" spans="1:39" s="177" customFormat="1" outlineLevel="1" x14ac:dyDescent="0.2">
      <c r="A147" s="169">
        <v>413</v>
      </c>
      <c r="B147" s="170" t="s">
        <v>1310</v>
      </c>
      <c r="C147" s="170" t="s">
        <v>1314</v>
      </c>
      <c r="D147" s="171">
        <v>10</v>
      </c>
      <c r="E147" s="170" t="s">
        <v>1316</v>
      </c>
      <c r="F147" s="56"/>
      <c r="G147" s="173">
        <v>15</v>
      </c>
      <c r="H147" s="171">
        <v>0</v>
      </c>
      <c r="I147" s="171">
        <v>37</v>
      </c>
      <c r="J147" s="171"/>
      <c r="K147" s="174">
        <v>50</v>
      </c>
      <c r="L147" s="171">
        <v>1</v>
      </c>
      <c r="M147" s="175"/>
      <c r="N147" s="855">
        <v>10000</v>
      </c>
      <c r="P147" s="178"/>
      <c r="R147" s="179"/>
      <c r="T147" s="180"/>
      <c r="U147" s="181"/>
      <c r="V147" s="182"/>
      <c r="W147" s="183"/>
      <c r="X147" s="184"/>
      <c r="Y147" s="185"/>
      <c r="AA147" s="186"/>
      <c r="AB147" s="186"/>
      <c r="AE147" s="187"/>
      <c r="AF147" s="188"/>
      <c r="AG147" s="189"/>
      <c r="AH147" s="189"/>
      <c r="AI147" s="190"/>
      <c r="AJ147" s="191"/>
      <c r="AK147" s="182"/>
      <c r="AL147" s="182"/>
    </row>
    <row r="148" spans="1:39" s="177" customFormat="1" outlineLevel="1" x14ac:dyDescent="0.2">
      <c r="A148" s="169">
        <v>414</v>
      </c>
      <c r="B148" s="170" t="s">
        <v>1311</v>
      </c>
      <c r="C148" s="170" t="s">
        <v>1314</v>
      </c>
      <c r="D148" s="171">
        <v>15</v>
      </c>
      <c r="E148" s="170" t="s">
        <v>1316</v>
      </c>
      <c r="F148" s="56"/>
      <c r="G148" s="173">
        <v>15</v>
      </c>
      <c r="H148" s="171">
        <v>0</v>
      </c>
      <c r="I148" s="171">
        <v>37</v>
      </c>
      <c r="J148" s="171"/>
      <c r="K148" s="174">
        <v>50</v>
      </c>
      <c r="L148" s="171">
        <v>1</v>
      </c>
      <c r="M148" s="175"/>
      <c r="N148" s="855">
        <v>25000</v>
      </c>
      <c r="P148" s="178"/>
      <c r="R148" s="179"/>
      <c r="T148" s="180"/>
      <c r="U148" s="181"/>
      <c r="V148" s="182"/>
      <c r="W148" s="183"/>
      <c r="X148" s="184"/>
      <c r="Y148" s="185"/>
      <c r="AA148" s="186"/>
      <c r="AB148" s="186"/>
      <c r="AE148" s="187"/>
      <c r="AF148" s="188"/>
      <c r="AG148" s="189"/>
      <c r="AH148" s="189"/>
      <c r="AI148" s="190"/>
      <c r="AJ148" s="191"/>
      <c r="AK148" s="182"/>
      <c r="AL148" s="182"/>
    </row>
    <row r="149" spans="1:39" s="177" customFormat="1" outlineLevel="1" x14ac:dyDescent="0.2">
      <c r="A149" s="169">
        <v>415</v>
      </c>
      <c r="B149" s="170" t="s">
        <v>1312</v>
      </c>
      <c r="C149" s="170" t="s">
        <v>1314</v>
      </c>
      <c r="D149" s="171">
        <v>20</v>
      </c>
      <c r="E149" s="170" t="s">
        <v>1316</v>
      </c>
      <c r="F149" s="56"/>
      <c r="G149" s="173">
        <v>15</v>
      </c>
      <c r="H149" s="171">
        <v>0</v>
      </c>
      <c r="I149" s="171">
        <v>37</v>
      </c>
      <c r="J149" s="171"/>
      <c r="K149" s="174">
        <v>50</v>
      </c>
      <c r="L149" s="171">
        <v>1</v>
      </c>
      <c r="M149" s="175"/>
      <c r="N149" s="855">
        <v>50000</v>
      </c>
      <c r="P149" s="178"/>
      <c r="R149" s="179"/>
      <c r="T149" s="180"/>
      <c r="U149" s="181"/>
      <c r="V149" s="182"/>
      <c r="W149" s="183"/>
      <c r="X149" s="184"/>
      <c r="Y149" s="185"/>
      <c r="AA149" s="186"/>
      <c r="AB149" s="186"/>
      <c r="AE149" s="187"/>
      <c r="AF149" s="188"/>
      <c r="AG149" s="189"/>
      <c r="AH149" s="189"/>
      <c r="AI149" s="190"/>
      <c r="AJ149" s="191"/>
      <c r="AK149" s="182"/>
      <c r="AL149" s="182"/>
    </row>
    <row r="150" spans="1:39" x14ac:dyDescent="0.2">
      <c r="A150" s="202"/>
      <c r="B150" s="203" t="s">
        <v>255</v>
      </c>
      <c r="C150" s="204"/>
      <c r="D150" s="204"/>
      <c r="E150" s="205"/>
      <c r="F150" s="206"/>
      <c r="G150" s="204"/>
      <c r="H150" s="207"/>
      <c r="I150" s="207"/>
      <c r="J150" s="204"/>
      <c r="K150" s="208"/>
      <c r="L150" s="207"/>
      <c r="M150" s="209"/>
      <c r="N150" s="210"/>
      <c r="O150" s="204"/>
      <c r="P150" s="204"/>
      <c r="Q150" s="204"/>
      <c r="R150" s="211"/>
      <c r="S150" s="204"/>
      <c r="T150" s="212"/>
      <c r="U150" s="204"/>
      <c r="V150" s="213"/>
      <c r="W150" s="214"/>
      <c r="X150" s="215"/>
      <c r="Y150" s="216"/>
      <c r="Z150" s="217"/>
      <c r="AA150" s="211"/>
      <c r="AB150" s="211"/>
      <c r="AC150" s="204"/>
      <c r="AD150" s="204"/>
      <c r="AE150" s="204"/>
      <c r="AF150" s="211"/>
    </row>
    <row r="151" spans="1:39" outlineLevel="1" x14ac:dyDescent="0.2">
      <c r="A151" s="218">
        <v>901</v>
      </c>
      <c r="B151" s="3" t="s">
        <v>256</v>
      </c>
      <c r="C151" s="3"/>
      <c r="D151" s="3"/>
      <c r="E151" s="7" t="s">
        <v>257</v>
      </c>
      <c r="F151" s="219"/>
      <c r="G151" s="1">
        <v>1</v>
      </c>
      <c r="H151" s="6">
        <v>0</v>
      </c>
      <c r="I151" s="6">
        <v>1</v>
      </c>
      <c r="J151" s="1">
        <v>200</v>
      </c>
      <c r="K151" s="9">
        <v>1600</v>
      </c>
      <c r="N151" s="135"/>
      <c r="O151" s="142">
        <v>4</v>
      </c>
      <c r="P151" s="129">
        <v>1</v>
      </c>
      <c r="Q151" s="220">
        <f>VLOOKUP(D151+1,Berechnungen!$A$3:$J$27,O151+6,FALSE)*P151*0.8</f>
        <v>7.8263911630929162</v>
      </c>
      <c r="R151" s="221">
        <v>0.2</v>
      </c>
      <c r="S151" s="14">
        <f t="shared" ref="S151:S157" si="0">ROUND(Q151-Q151*R151,0)</f>
        <v>6</v>
      </c>
      <c r="T151" s="16">
        <f t="shared" ref="T151:T157" si="1">ROUND(Q151+Q151*R151,0)</f>
        <v>9</v>
      </c>
      <c r="U151" s="3"/>
      <c r="V151" s="134"/>
      <c r="W151" s="222"/>
      <c r="X151" s="62"/>
      <c r="Y151" s="63"/>
      <c r="Z151" s="168"/>
      <c r="AA151" s="223"/>
      <c r="AB151" s="223"/>
      <c r="AC151" s="3"/>
      <c r="AD151" s="3"/>
      <c r="AE151" s="1"/>
      <c r="AF151" s="224"/>
      <c r="AG151" s="168"/>
      <c r="AH151" s="168"/>
      <c r="AI151" s="168"/>
      <c r="AJ151" s="168"/>
      <c r="AK151" s="168"/>
      <c r="AL151" s="3"/>
      <c r="AM151" s="3"/>
    </row>
    <row r="152" spans="1:39" outlineLevel="1" x14ac:dyDescent="0.2">
      <c r="A152" s="218">
        <v>902</v>
      </c>
      <c r="B152" s="3" t="s">
        <v>258</v>
      </c>
      <c r="C152" s="3"/>
      <c r="D152" s="3"/>
      <c r="E152" s="55" t="s">
        <v>259</v>
      </c>
      <c r="F152" s="219"/>
      <c r="G152" s="3">
        <v>2</v>
      </c>
      <c r="H152" s="54">
        <v>0</v>
      </c>
      <c r="I152" s="54">
        <v>1</v>
      </c>
      <c r="J152" s="3">
        <v>200</v>
      </c>
      <c r="K152" s="57">
        <v>1200</v>
      </c>
      <c r="L152" s="54"/>
      <c r="M152" s="58"/>
      <c r="N152" s="135"/>
      <c r="O152" s="142">
        <v>4</v>
      </c>
      <c r="P152" s="129">
        <v>1</v>
      </c>
      <c r="Q152" s="220">
        <f>VLOOKUP(D152+1,Berechnungen!$A$3:$J$27,O152+6,FALSE)*P152*0.8</f>
        <v>7.8263911630929162</v>
      </c>
      <c r="R152" s="221">
        <v>0.15</v>
      </c>
      <c r="S152" s="14">
        <f t="shared" si="0"/>
        <v>7</v>
      </c>
      <c r="T152" s="16">
        <f t="shared" si="1"/>
        <v>9</v>
      </c>
      <c r="U152" s="3"/>
      <c r="V152" s="134"/>
      <c r="W152" s="222"/>
      <c r="X152" s="62"/>
      <c r="Y152" s="63"/>
      <c r="Z152" s="168"/>
      <c r="AA152" s="223"/>
      <c r="AB152" s="223"/>
      <c r="AC152" s="3"/>
      <c r="AD152" s="3"/>
      <c r="AE152" s="1"/>
      <c r="AF152" s="224"/>
      <c r="AG152" s="168"/>
      <c r="AH152" s="168"/>
      <c r="AI152" s="168"/>
      <c r="AJ152" s="168"/>
      <c r="AK152" s="168"/>
      <c r="AL152" s="3"/>
      <c r="AM152" s="3"/>
    </row>
    <row r="153" spans="1:39" outlineLevel="1" x14ac:dyDescent="0.2">
      <c r="A153" s="218">
        <v>903</v>
      </c>
      <c r="B153" s="3" t="s">
        <v>260</v>
      </c>
      <c r="C153" s="3"/>
      <c r="D153" s="3"/>
      <c r="E153" s="55" t="s">
        <v>261</v>
      </c>
      <c r="F153" s="219"/>
      <c r="G153" s="3">
        <v>3</v>
      </c>
      <c r="H153" s="54">
        <v>0</v>
      </c>
      <c r="I153" s="54">
        <v>1</v>
      </c>
      <c r="J153" s="3">
        <v>200</v>
      </c>
      <c r="K153" s="57">
        <v>1700</v>
      </c>
      <c r="L153" s="54"/>
      <c r="M153" s="58"/>
      <c r="N153" s="135"/>
      <c r="O153" s="142">
        <v>3</v>
      </c>
      <c r="P153" s="129">
        <v>1</v>
      </c>
      <c r="Q153" s="220">
        <f>VLOOKUP(D153+1,Berechnungen!$A$3:$J$27,O153+6,FALSE)*P153*0.8</f>
        <v>9.4118362573099397</v>
      </c>
      <c r="R153" s="221">
        <v>0.2</v>
      </c>
      <c r="S153" s="14">
        <f t="shared" si="0"/>
        <v>8</v>
      </c>
      <c r="T153" s="16">
        <f t="shared" si="1"/>
        <v>11</v>
      </c>
      <c r="U153" s="3"/>
      <c r="V153" s="134"/>
      <c r="W153" s="222"/>
      <c r="X153" s="62"/>
      <c r="Y153" s="63"/>
      <c r="Z153" s="168"/>
      <c r="AA153" s="223"/>
      <c r="AB153" s="223"/>
      <c r="AC153" s="3"/>
      <c r="AD153" s="3"/>
      <c r="AE153" s="1"/>
      <c r="AF153" s="224"/>
      <c r="AG153" s="168"/>
      <c r="AH153" s="168"/>
      <c r="AI153" s="168"/>
      <c r="AJ153" s="168"/>
      <c r="AK153" s="168"/>
      <c r="AL153" s="3"/>
      <c r="AM153" s="3"/>
    </row>
    <row r="154" spans="1:39" outlineLevel="1" x14ac:dyDescent="0.2">
      <c r="A154" s="218">
        <v>904</v>
      </c>
      <c r="B154" s="3" t="s">
        <v>262</v>
      </c>
      <c r="C154" s="3"/>
      <c r="D154" s="3"/>
      <c r="E154" s="55" t="s">
        <v>263</v>
      </c>
      <c r="F154" s="219"/>
      <c r="G154" s="3">
        <v>4</v>
      </c>
      <c r="H154" s="54">
        <v>0</v>
      </c>
      <c r="I154" s="54">
        <v>1</v>
      </c>
      <c r="J154" s="3">
        <v>200</v>
      </c>
      <c r="K154" s="57">
        <v>1700</v>
      </c>
      <c r="L154" s="54"/>
      <c r="M154" s="58"/>
      <c r="N154" s="135"/>
      <c r="O154" s="142">
        <v>3</v>
      </c>
      <c r="P154" s="129">
        <v>1.05</v>
      </c>
      <c r="Q154" s="220">
        <f>VLOOKUP(D154+1,Berechnungen!$A$3:$J$27,O154+6,FALSE)*P154*0.8</f>
        <v>9.8824280701754361</v>
      </c>
      <c r="R154" s="221">
        <v>0.4</v>
      </c>
      <c r="S154" s="14">
        <f t="shared" si="0"/>
        <v>6</v>
      </c>
      <c r="T154" s="16">
        <f t="shared" si="1"/>
        <v>14</v>
      </c>
      <c r="U154" s="3"/>
      <c r="V154" s="134"/>
      <c r="W154" s="222"/>
      <c r="X154" s="62"/>
      <c r="Y154" s="63"/>
      <c r="Z154" s="168"/>
      <c r="AA154" s="223"/>
      <c r="AB154" s="223"/>
      <c r="AC154" s="3"/>
      <c r="AD154" s="3"/>
      <c r="AE154" s="1"/>
      <c r="AF154" s="224"/>
      <c r="AG154" s="168"/>
      <c r="AH154" s="168"/>
      <c r="AI154" s="168"/>
      <c r="AJ154" s="168"/>
      <c r="AK154" s="168"/>
      <c r="AL154" s="3"/>
      <c r="AM154" s="3"/>
    </row>
    <row r="155" spans="1:39" outlineLevel="1" x14ac:dyDescent="0.2">
      <c r="A155" s="218">
        <v>905</v>
      </c>
      <c r="B155" s="3" t="s">
        <v>264</v>
      </c>
      <c r="C155" s="3"/>
      <c r="D155" s="3"/>
      <c r="E155" s="55" t="s">
        <v>265</v>
      </c>
      <c r="F155" s="219"/>
      <c r="G155" s="3">
        <v>5</v>
      </c>
      <c r="H155" s="54">
        <v>0</v>
      </c>
      <c r="I155" s="54">
        <v>2</v>
      </c>
      <c r="J155" s="3">
        <v>200</v>
      </c>
      <c r="K155" s="57">
        <v>1900</v>
      </c>
      <c r="L155" s="54"/>
      <c r="M155" s="58"/>
      <c r="N155" s="135"/>
      <c r="O155" s="142">
        <v>3</v>
      </c>
      <c r="P155" s="129">
        <v>1.4</v>
      </c>
      <c r="Q155" s="220">
        <f>VLOOKUP(D155+1,Berechnungen!$A$3:$J$27,O155+6,FALSE)*P155*0.8</f>
        <v>13.176570760233915</v>
      </c>
      <c r="R155" s="221">
        <v>0.2</v>
      </c>
      <c r="S155" s="14">
        <f t="shared" si="0"/>
        <v>11</v>
      </c>
      <c r="T155" s="16">
        <f t="shared" si="1"/>
        <v>16</v>
      </c>
      <c r="U155" s="3"/>
      <c r="V155" s="134"/>
      <c r="W155" s="222"/>
      <c r="X155" s="62"/>
      <c r="Y155" s="63"/>
      <c r="Z155" s="168"/>
      <c r="AA155" s="223"/>
      <c r="AB155" s="223"/>
      <c r="AC155" s="3"/>
      <c r="AD155" s="3"/>
      <c r="AE155" s="1"/>
      <c r="AF155" s="224"/>
      <c r="AG155" s="168"/>
      <c r="AH155" s="168"/>
      <c r="AI155" s="168"/>
      <c r="AJ155" s="168"/>
      <c r="AK155" s="168"/>
      <c r="AL155" s="3"/>
      <c r="AM155" s="3"/>
    </row>
    <row r="156" spans="1:39" outlineLevel="1" x14ac:dyDescent="0.2">
      <c r="A156" s="218">
        <v>911</v>
      </c>
      <c r="B156" s="3" t="s">
        <v>266</v>
      </c>
      <c r="C156" s="3"/>
      <c r="D156" s="3"/>
      <c r="E156" s="55" t="s">
        <v>267</v>
      </c>
      <c r="F156" s="219"/>
      <c r="G156" s="3">
        <v>6</v>
      </c>
      <c r="H156" s="54">
        <v>0</v>
      </c>
      <c r="I156" s="54">
        <v>4</v>
      </c>
      <c r="J156" s="3">
        <v>200</v>
      </c>
      <c r="K156" s="57">
        <v>1600</v>
      </c>
      <c r="L156" s="54"/>
      <c r="M156" s="58"/>
      <c r="N156" s="135"/>
      <c r="O156" s="142">
        <v>4</v>
      </c>
      <c r="P156" s="129">
        <v>1.2</v>
      </c>
      <c r="Q156" s="220">
        <f>VLOOKUP(D156+1,Berechnungen!$A$3:$J$27,O156+6,FALSE)*P156*0.8</f>
        <v>9.3916693957114994</v>
      </c>
      <c r="R156" s="221">
        <v>0.2</v>
      </c>
      <c r="S156" s="14">
        <f t="shared" si="0"/>
        <v>8</v>
      </c>
      <c r="T156" s="16">
        <f t="shared" si="1"/>
        <v>11</v>
      </c>
      <c r="U156" s="3"/>
      <c r="V156" s="134"/>
      <c r="W156" s="222"/>
      <c r="X156" s="62"/>
      <c r="Y156" s="63"/>
      <c r="Z156" s="168"/>
      <c r="AA156" s="223"/>
      <c r="AB156" s="223">
        <v>41</v>
      </c>
      <c r="AC156" s="3"/>
      <c r="AD156" s="3"/>
      <c r="AE156" s="1"/>
      <c r="AF156" s="224"/>
      <c r="AG156" s="168"/>
      <c r="AH156" s="168"/>
      <c r="AI156" s="168"/>
      <c r="AJ156" s="168"/>
      <c r="AK156" s="168"/>
      <c r="AL156" s="3"/>
      <c r="AM156" s="3"/>
    </row>
    <row r="157" spans="1:39" outlineLevel="1" x14ac:dyDescent="0.2">
      <c r="A157" s="218">
        <v>912</v>
      </c>
      <c r="B157" s="3" t="s">
        <v>268</v>
      </c>
      <c r="C157" s="3"/>
      <c r="D157" s="3"/>
      <c r="E157" s="55" t="s">
        <v>269</v>
      </c>
      <c r="F157" s="219"/>
      <c r="G157" s="3">
        <v>7</v>
      </c>
      <c r="H157" s="54">
        <v>0</v>
      </c>
      <c r="I157" s="54">
        <v>4</v>
      </c>
      <c r="J157" s="3">
        <v>200</v>
      </c>
      <c r="K157" s="57">
        <v>1800</v>
      </c>
      <c r="L157" s="54"/>
      <c r="M157" s="58"/>
      <c r="N157" s="135"/>
      <c r="O157" s="142">
        <v>1</v>
      </c>
      <c r="P157" s="129">
        <v>1.2</v>
      </c>
      <c r="Q157" s="220">
        <f>VLOOKUP(D157+1,Berechnungen!$A$3:$J$27,O157+6,FALSE)*P157*0.8</f>
        <v>26.704729824561397</v>
      </c>
      <c r="R157" s="221">
        <v>0.25</v>
      </c>
      <c r="S157" s="14">
        <f t="shared" si="0"/>
        <v>20</v>
      </c>
      <c r="T157" s="16">
        <f t="shared" si="1"/>
        <v>33</v>
      </c>
      <c r="U157" s="3"/>
      <c r="V157" s="134"/>
      <c r="W157" s="222"/>
      <c r="X157" s="62"/>
      <c r="Y157" s="63"/>
      <c r="Z157" s="168"/>
      <c r="AA157" s="223"/>
      <c r="AB157" s="223">
        <v>42</v>
      </c>
      <c r="AC157" s="3"/>
      <c r="AD157" s="3"/>
      <c r="AE157" s="1"/>
      <c r="AF157" s="224"/>
      <c r="AG157" s="168"/>
      <c r="AH157" s="168"/>
      <c r="AI157" s="168"/>
      <c r="AJ157" s="168"/>
      <c r="AK157" s="168"/>
      <c r="AL157" s="3"/>
      <c r="AM157" s="3"/>
    </row>
    <row r="158" spans="1:39" outlineLevel="1" x14ac:dyDescent="0.2">
      <c r="A158" s="218">
        <v>913</v>
      </c>
      <c r="B158" s="3" t="s">
        <v>270</v>
      </c>
      <c r="C158" s="3"/>
      <c r="D158" s="3"/>
      <c r="E158" s="55" t="s">
        <v>271</v>
      </c>
      <c r="F158" s="219"/>
      <c r="G158" s="3">
        <v>10</v>
      </c>
      <c r="H158" s="54">
        <v>0</v>
      </c>
      <c r="I158" s="54">
        <v>4</v>
      </c>
      <c r="J158" s="3">
        <v>200</v>
      </c>
      <c r="K158" s="57">
        <v>1200</v>
      </c>
      <c r="L158" s="54"/>
      <c r="M158" s="58"/>
      <c r="N158" s="135"/>
      <c r="O158" s="3"/>
      <c r="P158" s="3"/>
      <c r="Q158" s="3"/>
      <c r="R158" s="223"/>
      <c r="S158" s="3"/>
      <c r="T158" s="60"/>
      <c r="U158" s="3"/>
      <c r="V158" s="134"/>
      <c r="W158" s="61"/>
      <c r="X158" s="62"/>
      <c r="Y158" s="63"/>
      <c r="Z158" s="168"/>
      <c r="AA158" s="223"/>
      <c r="AB158" s="223">
        <v>43</v>
      </c>
      <c r="AC158" s="3"/>
      <c r="AD158" s="3"/>
      <c r="AE158" s="3"/>
      <c r="AF158" s="223"/>
      <c r="AG158" s="168"/>
      <c r="AH158" s="168"/>
      <c r="AI158" s="168"/>
      <c r="AJ158" s="168"/>
      <c r="AK158" s="168"/>
      <c r="AL158" s="3"/>
      <c r="AM158" s="3"/>
    </row>
    <row r="159" spans="1:39" outlineLevel="1" x14ac:dyDescent="0.2">
      <c r="A159" s="218">
        <v>914</v>
      </c>
      <c r="B159" s="3" t="s">
        <v>272</v>
      </c>
      <c r="C159" s="3"/>
      <c r="D159" s="3"/>
      <c r="E159" s="55" t="s">
        <v>273</v>
      </c>
      <c r="F159" s="219"/>
      <c r="G159" s="3">
        <v>11</v>
      </c>
      <c r="H159" s="54">
        <v>0</v>
      </c>
      <c r="I159" s="54">
        <v>4</v>
      </c>
      <c r="J159" s="3">
        <v>200</v>
      </c>
      <c r="K159" s="57">
        <v>1200</v>
      </c>
      <c r="L159" s="54"/>
      <c r="M159" s="58"/>
      <c r="N159" s="135"/>
      <c r="O159" s="3"/>
      <c r="P159" s="3"/>
      <c r="Q159" s="3"/>
      <c r="R159" s="223"/>
      <c r="S159" s="3"/>
      <c r="T159" s="60"/>
      <c r="U159" s="3"/>
      <c r="V159" s="134"/>
      <c r="W159" s="61"/>
      <c r="X159" s="62"/>
      <c r="Y159" s="63"/>
      <c r="Z159" s="168"/>
      <c r="AA159" s="223"/>
      <c r="AB159" s="223">
        <v>43</v>
      </c>
      <c r="AC159" s="3"/>
      <c r="AD159" s="3"/>
      <c r="AE159" s="3"/>
      <c r="AF159" s="223"/>
      <c r="AG159" s="168"/>
      <c r="AH159" s="168"/>
      <c r="AI159" s="168"/>
      <c r="AJ159" s="168"/>
      <c r="AK159" s="168"/>
      <c r="AL159" s="3"/>
      <c r="AM159" s="3"/>
    </row>
    <row r="160" spans="1:39" outlineLevel="1" x14ac:dyDescent="0.2">
      <c r="A160" s="218">
        <v>915</v>
      </c>
      <c r="B160" s="3" t="s">
        <v>274</v>
      </c>
      <c r="C160" s="3"/>
      <c r="D160" s="3"/>
      <c r="E160" s="55" t="s">
        <v>275</v>
      </c>
      <c r="F160" s="219"/>
      <c r="G160" s="3">
        <v>12</v>
      </c>
      <c r="H160" s="54">
        <v>0</v>
      </c>
      <c r="I160" s="54">
        <v>4</v>
      </c>
      <c r="J160" s="3">
        <v>200</v>
      </c>
      <c r="K160" s="57">
        <v>1200</v>
      </c>
      <c r="L160" s="54"/>
      <c r="M160" s="58"/>
      <c r="N160" s="135"/>
      <c r="O160" s="3"/>
      <c r="P160" s="3"/>
      <c r="Q160" s="3"/>
      <c r="R160" s="223"/>
      <c r="S160" s="3"/>
      <c r="T160" s="60"/>
      <c r="U160" s="3"/>
      <c r="V160" s="134"/>
      <c r="W160" s="61"/>
      <c r="X160" s="62"/>
      <c r="Y160" s="63"/>
      <c r="Z160" s="168"/>
      <c r="AA160" s="223"/>
      <c r="AB160" s="223">
        <v>43</v>
      </c>
      <c r="AC160" s="3"/>
      <c r="AD160" s="3"/>
      <c r="AE160" s="3"/>
      <c r="AF160" s="223"/>
      <c r="AG160" s="168"/>
      <c r="AH160" s="168"/>
      <c r="AI160" s="168"/>
      <c r="AJ160" s="168"/>
      <c r="AK160" s="168"/>
      <c r="AL160" s="3"/>
      <c r="AM160" s="3"/>
    </row>
    <row r="161" spans="1:39" outlineLevel="1" x14ac:dyDescent="0.2">
      <c r="A161" s="218">
        <v>916</v>
      </c>
      <c r="B161" s="3" t="s">
        <v>276</v>
      </c>
      <c r="C161" s="3"/>
      <c r="D161" s="3"/>
      <c r="E161" s="55" t="s">
        <v>277</v>
      </c>
      <c r="F161" s="219"/>
      <c r="G161" s="3">
        <v>13</v>
      </c>
      <c r="H161" s="54">
        <v>0</v>
      </c>
      <c r="I161" s="54">
        <v>4</v>
      </c>
      <c r="J161" s="3">
        <v>200</v>
      </c>
      <c r="K161" s="57">
        <v>1200</v>
      </c>
      <c r="L161" s="54"/>
      <c r="M161" s="58"/>
      <c r="N161" s="135"/>
      <c r="O161" s="3"/>
      <c r="P161" s="3"/>
      <c r="Q161" s="3"/>
      <c r="R161" s="223"/>
      <c r="S161" s="3"/>
      <c r="T161" s="60"/>
      <c r="U161" s="3"/>
      <c r="V161" s="134"/>
      <c r="W161" s="61"/>
      <c r="X161" s="62"/>
      <c r="Y161" s="63"/>
      <c r="Z161" s="168"/>
      <c r="AA161" s="223"/>
      <c r="AB161" s="223">
        <v>43</v>
      </c>
      <c r="AC161" s="3"/>
      <c r="AD161" s="3"/>
      <c r="AE161" s="3"/>
      <c r="AF161" s="223"/>
      <c r="AG161" s="168"/>
      <c r="AH161" s="168"/>
      <c r="AI161" s="168"/>
      <c r="AJ161" s="168"/>
      <c r="AK161" s="168"/>
      <c r="AL161" s="3"/>
      <c r="AM161" s="3"/>
    </row>
    <row r="162" spans="1:39" outlineLevel="1" x14ac:dyDescent="0.2">
      <c r="A162" s="218">
        <v>921</v>
      </c>
      <c r="B162" s="3" t="s">
        <v>278</v>
      </c>
      <c r="C162" s="3"/>
      <c r="D162" s="3"/>
      <c r="E162" s="55" t="s">
        <v>199</v>
      </c>
      <c r="F162" s="219"/>
      <c r="G162" s="3">
        <v>8</v>
      </c>
      <c r="H162" s="54">
        <v>0</v>
      </c>
      <c r="I162" s="54">
        <v>11</v>
      </c>
      <c r="J162" s="3">
        <v>200</v>
      </c>
      <c r="K162" s="57">
        <v>1000</v>
      </c>
      <c r="L162" s="54"/>
      <c r="M162" s="58"/>
      <c r="N162" s="135"/>
      <c r="O162" s="3"/>
      <c r="P162" s="3"/>
      <c r="Q162" s="3"/>
      <c r="R162" s="223"/>
      <c r="S162" s="3"/>
      <c r="T162" s="60"/>
      <c r="U162" s="3"/>
      <c r="V162" s="1"/>
      <c r="W162" s="225">
        <v>0.4</v>
      </c>
      <c r="X162" s="62"/>
      <c r="Y162" s="63">
        <v>2</v>
      </c>
      <c r="Z162" s="168">
        <v>6</v>
      </c>
      <c r="AA162" s="223"/>
      <c r="AB162" s="223"/>
      <c r="AC162" s="3"/>
      <c r="AD162" s="3"/>
      <c r="AE162" s="3"/>
      <c r="AF162" s="223"/>
      <c r="AG162" s="168"/>
      <c r="AH162" s="168"/>
      <c r="AI162" s="168"/>
      <c r="AJ162" s="168"/>
      <c r="AK162" s="168"/>
      <c r="AL162" s="3"/>
      <c r="AM162" s="3"/>
    </row>
    <row r="163" spans="1:39" outlineLevel="1" x14ac:dyDescent="0.2">
      <c r="A163" s="218">
        <v>922</v>
      </c>
      <c r="B163" s="3" t="s">
        <v>279</v>
      </c>
      <c r="C163" s="3"/>
      <c r="D163" s="3"/>
      <c r="E163" s="55" t="s">
        <v>199</v>
      </c>
      <c r="F163" s="219"/>
      <c r="G163" s="3">
        <v>8</v>
      </c>
      <c r="H163" s="54">
        <v>0</v>
      </c>
      <c r="I163" s="54">
        <v>12</v>
      </c>
      <c r="J163" s="3">
        <v>200</v>
      </c>
      <c r="K163" s="57">
        <v>1500</v>
      </c>
      <c r="L163" s="54"/>
      <c r="M163" s="58"/>
      <c r="N163" s="135"/>
      <c r="O163" s="3"/>
      <c r="P163" s="3"/>
      <c r="Q163" s="3"/>
      <c r="R163" s="223"/>
      <c r="S163" s="3"/>
      <c r="T163" s="60"/>
      <c r="U163" s="3"/>
      <c r="V163" s="1"/>
      <c r="W163" s="225">
        <v>0.6</v>
      </c>
      <c r="X163" s="62"/>
      <c r="Y163" s="63">
        <v>3</v>
      </c>
      <c r="Z163" s="168">
        <v>9</v>
      </c>
      <c r="AA163" s="223"/>
      <c r="AB163" s="223"/>
      <c r="AC163" s="3"/>
      <c r="AD163" s="3"/>
      <c r="AE163" s="3"/>
      <c r="AF163" s="223"/>
      <c r="AG163" s="168"/>
      <c r="AH163" s="168"/>
      <c r="AI163" s="168"/>
      <c r="AJ163" s="168"/>
      <c r="AK163" s="168"/>
      <c r="AL163" s="3"/>
      <c r="AM163" s="3"/>
    </row>
    <row r="164" spans="1:39" outlineLevel="1" x14ac:dyDescent="0.2">
      <c r="A164" s="218">
        <v>923</v>
      </c>
      <c r="B164" s="3" t="s">
        <v>280</v>
      </c>
      <c r="C164" s="3"/>
      <c r="D164" s="3"/>
      <c r="E164" s="55" t="s">
        <v>281</v>
      </c>
      <c r="F164" s="219"/>
      <c r="G164" s="3">
        <v>8</v>
      </c>
      <c r="H164" s="54">
        <v>0</v>
      </c>
      <c r="I164" s="54">
        <v>3</v>
      </c>
      <c r="J164" s="3">
        <v>200</v>
      </c>
      <c r="K164" s="57">
        <v>2200</v>
      </c>
      <c r="L164" s="54"/>
      <c r="M164" s="58"/>
      <c r="N164" s="135"/>
      <c r="O164" s="3"/>
      <c r="P164" s="3"/>
      <c r="Q164" s="3"/>
      <c r="R164" s="223"/>
      <c r="S164" s="3"/>
      <c r="T164" s="60"/>
      <c r="U164" s="3"/>
      <c r="V164" s="1"/>
      <c r="W164" s="225"/>
      <c r="X164" s="62"/>
      <c r="Y164" s="63">
        <v>4</v>
      </c>
      <c r="Z164" s="168"/>
      <c r="AA164" s="60">
        <v>20</v>
      </c>
      <c r="AB164" s="60"/>
      <c r="AC164" s="1"/>
      <c r="AD164" s="1"/>
      <c r="AE164" s="3"/>
      <c r="AF164" s="223"/>
      <c r="AG164" s="168"/>
      <c r="AH164" s="168"/>
      <c r="AI164" s="168"/>
      <c r="AJ164" s="168"/>
      <c r="AK164" s="168"/>
      <c r="AL164" s="3"/>
      <c r="AM164" s="3"/>
    </row>
    <row r="165" spans="1:39" outlineLevel="1" x14ac:dyDescent="0.2">
      <c r="A165" s="218">
        <v>931</v>
      </c>
      <c r="B165" s="3" t="s">
        <v>282</v>
      </c>
      <c r="C165" s="3"/>
      <c r="D165" s="3"/>
      <c r="E165" s="55" t="s">
        <v>186</v>
      </c>
      <c r="F165" s="219"/>
      <c r="G165" s="3">
        <v>9</v>
      </c>
      <c r="H165" s="54">
        <v>0</v>
      </c>
      <c r="I165" s="54">
        <v>11</v>
      </c>
      <c r="J165" s="3">
        <v>200</v>
      </c>
      <c r="K165" s="57">
        <v>1500</v>
      </c>
      <c r="L165" s="54"/>
      <c r="M165" s="58"/>
      <c r="N165" s="135"/>
      <c r="O165" s="3"/>
      <c r="P165" s="3"/>
      <c r="Q165" s="3"/>
      <c r="R165" s="223"/>
      <c r="S165" s="3"/>
      <c r="T165" s="60"/>
      <c r="U165" s="3"/>
      <c r="V165" s="1"/>
      <c r="W165" s="225">
        <v>0.6</v>
      </c>
      <c r="X165" s="62"/>
      <c r="Y165" s="63">
        <v>4</v>
      </c>
      <c r="Z165" s="168">
        <v>12</v>
      </c>
      <c r="AA165" s="60"/>
      <c r="AB165" s="60"/>
      <c r="AC165" s="1"/>
      <c r="AD165" s="1"/>
      <c r="AE165" s="3"/>
      <c r="AF165" s="223"/>
      <c r="AG165" s="168"/>
      <c r="AH165" s="168"/>
      <c r="AI165" s="168"/>
      <c r="AJ165" s="168"/>
      <c r="AK165" s="168"/>
      <c r="AL165" s="3"/>
      <c r="AM165" s="3"/>
    </row>
    <row r="166" spans="1:39" outlineLevel="1" x14ac:dyDescent="0.2">
      <c r="A166" s="218">
        <v>932</v>
      </c>
      <c r="B166" s="3" t="s">
        <v>283</v>
      </c>
      <c r="C166" s="3"/>
      <c r="D166" s="3"/>
      <c r="E166" s="55" t="s">
        <v>186</v>
      </c>
      <c r="F166" s="219"/>
      <c r="G166" s="3">
        <v>9</v>
      </c>
      <c r="H166" s="54">
        <v>0</v>
      </c>
      <c r="I166" s="54">
        <v>12</v>
      </c>
      <c r="J166" s="3">
        <v>200</v>
      </c>
      <c r="K166" s="57">
        <v>3500</v>
      </c>
      <c r="L166" s="54"/>
      <c r="M166" s="58"/>
      <c r="N166" s="135"/>
      <c r="O166" s="3"/>
      <c r="P166" s="3"/>
      <c r="Q166" s="3"/>
      <c r="R166" s="223"/>
      <c r="S166" s="3"/>
      <c r="T166" s="60"/>
      <c r="U166" s="3"/>
      <c r="V166" s="1"/>
      <c r="W166" s="225">
        <v>0.9</v>
      </c>
      <c r="X166" s="62"/>
      <c r="Y166" s="63">
        <v>6</v>
      </c>
      <c r="Z166" s="168">
        <v>18</v>
      </c>
      <c r="AA166" s="60"/>
      <c r="AB166" s="60"/>
      <c r="AC166" s="1"/>
      <c r="AD166" s="1"/>
      <c r="AE166" s="3"/>
      <c r="AF166" s="223"/>
      <c r="AG166" s="168"/>
      <c r="AH166" s="168"/>
      <c r="AI166" s="168"/>
      <c r="AJ166" s="168"/>
      <c r="AK166" s="168"/>
      <c r="AL166" s="3"/>
      <c r="AM166" s="3"/>
    </row>
    <row r="167" spans="1:39" outlineLevel="1" x14ac:dyDescent="0.2">
      <c r="A167" s="226">
        <v>933</v>
      </c>
      <c r="B167" s="3" t="s">
        <v>284</v>
      </c>
      <c r="C167" s="3"/>
      <c r="D167" s="3"/>
      <c r="E167" s="55" t="s">
        <v>285</v>
      </c>
      <c r="F167" s="219"/>
      <c r="G167" s="3">
        <v>9</v>
      </c>
      <c r="H167" s="54">
        <v>0</v>
      </c>
      <c r="I167" s="54">
        <v>3</v>
      </c>
      <c r="J167" s="3">
        <v>200</v>
      </c>
      <c r="K167" s="57">
        <v>2800</v>
      </c>
      <c r="L167" s="54"/>
      <c r="M167" s="58"/>
      <c r="N167" s="135"/>
      <c r="O167" s="3"/>
      <c r="P167" s="3"/>
      <c r="Q167" s="3"/>
      <c r="R167" s="223"/>
      <c r="S167" s="3"/>
      <c r="T167" s="60"/>
      <c r="U167" s="3"/>
      <c r="V167" s="1"/>
      <c r="W167" s="225"/>
      <c r="X167" s="62"/>
      <c r="Y167" s="63">
        <v>6</v>
      </c>
      <c r="Z167" s="168"/>
      <c r="AA167" s="60">
        <v>30</v>
      </c>
      <c r="AB167" s="60"/>
      <c r="AC167" s="1"/>
      <c r="AD167" s="1"/>
      <c r="AE167" s="3"/>
      <c r="AF167" s="223"/>
      <c r="AG167" s="168"/>
      <c r="AH167" s="168"/>
      <c r="AI167" s="168"/>
      <c r="AJ167" s="168"/>
      <c r="AK167" s="168"/>
      <c r="AL167" s="3"/>
      <c r="AM167" s="3"/>
    </row>
    <row r="168" spans="1:39" outlineLevel="1" x14ac:dyDescent="0.2">
      <c r="A168" s="5">
        <v>941</v>
      </c>
      <c r="B168" s="3" t="s">
        <v>286</v>
      </c>
      <c r="C168" s="3"/>
      <c r="E168" s="55" t="s">
        <v>287</v>
      </c>
      <c r="G168" s="3"/>
      <c r="H168" s="54">
        <v>0</v>
      </c>
      <c r="I168" s="54">
        <v>5</v>
      </c>
      <c r="J168" s="3"/>
      <c r="K168" s="57">
        <v>40</v>
      </c>
      <c r="L168" s="54">
        <v>1</v>
      </c>
      <c r="M168" s="58"/>
      <c r="N168" s="59"/>
      <c r="AC168" s="227">
        <v>-10</v>
      </c>
      <c r="AD168" s="227"/>
      <c r="AE168" s="227">
        <v>-5</v>
      </c>
      <c r="AF168" s="228"/>
    </row>
    <row r="169" spans="1:39" outlineLevel="1" x14ac:dyDescent="0.2">
      <c r="A169" s="5">
        <v>942</v>
      </c>
      <c r="B169" s="3" t="s">
        <v>288</v>
      </c>
      <c r="C169" s="3"/>
      <c r="E169" s="55" t="s">
        <v>289</v>
      </c>
      <c r="G169" s="3"/>
      <c r="H169" s="54">
        <v>0</v>
      </c>
      <c r="I169" s="54">
        <v>5</v>
      </c>
      <c r="J169" s="3"/>
      <c r="K169" s="57">
        <v>40</v>
      </c>
      <c r="L169" s="54">
        <v>1</v>
      </c>
      <c r="M169" s="58"/>
      <c r="N169" s="59"/>
      <c r="AC169" s="227">
        <v>-10</v>
      </c>
      <c r="AD169" s="227"/>
      <c r="AE169" s="227">
        <v>-5</v>
      </c>
      <c r="AF169" s="228"/>
    </row>
    <row r="170" spans="1:39" outlineLevel="1" x14ac:dyDescent="0.2">
      <c r="A170" s="5">
        <v>943</v>
      </c>
      <c r="B170" s="3" t="s">
        <v>290</v>
      </c>
      <c r="C170" s="3"/>
      <c r="E170" s="55" t="s">
        <v>291</v>
      </c>
      <c r="G170" s="3"/>
      <c r="H170" s="54">
        <v>0</v>
      </c>
      <c r="I170" s="54">
        <v>5</v>
      </c>
      <c r="J170" s="3"/>
      <c r="K170" s="57">
        <v>30</v>
      </c>
      <c r="L170" s="54">
        <v>1</v>
      </c>
      <c r="M170" s="58"/>
      <c r="N170" s="59"/>
      <c r="S170" s="229"/>
      <c r="T170" s="230"/>
      <c r="U170" s="231"/>
      <c r="V170" s="231"/>
      <c r="W170" s="232"/>
      <c r="X170" s="233"/>
      <c r="Y170" s="234"/>
      <c r="Z170" s="235"/>
      <c r="AA170" s="236"/>
      <c r="AB170" s="236"/>
      <c r="AC170" s="227">
        <v>-10</v>
      </c>
      <c r="AD170" s="227"/>
      <c r="AE170" s="227">
        <v>-5</v>
      </c>
      <c r="AF170" s="228"/>
    </row>
    <row r="171" spans="1:39" x14ac:dyDescent="0.2">
      <c r="A171" s="237"/>
      <c r="B171" s="238" t="s">
        <v>287</v>
      </c>
      <c r="C171" s="239"/>
      <c r="D171" s="240"/>
      <c r="E171" s="241"/>
      <c r="F171" s="242"/>
      <c r="G171" s="239"/>
      <c r="H171" s="240"/>
      <c r="I171" s="243">
        <v>5</v>
      </c>
      <c r="J171" s="239"/>
      <c r="K171" s="244"/>
      <c r="L171" s="240"/>
      <c r="M171" s="245"/>
      <c r="N171" s="246"/>
      <c r="O171" s="247"/>
      <c r="P171" s="247"/>
      <c r="Q171" s="248"/>
      <c r="R171" s="249"/>
      <c r="S171" s="250"/>
      <c r="T171" s="251"/>
      <c r="U171" s="250"/>
      <c r="V171" s="250"/>
      <c r="W171" s="252"/>
      <c r="X171" s="253"/>
      <c r="Y171" s="254"/>
      <c r="Z171" s="255"/>
      <c r="AA171" s="256"/>
      <c r="AB171" s="256"/>
      <c r="AC171" s="257"/>
      <c r="AD171" s="257"/>
      <c r="AE171" s="257"/>
      <c r="AF171" s="258"/>
    </row>
    <row r="172" spans="1:39" outlineLevel="1" x14ac:dyDescent="0.2">
      <c r="A172" s="5">
        <v>1001</v>
      </c>
      <c r="B172" s="3" t="s">
        <v>287</v>
      </c>
      <c r="C172" s="3" t="s">
        <v>292</v>
      </c>
      <c r="D172" s="6">
        <v>1</v>
      </c>
      <c r="E172" s="55" t="s">
        <v>287</v>
      </c>
      <c r="G172" s="3"/>
      <c r="H172" s="54">
        <v>1</v>
      </c>
      <c r="I172" s="54">
        <v>5</v>
      </c>
      <c r="J172" s="3"/>
      <c r="K172" s="57">
        <v>30</v>
      </c>
      <c r="L172" s="54">
        <v>1</v>
      </c>
      <c r="M172" s="58">
        <v>1</v>
      </c>
      <c r="N172" s="59">
        <f>VLOOKUP(A172,Baupläne!$B$2:$X$1019,21,FALSE)</f>
        <v>3</v>
      </c>
      <c r="AC172" s="227">
        <v>0</v>
      </c>
      <c r="AD172" s="227">
        <v>0</v>
      </c>
      <c r="AE172" s="227"/>
      <c r="AF172" s="228"/>
    </row>
    <row r="173" spans="1:39" outlineLevel="1" x14ac:dyDescent="0.2">
      <c r="A173" s="5">
        <v>1002</v>
      </c>
      <c r="B173" s="3" t="s">
        <v>293</v>
      </c>
      <c r="C173" s="3" t="s">
        <v>292</v>
      </c>
      <c r="D173" s="6">
        <v>6</v>
      </c>
      <c r="E173" s="55" t="s">
        <v>287</v>
      </c>
      <c r="G173" s="3"/>
      <c r="H173" s="54">
        <v>1</v>
      </c>
      <c r="I173" s="54">
        <v>5</v>
      </c>
      <c r="J173" s="3"/>
      <c r="K173" s="57">
        <v>30</v>
      </c>
      <c r="L173" s="54">
        <v>1</v>
      </c>
      <c r="M173" s="58"/>
      <c r="N173" s="59">
        <f>VLOOKUP(A173,Baupläne!$B$2:$X$1019,21,FALSE)</f>
        <v>6.0340715624999977</v>
      </c>
      <c r="AC173" s="227">
        <v>2</v>
      </c>
      <c r="AD173" s="227">
        <v>1</v>
      </c>
      <c r="AE173" s="227"/>
      <c r="AF173" s="228"/>
    </row>
    <row r="174" spans="1:39" outlineLevel="1" x14ac:dyDescent="0.2">
      <c r="A174" s="5">
        <v>1003</v>
      </c>
      <c r="B174" s="3" t="s">
        <v>294</v>
      </c>
      <c r="C174" s="3" t="s">
        <v>292</v>
      </c>
      <c r="D174" s="6">
        <v>11</v>
      </c>
      <c r="E174" s="55" t="s">
        <v>287</v>
      </c>
      <c r="G174" s="3"/>
      <c r="H174" s="54">
        <v>1</v>
      </c>
      <c r="I174" s="54">
        <v>5</v>
      </c>
      <c r="J174" s="3"/>
      <c r="K174" s="57">
        <v>30</v>
      </c>
      <c r="L174" s="54">
        <v>1</v>
      </c>
      <c r="M174" s="58"/>
      <c r="N174" s="59">
        <f>VLOOKUP(A174,Baupläne!$B$2:$X$1019,21,FALSE)</f>
        <v>12.136673207123723</v>
      </c>
      <c r="AC174" s="227">
        <v>4</v>
      </c>
      <c r="AD174" s="227">
        <v>2</v>
      </c>
      <c r="AE174" s="227"/>
      <c r="AF174" s="228"/>
    </row>
    <row r="175" spans="1:39" outlineLevel="1" x14ac:dyDescent="0.2">
      <c r="A175" s="5">
        <v>1004</v>
      </c>
      <c r="B175" s="3" t="s">
        <v>295</v>
      </c>
      <c r="C175" s="3" t="s">
        <v>292</v>
      </c>
      <c r="D175" s="6">
        <v>16</v>
      </c>
      <c r="E175" s="55" t="s">
        <v>287</v>
      </c>
      <c r="G175" s="3"/>
      <c r="H175" s="54">
        <v>1</v>
      </c>
      <c r="I175" s="54">
        <v>5</v>
      </c>
      <c r="J175" s="3"/>
      <c r="K175" s="57">
        <v>30</v>
      </c>
      <c r="L175" s="54">
        <v>1</v>
      </c>
      <c r="M175" s="58"/>
      <c r="N175" s="59">
        <f>VLOOKUP(A175,Baupläne!$B$2:$X$1019,21,FALSE)</f>
        <v>24.411184887486964</v>
      </c>
      <c r="AC175" s="227">
        <v>6</v>
      </c>
      <c r="AD175" s="227">
        <v>3</v>
      </c>
      <c r="AE175" s="227"/>
      <c r="AF175" s="228"/>
    </row>
    <row r="176" spans="1:39" outlineLevel="1" x14ac:dyDescent="0.2">
      <c r="A176" s="5">
        <v>1005</v>
      </c>
      <c r="B176" s="3" t="s">
        <v>296</v>
      </c>
      <c r="C176" s="3" t="s">
        <v>292</v>
      </c>
      <c r="D176" s="6">
        <v>21</v>
      </c>
      <c r="E176" s="55" t="s">
        <v>287</v>
      </c>
      <c r="G176" s="3"/>
      <c r="H176" s="54">
        <v>1</v>
      </c>
      <c r="I176" s="54">
        <v>5</v>
      </c>
      <c r="J176" s="3"/>
      <c r="K176" s="57">
        <v>30</v>
      </c>
      <c r="L176" s="54">
        <v>1</v>
      </c>
      <c r="M176" s="58"/>
      <c r="N176" s="59">
        <f>VLOOKUP(A176,Baupläne!$B$2:$X$1019,21,FALSE)</f>
        <v>49.099612178838271</v>
      </c>
      <c r="AC176" s="227">
        <v>8</v>
      </c>
      <c r="AD176" s="227">
        <v>4</v>
      </c>
      <c r="AE176" s="227"/>
      <c r="AF176" s="228"/>
    </row>
    <row r="177" spans="1:32" x14ac:dyDescent="0.2">
      <c r="A177" s="259"/>
      <c r="B177" s="238" t="s">
        <v>297</v>
      </c>
      <c r="C177" s="239"/>
      <c r="D177" s="240"/>
      <c r="E177" s="241"/>
      <c r="F177" s="242"/>
      <c r="G177" s="239"/>
      <c r="H177" s="240"/>
      <c r="I177" s="243">
        <v>5</v>
      </c>
      <c r="J177" s="239"/>
      <c r="K177" s="244"/>
      <c r="L177" s="240"/>
      <c r="M177" s="245"/>
      <c r="N177" s="246"/>
      <c r="O177" s="247"/>
      <c r="P177" s="247"/>
      <c r="Q177" s="248"/>
      <c r="R177" s="249"/>
      <c r="S177" s="248"/>
      <c r="T177" s="260"/>
      <c r="U177" s="248"/>
      <c r="V177" s="248"/>
      <c r="W177" s="261"/>
      <c r="X177" s="262"/>
      <c r="Y177" s="263"/>
      <c r="Z177" s="264"/>
      <c r="AA177" s="265"/>
      <c r="AB177" s="265"/>
      <c r="AC177" s="257"/>
      <c r="AD177" s="257"/>
      <c r="AE177" s="257"/>
      <c r="AF177" s="258"/>
    </row>
    <row r="178" spans="1:32" outlineLevel="1" x14ac:dyDescent="0.2">
      <c r="A178" s="5">
        <v>1011</v>
      </c>
      <c r="B178" s="3" t="s">
        <v>289</v>
      </c>
      <c r="C178" s="3" t="s">
        <v>292</v>
      </c>
      <c r="D178" s="6">
        <v>1</v>
      </c>
      <c r="E178" s="55" t="s">
        <v>289</v>
      </c>
      <c r="G178" s="3"/>
      <c r="H178" s="54">
        <v>1</v>
      </c>
      <c r="I178" s="54">
        <v>5</v>
      </c>
      <c r="J178" s="3"/>
      <c r="K178" s="57">
        <v>80</v>
      </c>
      <c r="L178" s="54">
        <v>1</v>
      </c>
      <c r="M178" s="58">
        <v>1</v>
      </c>
      <c r="N178" s="59">
        <f>VLOOKUP(A178,Baupläne!$B$2:$X$1019,21,FALSE)</f>
        <v>8</v>
      </c>
      <c r="AC178" s="227">
        <v>0</v>
      </c>
      <c r="AD178" s="227">
        <v>0</v>
      </c>
      <c r="AE178" s="227"/>
      <c r="AF178" s="228"/>
    </row>
    <row r="179" spans="1:32" outlineLevel="1" x14ac:dyDescent="0.2">
      <c r="A179" s="5">
        <v>1012</v>
      </c>
      <c r="B179" s="3" t="s">
        <v>298</v>
      </c>
      <c r="C179" s="3" t="s">
        <v>292</v>
      </c>
      <c r="D179" s="6">
        <v>6</v>
      </c>
      <c r="E179" s="55" t="s">
        <v>289</v>
      </c>
      <c r="G179" s="3"/>
      <c r="H179" s="54">
        <v>1</v>
      </c>
      <c r="I179" s="54">
        <v>5</v>
      </c>
      <c r="J179" s="3"/>
      <c r="K179" s="57">
        <v>80</v>
      </c>
      <c r="L179" s="54">
        <v>1</v>
      </c>
      <c r="M179" s="58"/>
      <c r="N179" s="59">
        <f>VLOOKUP(A179,Baupläne!$B$2:$X$1019,21,FALSE)</f>
        <v>16.090857499999995</v>
      </c>
      <c r="AC179" s="227">
        <v>2</v>
      </c>
      <c r="AD179" s="227">
        <v>1</v>
      </c>
      <c r="AE179" s="227"/>
      <c r="AF179" s="228"/>
    </row>
    <row r="180" spans="1:32" outlineLevel="1" x14ac:dyDescent="0.2">
      <c r="A180" s="5">
        <v>1013</v>
      </c>
      <c r="B180" s="3" t="s">
        <v>299</v>
      </c>
      <c r="C180" s="3" t="s">
        <v>292</v>
      </c>
      <c r="D180" s="6">
        <v>11</v>
      </c>
      <c r="E180" s="55" t="s">
        <v>289</v>
      </c>
      <c r="G180" s="3"/>
      <c r="H180" s="54">
        <v>1</v>
      </c>
      <c r="I180" s="54">
        <v>5</v>
      </c>
      <c r="J180" s="3"/>
      <c r="K180" s="57">
        <v>80</v>
      </c>
      <c r="L180" s="54">
        <v>1</v>
      </c>
      <c r="M180" s="58"/>
      <c r="N180" s="59">
        <f>VLOOKUP(A180,Baupläne!$B$2:$X$1019,21,FALSE)</f>
        <v>32.36446188566326</v>
      </c>
      <c r="AC180" s="227">
        <v>4</v>
      </c>
      <c r="AD180" s="227">
        <v>2</v>
      </c>
      <c r="AE180" s="227"/>
      <c r="AF180" s="228"/>
    </row>
    <row r="181" spans="1:32" outlineLevel="1" x14ac:dyDescent="0.2">
      <c r="A181" s="5">
        <v>1014</v>
      </c>
      <c r="B181" s="3" t="s">
        <v>300</v>
      </c>
      <c r="C181" s="3" t="s">
        <v>292</v>
      </c>
      <c r="D181" s="6">
        <v>16</v>
      </c>
      <c r="E181" s="55" t="s">
        <v>289</v>
      </c>
      <c r="G181" s="3"/>
      <c r="H181" s="54">
        <v>1</v>
      </c>
      <c r="I181" s="54">
        <v>5</v>
      </c>
      <c r="J181" s="3"/>
      <c r="K181" s="57">
        <v>80</v>
      </c>
      <c r="L181" s="54">
        <v>1</v>
      </c>
      <c r="M181" s="58"/>
      <c r="N181" s="59">
        <f>VLOOKUP(A181,Baupläne!$B$2:$X$1019,21,FALSE)</f>
        <v>65.096493033298572</v>
      </c>
      <c r="AC181" s="227">
        <v>6</v>
      </c>
      <c r="AD181" s="227">
        <v>3</v>
      </c>
      <c r="AE181" s="227"/>
      <c r="AF181" s="228"/>
    </row>
    <row r="182" spans="1:32" outlineLevel="1" x14ac:dyDescent="0.2">
      <c r="A182" s="5">
        <v>1015</v>
      </c>
      <c r="B182" s="3" t="s">
        <v>301</v>
      </c>
      <c r="C182" s="3" t="s">
        <v>292</v>
      </c>
      <c r="D182" s="6">
        <v>21</v>
      </c>
      <c r="E182" s="55" t="s">
        <v>289</v>
      </c>
      <c r="G182" s="3"/>
      <c r="H182" s="54">
        <v>1</v>
      </c>
      <c r="I182" s="54">
        <v>5</v>
      </c>
      <c r="J182" s="3"/>
      <c r="K182" s="57">
        <v>80</v>
      </c>
      <c r="L182" s="54">
        <v>1</v>
      </c>
      <c r="M182" s="58"/>
      <c r="N182" s="59">
        <f>VLOOKUP(A182,Baupläne!$B$2:$X$1019,21,FALSE)</f>
        <v>130.93229914356871</v>
      </c>
      <c r="AC182" s="227">
        <v>8</v>
      </c>
      <c r="AD182" s="227">
        <v>4</v>
      </c>
      <c r="AE182" s="227"/>
      <c r="AF182" s="228"/>
    </row>
    <row r="183" spans="1:32" x14ac:dyDescent="0.2">
      <c r="A183" s="259"/>
      <c r="B183" s="238" t="s">
        <v>302</v>
      </c>
      <c r="C183" s="238"/>
      <c r="D183" s="266"/>
      <c r="E183" s="267"/>
      <c r="F183" s="268"/>
      <c r="G183" s="238"/>
      <c r="H183" s="266"/>
      <c r="I183" s="243">
        <v>5</v>
      </c>
      <c r="J183" s="238"/>
      <c r="K183" s="269"/>
      <c r="L183" s="266"/>
      <c r="M183" s="270"/>
      <c r="N183" s="246"/>
      <c r="O183" s="247"/>
      <c r="P183" s="247"/>
      <c r="Q183" s="248"/>
      <c r="R183" s="249"/>
      <c r="S183" s="248"/>
      <c r="T183" s="260"/>
      <c r="U183" s="248"/>
      <c r="V183" s="248"/>
      <c r="W183" s="261"/>
      <c r="X183" s="262"/>
      <c r="Y183" s="263"/>
      <c r="Z183" s="264"/>
      <c r="AA183" s="265"/>
      <c r="AB183" s="265"/>
      <c r="AC183" s="257"/>
      <c r="AD183" s="257"/>
      <c r="AE183" s="257"/>
      <c r="AF183" s="258"/>
    </row>
    <row r="184" spans="1:32" outlineLevel="1" x14ac:dyDescent="0.2">
      <c r="A184" s="5">
        <v>1021</v>
      </c>
      <c r="B184" s="3" t="s">
        <v>303</v>
      </c>
      <c r="C184" s="3" t="s">
        <v>292</v>
      </c>
      <c r="D184" s="6">
        <v>1</v>
      </c>
      <c r="E184" s="55" t="s">
        <v>291</v>
      </c>
      <c r="G184" s="3"/>
      <c r="H184" s="54">
        <v>1</v>
      </c>
      <c r="I184" s="54">
        <v>5</v>
      </c>
      <c r="J184" s="3"/>
      <c r="K184" s="57">
        <v>30</v>
      </c>
      <c r="L184" s="54">
        <v>1</v>
      </c>
      <c r="M184" s="58">
        <v>1</v>
      </c>
      <c r="N184" s="59">
        <f>VLOOKUP(A184,Baupläne!$B$2:$X$1019,21,FALSE)</f>
        <v>4</v>
      </c>
      <c r="AC184" s="227">
        <v>0</v>
      </c>
      <c r="AD184" s="227"/>
      <c r="AE184" s="227">
        <v>0</v>
      </c>
      <c r="AF184" s="228"/>
    </row>
    <row r="185" spans="1:32" outlineLevel="1" x14ac:dyDescent="0.2">
      <c r="A185" s="5">
        <v>1022</v>
      </c>
      <c r="B185" s="3" t="s">
        <v>304</v>
      </c>
      <c r="C185" s="3" t="s">
        <v>292</v>
      </c>
      <c r="D185" s="6">
        <v>6</v>
      </c>
      <c r="E185" s="55" t="s">
        <v>291</v>
      </c>
      <c r="G185" s="3"/>
      <c r="H185" s="54">
        <v>1</v>
      </c>
      <c r="I185" s="54">
        <v>5</v>
      </c>
      <c r="J185" s="3"/>
      <c r="K185" s="57">
        <v>30</v>
      </c>
      <c r="L185" s="54">
        <v>1</v>
      </c>
      <c r="M185" s="58"/>
      <c r="N185" s="59">
        <f>VLOOKUP(A185,Baupläne!$B$2:$X$1019,21,FALSE)</f>
        <v>8.0454287499999975</v>
      </c>
      <c r="AC185" s="227">
        <v>2</v>
      </c>
      <c r="AD185" s="227"/>
      <c r="AE185" s="227">
        <v>1</v>
      </c>
      <c r="AF185" s="228"/>
    </row>
    <row r="186" spans="1:32" outlineLevel="1" x14ac:dyDescent="0.2">
      <c r="A186" s="5">
        <v>1023</v>
      </c>
      <c r="B186" s="3" t="s">
        <v>305</v>
      </c>
      <c r="C186" s="3" t="s">
        <v>292</v>
      </c>
      <c r="D186" s="6">
        <v>11</v>
      </c>
      <c r="E186" s="55" t="s">
        <v>291</v>
      </c>
      <c r="G186" s="3"/>
      <c r="H186" s="54">
        <v>1</v>
      </c>
      <c r="I186" s="54">
        <v>5</v>
      </c>
      <c r="J186" s="3"/>
      <c r="K186" s="57">
        <v>30</v>
      </c>
      <c r="L186" s="54">
        <v>1</v>
      </c>
      <c r="M186" s="58"/>
      <c r="N186" s="59">
        <f>VLOOKUP(A186,Baupläne!$B$2:$X$1019,21,FALSE)</f>
        <v>16.18223094283163</v>
      </c>
      <c r="AC186" s="227">
        <v>4</v>
      </c>
      <c r="AD186" s="227"/>
      <c r="AE186" s="227">
        <v>2</v>
      </c>
      <c r="AF186" s="228"/>
    </row>
    <row r="187" spans="1:32" outlineLevel="1" x14ac:dyDescent="0.2">
      <c r="A187" s="5">
        <v>1024</v>
      </c>
      <c r="B187" s="3" t="s">
        <v>306</v>
      </c>
      <c r="C187" s="3" t="s">
        <v>292</v>
      </c>
      <c r="D187" s="6">
        <v>16</v>
      </c>
      <c r="E187" s="55" t="s">
        <v>291</v>
      </c>
      <c r="G187" s="3"/>
      <c r="H187" s="54">
        <v>1</v>
      </c>
      <c r="I187" s="54">
        <v>5</v>
      </c>
      <c r="J187" s="3"/>
      <c r="K187" s="57">
        <v>30</v>
      </c>
      <c r="L187" s="54">
        <v>1</v>
      </c>
      <c r="M187" s="58"/>
      <c r="N187" s="59">
        <f>VLOOKUP(A187,Baupläne!$B$2:$X$1019,21,FALSE)</f>
        <v>32.548246516649286</v>
      </c>
      <c r="AC187" s="227">
        <v>6</v>
      </c>
      <c r="AD187" s="227"/>
      <c r="AE187" s="227">
        <v>3</v>
      </c>
      <c r="AF187" s="228"/>
    </row>
    <row r="188" spans="1:32" outlineLevel="1" x14ac:dyDescent="0.2">
      <c r="A188" s="5">
        <v>1025</v>
      </c>
      <c r="B188" s="3" t="s">
        <v>307</v>
      </c>
      <c r="C188" s="3" t="s">
        <v>292</v>
      </c>
      <c r="D188" s="6">
        <v>21</v>
      </c>
      <c r="E188" s="55" t="s">
        <v>291</v>
      </c>
      <c r="G188" s="3"/>
      <c r="H188" s="54">
        <v>1</v>
      </c>
      <c r="I188" s="54">
        <v>5</v>
      </c>
      <c r="J188" s="3"/>
      <c r="K188" s="57">
        <v>30</v>
      </c>
      <c r="L188" s="54">
        <v>1</v>
      </c>
      <c r="M188" s="58"/>
      <c r="N188" s="59">
        <f>VLOOKUP(A188,Baupläne!$B$2:$X$1019,21,FALSE)</f>
        <v>65.466149571784356</v>
      </c>
      <c r="AC188" s="227">
        <v>8</v>
      </c>
      <c r="AD188" s="227"/>
      <c r="AE188" s="227">
        <v>4</v>
      </c>
      <c r="AF188" s="228"/>
    </row>
    <row r="189" spans="1:32" x14ac:dyDescent="0.2">
      <c r="A189" s="271"/>
      <c r="B189" s="272" t="s">
        <v>308</v>
      </c>
      <c r="C189" s="272"/>
      <c r="D189" s="273"/>
      <c r="E189" s="274"/>
      <c r="F189" s="275"/>
      <c r="G189" s="272"/>
      <c r="H189" s="273"/>
      <c r="I189" s="273"/>
      <c r="J189" s="272"/>
      <c r="K189" s="276"/>
      <c r="L189" s="273"/>
      <c r="M189" s="277"/>
      <c r="N189" s="278"/>
      <c r="O189" s="279">
        <v>4</v>
      </c>
      <c r="P189" s="280">
        <f>VLOOKUP(B189,Berechnungen!$A$70:$E$79,3,FALSE)</f>
        <v>1</v>
      </c>
      <c r="Q189" s="281"/>
      <c r="R189" s="280">
        <f>VLOOKUP(B189,Berechnungen!$A$70:$E$79,5,FALSE)</f>
        <v>0.2</v>
      </c>
      <c r="S189" s="281"/>
      <c r="T189" s="282"/>
      <c r="U189" s="281"/>
      <c r="V189" s="281"/>
      <c r="W189" s="283"/>
      <c r="X189" s="284"/>
      <c r="Y189" s="285"/>
      <c r="Z189" s="286"/>
      <c r="AA189" s="287"/>
      <c r="AB189" s="287"/>
      <c r="AC189" s="288"/>
      <c r="AD189" s="288"/>
      <c r="AE189" s="288"/>
      <c r="AF189" s="289"/>
    </row>
    <row r="190" spans="1:32" outlineLevel="1" x14ac:dyDescent="0.2">
      <c r="A190" s="5">
        <v>1101</v>
      </c>
      <c r="B190" s="1" t="s">
        <v>309</v>
      </c>
      <c r="C190" s="1" t="s">
        <v>308</v>
      </c>
      <c r="D190" s="6">
        <v>1</v>
      </c>
      <c r="E190" s="7" t="s">
        <v>257</v>
      </c>
      <c r="G190" s="1">
        <v>1</v>
      </c>
      <c r="H190" s="6">
        <v>1</v>
      </c>
      <c r="I190" s="6">
        <v>1</v>
      </c>
      <c r="J190" s="1">
        <v>100</v>
      </c>
      <c r="K190" s="9">
        <v>2000</v>
      </c>
      <c r="M190" s="10">
        <v>1</v>
      </c>
      <c r="N190" s="59">
        <f>VLOOKUP(A190,Baupläne!$B$2:$X$1019,23,FALSE)</f>
        <v>1200</v>
      </c>
      <c r="O190" s="133">
        <f t="shared" ref="O190:O204" si="2">$O$189</f>
        <v>4</v>
      </c>
      <c r="P190" s="290">
        <f t="shared" ref="P190:P204" si="3">$P$189</f>
        <v>1</v>
      </c>
      <c r="Q190" s="291">
        <f>VLOOKUP(D190,Berechnungen!$A$3:$J$32,O190+6,FALSE)*P190</f>
        <v>9.7829889538661448</v>
      </c>
      <c r="R190" s="292">
        <f t="shared" ref="R190:R204" si="4">$R$189</f>
        <v>0.2</v>
      </c>
      <c r="S190" s="14">
        <f>ROUND(Q190-Q190*R190,0)</f>
        <v>8</v>
      </c>
      <c r="T190" s="16">
        <f>ROUND(Q190+Q190*R190,0)</f>
        <v>12</v>
      </c>
      <c r="U190" s="14">
        <f>O190*S190</f>
        <v>32</v>
      </c>
      <c r="V190" s="14">
        <f>O190*T190</f>
        <v>48</v>
      </c>
      <c r="AC190" s="227"/>
      <c r="AD190" s="227"/>
      <c r="AE190" s="227"/>
      <c r="AF190" s="228"/>
    </row>
    <row r="191" spans="1:32" outlineLevel="1" x14ac:dyDescent="0.2">
      <c r="A191" s="5">
        <v>1102</v>
      </c>
      <c r="B191" s="1" t="s">
        <v>310</v>
      </c>
      <c r="C191" s="1" t="s">
        <v>308</v>
      </c>
      <c r="D191" s="6">
        <v>4</v>
      </c>
      <c r="E191" s="7" t="s">
        <v>257</v>
      </c>
      <c r="G191" s="1">
        <v>1</v>
      </c>
      <c r="H191" s="6">
        <v>1</v>
      </c>
      <c r="I191" s="6">
        <v>1</v>
      </c>
      <c r="J191" s="1">
        <v>100</v>
      </c>
      <c r="K191" s="9">
        <v>2200</v>
      </c>
      <c r="M191" s="10">
        <v>1</v>
      </c>
      <c r="N191" s="59">
        <f>VLOOKUP(A191,Baupläne!$B$2:$X$1019,23,FALSE)</f>
        <v>1800</v>
      </c>
      <c r="O191" s="133">
        <f t="shared" si="2"/>
        <v>4</v>
      </c>
      <c r="P191" s="290">
        <f t="shared" si="3"/>
        <v>1</v>
      </c>
      <c r="Q191" s="291">
        <f>VLOOKUP(D191,Berechnungen!$A$3:$J$32,O191+6,FALSE)*P191</f>
        <v>14.663027940220921</v>
      </c>
      <c r="R191" s="292">
        <f t="shared" si="4"/>
        <v>0.2</v>
      </c>
      <c r="S191" s="14">
        <f t="shared" ref="S191:S199" si="5">ROUND(Q191-Q191*R191,0)</f>
        <v>12</v>
      </c>
      <c r="T191" s="16">
        <f t="shared" ref="T191:T199" si="6">ROUND(Q191+Q191*R191,0)</f>
        <v>18</v>
      </c>
      <c r="U191" s="14">
        <f t="shared" ref="U191:U282" si="7">O191*S191</f>
        <v>48</v>
      </c>
      <c r="V191" s="14">
        <f t="shared" ref="V191:V282" si="8">O191*T191</f>
        <v>72</v>
      </c>
      <c r="AC191" s="227"/>
      <c r="AD191" s="227"/>
      <c r="AE191" s="227"/>
      <c r="AF191" s="228"/>
    </row>
    <row r="192" spans="1:32" outlineLevel="1" x14ac:dyDescent="0.2">
      <c r="A192" s="5">
        <v>1103</v>
      </c>
      <c r="B192" s="1" t="s">
        <v>311</v>
      </c>
      <c r="C192" s="1" t="s">
        <v>308</v>
      </c>
      <c r="D192" s="6">
        <v>6</v>
      </c>
      <c r="E192" s="7" t="s">
        <v>257</v>
      </c>
      <c r="G192" s="1">
        <v>1</v>
      </c>
      <c r="H192" s="6">
        <v>1</v>
      </c>
      <c r="I192" s="6">
        <v>1</v>
      </c>
      <c r="J192" s="1">
        <v>100</v>
      </c>
      <c r="K192" s="9">
        <v>2600</v>
      </c>
      <c r="M192" s="10">
        <v>2</v>
      </c>
      <c r="N192" s="59">
        <f>VLOOKUP(A192,Baupläne!$B$2:$X$1019,23,FALSE)</f>
        <v>2400</v>
      </c>
      <c r="O192" s="133">
        <f t="shared" si="2"/>
        <v>4</v>
      </c>
      <c r="P192" s="290">
        <f t="shared" si="3"/>
        <v>1</v>
      </c>
      <c r="Q192" s="291">
        <f>VLOOKUP(D192,Berechnungen!$A$3:$J$32,O192+6,FALSE)*P192</f>
        <v>18.145497076023389</v>
      </c>
      <c r="R192" s="292">
        <f t="shared" si="4"/>
        <v>0.2</v>
      </c>
      <c r="S192" s="14">
        <f t="shared" si="5"/>
        <v>15</v>
      </c>
      <c r="T192" s="16">
        <f t="shared" si="6"/>
        <v>22</v>
      </c>
      <c r="U192" s="14">
        <f t="shared" si="7"/>
        <v>60</v>
      </c>
      <c r="V192" s="14">
        <f t="shared" si="8"/>
        <v>88</v>
      </c>
      <c r="AC192" s="227"/>
      <c r="AD192" s="227"/>
      <c r="AE192" s="227"/>
      <c r="AF192" s="228"/>
    </row>
    <row r="193" spans="1:32" outlineLevel="1" x14ac:dyDescent="0.2">
      <c r="A193" s="5">
        <v>1104</v>
      </c>
      <c r="B193" s="1" t="s">
        <v>312</v>
      </c>
      <c r="C193" s="1" t="s">
        <v>308</v>
      </c>
      <c r="D193" s="6">
        <v>9</v>
      </c>
      <c r="E193" s="7" t="s">
        <v>257</v>
      </c>
      <c r="G193" s="1">
        <v>1</v>
      </c>
      <c r="H193" s="6">
        <v>1</v>
      </c>
      <c r="I193" s="6">
        <v>1</v>
      </c>
      <c r="J193" s="1">
        <v>100</v>
      </c>
      <c r="K193" s="9">
        <v>2100</v>
      </c>
      <c r="M193" s="10">
        <v>2</v>
      </c>
      <c r="N193" s="59">
        <f>VLOOKUP(A193,Baupläne!$B$2:$X$1019,23,FALSE)</f>
        <v>3700</v>
      </c>
      <c r="O193" s="133">
        <f t="shared" si="2"/>
        <v>4</v>
      </c>
      <c r="P193" s="290">
        <f t="shared" si="3"/>
        <v>1</v>
      </c>
      <c r="Q193" s="291">
        <f>VLOOKUP(D193,Berechnungen!$A$3:$J$32,O193+6,FALSE)*P193</f>
        <v>23.71286549707602</v>
      </c>
      <c r="R193" s="292">
        <f t="shared" si="4"/>
        <v>0.2</v>
      </c>
      <c r="S193" s="14">
        <f t="shared" si="5"/>
        <v>19</v>
      </c>
      <c r="T193" s="16">
        <f t="shared" si="6"/>
        <v>28</v>
      </c>
      <c r="U193" s="14">
        <f t="shared" si="7"/>
        <v>76</v>
      </c>
      <c r="V193" s="14">
        <f t="shared" si="8"/>
        <v>112</v>
      </c>
      <c r="AC193" s="227"/>
      <c r="AD193" s="227"/>
      <c r="AE193" s="227"/>
      <c r="AF193" s="228"/>
    </row>
    <row r="194" spans="1:32" outlineLevel="1" x14ac:dyDescent="0.2">
      <c r="A194" s="5">
        <v>1105</v>
      </c>
      <c r="B194" s="1" t="s">
        <v>313</v>
      </c>
      <c r="C194" s="1" t="s">
        <v>308</v>
      </c>
      <c r="D194" s="6">
        <v>11</v>
      </c>
      <c r="E194" s="7" t="s">
        <v>257</v>
      </c>
      <c r="G194" s="1">
        <v>1</v>
      </c>
      <c r="H194" s="6">
        <v>1</v>
      </c>
      <c r="I194" s="6">
        <v>1</v>
      </c>
      <c r="J194" s="1">
        <v>100</v>
      </c>
      <c r="K194" s="9">
        <v>2300</v>
      </c>
      <c r="M194" s="10">
        <v>3</v>
      </c>
      <c r="N194" s="59">
        <f>VLOOKUP(A194,Baupläne!$B$2:$X$1019,23,FALSE)</f>
        <v>4900</v>
      </c>
      <c r="O194" s="133">
        <f t="shared" si="2"/>
        <v>4</v>
      </c>
      <c r="P194" s="290">
        <f t="shared" si="3"/>
        <v>1</v>
      </c>
      <c r="Q194" s="291">
        <f>VLOOKUP(D194,Berechnungen!$A$3:$J$32,O194+6,FALSE)*P194</f>
        <v>27.653554256010388</v>
      </c>
      <c r="R194" s="292">
        <f t="shared" si="4"/>
        <v>0.2</v>
      </c>
      <c r="S194" s="14">
        <f t="shared" si="5"/>
        <v>22</v>
      </c>
      <c r="T194" s="16">
        <f t="shared" si="6"/>
        <v>33</v>
      </c>
      <c r="U194" s="14">
        <f t="shared" si="7"/>
        <v>88</v>
      </c>
      <c r="V194" s="14">
        <f t="shared" si="8"/>
        <v>132</v>
      </c>
      <c r="AC194" s="227"/>
      <c r="AD194" s="227"/>
      <c r="AE194" s="227"/>
      <c r="AF194" s="228"/>
    </row>
    <row r="195" spans="1:32" outlineLevel="1" x14ac:dyDescent="0.2">
      <c r="A195" s="5">
        <v>1106</v>
      </c>
      <c r="B195" s="1" t="s">
        <v>314</v>
      </c>
      <c r="C195" s="1" t="s">
        <v>308</v>
      </c>
      <c r="D195" s="6">
        <v>14</v>
      </c>
      <c r="E195" s="7" t="s">
        <v>257</v>
      </c>
      <c r="G195" s="1">
        <v>1</v>
      </c>
      <c r="H195" s="6">
        <v>1</v>
      </c>
      <c r="I195" s="6">
        <v>1</v>
      </c>
      <c r="J195" s="1">
        <v>100</v>
      </c>
      <c r="K195" s="9">
        <v>2500</v>
      </c>
      <c r="M195" s="10">
        <v>3</v>
      </c>
      <c r="N195" s="59">
        <f>VLOOKUP(A195,Baupläne!$B$2:$X$1019,23,FALSE)</f>
        <v>7400</v>
      </c>
      <c r="O195" s="133">
        <f t="shared" si="2"/>
        <v>4</v>
      </c>
      <c r="P195" s="290">
        <f t="shared" si="3"/>
        <v>1</v>
      </c>
      <c r="Q195" s="291">
        <f>VLOOKUP(D195,Berechnungen!$A$3:$J$32,O195+6,FALSE)*P195</f>
        <v>33.908252111760881</v>
      </c>
      <c r="R195" s="292">
        <f t="shared" si="4"/>
        <v>0.2</v>
      </c>
      <c r="S195" s="14">
        <f t="shared" si="5"/>
        <v>27</v>
      </c>
      <c r="T195" s="16">
        <f t="shared" si="6"/>
        <v>41</v>
      </c>
      <c r="U195" s="14">
        <f t="shared" si="7"/>
        <v>108</v>
      </c>
      <c r="V195" s="14">
        <f t="shared" si="8"/>
        <v>164</v>
      </c>
      <c r="AC195" s="227"/>
      <c r="AD195" s="227"/>
      <c r="AE195" s="227"/>
      <c r="AF195" s="228"/>
    </row>
    <row r="196" spans="1:32" outlineLevel="1" x14ac:dyDescent="0.2">
      <c r="A196" s="5">
        <v>1107</v>
      </c>
      <c r="B196" s="1" t="s">
        <v>315</v>
      </c>
      <c r="C196" s="1" t="s">
        <v>308</v>
      </c>
      <c r="D196" s="6">
        <v>16</v>
      </c>
      <c r="E196" s="7" t="s">
        <v>257</v>
      </c>
      <c r="G196" s="1">
        <v>1</v>
      </c>
      <c r="H196" s="6">
        <v>1</v>
      </c>
      <c r="I196" s="6">
        <v>1</v>
      </c>
      <c r="J196" s="1">
        <v>100</v>
      </c>
      <c r="K196" s="9">
        <v>2400</v>
      </c>
      <c r="M196" s="10">
        <v>4</v>
      </c>
      <c r="N196" s="59">
        <f>VLOOKUP(A196,Baupläne!$B$2:$X$1019,23,FALSE)</f>
        <v>9800</v>
      </c>
      <c r="O196" s="133">
        <f t="shared" si="2"/>
        <v>4</v>
      </c>
      <c r="P196" s="290">
        <f t="shared" si="3"/>
        <v>1</v>
      </c>
      <c r="Q196" s="291">
        <f>VLOOKUP(D196,Berechnungen!$A$3:$J$32,O196+6,FALSE)*P196</f>
        <v>38.307160493827155</v>
      </c>
      <c r="R196" s="292">
        <f t="shared" si="4"/>
        <v>0.2</v>
      </c>
      <c r="S196" s="14">
        <f t="shared" si="5"/>
        <v>31</v>
      </c>
      <c r="T196" s="16">
        <f t="shared" si="6"/>
        <v>46</v>
      </c>
      <c r="U196" s="14">
        <f t="shared" si="7"/>
        <v>124</v>
      </c>
      <c r="V196" s="14">
        <f t="shared" si="8"/>
        <v>184</v>
      </c>
      <c r="AC196" s="227"/>
      <c r="AD196" s="227"/>
      <c r="AE196" s="227"/>
      <c r="AF196" s="228"/>
    </row>
    <row r="197" spans="1:32" outlineLevel="1" x14ac:dyDescent="0.2">
      <c r="A197" s="5">
        <v>1108</v>
      </c>
      <c r="B197" s="3" t="s">
        <v>316</v>
      </c>
      <c r="C197" s="3" t="s">
        <v>308</v>
      </c>
      <c r="D197" s="6">
        <v>19</v>
      </c>
      <c r="E197" s="55" t="s">
        <v>257</v>
      </c>
      <c r="G197" s="3">
        <v>1</v>
      </c>
      <c r="H197" s="54">
        <v>1</v>
      </c>
      <c r="I197" s="54">
        <v>1</v>
      </c>
      <c r="J197" s="3">
        <v>100</v>
      </c>
      <c r="K197" s="57">
        <v>2400</v>
      </c>
      <c r="L197" s="54"/>
      <c r="M197" s="58">
        <v>4</v>
      </c>
      <c r="N197" s="59">
        <f>VLOOKUP(A197,Baupläne!$B$2:$X$1019,23,FALSE)</f>
        <v>14900</v>
      </c>
      <c r="O197" s="133">
        <f t="shared" si="2"/>
        <v>4</v>
      </c>
      <c r="P197" s="290">
        <f t="shared" si="3"/>
        <v>1</v>
      </c>
      <c r="Q197" s="291">
        <f>VLOOKUP(D197,Berechnungen!$A$3:$J$32,O197+6,FALSE)*P197</f>
        <v>45.249187784275499</v>
      </c>
      <c r="R197" s="292">
        <f t="shared" si="4"/>
        <v>0.2</v>
      </c>
      <c r="S197" s="14">
        <f t="shared" si="5"/>
        <v>36</v>
      </c>
      <c r="T197" s="16">
        <f t="shared" si="6"/>
        <v>54</v>
      </c>
      <c r="U197" s="14">
        <f t="shared" si="7"/>
        <v>144</v>
      </c>
      <c r="V197" s="14">
        <f t="shared" si="8"/>
        <v>216</v>
      </c>
      <c r="AC197" s="227"/>
      <c r="AD197" s="227"/>
      <c r="AE197" s="227"/>
      <c r="AF197" s="228"/>
    </row>
    <row r="198" spans="1:32" outlineLevel="1" x14ac:dyDescent="0.2">
      <c r="A198" s="5">
        <v>1109</v>
      </c>
      <c r="B198" s="1" t="s">
        <v>317</v>
      </c>
      <c r="C198" s="1" t="s">
        <v>308</v>
      </c>
      <c r="D198" s="6">
        <v>22</v>
      </c>
      <c r="E198" s="7" t="s">
        <v>257</v>
      </c>
      <c r="G198" s="1">
        <v>1</v>
      </c>
      <c r="H198" s="6">
        <v>1</v>
      </c>
      <c r="I198" s="6">
        <v>1</v>
      </c>
      <c r="J198" s="1">
        <v>100</v>
      </c>
      <c r="K198" s="9">
        <v>2300</v>
      </c>
      <c r="M198" s="10">
        <v>5</v>
      </c>
      <c r="N198" s="59">
        <f>VLOOKUP(A198,Baupläne!$B$2:$X$1019,23,FALSE)</f>
        <v>22600</v>
      </c>
      <c r="O198" s="133">
        <f t="shared" si="2"/>
        <v>4</v>
      </c>
      <c r="P198" s="290">
        <f t="shared" si="3"/>
        <v>1</v>
      </c>
      <c r="Q198" s="291">
        <f>VLOOKUP(D198,Berechnungen!$A$3:$J$32,O198+6,FALSE)*P198</f>
        <v>52.603612735542555</v>
      </c>
      <c r="R198" s="292">
        <f t="shared" si="4"/>
        <v>0.2</v>
      </c>
      <c r="S198" s="14">
        <f t="shared" si="5"/>
        <v>42</v>
      </c>
      <c r="T198" s="16">
        <f t="shared" si="6"/>
        <v>63</v>
      </c>
      <c r="U198" s="14">
        <f t="shared" si="7"/>
        <v>168</v>
      </c>
      <c r="V198" s="14">
        <f t="shared" si="8"/>
        <v>252</v>
      </c>
      <c r="AC198" s="227"/>
      <c r="AD198" s="227"/>
      <c r="AE198" s="227"/>
      <c r="AF198" s="228"/>
    </row>
    <row r="199" spans="1:32" outlineLevel="1" x14ac:dyDescent="0.2">
      <c r="A199" s="5">
        <v>1110</v>
      </c>
      <c r="B199" s="1" t="s">
        <v>318</v>
      </c>
      <c r="C199" s="1" t="s">
        <v>308</v>
      </c>
      <c r="D199" s="6">
        <v>25</v>
      </c>
      <c r="E199" s="7" t="s">
        <v>257</v>
      </c>
      <c r="G199" s="1">
        <v>1</v>
      </c>
      <c r="H199" s="6">
        <v>1</v>
      </c>
      <c r="I199" s="6">
        <v>1</v>
      </c>
      <c r="J199" s="1">
        <v>100</v>
      </c>
      <c r="K199" s="9">
        <v>2300</v>
      </c>
      <c r="M199" s="10">
        <v>5</v>
      </c>
      <c r="N199" s="59">
        <f>VLOOKUP(A199,Baupläne!$B$2:$X$1019,23,FALSE)</f>
        <v>34400</v>
      </c>
      <c r="O199" s="133">
        <f t="shared" si="2"/>
        <v>4</v>
      </c>
      <c r="P199" s="290">
        <f t="shared" si="3"/>
        <v>1</v>
      </c>
      <c r="Q199" s="291">
        <f>VLOOKUP(D199,Berechnungen!$A$3:$J$32,O199+6,FALSE)*P199</f>
        <v>60.37043534762833</v>
      </c>
      <c r="R199" s="292">
        <f t="shared" si="4"/>
        <v>0.2</v>
      </c>
      <c r="S199" s="14">
        <f t="shared" si="5"/>
        <v>48</v>
      </c>
      <c r="T199" s="16">
        <f t="shared" si="6"/>
        <v>72</v>
      </c>
      <c r="U199" s="14">
        <f t="shared" si="7"/>
        <v>192</v>
      </c>
      <c r="V199" s="14">
        <f t="shared" si="8"/>
        <v>288</v>
      </c>
      <c r="AC199" s="227"/>
      <c r="AD199" s="227"/>
      <c r="AE199" s="227"/>
      <c r="AF199" s="228"/>
    </row>
    <row r="200" spans="1:32" s="294" customFormat="1" outlineLevel="1" x14ac:dyDescent="0.2">
      <c r="A200" s="293">
        <v>2101</v>
      </c>
      <c r="B200" s="294" t="s">
        <v>319</v>
      </c>
      <c r="C200" s="294" t="s">
        <v>308</v>
      </c>
      <c r="D200" s="295">
        <v>4</v>
      </c>
      <c r="E200" s="296" t="s">
        <v>257</v>
      </c>
      <c r="F200" s="8"/>
      <c r="G200" s="294">
        <v>1</v>
      </c>
      <c r="H200" s="295">
        <v>2</v>
      </c>
      <c r="I200" s="295">
        <v>1</v>
      </c>
      <c r="J200" s="294">
        <v>100</v>
      </c>
      <c r="K200" s="297">
        <v>2000</v>
      </c>
      <c r="L200" s="295"/>
      <c r="M200" s="298"/>
      <c r="N200" s="299">
        <f>VLOOKUP(A200,Baupläne!$B$2:$X$1019,23,FALSE)</f>
        <v>2800</v>
      </c>
      <c r="O200" s="178">
        <f t="shared" si="2"/>
        <v>4</v>
      </c>
      <c r="P200" s="190">
        <f t="shared" si="3"/>
        <v>1</v>
      </c>
      <c r="Q200" s="182">
        <f>VLOOKUP(D200+3,Berechnungen!$A$3:$J$32,O200+6,FALSE)*P200</f>
        <v>19.95546458739441</v>
      </c>
      <c r="R200" s="300">
        <f t="shared" si="4"/>
        <v>0.2</v>
      </c>
      <c r="S200" s="301">
        <f>ROUND(Q200-Q200*R200,0)</f>
        <v>16</v>
      </c>
      <c r="T200" s="302">
        <f>ROUND(Q200+Q200*R200,0)</f>
        <v>24</v>
      </c>
      <c r="U200" s="301">
        <f>O200*S200</f>
        <v>64</v>
      </c>
      <c r="V200" s="301">
        <f>O200*T200</f>
        <v>96</v>
      </c>
      <c r="W200" s="303"/>
      <c r="X200" s="304"/>
      <c r="Y200" s="305"/>
      <c r="AA200" s="306"/>
      <c r="AB200" s="306"/>
      <c r="AC200" s="307"/>
      <c r="AD200" s="307"/>
      <c r="AE200" s="307"/>
      <c r="AF200" s="308"/>
    </row>
    <row r="201" spans="1:32" s="294" customFormat="1" outlineLevel="1" x14ac:dyDescent="0.2">
      <c r="A201" s="293">
        <v>2102</v>
      </c>
      <c r="B201" s="294" t="s">
        <v>320</v>
      </c>
      <c r="C201" s="294" t="s">
        <v>308</v>
      </c>
      <c r="D201" s="295">
        <v>9</v>
      </c>
      <c r="E201" s="296" t="s">
        <v>257</v>
      </c>
      <c r="F201" s="8"/>
      <c r="G201" s="294">
        <v>1</v>
      </c>
      <c r="H201" s="295">
        <v>2</v>
      </c>
      <c r="I201" s="295">
        <v>1</v>
      </c>
      <c r="J201" s="294">
        <v>100</v>
      </c>
      <c r="K201" s="297">
        <v>2600</v>
      </c>
      <c r="L201" s="295"/>
      <c r="M201" s="298"/>
      <c r="N201" s="299">
        <f>VLOOKUP(A201,Baupläne!$B$2:$X$1019,23,FALSE)</f>
        <v>5700</v>
      </c>
      <c r="O201" s="178">
        <f t="shared" si="2"/>
        <v>4</v>
      </c>
      <c r="P201" s="190">
        <f t="shared" si="3"/>
        <v>1</v>
      </c>
      <c r="Q201" s="182">
        <f>VLOOKUP(D201+3,Berechnungen!$A$3:$J$32,O201+6,FALSE)*P201</f>
        <v>29.692631578947363</v>
      </c>
      <c r="R201" s="300">
        <f t="shared" si="4"/>
        <v>0.2</v>
      </c>
      <c r="S201" s="301">
        <f>ROUND(Q201-Q201*R201,0)</f>
        <v>24</v>
      </c>
      <c r="T201" s="302">
        <f>ROUND(Q201+Q201*R201,0)</f>
        <v>36</v>
      </c>
      <c r="U201" s="301">
        <f>O201*S201</f>
        <v>96</v>
      </c>
      <c r="V201" s="301">
        <f>O201*T201</f>
        <v>144</v>
      </c>
      <c r="W201" s="303"/>
      <c r="X201" s="304"/>
      <c r="Y201" s="305"/>
      <c r="AA201" s="306"/>
      <c r="AB201" s="306"/>
      <c r="AC201" s="307"/>
      <c r="AD201" s="307"/>
      <c r="AE201" s="307"/>
      <c r="AF201" s="308"/>
    </row>
    <row r="202" spans="1:32" s="294" customFormat="1" outlineLevel="1" x14ac:dyDescent="0.2">
      <c r="A202" s="293">
        <v>2103</v>
      </c>
      <c r="B202" s="294" t="s">
        <v>321</v>
      </c>
      <c r="C202" s="294" t="s">
        <v>308</v>
      </c>
      <c r="D202" s="295">
        <v>14</v>
      </c>
      <c r="E202" s="296" t="s">
        <v>257</v>
      </c>
      <c r="F202" s="8"/>
      <c r="G202" s="294">
        <v>1</v>
      </c>
      <c r="H202" s="295">
        <v>2</v>
      </c>
      <c r="I202" s="295">
        <v>1</v>
      </c>
      <c r="J202" s="294">
        <v>100</v>
      </c>
      <c r="K202" s="297">
        <v>2300</v>
      </c>
      <c r="L202" s="295"/>
      <c r="M202" s="298"/>
      <c r="N202" s="299">
        <f>VLOOKUP(A202,Baupläne!$B$2:$X$1019,23,FALSE)</f>
        <v>11400</v>
      </c>
      <c r="O202" s="178">
        <f t="shared" si="2"/>
        <v>4</v>
      </c>
      <c r="P202" s="190">
        <f t="shared" si="3"/>
        <v>1</v>
      </c>
      <c r="Q202" s="182">
        <f>VLOOKUP(D202+3,Berechnungen!$A$3:$J$32,O202+6,FALSE)*P202</f>
        <v>40.575347628330078</v>
      </c>
      <c r="R202" s="300">
        <f t="shared" si="4"/>
        <v>0.2</v>
      </c>
      <c r="S202" s="301">
        <f>ROUND(Q202-Q202*R202,0)</f>
        <v>32</v>
      </c>
      <c r="T202" s="302">
        <f>ROUND(Q202+Q202*R202,0)</f>
        <v>49</v>
      </c>
      <c r="U202" s="301">
        <f>O202*S202</f>
        <v>128</v>
      </c>
      <c r="V202" s="301">
        <f>O202*T202</f>
        <v>196</v>
      </c>
      <c r="W202" s="303"/>
      <c r="X202" s="304"/>
      <c r="Y202" s="305"/>
      <c r="AA202" s="306"/>
      <c r="AB202" s="306"/>
      <c r="AC202" s="307"/>
      <c r="AD202" s="307"/>
      <c r="AE202" s="307"/>
      <c r="AF202" s="308"/>
    </row>
    <row r="203" spans="1:32" s="294" customFormat="1" outlineLevel="1" x14ac:dyDescent="0.2">
      <c r="A203" s="293">
        <v>2104</v>
      </c>
      <c r="B203" s="294" t="s">
        <v>322</v>
      </c>
      <c r="C203" s="294" t="s">
        <v>308</v>
      </c>
      <c r="D203" s="295">
        <v>19</v>
      </c>
      <c r="E203" s="296" t="s">
        <v>257</v>
      </c>
      <c r="F203" s="8"/>
      <c r="G203" s="294">
        <v>1</v>
      </c>
      <c r="H203" s="295">
        <v>2</v>
      </c>
      <c r="I203" s="295">
        <v>1</v>
      </c>
      <c r="J203" s="294">
        <v>100</v>
      </c>
      <c r="K203" s="297">
        <v>2400</v>
      </c>
      <c r="L203" s="295"/>
      <c r="M203" s="298"/>
      <c r="N203" s="299">
        <f>VLOOKUP(A203,Baupläne!$B$2:$X$1019,23,FALSE)</f>
        <v>21900</v>
      </c>
      <c r="O203" s="178">
        <f t="shared" si="2"/>
        <v>4</v>
      </c>
      <c r="P203" s="190">
        <f t="shared" si="3"/>
        <v>1</v>
      </c>
      <c r="Q203" s="182">
        <f>VLOOKUP(D203+3,Berechnungen!$A$3:$J$32,O203+6,FALSE)*P203</f>
        <v>52.603612735542555</v>
      </c>
      <c r="R203" s="300">
        <f t="shared" si="4"/>
        <v>0.2</v>
      </c>
      <c r="S203" s="301">
        <f>ROUND(Q203-Q203*R203,0)</f>
        <v>42</v>
      </c>
      <c r="T203" s="302">
        <f>ROUND(Q203+Q203*R203,0)</f>
        <v>63</v>
      </c>
      <c r="U203" s="301">
        <f>O203*S203</f>
        <v>168</v>
      </c>
      <c r="V203" s="301">
        <f>O203*T203</f>
        <v>252</v>
      </c>
      <c r="W203" s="303"/>
      <c r="X203" s="304"/>
      <c r="Y203" s="305"/>
      <c r="AA203" s="306"/>
      <c r="AB203" s="306"/>
      <c r="AC203" s="307"/>
      <c r="AD203" s="307"/>
      <c r="AE203" s="307"/>
      <c r="AF203" s="308"/>
    </row>
    <row r="204" spans="1:32" s="294" customFormat="1" outlineLevel="1" x14ac:dyDescent="0.2">
      <c r="A204" s="293">
        <v>2105</v>
      </c>
      <c r="B204" s="294" t="s">
        <v>323</v>
      </c>
      <c r="C204" s="294" t="s">
        <v>308</v>
      </c>
      <c r="D204" s="295">
        <v>25</v>
      </c>
      <c r="E204" s="296" t="s">
        <v>257</v>
      </c>
      <c r="F204" s="8"/>
      <c r="G204" s="294">
        <v>1</v>
      </c>
      <c r="H204" s="295">
        <v>2</v>
      </c>
      <c r="I204" s="295">
        <v>1</v>
      </c>
      <c r="J204" s="294">
        <v>100</v>
      </c>
      <c r="K204" s="297">
        <v>2300</v>
      </c>
      <c r="L204" s="295"/>
      <c r="M204" s="298"/>
      <c r="N204" s="299">
        <f>VLOOKUP(A204,Baupläne!$B$2:$X$1019,23,FALSE)</f>
        <v>44400</v>
      </c>
      <c r="O204" s="178">
        <f t="shared" si="2"/>
        <v>4</v>
      </c>
      <c r="P204" s="190">
        <f t="shared" si="3"/>
        <v>1</v>
      </c>
      <c r="Q204" s="182">
        <f>VLOOKUP(D204+3,Berechnungen!$A$3:$J$32,O204+6,FALSE)*P204</f>
        <v>68.549655620532803</v>
      </c>
      <c r="R204" s="300">
        <f t="shared" si="4"/>
        <v>0.2</v>
      </c>
      <c r="S204" s="301">
        <f>ROUND(Q204-Q204*R204,0)</f>
        <v>55</v>
      </c>
      <c r="T204" s="302">
        <f>ROUND(Q204+Q204*R204,0)</f>
        <v>82</v>
      </c>
      <c r="U204" s="301">
        <f>O204*S204</f>
        <v>220</v>
      </c>
      <c r="V204" s="301">
        <f>O204*T204</f>
        <v>328</v>
      </c>
      <c r="W204" s="303"/>
      <c r="X204" s="304"/>
      <c r="Y204" s="305"/>
      <c r="AA204" s="306"/>
      <c r="AB204" s="306"/>
      <c r="AC204" s="307"/>
      <c r="AD204" s="307"/>
      <c r="AE204" s="307"/>
      <c r="AF204" s="308"/>
    </row>
    <row r="205" spans="1:32" x14ac:dyDescent="0.2">
      <c r="A205" s="271"/>
      <c r="B205" s="272" t="s">
        <v>324</v>
      </c>
      <c r="C205" s="272"/>
      <c r="D205" s="273"/>
      <c r="E205" s="274"/>
      <c r="F205" s="275"/>
      <c r="G205" s="272"/>
      <c r="H205" s="273"/>
      <c r="I205" s="273"/>
      <c r="J205" s="272"/>
      <c r="K205" s="276"/>
      <c r="L205" s="273"/>
      <c r="M205" s="277"/>
      <c r="N205" s="278"/>
      <c r="O205" s="279">
        <v>3</v>
      </c>
      <c r="P205" s="280">
        <f>VLOOKUP(B205,Berechnungen!$A$70:$E$79,3,FALSE)</f>
        <v>1.4</v>
      </c>
      <c r="Q205" s="281"/>
      <c r="R205" s="280">
        <f>VLOOKUP(B205,Berechnungen!$A$70:$E$79,5,FALSE)</f>
        <v>0.2</v>
      </c>
      <c r="S205" s="281"/>
      <c r="T205" s="282"/>
      <c r="U205" s="281"/>
      <c r="V205" s="281"/>
      <c r="W205" s="283"/>
      <c r="X205" s="284"/>
      <c r="Y205" s="285"/>
      <c r="Z205" s="286"/>
      <c r="AA205" s="287"/>
      <c r="AB205" s="287"/>
      <c r="AC205" s="288"/>
      <c r="AD205" s="288"/>
      <c r="AE205" s="288"/>
      <c r="AF205" s="289"/>
    </row>
    <row r="206" spans="1:32" outlineLevel="1" x14ac:dyDescent="0.2">
      <c r="A206" s="5">
        <v>1111</v>
      </c>
      <c r="B206" s="1" t="s">
        <v>325</v>
      </c>
      <c r="C206" s="1" t="s">
        <v>308</v>
      </c>
      <c r="D206" s="6">
        <v>7</v>
      </c>
      <c r="E206" s="7" t="s">
        <v>324</v>
      </c>
      <c r="G206" s="1">
        <v>1</v>
      </c>
      <c r="H206" s="6">
        <v>1</v>
      </c>
      <c r="I206" s="6">
        <v>2</v>
      </c>
      <c r="J206" s="1">
        <v>100</v>
      </c>
      <c r="K206" s="9">
        <v>3800</v>
      </c>
      <c r="M206" s="10">
        <v>2</v>
      </c>
      <c r="N206" s="59">
        <f>VLOOKUP(A206,Baupläne!$B$2:$X$1019,23,FALSE)</f>
        <v>4600</v>
      </c>
      <c r="O206" s="309">
        <f t="shared" ref="O206:O213" si="9">$O$205</f>
        <v>3</v>
      </c>
      <c r="P206" s="290">
        <f t="shared" ref="P206:P217" si="10">$P$205</f>
        <v>1.4</v>
      </c>
      <c r="Q206" s="291">
        <f>VLOOKUP(D206,Berechnungen!$A$3:$J$32,O206+6,FALSE)*P206</f>
        <v>33.597169590643276</v>
      </c>
      <c r="R206" s="292">
        <f t="shared" ref="R206:R213" si="11">$R$205</f>
        <v>0.2</v>
      </c>
      <c r="S206" s="14">
        <f t="shared" ref="S206:S282" si="12">ROUND(Q206-Q206*R206,0)</f>
        <v>27</v>
      </c>
      <c r="T206" s="16">
        <f t="shared" ref="T206:T282" si="13">ROUND(Q206+Q206*R206,0)</f>
        <v>40</v>
      </c>
      <c r="U206" s="14">
        <f t="shared" si="7"/>
        <v>81</v>
      </c>
      <c r="V206" s="14">
        <f t="shared" si="8"/>
        <v>120</v>
      </c>
      <c r="AC206" s="227"/>
      <c r="AD206" s="227"/>
      <c r="AE206" s="227"/>
      <c r="AF206" s="228"/>
    </row>
    <row r="207" spans="1:32" outlineLevel="1" x14ac:dyDescent="0.2">
      <c r="A207" s="5">
        <v>1112</v>
      </c>
      <c r="B207" s="1" t="s">
        <v>326</v>
      </c>
      <c r="C207" s="1" t="s">
        <v>308</v>
      </c>
      <c r="D207" s="6">
        <v>10</v>
      </c>
      <c r="E207" s="7" t="s">
        <v>324</v>
      </c>
      <c r="G207" s="1">
        <v>1</v>
      </c>
      <c r="H207" s="6">
        <v>1</v>
      </c>
      <c r="I207" s="6">
        <v>2</v>
      </c>
      <c r="J207" s="1">
        <v>100</v>
      </c>
      <c r="K207" s="9">
        <v>4200</v>
      </c>
      <c r="M207" s="10">
        <v>2</v>
      </c>
      <c r="N207" s="59">
        <f>VLOOKUP(A207,Baupläne!$B$2:$X$1019,23,FALSE)</f>
        <v>7000</v>
      </c>
      <c r="O207" s="309">
        <f t="shared" si="9"/>
        <v>3</v>
      </c>
      <c r="P207" s="290">
        <f t="shared" si="10"/>
        <v>1.4</v>
      </c>
      <c r="Q207" s="291">
        <f>VLOOKUP(D207,Berechnungen!$A$3:$J$32,O207+6,FALSE)*P207</f>
        <v>43.201871345029232</v>
      </c>
      <c r="R207" s="292">
        <f t="shared" si="11"/>
        <v>0.2</v>
      </c>
      <c r="S207" s="14">
        <f t="shared" si="12"/>
        <v>35</v>
      </c>
      <c r="T207" s="16">
        <f t="shared" si="13"/>
        <v>52</v>
      </c>
      <c r="U207" s="14">
        <f t="shared" si="7"/>
        <v>105</v>
      </c>
      <c r="V207" s="14">
        <f t="shared" si="8"/>
        <v>156</v>
      </c>
      <c r="AC207" s="227"/>
      <c r="AD207" s="227"/>
      <c r="AE207" s="227"/>
      <c r="AF207" s="228"/>
    </row>
    <row r="208" spans="1:32" outlineLevel="1" x14ac:dyDescent="0.2">
      <c r="A208" s="5">
        <v>1113</v>
      </c>
      <c r="B208" s="1" t="s">
        <v>327</v>
      </c>
      <c r="C208" s="1" t="s">
        <v>308</v>
      </c>
      <c r="D208" s="6">
        <v>12</v>
      </c>
      <c r="E208" s="7" t="s">
        <v>324</v>
      </c>
      <c r="G208" s="1">
        <v>1</v>
      </c>
      <c r="H208" s="6">
        <v>1</v>
      </c>
      <c r="I208" s="6">
        <v>2</v>
      </c>
      <c r="J208" s="1">
        <v>100</v>
      </c>
      <c r="K208" s="9">
        <v>4100</v>
      </c>
      <c r="M208" s="10">
        <v>3</v>
      </c>
      <c r="N208" s="59">
        <f>VLOOKUP(A208,Baupläne!$B$2:$X$1019,23,FALSE)</f>
        <v>9300</v>
      </c>
      <c r="O208" s="309">
        <f t="shared" si="9"/>
        <v>3</v>
      </c>
      <c r="P208" s="290">
        <f t="shared" si="10"/>
        <v>1.4</v>
      </c>
      <c r="Q208" s="291">
        <f>VLOOKUP(D208,Berechnungen!$A$3:$J$32,O208+6,FALSE)*P208</f>
        <v>49.990736842105257</v>
      </c>
      <c r="R208" s="292">
        <f t="shared" si="11"/>
        <v>0.2</v>
      </c>
      <c r="S208" s="14">
        <f t="shared" si="12"/>
        <v>40</v>
      </c>
      <c r="T208" s="16">
        <f t="shared" si="13"/>
        <v>60</v>
      </c>
      <c r="U208" s="14">
        <f t="shared" si="7"/>
        <v>120</v>
      </c>
      <c r="V208" s="14">
        <f t="shared" si="8"/>
        <v>180</v>
      </c>
      <c r="AC208" s="227"/>
      <c r="AD208" s="227"/>
      <c r="AE208" s="227"/>
      <c r="AF208" s="228"/>
    </row>
    <row r="209" spans="1:32" outlineLevel="1" x14ac:dyDescent="0.2">
      <c r="A209" s="5">
        <v>1114</v>
      </c>
      <c r="B209" s="1" t="s">
        <v>328</v>
      </c>
      <c r="C209" s="1" t="s">
        <v>308</v>
      </c>
      <c r="D209" s="6">
        <v>15</v>
      </c>
      <c r="E209" s="7" t="s">
        <v>324</v>
      </c>
      <c r="G209" s="1">
        <v>1</v>
      </c>
      <c r="H209" s="6">
        <v>1</v>
      </c>
      <c r="I209" s="6">
        <v>2</v>
      </c>
      <c r="J209" s="1">
        <v>100</v>
      </c>
      <c r="K209" s="9">
        <v>3900</v>
      </c>
      <c r="M209" s="10">
        <v>3</v>
      </c>
      <c r="N209" s="59">
        <f>VLOOKUP(A209,Baupläne!$B$2:$X$1019,23,FALSE)</f>
        <v>14200</v>
      </c>
      <c r="O209" s="309">
        <f t="shared" si="9"/>
        <v>3</v>
      </c>
      <c r="P209" s="290">
        <f t="shared" si="10"/>
        <v>1.4</v>
      </c>
      <c r="Q209" s="291">
        <f>VLOOKUP(D209,Berechnungen!$A$3:$J$32,O209+6,FALSE)*P209</f>
        <v>60.752631578947373</v>
      </c>
      <c r="R209" s="292">
        <f t="shared" si="11"/>
        <v>0.2</v>
      </c>
      <c r="S209" s="14">
        <f t="shared" si="12"/>
        <v>49</v>
      </c>
      <c r="T209" s="16">
        <f t="shared" si="13"/>
        <v>73</v>
      </c>
      <c r="U209" s="14">
        <f t="shared" si="7"/>
        <v>147</v>
      </c>
      <c r="V209" s="14">
        <f t="shared" si="8"/>
        <v>219</v>
      </c>
      <c r="AC209" s="227"/>
      <c r="AD209" s="227"/>
      <c r="AE209" s="227"/>
      <c r="AF209" s="228"/>
    </row>
    <row r="210" spans="1:32" outlineLevel="1" x14ac:dyDescent="0.2">
      <c r="A210" s="5">
        <v>1115</v>
      </c>
      <c r="B210" s="3" t="s">
        <v>329</v>
      </c>
      <c r="C210" s="3" t="s">
        <v>308</v>
      </c>
      <c r="D210" s="6">
        <v>17</v>
      </c>
      <c r="E210" s="55" t="s">
        <v>324</v>
      </c>
      <c r="G210" s="3">
        <v>1</v>
      </c>
      <c r="H210" s="54">
        <v>1</v>
      </c>
      <c r="I210" s="54">
        <v>2</v>
      </c>
      <c r="J210" s="3">
        <v>100</v>
      </c>
      <c r="K210" s="57">
        <v>4200</v>
      </c>
      <c r="L210" s="54"/>
      <c r="M210" s="58">
        <v>4</v>
      </c>
      <c r="N210" s="59">
        <f>VLOOKUP(A210,Baupläne!$B$2:$X$1019,23,FALSE)</f>
        <v>18700</v>
      </c>
      <c r="O210" s="309">
        <f t="shared" si="9"/>
        <v>3</v>
      </c>
      <c r="P210" s="290">
        <f t="shared" si="10"/>
        <v>1.4</v>
      </c>
      <c r="Q210" s="291">
        <f>VLOOKUP(D210,Berechnungen!$A$3:$J$32,O210+6,FALSE)*P210</f>
        <v>68.312959064327472</v>
      </c>
      <c r="R210" s="292">
        <f t="shared" si="11"/>
        <v>0.2</v>
      </c>
      <c r="S210" s="14">
        <f t="shared" si="12"/>
        <v>55</v>
      </c>
      <c r="T210" s="16">
        <f t="shared" si="13"/>
        <v>82</v>
      </c>
      <c r="U210" s="14">
        <f t="shared" si="7"/>
        <v>165</v>
      </c>
      <c r="V210" s="14">
        <f t="shared" si="8"/>
        <v>246</v>
      </c>
      <c r="AC210" s="227"/>
      <c r="AD210" s="227"/>
      <c r="AE210" s="227"/>
      <c r="AF210" s="228"/>
    </row>
    <row r="211" spans="1:32" outlineLevel="1" x14ac:dyDescent="0.2">
      <c r="A211" s="5">
        <v>1116</v>
      </c>
      <c r="B211" s="1" t="s">
        <v>330</v>
      </c>
      <c r="C211" s="1" t="s">
        <v>308</v>
      </c>
      <c r="D211" s="6">
        <v>20</v>
      </c>
      <c r="E211" s="7" t="s">
        <v>324</v>
      </c>
      <c r="G211" s="1">
        <v>1</v>
      </c>
      <c r="H211" s="6">
        <v>1</v>
      </c>
      <c r="I211" s="6">
        <v>2</v>
      </c>
      <c r="J211" s="1">
        <v>100</v>
      </c>
      <c r="K211" s="9">
        <v>3600</v>
      </c>
      <c r="M211" s="10">
        <v>4</v>
      </c>
      <c r="N211" s="59">
        <f>VLOOKUP(A211,Baupläne!$B$2:$X$1019,23,FALSE)</f>
        <v>28500</v>
      </c>
      <c r="O211" s="309">
        <f t="shared" si="9"/>
        <v>3</v>
      </c>
      <c r="P211" s="290">
        <f t="shared" si="10"/>
        <v>1.4</v>
      </c>
      <c r="Q211" s="291">
        <f>VLOOKUP(D211,Berechnungen!$A$3:$J$32,O211+6,FALSE)*P211</f>
        <v>80.232046783625734</v>
      </c>
      <c r="R211" s="292">
        <f t="shared" si="11"/>
        <v>0.2</v>
      </c>
      <c r="S211" s="14">
        <f t="shared" si="12"/>
        <v>64</v>
      </c>
      <c r="T211" s="16">
        <f t="shared" si="13"/>
        <v>96</v>
      </c>
      <c r="U211" s="14">
        <f t="shared" si="7"/>
        <v>192</v>
      </c>
      <c r="V211" s="14">
        <f t="shared" si="8"/>
        <v>288</v>
      </c>
      <c r="AC211" s="227"/>
      <c r="AD211" s="227"/>
      <c r="AE211" s="227"/>
      <c r="AF211" s="228"/>
    </row>
    <row r="212" spans="1:32" outlineLevel="1" x14ac:dyDescent="0.2">
      <c r="A212" s="5">
        <v>1117</v>
      </c>
      <c r="B212" s="1" t="s">
        <v>331</v>
      </c>
      <c r="C212" s="1" t="s">
        <v>308</v>
      </c>
      <c r="D212" s="6">
        <v>22</v>
      </c>
      <c r="E212" s="7" t="s">
        <v>324</v>
      </c>
      <c r="G212" s="1">
        <v>1</v>
      </c>
      <c r="H212" s="6">
        <v>1</v>
      </c>
      <c r="I212" s="6">
        <v>2</v>
      </c>
      <c r="J212" s="1">
        <v>100</v>
      </c>
      <c r="K212" s="9">
        <v>3700</v>
      </c>
      <c r="M212" s="10">
        <v>5</v>
      </c>
      <c r="N212" s="59">
        <f>VLOOKUP(A212,Baupläne!$B$2:$X$1019,23,FALSE)</f>
        <v>37600</v>
      </c>
      <c r="O212" s="309">
        <f t="shared" si="9"/>
        <v>3</v>
      </c>
      <c r="P212" s="290">
        <f t="shared" si="10"/>
        <v>1.4</v>
      </c>
      <c r="Q212" s="291">
        <f>VLOOKUP(D212,Berechnungen!$A$3:$J$32,O212+6,FALSE)*P212</f>
        <v>88.56383625730993</v>
      </c>
      <c r="R212" s="292">
        <f t="shared" si="11"/>
        <v>0.2</v>
      </c>
      <c r="S212" s="14">
        <f t="shared" si="12"/>
        <v>71</v>
      </c>
      <c r="T212" s="16">
        <f t="shared" si="13"/>
        <v>106</v>
      </c>
      <c r="U212" s="14">
        <f t="shared" si="7"/>
        <v>213</v>
      </c>
      <c r="V212" s="14">
        <f t="shared" si="8"/>
        <v>318</v>
      </c>
      <c r="AC212" s="227"/>
      <c r="AD212" s="227"/>
      <c r="AE212" s="227"/>
      <c r="AF212" s="228"/>
    </row>
    <row r="213" spans="1:32" outlineLevel="1" x14ac:dyDescent="0.2">
      <c r="A213" s="5">
        <v>1118</v>
      </c>
      <c r="B213" s="1" t="s">
        <v>332</v>
      </c>
      <c r="C213" s="1" t="s">
        <v>308</v>
      </c>
      <c r="D213" s="6">
        <v>25</v>
      </c>
      <c r="E213" s="7" t="s">
        <v>324</v>
      </c>
      <c r="G213" s="1">
        <v>1</v>
      </c>
      <c r="H213" s="6">
        <v>1</v>
      </c>
      <c r="I213" s="6">
        <v>2</v>
      </c>
      <c r="J213" s="1">
        <v>100</v>
      </c>
      <c r="K213" s="9">
        <v>3500</v>
      </c>
      <c r="M213" s="10">
        <v>5</v>
      </c>
      <c r="N213" s="59">
        <f>VLOOKUP(A213,Baupläne!$B$2:$X$1019,23,FALSE)</f>
        <v>57300</v>
      </c>
      <c r="O213" s="309">
        <f t="shared" si="9"/>
        <v>3</v>
      </c>
      <c r="P213" s="290">
        <f t="shared" si="10"/>
        <v>1.4</v>
      </c>
      <c r="Q213" s="291">
        <f>VLOOKUP(D213,Berechnungen!$A$3:$J$32,O213+6,FALSE)*P213</f>
        <v>101.64011695906433</v>
      </c>
      <c r="R213" s="292">
        <f t="shared" si="11"/>
        <v>0.2</v>
      </c>
      <c r="S213" s="14">
        <f t="shared" si="12"/>
        <v>81</v>
      </c>
      <c r="T213" s="16">
        <f t="shared" si="13"/>
        <v>122</v>
      </c>
      <c r="U213" s="14">
        <f t="shared" si="7"/>
        <v>243</v>
      </c>
      <c r="V213" s="14">
        <f t="shared" si="8"/>
        <v>366</v>
      </c>
      <c r="AC213" s="227"/>
      <c r="AD213" s="227"/>
      <c r="AE213" s="227"/>
      <c r="AF213" s="228"/>
    </row>
    <row r="214" spans="1:32" s="294" customFormat="1" outlineLevel="1" x14ac:dyDescent="0.2">
      <c r="A214" s="293">
        <v>2111</v>
      </c>
      <c r="B214" s="294" t="s">
        <v>333</v>
      </c>
      <c r="C214" s="294" t="s">
        <v>308</v>
      </c>
      <c r="D214" s="295">
        <v>10</v>
      </c>
      <c r="E214" s="296" t="s">
        <v>324</v>
      </c>
      <c r="F214" s="8"/>
      <c r="G214" s="294">
        <v>1</v>
      </c>
      <c r="H214" s="295">
        <v>2</v>
      </c>
      <c r="I214" s="295">
        <v>2</v>
      </c>
      <c r="J214" s="294">
        <v>100</v>
      </c>
      <c r="K214" s="297">
        <v>3800</v>
      </c>
      <c r="L214" s="295"/>
      <c r="M214" s="298"/>
      <c r="N214" s="299">
        <f>VLOOKUP(A214,Baupläne!$B$2:$X$1019,23,FALSE)</f>
        <v>12000</v>
      </c>
      <c r="O214" s="178">
        <v>3</v>
      </c>
      <c r="P214" s="190">
        <f t="shared" si="10"/>
        <v>1.4</v>
      </c>
      <c r="Q214" s="182">
        <f>VLOOKUP(D214+3,Berechnungen!$A$3:$J$32,O214+6,FALSE)*P214</f>
        <v>53.500888888888881</v>
      </c>
      <c r="R214" s="300">
        <f>$R$189</f>
        <v>0.2</v>
      </c>
      <c r="S214" s="301">
        <f t="shared" si="12"/>
        <v>43</v>
      </c>
      <c r="T214" s="302">
        <f t="shared" si="13"/>
        <v>64</v>
      </c>
      <c r="U214" s="301">
        <f t="shared" si="7"/>
        <v>129</v>
      </c>
      <c r="V214" s="301">
        <f t="shared" si="8"/>
        <v>192</v>
      </c>
      <c r="W214" s="303"/>
      <c r="X214" s="304"/>
      <c r="Y214" s="305"/>
      <c r="AA214" s="306"/>
      <c r="AB214" s="306"/>
      <c r="AC214" s="307"/>
      <c r="AD214" s="307"/>
      <c r="AE214" s="307"/>
      <c r="AF214" s="308"/>
    </row>
    <row r="215" spans="1:32" s="294" customFormat="1" outlineLevel="1" x14ac:dyDescent="0.2">
      <c r="A215" s="293">
        <v>2112</v>
      </c>
      <c r="B215" s="294" t="s">
        <v>334</v>
      </c>
      <c r="C215" s="294" t="s">
        <v>308</v>
      </c>
      <c r="D215" s="295">
        <v>15</v>
      </c>
      <c r="E215" s="296" t="s">
        <v>324</v>
      </c>
      <c r="F215" s="8"/>
      <c r="G215" s="294">
        <v>1</v>
      </c>
      <c r="H215" s="295">
        <v>2</v>
      </c>
      <c r="I215" s="295">
        <v>2</v>
      </c>
      <c r="J215" s="294">
        <v>100</v>
      </c>
      <c r="K215" s="297">
        <v>4100</v>
      </c>
      <c r="L215" s="295"/>
      <c r="M215" s="298"/>
      <c r="N215" s="299">
        <f>VLOOKUP(A215,Baupläne!$B$2:$X$1019,23,FALSE)</f>
        <v>24200</v>
      </c>
      <c r="O215" s="178">
        <v>3</v>
      </c>
      <c r="P215" s="190">
        <f t="shared" si="10"/>
        <v>1.4</v>
      </c>
      <c r="Q215" s="182">
        <f>VLOOKUP(D215+3,Berechnungen!$A$3:$J$32,O215+6,FALSE)*P215</f>
        <v>72.208842105263159</v>
      </c>
      <c r="R215" s="300">
        <f>$R$189</f>
        <v>0.2</v>
      </c>
      <c r="S215" s="301">
        <f t="shared" si="12"/>
        <v>58</v>
      </c>
      <c r="T215" s="302">
        <f t="shared" si="13"/>
        <v>87</v>
      </c>
      <c r="U215" s="301">
        <f t="shared" si="7"/>
        <v>174</v>
      </c>
      <c r="V215" s="301">
        <f t="shared" si="8"/>
        <v>261</v>
      </c>
      <c r="W215" s="303"/>
      <c r="X215" s="304"/>
      <c r="Y215" s="305"/>
      <c r="AA215" s="306"/>
      <c r="AB215" s="306"/>
      <c r="AC215" s="307"/>
      <c r="AD215" s="307"/>
      <c r="AE215" s="307"/>
      <c r="AF215" s="308"/>
    </row>
    <row r="216" spans="1:32" s="294" customFormat="1" outlineLevel="1" x14ac:dyDescent="0.2">
      <c r="A216" s="293">
        <v>2113</v>
      </c>
      <c r="B216" s="294" t="s">
        <v>335</v>
      </c>
      <c r="C216" s="294" t="s">
        <v>308</v>
      </c>
      <c r="D216" s="295">
        <v>20</v>
      </c>
      <c r="E216" s="296" t="s">
        <v>324</v>
      </c>
      <c r="F216" s="8"/>
      <c r="G216" s="294">
        <v>1</v>
      </c>
      <c r="H216" s="295">
        <v>2</v>
      </c>
      <c r="I216" s="295">
        <v>2</v>
      </c>
      <c r="J216" s="294">
        <v>100</v>
      </c>
      <c r="K216" s="297">
        <v>4200</v>
      </c>
      <c r="L216" s="295"/>
      <c r="M216" s="298"/>
      <c r="N216" s="299">
        <f>VLOOKUP(A216,Baupläne!$B$2:$X$1019,23,FALSE)</f>
        <v>46000</v>
      </c>
      <c r="O216" s="178">
        <v>3</v>
      </c>
      <c r="P216" s="190">
        <f t="shared" si="10"/>
        <v>1.4</v>
      </c>
      <c r="Q216" s="182">
        <f>VLOOKUP(D216+3,Berechnungen!$A$3:$J$32,O216+6,FALSE)*P216</f>
        <v>92.845450292397658</v>
      </c>
      <c r="R216" s="300">
        <f>$R$189</f>
        <v>0.2</v>
      </c>
      <c r="S216" s="301">
        <f t="shared" si="12"/>
        <v>74</v>
      </c>
      <c r="T216" s="302">
        <f t="shared" si="13"/>
        <v>111</v>
      </c>
      <c r="U216" s="301">
        <f t="shared" si="7"/>
        <v>222</v>
      </c>
      <c r="V216" s="301">
        <f t="shared" si="8"/>
        <v>333</v>
      </c>
      <c r="W216" s="303"/>
      <c r="X216" s="304"/>
      <c r="Y216" s="305"/>
      <c r="AA216" s="306"/>
      <c r="AB216" s="306"/>
      <c r="AC216" s="307"/>
      <c r="AD216" s="307"/>
      <c r="AE216" s="307"/>
      <c r="AF216" s="308"/>
    </row>
    <row r="217" spans="1:32" s="294" customFormat="1" outlineLevel="1" x14ac:dyDescent="0.2">
      <c r="A217" s="293">
        <v>2114</v>
      </c>
      <c r="B217" s="294" t="s">
        <v>336</v>
      </c>
      <c r="C217" s="294" t="s">
        <v>308</v>
      </c>
      <c r="D217" s="295">
        <v>25</v>
      </c>
      <c r="E217" s="296" t="s">
        <v>324</v>
      </c>
      <c r="F217" s="8"/>
      <c r="G217" s="294">
        <v>1</v>
      </c>
      <c r="H217" s="295">
        <v>2</v>
      </c>
      <c r="I217" s="295">
        <v>2</v>
      </c>
      <c r="J217" s="294">
        <v>100</v>
      </c>
      <c r="K217" s="297">
        <v>3700</v>
      </c>
      <c r="L217" s="295"/>
      <c r="M217" s="298"/>
      <c r="N217" s="299">
        <f>VLOOKUP(A217,Baupläne!$B$2:$X$1019,23,FALSE)</f>
        <v>82300</v>
      </c>
      <c r="O217" s="178">
        <v>3</v>
      </c>
      <c r="P217" s="190">
        <f t="shared" si="10"/>
        <v>1.4</v>
      </c>
      <c r="Q217" s="182">
        <f>VLOOKUP(D217+3,Berechnungen!$A$3:$J$32,O217+6,FALSE)*P217</f>
        <v>115.41071345029239</v>
      </c>
      <c r="R217" s="300">
        <f>$R$189</f>
        <v>0.2</v>
      </c>
      <c r="S217" s="301">
        <f t="shared" si="12"/>
        <v>92</v>
      </c>
      <c r="T217" s="302">
        <f t="shared" si="13"/>
        <v>138</v>
      </c>
      <c r="U217" s="301">
        <f t="shared" si="7"/>
        <v>276</v>
      </c>
      <c r="V217" s="301">
        <f t="shared" si="8"/>
        <v>414</v>
      </c>
      <c r="W217" s="303"/>
      <c r="X217" s="304"/>
      <c r="Y217" s="305"/>
      <c r="AA217" s="306"/>
      <c r="AB217" s="306"/>
      <c r="AC217" s="307"/>
      <c r="AD217" s="307"/>
      <c r="AE217" s="307"/>
      <c r="AF217" s="308"/>
    </row>
    <row r="218" spans="1:32" x14ac:dyDescent="0.2">
      <c r="A218" s="271"/>
      <c r="B218" s="272" t="s">
        <v>259</v>
      </c>
      <c r="C218" s="272"/>
      <c r="D218" s="273"/>
      <c r="E218" s="274"/>
      <c r="F218" s="275"/>
      <c r="G218" s="272"/>
      <c r="H218" s="273"/>
      <c r="I218" s="273"/>
      <c r="J218" s="272"/>
      <c r="K218" s="276"/>
      <c r="L218" s="273"/>
      <c r="M218" s="277"/>
      <c r="N218" s="278"/>
      <c r="O218" s="279">
        <v>4</v>
      </c>
      <c r="P218" s="280">
        <f>VLOOKUP(B218,Berechnungen!$A$70:$E$79,3,FALSE)</f>
        <v>1</v>
      </c>
      <c r="Q218" s="281"/>
      <c r="R218" s="280">
        <f>VLOOKUP(B218,Berechnungen!$A$70:$E$79,5,FALSE)</f>
        <v>0.15</v>
      </c>
      <c r="S218" s="281"/>
      <c r="T218" s="282"/>
      <c r="U218" s="281"/>
      <c r="V218" s="281"/>
      <c r="W218" s="283"/>
      <c r="X218" s="284"/>
      <c r="Y218" s="285"/>
      <c r="Z218" s="286"/>
      <c r="AA218" s="287"/>
      <c r="AB218" s="287"/>
      <c r="AC218" s="288"/>
      <c r="AD218" s="288"/>
      <c r="AE218" s="288"/>
      <c r="AF218" s="289"/>
    </row>
    <row r="219" spans="1:32" outlineLevel="1" x14ac:dyDescent="0.2">
      <c r="A219" s="5">
        <v>1121</v>
      </c>
      <c r="B219" s="1" t="s">
        <v>337</v>
      </c>
      <c r="C219" s="1" t="s">
        <v>259</v>
      </c>
      <c r="D219" s="6">
        <v>1</v>
      </c>
      <c r="E219" s="7" t="s">
        <v>259</v>
      </c>
      <c r="G219" s="1">
        <v>2</v>
      </c>
      <c r="H219" s="6">
        <v>1</v>
      </c>
      <c r="I219" s="6">
        <v>1</v>
      </c>
      <c r="J219" s="1">
        <v>100</v>
      </c>
      <c r="K219" s="9">
        <v>600</v>
      </c>
      <c r="M219" s="10">
        <v>1</v>
      </c>
      <c r="N219" s="59">
        <f>VLOOKUP(A219,Baupläne!$B$2:$X$1019,23,FALSE)</f>
        <v>1200</v>
      </c>
      <c r="O219" s="310">
        <f t="shared" ref="O219:P233" si="14">O$218</f>
        <v>4</v>
      </c>
      <c r="P219" s="311">
        <f t="shared" si="14"/>
        <v>1</v>
      </c>
      <c r="Q219" s="291">
        <f>VLOOKUP(D219,Berechnungen!$A$3:$J$32,O219+6,FALSE)*P219</f>
        <v>9.7829889538661448</v>
      </c>
      <c r="R219" s="312">
        <f t="shared" ref="R219:R233" si="15">R$218</f>
        <v>0.15</v>
      </c>
      <c r="S219" s="14">
        <f t="shared" si="12"/>
        <v>8</v>
      </c>
      <c r="T219" s="16">
        <f t="shared" si="13"/>
        <v>11</v>
      </c>
      <c r="U219" s="14">
        <f t="shared" si="7"/>
        <v>32</v>
      </c>
      <c r="V219" s="14">
        <f t="shared" si="8"/>
        <v>44</v>
      </c>
      <c r="AC219" s="227"/>
      <c r="AD219" s="227"/>
      <c r="AE219" s="227"/>
      <c r="AF219" s="228"/>
    </row>
    <row r="220" spans="1:32" outlineLevel="1" x14ac:dyDescent="0.2">
      <c r="A220" s="5">
        <v>1122</v>
      </c>
      <c r="B220" s="1" t="s">
        <v>338</v>
      </c>
      <c r="C220" s="1" t="s">
        <v>259</v>
      </c>
      <c r="D220" s="6">
        <v>4</v>
      </c>
      <c r="E220" s="7" t="s">
        <v>259</v>
      </c>
      <c r="G220" s="1">
        <v>2</v>
      </c>
      <c r="H220" s="6">
        <v>1</v>
      </c>
      <c r="I220" s="6">
        <v>1</v>
      </c>
      <c r="J220" s="1">
        <v>100</v>
      </c>
      <c r="K220" s="9">
        <v>800</v>
      </c>
      <c r="M220" s="10">
        <v>1</v>
      </c>
      <c r="N220" s="59">
        <f>VLOOKUP(A220,Baupläne!$B$2:$X$1019,23,FALSE)</f>
        <v>1800</v>
      </c>
      <c r="O220" s="310">
        <f t="shared" si="14"/>
        <v>4</v>
      </c>
      <c r="P220" s="311">
        <f t="shared" si="14"/>
        <v>1</v>
      </c>
      <c r="Q220" s="291">
        <f>VLOOKUP(D220,Berechnungen!$A$3:$J$32,O220+6,FALSE)*P220</f>
        <v>14.663027940220921</v>
      </c>
      <c r="R220" s="312">
        <f t="shared" si="15"/>
        <v>0.15</v>
      </c>
      <c r="S220" s="14">
        <f t="shared" si="12"/>
        <v>12</v>
      </c>
      <c r="T220" s="16">
        <f t="shared" si="13"/>
        <v>17</v>
      </c>
      <c r="U220" s="14">
        <f t="shared" si="7"/>
        <v>48</v>
      </c>
      <c r="V220" s="14">
        <f t="shared" si="8"/>
        <v>68</v>
      </c>
      <c r="AC220" s="227"/>
      <c r="AD220" s="227"/>
      <c r="AE220" s="227"/>
      <c r="AF220" s="228"/>
    </row>
    <row r="221" spans="1:32" outlineLevel="1" x14ac:dyDescent="0.2">
      <c r="A221" s="5">
        <v>1123</v>
      </c>
      <c r="B221" s="1" t="s">
        <v>339</v>
      </c>
      <c r="C221" s="1" t="s">
        <v>259</v>
      </c>
      <c r="D221" s="6">
        <v>6</v>
      </c>
      <c r="E221" s="7" t="s">
        <v>259</v>
      </c>
      <c r="G221" s="1">
        <v>2</v>
      </c>
      <c r="H221" s="6">
        <v>1</v>
      </c>
      <c r="I221" s="6">
        <v>1</v>
      </c>
      <c r="J221" s="1">
        <v>100</v>
      </c>
      <c r="K221" s="9">
        <v>700</v>
      </c>
      <c r="M221" s="10">
        <v>2</v>
      </c>
      <c r="N221" s="59">
        <f>VLOOKUP(A221,Baupläne!$B$2:$X$1019,23,FALSE)</f>
        <v>2400</v>
      </c>
      <c r="O221" s="310">
        <f t="shared" si="14"/>
        <v>4</v>
      </c>
      <c r="P221" s="311">
        <f t="shared" si="14"/>
        <v>1</v>
      </c>
      <c r="Q221" s="291">
        <f>VLOOKUP(D221,Berechnungen!$A$3:$J$32,O221+6,FALSE)*P221</f>
        <v>18.145497076023389</v>
      </c>
      <c r="R221" s="312">
        <f t="shared" si="15"/>
        <v>0.15</v>
      </c>
      <c r="S221" s="14">
        <f t="shared" si="12"/>
        <v>15</v>
      </c>
      <c r="T221" s="16">
        <f t="shared" si="13"/>
        <v>21</v>
      </c>
      <c r="U221" s="14">
        <f t="shared" si="7"/>
        <v>60</v>
      </c>
      <c r="V221" s="14">
        <f t="shared" si="8"/>
        <v>84</v>
      </c>
      <c r="AC221" s="227"/>
      <c r="AD221" s="227"/>
      <c r="AE221" s="227"/>
      <c r="AF221" s="228"/>
    </row>
    <row r="222" spans="1:32" outlineLevel="1" x14ac:dyDescent="0.2">
      <c r="A222" s="5">
        <v>1124</v>
      </c>
      <c r="B222" s="1" t="s">
        <v>340</v>
      </c>
      <c r="C222" s="1" t="s">
        <v>259</v>
      </c>
      <c r="D222" s="6">
        <v>9</v>
      </c>
      <c r="E222" s="7" t="s">
        <v>259</v>
      </c>
      <c r="G222" s="1">
        <v>2</v>
      </c>
      <c r="H222" s="6">
        <v>1</v>
      </c>
      <c r="I222" s="6">
        <v>1</v>
      </c>
      <c r="J222" s="1">
        <v>100</v>
      </c>
      <c r="K222" s="9">
        <v>1100</v>
      </c>
      <c r="M222" s="10">
        <v>2</v>
      </c>
      <c r="N222" s="59">
        <f>VLOOKUP(A222,Baupläne!$B$2:$X$1019,23,FALSE)</f>
        <v>3700</v>
      </c>
      <c r="O222" s="310">
        <f t="shared" si="14"/>
        <v>4</v>
      </c>
      <c r="P222" s="311">
        <f t="shared" si="14"/>
        <v>1</v>
      </c>
      <c r="Q222" s="291">
        <f>VLOOKUP(D222,Berechnungen!$A$3:$J$32,O222+6,FALSE)*P222</f>
        <v>23.71286549707602</v>
      </c>
      <c r="R222" s="312">
        <f t="shared" si="15"/>
        <v>0.15</v>
      </c>
      <c r="S222" s="14">
        <f t="shared" si="12"/>
        <v>20</v>
      </c>
      <c r="T222" s="16">
        <f t="shared" si="13"/>
        <v>27</v>
      </c>
      <c r="U222" s="14">
        <f t="shared" si="7"/>
        <v>80</v>
      </c>
      <c r="V222" s="14">
        <f t="shared" si="8"/>
        <v>108</v>
      </c>
      <c r="AC222" s="227"/>
      <c r="AD222" s="227"/>
      <c r="AE222" s="227"/>
      <c r="AF222" s="228"/>
    </row>
    <row r="223" spans="1:32" outlineLevel="1" x14ac:dyDescent="0.2">
      <c r="A223" s="5">
        <v>1125</v>
      </c>
      <c r="B223" s="3" t="s">
        <v>341</v>
      </c>
      <c r="C223" s="3" t="s">
        <v>259</v>
      </c>
      <c r="D223" s="6">
        <v>11</v>
      </c>
      <c r="E223" s="55" t="s">
        <v>259</v>
      </c>
      <c r="G223" s="3">
        <v>2</v>
      </c>
      <c r="H223" s="54">
        <v>1</v>
      </c>
      <c r="I223" s="54">
        <v>1</v>
      </c>
      <c r="J223" s="3">
        <v>100</v>
      </c>
      <c r="K223" s="57">
        <v>1200</v>
      </c>
      <c r="L223" s="54"/>
      <c r="M223" s="58">
        <v>3</v>
      </c>
      <c r="N223" s="59">
        <f>VLOOKUP(A223,Baupläne!$B$2:$X$1019,23,FALSE)</f>
        <v>4900</v>
      </c>
      <c r="O223" s="310">
        <f t="shared" si="14"/>
        <v>4</v>
      </c>
      <c r="P223" s="311">
        <f t="shared" si="14"/>
        <v>1</v>
      </c>
      <c r="Q223" s="291">
        <f>VLOOKUP(D223,Berechnungen!$A$3:$J$32,O223+6,FALSE)*P223</f>
        <v>27.653554256010388</v>
      </c>
      <c r="R223" s="312">
        <f t="shared" si="15"/>
        <v>0.15</v>
      </c>
      <c r="S223" s="14">
        <f t="shared" si="12"/>
        <v>24</v>
      </c>
      <c r="T223" s="16">
        <f t="shared" si="13"/>
        <v>32</v>
      </c>
      <c r="U223" s="14">
        <f t="shared" si="7"/>
        <v>96</v>
      </c>
      <c r="V223" s="14">
        <f t="shared" si="8"/>
        <v>128</v>
      </c>
      <c r="AC223" s="227"/>
      <c r="AD223" s="227"/>
      <c r="AE223" s="227"/>
      <c r="AF223" s="228"/>
    </row>
    <row r="224" spans="1:32" outlineLevel="1" x14ac:dyDescent="0.2">
      <c r="A224" s="5">
        <v>1126</v>
      </c>
      <c r="B224" s="1" t="s">
        <v>342</v>
      </c>
      <c r="C224" s="1" t="s">
        <v>259</v>
      </c>
      <c r="D224" s="6">
        <v>14</v>
      </c>
      <c r="E224" s="7" t="s">
        <v>259</v>
      </c>
      <c r="G224" s="1">
        <v>2</v>
      </c>
      <c r="H224" s="6">
        <v>1</v>
      </c>
      <c r="I224" s="6">
        <v>1</v>
      </c>
      <c r="J224" s="1">
        <v>100</v>
      </c>
      <c r="K224" s="9">
        <v>1000</v>
      </c>
      <c r="M224" s="10">
        <v>3</v>
      </c>
      <c r="N224" s="59">
        <f>VLOOKUP(A224,Baupläne!$B$2:$X$1019,23,FALSE)</f>
        <v>7400</v>
      </c>
      <c r="O224" s="310">
        <f t="shared" si="14"/>
        <v>4</v>
      </c>
      <c r="P224" s="311">
        <f t="shared" si="14"/>
        <v>1</v>
      </c>
      <c r="Q224" s="291">
        <f>VLOOKUP(D224,Berechnungen!$A$3:$J$32,O224+6,FALSE)*P224</f>
        <v>33.908252111760881</v>
      </c>
      <c r="R224" s="312">
        <f t="shared" si="15"/>
        <v>0.15</v>
      </c>
      <c r="S224" s="14">
        <f t="shared" si="12"/>
        <v>29</v>
      </c>
      <c r="T224" s="16">
        <f t="shared" si="13"/>
        <v>39</v>
      </c>
      <c r="U224" s="14">
        <f t="shared" si="7"/>
        <v>116</v>
      </c>
      <c r="V224" s="14">
        <f t="shared" si="8"/>
        <v>156</v>
      </c>
      <c r="AC224" s="227"/>
      <c r="AD224" s="227"/>
      <c r="AE224" s="227"/>
      <c r="AF224" s="228"/>
    </row>
    <row r="225" spans="1:32" outlineLevel="1" x14ac:dyDescent="0.2">
      <c r="A225" s="5">
        <v>1127</v>
      </c>
      <c r="B225" s="1" t="s">
        <v>343</v>
      </c>
      <c r="C225" s="1" t="s">
        <v>259</v>
      </c>
      <c r="D225" s="6">
        <v>16</v>
      </c>
      <c r="E225" s="7" t="s">
        <v>259</v>
      </c>
      <c r="G225" s="1">
        <v>2</v>
      </c>
      <c r="H225" s="6">
        <v>1</v>
      </c>
      <c r="I225" s="6">
        <v>1</v>
      </c>
      <c r="J225" s="1">
        <v>100</v>
      </c>
      <c r="K225" s="9">
        <v>1100</v>
      </c>
      <c r="M225" s="10">
        <v>4</v>
      </c>
      <c r="N225" s="59">
        <f>VLOOKUP(A225,Baupläne!$B$2:$X$1019,23,FALSE)</f>
        <v>9800</v>
      </c>
      <c r="O225" s="310">
        <f t="shared" si="14"/>
        <v>4</v>
      </c>
      <c r="P225" s="311">
        <f t="shared" si="14"/>
        <v>1</v>
      </c>
      <c r="Q225" s="291">
        <f>VLOOKUP(D225,Berechnungen!$A$3:$J$32,O225+6,FALSE)*P225</f>
        <v>38.307160493827155</v>
      </c>
      <c r="R225" s="312">
        <f t="shared" si="15"/>
        <v>0.15</v>
      </c>
      <c r="S225" s="14">
        <f t="shared" si="12"/>
        <v>33</v>
      </c>
      <c r="T225" s="16">
        <f t="shared" si="13"/>
        <v>44</v>
      </c>
      <c r="U225" s="14">
        <f t="shared" si="7"/>
        <v>132</v>
      </c>
      <c r="V225" s="14">
        <f t="shared" si="8"/>
        <v>176</v>
      </c>
      <c r="AC225" s="227"/>
      <c r="AD225" s="227"/>
      <c r="AE225" s="227"/>
      <c r="AF225" s="228"/>
    </row>
    <row r="226" spans="1:32" outlineLevel="1" x14ac:dyDescent="0.2">
      <c r="A226" s="5">
        <v>1128</v>
      </c>
      <c r="B226" s="1" t="s">
        <v>344</v>
      </c>
      <c r="C226" s="1" t="s">
        <v>259</v>
      </c>
      <c r="D226" s="6">
        <v>19</v>
      </c>
      <c r="E226" s="7" t="s">
        <v>259</v>
      </c>
      <c r="G226" s="1">
        <v>2</v>
      </c>
      <c r="H226" s="6">
        <v>1</v>
      </c>
      <c r="I226" s="6">
        <v>1</v>
      </c>
      <c r="J226" s="1">
        <v>100</v>
      </c>
      <c r="K226" s="9">
        <v>1300</v>
      </c>
      <c r="M226" s="10">
        <v>4</v>
      </c>
      <c r="N226" s="59">
        <f>VLOOKUP(A226,Baupläne!$B$2:$X$1019,23,FALSE)</f>
        <v>14900</v>
      </c>
      <c r="O226" s="310">
        <f t="shared" si="14"/>
        <v>4</v>
      </c>
      <c r="P226" s="311">
        <f t="shared" si="14"/>
        <v>1</v>
      </c>
      <c r="Q226" s="291">
        <f>VLOOKUP(D226,Berechnungen!$A$3:$J$32,O226+6,FALSE)*P226</f>
        <v>45.249187784275499</v>
      </c>
      <c r="R226" s="312">
        <f t="shared" si="15"/>
        <v>0.15</v>
      </c>
      <c r="S226" s="14">
        <f t="shared" si="12"/>
        <v>38</v>
      </c>
      <c r="T226" s="16">
        <f t="shared" si="13"/>
        <v>52</v>
      </c>
      <c r="U226" s="14">
        <f t="shared" si="7"/>
        <v>152</v>
      </c>
      <c r="V226" s="14">
        <f t="shared" si="8"/>
        <v>208</v>
      </c>
      <c r="AC226" s="227"/>
      <c r="AD226" s="227"/>
      <c r="AE226" s="227"/>
      <c r="AF226" s="228"/>
    </row>
    <row r="227" spans="1:32" outlineLevel="1" x14ac:dyDescent="0.2">
      <c r="A227" s="5">
        <v>1129</v>
      </c>
      <c r="B227" s="1" t="s">
        <v>345</v>
      </c>
      <c r="C227" s="1" t="s">
        <v>259</v>
      </c>
      <c r="D227" s="6">
        <v>22</v>
      </c>
      <c r="E227" s="7" t="s">
        <v>259</v>
      </c>
      <c r="G227" s="1">
        <v>2</v>
      </c>
      <c r="H227" s="6">
        <v>1</v>
      </c>
      <c r="I227" s="6">
        <v>1</v>
      </c>
      <c r="J227" s="1">
        <v>100</v>
      </c>
      <c r="K227" s="9">
        <v>1000</v>
      </c>
      <c r="M227" s="10">
        <v>5</v>
      </c>
      <c r="N227" s="59">
        <f>VLOOKUP(A227,Baupläne!$B$2:$X$1019,23,FALSE)</f>
        <v>22600</v>
      </c>
      <c r="O227" s="310">
        <f t="shared" si="14"/>
        <v>4</v>
      </c>
      <c r="P227" s="311">
        <f t="shared" si="14"/>
        <v>1</v>
      </c>
      <c r="Q227" s="291">
        <f>VLOOKUP(D227,Berechnungen!$A$3:$J$32,O227+6,FALSE)*P227</f>
        <v>52.603612735542555</v>
      </c>
      <c r="R227" s="312">
        <f t="shared" si="15"/>
        <v>0.15</v>
      </c>
      <c r="S227" s="14">
        <f t="shared" si="12"/>
        <v>45</v>
      </c>
      <c r="T227" s="16">
        <f t="shared" si="13"/>
        <v>60</v>
      </c>
      <c r="U227" s="14">
        <f t="shared" si="7"/>
        <v>180</v>
      </c>
      <c r="V227" s="14">
        <f t="shared" si="8"/>
        <v>240</v>
      </c>
      <c r="AC227" s="227"/>
      <c r="AD227" s="227"/>
      <c r="AE227" s="227"/>
      <c r="AF227" s="228"/>
    </row>
    <row r="228" spans="1:32" outlineLevel="1" x14ac:dyDescent="0.2">
      <c r="A228" s="5">
        <v>1130</v>
      </c>
      <c r="B228" s="1" t="s">
        <v>346</v>
      </c>
      <c r="C228" s="1" t="s">
        <v>259</v>
      </c>
      <c r="D228" s="6">
        <v>25</v>
      </c>
      <c r="E228" s="7" t="s">
        <v>259</v>
      </c>
      <c r="G228" s="1">
        <v>2</v>
      </c>
      <c r="H228" s="6">
        <v>1</v>
      </c>
      <c r="I228" s="6">
        <v>1</v>
      </c>
      <c r="J228" s="1">
        <v>100</v>
      </c>
      <c r="K228" s="9">
        <v>900</v>
      </c>
      <c r="M228" s="10">
        <v>5</v>
      </c>
      <c r="N228" s="59">
        <f>VLOOKUP(A228,Baupläne!$B$2:$X$1019,23,FALSE)</f>
        <v>34400</v>
      </c>
      <c r="O228" s="310">
        <f t="shared" si="14"/>
        <v>4</v>
      </c>
      <c r="P228" s="311">
        <f t="shared" si="14"/>
        <v>1</v>
      </c>
      <c r="Q228" s="291">
        <f>VLOOKUP(D228,Berechnungen!$A$3:$J$32,O228+6,FALSE)*P228</f>
        <v>60.37043534762833</v>
      </c>
      <c r="R228" s="312">
        <f t="shared" si="15"/>
        <v>0.15</v>
      </c>
      <c r="S228" s="14">
        <f t="shared" si="12"/>
        <v>51</v>
      </c>
      <c r="T228" s="16">
        <f t="shared" si="13"/>
        <v>69</v>
      </c>
      <c r="U228" s="14">
        <f t="shared" si="7"/>
        <v>204</v>
      </c>
      <c r="V228" s="14">
        <f t="shared" si="8"/>
        <v>276</v>
      </c>
      <c r="AC228" s="227"/>
      <c r="AD228" s="227"/>
      <c r="AE228" s="227"/>
      <c r="AF228" s="228"/>
    </row>
    <row r="229" spans="1:32" s="294" customFormat="1" outlineLevel="1" x14ac:dyDescent="0.2">
      <c r="A229" s="293">
        <v>2121</v>
      </c>
      <c r="B229" s="294" t="s">
        <v>347</v>
      </c>
      <c r="C229" s="294" t="s">
        <v>259</v>
      </c>
      <c r="D229" s="295">
        <v>4</v>
      </c>
      <c r="E229" s="296" t="s">
        <v>259</v>
      </c>
      <c r="F229" s="8"/>
      <c r="G229" s="294">
        <v>2</v>
      </c>
      <c r="H229" s="295">
        <v>2</v>
      </c>
      <c r="I229" s="295">
        <v>1</v>
      </c>
      <c r="J229" s="294">
        <v>100</v>
      </c>
      <c r="K229" s="297">
        <v>600</v>
      </c>
      <c r="L229" s="295"/>
      <c r="M229" s="298"/>
      <c r="N229" s="299">
        <f>VLOOKUP(A229,Baupläne!$B$2:$X$1019,23,FALSE)</f>
        <v>2800</v>
      </c>
      <c r="O229" s="313">
        <f t="shared" si="14"/>
        <v>4</v>
      </c>
      <c r="P229" s="314">
        <f t="shared" si="14"/>
        <v>1</v>
      </c>
      <c r="Q229" s="182">
        <f>VLOOKUP(D229+3,Berechnungen!$A$3:$J$32,O229+6,FALSE)*P229</f>
        <v>19.95546458739441</v>
      </c>
      <c r="R229" s="315">
        <f t="shared" si="15"/>
        <v>0.15</v>
      </c>
      <c r="S229" s="301">
        <f>ROUND(Q229-Q229*R229,0)</f>
        <v>17</v>
      </c>
      <c r="T229" s="302">
        <f>ROUND(Q229+Q229*R229,0)</f>
        <v>23</v>
      </c>
      <c r="U229" s="301">
        <f>O229*S229</f>
        <v>68</v>
      </c>
      <c r="V229" s="301">
        <f>O229*T229</f>
        <v>92</v>
      </c>
      <c r="W229" s="303"/>
      <c r="X229" s="304"/>
      <c r="Y229" s="305"/>
      <c r="AA229" s="306"/>
      <c r="AB229" s="306"/>
      <c r="AC229" s="307"/>
      <c r="AD229" s="307"/>
      <c r="AE229" s="307"/>
      <c r="AF229" s="308"/>
    </row>
    <row r="230" spans="1:32" s="294" customFormat="1" outlineLevel="1" x14ac:dyDescent="0.2">
      <c r="A230" s="293">
        <v>2122</v>
      </c>
      <c r="B230" s="294" t="s">
        <v>348</v>
      </c>
      <c r="C230" s="294" t="s">
        <v>259</v>
      </c>
      <c r="D230" s="295">
        <v>9</v>
      </c>
      <c r="E230" s="296" t="s">
        <v>259</v>
      </c>
      <c r="F230" s="8"/>
      <c r="G230" s="294">
        <v>2</v>
      </c>
      <c r="H230" s="295">
        <v>2</v>
      </c>
      <c r="I230" s="295">
        <v>1</v>
      </c>
      <c r="J230" s="294">
        <v>100</v>
      </c>
      <c r="K230" s="297">
        <v>700</v>
      </c>
      <c r="L230" s="295"/>
      <c r="M230" s="298"/>
      <c r="N230" s="299">
        <f>VLOOKUP(A230,Baupläne!$B$2:$X$1019,23,FALSE)</f>
        <v>5700</v>
      </c>
      <c r="O230" s="313">
        <f t="shared" si="14"/>
        <v>4</v>
      </c>
      <c r="P230" s="314">
        <f t="shared" si="14"/>
        <v>1</v>
      </c>
      <c r="Q230" s="182">
        <f>VLOOKUP(D230+3,Berechnungen!$A$3:$J$32,O230+6,FALSE)*P230</f>
        <v>29.692631578947363</v>
      </c>
      <c r="R230" s="315">
        <f t="shared" si="15"/>
        <v>0.15</v>
      </c>
      <c r="S230" s="301">
        <f>ROUND(Q230-Q230*R230,0)</f>
        <v>25</v>
      </c>
      <c r="T230" s="302">
        <f>ROUND(Q230+Q230*R230,0)</f>
        <v>34</v>
      </c>
      <c r="U230" s="301">
        <f>O230*S230</f>
        <v>100</v>
      </c>
      <c r="V230" s="301">
        <f>O230*T230</f>
        <v>136</v>
      </c>
      <c r="W230" s="303"/>
      <c r="X230" s="304"/>
      <c r="Y230" s="305"/>
      <c r="AA230" s="306"/>
      <c r="AB230" s="306"/>
      <c r="AC230" s="307"/>
      <c r="AD230" s="307"/>
      <c r="AE230" s="307"/>
      <c r="AF230" s="308"/>
    </row>
    <row r="231" spans="1:32" s="294" customFormat="1" outlineLevel="1" x14ac:dyDescent="0.2">
      <c r="A231" s="293">
        <v>2123</v>
      </c>
      <c r="B231" s="294" t="s">
        <v>349</v>
      </c>
      <c r="C231" s="294" t="s">
        <v>259</v>
      </c>
      <c r="D231" s="295">
        <v>14</v>
      </c>
      <c r="E231" s="296" t="s">
        <v>259</v>
      </c>
      <c r="F231" s="8"/>
      <c r="G231" s="294">
        <v>2</v>
      </c>
      <c r="H231" s="295">
        <v>2</v>
      </c>
      <c r="I231" s="295">
        <v>1</v>
      </c>
      <c r="J231" s="294">
        <v>100</v>
      </c>
      <c r="K231" s="297">
        <v>1200</v>
      </c>
      <c r="L231" s="295"/>
      <c r="M231" s="298"/>
      <c r="N231" s="299">
        <f>VLOOKUP(A231,Baupläne!$B$2:$X$1019,23,FALSE)</f>
        <v>11400</v>
      </c>
      <c r="O231" s="313">
        <f t="shared" si="14"/>
        <v>4</v>
      </c>
      <c r="P231" s="314">
        <f t="shared" si="14"/>
        <v>1</v>
      </c>
      <c r="Q231" s="182">
        <f>VLOOKUP(D231+3,Berechnungen!$A$3:$J$32,O231+6,FALSE)*P231</f>
        <v>40.575347628330078</v>
      </c>
      <c r="R231" s="315">
        <f t="shared" si="15"/>
        <v>0.15</v>
      </c>
      <c r="S231" s="301">
        <f>ROUND(Q231-Q231*R231,0)</f>
        <v>34</v>
      </c>
      <c r="T231" s="302">
        <f>ROUND(Q231+Q231*R231,0)</f>
        <v>47</v>
      </c>
      <c r="U231" s="301">
        <f>O231*S231</f>
        <v>136</v>
      </c>
      <c r="V231" s="301">
        <f>O231*T231</f>
        <v>188</v>
      </c>
      <c r="W231" s="303"/>
      <c r="X231" s="304"/>
      <c r="Y231" s="305"/>
      <c r="AA231" s="306"/>
      <c r="AB231" s="306"/>
      <c r="AC231" s="307"/>
      <c r="AD231" s="307"/>
      <c r="AE231" s="307"/>
      <c r="AF231" s="308"/>
    </row>
    <row r="232" spans="1:32" s="294" customFormat="1" outlineLevel="1" x14ac:dyDescent="0.2">
      <c r="A232" s="293">
        <v>2124</v>
      </c>
      <c r="B232" s="294" t="s">
        <v>350</v>
      </c>
      <c r="C232" s="294" t="s">
        <v>259</v>
      </c>
      <c r="D232" s="295">
        <v>19</v>
      </c>
      <c r="E232" s="296" t="s">
        <v>259</v>
      </c>
      <c r="F232" s="8"/>
      <c r="G232" s="294">
        <v>2</v>
      </c>
      <c r="H232" s="295">
        <v>2</v>
      </c>
      <c r="I232" s="295">
        <v>1</v>
      </c>
      <c r="J232" s="294">
        <v>100</v>
      </c>
      <c r="K232" s="297">
        <v>1100</v>
      </c>
      <c r="L232" s="295"/>
      <c r="M232" s="298"/>
      <c r="N232" s="299">
        <f>VLOOKUP(A232,Baupläne!$B$2:$X$1019,23,FALSE)</f>
        <v>21900</v>
      </c>
      <c r="O232" s="313">
        <f t="shared" si="14"/>
        <v>4</v>
      </c>
      <c r="P232" s="314">
        <f t="shared" si="14"/>
        <v>1</v>
      </c>
      <c r="Q232" s="182">
        <f>VLOOKUP(D232+3,Berechnungen!$A$3:$J$32,O232+6,FALSE)*P232</f>
        <v>52.603612735542555</v>
      </c>
      <c r="R232" s="315">
        <f t="shared" si="15"/>
        <v>0.15</v>
      </c>
      <c r="S232" s="301">
        <f>ROUND(Q232-Q232*R232,0)</f>
        <v>45</v>
      </c>
      <c r="T232" s="302">
        <f>ROUND(Q232+Q232*R232,0)</f>
        <v>60</v>
      </c>
      <c r="U232" s="301">
        <f>O232*S232</f>
        <v>180</v>
      </c>
      <c r="V232" s="301">
        <f>O232*T232</f>
        <v>240</v>
      </c>
      <c r="W232" s="303"/>
      <c r="X232" s="304"/>
      <c r="Y232" s="305"/>
      <c r="AA232" s="306"/>
      <c r="AB232" s="306"/>
      <c r="AC232" s="307"/>
      <c r="AD232" s="307"/>
      <c r="AE232" s="307"/>
      <c r="AF232" s="308"/>
    </row>
    <row r="233" spans="1:32" s="294" customFormat="1" outlineLevel="1" x14ac:dyDescent="0.2">
      <c r="A233" s="293">
        <v>2125</v>
      </c>
      <c r="B233" s="177" t="s">
        <v>351</v>
      </c>
      <c r="C233" s="177" t="s">
        <v>259</v>
      </c>
      <c r="D233" s="295">
        <v>25</v>
      </c>
      <c r="E233" s="316" t="s">
        <v>259</v>
      </c>
      <c r="F233" s="8"/>
      <c r="G233" s="177">
        <v>2</v>
      </c>
      <c r="H233" s="178">
        <v>2</v>
      </c>
      <c r="I233" s="178">
        <v>1</v>
      </c>
      <c r="J233" s="177">
        <v>100</v>
      </c>
      <c r="K233" s="317">
        <v>1000</v>
      </c>
      <c r="L233" s="178"/>
      <c r="M233" s="179"/>
      <c r="N233" s="299">
        <f>VLOOKUP(A233,Baupläne!$B$2:$X$1019,23,FALSE)</f>
        <v>44400</v>
      </c>
      <c r="O233" s="313">
        <f t="shared" si="14"/>
        <v>4</v>
      </c>
      <c r="P233" s="314">
        <f t="shared" si="14"/>
        <v>1</v>
      </c>
      <c r="Q233" s="182">
        <f>VLOOKUP(D233+3,Berechnungen!$A$3:$J$32,O233+6,FALSE)*P233</f>
        <v>68.549655620532803</v>
      </c>
      <c r="R233" s="315">
        <f t="shared" si="15"/>
        <v>0.15</v>
      </c>
      <c r="S233" s="301">
        <f>ROUND(Q233-Q233*R233,0)</f>
        <v>58</v>
      </c>
      <c r="T233" s="302">
        <f>ROUND(Q233+Q233*R233,0)</f>
        <v>79</v>
      </c>
      <c r="U233" s="301">
        <f>O233*S233</f>
        <v>232</v>
      </c>
      <c r="V233" s="301">
        <f>O233*T233</f>
        <v>316</v>
      </c>
      <c r="W233" s="303"/>
      <c r="X233" s="304"/>
      <c r="Y233" s="305"/>
      <c r="AA233" s="306"/>
      <c r="AB233" s="306"/>
      <c r="AC233" s="307"/>
      <c r="AD233" s="307"/>
      <c r="AE233" s="307"/>
      <c r="AF233" s="308"/>
    </row>
    <row r="234" spans="1:32" x14ac:dyDescent="0.2">
      <c r="A234" s="271"/>
      <c r="B234" s="272" t="s">
        <v>352</v>
      </c>
      <c r="C234" s="272"/>
      <c r="D234" s="273"/>
      <c r="E234" s="274"/>
      <c r="F234" s="275"/>
      <c r="G234" s="272"/>
      <c r="H234" s="273"/>
      <c r="I234" s="273"/>
      <c r="J234" s="272"/>
      <c r="K234" s="276"/>
      <c r="L234" s="273"/>
      <c r="M234" s="277"/>
      <c r="N234" s="278"/>
      <c r="O234" s="279">
        <v>3</v>
      </c>
      <c r="P234" s="280">
        <f>VLOOKUP(B234,Berechnungen!$A$70:$E$79,3,FALSE)</f>
        <v>1</v>
      </c>
      <c r="Q234" s="281"/>
      <c r="R234" s="280">
        <f>VLOOKUP(B234,Berechnungen!$A$70:$E$79,5,FALSE)</f>
        <v>0.2</v>
      </c>
      <c r="S234" s="281"/>
      <c r="T234" s="282"/>
      <c r="U234" s="281"/>
      <c r="V234" s="281"/>
      <c r="W234" s="283"/>
      <c r="X234" s="284"/>
      <c r="Y234" s="285"/>
      <c r="Z234" s="286"/>
      <c r="AA234" s="287"/>
      <c r="AB234" s="287"/>
      <c r="AC234" s="288"/>
      <c r="AD234" s="288"/>
      <c r="AE234" s="288"/>
      <c r="AF234" s="289"/>
    </row>
    <row r="235" spans="1:32" outlineLevel="1" x14ac:dyDescent="0.2">
      <c r="A235" s="5">
        <v>1131</v>
      </c>
      <c r="B235" s="1" t="s">
        <v>353</v>
      </c>
      <c r="C235" s="1" t="s">
        <v>352</v>
      </c>
      <c r="D235" s="6">
        <v>1</v>
      </c>
      <c r="E235" s="7" t="s">
        <v>261</v>
      </c>
      <c r="G235" s="1">
        <v>3</v>
      </c>
      <c r="H235" s="6">
        <v>1</v>
      </c>
      <c r="I235" s="6">
        <v>1</v>
      </c>
      <c r="J235" s="1">
        <v>100</v>
      </c>
      <c r="K235" s="9">
        <v>2800</v>
      </c>
      <c r="M235" s="10">
        <v>1</v>
      </c>
      <c r="N235" s="59">
        <f>VLOOKUP(A235,Baupläne!$B$2:$X$1019,23,FALSE)</f>
        <v>1200</v>
      </c>
      <c r="O235" s="310">
        <f t="shared" ref="O235:P249" si="16">O$234</f>
        <v>3</v>
      </c>
      <c r="P235" s="311">
        <f t="shared" si="16"/>
        <v>1</v>
      </c>
      <c r="Q235" s="291">
        <f>VLOOKUP(D235,Berechnungen!$A$3:$J$32,O235+6,FALSE)*P235</f>
        <v>11.764795321637424</v>
      </c>
      <c r="R235" s="312">
        <f t="shared" ref="R235:R249" si="17">R$234</f>
        <v>0.2</v>
      </c>
      <c r="S235" s="14">
        <f t="shared" si="12"/>
        <v>9</v>
      </c>
      <c r="T235" s="16">
        <f t="shared" si="13"/>
        <v>14</v>
      </c>
      <c r="U235" s="14">
        <f t="shared" si="7"/>
        <v>27</v>
      </c>
      <c r="V235" s="14">
        <f t="shared" si="8"/>
        <v>42</v>
      </c>
      <c r="AC235" s="227"/>
      <c r="AD235" s="227"/>
      <c r="AE235" s="227"/>
      <c r="AF235" s="228"/>
    </row>
    <row r="236" spans="1:32" outlineLevel="1" x14ac:dyDescent="0.2">
      <c r="A236" s="5">
        <v>1132</v>
      </c>
      <c r="B236" s="1" t="s">
        <v>354</v>
      </c>
      <c r="C236" s="1" t="s">
        <v>352</v>
      </c>
      <c r="D236" s="6">
        <v>4</v>
      </c>
      <c r="E236" s="7" t="s">
        <v>261</v>
      </c>
      <c r="G236" s="1">
        <v>3</v>
      </c>
      <c r="H236" s="6">
        <v>1</v>
      </c>
      <c r="I236" s="6">
        <v>1</v>
      </c>
      <c r="J236" s="1">
        <v>100</v>
      </c>
      <c r="K236" s="9">
        <v>3200</v>
      </c>
      <c r="M236" s="10">
        <v>1</v>
      </c>
      <c r="N236" s="59">
        <f>VLOOKUP(A236,Baupläne!$B$2:$X$1019,23,FALSE)</f>
        <v>1800</v>
      </c>
      <c r="O236" s="310">
        <f t="shared" si="16"/>
        <v>3</v>
      </c>
      <c r="P236" s="311">
        <f t="shared" si="16"/>
        <v>1</v>
      </c>
      <c r="Q236" s="291">
        <f>VLOOKUP(D236,Berechnungen!$A$3:$J$32,O236+6,FALSE)*P236</f>
        <v>17.633416875522137</v>
      </c>
      <c r="R236" s="312">
        <f t="shared" si="17"/>
        <v>0.2</v>
      </c>
      <c r="S236" s="14">
        <f t="shared" si="12"/>
        <v>14</v>
      </c>
      <c r="T236" s="16">
        <f t="shared" si="13"/>
        <v>21</v>
      </c>
      <c r="U236" s="14">
        <f t="shared" si="7"/>
        <v>42</v>
      </c>
      <c r="V236" s="14">
        <f t="shared" si="8"/>
        <v>63</v>
      </c>
      <c r="AC236" s="227"/>
      <c r="AD236" s="227"/>
      <c r="AE236" s="227"/>
      <c r="AF236" s="228"/>
    </row>
    <row r="237" spans="1:32" outlineLevel="1" x14ac:dyDescent="0.2">
      <c r="A237" s="5">
        <v>1133</v>
      </c>
      <c r="B237" s="1" t="s">
        <v>355</v>
      </c>
      <c r="C237" s="1" t="s">
        <v>352</v>
      </c>
      <c r="D237" s="6">
        <v>6</v>
      </c>
      <c r="E237" s="7" t="s">
        <v>261</v>
      </c>
      <c r="G237" s="1">
        <v>3</v>
      </c>
      <c r="H237" s="6">
        <v>1</v>
      </c>
      <c r="I237" s="6">
        <v>1</v>
      </c>
      <c r="J237" s="1">
        <v>100</v>
      </c>
      <c r="K237" s="9">
        <v>3500</v>
      </c>
      <c r="M237" s="10">
        <v>2</v>
      </c>
      <c r="N237" s="59">
        <f>VLOOKUP(A237,Baupläne!$B$2:$X$1019,23,FALSE)</f>
        <v>2400</v>
      </c>
      <c r="O237" s="310">
        <f t="shared" si="16"/>
        <v>3</v>
      </c>
      <c r="P237" s="311">
        <f t="shared" si="16"/>
        <v>1</v>
      </c>
      <c r="Q237" s="291">
        <f>VLOOKUP(D237,Berechnungen!$A$3:$J$32,O237+6,FALSE)*P237</f>
        <v>21.821353383458643</v>
      </c>
      <c r="R237" s="312">
        <f t="shared" si="17"/>
        <v>0.2</v>
      </c>
      <c r="S237" s="14">
        <f t="shared" si="12"/>
        <v>17</v>
      </c>
      <c r="T237" s="16">
        <f t="shared" si="13"/>
        <v>26</v>
      </c>
      <c r="U237" s="14">
        <f t="shared" si="7"/>
        <v>51</v>
      </c>
      <c r="V237" s="14">
        <f t="shared" si="8"/>
        <v>78</v>
      </c>
      <c r="AC237" s="227"/>
      <c r="AD237" s="227"/>
      <c r="AE237" s="227"/>
      <c r="AF237" s="228"/>
    </row>
    <row r="238" spans="1:32" outlineLevel="1" x14ac:dyDescent="0.2">
      <c r="A238" s="5">
        <v>1134</v>
      </c>
      <c r="B238" s="3" t="s">
        <v>356</v>
      </c>
      <c r="C238" s="3" t="s">
        <v>352</v>
      </c>
      <c r="D238" s="6">
        <v>9</v>
      </c>
      <c r="E238" s="55" t="s">
        <v>261</v>
      </c>
      <c r="G238" s="3">
        <v>3</v>
      </c>
      <c r="H238" s="54">
        <v>1</v>
      </c>
      <c r="I238" s="54">
        <v>1</v>
      </c>
      <c r="J238" s="3">
        <v>100</v>
      </c>
      <c r="K238" s="57">
        <v>3400</v>
      </c>
      <c r="L238" s="54"/>
      <c r="M238" s="58">
        <v>2</v>
      </c>
      <c r="N238" s="59">
        <f>VLOOKUP(A238,Baupläne!$B$2:$X$1019,23,FALSE)</f>
        <v>3700</v>
      </c>
      <c r="O238" s="310">
        <f t="shared" si="16"/>
        <v>3</v>
      </c>
      <c r="P238" s="311">
        <f t="shared" si="16"/>
        <v>1</v>
      </c>
      <c r="Q238" s="291">
        <f>VLOOKUP(D238,Berechnungen!$A$3:$J$32,O238+6,FALSE)*P238</f>
        <v>28.516541353383456</v>
      </c>
      <c r="R238" s="312">
        <f t="shared" si="17"/>
        <v>0.2</v>
      </c>
      <c r="S238" s="14">
        <f t="shared" si="12"/>
        <v>23</v>
      </c>
      <c r="T238" s="16">
        <f t="shared" si="13"/>
        <v>34</v>
      </c>
      <c r="U238" s="14">
        <f t="shared" si="7"/>
        <v>69</v>
      </c>
      <c r="V238" s="14">
        <f t="shared" si="8"/>
        <v>102</v>
      </c>
      <c r="AC238" s="227"/>
      <c r="AD238" s="227"/>
      <c r="AE238" s="227"/>
      <c r="AF238" s="228"/>
    </row>
    <row r="239" spans="1:32" outlineLevel="1" x14ac:dyDescent="0.2">
      <c r="A239" s="5">
        <v>1135</v>
      </c>
      <c r="B239" s="1" t="s">
        <v>357</v>
      </c>
      <c r="C239" s="1" t="s">
        <v>352</v>
      </c>
      <c r="D239" s="6">
        <v>11</v>
      </c>
      <c r="E239" s="7" t="s">
        <v>261</v>
      </c>
      <c r="G239" s="1">
        <v>3</v>
      </c>
      <c r="H239" s="6">
        <v>1</v>
      </c>
      <c r="I239" s="6">
        <v>1</v>
      </c>
      <c r="J239" s="1">
        <v>100</v>
      </c>
      <c r="K239" s="9">
        <v>3600</v>
      </c>
      <c r="M239" s="10">
        <v>3</v>
      </c>
      <c r="N239" s="59">
        <f>VLOOKUP(A239,Baupläne!$B$2:$X$1019,23,FALSE)</f>
        <v>4900</v>
      </c>
      <c r="O239" s="310">
        <f t="shared" si="16"/>
        <v>3</v>
      </c>
      <c r="P239" s="311">
        <f t="shared" si="16"/>
        <v>1</v>
      </c>
      <c r="Q239" s="291">
        <f>VLOOKUP(D239,Berechnungen!$A$3:$J$32,O239+6,FALSE)*P239</f>
        <v>33.255522138680028</v>
      </c>
      <c r="R239" s="312">
        <f t="shared" si="17"/>
        <v>0.2</v>
      </c>
      <c r="S239" s="14">
        <f t="shared" si="12"/>
        <v>27</v>
      </c>
      <c r="T239" s="16">
        <f t="shared" si="13"/>
        <v>40</v>
      </c>
      <c r="U239" s="14">
        <f t="shared" si="7"/>
        <v>81</v>
      </c>
      <c r="V239" s="14">
        <f t="shared" si="8"/>
        <v>120</v>
      </c>
      <c r="AC239" s="227"/>
      <c r="AD239" s="227"/>
      <c r="AE239" s="227"/>
      <c r="AF239" s="228"/>
    </row>
    <row r="240" spans="1:32" outlineLevel="1" x14ac:dyDescent="0.2">
      <c r="A240" s="5">
        <v>1136</v>
      </c>
      <c r="B240" s="1" t="s">
        <v>358</v>
      </c>
      <c r="C240" s="1" t="s">
        <v>352</v>
      </c>
      <c r="D240" s="6">
        <v>14</v>
      </c>
      <c r="E240" s="7" t="s">
        <v>261</v>
      </c>
      <c r="G240" s="1">
        <v>3</v>
      </c>
      <c r="H240" s="6">
        <v>1</v>
      </c>
      <c r="I240" s="6">
        <v>1</v>
      </c>
      <c r="J240" s="1">
        <v>100</v>
      </c>
      <c r="K240" s="9">
        <v>3100</v>
      </c>
      <c r="M240" s="10">
        <v>3</v>
      </c>
      <c r="N240" s="59">
        <f>VLOOKUP(A240,Baupläne!$B$2:$X$1019,23,FALSE)</f>
        <v>7400</v>
      </c>
      <c r="O240" s="310">
        <f t="shared" si="16"/>
        <v>3</v>
      </c>
      <c r="P240" s="311">
        <f t="shared" si="16"/>
        <v>1</v>
      </c>
      <c r="Q240" s="291">
        <f>VLOOKUP(D240,Berechnungen!$A$3:$J$32,O240+6,FALSE)*P240</f>
        <v>40.77727652464494</v>
      </c>
      <c r="R240" s="312">
        <f t="shared" si="17"/>
        <v>0.2</v>
      </c>
      <c r="S240" s="14">
        <f t="shared" si="12"/>
        <v>33</v>
      </c>
      <c r="T240" s="16">
        <f t="shared" si="13"/>
        <v>49</v>
      </c>
      <c r="U240" s="14">
        <f t="shared" si="7"/>
        <v>99</v>
      </c>
      <c r="V240" s="14">
        <f t="shared" si="8"/>
        <v>147</v>
      </c>
      <c r="AC240" s="227"/>
      <c r="AD240" s="227"/>
      <c r="AE240" s="227"/>
      <c r="AF240" s="228"/>
    </row>
    <row r="241" spans="1:32" outlineLevel="1" x14ac:dyDescent="0.2">
      <c r="A241" s="5">
        <v>1137</v>
      </c>
      <c r="B241" s="1" t="s">
        <v>359</v>
      </c>
      <c r="C241" s="1" t="s">
        <v>352</v>
      </c>
      <c r="D241" s="6">
        <v>16</v>
      </c>
      <c r="E241" s="7" t="s">
        <v>261</v>
      </c>
      <c r="G241" s="1">
        <v>3</v>
      </c>
      <c r="H241" s="6">
        <v>1</v>
      </c>
      <c r="I241" s="6">
        <v>1</v>
      </c>
      <c r="J241" s="1">
        <v>100</v>
      </c>
      <c r="K241" s="9">
        <v>3500</v>
      </c>
      <c r="M241" s="10">
        <v>4</v>
      </c>
      <c r="N241" s="59">
        <f>VLOOKUP(A241,Baupläne!$B$2:$X$1019,23,FALSE)</f>
        <v>9800</v>
      </c>
      <c r="O241" s="310">
        <f t="shared" si="16"/>
        <v>3</v>
      </c>
      <c r="P241" s="311">
        <f t="shared" si="16"/>
        <v>1</v>
      </c>
      <c r="Q241" s="291">
        <f>VLOOKUP(D241,Berechnungen!$A$3:$J$32,O241+6,FALSE)*P241</f>
        <v>46.067301587301586</v>
      </c>
      <c r="R241" s="312">
        <f t="shared" si="17"/>
        <v>0.2</v>
      </c>
      <c r="S241" s="14">
        <f t="shared" si="12"/>
        <v>37</v>
      </c>
      <c r="T241" s="16">
        <f t="shared" si="13"/>
        <v>55</v>
      </c>
      <c r="U241" s="14">
        <f t="shared" si="7"/>
        <v>111</v>
      </c>
      <c r="V241" s="14">
        <f t="shared" si="8"/>
        <v>165</v>
      </c>
      <c r="AC241" s="227"/>
      <c r="AD241" s="227"/>
      <c r="AE241" s="227"/>
      <c r="AF241" s="228"/>
    </row>
    <row r="242" spans="1:32" outlineLevel="1" x14ac:dyDescent="0.2">
      <c r="A242" s="5">
        <v>1138</v>
      </c>
      <c r="B242" s="3" t="s">
        <v>360</v>
      </c>
      <c r="C242" s="3" t="s">
        <v>352</v>
      </c>
      <c r="D242" s="6">
        <v>19</v>
      </c>
      <c r="E242" s="55" t="s">
        <v>261</v>
      </c>
      <c r="G242" s="3">
        <v>3</v>
      </c>
      <c r="H242" s="54">
        <v>1</v>
      </c>
      <c r="I242" s="54">
        <v>1</v>
      </c>
      <c r="J242" s="3">
        <v>100</v>
      </c>
      <c r="K242" s="57">
        <v>3300</v>
      </c>
      <c r="L242" s="54"/>
      <c r="M242" s="58">
        <v>4</v>
      </c>
      <c r="N242" s="59">
        <f>VLOOKUP(A242,Baupläne!$B$2:$X$1019,23,FALSE)</f>
        <v>14900</v>
      </c>
      <c r="O242" s="310">
        <f t="shared" si="16"/>
        <v>3</v>
      </c>
      <c r="P242" s="311">
        <f t="shared" si="16"/>
        <v>1</v>
      </c>
      <c r="Q242" s="291">
        <f>VLOOKUP(D242,Berechnungen!$A$3:$J$32,O242+6,FALSE)*P242</f>
        <v>54.415622389306598</v>
      </c>
      <c r="R242" s="312">
        <f t="shared" si="17"/>
        <v>0.2</v>
      </c>
      <c r="S242" s="14">
        <f t="shared" si="12"/>
        <v>44</v>
      </c>
      <c r="T242" s="16">
        <f t="shared" si="13"/>
        <v>65</v>
      </c>
      <c r="U242" s="14">
        <f t="shared" si="7"/>
        <v>132</v>
      </c>
      <c r="V242" s="14">
        <f t="shared" si="8"/>
        <v>195</v>
      </c>
      <c r="AC242" s="227"/>
      <c r="AD242" s="227"/>
      <c r="AE242" s="227"/>
      <c r="AF242" s="228"/>
    </row>
    <row r="243" spans="1:32" outlineLevel="1" x14ac:dyDescent="0.2">
      <c r="A243" s="5">
        <v>1139</v>
      </c>
      <c r="B243" s="1" t="s">
        <v>361</v>
      </c>
      <c r="C243" s="1" t="s">
        <v>352</v>
      </c>
      <c r="D243" s="6">
        <v>22</v>
      </c>
      <c r="E243" s="7" t="s">
        <v>261</v>
      </c>
      <c r="G243" s="1">
        <v>3</v>
      </c>
      <c r="H243" s="6">
        <v>1</v>
      </c>
      <c r="I243" s="6">
        <v>1</v>
      </c>
      <c r="J243" s="1">
        <v>100</v>
      </c>
      <c r="K243" s="9">
        <v>3200</v>
      </c>
      <c r="M243" s="10">
        <v>5</v>
      </c>
      <c r="N243" s="59">
        <f>VLOOKUP(A243,Baupläne!$B$2:$X$1019,23,FALSE)</f>
        <v>22600</v>
      </c>
      <c r="O243" s="310">
        <f t="shared" si="16"/>
        <v>3</v>
      </c>
      <c r="P243" s="311">
        <f t="shared" si="16"/>
        <v>1</v>
      </c>
      <c r="Q243" s="291">
        <f>VLOOKUP(D243,Berechnungen!$A$3:$J$32,O243+6,FALSE)*P243</f>
        <v>63.259883040935669</v>
      </c>
      <c r="R243" s="312">
        <f t="shared" si="17"/>
        <v>0.2</v>
      </c>
      <c r="S243" s="14">
        <f t="shared" si="12"/>
        <v>51</v>
      </c>
      <c r="T243" s="16">
        <f t="shared" si="13"/>
        <v>76</v>
      </c>
      <c r="U243" s="14">
        <f t="shared" si="7"/>
        <v>153</v>
      </c>
      <c r="V243" s="14">
        <f t="shared" si="8"/>
        <v>228</v>
      </c>
      <c r="AC243" s="227"/>
      <c r="AD243" s="227"/>
      <c r="AE243" s="227"/>
      <c r="AF243" s="228"/>
    </row>
    <row r="244" spans="1:32" outlineLevel="1" x14ac:dyDescent="0.2">
      <c r="A244" s="5">
        <v>1140</v>
      </c>
      <c r="B244" s="1" t="s">
        <v>362</v>
      </c>
      <c r="C244" s="1" t="s">
        <v>352</v>
      </c>
      <c r="D244" s="6">
        <v>25</v>
      </c>
      <c r="E244" s="7" t="s">
        <v>261</v>
      </c>
      <c r="G244" s="1">
        <v>3</v>
      </c>
      <c r="H244" s="6">
        <v>1</v>
      </c>
      <c r="I244" s="6">
        <v>1</v>
      </c>
      <c r="J244" s="1">
        <v>100</v>
      </c>
      <c r="K244" s="9">
        <v>3400</v>
      </c>
      <c r="M244" s="10">
        <v>5</v>
      </c>
      <c r="N244" s="59">
        <f>VLOOKUP(A244,Baupläne!$B$2:$X$1019,23,FALSE)</f>
        <v>34400</v>
      </c>
      <c r="O244" s="310">
        <f t="shared" si="16"/>
        <v>3</v>
      </c>
      <c r="P244" s="311">
        <f t="shared" si="16"/>
        <v>1</v>
      </c>
      <c r="Q244" s="291">
        <f>VLOOKUP(D244,Berechnungen!$A$3:$J$32,O244+6,FALSE)*P244</f>
        <v>72.600083542188813</v>
      </c>
      <c r="R244" s="312">
        <f t="shared" si="17"/>
        <v>0.2</v>
      </c>
      <c r="S244" s="14">
        <f t="shared" si="12"/>
        <v>58</v>
      </c>
      <c r="T244" s="16">
        <f t="shared" si="13"/>
        <v>87</v>
      </c>
      <c r="U244" s="14">
        <f t="shared" si="7"/>
        <v>174</v>
      </c>
      <c r="V244" s="14">
        <f t="shared" si="8"/>
        <v>261</v>
      </c>
      <c r="AC244" s="227"/>
      <c r="AD244" s="227"/>
      <c r="AE244" s="227"/>
      <c r="AF244" s="228"/>
    </row>
    <row r="245" spans="1:32" s="294" customFormat="1" outlineLevel="1" x14ac:dyDescent="0.2">
      <c r="A245" s="293">
        <v>2131</v>
      </c>
      <c r="B245" s="294" t="s">
        <v>363</v>
      </c>
      <c r="C245" s="294" t="s">
        <v>352</v>
      </c>
      <c r="D245" s="295">
        <v>4</v>
      </c>
      <c r="E245" s="296" t="s">
        <v>261</v>
      </c>
      <c r="F245" s="8"/>
      <c r="G245" s="294">
        <v>3</v>
      </c>
      <c r="H245" s="295">
        <v>2</v>
      </c>
      <c r="I245" s="295">
        <v>1</v>
      </c>
      <c r="J245" s="294">
        <v>100</v>
      </c>
      <c r="K245" s="297">
        <v>2800</v>
      </c>
      <c r="L245" s="295"/>
      <c r="M245" s="298"/>
      <c r="N245" s="299">
        <f>VLOOKUP(A245,Baupläne!$B$2:$X$1019,23,FALSE)</f>
        <v>2800</v>
      </c>
      <c r="O245" s="313">
        <f t="shared" si="16"/>
        <v>3</v>
      </c>
      <c r="P245" s="314">
        <f t="shared" si="16"/>
        <v>1</v>
      </c>
      <c r="Q245" s="182">
        <f>VLOOKUP(D245+3,Berechnungen!$A$3:$J$32,O245+6,FALSE)*P245</f>
        <v>23.99797827903091</v>
      </c>
      <c r="R245" s="315">
        <f t="shared" si="17"/>
        <v>0.2</v>
      </c>
      <c r="S245" s="301">
        <f>ROUND(Q245-Q245*R245,0)</f>
        <v>19</v>
      </c>
      <c r="T245" s="302">
        <f>ROUND(Q245+Q245*R245,0)</f>
        <v>29</v>
      </c>
      <c r="U245" s="301">
        <f>O245*S245</f>
        <v>57</v>
      </c>
      <c r="V245" s="301">
        <f>O245*T245</f>
        <v>87</v>
      </c>
      <c r="W245" s="303"/>
      <c r="X245" s="304"/>
      <c r="Y245" s="305"/>
      <c r="AA245" s="306"/>
      <c r="AB245" s="306"/>
      <c r="AC245" s="307"/>
      <c r="AD245" s="307"/>
      <c r="AE245" s="307"/>
      <c r="AF245" s="308"/>
    </row>
    <row r="246" spans="1:32" s="294" customFormat="1" outlineLevel="1" x14ac:dyDescent="0.2">
      <c r="A246" s="293">
        <v>2132</v>
      </c>
      <c r="B246" s="294" t="s">
        <v>364</v>
      </c>
      <c r="C246" s="294" t="s">
        <v>352</v>
      </c>
      <c r="D246" s="295">
        <v>9</v>
      </c>
      <c r="E246" s="296" t="s">
        <v>261</v>
      </c>
      <c r="F246" s="8"/>
      <c r="G246" s="294">
        <v>3</v>
      </c>
      <c r="H246" s="295">
        <v>2</v>
      </c>
      <c r="I246" s="295">
        <v>1</v>
      </c>
      <c r="J246" s="294">
        <v>100</v>
      </c>
      <c r="K246" s="297">
        <v>3200</v>
      </c>
      <c r="L246" s="295"/>
      <c r="M246" s="298"/>
      <c r="N246" s="299">
        <f>VLOOKUP(A246,Baupläne!$B$2:$X$1019,23,FALSE)</f>
        <v>5700</v>
      </c>
      <c r="O246" s="313">
        <f t="shared" si="16"/>
        <v>3</v>
      </c>
      <c r="P246" s="314">
        <f t="shared" si="16"/>
        <v>1</v>
      </c>
      <c r="Q246" s="182">
        <f>VLOOKUP(D246+3,Berechnungen!$A$3:$J$32,O246+6,FALSE)*P246</f>
        <v>35.707669172932327</v>
      </c>
      <c r="R246" s="315">
        <f t="shared" si="17"/>
        <v>0.2</v>
      </c>
      <c r="S246" s="301">
        <f>ROUND(Q246-Q246*R246,0)</f>
        <v>29</v>
      </c>
      <c r="T246" s="302">
        <f>ROUND(Q246+Q246*R246,0)</f>
        <v>43</v>
      </c>
      <c r="U246" s="301">
        <f>O246*S246</f>
        <v>87</v>
      </c>
      <c r="V246" s="301">
        <f>O246*T246</f>
        <v>129</v>
      </c>
      <c r="W246" s="303"/>
      <c r="X246" s="304"/>
      <c r="Y246" s="305"/>
      <c r="AA246" s="306"/>
      <c r="AB246" s="306"/>
      <c r="AC246" s="307"/>
      <c r="AD246" s="307"/>
      <c r="AE246" s="307"/>
      <c r="AF246" s="308"/>
    </row>
    <row r="247" spans="1:32" s="294" customFormat="1" outlineLevel="1" x14ac:dyDescent="0.2">
      <c r="A247" s="293">
        <v>2133</v>
      </c>
      <c r="B247" s="294" t="s">
        <v>365</v>
      </c>
      <c r="C247" s="294" t="s">
        <v>352</v>
      </c>
      <c r="D247" s="295">
        <v>14</v>
      </c>
      <c r="E247" s="296" t="s">
        <v>261</v>
      </c>
      <c r="F247" s="8"/>
      <c r="G247" s="294">
        <v>3</v>
      </c>
      <c r="H247" s="295">
        <v>2</v>
      </c>
      <c r="I247" s="295">
        <v>1</v>
      </c>
      <c r="J247" s="294">
        <v>100</v>
      </c>
      <c r="K247" s="297">
        <v>3500</v>
      </c>
      <c r="L247" s="295"/>
      <c r="M247" s="298"/>
      <c r="N247" s="299">
        <f>VLOOKUP(A247,Baupläne!$B$2:$X$1019,23,FALSE)</f>
        <v>11400</v>
      </c>
      <c r="O247" s="313">
        <f t="shared" si="16"/>
        <v>3</v>
      </c>
      <c r="P247" s="314">
        <f t="shared" si="16"/>
        <v>1</v>
      </c>
      <c r="Q247" s="182">
        <f>VLOOKUP(D247+3,Berechnungen!$A$3:$J$32,O247+6,FALSE)*P247</f>
        <v>48.794970760233916</v>
      </c>
      <c r="R247" s="315">
        <f t="shared" si="17"/>
        <v>0.2</v>
      </c>
      <c r="S247" s="301">
        <f>ROUND(Q247-Q247*R247,0)</f>
        <v>39</v>
      </c>
      <c r="T247" s="302">
        <f>ROUND(Q247+Q247*R247,0)</f>
        <v>59</v>
      </c>
      <c r="U247" s="301">
        <f>O247*S247</f>
        <v>117</v>
      </c>
      <c r="V247" s="301">
        <f>O247*T247</f>
        <v>177</v>
      </c>
      <c r="W247" s="303"/>
      <c r="X247" s="304"/>
      <c r="Y247" s="305"/>
      <c r="AA247" s="306"/>
      <c r="AB247" s="306"/>
      <c r="AC247" s="307"/>
      <c r="AD247" s="307"/>
      <c r="AE247" s="307"/>
      <c r="AF247" s="308"/>
    </row>
    <row r="248" spans="1:32" s="294" customFormat="1" outlineLevel="1" x14ac:dyDescent="0.2">
      <c r="A248" s="293">
        <v>2134</v>
      </c>
      <c r="B248" s="177" t="s">
        <v>366</v>
      </c>
      <c r="C248" s="177" t="s">
        <v>352</v>
      </c>
      <c r="D248" s="295">
        <v>19</v>
      </c>
      <c r="E248" s="316" t="s">
        <v>261</v>
      </c>
      <c r="F248" s="8"/>
      <c r="G248" s="177">
        <v>3</v>
      </c>
      <c r="H248" s="178">
        <v>2</v>
      </c>
      <c r="I248" s="178">
        <v>1</v>
      </c>
      <c r="J248" s="177">
        <v>100</v>
      </c>
      <c r="K248" s="317">
        <v>3400</v>
      </c>
      <c r="L248" s="178"/>
      <c r="M248" s="179"/>
      <c r="N248" s="299">
        <f>VLOOKUP(A248,Baupläne!$B$2:$X$1019,23,FALSE)</f>
        <v>21900</v>
      </c>
      <c r="O248" s="313">
        <f t="shared" si="16"/>
        <v>3</v>
      </c>
      <c r="P248" s="314">
        <f t="shared" si="16"/>
        <v>1</v>
      </c>
      <c r="Q248" s="182">
        <f>VLOOKUP(D248+3,Berechnungen!$A$3:$J$32,O248+6,FALSE)*P248</f>
        <v>63.259883040935669</v>
      </c>
      <c r="R248" s="315">
        <f t="shared" si="17"/>
        <v>0.2</v>
      </c>
      <c r="S248" s="301">
        <f>ROUND(Q248-Q248*R248,0)</f>
        <v>51</v>
      </c>
      <c r="T248" s="302">
        <f>ROUND(Q248+Q248*R248,0)</f>
        <v>76</v>
      </c>
      <c r="U248" s="301">
        <f>O248*S248</f>
        <v>153</v>
      </c>
      <c r="V248" s="301">
        <f>O248*T248</f>
        <v>228</v>
      </c>
      <c r="W248" s="303"/>
      <c r="X248" s="304"/>
      <c r="Y248" s="305"/>
      <c r="AA248" s="306"/>
      <c r="AB248" s="306"/>
      <c r="AC248" s="307"/>
      <c r="AD248" s="307"/>
      <c r="AE248" s="307"/>
      <c r="AF248" s="308"/>
    </row>
    <row r="249" spans="1:32" s="294" customFormat="1" outlineLevel="1" x14ac:dyDescent="0.2">
      <c r="A249" s="293">
        <v>2135</v>
      </c>
      <c r="B249" s="177" t="s">
        <v>367</v>
      </c>
      <c r="C249" s="177" t="s">
        <v>352</v>
      </c>
      <c r="D249" s="295">
        <v>25</v>
      </c>
      <c r="E249" s="316" t="s">
        <v>261</v>
      </c>
      <c r="F249" s="8"/>
      <c r="G249" s="177">
        <v>3</v>
      </c>
      <c r="H249" s="178">
        <v>2</v>
      </c>
      <c r="I249" s="178">
        <v>1</v>
      </c>
      <c r="J249" s="177">
        <v>100</v>
      </c>
      <c r="K249" s="317">
        <v>3400</v>
      </c>
      <c r="L249" s="178"/>
      <c r="M249" s="179"/>
      <c r="N249" s="299">
        <f>VLOOKUP(A249,Baupläne!$B$2:$X$1019,23,FALSE)</f>
        <v>44400</v>
      </c>
      <c r="O249" s="313">
        <f t="shared" si="16"/>
        <v>3</v>
      </c>
      <c r="P249" s="314">
        <f t="shared" si="16"/>
        <v>1</v>
      </c>
      <c r="Q249" s="182">
        <f>VLOOKUP(D249+3,Berechnungen!$A$3:$J$32,O249+6,FALSE)*P249</f>
        <v>82.436223893066</v>
      </c>
      <c r="R249" s="315">
        <f t="shared" si="17"/>
        <v>0.2</v>
      </c>
      <c r="S249" s="301">
        <f>ROUND(Q249-Q249*R249,0)</f>
        <v>66</v>
      </c>
      <c r="T249" s="302">
        <f>ROUND(Q249+Q249*R249,0)</f>
        <v>99</v>
      </c>
      <c r="U249" s="301">
        <f>O249*S249</f>
        <v>198</v>
      </c>
      <c r="V249" s="301">
        <f>O249*T249</f>
        <v>297</v>
      </c>
      <c r="W249" s="303"/>
      <c r="X249" s="304"/>
      <c r="Y249" s="305"/>
      <c r="AA249" s="306"/>
      <c r="AB249" s="306"/>
      <c r="AC249" s="307"/>
      <c r="AD249" s="307"/>
      <c r="AE249" s="307"/>
      <c r="AF249" s="308"/>
    </row>
    <row r="250" spans="1:32" x14ac:dyDescent="0.2">
      <c r="A250" s="271"/>
      <c r="B250" s="272" t="s">
        <v>368</v>
      </c>
      <c r="C250" s="272"/>
      <c r="D250" s="273"/>
      <c r="E250" s="274"/>
      <c r="F250" s="275"/>
      <c r="G250" s="272" t="s">
        <v>369</v>
      </c>
      <c r="H250" s="273"/>
      <c r="I250" s="273"/>
      <c r="J250" s="272"/>
      <c r="K250" s="276"/>
      <c r="L250" s="273"/>
      <c r="M250" s="277"/>
      <c r="N250" s="278"/>
      <c r="O250" s="279">
        <v>2</v>
      </c>
      <c r="P250" s="280">
        <f>VLOOKUP(B250,Berechnungen!$A$70:$E$79,3,FALSE)</f>
        <v>1.4</v>
      </c>
      <c r="Q250" s="281"/>
      <c r="R250" s="280">
        <f>VLOOKUP(B250,Berechnungen!$A$70:$E$79,5,FALSE)</f>
        <v>0.25</v>
      </c>
      <c r="S250" s="281"/>
      <c r="T250" s="282"/>
      <c r="U250" s="281"/>
      <c r="V250" s="281"/>
      <c r="W250" s="283"/>
      <c r="X250" s="284"/>
      <c r="Y250" s="285"/>
      <c r="Z250" s="286"/>
      <c r="AA250" s="287"/>
      <c r="AB250" s="287"/>
      <c r="AC250" s="288"/>
      <c r="AD250" s="288"/>
      <c r="AE250" s="288"/>
      <c r="AF250" s="289"/>
    </row>
    <row r="251" spans="1:32" outlineLevel="1" x14ac:dyDescent="0.2">
      <c r="A251" s="5">
        <v>1141</v>
      </c>
      <c r="B251" s="1" t="s">
        <v>370</v>
      </c>
      <c r="C251" s="1" t="s">
        <v>352</v>
      </c>
      <c r="D251" s="6">
        <v>7</v>
      </c>
      <c r="E251" s="7" t="s">
        <v>368</v>
      </c>
      <c r="G251" s="1">
        <v>3</v>
      </c>
      <c r="H251" s="6">
        <v>1</v>
      </c>
      <c r="I251" s="6">
        <v>2</v>
      </c>
      <c r="J251" s="1">
        <v>100</v>
      </c>
      <c r="K251" s="9">
        <v>4800</v>
      </c>
      <c r="M251" s="10">
        <v>2</v>
      </c>
      <c r="N251" s="59">
        <f>VLOOKUP(A251,Baupläne!$B$2:$X$1019,23,FALSE)</f>
        <v>4600</v>
      </c>
      <c r="O251" s="310">
        <f t="shared" ref="O251:P262" si="18">O$250</f>
        <v>2</v>
      </c>
      <c r="P251" s="311">
        <f t="shared" si="18"/>
        <v>1.4</v>
      </c>
      <c r="Q251" s="291">
        <f>VLOOKUP(D251,Berechnungen!$A$3:$J$32,O251+6,FALSE)*P251</f>
        <v>43.784304093567243</v>
      </c>
      <c r="R251" s="312">
        <f t="shared" ref="R251:R262" si="19">R$250</f>
        <v>0.25</v>
      </c>
      <c r="S251" s="14">
        <f t="shared" si="12"/>
        <v>33</v>
      </c>
      <c r="T251" s="16">
        <f t="shared" si="13"/>
        <v>55</v>
      </c>
      <c r="U251" s="14">
        <f t="shared" si="7"/>
        <v>66</v>
      </c>
      <c r="V251" s="14">
        <f t="shared" si="8"/>
        <v>110</v>
      </c>
      <c r="AC251" s="227"/>
      <c r="AD251" s="227"/>
      <c r="AE251" s="227"/>
      <c r="AF251" s="228"/>
    </row>
    <row r="252" spans="1:32" outlineLevel="1" x14ac:dyDescent="0.2">
      <c r="A252" s="5">
        <v>1142</v>
      </c>
      <c r="B252" s="1" t="s">
        <v>371</v>
      </c>
      <c r="C252" s="1" t="s">
        <v>352</v>
      </c>
      <c r="D252" s="6">
        <v>10</v>
      </c>
      <c r="E252" s="7" t="s">
        <v>368</v>
      </c>
      <c r="G252" s="1">
        <v>3</v>
      </c>
      <c r="H252" s="6">
        <v>1</v>
      </c>
      <c r="I252" s="6">
        <v>2</v>
      </c>
      <c r="J252" s="1">
        <v>100</v>
      </c>
      <c r="K252" s="9">
        <v>5100</v>
      </c>
      <c r="M252" s="10">
        <v>2</v>
      </c>
      <c r="N252" s="59">
        <f>VLOOKUP(A252,Baupläne!$B$2:$X$1019,23,FALSE)</f>
        <v>7000</v>
      </c>
      <c r="O252" s="310">
        <f t="shared" si="18"/>
        <v>2</v>
      </c>
      <c r="P252" s="311">
        <f t="shared" si="18"/>
        <v>1.4</v>
      </c>
      <c r="Q252" s="291">
        <f>VLOOKUP(D252,Berechnungen!$A$3:$J$32,O252+6,FALSE)*P252</f>
        <v>56.301286549707598</v>
      </c>
      <c r="R252" s="312">
        <f t="shared" si="19"/>
        <v>0.25</v>
      </c>
      <c r="S252" s="14">
        <f t="shared" si="12"/>
        <v>42</v>
      </c>
      <c r="T252" s="16">
        <f t="shared" si="13"/>
        <v>70</v>
      </c>
      <c r="U252" s="14">
        <f t="shared" si="7"/>
        <v>84</v>
      </c>
      <c r="V252" s="14">
        <f t="shared" si="8"/>
        <v>140</v>
      </c>
      <c r="AC252" s="227"/>
      <c r="AD252" s="227"/>
      <c r="AE252" s="227"/>
      <c r="AF252" s="228"/>
    </row>
    <row r="253" spans="1:32" outlineLevel="1" x14ac:dyDescent="0.2">
      <c r="A253" s="5">
        <v>1143</v>
      </c>
      <c r="B253" s="1" t="s">
        <v>372</v>
      </c>
      <c r="C253" s="1" t="s">
        <v>352</v>
      </c>
      <c r="D253" s="6">
        <v>12</v>
      </c>
      <c r="E253" s="7" t="s">
        <v>368</v>
      </c>
      <c r="G253" s="1">
        <v>3</v>
      </c>
      <c r="H253" s="6">
        <v>1</v>
      </c>
      <c r="I253" s="6">
        <v>2</v>
      </c>
      <c r="J253" s="1">
        <v>100</v>
      </c>
      <c r="K253" s="9">
        <v>5000</v>
      </c>
      <c r="M253" s="10">
        <v>3</v>
      </c>
      <c r="N253" s="59">
        <f>VLOOKUP(A253,Baupläne!$B$2:$X$1019,23,FALSE)</f>
        <v>9300</v>
      </c>
      <c r="O253" s="310">
        <f t="shared" si="18"/>
        <v>2</v>
      </c>
      <c r="P253" s="311">
        <f t="shared" si="18"/>
        <v>1.4</v>
      </c>
      <c r="Q253" s="291">
        <f>VLOOKUP(D253,Berechnungen!$A$3:$J$32,O253+6,FALSE)*P253</f>
        <v>65.148631578947359</v>
      </c>
      <c r="R253" s="312">
        <f t="shared" si="19"/>
        <v>0.25</v>
      </c>
      <c r="S253" s="14">
        <f t="shared" si="12"/>
        <v>49</v>
      </c>
      <c r="T253" s="16">
        <f t="shared" si="13"/>
        <v>81</v>
      </c>
      <c r="U253" s="14">
        <f t="shared" si="7"/>
        <v>98</v>
      </c>
      <c r="V253" s="14">
        <f t="shared" si="8"/>
        <v>162</v>
      </c>
      <c r="AC253" s="227"/>
      <c r="AD253" s="227"/>
      <c r="AE253" s="227"/>
      <c r="AF253" s="228"/>
    </row>
    <row r="254" spans="1:32" outlineLevel="1" x14ac:dyDescent="0.2">
      <c r="A254" s="5">
        <v>1144</v>
      </c>
      <c r="B254" s="1" t="s">
        <v>373</v>
      </c>
      <c r="C254" s="1" t="s">
        <v>352</v>
      </c>
      <c r="D254" s="6">
        <v>15</v>
      </c>
      <c r="E254" s="7" t="s">
        <v>368</v>
      </c>
      <c r="G254" s="1">
        <v>3</v>
      </c>
      <c r="H254" s="6">
        <v>1</v>
      </c>
      <c r="I254" s="6">
        <v>2</v>
      </c>
      <c r="J254" s="1">
        <v>100</v>
      </c>
      <c r="K254" s="9">
        <v>5300</v>
      </c>
      <c r="M254" s="10">
        <v>3</v>
      </c>
      <c r="N254" s="59">
        <f>VLOOKUP(A254,Baupläne!$B$2:$X$1019,23,FALSE)</f>
        <v>14200</v>
      </c>
      <c r="O254" s="310">
        <f t="shared" si="18"/>
        <v>2</v>
      </c>
      <c r="P254" s="311">
        <f t="shared" si="18"/>
        <v>1.4</v>
      </c>
      <c r="Q254" s="291">
        <f>VLOOKUP(D254,Berechnungen!$A$3:$J$32,O254+6,FALSE)*P254</f>
        <v>79.173684210526318</v>
      </c>
      <c r="R254" s="312">
        <f t="shared" si="19"/>
        <v>0.25</v>
      </c>
      <c r="S254" s="14">
        <f t="shared" si="12"/>
        <v>59</v>
      </c>
      <c r="T254" s="16">
        <f t="shared" si="13"/>
        <v>99</v>
      </c>
      <c r="U254" s="14">
        <f t="shared" si="7"/>
        <v>118</v>
      </c>
      <c r="V254" s="14">
        <f t="shared" si="8"/>
        <v>198</v>
      </c>
      <c r="AC254" s="227"/>
      <c r="AD254" s="227"/>
      <c r="AE254" s="227"/>
      <c r="AF254" s="228"/>
    </row>
    <row r="255" spans="1:32" outlineLevel="1" x14ac:dyDescent="0.2">
      <c r="A255" s="5">
        <v>1145</v>
      </c>
      <c r="B255" s="1" t="s">
        <v>374</v>
      </c>
      <c r="C255" s="1" t="s">
        <v>352</v>
      </c>
      <c r="D255" s="6">
        <v>17</v>
      </c>
      <c r="E255" s="7" t="s">
        <v>368</v>
      </c>
      <c r="G255" s="1">
        <v>3</v>
      </c>
      <c r="H255" s="6">
        <v>1</v>
      </c>
      <c r="I255" s="6">
        <v>2</v>
      </c>
      <c r="J255" s="1">
        <v>100</v>
      </c>
      <c r="K255" s="9">
        <v>4900</v>
      </c>
      <c r="M255" s="10">
        <v>4</v>
      </c>
      <c r="N255" s="59">
        <f>VLOOKUP(A255,Baupläne!$B$2:$X$1019,23,FALSE)</f>
        <v>18700</v>
      </c>
      <c r="O255" s="310">
        <f t="shared" si="18"/>
        <v>2</v>
      </c>
      <c r="P255" s="311">
        <f t="shared" si="18"/>
        <v>1.4</v>
      </c>
      <c r="Q255" s="291">
        <f>VLOOKUP(D255,Berechnungen!$A$3:$J$32,O255+6,FALSE)*P255</f>
        <v>89.026409356725125</v>
      </c>
      <c r="R255" s="312">
        <f t="shared" si="19"/>
        <v>0.25</v>
      </c>
      <c r="S255" s="14">
        <f t="shared" si="12"/>
        <v>67</v>
      </c>
      <c r="T255" s="16">
        <f t="shared" si="13"/>
        <v>111</v>
      </c>
      <c r="U255" s="14">
        <f t="shared" si="7"/>
        <v>134</v>
      </c>
      <c r="V255" s="14">
        <f t="shared" si="8"/>
        <v>222</v>
      </c>
      <c r="AC255" s="227"/>
      <c r="AD255" s="227"/>
      <c r="AE255" s="227"/>
      <c r="AF255" s="228"/>
    </row>
    <row r="256" spans="1:32" outlineLevel="1" x14ac:dyDescent="0.2">
      <c r="A256" s="5">
        <v>1146</v>
      </c>
      <c r="B256" s="3" t="s">
        <v>375</v>
      </c>
      <c r="C256" s="3" t="s">
        <v>352</v>
      </c>
      <c r="D256" s="6">
        <v>20</v>
      </c>
      <c r="E256" s="55" t="s">
        <v>368</v>
      </c>
      <c r="G256" s="3">
        <v>3</v>
      </c>
      <c r="H256" s="54">
        <v>1</v>
      </c>
      <c r="I256" s="54">
        <v>2</v>
      </c>
      <c r="J256" s="3">
        <v>100</v>
      </c>
      <c r="K256" s="57">
        <v>5100</v>
      </c>
      <c r="L256" s="54"/>
      <c r="M256" s="58">
        <v>4</v>
      </c>
      <c r="N256" s="59">
        <f>VLOOKUP(A256,Baupläne!$B$2:$X$1019,23,FALSE)</f>
        <v>28500</v>
      </c>
      <c r="O256" s="310">
        <f t="shared" si="18"/>
        <v>2</v>
      </c>
      <c r="P256" s="311">
        <f t="shared" si="18"/>
        <v>1.4</v>
      </c>
      <c r="Q256" s="291">
        <f>VLOOKUP(D256,Berechnungen!$A$3:$J$32,O256+6,FALSE)*P256</f>
        <v>104.55953216374269</v>
      </c>
      <c r="R256" s="312">
        <f t="shared" si="19"/>
        <v>0.25</v>
      </c>
      <c r="S256" s="14">
        <f t="shared" si="12"/>
        <v>78</v>
      </c>
      <c r="T256" s="16">
        <f t="shared" si="13"/>
        <v>131</v>
      </c>
      <c r="U256" s="14">
        <f t="shared" si="7"/>
        <v>156</v>
      </c>
      <c r="V256" s="14">
        <f t="shared" si="8"/>
        <v>262</v>
      </c>
      <c r="AC256" s="227"/>
      <c r="AD256" s="227"/>
      <c r="AE256" s="227"/>
      <c r="AF256" s="228"/>
    </row>
    <row r="257" spans="1:32" outlineLevel="1" x14ac:dyDescent="0.2">
      <c r="A257" s="5">
        <v>1147</v>
      </c>
      <c r="B257" s="3" t="s">
        <v>376</v>
      </c>
      <c r="C257" s="3" t="s">
        <v>352</v>
      </c>
      <c r="D257" s="6">
        <v>22</v>
      </c>
      <c r="E257" s="55" t="s">
        <v>368</v>
      </c>
      <c r="G257" s="3">
        <v>3</v>
      </c>
      <c r="H257" s="54">
        <v>1</v>
      </c>
      <c r="I257" s="54">
        <v>2</v>
      </c>
      <c r="J257" s="3">
        <v>100</v>
      </c>
      <c r="K257" s="57">
        <v>5400</v>
      </c>
      <c r="L257" s="54"/>
      <c r="M257" s="58">
        <v>5</v>
      </c>
      <c r="N257" s="59">
        <f>VLOOKUP(A257,Baupläne!$B$2:$X$1019,23,FALSE)</f>
        <v>37600</v>
      </c>
      <c r="O257" s="310">
        <f t="shared" si="18"/>
        <v>2</v>
      </c>
      <c r="P257" s="311">
        <f t="shared" si="18"/>
        <v>1.4</v>
      </c>
      <c r="Q257" s="291">
        <f>VLOOKUP(D257,Berechnungen!$A$3:$J$32,O257+6,FALSE)*P257</f>
        <v>115.41763742690055</v>
      </c>
      <c r="R257" s="312">
        <f t="shared" si="19"/>
        <v>0.25</v>
      </c>
      <c r="S257" s="14">
        <f t="shared" si="12"/>
        <v>87</v>
      </c>
      <c r="T257" s="16">
        <f t="shared" si="13"/>
        <v>144</v>
      </c>
      <c r="U257" s="14">
        <f t="shared" si="7"/>
        <v>174</v>
      </c>
      <c r="V257" s="14">
        <f t="shared" si="8"/>
        <v>288</v>
      </c>
      <c r="AC257" s="227"/>
      <c r="AD257" s="227"/>
      <c r="AE257" s="227"/>
      <c r="AF257" s="228"/>
    </row>
    <row r="258" spans="1:32" outlineLevel="1" x14ac:dyDescent="0.2">
      <c r="A258" s="5">
        <v>1148</v>
      </c>
      <c r="B258" s="3" t="s">
        <v>377</v>
      </c>
      <c r="C258" s="3" t="s">
        <v>352</v>
      </c>
      <c r="D258" s="6">
        <v>25</v>
      </c>
      <c r="E258" s="55" t="s">
        <v>368</v>
      </c>
      <c r="G258" s="3">
        <v>3</v>
      </c>
      <c r="H258" s="54">
        <v>1</v>
      </c>
      <c r="I258" s="54">
        <v>2</v>
      </c>
      <c r="J258" s="3">
        <v>100</v>
      </c>
      <c r="K258" s="57">
        <v>5200</v>
      </c>
      <c r="L258" s="54"/>
      <c r="M258" s="58">
        <v>5</v>
      </c>
      <c r="N258" s="59">
        <f>VLOOKUP(A258,Baupläne!$B$2:$X$1019,23,FALSE)</f>
        <v>57300</v>
      </c>
      <c r="O258" s="310">
        <f t="shared" si="18"/>
        <v>2</v>
      </c>
      <c r="P258" s="311">
        <f t="shared" si="18"/>
        <v>1.4</v>
      </c>
      <c r="Q258" s="291">
        <f>VLOOKUP(D258,Berechnungen!$A$3:$J$32,O258+6,FALSE)*P258</f>
        <v>132.45883040935672</v>
      </c>
      <c r="R258" s="312">
        <f t="shared" si="19"/>
        <v>0.25</v>
      </c>
      <c r="S258" s="14">
        <f t="shared" si="12"/>
        <v>99</v>
      </c>
      <c r="T258" s="16">
        <f t="shared" si="13"/>
        <v>166</v>
      </c>
      <c r="U258" s="14">
        <f t="shared" si="7"/>
        <v>198</v>
      </c>
      <c r="V258" s="14">
        <f t="shared" si="8"/>
        <v>332</v>
      </c>
      <c r="AC258" s="227"/>
      <c r="AD258" s="227"/>
      <c r="AE258" s="227"/>
      <c r="AF258" s="228"/>
    </row>
    <row r="259" spans="1:32" s="294" customFormat="1" outlineLevel="1" x14ac:dyDescent="0.2">
      <c r="A259" s="293">
        <v>2141</v>
      </c>
      <c r="B259" s="294" t="s">
        <v>378</v>
      </c>
      <c r="C259" s="294" t="s">
        <v>352</v>
      </c>
      <c r="D259" s="295">
        <v>10</v>
      </c>
      <c r="E259" s="296" t="s">
        <v>368</v>
      </c>
      <c r="F259" s="8"/>
      <c r="G259" s="294">
        <v>3</v>
      </c>
      <c r="H259" s="295">
        <v>2</v>
      </c>
      <c r="I259" s="295">
        <v>2</v>
      </c>
      <c r="J259" s="294">
        <v>100</v>
      </c>
      <c r="K259" s="297">
        <v>4800</v>
      </c>
      <c r="L259" s="295"/>
      <c r="M259" s="298"/>
      <c r="N259" s="299">
        <f>VLOOKUP(A259,Baupläne!$B$2:$X$1019,23,FALSE)</f>
        <v>12000</v>
      </c>
      <c r="O259" s="313">
        <f t="shared" si="18"/>
        <v>2</v>
      </c>
      <c r="P259" s="314">
        <f t="shared" si="18"/>
        <v>1.4</v>
      </c>
      <c r="Q259" s="182">
        <f>VLOOKUP(D259+3,Berechnungen!$A$3:$J$32,O259+6,FALSE)*P259</f>
        <v>69.723111111111095</v>
      </c>
      <c r="R259" s="315">
        <f t="shared" si="19"/>
        <v>0.25</v>
      </c>
      <c r="S259" s="301">
        <f>ROUND(Q259-Q259*R259,0)</f>
        <v>52</v>
      </c>
      <c r="T259" s="302">
        <f>ROUND(Q259+Q259*R259,0)</f>
        <v>87</v>
      </c>
      <c r="U259" s="301">
        <f>O259*S259</f>
        <v>104</v>
      </c>
      <c r="V259" s="301">
        <f>O259*T259</f>
        <v>174</v>
      </c>
      <c r="W259" s="303"/>
      <c r="X259" s="304"/>
      <c r="Y259" s="305"/>
      <c r="AA259" s="306"/>
      <c r="AB259" s="306"/>
      <c r="AC259" s="307"/>
      <c r="AD259" s="307"/>
      <c r="AE259" s="307"/>
      <c r="AF259" s="308"/>
    </row>
    <row r="260" spans="1:32" s="294" customFormat="1" outlineLevel="1" x14ac:dyDescent="0.2">
      <c r="A260" s="293">
        <v>2142</v>
      </c>
      <c r="B260" s="294" t="s">
        <v>379</v>
      </c>
      <c r="C260" s="294" t="s">
        <v>352</v>
      </c>
      <c r="D260" s="295">
        <v>15</v>
      </c>
      <c r="E260" s="296" t="s">
        <v>368</v>
      </c>
      <c r="F260" s="8"/>
      <c r="G260" s="294">
        <v>3</v>
      </c>
      <c r="H260" s="295">
        <v>2</v>
      </c>
      <c r="I260" s="295">
        <v>2</v>
      </c>
      <c r="J260" s="294">
        <v>100</v>
      </c>
      <c r="K260" s="297">
        <v>5100</v>
      </c>
      <c r="L260" s="295"/>
      <c r="M260" s="298"/>
      <c r="N260" s="299">
        <f>VLOOKUP(A260,Baupläne!$B$2:$X$1019,23,FALSE)</f>
        <v>24200</v>
      </c>
      <c r="O260" s="313">
        <f t="shared" si="18"/>
        <v>2</v>
      </c>
      <c r="P260" s="314">
        <f t="shared" si="18"/>
        <v>1.4</v>
      </c>
      <c r="Q260" s="182">
        <f>VLOOKUP(D260+3,Berechnungen!$A$3:$J$32,O260+6,FALSE)*P260</f>
        <v>94.103578947368405</v>
      </c>
      <c r="R260" s="315">
        <f t="shared" si="19"/>
        <v>0.25</v>
      </c>
      <c r="S260" s="301">
        <f>ROUND(Q260-Q260*R260,0)</f>
        <v>71</v>
      </c>
      <c r="T260" s="302">
        <f>ROUND(Q260+Q260*R260,0)</f>
        <v>118</v>
      </c>
      <c r="U260" s="301">
        <f>O260*S260</f>
        <v>142</v>
      </c>
      <c r="V260" s="301">
        <f>O260*T260</f>
        <v>236</v>
      </c>
      <c r="W260" s="303"/>
      <c r="X260" s="304"/>
      <c r="Y260" s="305"/>
      <c r="AA260" s="306"/>
      <c r="AB260" s="306"/>
      <c r="AC260" s="307"/>
      <c r="AD260" s="307"/>
      <c r="AE260" s="307"/>
      <c r="AF260" s="308"/>
    </row>
    <row r="261" spans="1:32" s="294" customFormat="1" outlineLevel="1" x14ac:dyDescent="0.2">
      <c r="A261" s="293">
        <v>2143</v>
      </c>
      <c r="B261" s="294" t="s">
        <v>380</v>
      </c>
      <c r="C261" s="294" t="s">
        <v>352</v>
      </c>
      <c r="D261" s="295">
        <v>20</v>
      </c>
      <c r="E261" s="296" t="s">
        <v>368</v>
      </c>
      <c r="F261" s="8"/>
      <c r="G261" s="294">
        <v>3</v>
      </c>
      <c r="H261" s="295">
        <v>2</v>
      </c>
      <c r="I261" s="295">
        <v>2</v>
      </c>
      <c r="J261" s="294">
        <v>100</v>
      </c>
      <c r="K261" s="297">
        <v>5000</v>
      </c>
      <c r="L261" s="295"/>
      <c r="M261" s="298"/>
      <c r="N261" s="299">
        <f>VLOOKUP(A261,Baupläne!$B$2:$X$1019,23,FALSE)</f>
        <v>46000</v>
      </c>
      <c r="O261" s="313">
        <f t="shared" si="18"/>
        <v>2</v>
      </c>
      <c r="P261" s="314">
        <f t="shared" si="18"/>
        <v>1.4</v>
      </c>
      <c r="Q261" s="182">
        <f>VLOOKUP(D261+3,Berechnungen!$A$3:$J$32,O261+6,FALSE)*P261</f>
        <v>120.99749707602338</v>
      </c>
      <c r="R261" s="315">
        <f t="shared" si="19"/>
        <v>0.25</v>
      </c>
      <c r="S261" s="301">
        <f>ROUND(Q261-Q261*R261,0)</f>
        <v>91</v>
      </c>
      <c r="T261" s="302">
        <f>ROUND(Q261+Q261*R261,0)</f>
        <v>151</v>
      </c>
      <c r="U261" s="301">
        <f>O261*S261</f>
        <v>182</v>
      </c>
      <c r="V261" s="301">
        <f>O261*T261</f>
        <v>302</v>
      </c>
      <c r="W261" s="303"/>
      <c r="X261" s="304"/>
      <c r="Y261" s="305"/>
      <c r="AA261" s="306"/>
      <c r="AB261" s="306"/>
      <c r="AC261" s="307"/>
      <c r="AD261" s="307"/>
      <c r="AE261" s="307"/>
      <c r="AF261" s="308"/>
    </row>
    <row r="262" spans="1:32" s="294" customFormat="1" outlineLevel="1" x14ac:dyDescent="0.2">
      <c r="A262" s="293">
        <v>2144</v>
      </c>
      <c r="B262" s="294" t="s">
        <v>381</v>
      </c>
      <c r="C262" s="294" t="s">
        <v>352</v>
      </c>
      <c r="D262" s="295">
        <v>25</v>
      </c>
      <c r="E262" s="296" t="s">
        <v>368</v>
      </c>
      <c r="F262" s="8"/>
      <c r="G262" s="294">
        <v>3</v>
      </c>
      <c r="H262" s="295">
        <v>2</v>
      </c>
      <c r="I262" s="295">
        <v>2</v>
      </c>
      <c r="J262" s="294">
        <v>100</v>
      </c>
      <c r="K262" s="297">
        <v>5300</v>
      </c>
      <c r="L262" s="295"/>
      <c r="M262" s="298"/>
      <c r="N262" s="299">
        <f>VLOOKUP(A262,Baupläne!$B$2:$X$1019,23,FALSE)</f>
        <v>82300</v>
      </c>
      <c r="O262" s="313">
        <f t="shared" si="18"/>
        <v>2</v>
      </c>
      <c r="P262" s="314">
        <f t="shared" si="18"/>
        <v>1.4</v>
      </c>
      <c r="Q262" s="182">
        <f>VLOOKUP(D262+3,Berechnungen!$A$3:$J$32,O262+6,FALSE)*P262</f>
        <v>150.404865497076</v>
      </c>
      <c r="R262" s="315">
        <f t="shared" si="19"/>
        <v>0.25</v>
      </c>
      <c r="S262" s="301">
        <f>ROUND(Q262-Q262*R262,0)</f>
        <v>113</v>
      </c>
      <c r="T262" s="302">
        <f>ROUND(Q262+Q262*R262,0)</f>
        <v>188</v>
      </c>
      <c r="U262" s="301">
        <f>O262*S262</f>
        <v>226</v>
      </c>
      <c r="V262" s="301">
        <f>O262*T262</f>
        <v>376</v>
      </c>
      <c r="W262" s="303"/>
      <c r="X262" s="304"/>
      <c r="Y262" s="305"/>
      <c r="AA262" s="306"/>
      <c r="AB262" s="306"/>
      <c r="AC262" s="307"/>
      <c r="AD262" s="307"/>
      <c r="AE262" s="307"/>
      <c r="AF262" s="308"/>
    </row>
    <row r="263" spans="1:32" ht="12.75" customHeight="1" x14ac:dyDescent="0.2">
      <c r="A263" s="271"/>
      <c r="B263" s="272" t="s">
        <v>382</v>
      </c>
      <c r="C263" s="272"/>
      <c r="D263" s="273"/>
      <c r="E263" s="274"/>
      <c r="F263" s="275"/>
      <c r="G263" s="272"/>
      <c r="H263" s="273"/>
      <c r="I263" s="273"/>
      <c r="J263" s="272"/>
      <c r="K263" s="276"/>
      <c r="L263" s="273"/>
      <c r="M263" s="277"/>
      <c r="N263" s="278"/>
      <c r="O263" s="279">
        <v>3</v>
      </c>
      <c r="P263" s="280">
        <v>1.05</v>
      </c>
      <c r="Q263" s="281"/>
      <c r="R263" s="280">
        <v>0.4</v>
      </c>
      <c r="S263" s="281"/>
      <c r="T263" s="282"/>
      <c r="U263" s="281"/>
      <c r="V263" s="281"/>
      <c r="W263" s="283"/>
      <c r="X263" s="284"/>
      <c r="Y263" s="285"/>
      <c r="Z263" s="286"/>
      <c r="AA263" s="287"/>
      <c r="AB263" s="287"/>
      <c r="AC263" s="288"/>
      <c r="AD263" s="288"/>
      <c r="AE263" s="288"/>
      <c r="AF263" s="289"/>
    </row>
    <row r="264" spans="1:32" outlineLevel="1" x14ac:dyDescent="0.2">
      <c r="A264" s="5">
        <v>1151</v>
      </c>
      <c r="B264" s="1" t="s">
        <v>383</v>
      </c>
      <c r="C264" s="1" t="s">
        <v>382</v>
      </c>
      <c r="D264" s="6">
        <v>1</v>
      </c>
      <c r="E264" s="7" t="s">
        <v>263</v>
      </c>
      <c r="G264" s="1">
        <v>4</v>
      </c>
      <c r="H264" s="6">
        <v>1</v>
      </c>
      <c r="I264" s="6">
        <v>1</v>
      </c>
      <c r="J264" s="1">
        <v>100</v>
      </c>
      <c r="K264" s="9">
        <v>3000</v>
      </c>
      <c r="M264" s="10">
        <v>1</v>
      </c>
      <c r="N264" s="59">
        <f>VLOOKUP(A264,Baupläne!$B$2:$X$1019,23,FALSE)</f>
        <v>1200</v>
      </c>
      <c r="O264" s="310">
        <f t="shared" ref="O264:P278" si="20">O$263</f>
        <v>3</v>
      </c>
      <c r="P264" s="311">
        <f t="shared" si="20"/>
        <v>1.05</v>
      </c>
      <c r="Q264" s="291">
        <f>VLOOKUP(D264,Berechnungen!$A$3:$J$32,O264+6,FALSE)*P264</f>
        <v>12.353035087719295</v>
      </c>
      <c r="R264" s="312">
        <f t="shared" ref="R264:R278" si="21">R$263</f>
        <v>0.4</v>
      </c>
      <c r="S264" s="14">
        <f t="shared" si="12"/>
        <v>7</v>
      </c>
      <c r="T264" s="16">
        <f t="shared" si="13"/>
        <v>17</v>
      </c>
      <c r="U264" s="14">
        <f t="shared" si="7"/>
        <v>21</v>
      </c>
      <c r="V264" s="14">
        <f t="shared" si="8"/>
        <v>51</v>
      </c>
      <c r="AC264" s="227"/>
      <c r="AD264" s="227"/>
      <c r="AE264" s="227"/>
      <c r="AF264" s="228"/>
    </row>
    <row r="265" spans="1:32" outlineLevel="1" x14ac:dyDescent="0.2">
      <c r="A265" s="5">
        <v>1152</v>
      </c>
      <c r="B265" s="1" t="s">
        <v>384</v>
      </c>
      <c r="C265" s="1" t="s">
        <v>382</v>
      </c>
      <c r="D265" s="6">
        <v>4</v>
      </c>
      <c r="E265" s="7" t="s">
        <v>263</v>
      </c>
      <c r="G265" s="1">
        <v>4</v>
      </c>
      <c r="H265" s="6">
        <v>1</v>
      </c>
      <c r="I265" s="6">
        <v>1</v>
      </c>
      <c r="J265" s="1">
        <v>100</v>
      </c>
      <c r="K265" s="9">
        <v>3200</v>
      </c>
      <c r="M265" s="10">
        <v>1</v>
      </c>
      <c r="N265" s="59">
        <f>VLOOKUP(A265,Baupläne!$B$2:$X$1019,23,FALSE)</f>
        <v>1800</v>
      </c>
      <c r="O265" s="310">
        <f t="shared" si="20"/>
        <v>3</v>
      </c>
      <c r="P265" s="311">
        <f t="shared" si="20"/>
        <v>1.05</v>
      </c>
      <c r="Q265" s="291">
        <f>VLOOKUP(D265,Berechnungen!$A$3:$J$32,O265+6,FALSE)*P265</f>
        <v>18.515087719298243</v>
      </c>
      <c r="R265" s="312">
        <f t="shared" si="21"/>
        <v>0.4</v>
      </c>
      <c r="S265" s="14">
        <f t="shared" si="12"/>
        <v>11</v>
      </c>
      <c r="T265" s="16">
        <f t="shared" si="13"/>
        <v>26</v>
      </c>
      <c r="U265" s="14">
        <f t="shared" si="7"/>
        <v>33</v>
      </c>
      <c r="V265" s="14">
        <f t="shared" si="8"/>
        <v>78</v>
      </c>
      <c r="AC265" s="227"/>
      <c r="AD265" s="227"/>
      <c r="AE265" s="227"/>
      <c r="AF265" s="228"/>
    </row>
    <row r="266" spans="1:32" outlineLevel="1" x14ac:dyDescent="0.2">
      <c r="A266" s="5">
        <v>1153</v>
      </c>
      <c r="B266" s="1" t="s">
        <v>385</v>
      </c>
      <c r="C266" s="1" t="s">
        <v>382</v>
      </c>
      <c r="D266" s="6">
        <v>6</v>
      </c>
      <c r="E266" s="7" t="s">
        <v>263</v>
      </c>
      <c r="G266" s="1">
        <v>4</v>
      </c>
      <c r="H266" s="6">
        <v>1</v>
      </c>
      <c r="I266" s="6">
        <v>1</v>
      </c>
      <c r="J266" s="1">
        <v>100</v>
      </c>
      <c r="K266" s="9">
        <v>3400</v>
      </c>
      <c r="M266" s="10">
        <v>2</v>
      </c>
      <c r="N266" s="59">
        <f>VLOOKUP(A266,Baupläne!$B$2:$X$1019,23,FALSE)</f>
        <v>2400</v>
      </c>
      <c r="O266" s="310">
        <f t="shared" si="20"/>
        <v>3</v>
      </c>
      <c r="P266" s="311">
        <f t="shared" si="20"/>
        <v>1.05</v>
      </c>
      <c r="Q266" s="291">
        <f>VLOOKUP(D266,Berechnungen!$A$3:$J$32,O266+6,FALSE)*P266</f>
        <v>22.912421052631576</v>
      </c>
      <c r="R266" s="312">
        <f t="shared" si="21"/>
        <v>0.4</v>
      </c>
      <c r="S266" s="14">
        <f t="shared" si="12"/>
        <v>14</v>
      </c>
      <c r="T266" s="16">
        <f t="shared" si="13"/>
        <v>32</v>
      </c>
      <c r="U266" s="14">
        <f t="shared" si="7"/>
        <v>42</v>
      </c>
      <c r="V266" s="14">
        <f t="shared" si="8"/>
        <v>96</v>
      </c>
      <c r="AC266" s="227"/>
      <c r="AD266" s="227"/>
      <c r="AE266" s="227"/>
      <c r="AF266" s="228"/>
    </row>
    <row r="267" spans="1:32" outlineLevel="1" x14ac:dyDescent="0.2">
      <c r="A267" s="5">
        <v>1154</v>
      </c>
      <c r="B267" s="3" t="s">
        <v>386</v>
      </c>
      <c r="C267" s="3" t="s">
        <v>382</v>
      </c>
      <c r="D267" s="6">
        <v>9</v>
      </c>
      <c r="E267" s="55" t="s">
        <v>263</v>
      </c>
      <c r="G267" s="3">
        <v>4</v>
      </c>
      <c r="H267" s="54">
        <v>1</v>
      </c>
      <c r="I267" s="54">
        <v>1</v>
      </c>
      <c r="J267" s="3">
        <v>100</v>
      </c>
      <c r="K267" s="57">
        <v>3100</v>
      </c>
      <c r="L267" s="54"/>
      <c r="M267" s="58">
        <v>2</v>
      </c>
      <c r="N267" s="59">
        <f>VLOOKUP(A267,Baupläne!$B$2:$X$1019,23,FALSE)</f>
        <v>3700</v>
      </c>
      <c r="O267" s="310">
        <f t="shared" si="20"/>
        <v>3</v>
      </c>
      <c r="P267" s="311">
        <f t="shared" si="20"/>
        <v>1.05</v>
      </c>
      <c r="Q267" s="291">
        <f>VLOOKUP(D267,Berechnungen!$A$3:$J$32,O267+6,FALSE)*P267</f>
        <v>29.942368421052631</v>
      </c>
      <c r="R267" s="312">
        <f t="shared" si="21"/>
        <v>0.4</v>
      </c>
      <c r="S267" s="14">
        <f t="shared" si="12"/>
        <v>18</v>
      </c>
      <c r="T267" s="16">
        <f t="shared" si="13"/>
        <v>42</v>
      </c>
      <c r="U267" s="14">
        <f t="shared" si="7"/>
        <v>54</v>
      </c>
      <c r="V267" s="14">
        <f t="shared" si="8"/>
        <v>126</v>
      </c>
      <c r="AC267" s="227"/>
      <c r="AD267" s="227"/>
      <c r="AE267" s="227"/>
      <c r="AF267" s="228"/>
    </row>
    <row r="268" spans="1:32" outlineLevel="1" x14ac:dyDescent="0.2">
      <c r="A268" s="5">
        <v>1155</v>
      </c>
      <c r="B268" s="1" t="s">
        <v>387</v>
      </c>
      <c r="C268" s="1" t="s">
        <v>382</v>
      </c>
      <c r="D268" s="6">
        <v>11</v>
      </c>
      <c r="E268" s="7" t="s">
        <v>263</v>
      </c>
      <c r="G268" s="1">
        <v>4</v>
      </c>
      <c r="H268" s="6">
        <v>1</v>
      </c>
      <c r="I268" s="6">
        <v>1</v>
      </c>
      <c r="J268" s="1">
        <v>100</v>
      </c>
      <c r="K268" s="9">
        <v>3400</v>
      </c>
      <c r="M268" s="10">
        <v>3</v>
      </c>
      <c r="N268" s="59">
        <f>VLOOKUP(A268,Baupläne!$B$2:$X$1019,23,FALSE)</f>
        <v>4900</v>
      </c>
      <c r="O268" s="310">
        <f t="shared" si="20"/>
        <v>3</v>
      </c>
      <c r="P268" s="311">
        <f t="shared" si="20"/>
        <v>1.05</v>
      </c>
      <c r="Q268" s="291">
        <f>VLOOKUP(D268,Berechnungen!$A$3:$J$32,O268+6,FALSE)*P268</f>
        <v>34.918298245614032</v>
      </c>
      <c r="R268" s="312">
        <f t="shared" si="21"/>
        <v>0.4</v>
      </c>
      <c r="S268" s="14">
        <f t="shared" si="12"/>
        <v>21</v>
      </c>
      <c r="T268" s="16">
        <f t="shared" si="13"/>
        <v>49</v>
      </c>
      <c r="U268" s="14">
        <f t="shared" si="7"/>
        <v>63</v>
      </c>
      <c r="V268" s="14">
        <f t="shared" si="8"/>
        <v>147</v>
      </c>
      <c r="AC268" s="227"/>
      <c r="AD268" s="227"/>
      <c r="AE268" s="227"/>
      <c r="AF268" s="228"/>
    </row>
    <row r="269" spans="1:32" outlineLevel="1" x14ac:dyDescent="0.2">
      <c r="A269" s="5">
        <v>1156</v>
      </c>
      <c r="B269" s="3" t="s">
        <v>388</v>
      </c>
      <c r="C269" s="3" t="s">
        <v>382</v>
      </c>
      <c r="D269" s="6">
        <v>14</v>
      </c>
      <c r="E269" s="55" t="s">
        <v>263</v>
      </c>
      <c r="G269" s="3">
        <v>4</v>
      </c>
      <c r="H269" s="54">
        <v>1</v>
      </c>
      <c r="I269" s="54">
        <v>1</v>
      </c>
      <c r="J269" s="3">
        <v>100</v>
      </c>
      <c r="K269" s="57">
        <v>3500</v>
      </c>
      <c r="L269" s="54"/>
      <c r="M269" s="58">
        <v>3</v>
      </c>
      <c r="N269" s="59">
        <f>VLOOKUP(A269,Baupläne!$B$2:$X$1019,23,FALSE)</f>
        <v>7400</v>
      </c>
      <c r="O269" s="310">
        <f t="shared" si="20"/>
        <v>3</v>
      </c>
      <c r="P269" s="311">
        <f t="shared" si="20"/>
        <v>1.05</v>
      </c>
      <c r="Q269" s="291">
        <f>VLOOKUP(D269,Berechnungen!$A$3:$J$32,O269+6,FALSE)*P269</f>
        <v>42.816140350877191</v>
      </c>
      <c r="R269" s="312">
        <f t="shared" si="21"/>
        <v>0.4</v>
      </c>
      <c r="S269" s="14">
        <f t="shared" si="12"/>
        <v>26</v>
      </c>
      <c r="T269" s="16">
        <f t="shared" si="13"/>
        <v>60</v>
      </c>
      <c r="U269" s="14">
        <f t="shared" si="7"/>
        <v>78</v>
      </c>
      <c r="V269" s="14">
        <f t="shared" si="8"/>
        <v>180</v>
      </c>
      <c r="AC269" s="227"/>
      <c r="AD269" s="227"/>
      <c r="AE269" s="227"/>
      <c r="AF269" s="228"/>
    </row>
    <row r="270" spans="1:32" outlineLevel="1" x14ac:dyDescent="0.2">
      <c r="A270" s="5">
        <v>1157</v>
      </c>
      <c r="B270" s="1" t="s">
        <v>389</v>
      </c>
      <c r="C270" s="1" t="s">
        <v>382</v>
      </c>
      <c r="D270" s="6">
        <v>16</v>
      </c>
      <c r="E270" s="7" t="s">
        <v>263</v>
      </c>
      <c r="G270" s="1">
        <v>4</v>
      </c>
      <c r="H270" s="6">
        <v>1</v>
      </c>
      <c r="I270" s="6">
        <v>1</v>
      </c>
      <c r="J270" s="1">
        <v>100</v>
      </c>
      <c r="K270" s="9">
        <v>3600</v>
      </c>
      <c r="M270" s="10">
        <v>4</v>
      </c>
      <c r="N270" s="59">
        <f>VLOOKUP(A270,Baupläne!$B$2:$X$1019,23,FALSE)</f>
        <v>9800</v>
      </c>
      <c r="O270" s="310">
        <f t="shared" si="20"/>
        <v>3</v>
      </c>
      <c r="P270" s="311">
        <f t="shared" si="20"/>
        <v>1.05</v>
      </c>
      <c r="Q270" s="291">
        <f>VLOOKUP(D270,Berechnungen!$A$3:$J$32,O270+6,FALSE)*P270</f>
        <v>48.370666666666665</v>
      </c>
      <c r="R270" s="312">
        <f t="shared" si="21"/>
        <v>0.4</v>
      </c>
      <c r="S270" s="14">
        <f t="shared" si="12"/>
        <v>29</v>
      </c>
      <c r="T270" s="16">
        <f t="shared" si="13"/>
        <v>68</v>
      </c>
      <c r="U270" s="14">
        <f t="shared" si="7"/>
        <v>87</v>
      </c>
      <c r="V270" s="14">
        <f t="shared" si="8"/>
        <v>204</v>
      </c>
      <c r="AC270" s="227"/>
      <c r="AD270" s="227"/>
      <c r="AE270" s="227"/>
      <c r="AF270" s="228"/>
    </row>
    <row r="271" spans="1:32" outlineLevel="1" x14ac:dyDescent="0.2">
      <c r="A271" s="5">
        <v>1158</v>
      </c>
      <c r="B271" s="1" t="s">
        <v>390</v>
      </c>
      <c r="C271" s="1" t="s">
        <v>382</v>
      </c>
      <c r="D271" s="6">
        <v>19</v>
      </c>
      <c r="E271" s="7" t="s">
        <v>263</v>
      </c>
      <c r="G271" s="1">
        <v>4</v>
      </c>
      <c r="H271" s="6">
        <v>1</v>
      </c>
      <c r="I271" s="6">
        <v>1</v>
      </c>
      <c r="J271" s="1">
        <v>100</v>
      </c>
      <c r="K271" s="9">
        <v>3200</v>
      </c>
      <c r="M271" s="10">
        <v>4</v>
      </c>
      <c r="N271" s="59">
        <f>VLOOKUP(A271,Baupläne!$B$2:$X$1019,23,FALSE)</f>
        <v>14900</v>
      </c>
      <c r="O271" s="310">
        <f t="shared" si="20"/>
        <v>3</v>
      </c>
      <c r="P271" s="311">
        <f t="shared" si="20"/>
        <v>1.05</v>
      </c>
      <c r="Q271" s="291">
        <f>VLOOKUP(D271,Berechnungen!$A$3:$J$32,O271+6,FALSE)*P271</f>
        <v>57.136403508771927</v>
      </c>
      <c r="R271" s="312">
        <f t="shared" si="21"/>
        <v>0.4</v>
      </c>
      <c r="S271" s="14">
        <f t="shared" si="12"/>
        <v>34</v>
      </c>
      <c r="T271" s="16">
        <f t="shared" si="13"/>
        <v>80</v>
      </c>
      <c r="U271" s="14">
        <f t="shared" si="7"/>
        <v>102</v>
      </c>
      <c r="V271" s="14">
        <f t="shared" si="8"/>
        <v>240</v>
      </c>
      <c r="AC271" s="227"/>
      <c r="AD271" s="227"/>
      <c r="AE271" s="227"/>
      <c r="AF271" s="228"/>
    </row>
    <row r="272" spans="1:32" outlineLevel="1" x14ac:dyDescent="0.2">
      <c r="A272" s="5">
        <v>1159</v>
      </c>
      <c r="B272" s="3" t="s">
        <v>391</v>
      </c>
      <c r="C272" s="1" t="s">
        <v>382</v>
      </c>
      <c r="D272" s="6">
        <v>22</v>
      </c>
      <c r="E272" s="7" t="s">
        <v>263</v>
      </c>
      <c r="G272" s="1">
        <v>4</v>
      </c>
      <c r="H272" s="6">
        <v>1</v>
      </c>
      <c r="I272" s="6">
        <v>1</v>
      </c>
      <c r="J272" s="1">
        <v>100</v>
      </c>
      <c r="K272" s="9">
        <v>3400</v>
      </c>
      <c r="M272" s="10">
        <v>5</v>
      </c>
      <c r="N272" s="59">
        <f>VLOOKUP(A272,Baupläne!$B$2:$X$1019,23,FALSE)</f>
        <v>22600</v>
      </c>
      <c r="O272" s="310">
        <f t="shared" si="20"/>
        <v>3</v>
      </c>
      <c r="P272" s="311">
        <f t="shared" si="20"/>
        <v>1.05</v>
      </c>
      <c r="Q272" s="291">
        <f>VLOOKUP(D272,Berechnungen!$A$3:$J$32,O272+6,FALSE)*P272</f>
        <v>66.422877192982455</v>
      </c>
      <c r="R272" s="312">
        <f t="shared" si="21"/>
        <v>0.4</v>
      </c>
      <c r="S272" s="14">
        <f t="shared" si="12"/>
        <v>40</v>
      </c>
      <c r="T272" s="16">
        <f t="shared" si="13"/>
        <v>93</v>
      </c>
      <c r="U272" s="14">
        <f t="shared" si="7"/>
        <v>120</v>
      </c>
      <c r="V272" s="14">
        <f t="shared" si="8"/>
        <v>279</v>
      </c>
      <c r="AC272" s="227"/>
      <c r="AD272" s="227"/>
      <c r="AE272" s="227"/>
      <c r="AF272" s="228"/>
    </row>
    <row r="273" spans="1:32" outlineLevel="1" x14ac:dyDescent="0.2">
      <c r="A273" s="5">
        <v>1160</v>
      </c>
      <c r="B273" s="3" t="s">
        <v>392</v>
      </c>
      <c r="C273" s="1" t="s">
        <v>382</v>
      </c>
      <c r="D273" s="6">
        <v>25</v>
      </c>
      <c r="E273" s="7" t="s">
        <v>263</v>
      </c>
      <c r="G273" s="1">
        <v>4</v>
      </c>
      <c r="H273" s="6">
        <v>1</v>
      </c>
      <c r="I273" s="6">
        <v>1</v>
      </c>
      <c r="J273" s="1">
        <v>100</v>
      </c>
      <c r="K273" s="9">
        <v>3100</v>
      </c>
      <c r="M273" s="10">
        <v>5</v>
      </c>
      <c r="N273" s="59">
        <f>VLOOKUP(A273,Baupläne!$B$2:$X$1019,23,FALSE)</f>
        <v>34400</v>
      </c>
      <c r="O273" s="310">
        <f t="shared" si="20"/>
        <v>3</v>
      </c>
      <c r="P273" s="311">
        <f t="shared" si="20"/>
        <v>1.05</v>
      </c>
      <c r="Q273" s="291">
        <f>VLOOKUP(D273,Berechnungen!$A$3:$J$32,O273+6,FALSE)*P273</f>
        <v>76.230087719298254</v>
      </c>
      <c r="R273" s="312">
        <f t="shared" si="21"/>
        <v>0.4</v>
      </c>
      <c r="S273" s="14">
        <f t="shared" si="12"/>
        <v>46</v>
      </c>
      <c r="T273" s="16">
        <f t="shared" si="13"/>
        <v>107</v>
      </c>
      <c r="U273" s="14">
        <f t="shared" si="7"/>
        <v>138</v>
      </c>
      <c r="V273" s="14">
        <f t="shared" si="8"/>
        <v>321</v>
      </c>
      <c r="AC273" s="227"/>
      <c r="AD273" s="227"/>
      <c r="AE273" s="227"/>
      <c r="AF273" s="228"/>
    </row>
    <row r="274" spans="1:32" s="294" customFormat="1" outlineLevel="1" x14ac:dyDescent="0.2">
      <c r="A274" s="293">
        <v>2151</v>
      </c>
      <c r="B274" s="294" t="s">
        <v>393</v>
      </c>
      <c r="C274" s="294" t="s">
        <v>382</v>
      </c>
      <c r="D274" s="295">
        <v>4</v>
      </c>
      <c r="E274" s="296" t="s">
        <v>263</v>
      </c>
      <c r="F274" s="8"/>
      <c r="G274" s="294">
        <v>4</v>
      </c>
      <c r="H274" s="295">
        <v>2</v>
      </c>
      <c r="I274" s="295">
        <v>1</v>
      </c>
      <c r="J274" s="294">
        <v>100</v>
      </c>
      <c r="K274" s="297">
        <v>3000</v>
      </c>
      <c r="L274" s="295"/>
      <c r="M274" s="298"/>
      <c r="N274" s="299">
        <f>VLOOKUP(A274,Baupläne!$B$2:$X$1019,23,FALSE)</f>
        <v>2800</v>
      </c>
      <c r="O274" s="313">
        <f t="shared" si="20"/>
        <v>3</v>
      </c>
      <c r="P274" s="314">
        <f t="shared" si="20"/>
        <v>1.05</v>
      </c>
      <c r="Q274" s="182">
        <f>VLOOKUP(D274+3,Berechnungen!$A$3:$J$32,O274+6,FALSE)*P274</f>
        <v>25.197877192982457</v>
      </c>
      <c r="R274" s="315">
        <f t="shared" si="21"/>
        <v>0.4</v>
      </c>
      <c r="S274" s="301">
        <f>ROUND(Q274-Q274*R274,0)</f>
        <v>15</v>
      </c>
      <c r="T274" s="302">
        <f>ROUND(Q274+Q274*R274,0)</f>
        <v>35</v>
      </c>
      <c r="U274" s="301">
        <f>O274*S274</f>
        <v>45</v>
      </c>
      <c r="V274" s="301">
        <f>O274*T274</f>
        <v>105</v>
      </c>
      <c r="W274" s="303"/>
      <c r="X274" s="304"/>
      <c r="Y274" s="305"/>
      <c r="AA274" s="306"/>
      <c r="AB274" s="306"/>
      <c r="AC274" s="307"/>
      <c r="AD274" s="307"/>
      <c r="AE274" s="307"/>
      <c r="AF274" s="308"/>
    </row>
    <row r="275" spans="1:32" s="294" customFormat="1" outlineLevel="1" x14ac:dyDescent="0.2">
      <c r="A275" s="293">
        <v>2152</v>
      </c>
      <c r="B275" s="294" t="s">
        <v>394</v>
      </c>
      <c r="C275" s="294" t="s">
        <v>382</v>
      </c>
      <c r="D275" s="295">
        <v>9</v>
      </c>
      <c r="E275" s="296" t="s">
        <v>263</v>
      </c>
      <c r="F275" s="8"/>
      <c r="G275" s="294">
        <v>4</v>
      </c>
      <c r="H275" s="295">
        <v>2</v>
      </c>
      <c r="I275" s="295">
        <v>1</v>
      </c>
      <c r="J275" s="294">
        <v>100</v>
      </c>
      <c r="K275" s="297">
        <v>3200</v>
      </c>
      <c r="L275" s="295"/>
      <c r="M275" s="298"/>
      <c r="N275" s="299">
        <f>VLOOKUP(A275,Baupläne!$B$2:$X$1019,23,FALSE)</f>
        <v>5700</v>
      </c>
      <c r="O275" s="313">
        <f t="shared" si="20"/>
        <v>3</v>
      </c>
      <c r="P275" s="314">
        <f t="shared" si="20"/>
        <v>1.05</v>
      </c>
      <c r="Q275" s="182">
        <f>VLOOKUP(D275+3,Berechnungen!$A$3:$J$32,O275+6,FALSE)*P275</f>
        <v>37.493052631578948</v>
      </c>
      <c r="R275" s="315">
        <f t="shared" si="21"/>
        <v>0.4</v>
      </c>
      <c r="S275" s="301">
        <f>ROUND(Q275-Q275*R275,0)</f>
        <v>22</v>
      </c>
      <c r="T275" s="302">
        <f>ROUND(Q275+Q275*R275,0)</f>
        <v>52</v>
      </c>
      <c r="U275" s="301">
        <f>O275*S275</f>
        <v>66</v>
      </c>
      <c r="V275" s="301">
        <f>O275*T275</f>
        <v>156</v>
      </c>
      <c r="W275" s="303"/>
      <c r="X275" s="304"/>
      <c r="Y275" s="305"/>
      <c r="AA275" s="306"/>
      <c r="AB275" s="306"/>
      <c r="AC275" s="307"/>
      <c r="AD275" s="307"/>
      <c r="AE275" s="307"/>
      <c r="AF275" s="308"/>
    </row>
    <row r="276" spans="1:32" s="294" customFormat="1" outlineLevel="1" x14ac:dyDescent="0.2">
      <c r="A276" s="293">
        <v>2153</v>
      </c>
      <c r="B276" s="294" t="s">
        <v>395</v>
      </c>
      <c r="C276" s="294" t="s">
        <v>382</v>
      </c>
      <c r="D276" s="295">
        <v>14</v>
      </c>
      <c r="E276" s="296" t="s">
        <v>263</v>
      </c>
      <c r="F276" s="8"/>
      <c r="G276" s="294">
        <v>4</v>
      </c>
      <c r="H276" s="295">
        <v>2</v>
      </c>
      <c r="I276" s="295">
        <v>1</v>
      </c>
      <c r="J276" s="294">
        <v>100</v>
      </c>
      <c r="K276" s="297">
        <v>3400</v>
      </c>
      <c r="L276" s="295"/>
      <c r="M276" s="298"/>
      <c r="N276" s="299">
        <f>VLOOKUP(A276,Baupläne!$B$2:$X$1019,23,FALSE)</f>
        <v>11400</v>
      </c>
      <c r="O276" s="313">
        <f t="shared" si="20"/>
        <v>3</v>
      </c>
      <c r="P276" s="314">
        <f t="shared" si="20"/>
        <v>1.05</v>
      </c>
      <c r="Q276" s="182">
        <f>VLOOKUP(D276+3,Berechnungen!$A$3:$J$32,O276+6,FALSE)*P276</f>
        <v>51.234719298245615</v>
      </c>
      <c r="R276" s="315">
        <f t="shared" si="21"/>
        <v>0.4</v>
      </c>
      <c r="S276" s="301">
        <f>ROUND(Q276-Q276*R276,0)</f>
        <v>31</v>
      </c>
      <c r="T276" s="302">
        <f>ROUND(Q276+Q276*R276,0)</f>
        <v>72</v>
      </c>
      <c r="U276" s="301">
        <f>O276*S276</f>
        <v>93</v>
      </c>
      <c r="V276" s="301">
        <f>O276*T276</f>
        <v>216</v>
      </c>
      <c r="W276" s="303"/>
      <c r="X276" s="304"/>
      <c r="Y276" s="305"/>
      <c r="AA276" s="306"/>
      <c r="AB276" s="306"/>
      <c r="AC276" s="307"/>
      <c r="AD276" s="307"/>
      <c r="AE276" s="307"/>
      <c r="AF276" s="308"/>
    </row>
    <row r="277" spans="1:32" s="294" customFormat="1" outlineLevel="1" x14ac:dyDescent="0.2">
      <c r="A277" s="293">
        <v>2154</v>
      </c>
      <c r="B277" s="177" t="s">
        <v>396</v>
      </c>
      <c r="C277" s="177" t="s">
        <v>382</v>
      </c>
      <c r="D277" s="295">
        <v>19</v>
      </c>
      <c r="E277" s="316" t="s">
        <v>263</v>
      </c>
      <c r="F277" s="8"/>
      <c r="G277" s="177">
        <v>4</v>
      </c>
      <c r="H277" s="178">
        <v>2</v>
      </c>
      <c r="I277" s="178">
        <v>1</v>
      </c>
      <c r="J277" s="177">
        <v>100</v>
      </c>
      <c r="K277" s="317">
        <v>3100</v>
      </c>
      <c r="L277" s="178"/>
      <c r="M277" s="179"/>
      <c r="N277" s="299">
        <f>VLOOKUP(A277,Baupläne!$B$2:$X$1019,23,FALSE)</f>
        <v>21900</v>
      </c>
      <c r="O277" s="313">
        <f t="shared" si="20"/>
        <v>3</v>
      </c>
      <c r="P277" s="314">
        <f t="shared" si="20"/>
        <v>1.05</v>
      </c>
      <c r="Q277" s="182">
        <f>VLOOKUP(D277+3,Berechnungen!$A$3:$J$32,O277+6,FALSE)*P277</f>
        <v>66.422877192982455</v>
      </c>
      <c r="R277" s="315">
        <f t="shared" si="21"/>
        <v>0.4</v>
      </c>
      <c r="S277" s="301">
        <f>ROUND(Q277-Q277*R277,0)</f>
        <v>40</v>
      </c>
      <c r="T277" s="302">
        <f>ROUND(Q277+Q277*R277,0)</f>
        <v>93</v>
      </c>
      <c r="U277" s="301">
        <f>O277*S277</f>
        <v>120</v>
      </c>
      <c r="V277" s="301">
        <f>O277*T277</f>
        <v>279</v>
      </c>
      <c r="W277" s="303"/>
      <c r="X277" s="304"/>
      <c r="Y277" s="305"/>
      <c r="AA277" s="306"/>
      <c r="AB277" s="306"/>
      <c r="AC277" s="307"/>
      <c r="AD277" s="307"/>
      <c r="AE277" s="307"/>
      <c r="AF277" s="308"/>
    </row>
    <row r="278" spans="1:32" s="294" customFormat="1" outlineLevel="1" x14ac:dyDescent="0.2">
      <c r="A278" s="293">
        <v>2155</v>
      </c>
      <c r="B278" s="294" t="s">
        <v>397</v>
      </c>
      <c r="C278" s="294" t="s">
        <v>382</v>
      </c>
      <c r="D278" s="295">
        <v>25</v>
      </c>
      <c r="E278" s="296" t="s">
        <v>263</v>
      </c>
      <c r="F278" s="8"/>
      <c r="G278" s="294">
        <v>4</v>
      </c>
      <c r="H278" s="295">
        <v>2</v>
      </c>
      <c r="I278" s="295">
        <v>1</v>
      </c>
      <c r="J278" s="294">
        <v>100</v>
      </c>
      <c r="K278" s="297">
        <v>3400</v>
      </c>
      <c r="L278" s="295"/>
      <c r="M278" s="298"/>
      <c r="N278" s="299">
        <f>VLOOKUP(A278,Baupläne!$B$2:$X$1019,23,FALSE)</f>
        <v>44400</v>
      </c>
      <c r="O278" s="313">
        <f t="shared" si="20"/>
        <v>3</v>
      </c>
      <c r="P278" s="314">
        <f t="shared" si="20"/>
        <v>1.05</v>
      </c>
      <c r="Q278" s="182">
        <f>VLOOKUP(D278+3,Berechnungen!$A$3:$J$32,O278+6,FALSE)*P278</f>
        <v>86.558035087719304</v>
      </c>
      <c r="R278" s="315">
        <f t="shared" si="21"/>
        <v>0.4</v>
      </c>
      <c r="S278" s="301">
        <f>ROUND(Q278-Q278*R278,0)</f>
        <v>52</v>
      </c>
      <c r="T278" s="302">
        <f>ROUND(Q278+Q278*R278,0)</f>
        <v>121</v>
      </c>
      <c r="U278" s="301">
        <f>O278*S278</f>
        <v>156</v>
      </c>
      <c r="V278" s="301">
        <f>O278*T278</f>
        <v>363</v>
      </c>
      <c r="W278" s="303"/>
      <c r="X278" s="304"/>
      <c r="Y278" s="305"/>
      <c r="AA278" s="306"/>
      <c r="AB278" s="306"/>
      <c r="AC278" s="307"/>
      <c r="AD278" s="307"/>
      <c r="AE278" s="307"/>
      <c r="AF278" s="308"/>
    </row>
    <row r="279" spans="1:32" x14ac:dyDescent="0.2">
      <c r="A279" s="271"/>
      <c r="B279" s="272" t="s">
        <v>398</v>
      </c>
      <c r="C279" s="272"/>
      <c r="D279" s="273"/>
      <c r="E279" s="274"/>
      <c r="F279" s="275"/>
      <c r="G279" s="272"/>
      <c r="H279" s="273"/>
      <c r="I279" s="273"/>
      <c r="J279" s="272"/>
      <c r="K279" s="276"/>
      <c r="L279" s="273"/>
      <c r="M279" s="277"/>
      <c r="N279" s="278"/>
      <c r="O279" s="279">
        <v>2</v>
      </c>
      <c r="P279" s="280">
        <v>1.45</v>
      </c>
      <c r="Q279" s="281"/>
      <c r="R279" s="280">
        <v>0.5</v>
      </c>
      <c r="S279" s="281"/>
      <c r="T279" s="282"/>
      <c r="U279" s="281"/>
      <c r="V279" s="281"/>
      <c r="W279" s="283"/>
      <c r="X279" s="284"/>
      <c r="Y279" s="285"/>
      <c r="Z279" s="286"/>
      <c r="AA279" s="287"/>
      <c r="AB279" s="287"/>
      <c r="AC279" s="288"/>
      <c r="AD279" s="288"/>
      <c r="AE279" s="288"/>
      <c r="AF279" s="289"/>
    </row>
    <row r="280" spans="1:32" outlineLevel="1" x14ac:dyDescent="0.2">
      <c r="A280" s="5">
        <v>1161</v>
      </c>
      <c r="B280" s="3" t="s">
        <v>399</v>
      </c>
      <c r="C280" s="3" t="s">
        <v>382</v>
      </c>
      <c r="D280" s="6">
        <v>7</v>
      </c>
      <c r="E280" s="55" t="s">
        <v>398</v>
      </c>
      <c r="G280" s="3">
        <v>4</v>
      </c>
      <c r="H280" s="54">
        <v>1</v>
      </c>
      <c r="I280" s="54">
        <v>2</v>
      </c>
      <c r="J280" s="3">
        <v>100</v>
      </c>
      <c r="K280" s="57">
        <v>5400</v>
      </c>
      <c r="L280" s="54"/>
      <c r="M280" s="58">
        <v>2</v>
      </c>
      <c r="N280" s="59">
        <f>VLOOKUP(A280,Baupläne!$B$2:$X$1019,23,FALSE)</f>
        <v>4600</v>
      </c>
      <c r="O280" s="310">
        <f t="shared" ref="O280:P291" si="22">O$279</f>
        <v>2</v>
      </c>
      <c r="P280" s="311">
        <f t="shared" si="22"/>
        <v>1.45</v>
      </c>
      <c r="Q280" s="291">
        <f>VLOOKUP(D280,Berechnungen!$A$3:$J$32,O280+6,FALSE)*P280</f>
        <v>45.348029239766078</v>
      </c>
      <c r="R280" s="312">
        <f t="shared" ref="R280:R291" si="23">R$279</f>
        <v>0.5</v>
      </c>
      <c r="S280" s="14">
        <f t="shared" si="12"/>
        <v>23</v>
      </c>
      <c r="T280" s="16">
        <f t="shared" si="13"/>
        <v>68</v>
      </c>
      <c r="U280" s="14">
        <f t="shared" si="7"/>
        <v>46</v>
      </c>
      <c r="V280" s="14">
        <f t="shared" si="8"/>
        <v>136</v>
      </c>
      <c r="AA280" s="318"/>
      <c r="AB280" s="319"/>
      <c r="AC280" s="227"/>
      <c r="AD280" s="227"/>
      <c r="AE280" s="227"/>
      <c r="AF280" s="228"/>
    </row>
    <row r="281" spans="1:32" outlineLevel="1" x14ac:dyDescent="0.2">
      <c r="A281" s="5">
        <v>1162</v>
      </c>
      <c r="B281" s="1" t="s">
        <v>400</v>
      </c>
      <c r="C281" s="1" t="s">
        <v>382</v>
      </c>
      <c r="D281" s="6">
        <v>10</v>
      </c>
      <c r="E281" s="7" t="s">
        <v>398</v>
      </c>
      <c r="G281" s="1">
        <v>4</v>
      </c>
      <c r="H281" s="6">
        <v>1</v>
      </c>
      <c r="I281" s="6">
        <v>2</v>
      </c>
      <c r="J281" s="1">
        <v>100</v>
      </c>
      <c r="K281" s="9">
        <v>5800</v>
      </c>
      <c r="M281" s="10">
        <v>2</v>
      </c>
      <c r="N281" s="59">
        <f>VLOOKUP(A281,Baupläne!$B$2:$X$1019,23,FALSE)</f>
        <v>7000</v>
      </c>
      <c r="O281" s="310">
        <f t="shared" si="22"/>
        <v>2</v>
      </c>
      <c r="P281" s="311">
        <f t="shared" si="22"/>
        <v>1.45</v>
      </c>
      <c r="Q281" s="291">
        <f>VLOOKUP(D281,Berechnungen!$A$3:$J$32,O281+6,FALSE)*P281</f>
        <v>58.312046783625732</v>
      </c>
      <c r="R281" s="312">
        <f t="shared" si="23"/>
        <v>0.5</v>
      </c>
      <c r="S281" s="14">
        <f t="shared" si="12"/>
        <v>29</v>
      </c>
      <c r="T281" s="16">
        <f t="shared" si="13"/>
        <v>87</v>
      </c>
      <c r="U281" s="14">
        <f t="shared" si="7"/>
        <v>58</v>
      </c>
      <c r="V281" s="14">
        <f t="shared" si="8"/>
        <v>174</v>
      </c>
      <c r="AC281" s="227"/>
      <c r="AD281" s="227"/>
      <c r="AE281" s="227"/>
      <c r="AF281" s="228"/>
    </row>
    <row r="282" spans="1:32" outlineLevel="1" x14ac:dyDescent="0.2">
      <c r="A282" s="5">
        <v>1163</v>
      </c>
      <c r="B282" s="1" t="s">
        <v>401</v>
      </c>
      <c r="C282" s="1" t="s">
        <v>382</v>
      </c>
      <c r="D282" s="6">
        <v>12</v>
      </c>
      <c r="E282" s="7" t="s">
        <v>398</v>
      </c>
      <c r="G282" s="1">
        <v>4</v>
      </c>
      <c r="H282" s="6">
        <v>1</v>
      </c>
      <c r="I282" s="6">
        <v>2</v>
      </c>
      <c r="J282" s="1">
        <v>100</v>
      </c>
      <c r="K282" s="9">
        <v>5500</v>
      </c>
      <c r="M282" s="10">
        <v>3</v>
      </c>
      <c r="N282" s="59">
        <f>VLOOKUP(A282,Baupläne!$B$2:$X$1019,23,FALSE)</f>
        <v>9300</v>
      </c>
      <c r="O282" s="310">
        <f t="shared" si="22"/>
        <v>2</v>
      </c>
      <c r="P282" s="311">
        <f t="shared" si="22"/>
        <v>1.45</v>
      </c>
      <c r="Q282" s="291">
        <f>VLOOKUP(D282,Berechnungen!$A$3:$J$32,O282+6,FALSE)*P282</f>
        <v>67.475368421052622</v>
      </c>
      <c r="R282" s="312">
        <f t="shared" si="23"/>
        <v>0.5</v>
      </c>
      <c r="S282" s="14">
        <f t="shared" si="12"/>
        <v>34</v>
      </c>
      <c r="T282" s="16">
        <f t="shared" si="13"/>
        <v>101</v>
      </c>
      <c r="U282" s="14">
        <f t="shared" si="7"/>
        <v>68</v>
      </c>
      <c r="V282" s="14">
        <f t="shared" si="8"/>
        <v>202</v>
      </c>
      <c r="AC282" s="227"/>
      <c r="AD282" s="227"/>
      <c r="AE282" s="227"/>
      <c r="AF282" s="228"/>
    </row>
    <row r="283" spans="1:32" outlineLevel="1" x14ac:dyDescent="0.2">
      <c r="A283" s="5">
        <v>1164</v>
      </c>
      <c r="B283" s="1" t="s">
        <v>402</v>
      </c>
      <c r="C283" s="1" t="s">
        <v>382</v>
      </c>
      <c r="D283" s="6">
        <v>15</v>
      </c>
      <c r="E283" s="7" t="s">
        <v>398</v>
      </c>
      <c r="G283" s="1">
        <v>4</v>
      </c>
      <c r="H283" s="6">
        <v>1</v>
      </c>
      <c r="I283" s="6">
        <v>2</v>
      </c>
      <c r="J283" s="1">
        <v>100</v>
      </c>
      <c r="K283" s="9">
        <v>5600</v>
      </c>
      <c r="M283" s="10">
        <v>3</v>
      </c>
      <c r="N283" s="59">
        <f>VLOOKUP(A283,Baupläne!$B$2:$X$1019,23,FALSE)</f>
        <v>14200</v>
      </c>
      <c r="O283" s="310">
        <f t="shared" si="22"/>
        <v>2</v>
      </c>
      <c r="P283" s="311">
        <f t="shared" si="22"/>
        <v>1.45</v>
      </c>
      <c r="Q283" s="291">
        <f>VLOOKUP(D283,Berechnungen!$A$3:$J$32,O283+6,FALSE)*P283</f>
        <v>82.001315789473679</v>
      </c>
      <c r="R283" s="312">
        <f t="shared" si="23"/>
        <v>0.5</v>
      </c>
      <c r="S283" s="14">
        <f t="shared" ref="S283:S334" si="24">ROUND(Q283-Q283*R283,0)</f>
        <v>41</v>
      </c>
      <c r="T283" s="16">
        <f t="shared" ref="T283:T334" si="25">ROUND(Q283+Q283*R283,0)</f>
        <v>123</v>
      </c>
      <c r="U283" s="14">
        <f t="shared" ref="U283:U334" si="26">O283*S283</f>
        <v>82</v>
      </c>
      <c r="V283" s="14">
        <f t="shared" ref="V283:V334" si="27">O283*T283</f>
        <v>246</v>
      </c>
      <c r="AC283" s="227"/>
      <c r="AD283" s="227"/>
      <c r="AE283" s="227"/>
      <c r="AF283" s="228"/>
    </row>
    <row r="284" spans="1:32" outlineLevel="1" x14ac:dyDescent="0.2">
      <c r="A284" s="5">
        <v>1165</v>
      </c>
      <c r="B284" s="1" t="s">
        <v>403</v>
      </c>
      <c r="C284" s="1" t="s">
        <v>382</v>
      </c>
      <c r="D284" s="6">
        <v>17</v>
      </c>
      <c r="E284" s="7" t="s">
        <v>398</v>
      </c>
      <c r="G284" s="1">
        <v>4</v>
      </c>
      <c r="H284" s="6">
        <v>1</v>
      </c>
      <c r="I284" s="6">
        <v>2</v>
      </c>
      <c r="J284" s="1">
        <v>100</v>
      </c>
      <c r="K284" s="9">
        <v>5700</v>
      </c>
      <c r="M284" s="10">
        <v>4</v>
      </c>
      <c r="N284" s="59">
        <f>VLOOKUP(A284,Baupläne!$B$2:$X$1019,23,FALSE)</f>
        <v>18700</v>
      </c>
      <c r="O284" s="310">
        <f t="shared" si="22"/>
        <v>2</v>
      </c>
      <c r="P284" s="311">
        <f t="shared" si="22"/>
        <v>1.45</v>
      </c>
      <c r="Q284" s="291">
        <f>VLOOKUP(D284,Berechnungen!$A$3:$J$32,O284+6,FALSE)*P284</f>
        <v>92.205923976608176</v>
      </c>
      <c r="R284" s="312">
        <f t="shared" si="23"/>
        <v>0.5</v>
      </c>
      <c r="S284" s="14">
        <f t="shared" si="24"/>
        <v>46</v>
      </c>
      <c r="T284" s="16">
        <f t="shared" si="25"/>
        <v>138</v>
      </c>
      <c r="U284" s="14">
        <f t="shared" si="26"/>
        <v>92</v>
      </c>
      <c r="V284" s="14">
        <f t="shared" si="27"/>
        <v>276</v>
      </c>
      <c r="AC284" s="227"/>
      <c r="AD284" s="227"/>
      <c r="AE284" s="227"/>
      <c r="AF284" s="228"/>
    </row>
    <row r="285" spans="1:32" outlineLevel="1" x14ac:dyDescent="0.2">
      <c r="A285" s="5">
        <v>1166</v>
      </c>
      <c r="B285" s="3" t="s">
        <v>404</v>
      </c>
      <c r="C285" s="1" t="s">
        <v>382</v>
      </c>
      <c r="D285" s="6">
        <v>20</v>
      </c>
      <c r="E285" s="7" t="s">
        <v>398</v>
      </c>
      <c r="G285" s="1">
        <v>4</v>
      </c>
      <c r="H285" s="6">
        <v>1</v>
      </c>
      <c r="I285" s="6">
        <v>2</v>
      </c>
      <c r="J285" s="1">
        <v>100</v>
      </c>
      <c r="K285" s="9">
        <v>5300</v>
      </c>
      <c r="M285" s="10">
        <v>4</v>
      </c>
      <c r="N285" s="59">
        <f>VLOOKUP(A285,Baupläne!$B$2:$X$1019,23,FALSE)</f>
        <v>28500</v>
      </c>
      <c r="O285" s="310">
        <f t="shared" si="22"/>
        <v>2</v>
      </c>
      <c r="P285" s="311">
        <f t="shared" si="22"/>
        <v>1.45</v>
      </c>
      <c r="Q285" s="291">
        <f>VLOOKUP(D285,Berechnungen!$A$3:$J$32,O285+6,FALSE)*P285</f>
        <v>108.29380116959064</v>
      </c>
      <c r="R285" s="312">
        <f t="shared" si="23"/>
        <v>0.5</v>
      </c>
      <c r="S285" s="14">
        <f t="shared" si="24"/>
        <v>54</v>
      </c>
      <c r="T285" s="16">
        <f t="shared" si="25"/>
        <v>162</v>
      </c>
      <c r="U285" s="14">
        <f t="shared" si="26"/>
        <v>108</v>
      </c>
      <c r="V285" s="14">
        <f t="shared" si="27"/>
        <v>324</v>
      </c>
      <c r="AC285" s="227"/>
      <c r="AD285" s="227"/>
      <c r="AE285" s="227"/>
      <c r="AF285" s="228"/>
    </row>
    <row r="286" spans="1:32" outlineLevel="1" x14ac:dyDescent="0.2">
      <c r="A286" s="5">
        <v>1167</v>
      </c>
      <c r="B286" s="1" t="s">
        <v>405</v>
      </c>
      <c r="C286" s="1" t="s">
        <v>382</v>
      </c>
      <c r="D286" s="6">
        <v>22</v>
      </c>
      <c r="E286" s="7" t="s">
        <v>398</v>
      </c>
      <c r="G286" s="1">
        <v>4</v>
      </c>
      <c r="H286" s="6">
        <v>1</v>
      </c>
      <c r="I286" s="6">
        <v>2</v>
      </c>
      <c r="J286" s="1">
        <v>100</v>
      </c>
      <c r="K286" s="9">
        <v>5900</v>
      </c>
      <c r="M286" s="10">
        <v>5</v>
      </c>
      <c r="N286" s="59">
        <f>VLOOKUP(A286,Baupläne!$B$2:$X$1019,23,FALSE)</f>
        <v>37600</v>
      </c>
      <c r="O286" s="310">
        <f t="shared" si="22"/>
        <v>2</v>
      </c>
      <c r="P286" s="311">
        <f t="shared" si="22"/>
        <v>1.45</v>
      </c>
      <c r="Q286" s="291">
        <f>VLOOKUP(D286,Berechnungen!$A$3:$J$32,O286+6,FALSE)*P286</f>
        <v>119.53969590643271</v>
      </c>
      <c r="R286" s="312">
        <f t="shared" si="23"/>
        <v>0.5</v>
      </c>
      <c r="S286" s="14">
        <f t="shared" si="24"/>
        <v>60</v>
      </c>
      <c r="T286" s="16">
        <f t="shared" si="25"/>
        <v>179</v>
      </c>
      <c r="U286" s="14">
        <f t="shared" si="26"/>
        <v>120</v>
      </c>
      <c r="V286" s="14">
        <f t="shared" si="27"/>
        <v>358</v>
      </c>
      <c r="AC286" s="227"/>
      <c r="AD286" s="227"/>
      <c r="AE286" s="227"/>
      <c r="AF286" s="228"/>
    </row>
    <row r="287" spans="1:32" outlineLevel="1" x14ac:dyDescent="0.2">
      <c r="A287" s="5">
        <v>1168</v>
      </c>
      <c r="B287" s="1" t="s">
        <v>406</v>
      </c>
      <c r="C287" s="1" t="s">
        <v>382</v>
      </c>
      <c r="D287" s="6">
        <v>25</v>
      </c>
      <c r="E287" s="7" t="s">
        <v>398</v>
      </c>
      <c r="G287" s="1">
        <v>4</v>
      </c>
      <c r="H287" s="6">
        <v>1</v>
      </c>
      <c r="I287" s="6">
        <v>2</v>
      </c>
      <c r="J287" s="1">
        <v>100</v>
      </c>
      <c r="K287" s="9">
        <v>5800</v>
      </c>
      <c r="M287" s="10">
        <v>5</v>
      </c>
      <c r="N287" s="59">
        <f>VLOOKUP(A287,Baupläne!$B$2:$X$1019,23,FALSE)</f>
        <v>57300</v>
      </c>
      <c r="O287" s="310">
        <f t="shared" si="22"/>
        <v>2</v>
      </c>
      <c r="P287" s="311">
        <f t="shared" si="22"/>
        <v>1.45</v>
      </c>
      <c r="Q287" s="291">
        <f>VLOOKUP(D287,Berechnungen!$A$3:$J$32,O287+6,FALSE)*P287</f>
        <v>137.18950292397659</v>
      </c>
      <c r="R287" s="312">
        <f t="shared" si="23"/>
        <v>0.5</v>
      </c>
      <c r="S287" s="14">
        <f t="shared" si="24"/>
        <v>69</v>
      </c>
      <c r="T287" s="16">
        <f t="shared" si="25"/>
        <v>206</v>
      </c>
      <c r="U287" s="14">
        <f t="shared" si="26"/>
        <v>138</v>
      </c>
      <c r="V287" s="14">
        <f t="shared" si="27"/>
        <v>412</v>
      </c>
      <c r="AC287" s="227"/>
      <c r="AD287" s="227"/>
      <c r="AE287" s="227"/>
      <c r="AF287" s="228"/>
    </row>
    <row r="288" spans="1:32" s="294" customFormat="1" outlineLevel="1" x14ac:dyDescent="0.2">
      <c r="A288" s="293">
        <v>2161</v>
      </c>
      <c r="B288" s="177" t="s">
        <v>407</v>
      </c>
      <c r="C288" s="177" t="s">
        <v>382</v>
      </c>
      <c r="D288" s="295">
        <v>10</v>
      </c>
      <c r="E288" s="316" t="s">
        <v>398</v>
      </c>
      <c r="F288" s="8"/>
      <c r="G288" s="177">
        <v>4</v>
      </c>
      <c r="H288" s="178">
        <v>2</v>
      </c>
      <c r="I288" s="178">
        <v>2</v>
      </c>
      <c r="J288" s="177">
        <v>100</v>
      </c>
      <c r="K288" s="317">
        <v>5400</v>
      </c>
      <c r="L288" s="178"/>
      <c r="M288" s="179"/>
      <c r="N288" s="299">
        <f>VLOOKUP(A288,Baupläne!$B$2:$X$1019,23,FALSE)</f>
        <v>12000</v>
      </c>
      <c r="O288" s="313">
        <f t="shared" si="22"/>
        <v>2</v>
      </c>
      <c r="P288" s="314">
        <f t="shared" si="22"/>
        <v>1.45</v>
      </c>
      <c r="Q288" s="182">
        <f>VLOOKUP(D288+3,Berechnungen!$A$3:$J$32,O288+6,FALSE)*P288</f>
        <v>72.2132222222222</v>
      </c>
      <c r="R288" s="315">
        <f t="shared" si="23"/>
        <v>0.5</v>
      </c>
      <c r="S288" s="301">
        <f t="shared" si="24"/>
        <v>36</v>
      </c>
      <c r="T288" s="302">
        <f t="shared" si="25"/>
        <v>108</v>
      </c>
      <c r="U288" s="301">
        <f t="shared" si="26"/>
        <v>72</v>
      </c>
      <c r="V288" s="301">
        <f t="shared" si="27"/>
        <v>216</v>
      </c>
      <c r="W288" s="303"/>
      <c r="X288" s="304"/>
      <c r="Y288" s="305"/>
      <c r="AA288" s="320"/>
      <c r="AB288" s="186"/>
      <c r="AC288" s="307"/>
      <c r="AD288" s="307"/>
      <c r="AE288" s="307"/>
      <c r="AF288" s="308"/>
    </row>
    <row r="289" spans="1:32" s="294" customFormat="1" outlineLevel="1" x14ac:dyDescent="0.2">
      <c r="A289" s="293">
        <v>2162</v>
      </c>
      <c r="B289" s="294" t="s">
        <v>408</v>
      </c>
      <c r="C289" s="294" t="s">
        <v>382</v>
      </c>
      <c r="D289" s="295">
        <v>15</v>
      </c>
      <c r="E289" s="296" t="s">
        <v>398</v>
      </c>
      <c r="F289" s="8"/>
      <c r="G289" s="294">
        <v>4</v>
      </c>
      <c r="H289" s="295">
        <v>2</v>
      </c>
      <c r="I289" s="295">
        <v>2</v>
      </c>
      <c r="J289" s="294">
        <v>100</v>
      </c>
      <c r="K289" s="297">
        <v>5800</v>
      </c>
      <c r="L289" s="295"/>
      <c r="M289" s="298"/>
      <c r="N289" s="299">
        <f>VLOOKUP(A289,Baupläne!$B$2:$X$1019,23,FALSE)</f>
        <v>24200</v>
      </c>
      <c r="O289" s="313">
        <f t="shared" si="22"/>
        <v>2</v>
      </c>
      <c r="P289" s="314">
        <f t="shared" si="22"/>
        <v>1.45</v>
      </c>
      <c r="Q289" s="182">
        <f>VLOOKUP(D289+3,Berechnungen!$A$3:$J$32,O289+6,FALSE)*P289</f>
        <v>97.464421052631565</v>
      </c>
      <c r="R289" s="315">
        <f t="shared" si="23"/>
        <v>0.5</v>
      </c>
      <c r="S289" s="301">
        <f t="shared" si="24"/>
        <v>49</v>
      </c>
      <c r="T289" s="302">
        <f t="shared" si="25"/>
        <v>146</v>
      </c>
      <c r="U289" s="301">
        <f t="shared" si="26"/>
        <v>98</v>
      </c>
      <c r="V289" s="301">
        <f t="shared" si="27"/>
        <v>292</v>
      </c>
      <c r="W289" s="303"/>
      <c r="X289" s="304"/>
      <c r="Y289" s="305"/>
      <c r="AA289" s="306"/>
      <c r="AB289" s="306"/>
      <c r="AC289" s="307"/>
      <c r="AD289" s="307"/>
      <c r="AE289" s="307"/>
      <c r="AF289" s="308"/>
    </row>
    <row r="290" spans="1:32" s="294" customFormat="1" outlineLevel="1" x14ac:dyDescent="0.2">
      <c r="A290" s="293">
        <v>2163</v>
      </c>
      <c r="B290" s="294" t="s">
        <v>409</v>
      </c>
      <c r="C290" s="294" t="s">
        <v>382</v>
      </c>
      <c r="D290" s="295">
        <v>20</v>
      </c>
      <c r="E290" s="296" t="s">
        <v>398</v>
      </c>
      <c r="F290" s="8"/>
      <c r="G290" s="294">
        <v>4</v>
      </c>
      <c r="H290" s="295">
        <v>2</v>
      </c>
      <c r="I290" s="295">
        <v>2</v>
      </c>
      <c r="J290" s="294">
        <v>100</v>
      </c>
      <c r="K290" s="297">
        <v>5500</v>
      </c>
      <c r="L290" s="295"/>
      <c r="M290" s="298"/>
      <c r="N290" s="299">
        <f>VLOOKUP(A290,Baupläne!$B$2:$X$1019,23,FALSE)</f>
        <v>46000</v>
      </c>
      <c r="O290" s="313">
        <f t="shared" si="22"/>
        <v>2</v>
      </c>
      <c r="P290" s="314">
        <f t="shared" si="22"/>
        <v>1.45</v>
      </c>
      <c r="Q290" s="182">
        <f>VLOOKUP(D290+3,Berechnungen!$A$3:$J$32,O290+6,FALSE)*P290</f>
        <v>125.31883625730994</v>
      </c>
      <c r="R290" s="315">
        <f t="shared" si="23"/>
        <v>0.5</v>
      </c>
      <c r="S290" s="301">
        <f t="shared" si="24"/>
        <v>63</v>
      </c>
      <c r="T290" s="302">
        <f t="shared" si="25"/>
        <v>188</v>
      </c>
      <c r="U290" s="301">
        <f t="shared" si="26"/>
        <v>126</v>
      </c>
      <c r="V290" s="301">
        <f t="shared" si="27"/>
        <v>376</v>
      </c>
      <c r="W290" s="303"/>
      <c r="X290" s="304"/>
      <c r="Y290" s="305"/>
      <c r="AA290" s="306"/>
      <c r="AB290" s="306"/>
      <c r="AC290" s="307"/>
      <c r="AD290" s="307"/>
      <c r="AE290" s="307"/>
      <c r="AF290" s="308"/>
    </row>
    <row r="291" spans="1:32" s="294" customFormat="1" outlineLevel="1" x14ac:dyDescent="0.2">
      <c r="A291" s="293">
        <v>2164</v>
      </c>
      <c r="B291" s="294" t="s">
        <v>410</v>
      </c>
      <c r="C291" s="294" t="s">
        <v>382</v>
      </c>
      <c r="D291" s="295">
        <v>25</v>
      </c>
      <c r="E291" s="296" t="s">
        <v>398</v>
      </c>
      <c r="F291" s="8"/>
      <c r="G291" s="294">
        <v>4</v>
      </c>
      <c r="H291" s="295">
        <v>2</v>
      </c>
      <c r="I291" s="295">
        <v>2</v>
      </c>
      <c r="J291" s="294">
        <v>100</v>
      </c>
      <c r="K291" s="297">
        <v>5600</v>
      </c>
      <c r="L291" s="295"/>
      <c r="M291" s="298"/>
      <c r="N291" s="299">
        <f>VLOOKUP(A291,Baupläne!$B$2:$X$1019,23,FALSE)</f>
        <v>82300</v>
      </c>
      <c r="O291" s="313">
        <f t="shared" si="22"/>
        <v>2</v>
      </c>
      <c r="P291" s="314">
        <f t="shared" si="22"/>
        <v>1.45</v>
      </c>
      <c r="Q291" s="182">
        <f>VLOOKUP(D291+3,Berechnungen!$A$3:$J$32,O291+6,FALSE)*P291</f>
        <v>155.7764678362573</v>
      </c>
      <c r="R291" s="315">
        <f t="shared" si="23"/>
        <v>0.5</v>
      </c>
      <c r="S291" s="301">
        <f>ROUND(Q291-Q291*R291,0)</f>
        <v>78</v>
      </c>
      <c r="T291" s="302">
        <f>ROUND(Q291+Q291*R291,0)</f>
        <v>234</v>
      </c>
      <c r="U291" s="301">
        <f>O291*S291</f>
        <v>156</v>
      </c>
      <c r="V291" s="301">
        <f>O291*T291</f>
        <v>468</v>
      </c>
      <c r="W291" s="303"/>
      <c r="X291" s="304"/>
      <c r="Y291" s="305"/>
      <c r="AA291" s="306"/>
      <c r="AB291" s="306"/>
      <c r="AC291" s="307"/>
      <c r="AD291" s="307"/>
      <c r="AE291" s="307"/>
      <c r="AF291" s="308"/>
    </row>
    <row r="292" spans="1:32" x14ac:dyDescent="0.2">
      <c r="A292" s="271"/>
      <c r="B292" s="272" t="s">
        <v>411</v>
      </c>
      <c r="C292" s="272"/>
      <c r="D292" s="273"/>
      <c r="E292" s="274"/>
      <c r="F292" s="275"/>
      <c r="G292" s="272"/>
      <c r="H292" s="273"/>
      <c r="I292" s="273"/>
      <c r="J292" s="272"/>
      <c r="K292" s="276"/>
      <c r="L292" s="273"/>
      <c r="M292" s="277"/>
      <c r="N292" s="278"/>
      <c r="O292" s="279">
        <v>3</v>
      </c>
      <c r="P292" s="280">
        <f>VLOOKUP(B292,Berechnungen!$A$70:$E$83,3,FALSE)</f>
        <v>1.4</v>
      </c>
      <c r="Q292" s="281"/>
      <c r="R292" s="280">
        <f>VLOOKUP(B292,Berechnungen!$A$70:$E$83,5,FALSE)</f>
        <v>0.25</v>
      </c>
      <c r="S292" s="281"/>
      <c r="T292" s="282"/>
      <c r="U292" s="281"/>
      <c r="V292" s="281"/>
      <c r="W292" s="283"/>
      <c r="X292" s="284"/>
      <c r="Y292" s="285"/>
      <c r="Z292" s="286"/>
      <c r="AA292" s="287"/>
      <c r="AB292" s="287"/>
      <c r="AC292" s="288"/>
      <c r="AD292" s="288"/>
      <c r="AE292" s="288"/>
      <c r="AF292" s="289"/>
    </row>
    <row r="293" spans="1:32" outlineLevel="1" x14ac:dyDescent="0.2">
      <c r="A293" s="5">
        <v>1171</v>
      </c>
      <c r="B293" s="1" t="s">
        <v>412</v>
      </c>
      <c r="C293" s="3" t="s">
        <v>411</v>
      </c>
      <c r="D293" s="6">
        <v>1</v>
      </c>
      <c r="E293" s="7" t="s">
        <v>265</v>
      </c>
      <c r="G293" s="1">
        <v>5</v>
      </c>
      <c r="H293" s="6">
        <v>1</v>
      </c>
      <c r="I293" s="6">
        <v>2</v>
      </c>
      <c r="J293" s="1">
        <v>100</v>
      </c>
      <c r="K293" s="9">
        <v>4600</v>
      </c>
      <c r="M293" s="10">
        <v>1</v>
      </c>
      <c r="N293" s="59">
        <f>VLOOKUP(A293,Baupläne!$B$2:$X$1019,23,FALSE)</f>
        <v>2000</v>
      </c>
      <c r="O293" s="310">
        <f t="shared" ref="O293:P307" si="28">O$292</f>
        <v>3</v>
      </c>
      <c r="P293" s="311">
        <f t="shared" si="28"/>
        <v>1.4</v>
      </c>
      <c r="Q293" s="291">
        <f>VLOOKUP(D293,Berechnungen!$A$3:$J$32,O293+6,FALSE)*P293</f>
        <v>16.470713450292394</v>
      </c>
      <c r="R293" s="312">
        <f t="shared" ref="R293:R307" si="29">R$292</f>
        <v>0.25</v>
      </c>
      <c r="S293" s="14">
        <f t="shared" si="24"/>
        <v>12</v>
      </c>
      <c r="T293" s="16">
        <f t="shared" si="25"/>
        <v>21</v>
      </c>
      <c r="U293" s="14">
        <f t="shared" si="26"/>
        <v>36</v>
      </c>
      <c r="V293" s="14">
        <f t="shared" si="27"/>
        <v>63</v>
      </c>
      <c r="AC293" s="227"/>
      <c r="AD293" s="227"/>
      <c r="AE293" s="227"/>
      <c r="AF293" s="228"/>
    </row>
    <row r="294" spans="1:32" outlineLevel="1" x14ac:dyDescent="0.2">
      <c r="A294" s="5">
        <v>1172</v>
      </c>
      <c r="B294" s="1" t="s">
        <v>413</v>
      </c>
      <c r="C294" s="3" t="s">
        <v>411</v>
      </c>
      <c r="D294" s="6">
        <v>4</v>
      </c>
      <c r="E294" s="7" t="s">
        <v>265</v>
      </c>
      <c r="G294" s="1">
        <v>5</v>
      </c>
      <c r="H294" s="6">
        <v>1</v>
      </c>
      <c r="I294" s="6">
        <v>2</v>
      </c>
      <c r="J294" s="1">
        <v>100</v>
      </c>
      <c r="K294" s="9">
        <v>4900</v>
      </c>
      <c r="M294" s="10">
        <v>1</v>
      </c>
      <c r="N294" s="59">
        <f>VLOOKUP(A294,Baupläne!$B$2:$X$1019,23,FALSE)</f>
        <v>3000</v>
      </c>
      <c r="O294" s="310">
        <f t="shared" si="28"/>
        <v>3</v>
      </c>
      <c r="P294" s="311">
        <f t="shared" si="28"/>
        <v>1.4</v>
      </c>
      <c r="Q294" s="291">
        <f>VLOOKUP(D294,Berechnungen!$A$3:$J$32,O294+6,FALSE)*P294</f>
        <v>24.686783625730989</v>
      </c>
      <c r="R294" s="312">
        <f t="shared" si="29"/>
        <v>0.25</v>
      </c>
      <c r="S294" s="14">
        <f t="shared" si="24"/>
        <v>19</v>
      </c>
      <c r="T294" s="16">
        <f t="shared" si="25"/>
        <v>31</v>
      </c>
      <c r="U294" s="14">
        <f t="shared" si="26"/>
        <v>57</v>
      </c>
      <c r="V294" s="14">
        <f t="shared" si="27"/>
        <v>93</v>
      </c>
      <c r="AC294" s="227"/>
      <c r="AD294" s="227"/>
      <c r="AE294" s="227"/>
      <c r="AF294" s="228"/>
    </row>
    <row r="295" spans="1:32" outlineLevel="1" x14ac:dyDescent="0.2">
      <c r="A295" s="5">
        <v>1173</v>
      </c>
      <c r="B295" s="1" t="s">
        <v>414</v>
      </c>
      <c r="C295" s="3" t="s">
        <v>411</v>
      </c>
      <c r="D295" s="6">
        <v>6</v>
      </c>
      <c r="E295" s="7" t="s">
        <v>265</v>
      </c>
      <c r="G295" s="1">
        <v>5</v>
      </c>
      <c r="H295" s="6">
        <v>1</v>
      </c>
      <c r="I295" s="6">
        <v>2</v>
      </c>
      <c r="J295" s="1">
        <v>100</v>
      </c>
      <c r="K295" s="9">
        <v>4200</v>
      </c>
      <c r="M295" s="10">
        <v>2</v>
      </c>
      <c r="N295" s="59">
        <f>VLOOKUP(A295,Baupläne!$B$2:$X$1019,23,FALSE)</f>
        <v>4000</v>
      </c>
      <c r="O295" s="310">
        <f t="shared" si="28"/>
        <v>3</v>
      </c>
      <c r="P295" s="311">
        <f t="shared" si="28"/>
        <v>1.4</v>
      </c>
      <c r="Q295" s="291">
        <f>VLOOKUP(D295,Berechnungen!$A$3:$J$32,O295+6,FALSE)*P295</f>
        <v>30.549894736842099</v>
      </c>
      <c r="R295" s="312">
        <f t="shared" si="29"/>
        <v>0.25</v>
      </c>
      <c r="S295" s="14">
        <f t="shared" si="24"/>
        <v>23</v>
      </c>
      <c r="T295" s="16">
        <f t="shared" si="25"/>
        <v>38</v>
      </c>
      <c r="U295" s="14">
        <f t="shared" si="26"/>
        <v>69</v>
      </c>
      <c r="V295" s="14">
        <f t="shared" si="27"/>
        <v>114</v>
      </c>
      <c r="AC295" s="227"/>
      <c r="AD295" s="227"/>
      <c r="AE295" s="227"/>
      <c r="AF295" s="228"/>
    </row>
    <row r="296" spans="1:32" outlineLevel="1" x14ac:dyDescent="0.2">
      <c r="A296" s="5">
        <v>1174</v>
      </c>
      <c r="B296" s="1" t="s">
        <v>415</v>
      </c>
      <c r="C296" s="3" t="s">
        <v>411</v>
      </c>
      <c r="D296" s="6">
        <v>9</v>
      </c>
      <c r="E296" s="7" t="s">
        <v>265</v>
      </c>
      <c r="G296" s="1">
        <v>5</v>
      </c>
      <c r="H296" s="6">
        <v>1</v>
      </c>
      <c r="I296" s="6">
        <v>2</v>
      </c>
      <c r="J296" s="1">
        <v>100</v>
      </c>
      <c r="K296" s="9">
        <v>4600</v>
      </c>
      <c r="M296" s="10">
        <v>2</v>
      </c>
      <c r="N296" s="59">
        <f>VLOOKUP(A296,Baupläne!$B$2:$X$1019,23,FALSE)</f>
        <v>6100</v>
      </c>
      <c r="O296" s="310">
        <f t="shared" si="28"/>
        <v>3</v>
      </c>
      <c r="P296" s="311">
        <f t="shared" si="28"/>
        <v>1.4</v>
      </c>
      <c r="Q296" s="291">
        <f>VLOOKUP(D296,Berechnungen!$A$3:$J$32,O296+6,FALSE)*P296</f>
        <v>39.923157894736839</v>
      </c>
      <c r="R296" s="312">
        <f t="shared" si="29"/>
        <v>0.25</v>
      </c>
      <c r="S296" s="14">
        <f t="shared" si="24"/>
        <v>30</v>
      </c>
      <c r="T296" s="16">
        <f t="shared" si="25"/>
        <v>50</v>
      </c>
      <c r="U296" s="14">
        <f t="shared" si="26"/>
        <v>90</v>
      </c>
      <c r="V296" s="14">
        <f t="shared" si="27"/>
        <v>150</v>
      </c>
      <c r="AC296" s="227"/>
      <c r="AD296" s="227"/>
      <c r="AE296" s="227"/>
      <c r="AF296" s="228"/>
    </row>
    <row r="297" spans="1:32" outlineLevel="1" x14ac:dyDescent="0.2">
      <c r="A297" s="5">
        <v>1175</v>
      </c>
      <c r="B297" s="1" t="s">
        <v>416</v>
      </c>
      <c r="C297" s="3" t="s">
        <v>411</v>
      </c>
      <c r="D297" s="6">
        <v>11</v>
      </c>
      <c r="E297" s="7" t="s">
        <v>265</v>
      </c>
      <c r="G297" s="1">
        <v>5</v>
      </c>
      <c r="H297" s="6">
        <v>1</v>
      </c>
      <c r="I297" s="6">
        <v>2</v>
      </c>
      <c r="J297" s="1">
        <v>100</v>
      </c>
      <c r="K297" s="9">
        <v>4400</v>
      </c>
      <c r="M297" s="10">
        <v>3</v>
      </c>
      <c r="N297" s="59">
        <f>VLOOKUP(A297,Baupläne!$B$2:$X$1019,23,FALSE)</f>
        <v>8100</v>
      </c>
      <c r="O297" s="310">
        <f t="shared" si="28"/>
        <v>3</v>
      </c>
      <c r="P297" s="311">
        <f t="shared" si="28"/>
        <v>1.4</v>
      </c>
      <c r="Q297" s="291">
        <f>VLOOKUP(D297,Berechnungen!$A$3:$J$32,O297+6,FALSE)*P297</f>
        <v>46.557730994152038</v>
      </c>
      <c r="R297" s="312">
        <f t="shared" si="29"/>
        <v>0.25</v>
      </c>
      <c r="S297" s="14">
        <f t="shared" si="24"/>
        <v>35</v>
      </c>
      <c r="T297" s="16">
        <f t="shared" si="25"/>
        <v>58</v>
      </c>
      <c r="U297" s="14">
        <f t="shared" si="26"/>
        <v>105</v>
      </c>
      <c r="V297" s="14">
        <f t="shared" si="27"/>
        <v>174</v>
      </c>
      <c r="AC297" s="227"/>
      <c r="AD297" s="227"/>
      <c r="AE297" s="227"/>
      <c r="AF297" s="228"/>
    </row>
    <row r="298" spans="1:32" outlineLevel="1" x14ac:dyDescent="0.2">
      <c r="A298" s="5">
        <v>1176</v>
      </c>
      <c r="B298" s="1" t="s">
        <v>417</v>
      </c>
      <c r="C298" s="3" t="s">
        <v>411</v>
      </c>
      <c r="D298" s="6">
        <v>14</v>
      </c>
      <c r="E298" s="7" t="s">
        <v>265</v>
      </c>
      <c r="G298" s="1">
        <v>5</v>
      </c>
      <c r="H298" s="6">
        <v>1</v>
      </c>
      <c r="I298" s="6">
        <v>2</v>
      </c>
      <c r="J298" s="1">
        <v>100</v>
      </c>
      <c r="K298" s="9">
        <v>4800</v>
      </c>
      <c r="M298" s="10">
        <v>3</v>
      </c>
      <c r="N298" s="59">
        <f>VLOOKUP(A298,Baupläne!$B$2:$X$1019,23,FALSE)</f>
        <v>12300</v>
      </c>
      <c r="O298" s="310">
        <f t="shared" si="28"/>
        <v>3</v>
      </c>
      <c r="P298" s="311">
        <f t="shared" si="28"/>
        <v>1.4</v>
      </c>
      <c r="Q298" s="291">
        <f>VLOOKUP(D298,Berechnungen!$A$3:$J$32,O298+6,FALSE)*P298</f>
        <v>57.08818713450291</v>
      </c>
      <c r="R298" s="312">
        <f t="shared" si="29"/>
        <v>0.25</v>
      </c>
      <c r="S298" s="14">
        <f t="shared" si="24"/>
        <v>43</v>
      </c>
      <c r="T298" s="16">
        <f t="shared" si="25"/>
        <v>71</v>
      </c>
      <c r="U298" s="14">
        <f t="shared" si="26"/>
        <v>129</v>
      </c>
      <c r="V298" s="14">
        <f t="shared" si="27"/>
        <v>213</v>
      </c>
      <c r="AC298" s="227"/>
      <c r="AD298" s="227"/>
      <c r="AE298" s="227"/>
      <c r="AF298" s="228"/>
    </row>
    <row r="299" spans="1:32" outlineLevel="1" x14ac:dyDescent="0.2">
      <c r="A299" s="5">
        <v>1177</v>
      </c>
      <c r="B299" s="1" t="s">
        <v>418</v>
      </c>
      <c r="C299" s="3" t="s">
        <v>411</v>
      </c>
      <c r="D299" s="6">
        <v>16</v>
      </c>
      <c r="E299" s="7" t="s">
        <v>265</v>
      </c>
      <c r="G299" s="1">
        <v>5</v>
      </c>
      <c r="H299" s="6">
        <v>1</v>
      </c>
      <c r="I299" s="6">
        <v>2</v>
      </c>
      <c r="J299" s="1">
        <v>100</v>
      </c>
      <c r="K299" s="9">
        <v>4300</v>
      </c>
      <c r="M299" s="10">
        <v>4</v>
      </c>
      <c r="N299" s="59">
        <f>VLOOKUP(A299,Baupläne!$B$2:$X$1019,23,FALSE)</f>
        <v>16300</v>
      </c>
      <c r="O299" s="310">
        <f t="shared" si="28"/>
        <v>3</v>
      </c>
      <c r="P299" s="311">
        <f t="shared" si="28"/>
        <v>1.4</v>
      </c>
      <c r="Q299" s="291">
        <f>VLOOKUP(D299,Berechnungen!$A$3:$J$32,O299+6,FALSE)*P299</f>
        <v>64.49422222222222</v>
      </c>
      <c r="R299" s="312">
        <f t="shared" si="29"/>
        <v>0.25</v>
      </c>
      <c r="S299" s="14">
        <f t="shared" si="24"/>
        <v>48</v>
      </c>
      <c r="T299" s="16">
        <f t="shared" si="25"/>
        <v>81</v>
      </c>
      <c r="U299" s="14">
        <f t="shared" si="26"/>
        <v>144</v>
      </c>
      <c r="V299" s="14">
        <f t="shared" si="27"/>
        <v>243</v>
      </c>
      <c r="AC299" s="227"/>
      <c r="AD299" s="227"/>
      <c r="AE299" s="227"/>
      <c r="AF299" s="228"/>
    </row>
    <row r="300" spans="1:32" outlineLevel="1" x14ac:dyDescent="0.2">
      <c r="A300" s="5">
        <v>1178</v>
      </c>
      <c r="B300" s="1" t="s">
        <v>419</v>
      </c>
      <c r="C300" s="3" t="s">
        <v>411</v>
      </c>
      <c r="D300" s="6">
        <v>19</v>
      </c>
      <c r="E300" s="7" t="s">
        <v>265</v>
      </c>
      <c r="G300" s="1">
        <v>5</v>
      </c>
      <c r="H300" s="6">
        <v>1</v>
      </c>
      <c r="I300" s="6">
        <v>2</v>
      </c>
      <c r="J300" s="1">
        <v>100</v>
      </c>
      <c r="K300" s="9">
        <v>5200</v>
      </c>
      <c r="M300" s="10">
        <v>4</v>
      </c>
      <c r="N300" s="59">
        <f>VLOOKUP(A300,Baupläne!$B$2:$X$1019,23,FALSE)</f>
        <v>24800</v>
      </c>
      <c r="O300" s="310">
        <f t="shared" si="28"/>
        <v>3</v>
      </c>
      <c r="P300" s="311">
        <f t="shared" si="28"/>
        <v>1.4</v>
      </c>
      <c r="Q300" s="291">
        <f>VLOOKUP(D300,Berechnungen!$A$3:$J$32,O300+6,FALSE)*P300</f>
        <v>76.181871345029236</v>
      </c>
      <c r="R300" s="312">
        <f t="shared" si="29"/>
        <v>0.25</v>
      </c>
      <c r="S300" s="14">
        <f t="shared" si="24"/>
        <v>57</v>
      </c>
      <c r="T300" s="16">
        <f t="shared" si="25"/>
        <v>95</v>
      </c>
      <c r="U300" s="14">
        <f t="shared" si="26"/>
        <v>171</v>
      </c>
      <c r="V300" s="14">
        <f t="shared" si="27"/>
        <v>285</v>
      </c>
      <c r="AC300" s="227"/>
      <c r="AD300" s="227"/>
      <c r="AE300" s="227"/>
      <c r="AF300" s="228"/>
    </row>
    <row r="301" spans="1:32" outlineLevel="1" x14ac:dyDescent="0.2">
      <c r="A301" s="5">
        <v>1179</v>
      </c>
      <c r="B301" s="3" t="s">
        <v>420</v>
      </c>
      <c r="C301" s="3" t="s">
        <v>411</v>
      </c>
      <c r="D301" s="6">
        <v>22</v>
      </c>
      <c r="E301" s="7" t="s">
        <v>265</v>
      </c>
      <c r="G301" s="1">
        <v>5</v>
      </c>
      <c r="H301" s="6">
        <v>1</v>
      </c>
      <c r="I301" s="6">
        <v>2</v>
      </c>
      <c r="J301" s="1">
        <v>100</v>
      </c>
      <c r="K301" s="9">
        <v>5100</v>
      </c>
      <c r="M301" s="10">
        <v>5</v>
      </c>
      <c r="N301" s="59">
        <f>VLOOKUP(A301,Baupläne!$B$2:$X$1019,23,FALSE)</f>
        <v>37600</v>
      </c>
      <c r="O301" s="310">
        <f t="shared" si="28"/>
        <v>3</v>
      </c>
      <c r="P301" s="311">
        <f t="shared" si="28"/>
        <v>1.4</v>
      </c>
      <c r="Q301" s="291">
        <f>VLOOKUP(D301,Berechnungen!$A$3:$J$32,O301+6,FALSE)*P301</f>
        <v>88.56383625730993</v>
      </c>
      <c r="R301" s="312">
        <f t="shared" si="29"/>
        <v>0.25</v>
      </c>
      <c r="S301" s="14">
        <f t="shared" si="24"/>
        <v>66</v>
      </c>
      <c r="T301" s="16">
        <f t="shared" si="25"/>
        <v>111</v>
      </c>
      <c r="U301" s="14">
        <f t="shared" si="26"/>
        <v>198</v>
      </c>
      <c r="V301" s="14">
        <f t="shared" si="27"/>
        <v>333</v>
      </c>
      <c r="AC301" s="227"/>
      <c r="AD301" s="227"/>
      <c r="AE301" s="227"/>
      <c r="AF301" s="228"/>
    </row>
    <row r="302" spans="1:32" outlineLevel="1" x14ac:dyDescent="0.2">
      <c r="A302" s="5">
        <v>1180</v>
      </c>
      <c r="B302" s="1" t="s">
        <v>421</v>
      </c>
      <c r="C302" s="3" t="s">
        <v>411</v>
      </c>
      <c r="D302" s="6">
        <v>25</v>
      </c>
      <c r="E302" s="7" t="s">
        <v>265</v>
      </c>
      <c r="G302" s="1">
        <v>5</v>
      </c>
      <c r="H302" s="6">
        <v>1</v>
      </c>
      <c r="I302" s="6">
        <v>2</v>
      </c>
      <c r="J302" s="1">
        <v>100</v>
      </c>
      <c r="K302" s="9">
        <v>4600</v>
      </c>
      <c r="M302" s="10">
        <v>5</v>
      </c>
      <c r="N302" s="59">
        <f>VLOOKUP(A302,Baupläne!$B$2:$X$1019,23,FALSE)</f>
        <v>57300</v>
      </c>
      <c r="O302" s="310">
        <f t="shared" si="28"/>
        <v>3</v>
      </c>
      <c r="P302" s="311">
        <f t="shared" si="28"/>
        <v>1.4</v>
      </c>
      <c r="Q302" s="291">
        <f>VLOOKUP(D302,Berechnungen!$A$3:$J$32,O302+6,FALSE)*P302</f>
        <v>101.64011695906433</v>
      </c>
      <c r="R302" s="312">
        <f t="shared" si="29"/>
        <v>0.25</v>
      </c>
      <c r="S302" s="14">
        <f t="shared" si="24"/>
        <v>76</v>
      </c>
      <c r="T302" s="16">
        <f t="shared" si="25"/>
        <v>127</v>
      </c>
      <c r="U302" s="14">
        <f t="shared" si="26"/>
        <v>228</v>
      </c>
      <c r="V302" s="14">
        <f t="shared" si="27"/>
        <v>381</v>
      </c>
      <c r="AC302" s="227"/>
      <c r="AD302" s="227"/>
      <c r="AE302" s="227"/>
      <c r="AF302" s="228"/>
    </row>
    <row r="303" spans="1:32" s="294" customFormat="1" outlineLevel="1" x14ac:dyDescent="0.2">
      <c r="A303" s="293">
        <v>2171</v>
      </c>
      <c r="B303" s="294" t="s">
        <v>422</v>
      </c>
      <c r="C303" s="177" t="s">
        <v>411</v>
      </c>
      <c r="D303" s="295">
        <v>4</v>
      </c>
      <c r="E303" s="296" t="s">
        <v>265</v>
      </c>
      <c r="F303" s="8"/>
      <c r="G303" s="294">
        <v>5</v>
      </c>
      <c r="H303" s="295">
        <v>2</v>
      </c>
      <c r="I303" s="295">
        <v>2</v>
      </c>
      <c r="J303" s="294">
        <v>100</v>
      </c>
      <c r="K303" s="297">
        <v>4600</v>
      </c>
      <c r="L303" s="295"/>
      <c r="M303" s="298"/>
      <c r="N303" s="299">
        <f>VLOOKUP(A303,Baupläne!$B$2:$X$1019,23,FALSE)</f>
        <v>5500</v>
      </c>
      <c r="O303" s="313">
        <f t="shared" si="28"/>
        <v>3</v>
      </c>
      <c r="P303" s="314">
        <f t="shared" si="28"/>
        <v>1.4</v>
      </c>
      <c r="Q303" s="182">
        <f>VLOOKUP(D303+3,Berechnungen!$A$3:$J$32,O303+6,FALSE)*P303</f>
        <v>33.597169590643276</v>
      </c>
      <c r="R303" s="315">
        <f t="shared" si="29"/>
        <v>0.25</v>
      </c>
      <c r="S303" s="301">
        <f>ROUND(Q303-Q303*R303,0)</f>
        <v>25</v>
      </c>
      <c r="T303" s="302">
        <f>ROUND(Q303+Q303*R303,0)</f>
        <v>42</v>
      </c>
      <c r="U303" s="301">
        <f>O303*S303</f>
        <v>75</v>
      </c>
      <c r="V303" s="301">
        <f>O303*T303</f>
        <v>126</v>
      </c>
      <c r="W303" s="303"/>
      <c r="X303" s="304"/>
      <c r="Y303" s="305"/>
      <c r="AA303" s="306"/>
      <c r="AB303" s="306"/>
      <c r="AC303" s="307"/>
      <c r="AD303" s="307"/>
      <c r="AE303" s="307"/>
      <c r="AF303" s="308"/>
    </row>
    <row r="304" spans="1:32" s="294" customFormat="1" outlineLevel="1" x14ac:dyDescent="0.2">
      <c r="A304" s="293">
        <v>2172</v>
      </c>
      <c r="B304" s="294" t="s">
        <v>423</v>
      </c>
      <c r="C304" s="177" t="s">
        <v>411</v>
      </c>
      <c r="D304" s="295">
        <v>9</v>
      </c>
      <c r="E304" s="296" t="s">
        <v>265</v>
      </c>
      <c r="F304" s="8"/>
      <c r="G304" s="294">
        <v>5</v>
      </c>
      <c r="H304" s="295">
        <v>2</v>
      </c>
      <c r="I304" s="295">
        <v>2</v>
      </c>
      <c r="J304" s="294">
        <v>100</v>
      </c>
      <c r="K304" s="297">
        <v>4900</v>
      </c>
      <c r="L304" s="295"/>
      <c r="M304" s="298"/>
      <c r="N304" s="299">
        <f>VLOOKUP(A304,Baupläne!$B$2:$X$1019,23,FALSE)</f>
        <v>11100</v>
      </c>
      <c r="O304" s="313">
        <f t="shared" si="28"/>
        <v>3</v>
      </c>
      <c r="P304" s="314">
        <f t="shared" si="28"/>
        <v>1.4</v>
      </c>
      <c r="Q304" s="182">
        <f>VLOOKUP(D304+3,Berechnungen!$A$3:$J$32,O304+6,FALSE)*P304</f>
        <v>49.990736842105257</v>
      </c>
      <c r="R304" s="315">
        <f t="shared" si="29"/>
        <v>0.25</v>
      </c>
      <c r="S304" s="301">
        <f>ROUND(Q304-Q304*R304,0)</f>
        <v>37</v>
      </c>
      <c r="T304" s="302">
        <f>ROUND(Q304+Q304*R304,0)</f>
        <v>62</v>
      </c>
      <c r="U304" s="301">
        <f>O304*S304</f>
        <v>111</v>
      </c>
      <c r="V304" s="301">
        <f>O304*T304</f>
        <v>186</v>
      </c>
      <c r="W304" s="303"/>
      <c r="X304" s="304"/>
      <c r="Y304" s="305"/>
      <c r="AA304" s="306"/>
      <c r="AB304" s="306"/>
      <c r="AC304" s="307"/>
      <c r="AD304" s="307"/>
      <c r="AE304" s="307"/>
      <c r="AF304" s="308"/>
    </row>
    <row r="305" spans="1:32" s="294" customFormat="1" outlineLevel="1" x14ac:dyDescent="0.2">
      <c r="A305" s="293">
        <v>2173</v>
      </c>
      <c r="B305" s="294" t="s">
        <v>424</v>
      </c>
      <c r="C305" s="177" t="s">
        <v>411</v>
      </c>
      <c r="D305" s="295">
        <v>14</v>
      </c>
      <c r="E305" s="296" t="s">
        <v>265</v>
      </c>
      <c r="F305" s="8"/>
      <c r="G305" s="294">
        <v>5</v>
      </c>
      <c r="H305" s="295">
        <v>2</v>
      </c>
      <c r="I305" s="295">
        <v>2</v>
      </c>
      <c r="J305" s="294">
        <v>100</v>
      </c>
      <c r="K305" s="297">
        <v>4200</v>
      </c>
      <c r="L305" s="295"/>
      <c r="M305" s="298"/>
      <c r="N305" s="299">
        <f>VLOOKUP(A305,Baupläne!$B$2:$X$1019,23,FALSE)</f>
        <v>22300</v>
      </c>
      <c r="O305" s="313">
        <f t="shared" si="28"/>
        <v>3</v>
      </c>
      <c r="P305" s="314">
        <f t="shared" si="28"/>
        <v>1.4</v>
      </c>
      <c r="Q305" s="182">
        <f>VLOOKUP(D305+3,Berechnungen!$A$3:$J$32,O305+6,FALSE)*P305</f>
        <v>68.312959064327472</v>
      </c>
      <c r="R305" s="315">
        <f t="shared" si="29"/>
        <v>0.25</v>
      </c>
      <c r="S305" s="301">
        <f>ROUND(Q305-Q305*R305,0)</f>
        <v>51</v>
      </c>
      <c r="T305" s="302">
        <f>ROUND(Q305+Q305*R305,0)</f>
        <v>85</v>
      </c>
      <c r="U305" s="301">
        <f>O305*S305</f>
        <v>153</v>
      </c>
      <c r="V305" s="301">
        <f>O305*T305</f>
        <v>255</v>
      </c>
      <c r="W305" s="303"/>
      <c r="X305" s="304"/>
      <c r="Y305" s="305"/>
      <c r="AA305" s="306"/>
      <c r="AB305" s="306"/>
      <c r="AC305" s="307"/>
      <c r="AD305" s="307"/>
      <c r="AE305" s="307"/>
      <c r="AF305" s="308"/>
    </row>
    <row r="306" spans="1:32" s="294" customFormat="1" outlineLevel="1" x14ac:dyDescent="0.2">
      <c r="A306" s="293">
        <v>2174</v>
      </c>
      <c r="B306" s="294" t="s">
        <v>425</v>
      </c>
      <c r="C306" s="177" t="s">
        <v>411</v>
      </c>
      <c r="D306" s="295">
        <v>19</v>
      </c>
      <c r="E306" s="296" t="s">
        <v>265</v>
      </c>
      <c r="F306" s="8"/>
      <c r="G306" s="294">
        <v>5</v>
      </c>
      <c r="H306" s="295">
        <v>2</v>
      </c>
      <c r="I306" s="295">
        <v>2</v>
      </c>
      <c r="J306" s="294">
        <v>100</v>
      </c>
      <c r="K306" s="297">
        <v>4600</v>
      </c>
      <c r="L306" s="295"/>
      <c r="M306" s="298"/>
      <c r="N306" s="299">
        <f>VLOOKUP(A306,Baupläne!$B$2:$X$1019,23,FALSE)</f>
        <v>42300</v>
      </c>
      <c r="O306" s="313">
        <f t="shared" si="28"/>
        <v>3</v>
      </c>
      <c r="P306" s="314">
        <f t="shared" si="28"/>
        <v>1.4</v>
      </c>
      <c r="Q306" s="182">
        <f>VLOOKUP(D306+3,Berechnungen!$A$3:$J$32,O306+6,FALSE)*P306</f>
        <v>88.56383625730993</v>
      </c>
      <c r="R306" s="315">
        <f t="shared" si="29"/>
        <v>0.25</v>
      </c>
      <c r="S306" s="301">
        <f>ROUND(Q306-Q306*R306,0)</f>
        <v>66</v>
      </c>
      <c r="T306" s="302">
        <f>ROUND(Q306+Q306*R306,0)</f>
        <v>111</v>
      </c>
      <c r="U306" s="301">
        <f>O306*S306</f>
        <v>198</v>
      </c>
      <c r="V306" s="301">
        <f>O306*T306</f>
        <v>333</v>
      </c>
      <c r="W306" s="303"/>
      <c r="X306" s="304"/>
      <c r="Y306" s="305"/>
      <c r="AA306" s="306"/>
      <c r="AB306" s="306"/>
      <c r="AC306" s="307"/>
      <c r="AD306" s="307"/>
      <c r="AE306" s="307"/>
      <c r="AF306" s="308"/>
    </row>
    <row r="307" spans="1:32" s="294" customFormat="1" outlineLevel="1" x14ac:dyDescent="0.2">
      <c r="A307" s="293">
        <v>2175</v>
      </c>
      <c r="B307" s="294" t="s">
        <v>426</v>
      </c>
      <c r="C307" s="177" t="s">
        <v>411</v>
      </c>
      <c r="D307" s="295">
        <v>25</v>
      </c>
      <c r="E307" s="296" t="s">
        <v>265</v>
      </c>
      <c r="F307" s="8"/>
      <c r="G307" s="294">
        <v>5</v>
      </c>
      <c r="H307" s="295">
        <v>2</v>
      </c>
      <c r="I307" s="295">
        <v>2</v>
      </c>
      <c r="J307" s="294">
        <v>100</v>
      </c>
      <c r="K307" s="297">
        <v>4400</v>
      </c>
      <c r="L307" s="295"/>
      <c r="M307" s="298"/>
      <c r="N307" s="299">
        <f>VLOOKUP(A307,Baupläne!$B$2:$X$1019,23,FALSE)</f>
        <v>82300</v>
      </c>
      <c r="O307" s="313">
        <f t="shared" si="28"/>
        <v>3</v>
      </c>
      <c r="P307" s="314">
        <f t="shared" si="28"/>
        <v>1.4</v>
      </c>
      <c r="Q307" s="182">
        <f>VLOOKUP(D307+3,Berechnungen!$A$3:$J$32,O307+6,FALSE)*P307</f>
        <v>115.41071345029239</v>
      </c>
      <c r="R307" s="315">
        <f t="shared" si="29"/>
        <v>0.25</v>
      </c>
      <c r="S307" s="301">
        <f>ROUND(Q307-Q307*R307,0)</f>
        <v>87</v>
      </c>
      <c r="T307" s="302">
        <f>ROUND(Q307+Q307*R307,0)</f>
        <v>144</v>
      </c>
      <c r="U307" s="301">
        <f>O307*S307</f>
        <v>261</v>
      </c>
      <c r="V307" s="301">
        <f>O307*T307</f>
        <v>432</v>
      </c>
      <c r="W307" s="303"/>
      <c r="X307" s="304"/>
      <c r="Y307" s="305"/>
      <c r="AA307" s="306"/>
      <c r="AB307" s="306"/>
      <c r="AC307" s="307"/>
      <c r="AD307" s="307"/>
      <c r="AE307" s="307"/>
      <c r="AF307" s="308"/>
    </row>
    <row r="308" spans="1:32" x14ac:dyDescent="0.2">
      <c r="A308" s="271"/>
      <c r="B308" s="272" t="s">
        <v>427</v>
      </c>
      <c r="C308" s="272"/>
      <c r="D308" s="273"/>
      <c r="E308" s="274"/>
      <c r="F308" s="275"/>
      <c r="G308" s="272"/>
      <c r="H308" s="273"/>
      <c r="I308" s="273"/>
      <c r="J308" s="272"/>
      <c r="K308" s="276"/>
      <c r="L308" s="273"/>
      <c r="M308" s="277"/>
      <c r="N308" s="278"/>
      <c r="O308" s="279">
        <v>4</v>
      </c>
      <c r="P308" s="280">
        <v>1.25</v>
      </c>
      <c r="Q308" s="281"/>
      <c r="R308" s="280">
        <f>VLOOKUP(B308,Berechnungen!$A$70:$E$83,5,FALSE)</f>
        <v>0.2</v>
      </c>
      <c r="S308" s="281"/>
      <c r="T308" s="282"/>
      <c r="U308" s="281"/>
      <c r="V308" s="281"/>
      <c r="W308" s="283"/>
      <c r="X308" s="284"/>
      <c r="Y308" s="285"/>
      <c r="Z308" s="286"/>
      <c r="AA308" s="287"/>
      <c r="AB308" s="287"/>
      <c r="AC308" s="288"/>
      <c r="AD308" s="288"/>
      <c r="AE308" s="288"/>
      <c r="AF308" s="289"/>
    </row>
    <row r="309" spans="1:32" outlineLevel="1" x14ac:dyDescent="0.2">
      <c r="A309" s="5">
        <v>1181</v>
      </c>
      <c r="B309" s="1" t="s">
        <v>428</v>
      </c>
      <c r="C309" s="1" t="s">
        <v>427</v>
      </c>
      <c r="D309" s="6">
        <v>1</v>
      </c>
      <c r="E309" s="7" t="s">
        <v>267</v>
      </c>
      <c r="G309" s="1">
        <v>6</v>
      </c>
      <c r="H309" s="6">
        <v>1</v>
      </c>
      <c r="I309" s="6">
        <v>4</v>
      </c>
      <c r="J309" s="1">
        <v>100</v>
      </c>
      <c r="K309" s="9">
        <v>1800</v>
      </c>
      <c r="M309" s="10">
        <v>1</v>
      </c>
      <c r="N309" s="59">
        <f>VLOOKUP(A309,Baupläne!$B$2:$X$1019,23,FALSE)</f>
        <v>2000</v>
      </c>
      <c r="O309" s="310">
        <f t="shared" ref="O309:P323" si="30">O$308</f>
        <v>4</v>
      </c>
      <c r="P309" s="311">
        <f t="shared" si="30"/>
        <v>1.25</v>
      </c>
      <c r="Q309" s="291">
        <f>VLOOKUP(D309,Berechnungen!$A$3:$J$32,O309+6,FALSE)*P309</f>
        <v>12.228736192332681</v>
      </c>
      <c r="R309" s="312">
        <f t="shared" ref="R309:R323" si="31">R$308</f>
        <v>0.2</v>
      </c>
      <c r="S309" s="14">
        <f t="shared" si="24"/>
        <v>10</v>
      </c>
      <c r="T309" s="16">
        <f t="shared" si="25"/>
        <v>15</v>
      </c>
      <c r="U309" s="14">
        <f t="shared" si="26"/>
        <v>40</v>
      </c>
      <c r="V309" s="14">
        <f t="shared" si="27"/>
        <v>60</v>
      </c>
      <c r="AB309" s="15">
        <v>41</v>
      </c>
      <c r="AC309" s="227"/>
      <c r="AD309" s="227"/>
      <c r="AE309" s="227"/>
      <c r="AF309" s="228"/>
    </row>
    <row r="310" spans="1:32" outlineLevel="1" x14ac:dyDescent="0.2">
      <c r="A310" s="5">
        <v>1182</v>
      </c>
      <c r="B310" s="1" t="s">
        <v>429</v>
      </c>
      <c r="C310" s="1" t="s">
        <v>427</v>
      </c>
      <c r="D310" s="6">
        <v>4</v>
      </c>
      <c r="E310" s="7" t="s">
        <v>267</v>
      </c>
      <c r="G310" s="1">
        <v>6</v>
      </c>
      <c r="H310" s="6">
        <v>1</v>
      </c>
      <c r="I310" s="6">
        <v>4</v>
      </c>
      <c r="J310" s="1">
        <v>100</v>
      </c>
      <c r="K310" s="9">
        <v>1900</v>
      </c>
      <c r="M310" s="10">
        <v>1</v>
      </c>
      <c r="N310" s="59">
        <f>VLOOKUP(A310,Baupläne!$B$2:$X$1019,23,FALSE)</f>
        <v>3000</v>
      </c>
      <c r="O310" s="310">
        <f t="shared" si="30"/>
        <v>4</v>
      </c>
      <c r="P310" s="311">
        <f t="shared" si="30"/>
        <v>1.25</v>
      </c>
      <c r="Q310" s="291">
        <f>VLOOKUP(D310,Berechnungen!$A$3:$J$32,O310+6,FALSE)*P310</f>
        <v>18.328784925276153</v>
      </c>
      <c r="R310" s="312">
        <f t="shared" si="31"/>
        <v>0.2</v>
      </c>
      <c r="S310" s="14">
        <f t="shared" si="24"/>
        <v>15</v>
      </c>
      <c r="T310" s="16">
        <f t="shared" si="25"/>
        <v>22</v>
      </c>
      <c r="U310" s="14">
        <f t="shared" si="26"/>
        <v>60</v>
      </c>
      <c r="V310" s="14">
        <f t="shared" si="27"/>
        <v>88</v>
      </c>
      <c r="AB310" s="15">
        <v>41</v>
      </c>
      <c r="AC310" s="227"/>
      <c r="AD310" s="227"/>
      <c r="AE310" s="227"/>
      <c r="AF310" s="228"/>
    </row>
    <row r="311" spans="1:32" outlineLevel="1" x14ac:dyDescent="0.2">
      <c r="A311" s="5">
        <v>1183</v>
      </c>
      <c r="B311" s="1" t="s">
        <v>430</v>
      </c>
      <c r="C311" s="1" t="s">
        <v>427</v>
      </c>
      <c r="D311" s="6">
        <v>6</v>
      </c>
      <c r="E311" s="7" t="s">
        <v>267</v>
      </c>
      <c r="G311" s="1">
        <v>6</v>
      </c>
      <c r="H311" s="6">
        <v>1</v>
      </c>
      <c r="I311" s="6">
        <v>4</v>
      </c>
      <c r="J311" s="1">
        <v>100</v>
      </c>
      <c r="K311" s="9">
        <v>2400</v>
      </c>
      <c r="M311" s="10">
        <v>2</v>
      </c>
      <c r="N311" s="59">
        <f>VLOOKUP(A311,Baupläne!$B$2:$X$1019,23,FALSE)</f>
        <v>4000</v>
      </c>
      <c r="O311" s="310">
        <f t="shared" si="30"/>
        <v>4</v>
      </c>
      <c r="P311" s="311">
        <f t="shared" si="30"/>
        <v>1.25</v>
      </c>
      <c r="Q311" s="291">
        <f>VLOOKUP(D311,Berechnungen!$A$3:$J$32,O311+6,FALSE)*P311</f>
        <v>22.681871345029236</v>
      </c>
      <c r="R311" s="312">
        <f t="shared" si="31"/>
        <v>0.2</v>
      </c>
      <c r="S311" s="14">
        <f t="shared" si="24"/>
        <v>18</v>
      </c>
      <c r="T311" s="16">
        <f t="shared" si="25"/>
        <v>27</v>
      </c>
      <c r="U311" s="14">
        <f t="shared" si="26"/>
        <v>72</v>
      </c>
      <c r="V311" s="14">
        <f t="shared" si="27"/>
        <v>108</v>
      </c>
      <c r="AB311" s="15">
        <v>41</v>
      </c>
      <c r="AC311" s="227"/>
      <c r="AD311" s="227"/>
      <c r="AE311" s="227"/>
      <c r="AF311" s="228"/>
    </row>
    <row r="312" spans="1:32" outlineLevel="1" x14ac:dyDescent="0.2">
      <c r="A312" s="5">
        <v>1184</v>
      </c>
      <c r="B312" s="1" t="s">
        <v>431</v>
      </c>
      <c r="C312" s="1" t="s">
        <v>427</v>
      </c>
      <c r="D312" s="6">
        <v>9</v>
      </c>
      <c r="E312" s="7" t="s">
        <v>267</v>
      </c>
      <c r="G312" s="1">
        <v>6</v>
      </c>
      <c r="H312" s="6">
        <v>1</v>
      </c>
      <c r="I312" s="6">
        <v>4</v>
      </c>
      <c r="J312" s="1">
        <v>100</v>
      </c>
      <c r="K312" s="9">
        <v>2600</v>
      </c>
      <c r="M312" s="10">
        <v>2</v>
      </c>
      <c r="N312" s="59">
        <f>VLOOKUP(A312,Baupläne!$B$2:$X$1019,23,FALSE)</f>
        <v>6100</v>
      </c>
      <c r="O312" s="310">
        <f t="shared" si="30"/>
        <v>4</v>
      </c>
      <c r="P312" s="311">
        <f t="shared" si="30"/>
        <v>1.25</v>
      </c>
      <c r="Q312" s="291">
        <f>VLOOKUP(D312,Berechnungen!$A$3:$J$32,O312+6,FALSE)*P312</f>
        <v>29.641081871345026</v>
      </c>
      <c r="R312" s="312">
        <f t="shared" si="31"/>
        <v>0.2</v>
      </c>
      <c r="S312" s="14">
        <f t="shared" si="24"/>
        <v>24</v>
      </c>
      <c r="T312" s="16">
        <f t="shared" si="25"/>
        <v>36</v>
      </c>
      <c r="U312" s="14">
        <f t="shared" si="26"/>
        <v>96</v>
      </c>
      <c r="V312" s="14">
        <f t="shared" si="27"/>
        <v>144</v>
      </c>
      <c r="AB312" s="15">
        <v>41</v>
      </c>
      <c r="AC312" s="227"/>
      <c r="AD312" s="227"/>
      <c r="AE312" s="227"/>
      <c r="AF312" s="228"/>
    </row>
    <row r="313" spans="1:32" outlineLevel="1" x14ac:dyDescent="0.2">
      <c r="A313" s="5">
        <v>1185</v>
      </c>
      <c r="B313" s="1" t="s">
        <v>432</v>
      </c>
      <c r="C313" s="1" t="s">
        <v>427</v>
      </c>
      <c r="D313" s="6">
        <v>11</v>
      </c>
      <c r="E313" s="7" t="s">
        <v>267</v>
      </c>
      <c r="G313" s="1">
        <v>6</v>
      </c>
      <c r="H313" s="6">
        <v>1</v>
      </c>
      <c r="I313" s="6">
        <v>4</v>
      </c>
      <c r="J313" s="1">
        <v>100</v>
      </c>
      <c r="K313" s="9">
        <v>2300</v>
      </c>
      <c r="M313" s="10">
        <v>3</v>
      </c>
      <c r="N313" s="59">
        <f>VLOOKUP(A313,Baupläne!$B$2:$X$1019,23,FALSE)</f>
        <v>8100</v>
      </c>
      <c r="O313" s="310">
        <f t="shared" si="30"/>
        <v>4</v>
      </c>
      <c r="P313" s="311">
        <f t="shared" si="30"/>
        <v>1.25</v>
      </c>
      <c r="Q313" s="291">
        <f>VLOOKUP(D313,Berechnungen!$A$3:$J$32,O313+6,FALSE)*P313</f>
        <v>34.566942820012983</v>
      </c>
      <c r="R313" s="312">
        <f t="shared" si="31"/>
        <v>0.2</v>
      </c>
      <c r="S313" s="14">
        <f t="shared" si="24"/>
        <v>28</v>
      </c>
      <c r="T313" s="16">
        <f t="shared" si="25"/>
        <v>41</v>
      </c>
      <c r="U313" s="14">
        <f t="shared" si="26"/>
        <v>112</v>
      </c>
      <c r="V313" s="14">
        <f t="shared" si="27"/>
        <v>164</v>
      </c>
      <c r="AB313" s="15">
        <v>41</v>
      </c>
      <c r="AC313" s="227"/>
      <c r="AD313" s="227"/>
      <c r="AE313" s="227"/>
      <c r="AF313" s="228"/>
    </row>
    <row r="314" spans="1:32" outlineLevel="1" x14ac:dyDescent="0.2">
      <c r="A314" s="5">
        <v>1186</v>
      </c>
      <c r="B314" s="1" t="s">
        <v>433</v>
      </c>
      <c r="C314" s="1" t="s">
        <v>427</v>
      </c>
      <c r="D314" s="6">
        <v>14</v>
      </c>
      <c r="E314" s="7" t="s">
        <v>267</v>
      </c>
      <c r="G314" s="1">
        <v>6</v>
      </c>
      <c r="H314" s="6">
        <v>1</v>
      </c>
      <c r="I314" s="6">
        <v>4</v>
      </c>
      <c r="J314" s="1">
        <v>100</v>
      </c>
      <c r="K314" s="9">
        <v>2500</v>
      </c>
      <c r="M314" s="10">
        <v>3</v>
      </c>
      <c r="N314" s="59">
        <f>VLOOKUP(A314,Baupläne!$B$2:$X$1019,23,FALSE)</f>
        <v>12300</v>
      </c>
      <c r="O314" s="310">
        <f t="shared" si="30"/>
        <v>4</v>
      </c>
      <c r="P314" s="311">
        <f t="shared" si="30"/>
        <v>1.25</v>
      </c>
      <c r="Q314" s="291">
        <f>VLOOKUP(D314,Berechnungen!$A$3:$J$32,O314+6,FALSE)*P314</f>
        <v>42.385315139701099</v>
      </c>
      <c r="R314" s="312">
        <f t="shared" si="31"/>
        <v>0.2</v>
      </c>
      <c r="S314" s="14">
        <f t="shared" si="24"/>
        <v>34</v>
      </c>
      <c r="T314" s="16">
        <f t="shared" si="25"/>
        <v>51</v>
      </c>
      <c r="U314" s="14">
        <f t="shared" si="26"/>
        <v>136</v>
      </c>
      <c r="V314" s="14">
        <f t="shared" si="27"/>
        <v>204</v>
      </c>
      <c r="AB314" s="15">
        <v>41</v>
      </c>
      <c r="AC314" s="227"/>
      <c r="AD314" s="227"/>
      <c r="AE314" s="227"/>
      <c r="AF314" s="228"/>
    </row>
    <row r="315" spans="1:32" outlineLevel="1" x14ac:dyDescent="0.2">
      <c r="A315" s="5">
        <v>1187</v>
      </c>
      <c r="B315" s="1" t="s">
        <v>434</v>
      </c>
      <c r="C315" s="1" t="s">
        <v>427</v>
      </c>
      <c r="D315" s="6">
        <v>16</v>
      </c>
      <c r="E315" s="7" t="s">
        <v>267</v>
      </c>
      <c r="G315" s="1">
        <v>6</v>
      </c>
      <c r="H315" s="6">
        <v>1</v>
      </c>
      <c r="I315" s="6">
        <v>4</v>
      </c>
      <c r="J315" s="1">
        <v>100</v>
      </c>
      <c r="K315" s="9">
        <v>2400</v>
      </c>
      <c r="M315" s="10">
        <v>4</v>
      </c>
      <c r="N315" s="59">
        <f>VLOOKUP(A315,Baupläne!$B$2:$X$1019,23,FALSE)</f>
        <v>16300</v>
      </c>
      <c r="O315" s="310">
        <f t="shared" si="30"/>
        <v>4</v>
      </c>
      <c r="P315" s="311">
        <f t="shared" si="30"/>
        <v>1.25</v>
      </c>
      <c r="Q315" s="291">
        <f>VLOOKUP(D315,Berechnungen!$A$3:$J$32,O315+6,FALSE)*P315</f>
        <v>47.883950617283944</v>
      </c>
      <c r="R315" s="312">
        <f t="shared" si="31"/>
        <v>0.2</v>
      </c>
      <c r="S315" s="14">
        <f t="shared" si="24"/>
        <v>38</v>
      </c>
      <c r="T315" s="16">
        <f t="shared" si="25"/>
        <v>57</v>
      </c>
      <c r="U315" s="14">
        <f t="shared" si="26"/>
        <v>152</v>
      </c>
      <c r="V315" s="14">
        <f t="shared" si="27"/>
        <v>228</v>
      </c>
      <c r="AB315" s="15">
        <v>41</v>
      </c>
      <c r="AC315" s="227"/>
      <c r="AD315" s="227"/>
      <c r="AE315" s="227"/>
      <c r="AF315" s="228"/>
    </row>
    <row r="316" spans="1:32" outlineLevel="1" x14ac:dyDescent="0.2">
      <c r="A316" s="5">
        <v>1188</v>
      </c>
      <c r="B316" s="3" t="s">
        <v>435</v>
      </c>
      <c r="C316" s="3" t="s">
        <v>427</v>
      </c>
      <c r="D316" s="6">
        <v>19</v>
      </c>
      <c r="E316" s="55" t="s">
        <v>267</v>
      </c>
      <c r="G316" s="3">
        <v>6</v>
      </c>
      <c r="H316" s="54">
        <v>1</v>
      </c>
      <c r="I316" s="54">
        <v>4</v>
      </c>
      <c r="J316" s="3">
        <v>100</v>
      </c>
      <c r="K316" s="57">
        <v>2500</v>
      </c>
      <c r="L316" s="54"/>
      <c r="M316" s="58">
        <v>4</v>
      </c>
      <c r="N316" s="59">
        <f>VLOOKUP(A316,Baupläne!$B$2:$X$1019,23,FALSE)</f>
        <v>24800</v>
      </c>
      <c r="O316" s="310">
        <f t="shared" si="30"/>
        <v>4</v>
      </c>
      <c r="P316" s="311">
        <f t="shared" si="30"/>
        <v>1.25</v>
      </c>
      <c r="Q316" s="291">
        <f>VLOOKUP(D316,Berechnungen!$A$3:$J$32,O316+6,FALSE)*P316</f>
        <v>56.561484730344375</v>
      </c>
      <c r="R316" s="312">
        <f t="shared" si="31"/>
        <v>0.2</v>
      </c>
      <c r="S316" s="14">
        <f t="shared" si="24"/>
        <v>45</v>
      </c>
      <c r="T316" s="16">
        <f t="shared" si="25"/>
        <v>68</v>
      </c>
      <c r="U316" s="14">
        <f t="shared" si="26"/>
        <v>180</v>
      </c>
      <c r="V316" s="14">
        <f t="shared" si="27"/>
        <v>272</v>
      </c>
      <c r="AB316" s="15">
        <v>41</v>
      </c>
      <c r="AC316" s="227"/>
      <c r="AD316" s="227"/>
      <c r="AE316" s="227"/>
      <c r="AF316" s="228"/>
    </row>
    <row r="317" spans="1:32" outlineLevel="1" x14ac:dyDescent="0.2">
      <c r="A317" s="5">
        <v>1189</v>
      </c>
      <c r="B317" s="1" t="s">
        <v>436</v>
      </c>
      <c r="C317" s="1" t="s">
        <v>427</v>
      </c>
      <c r="D317" s="6">
        <v>22</v>
      </c>
      <c r="E317" s="7" t="s">
        <v>267</v>
      </c>
      <c r="G317" s="1">
        <v>6</v>
      </c>
      <c r="H317" s="6">
        <v>1</v>
      </c>
      <c r="I317" s="6">
        <v>4</v>
      </c>
      <c r="J317" s="1">
        <v>100</v>
      </c>
      <c r="K317" s="9">
        <v>2200</v>
      </c>
      <c r="M317" s="10">
        <v>5</v>
      </c>
      <c r="N317" s="59">
        <f>VLOOKUP(A317,Baupläne!$B$2:$X$1019,23,FALSE)</f>
        <v>37600</v>
      </c>
      <c r="O317" s="310">
        <f t="shared" si="30"/>
        <v>4</v>
      </c>
      <c r="P317" s="311">
        <f t="shared" si="30"/>
        <v>1.25</v>
      </c>
      <c r="Q317" s="291">
        <f>VLOOKUP(D317,Berechnungen!$A$3:$J$32,O317+6,FALSE)*P317</f>
        <v>65.754515919428201</v>
      </c>
      <c r="R317" s="312">
        <f t="shared" si="31"/>
        <v>0.2</v>
      </c>
      <c r="S317" s="14">
        <f t="shared" si="24"/>
        <v>53</v>
      </c>
      <c r="T317" s="16">
        <f t="shared" si="25"/>
        <v>79</v>
      </c>
      <c r="U317" s="14">
        <f t="shared" si="26"/>
        <v>212</v>
      </c>
      <c r="V317" s="14">
        <f t="shared" si="27"/>
        <v>316</v>
      </c>
      <c r="AB317" s="15">
        <v>41</v>
      </c>
      <c r="AC317" s="227"/>
      <c r="AD317" s="227"/>
      <c r="AE317" s="227"/>
      <c r="AF317" s="228"/>
    </row>
    <row r="318" spans="1:32" outlineLevel="1" x14ac:dyDescent="0.2">
      <c r="A318" s="5">
        <v>1190</v>
      </c>
      <c r="B318" s="1" t="s">
        <v>437</v>
      </c>
      <c r="C318" s="1" t="s">
        <v>427</v>
      </c>
      <c r="D318" s="6">
        <v>25</v>
      </c>
      <c r="E318" s="7" t="s">
        <v>267</v>
      </c>
      <c r="G318" s="1">
        <v>6</v>
      </c>
      <c r="H318" s="6">
        <v>1</v>
      </c>
      <c r="I318" s="6">
        <v>4</v>
      </c>
      <c r="J318" s="1">
        <v>100</v>
      </c>
      <c r="K318" s="9">
        <v>2600</v>
      </c>
      <c r="M318" s="10">
        <v>5</v>
      </c>
      <c r="N318" s="59">
        <f>VLOOKUP(A318,Baupläne!$B$2:$X$1019,23,FALSE)</f>
        <v>57300</v>
      </c>
      <c r="O318" s="310">
        <f t="shared" si="30"/>
        <v>4</v>
      </c>
      <c r="P318" s="311">
        <f t="shared" si="30"/>
        <v>1.25</v>
      </c>
      <c r="Q318" s="291">
        <f>VLOOKUP(D318,Berechnungen!$A$3:$J$32,O318+6,FALSE)*P318</f>
        <v>75.46304418453542</v>
      </c>
      <c r="R318" s="312">
        <f t="shared" si="31"/>
        <v>0.2</v>
      </c>
      <c r="S318" s="14">
        <f t="shared" si="24"/>
        <v>60</v>
      </c>
      <c r="T318" s="16">
        <f t="shared" si="25"/>
        <v>91</v>
      </c>
      <c r="U318" s="14">
        <f t="shared" si="26"/>
        <v>240</v>
      </c>
      <c r="V318" s="14">
        <f t="shared" si="27"/>
        <v>364</v>
      </c>
      <c r="AB318" s="15">
        <v>41</v>
      </c>
      <c r="AC318" s="227"/>
      <c r="AD318" s="227"/>
      <c r="AE318" s="227"/>
      <c r="AF318" s="228"/>
    </row>
    <row r="319" spans="1:32" s="294" customFormat="1" outlineLevel="1" x14ac:dyDescent="0.2">
      <c r="A319" s="293">
        <v>2181</v>
      </c>
      <c r="B319" s="294" t="s">
        <v>438</v>
      </c>
      <c r="C319" s="294" t="s">
        <v>427</v>
      </c>
      <c r="D319" s="295">
        <v>4</v>
      </c>
      <c r="E319" s="296" t="s">
        <v>267</v>
      </c>
      <c r="F319" s="8"/>
      <c r="G319" s="294">
        <v>6</v>
      </c>
      <c r="H319" s="295">
        <v>2</v>
      </c>
      <c r="I319" s="295">
        <v>4</v>
      </c>
      <c r="J319" s="294">
        <v>100</v>
      </c>
      <c r="K319" s="297">
        <v>1800</v>
      </c>
      <c r="L319" s="295"/>
      <c r="M319" s="298"/>
      <c r="N319" s="299">
        <f>VLOOKUP(A319,Baupläne!$B$2:$X$1019,23,FALSE)</f>
        <v>5500</v>
      </c>
      <c r="O319" s="313">
        <f t="shared" si="30"/>
        <v>4</v>
      </c>
      <c r="P319" s="314">
        <f t="shared" si="30"/>
        <v>1.25</v>
      </c>
      <c r="Q319" s="182">
        <f>VLOOKUP(D319+3,Berechnungen!$A$3:$J$32,O319+6,FALSE)*P319</f>
        <v>24.94433073424301</v>
      </c>
      <c r="R319" s="315">
        <f t="shared" si="31"/>
        <v>0.2</v>
      </c>
      <c r="S319" s="301">
        <f>ROUND(Q319-Q319*R319,0)</f>
        <v>20</v>
      </c>
      <c r="T319" s="302">
        <f>ROUND(Q319+Q319*R319,0)</f>
        <v>30</v>
      </c>
      <c r="U319" s="301">
        <f>O319*S319</f>
        <v>80</v>
      </c>
      <c r="V319" s="301">
        <f>O319*T319</f>
        <v>120</v>
      </c>
      <c r="W319" s="303"/>
      <c r="X319" s="304"/>
      <c r="Y319" s="305"/>
      <c r="AA319" s="306"/>
      <c r="AB319" s="306">
        <v>41</v>
      </c>
      <c r="AC319" s="307"/>
      <c r="AD319" s="307"/>
      <c r="AE319" s="307"/>
      <c r="AF319" s="308"/>
    </row>
    <row r="320" spans="1:32" s="294" customFormat="1" outlineLevel="1" x14ac:dyDescent="0.2">
      <c r="A320" s="293">
        <v>2182</v>
      </c>
      <c r="B320" s="294" t="s">
        <v>439</v>
      </c>
      <c r="C320" s="294" t="s">
        <v>427</v>
      </c>
      <c r="D320" s="295">
        <v>9</v>
      </c>
      <c r="E320" s="296" t="s">
        <v>267</v>
      </c>
      <c r="F320" s="8"/>
      <c r="G320" s="294">
        <v>6</v>
      </c>
      <c r="H320" s="295">
        <v>2</v>
      </c>
      <c r="I320" s="295">
        <v>4</v>
      </c>
      <c r="J320" s="294">
        <v>100</v>
      </c>
      <c r="K320" s="297">
        <v>1900</v>
      </c>
      <c r="L320" s="295"/>
      <c r="M320" s="298"/>
      <c r="N320" s="299">
        <f>VLOOKUP(A320,Baupläne!$B$2:$X$1019,23,FALSE)</f>
        <v>11100</v>
      </c>
      <c r="O320" s="313">
        <f t="shared" si="30"/>
        <v>4</v>
      </c>
      <c r="P320" s="314">
        <f t="shared" si="30"/>
        <v>1.25</v>
      </c>
      <c r="Q320" s="182">
        <f>VLOOKUP(D320+3,Berechnungen!$A$3:$J$32,O320+6,FALSE)*P320</f>
        <v>37.115789473684202</v>
      </c>
      <c r="R320" s="315">
        <f t="shared" si="31"/>
        <v>0.2</v>
      </c>
      <c r="S320" s="301">
        <f>ROUND(Q320-Q320*R320,0)</f>
        <v>30</v>
      </c>
      <c r="T320" s="302">
        <f>ROUND(Q320+Q320*R320,0)</f>
        <v>45</v>
      </c>
      <c r="U320" s="301">
        <f>O320*S320</f>
        <v>120</v>
      </c>
      <c r="V320" s="301">
        <f>O320*T320</f>
        <v>180</v>
      </c>
      <c r="W320" s="303"/>
      <c r="X320" s="304"/>
      <c r="Y320" s="305"/>
      <c r="AA320" s="306"/>
      <c r="AB320" s="306">
        <v>41</v>
      </c>
      <c r="AC320" s="307"/>
      <c r="AD320" s="307"/>
      <c r="AE320" s="307"/>
      <c r="AF320" s="308"/>
    </row>
    <row r="321" spans="1:32" s="294" customFormat="1" outlineLevel="1" x14ac:dyDescent="0.2">
      <c r="A321" s="293">
        <v>2183</v>
      </c>
      <c r="B321" s="294" t="s">
        <v>440</v>
      </c>
      <c r="C321" s="294" t="s">
        <v>427</v>
      </c>
      <c r="D321" s="295">
        <v>14</v>
      </c>
      <c r="E321" s="296" t="s">
        <v>267</v>
      </c>
      <c r="F321" s="8"/>
      <c r="G321" s="294">
        <v>6</v>
      </c>
      <c r="H321" s="295">
        <v>2</v>
      </c>
      <c r="I321" s="295">
        <v>4</v>
      </c>
      <c r="J321" s="294">
        <v>100</v>
      </c>
      <c r="K321" s="297">
        <v>2400</v>
      </c>
      <c r="L321" s="295"/>
      <c r="M321" s="298"/>
      <c r="N321" s="299">
        <f>VLOOKUP(A321,Baupläne!$B$2:$X$1019,23,FALSE)</f>
        <v>22300</v>
      </c>
      <c r="O321" s="313">
        <f t="shared" si="30"/>
        <v>4</v>
      </c>
      <c r="P321" s="314">
        <f t="shared" si="30"/>
        <v>1.25</v>
      </c>
      <c r="Q321" s="182">
        <f>VLOOKUP(D321+3,Berechnungen!$A$3:$J$32,O321+6,FALSE)*P321</f>
        <v>50.719184535412595</v>
      </c>
      <c r="R321" s="315">
        <f t="shared" si="31"/>
        <v>0.2</v>
      </c>
      <c r="S321" s="301">
        <f>ROUND(Q321-Q321*R321,0)</f>
        <v>41</v>
      </c>
      <c r="T321" s="302">
        <f>ROUND(Q321+Q321*R321,0)</f>
        <v>61</v>
      </c>
      <c r="U321" s="301">
        <f>O321*S321</f>
        <v>164</v>
      </c>
      <c r="V321" s="301">
        <f>O321*T321</f>
        <v>244</v>
      </c>
      <c r="W321" s="303"/>
      <c r="X321" s="304"/>
      <c r="Y321" s="305"/>
      <c r="AA321" s="306"/>
      <c r="AB321" s="306">
        <v>41</v>
      </c>
      <c r="AC321" s="307"/>
      <c r="AD321" s="307"/>
      <c r="AE321" s="307"/>
      <c r="AF321" s="308"/>
    </row>
    <row r="322" spans="1:32" s="294" customFormat="1" outlineLevel="1" x14ac:dyDescent="0.2">
      <c r="A322" s="293">
        <v>2184</v>
      </c>
      <c r="B322" s="294" t="s">
        <v>441</v>
      </c>
      <c r="C322" s="294" t="s">
        <v>427</v>
      </c>
      <c r="D322" s="295">
        <v>19</v>
      </c>
      <c r="E322" s="296" t="s">
        <v>267</v>
      </c>
      <c r="F322" s="8"/>
      <c r="G322" s="294">
        <v>6</v>
      </c>
      <c r="H322" s="295">
        <v>2</v>
      </c>
      <c r="I322" s="295">
        <v>4</v>
      </c>
      <c r="J322" s="294">
        <v>100</v>
      </c>
      <c r="K322" s="297">
        <v>2600</v>
      </c>
      <c r="L322" s="295"/>
      <c r="M322" s="298"/>
      <c r="N322" s="299">
        <f>VLOOKUP(A322,Baupläne!$B$2:$X$1019,23,FALSE)</f>
        <v>42300</v>
      </c>
      <c r="O322" s="313">
        <f t="shared" si="30"/>
        <v>4</v>
      </c>
      <c r="P322" s="314">
        <f t="shared" si="30"/>
        <v>1.25</v>
      </c>
      <c r="Q322" s="182">
        <f>VLOOKUP(D322+3,Berechnungen!$A$3:$J$32,O322+6,FALSE)*P322</f>
        <v>65.754515919428201</v>
      </c>
      <c r="R322" s="315">
        <f t="shared" si="31"/>
        <v>0.2</v>
      </c>
      <c r="S322" s="301">
        <f>ROUND(Q322-Q322*R322,0)</f>
        <v>53</v>
      </c>
      <c r="T322" s="302">
        <f>ROUND(Q322+Q322*R322,0)</f>
        <v>79</v>
      </c>
      <c r="U322" s="301">
        <f>O322*S322</f>
        <v>212</v>
      </c>
      <c r="V322" s="301">
        <f>O322*T322</f>
        <v>316</v>
      </c>
      <c r="W322" s="303"/>
      <c r="X322" s="304"/>
      <c r="Y322" s="305"/>
      <c r="AA322" s="306"/>
      <c r="AB322" s="306">
        <v>41</v>
      </c>
      <c r="AC322" s="307"/>
      <c r="AD322" s="307"/>
      <c r="AE322" s="307"/>
      <c r="AF322" s="308"/>
    </row>
    <row r="323" spans="1:32" s="294" customFormat="1" outlineLevel="1" x14ac:dyDescent="0.2">
      <c r="A323" s="293">
        <v>2185</v>
      </c>
      <c r="B323" s="294" t="s">
        <v>442</v>
      </c>
      <c r="C323" s="294" t="s">
        <v>427</v>
      </c>
      <c r="D323" s="295">
        <v>25</v>
      </c>
      <c r="E323" s="296" t="s">
        <v>267</v>
      </c>
      <c r="F323" s="8"/>
      <c r="G323" s="294">
        <v>6</v>
      </c>
      <c r="H323" s="295">
        <v>2</v>
      </c>
      <c r="I323" s="295">
        <v>4</v>
      </c>
      <c r="J323" s="294">
        <v>100</v>
      </c>
      <c r="K323" s="297">
        <v>2300</v>
      </c>
      <c r="L323" s="295"/>
      <c r="M323" s="298"/>
      <c r="N323" s="299">
        <f>VLOOKUP(A323,Baupläne!$B$2:$X$1019,23,FALSE)</f>
        <v>82300</v>
      </c>
      <c r="O323" s="313">
        <f t="shared" si="30"/>
        <v>4</v>
      </c>
      <c r="P323" s="314">
        <f t="shared" si="30"/>
        <v>1.25</v>
      </c>
      <c r="Q323" s="182">
        <f>VLOOKUP(D323+3,Berechnungen!$A$3:$J$32,O323+6,FALSE)*P323</f>
        <v>85.687069525666004</v>
      </c>
      <c r="R323" s="315">
        <f t="shared" si="31"/>
        <v>0.2</v>
      </c>
      <c r="S323" s="301">
        <f>ROUND(Q323-Q323*R323,0)</f>
        <v>69</v>
      </c>
      <c r="T323" s="302">
        <f>ROUND(Q323+Q323*R323,0)</f>
        <v>103</v>
      </c>
      <c r="U323" s="301">
        <f>O323*S323</f>
        <v>276</v>
      </c>
      <c r="V323" s="301">
        <f>O323*T323</f>
        <v>412</v>
      </c>
      <c r="W323" s="303"/>
      <c r="X323" s="304"/>
      <c r="Y323" s="305"/>
      <c r="AA323" s="306"/>
      <c r="AB323" s="306">
        <v>41</v>
      </c>
      <c r="AC323" s="307"/>
      <c r="AD323" s="307"/>
      <c r="AE323" s="307"/>
      <c r="AF323" s="308"/>
    </row>
    <row r="324" spans="1:32" x14ac:dyDescent="0.2">
      <c r="A324" s="271"/>
      <c r="B324" s="272" t="s">
        <v>443</v>
      </c>
      <c r="C324" s="272"/>
      <c r="D324" s="273"/>
      <c r="E324" s="274"/>
      <c r="F324" s="275"/>
      <c r="G324" s="272"/>
      <c r="H324" s="273"/>
      <c r="I324" s="273"/>
      <c r="J324" s="272"/>
      <c r="K324" s="276"/>
      <c r="L324" s="273"/>
      <c r="M324" s="277"/>
      <c r="N324" s="278"/>
      <c r="O324" s="279">
        <v>1</v>
      </c>
      <c r="P324" s="280">
        <v>1.45</v>
      </c>
      <c r="Q324" s="281"/>
      <c r="R324" s="280">
        <f>VLOOKUP(B324,Berechnungen!$A$70:$E$79,5,FALSE)</f>
        <v>0.25</v>
      </c>
      <c r="S324" s="281"/>
      <c r="T324" s="282"/>
      <c r="U324" s="281"/>
      <c r="V324" s="281"/>
      <c r="W324" s="283"/>
      <c r="X324" s="284"/>
      <c r="Y324" s="285"/>
      <c r="Z324" s="286"/>
      <c r="AA324" s="287"/>
      <c r="AB324" s="287"/>
      <c r="AC324" s="288"/>
      <c r="AD324" s="288"/>
      <c r="AE324" s="288"/>
      <c r="AF324" s="289"/>
    </row>
    <row r="325" spans="1:32" outlineLevel="1" x14ac:dyDescent="0.2">
      <c r="A325" s="5">
        <v>1191</v>
      </c>
      <c r="B325" s="1" t="s">
        <v>444</v>
      </c>
      <c r="C325" s="1" t="s">
        <v>443</v>
      </c>
      <c r="D325" s="6">
        <v>1</v>
      </c>
      <c r="E325" s="7" t="s">
        <v>269</v>
      </c>
      <c r="G325" s="1">
        <v>7</v>
      </c>
      <c r="H325" s="6">
        <v>1</v>
      </c>
      <c r="I325" s="6">
        <v>4</v>
      </c>
      <c r="J325" s="1">
        <v>100</v>
      </c>
      <c r="K325" s="9">
        <v>2600</v>
      </c>
      <c r="M325" s="10">
        <v>1</v>
      </c>
      <c r="N325" s="59">
        <f>VLOOKUP(A325,Baupläne!$B$2:$X$1019,23,FALSE)</f>
        <v>2000</v>
      </c>
      <c r="O325" s="310">
        <f t="shared" ref="O325:P339" si="32">O$324</f>
        <v>1</v>
      </c>
      <c r="P325" s="311">
        <f t="shared" si="32"/>
        <v>1.45</v>
      </c>
      <c r="Q325" s="291">
        <f>VLOOKUP(D325,Berechnungen!$A$3:$J$32,O325+6,FALSE)*P325</f>
        <v>40.335269005847941</v>
      </c>
      <c r="R325" s="312">
        <f t="shared" ref="R325:R339" si="33">R$324</f>
        <v>0.25</v>
      </c>
      <c r="S325" s="14">
        <f t="shared" si="24"/>
        <v>30</v>
      </c>
      <c r="T325" s="16">
        <f t="shared" si="25"/>
        <v>50</v>
      </c>
      <c r="U325" s="14">
        <f t="shared" si="26"/>
        <v>30</v>
      </c>
      <c r="V325" s="14">
        <f t="shared" si="27"/>
        <v>50</v>
      </c>
      <c r="AB325" s="15">
        <v>42</v>
      </c>
      <c r="AC325" s="227"/>
      <c r="AD325" s="227"/>
      <c r="AE325" s="227"/>
      <c r="AF325" s="228"/>
    </row>
    <row r="326" spans="1:32" outlineLevel="1" x14ac:dyDescent="0.2">
      <c r="A326" s="5">
        <v>1192</v>
      </c>
      <c r="B326" s="1" t="s">
        <v>269</v>
      </c>
      <c r="C326" s="1" t="s">
        <v>443</v>
      </c>
      <c r="D326" s="6">
        <v>4</v>
      </c>
      <c r="E326" s="7" t="s">
        <v>269</v>
      </c>
      <c r="G326" s="1">
        <v>7</v>
      </c>
      <c r="H326" s="6">
        <v>1</v>
      </c>
      <c r="I326" s="6">
        <v>4</v>
      </c>
      <c r="J326" s="1">
        <v>100</v>
      </c>
      <c r="K326" s="9">
        <v>2900</v>
      </c>
      <c r="M326" s="10">
        <v>1</v>
      </c>
      <c r="N326" s="59">
        <f>VLOOKUP(A326,Baupläne!$B$2:$X$1019,23,FALSE)</f>
        <v>3000</v>
      </c>
      <c r="O326" s="310">
        <f t="shared" si="32"/>
        <v>1</v>
      </c>
      <c r="P326" s="311">
        <f t="shared" si="32"/>
        <v>1.45</v>
      </c>
      <c r="Q326" s="291">
        <f>VLOOKUP(D326,Berechnungen!$A$3:$J$32,O326+6,FALSE)*P326</f>
        <v>60.455672514619877</v>
      </c>
      <c r="R326" s="312">
        <f t="shared" si="33"/>
        <v>0.25</v>
      </c>
      <c r="S326" s="14">
        <f t="shared" si="24"/>
        <v>45</v>
      </c>
      <c r="T326" s="16">
        <f t="shared" si="25"/>
        <v>76</v>
      </c>
      <c r="U326" s="14">
        <f t="shared" si="26"/>
        <v>45</v>
      </c>
      <c r="V326" s="14">
        <f t="shared" si="27"/>
        <v>76</v>
      </c>
      <c r="AB326" s="15">
        <v>42</v>
      </c>
      <c r="AC326" s="227"/>
      <c r="AD326" s="227"/>
      <c r="AE326" s="227"/>
      <c r="AF326" s="228"/>
    </row>
    <row r="327" spans="1:32" outlineLevel="1" x14ac:dyDescent="0.2">
      <c r="A327" s="5">
        <v>1193</v>
      </c>
      <c r="B327" s="1" t="s">
        <v>445</v>
      </c>
      <c r="C327" s="1" t="s">
        <v>443</v>
      </c>
      <c r="D327" s="6">
        <v>6</v>
      </c>
      <c r="E327" s="7" t="s">
        <v>269</v>
      </c>
      <c r="G327" s="1">
        <v>7</v>
      </c>
      <c r="H327" s="6">
        <v>1</v>
      </c>
      <c r="I327" s="6">
        <v>4</v>
      </c>
      <c r="J327" s="1">
        <v>100</v>
      </c>
      <c r="K327" s="9">
        <v>2800</v>
      </c>
      <c r="M327" s="10">
        <v>2</v>
      </c>
      <c r="N327" s="59">
        <f>VLOOKUP(A327,Baupläne!$B$2:$X$1019,23,FALSE)</f>
        <v>4000</v>
      </c>
      <c r="O327" s="310">
        <f t="shared" si="32"/>
        <v>1</v>
      </c>
      <c r="P327" s="311">
        <f t="shared" si="32"/>
        <v>1.45</v>
      </c>
      <c r="Q327" s="291">
        <f>VLOOKUP(D327,Berechnungen!$A$3:$J$32,O327+6,FALSE)*P327</f>
        <v>74.813894736842087</v>
      </c>
      <c r="R327" s="312">
        <f t="shared" si="33"/>
        <v>0.25</v>
      </c>
      <c r="S327" s="14">
        <f t="shared" si="24"/>
        <v>56</v>
      </c>
      <c r="T327" s="16">
        <f t="shared" si="25"/>
        <v>94</v>
      </c>
      <c r="U327" s="14">
        <f t="shared" si="26"/>
        <v>56</v>
      </c>
      <c r="V327" s="14">
        <f t="shared" si="27"/>
        <v>94</v>
      </c>
      <c r="AB327" s="15">
        <v>42</v>
      </c>
      <c r="AC327" s="227"/>
      <c r="AD327" s="227"/>
      <c r="AE327" s="227"/>
      <c r="AF327" s="228"/>
    </row>
    <row r="328" spans="1:32" outlineLevel="1" x14ac:dyDescent="0.2">
      <c r="A328" s="5">
        <v>1194</v>
      </c>
      <c r="B328" s="1" t="s">
        <v>446</v>
      </c>
      <c r="C328" s="1" t="s">
        <v>443</v>
      </c>
      <c r="D328" s="6">
        <v>9</v>
      </c>
      <c r="E328" s="7" t="s">
        <v>269</v>
      </c>
      <c r="G328" s="1">
        <v>7</v>
      </c>
      <c r="H328" s="6">
        <v>1</v>
      </c>
      <c r="I328" s="6">
        <v>4</v>
      </c>
      <c r="J328" s="1">
        <v>100</v>
      </c>
      <c r="K328" s="9">
        <v>3100</v>
      </c>
      <c r="M328" s="10">
        <v>2</v>
      </c>
      <c r="N328" s="59">
        <f>VLOOKUP(A328,Baupläne!$B$2:$X$1019,23,FALSE)</f>
        <v>6100</v>
      </c>
      <c r="O328" s="310">
        <f t="shared" si="32"/>
        <v>1</v>
      </c>
      <c r="P328" s="311">
        <f t="shared" si="32"/>
        <v>1.45</v>
      </c>
      <c r="Q328" s="291">
        <f>VLOOKUP(D328,Berechnungen!$A$3:$J$32,O328+6,FALSE)*P328</f>
        <v>97.768157894736831</v>
      </c>
      <c r="R328" s="312">
        <f t="shared" si="33"/>
        <v>0.25</v>
      </c>
      <c r="S328" s="14">
        <f t="shared" si="24"/>
        <v>73</v>
      </c>
      <c r="T328" s="16">
        <f t="shared" si="25"/>
        <v>122</v>
      </c>
      <c r="U328" s="14">
        <f t="shared" si="26"/>
        <v>73</v>
      </c>
      <c r="V328" s="14">
        <f t="shared" si="27"/>
        <v>122</v>
      </c>
      <c r="AB328" s="15">
        <v>42</v>
      </c>
      <c r="AC328" s="227"/>
      <c r="AD328" s="227"/>
      <c r="AE328" s="227"/>
      <c r="AF328" s="228"/>
    </row>
    <row r="329" spans="1:32" outlineLevel="1" x14ac:dyDescent="0.2">
      <c r="A329" s="5">
        <v>1195</v>
      </c>
      <c r="B329" s="1" t="s">
        <v>447</v>
      </c>
      <c r="C329" s="1" t="s">
        <v>443</v>
      </c>
      <c r="D329" s="6">
        <v>11</v>
      </c>
      <c r="E329" s="7" t="s">
        <v>269</v>
      </c>
      <c r="G329" s="1">
        <v>7</v>
      </c>
      <c r="H329" s="6">
        <v>1</v>
      </c>
      <c r="I329" s="6">
        <v>4</v>
      </c>
      <c r="J329" s="1">
        <v>100</v>
      </c>
      <c r="K329" s="9">
        <v>3200</v>
      </c>
      <c r="M329" s="10">
        <v>3</v>
      </c>
      <c r="N329" s="59">
        <f>VLOOKUP(A329,Baupläne!$B$2:$X$1019,23,FALSE)</f>
        <v>8100</v>
      </c>
      <c r="O329" s="310">
        <f t="shared" si="32"/>
        <v>1</v>
      </c>
      <c r="P329" s="311">
        <f t="shared" si="32"/>
        <v>1.45</v>
      </c>
      <c r="Q329" s="291">
        <f>VLOOKUP(D329,Berechnungen!$A$3:$J$32,O329+6,FALSE)*P329</f>
        <v>114.01561988304091</v>
      </c>
      <c r="R329" s="312">
        <f t="shared" si="33"/>
        <v>0.25</v>
      </c>
      <c r="S329" s="14">
        <f t="shared" si="24"/>
        <v>86</v>
      </c>
      <c r="T329" s="16">
        <f t="shared" si="25"/>
        <v>143</v>
      </c>
      <c r="U329" s="14">
        <f t="shared" si="26"/>
        <v>86</v>
      </c>
      <c r="V329" s="14">
        <f t="shared" si="27"/>
        <v>143</v>
      </c>
      <c r="AB329" s="15">
        <v>42</v>
      </c>
      <c r="AC329" s="227"/>
      <c r="AD329" s="227"/>
      <c r="AE329" s="227"/>
      <c r="AF329" s="228"/>
    </row>
    <row r="330" spans="1:32" outlineLevel="1" x14ac:dyDescent="0.2">
      <c r="A330" s="5">
        <v>1196</v>
      </c>
      <c r="B330" s="1" t="s">
        <v>448</v>
      </c>
      <c r="C330" s="1" t="s">
        <v>443</v>
      </c>
      <c r="D330" s="6">
        <v>14</v>
      </c>
      <c r="E330" s="7" t="s">
        <v>269</v>
      </c>
      <c r="G330" s="1">
        <v>7</v>
      </c>
      <c r="H330" s="6">
        <v>1</v>
      </c>
      <c r="I330" s="6">
        <v>4</v>
      </c>
      <c r="J330" s="1">
        <v>100</v>
      </c>
      <c r="K330" s="9">
        <v>3000</v>
      </c>
      <c r="M330" s="10">
        <v>3</v>
      </c>
      <c r="N330" s="59">
        <f>VLOOKUP(A330,Baupläne!$B$2:$X$1019,23,FALSE)</f>
        <v>12300</v>
      </c>
      <c r="O330" s="310">
        <f t="shared" si="32"/>
        <v>1</v>
      </c>
      <c r="P330" s="311">
        <f t="shared" si="32"/>
        <v>1.45</v>
      </c>
      <c r="Q330" s="291">
        <f>VLOOKUP(D330,Berechnungen!$A$3:$J$32,O330+6,FALSE)*P330</f>
        <v>139.80374269005844</v>
      </c>
      <c r="R330" s="312">
        <f t="shared" si="33"/>
        <v>0.25</v>
      </c>
      <c r="S330" s="14">
        <f t="shared" si="24"/>
        <v>105</v>
      </c>
      <c r="T330" s="16">
        <f t="shared" si="25"/>
        <v>175</v>
      </c>
      <c r="U330" s="14">
        <f t="shared" si="26"/>
        <v>105</v>
      </c>
      <c r="V330" s="14">
        <f t="shared" si="27"/>
        <v>175</v>
      </c>
      <c r="AB330" s="15">
        <v>42</v>
      </c>
      <c r="AC330" s="227"/>
      <c r="AD330" s="227"/>
      <c r="AE330" s="227"/>
      <c r="AF330" s="228"/>
    </row>
    <row r="331" spans="1:32" outlineLevel="1" x14ac:dyDescent="0.2">
      <c r="A331" s="5">
        <v>1197</v>
      </c>
      <c r="B331" s="1" t="s">
        <v>449</v>
      </c>
      <c r="C331" s="1" t="s">
        <v>443</v>
      </c>
      <c r="D331" s="6">
        <v>16</v>
      </c>
      <c r="E331" s="7" t="s">
        <v>269</v>
      </c>
      <c r="G331" s="1">
        <v>7</v>
      </c>
      <c r="H331" s="6">
        <v>1</v>
      </c>
      <c r="I331" s="6">
        <v>4</v>
      </c>
      <c r="J331" s="1">
        <v>100</v>
      </c>
      <c r="K331" s="9">
        <v>3400</v>
      </c>
      <c r="M331" s="10">
        <v>4</v>
      </c>
      <c r="N331" s="59">
        <f>VLOOKUP(A331,Baupläne!$B$2:$X$1019,23,FALSE)</f>
        <v>16300</v>
      </c>
      <c r="O331" s="310">
        <f t="shared" si="32"/>
        <v>1</v>
      </c>
      <c r="P331" s="311">
        <f t="shared" si="32"/>
        <v>1.45</v>
      </c>
      <c r="Q331" s="291">
        <f>VLOOKUP(D331,Berechnungen!$A$3:$J$32,O331+6,FALSE)*P331</f>
        <v>157.94044444444441</v>
      </c>
      <c r="R331" s="312">
        <f t="shared" si="33"/>
        <v>0.25</v>
      </c>
      <c r="S331" s="14">
        <f t="shared" si="24"/>
        <v>118</v>
      </c>
      <c r="T331" s="16">
        <f t="shared" si="25"/>
        <v>197</v>
      </c>
      <c r="U331" s="14">
        <f t="shared" si="26"/>
        <v>118</v>
      </c>
      <c r="V331" s="14">
        <f t="shared" si="27"/>
        <v>197</v>
      </c>
      <c r="AB331" s="15">
        <v>42</v>
      </c>
      <c r="AC331" s="227"/>
      <c r="AD331" s="227"/>
      <c r="AE331" s="227"/>
      <c r="AF331" s="228"/>
    </row>
    <row r="332" spans="1:32" outlineLevel="1" x14ac:dyDescent="0.2">
      <c r="A332" s="5">
        <v>1198</v>
      </c>
      <c r="B332" s="1" t="s">
        <v>450</v>
      </c>
      <c r="C332" s="1" t="s">
        <v>443</v>
      </c>
      <c r="D332" s="6">
        <v>19</v>
      </c>
      <c r="E332" s="7" t="s">
        <v>269</v>
      </c>
      <c r="G332" s="1">
        <v>7</v>
      </c>
      <c r="H332" s="6">
        <v>1</v>
      </c>
      <c r="I332" s="6">
        <v>4</v>
      </c>
      <c r="J332" s="1">
        <v>100</v>
      </c>
      <c r="K332" s="9">
        <v>3300</v>
      </c>
      <c r="M332" s="10">
        <v>4</v>
      </c>
      <c r="N332" s="59">
        <f>VLOOKUP(A332,Baupläne!$B$2:$X$1019,23,FALSE)</f>
        <v>24800</v>
      </c>
      <c r="O332" s="310">
        <f t="shared" si="32"/>
        <v>1</v>
      </c>
      <c r="P332" s="311">
        <f t="shared" si="32"/>
        <v>1.45</v>
      </c>
      <c r="Q332" s="291">
        <f>VLOOKUP(D332,Berechnungen!$A$3:$J$32,O332+6,FALSE)*P332</f>
        <v>186.56242690058477</v>
      </c>
      <c r="R332" s="312">
        <f t="shared" si="33"/>
        <v>0.25</v>
      </c>
      <c r="S332" s="14">
        <f t="shared" si="24"/>
        <v>140</v>
      </c>
      <c r="T332" s="16">
        <f t="shared" si="25"/>
        <v>233</v>
      </c>
      <c r="U332" s="14">
        <f t="shared" si="26"/>
        <v>140</v>
      </c>
      <c r="V332" s="14">
        <f t="shared" si="27"/>
        <v>233</v>
      </c>
      <c r="AB332" s="15">
        <v>42</v>
      </c>
      <c r="AC332" s="227"/>
      <c r="AD332" s="227"/>
      <c r="AE332" s="227"/>
      <c r="AF332" s="228"/>
    </row>
    <row r="333" spans="1:32" outlineLevel="1" x14ac:dyDescent="0.2">
      <c r="A333" s="5">
        <v>1199</v>
      </c>
      <c r="B333" s="1" t="s">
        <v>451</v>
      </c>
      <c r="C333" s="1" t="s">
        <v>443</v>
      </c>
      <c r="D333" s="6">
        <v>22</v>
      </c>
      <c r="E333" s="7" t="s">
        <v>269</v>
      </c>
      <c r="G333" s="1">
        <v>7</v>
      </c>
      <c r="H333" s="6">
        <v>1</v>
      </c>
      <c r="I333" s="6">
        <v>4</v>
      </c>
      <c r="J333" s="1">
        <v>100</v>
      </c>
      <c r="K333" s="9">
        <v>2900</v>
      </c>
      <c r="M333" s="10">
        <v>5</v>
      </c>
      <c r="N333" s="59">
        <f>VLOOKUP(A333,Baupläne!$B$2:$X$1019,23,FALSE)</f>
        <v>37600</v>
      </c>
      <c r="O333" s="310">
        <f t="shared" si="32"/>
        <v>1</v>
      </c>
      <c r="P333" s="311">
        <f t="shared" si="32"/>
        <v>1.45</v>
      </c>
      <c r="Q333" s="291">
        <f>VLOOKUP(D333,Berechnungen!$A$3:$J$32,O333+6,FALSE)*P333</f>
        <v>216.8847251461988</v>
      </c>
      <c r="R333" s="312">
        <f t="shared" si="33"/>
        <v>0.25</v>
      </c>
      <c r="S333" s="14">
        <f t="shared" si="24"/>
        <v>163</v>
      </c>
      <c r="T333" s="16">
        <f t="shared" si="25"/>
        <v>271</v>
      </c>
      <c r="U333" s="14">
        <f t="shared" si="26"/>
        <v>163</v>
      </c>
      <c r="V333" s="14">
        <f t="shared" si="27"/>
        <v>271</v>
      </c>
      <c r="AB333" s="15">
        <v>42</v>
      </c>
      <c r="AC333" s="227"/>
      <c r="AD333" s="227"/>
      <c r="AE333" s="227"/>
      <c r="AF333" s="228"/>
    </row>
    <row r="334" spans="1:32" outlineLevel="1" x14ac:dyDescent="0.2">
      <c r="A334" s="5">
        <v>1200</v>
      </c>
      <c r="B334" s="1" t="s">
        <v>452</v>
      </c>
      <c r="C334" s="1" t="s">
        <v>443</v>
      </c>
      <c r="D334" s="6">
        <v>25</v>
      </c>
      <c r="E334" s="7" t="s">
        <v>269</v>
      </c>
      <c r="G334" s="1">
        <v>7</v>
      </c>
      <c r="H334" s="6">
        <v>1</v>
      </c>
      <c r="I334" s="6">
        <v>4</v>
      </c>
      <c r="J334" s="1">
        <v>100</v>
      </c>
      <c r="K334" s="9">
        <v>3000</v>
      </c>
      <c r="M334" s="10">
        <v>5</v>
      </c>
      <c r="N334" s="59">
        <f>VLOOKUP(A334,Baupläne!$B$2:$X$1019,23,FALSE)</f>
        <v>57300</v>
      </c>
      <c r="O334" s="310">
        <f t="shared" si="32"/>
        <v>1</v>
      </c>
      <c r="P334" s="311">
        <f t="shared" si="32"/>
        <v>1.45</v>
      </c>
      <c r="Q334" s="291">
        <f>VLOOKUP(D334,Berechnungen!$A$3:$J$32,O334+6,FALSE)*P334</f>
        <v>248.90733918128655</v>
      </c>
      <c r="R334" s="312">
        <f t="shared" si="33"/>
        <v>0.25</v>
      </c>
      <c r="S334" s="14">
        <f t="shared" si="24"/>
        <v>187</v>
      </c>
      <c r="T334" s="16">
        <f t="shared" si="25"/>
        <v>311</v>
      </c>
      <c r="U334" s="14">
        <f t="shared" si="26"/>
        <v>187</v>
      </c>
      <c r="V334" s="14">
        <f t="shared" si="27"/>
        <v>311</v>
      </c>
      <c r="AB334" s="15">
        <v>42</v>
      </c>
      <c r="AC334" s="227"/>
      <c r="AD334" s="227"/>
      <c r="AE334" s="227"/>
      <c r="AF334" s="228"/>
    </row>
    <row r="335" spans="1:32" s="294" customFormat="1" outlineLevel="1" x14ac:dyDescent="0.2">
      <c r="A335" s="293">
        <v>2191</v>
      </c>
      <c r="B335" s="294" t="s">
        <v>453</v>
      </c>
      <c r="C335" s="294" t="s">
        <v>443</v>
      </c>
      <c r="D335" s="295">
        <v>4</v>
      </c>
      <c r="E335" s="296" t="s">
        <v>269</v>
      </c>
      <c r="F335" s="8"/>
      <c r="G335" s="294">
        <v>7</v>
      </c>
      <c r="H335" s="295">
        <v>2</v>
      </c>
      <c r="I335" s="295">
        <v>4</v>
      </c>
      <c r="J335" s="294">
        <v>100</v>
      </c>
      <c r="K335" s="297">
        <v>2600</v>
      </c>
      <c r="L335" s="295"/>
      <c r="M335" s="298">
        <v>0</v>
      </c>
      <c r="N335" s="299">
        <f>VLOOKUP(A335,Baupläne!$B$2:$X$1019,23,FALSE)</f>
        <v>5500</v>
      </c>
      <c r="O335" s="313">
        <f t="shared" si="32"/>
        <v>1</v>
      </c>
      <c r="P335" s="314">
        <f t="shared" si="32"/>
        <v>1.45</v>
      </c>
      <c r="Q335" s="182">
        <f>VLOOKUP(D335+3,Berechnungen!$A$3:$J$32,O335+6,FALSE)*P335</f>
        <v>82.276391812865484</v>
      </c>
      <c r="R335" s="315">
        <f t="shared" si="33"/>
        <v>0.25</v>
      </c>
      <c r="S335" s="301">
        <f>ROUND(Q335-Q335*R335,0)</f>
        <v>62</v>
      </c>
      <c r="T335" s="302">
        <f>ROUND(Q335+Q335*R335,0)</f>
        <v>103</v>
      </c>
      <c r="U335" s="301">
        <f>O335*S335</f>
        <v>62</v>
      </c>
      <c r="V335" s="301">
        <f>O335*T335</f>
        <v>103</v>
      </c>
      <c r="W335" s="303"/>
      <c r="X335" s="304"/>
      <c r="Y335" s="305"/>
      <c r="AA335" s="306"/>
      <c r="AB335" s="306">
        <v>42</v>
      </c>
      <c r="AC335" s="307"/>
      <c r="AD335" s="307"/>
      <c r="AE335" s="307"/>
      <c r="AF335" s="308"/>
    </row>
    <row r="336" spans="1:32" s="294" customFormat="1" outlineLevel="1" x14ac:dyDescent="0.2">
      <c r="A336" s="293">
        <v>2192</v>
      </c>
      <c r="B336" s="294" t="s">
        <v>454</v>
      </c>
      <c r="C336" s="294" t="s">
        <v>443</v>
      </c>
      <c r="D336" s="295">
        <v>9</v>
      </c>
      <c r="E336" s="296" t="s">
        <v>269</v>
      </c>
      <c r="F336" s="8"/>
      <c r="G336" s="294">
        <v>7</v>
      </c>
      <c r="H336" s="295">
        <v>2</v>
      </c>
      <c r="I336" s="295">
        <v>4</v>
      </c>
      <c r="J336" s="294">
        <v>100</v>
      </c>
      <c r="K336" s="297">
        <v>2900</v>
      </c>
      <c r="L336" s="295"/>
      <c r="M336" s="298">
        <v>0</v>
      </c>
      <c r="N336" s="299">
        <f>VLOOKUP(A336,Baupläne!$B$2:$X$1019,23,FALSE)</f>
        <v>11100</v>
      </c>
      <c r="O336" s="313">
        <f t="shared" si="32"/>
        <v>1</v>
      </c>
      <c r="P336" s="314">
        <f t="shared" si="32"/>
        <v>1.45</v>
      </c>
      <c r="Q336" s="182">
        <f>VLOOKUP(D336+3,Berechnungen!$A$3:$J$32,O336+6,FALSE)*P336</f>
        <v>122.42273684210525</v>
      </c>
      <c r="R336" s="315">
        <f t="shared" si="33"/>
        <v>0.25</v>
      </c>
      <c r="S336" s="301">
        <f>ROUND(Q336-Q336*R336,0)</f>
        <v>92</v>
      </c>
      <c r="T336" s="302">
        <f>ROUND(Q336+Q336*R336,0)</f>
        <v>153</v>
      </c>
      <c r="U336" s="301">
        <f>O336*S336</f>
        <v>92</v>
      </c>
      <c r="V336" s="301">
        <f>O336*T336</f>
        <v>153</v>
      </c>
      <c r="W336" s="303"/>
      <c r="X336" s="304"/>
      <c r="Y336" s="305"/>
      <c r="AA336" s="306"/>
      <c r="AB336" s="306">
        <v>42</v>
      </c>
      <c r="AC336" s="307"/>
      <c r="AD336" s="307"/>
      <c r="AE336" s="307"/>
      <c r="AF336" s="308"/>
    </row>
    <row r="337" spans="1:32" s="294" customFormat="1" outlineLevel="1" x14ac:dyDescent="0.2">
      <c r="A337" s="293">
        <v>2193</v>
      </c>
      <c r="B337" s="294" t="s">
        <v>455</v>
      </c>
      <c r="C337" s="294" t="s">
        <v>443</v>
      </c>
      <c r="D337" s="295">
        <v>14</v>
      </c>
      <c r="E337" s="296" t="s">
        <v>269</v>
      </c>
      <c r="F337" s="8"/>
      <c r="G337" s="294">
        <v>7</v>
      </c>
      <c r="H337" s="295">
        <v>2</v>
      </c>
      <c r="I337" s="295">
        <v>4</v>
      </c>
      <c r="J337" s="294">
        <v>100</v>
      </c>
      <c r="K337" s="297">
        <v>2800</v>
      </c>
      <c r="L337" s="295"/>
      <c r="M337" s="298">
        <v>0</v>
      </c>
      <c r="N337" s="299">
        <f>VLOOKUP(A337,Baupläne!$B$2:$X$1019,23,FALSE)</f>
        <v>22300</v>
      </c>
      <c r="O337" s="313">
        <f t="shared" si="32"/>
        <v>1</v>
      </c>
      <c r="P337" s="314">
        <f t="shared" si="32"/>
        <v>1.45</v>
      </c>
      <c r="Q337" s="182">
        <f>VLOOKUP(D337+3,Berechnungen!$A$3:$J$32,O337+6,FALSE)*P337</f>
        <v>167.29218128654969</v>
      </c>
      <c r="R337" s="315">
        <f t="shared" si="33"/>
        <v>0.25</v>
      </c>
      <c r="S337" s="301">
        <f>ROUND(Q337-Q337*R337,0)</f>
        <v>125</v>
      </c>
      <c r="T337" s="302">
        <f>ROUND(Q337+Q337*R337,0)</f>
        <v>209</v>
      </c>
      <c r="U337" s="301">
        <f>O337*S337</f>
        <v>125</v>
      </c>
      <c r="V337" s="301">
        <f>O337*T337</f>
        <v>209</v>
      </c>
      <c r="W337" s="303"/>
      <c r="X337" s="304"/>
      <c r="Y337" s="305"/>
      <c r="AA337" s="306"/>
      <c r="AB337" s="306">
        <v>42</v>
      </c>
      <c r="AC337" s="307"/>
      <c r="AD337" s="307"/>
      <c r="AE337" s="307"/>
      <c r="AF337" s="308"/>
    </row>
    <row r="338" spans="1:32" s="294" customFormat="1" outlineLevel="1" x14ac:dyDescent="0.2">
      <c r="A338" s="293">
        <v>2194</v>
      </c>
      <c r="B338" s="294" t="s">
        <v>456</v>
      </c>
      <c r="C338" s="294" t="s">
        <v>443</v>
      </c>
      <c r="D338" s="295">
        <v>19</v>
      </c>
      <c r="E338" s="296" t="s">
        <v>269</v>
      </c>
      <c r="F338" s="8"/>
      <c r="G338" s="294">
        <v>7</v>
      </c>
      <c r="H338" s="295">
        <v>2</v>
      </c>
      <c r="I338" s="295">
        <v>4</v>
      </c>
      <c r="J338" s="294">
        <v>100</v>
      </c>
      <c r="K338" s="297">
        <v>3100</v>
      </c>
      <c r="L338" s="295"/>
      <c r="M338" s="298">
        <v>0</v>
      </c>
      <c r="N338" s="299">
        <f>VLOOKUP(A338,Baupläne!$B$2:$X$1019,23,FALSE)</f>
        <v>42300</v>
      </c>
      <c r="O338" s="313">
        <f t="shared" si="32"/>
        <v>1</v>
      </c>
      <c r="P338" s="314">
        <f t="shared" si="32"/>
        <v>1.45</v>
      </c>
      <c r="Q338" s="182">
        <f>VLOOKUP(D338+3,Berechnungen!$A$3:$J$32,O338+6,FALSE)*P338</f>
        <v>216.8847251461988</v>
      </c>
      <c r="R338" s="315">
        <f t="shared" si="33"/>
        <v>0.25</v>
      </c>
      <c r="S338" s="301">
        <f>ROUND(Q338-Q338*R338,0)</f>
        <v>163</v>
      </c>
      <c r="T338" s="302">
        <f>ROUND(Q338+Q338*R338,0)</f>
        <v>271</v>
      </c>
      <c r="U338" s="301">
        <f>O338*S338</f>
        <v>163</v>
      </c>
      <c r="V338" s="301">
        <f>O338*T338</f>
        <v>271</v>
      </c>
      <c r="W338" s="303"/>
      <c r="X338" s="304"/>
      <c r="Y338" s="305"/>
      <c r="AA338" s="306"/>
      <c r="AB338" s="306">
        <v>42</v>
      </c>
      <c r="AC338" s="307"/>
      <c r="AD338" s="307"/>
      <c r="AE338" s="307"/>
      <c r="AF338" s="308"/>
    </row>
    <row r="339" spans="1:32" s="294" customFormat="1" outlineLevel="1" x14ac:dyDescent="0.2">
      <c r="A339" s="293">
        <v>2195</v>
      </c>
      <c r="B339" s="294" t="s">
        <v>457</v>
      </c>
      <c r="C339" s="294" t="s">
        <v>443</v>
      </c>
      <c r="D339" s="295">
        <v>25</v>
      </c>
      <c r="E339" s="296" t="s">
        <v>269</v>
      </c>
      <c r="F339" s="8"/>
      <c r="G339" s="294">
        <v>7</v>
      </c>
      <c r="H339" s="295">
        <v>2</v>
      </c>
      <c r="I339" s="295">
        <v>4</v>
      </c>
      <c r="J339" s="294">
        <v>100</v>
      </c>
      <c r="K339" s="297">
        <v>3200</v>
      </c>
      <c r="L339" s="295"/>
      <c r="M339" s="298">
        <v>0</v>
      </c>
      <c r="N339" s="299">
        <f>VLOOKUP(A339,Baupläne!$B$2:$X$1019,23,FALSE)</f>
        <v>82300</v>
      </c>
      <c r="O339" s="313">
        <f t="shared" si="32"/>
        <v>1</v>
      </c>
      <c r="P339" s="314">
        <f t="shared" si="32"/>
        <v>1.45</v>
      </c>
      <c r="Q339" s="182">
        <f>VLOOKUP(D339+3,Berechnungen!$A$3:$J$32,O339+6,FALSE)*P339</f>
        <v>282.63026900584794</v>
      </c>
      <c r="R339" s="315">
        <f t="shared" si="33"/>
        <v>0.25</v>
      </c>
      <c r="S339" s="301">
        <f>ROUND(Q339-Q339*R339,0)</f>
        <v>212</v>
      </c>
      <c r="T339" s="302">
        <f>ROUND(Q339+Q339*R339,0)</f>
        <v>353</v>
      </c>
      <c r="U339" s="301">
        <f>O339*S339</f>
        <v>212</v>
      </c>
      <c r="V339" s="301">
        <f>O339*T339</f>
        <v>353</v>
      </c>
      <c r="W339" s="303"/>
      <c r="X339" s="304"/>
      <c r="Y339" s="305"/>
      <c r="AA339" s="306"/>
      <c r="AB339" s="306">
        <v>42</v>
      </c>
      <c r="AC339" s="307"/>
      <c r="AD339" s="307"/>
      <c r="AE339" s="307"/>
      <c r="AF339" s="308"/>
    </row>
    <row r="340" spans="1:32" x14ac:dyDescent="0.2">
      <c r="A340" s="271"/>
      <c r="B340" s="272" t="s">
        <v>195</v>
      </c>
      <c r="C340" s="321"/>
      <c r="D340" s="322"/>
      <c r="E340" s="323"/>
      <c r="F340" s="324"/>
      <c r="G340" s="321"/>
      <c r="H340" s="322"/>
      <c r="I340" s="322"/>
      <c r="J340" s="321"/>
      <c r="K340" s="325"/>
      <c r="L340" s="322"/>
      <c r="M340" s="326"/>
      <c r="N340" s="327"/>
      <c r="O340" s="328"/>
      <c r="P340" s="329"/>
      <c r="Q340" s="281"/>
      <c r="R340" s="330"/>
      <c r="S340" s="281"/>
      <c r="T340" s="282"/>
      <c r="U340" s="281"/>
      <c r="V340" s="281"/>
      <c r="W340" s="283"/>
      <c r="X340" s="284"/>
      <c r="Y340" s="285"/>
      <c r="Z340" s="286"/>
      <c r="AA340" s="287"/>
      <c r="AB340" s="287"/>
      <c r="AC340" s="288"/>
      <c r="AD340" s="288"/>
      <c r="AE340" s="288"/>
      <c r="AF340" s="289"/>
    </row>
    <row r="341" spans="1:32" ht="12.75" customHeight="1" outlineLevel="1" x14ac:dyDescent="0.2">
      <c r="A341" s="5">
        <v>1201</v>
      </c>
      <c r="B341" s="3" t="s">
        <v>458</v>
      </c>
      <c r="C341" s="3" t="s">
        <v>53</v>
      </c>
      <c r="D341" s="54">
        <v>1</v>
      </c>
      <c r="E341" s="331" t="s">
        <v>195</v>
      </c>
      <c r="F341" s="56"/>
      <c r="G341" s="3">
        <v>8</v>
      </c>
      <c r="H341" s="54">
        <v>1</v>
      </c>
      <c r="I341" s="54">
        <v>11</v>
      </c>
      <c r="J341" s="3">
        <v>100</v>
      </c>
      <c r="K341" s="57">
        <v>800</v>
      </c>
      <c r="L341" s="54"/>
      <c r="M341" s="58">
        <v>1</v>
      </c>
      <c r="N341" s="59">
        <f>VLOOKUP(A341,Baupläne!$B$2:$X$1019,23,FALSE)</f>
        <v>1000</v>
      </c>
      <c r="W341" s="17">
        <f>ROUND($X341*Berechnungen!$B$91,1)</f>
        <v>0.4</v>
      </c>
      <c r="X341" s="787">
        <f>ROUND(VLOOKUP($D341,Berechnungen!$A$37:$F$61,4),0)</f>
        <v>2</v>
      </c>
      <c r="Y341" s="332">
        <v>0</v>
      </c>
      <c r="Z341" s="333"/>
      <c r="AC341" s="227"/>
      <c r="AD341" s="227"/>
      <c r="AE341" s="227"/>
      <c r="AF341" s="228"/>
    </row>
    <row r="342" spans="1:32" outlineLevel="1" x14ac:dyDescent="0.2">
      <c r="A342" s="5">
        <v>1202</v>
      </c>
      <c r="B342" s="3" t="s">
        <v>459</v>
      </c>
      <c r="C342" s="3" t="s">
        <v>53</v>
      </c>
      <c r="D342" s="54">
        <v>1</v>
      </c>
      <c r="E342" s="55" t="s">
        <v>195</v>
      </c>
      <c r="F342" s="56"/>
      <c r="G342" s="3">
        <v>8</v>
      </c>
      <c r="H342" s="54">
        <v>1</v>
      </c>
      <c r="I342" s="54">
        <v>12</v>
      </c>
      <c r="J342" s="3">
        <v>100</v>
      </c>
      <c r="K342" s="57">
        <v>1200</v>
      </c>
      <c r="L342" s="54"/>
      <c r="M342" s="58">
        <v>1</v>
      </c>
      <c r="N342" s="59">
        <f>VLOOKUP(A342,Baupläne!$B$2:$X$1019,23,FALSE)</f>
        <v>1500</v>
      </c>
      <c r="W342" s="17">
        <f>ROUND($X341*Berechnungen!$B$92,1)</f>
        <v>0.6</v>
      </c>
      <c r="X342" s="787"/>
      <c r="Y342" s="332">
        <v>0</v>
      </c>
      <c r="Z342" s="333"/>
      <c r="AC342" s="227"/>
      <c r="AD342" s="227"/>
      <c r="AE342" s="227"/>
      <c r="AF342" s="228"/>
    </row>
    <row r="343" spans="1:32" outlineLevel="1" x14ac:dyDescent="0.2">
      <c r="A343" s="5">
        <v>1203</v>
      </c>
      <c r="B343" s="3" t="s">
        <v>460</v>
      </c>
      <c r="C343" s="3" t="s">
        <v>53</v>
      </c>
      <c r="D343" s="54">
        <v>2</v>
      </c>
      <c r="E343" s="55" t="s">
        <v>195</v>
      </c>
      <c r="F343" s="56"/>
      <c r="G343" s="3">
        <v>8</v>
      </c>
      <c r="H343" s="54">
        <v>1</v>
      </c>
      <c r="I343" s="54">
        <v>13</v>
      </c>
      <c r="J343" s="3">
        <v>100</v>
      </c>
      <c r="K343" s="57">
        <v>600</v>
      </c>
      <c r="L343" s="54"/>
      <c r="M343" s="58">
        <v>1</v>
      </c>
      <c r="N343" s="59">
        <f>VLOOKUP(A343,Baupläne!$B$2:$X$1019,23,FALSE)</f>
        <v>900</v>
      </c>
      <c r="W343" s="17">
        <f>ROUND($X341*Berechnungen!$B$93,1)</f>
        <v>0.3</v>
      </c>
      <c r="X343" s="787"/>
      <c r="Y343" s="332">
        <v>0</v>
      </c>
      <c r="Z343" s="333"/>
      <c r="AC343" s="227"/>
      <c r="AD343" s="227"/>
      <c r="AE343" s="227"/>
      <c r="AF343" s="228"/>
    </row>
    <row r="344" spans="1:32" outlineLevel="1" x14ac:dyDescent="0.2">
      <c r="A344" s="5">
        <v>1204</v>
      </c>
      <c r="B344" s="3" t="s">
        <v>461</v>
      </c>
      <c r="C344" s="3" t="s">
        <v>53</v>
      </c>
      <c r="D344" s="54">
        <v>2</v>
      </c>
      <c r="E344" s="55" t="s">
        <v>195</v>
      </c>
      <c r="F344" s="56"/>
      <c r="G344" s="3">
        <v>8</v>
      </c>
      <c r="H344" s="54">
        <v>1</v>
      </c>
      <c r="I344" s="54">
        <v>14</v>
      </c>
      <c r="J344" s="3">
        <v>100</v>
      </c>
      <c r="K344" s="57">
        <v>800</v>
      </c>
      <c r="L344" s="54"/>
      <c r="M344" s="58">
        <v>1</v>
      </c>
      <c r="N344" s="59">
        <f>VLOOKUP(A344,Baupläne!$B$2:$X$1019,23,FALSE)</f>
        <v>1200</v>
      </c>
      <c r="W344" s="17">
        <f>ROUND($X341*Berechnungen!$B$94,1)</f>
        <v>0.4</v>
      </c>
      <c r="X344" s="787"/>
      <c r="Y344" s="332">
        <v>0</v>
      </c>
      <c r="Z344" s="333"/>
      <c r="AC344" s="227"/>
      <c r="AD344" s="227"/>
      <c r="AE344" s="227"/>
      <c r="AF344" s="228"/>
    </row>
    <row r="345" spans="1:32" outlineLevel="1" x14ac:dyDescent="0.2">
      <c r="A345" s="5">
        <v>1205</v>
      </c>
      <c r="B345" s="3" t="s">
        <v>462</v>
      </c>
      <c r="C345" s="3" t="s">
        <v>53</v>
      </c>
      <c r="D345" s="54">
        <v>2</v>
      </c>
      <c r="E345" s="55" t="s">
        <v>195</v>
      </c>
      <c r="F345" s="56"/>
      <c r="G345" s="3">
        <v>8</v>
      </c>
      <c r="H345" s="54">
        <v>1</v>
      </c>
      <c r="I345" s="54">
        <v>15</v>
      </c>
      <c r="J345" s="3">
        <v>100</v>
      </c>
      <c r="K345" s="57">
        <v>600</v>
      </c>
      <c r="L345" s="54"/>
      <c r="M345" s="58">
        <v>1</v>
      </c>
      <c r="N345" s="59">
        <f>VLOOKUP(A345,Baupläne!$B$2:$X$1019,23,FALSE)</f>
        <v>900</v>
      </c>
      <c r="W345" s="17">
        <f>ROUND($X341*Berechnungen!$B$95,1)</f>
        <v>0.3</v>
      </c>
      <c r="X345" s="787"/>
      <c r="Y345" s="332">
        <v>0</v>
      </c>
      <c r="Z345" s="333"/>
      <c r="AC345" s="227"/>
      <c r="AD345" s="227"/>
      <c r="AE345" s="227"/>
      <c r="AF345" s="228"/>
    </row>
    <row r="346" spans="1:32" ht="12.75" customHeight="1" outlineLevel="1" x14ac:dyDescent="0.2">
      <c r="A346" s="5">
        <v>1206</v>
      </c>
      <c r="B346" s="3" t="s">
        <v>463</v>
      </c>
      <c r="C346" s="3" t="s">
        <v>53</v>
      </c>
      <c r="D346" s="54">
        <v>4</v>
      </c>
      <c r="E346" s="55" t="s">
        <v>195</v>
      </c>
      <c r="F346" s="56"/>
      <c r="G346" s="3">
        <v>8</v>
      </c>
      <c r="H346" s="54">
        <v>1</v>
      </c>
      <c r="I346" s="54">
        <v>11</v>
      </c>
      <c r="J346" s="3">
        <v>100</v>
      </c>
      <c r="K346" s="57">
        <v>1200</v>
      </c>
      <c r="L346" s="54"/>
      <c r="M346" s="58">
        <v>1</v>
      </c>
      <c r="N346" s="59">
        <f>VLOOKUP(A346,Baupläne!$B$2:$X$1019,23,FALSE)</f>
        <v>1500</v>
      </c>
      <c r="W346" s="17">
        <f>ROUND($X346*Berechnungen!$B$91,1)</f>
        <v>0.6</v>
      </c>
      <c r="X346" s="787">
        <f>ROUND(VLOOKUP($D346,Berechnungen!$A$37:$F$61,4),0)</f>
        <v>3</v>
      </c>
      <c r="Y346" s="332">
        <v>0</v>
      </c>
      <c r="Z346" s="333"/>
      <c r="AC346" s="227"/>
      <c r="AD346" s="227"/>
      <c r="AE346" s="227"/>
      <c r="AF346" s="228"/>
    </row>
    <row r="347" spans="1:32" outlineLevel="1" x14ac:dyDescent="0.2">
      <c r="A347" s="5">
        <v>1207</v>
      </c>
      <c r="B347" s="3" t="s">
        <v>464</v>
      </c>
      <c r="C347" s="3" t="s">
        <v>53</v>
      </c>
      <c r="D347" s="54">
        <v>4</v>
      </c>
      <c r="E347" s="55" t="s">
        <v>195</v>
      </c>
      <c r="F347" s="56"/>
      <c r="G347" s="3">
        <v>8</v>
      </c>
      <c r="H347" s="54">
        <v>1</v>
      </c>
      <c r="I347" s="54">
        <v>12</v>
      </c>
      <c r="J347" s="3">
        <v>100</v>
      </c>
      <c r="K347" s="57">
        <v>1800</v>
      </c>
      <c r="L347" s="54"/>
      <c r="M347" s="58">
        <v>1</v>
      </c>
      <c r="N347" s="59">
        <f>VLOOKUP(A347,Baupläne!$B$2:$X$1019,23,FALSE)</f>
        <v>2300</v>
      </c>
      <c r="W347" s="17">
        <f>ROUND($X346*Berechnungen!$B$92,1)</f>
        <v>0.9</v>
      </c>
      <c r="X347" s="787"/>
      <c r="Y347" s="332">
        <v>0</v>
      </c>
      <c r="Z347" s="333"/>
      <c r="AC347" s="227"/>
      <c r="AD347" s="227"/>
      <c r="AE347" s="227"/>
      <c r="AF347" s="228"/>
    </row>
    <row r="348" spans="1:32" outlineLevel="1" x14ac:dyDescent="0.2">
      <c r="A348" s="5">
        <v>1208</v>
      </c>
      <c r="B348" s="3" t="s">
        <v>465</v>
      </c>
      <c r="C348" s="3" t="s">
        <v>53</v>
      </c>
      <c r="D348" s="54">
        <v>5</v>
      </c>
      <c r="E348" s="55" t="s">
        <v>195</v>
      </c>
      <c r="F348" s="56"/>
      <c r="G348" s="3">
        <v>8</v>
      </c>
      <c r="H348" s="54">
        <v>1</v>
      </c>
      <c r="I348" s="54">
        <v>13</v>
      </c>
      <c r="J348" s="3">
        <v>100</v>
      </c>
      <c r="K348" s="57">
        <v>900</v>
      </c>
      <c r="L348" s="54"/>
      <c r="M348" s="58">
        <v>1</v>
      </c>
      <c r="N348" s="59">
        <f>VLOOKUP(A348,Baupläne!$B$2:$X$1019,23,FALSE)</f>
        <v>1300</v>
      </c>
      <c r="W348" s="17">
        <f>ROUND($X346*Berechnungen!$B$93,1)</f>
        <v>0.5</v>
      </c>
      <c r="X348" s="787"/>
      <c r="Y348" s="332">
        <v>0</v>
      </c>
      <c r="Z348" s="333"/>
      <c r="AC348" s="227"/>
      <c r="AD348" s="227"/>
      <c r="AE348" s="227"/>
      <c r="AF348" s="228"/>
    </row>
    <row r="349" spans="1:32" outlineLevel="1" x14ac:dyDescent="0.2">
      <c r="A349" s="5">
        <v>1209</v>
      </c>
      <c r="B349" s="3" t="s">
        <v>466</v>
      </c>
      <c r="C349" s="3" t="s">
        <v>53</v>
      </c>
      <c r="D349" s="54">
        <v>5</v>
      </c>
      <c r="E349" s="55" t="s">
        <v>195</v>
      </c>
      <c r="F349" s="56"/>
      <c r="G349" s="3">
        <v>8</v>
      </c>
      <c r="H349" s="54">
        <v>1</v>
      </c>
      <c r="I349" s="54">
        <v>14</v>
      </c>
      <c r="J349" s="3">
        <v>100</v>
      </c>
      <c r="K349" s="57">
        <v>1200</v>
      </c>
      <c r="L349" s="54"/>
      <c r="M349" s="58">
        <v>1</v>
      </c>
      <c r="N349" s="59">
        <f>VLOOKUP(A349,Baupläne!$B$2:$X$1019,23,FALSE)</f>
        <v>1700</v>
      </c>
      <c r="W349" s="17">
        <f>ROUND($X346*Berechnungen!$B$94,1)</f>
        <v>0.6</v>
      </c>
      <c r="X349" s="787"/>
      <c r="Y349" s="332">
        <v>0</v>
      </c>
      <c r="Z349" s="333"/>
      <c r="AC349" s="227"/>
      <c r="AD349" s="227"/>
      <c r="AE349" s="227"/>
      <c r="AF349" s="228"/>
    </row>
    <row r="350" spans="1:32" outlineLevel="1" x14ac:dyDescent="0.2">
      <c r="A350" s="5">
        <v>1210</v>
      </c>
      <c r="B350" s="334" t="s">
        <v>467</v>
      </c>
      <c r="C350" s="334" t="s">
        <v>53</v>
      </c>
      <c r="D350" s="335">
        <v>5</v>
      </c>
      <c r="E350" s="336" t="s">
        <v>195</v>
      </c>
      <c r="F350" s="337"/>
      <c r="G350" s="334">
        <v>8</v>
      </c>
      <c r="H350" s="335">
        <v>1</v>
      </c>
      <c r="I350" s="335">
        <v>15</v>
      </c>
      <c r="J350" s="334">
        <v>100</v>
      </c>
      <c r="K350" s="338">
        <v>900</v>
      </c>
      <c r="L350" s="335"/>
      <c r="M350" s="339">
        <v>1</v>
      </c>
      <c r="N350" s="59">
        <f>VLOOKUP(A350,Baupläne!$B$2:$X$1019,23,FALSE)</f>
        <v>1300</v>
      </c>
      <c r="O350" s="340"/>
      <c r="P350" s="235"/>
      <c r="Q350" s="231"/>
      <c r="R350" s="236"/>
      <c r="S350" s="231"/>
      <c r="T350" s="230"/>
      <c r="U350" s="231"/>
      <c r="V350" s="231"/>
      <c r="W350" s="232">
        <f>ROUND($X346*Berechnungen!$B$95,1)</f>
        <v>0.5</v>
      </c>
      <c r="X350" s="787"/>
      <c r="Y350" s="341">
        <v>0</v>
      </c>
      <c r="Z350" s="342"/>
      <c r="AA350" s="236"/>
      <c r="AB350" s="236"/>
      <c r="AC350" s="343"/>
      <c r="AD350" s="343"/>
      <c r="AE350" s="343"/>
      <c r="AF350" s="344"/>
    </row>
    <row r="351" spans="1:32" ht="12.75" customHeight="1" outlineLevel="1" x14ac:dyDescent="0.2">
      <c r="A351" s="5">
        <v>1211</v>
      </c>
      <c r="B351" s="3" t="s">
        <v>468</v>
      </c>
      <c r="C351" s="3" t="s">
        <v>53</v>
      </c>
      <c r="D351" s="54">
        <v>6</v>
      </c>
      <c r="E351" s="331" t="s">
        <v>195</v>
      </c>
      <c r="F351" s="56"/>
      <c r="G351" s="3">
        <v>8</v>
      </c>
      <c r="H351" s="54">
        <v>1</v>
      </c>
      <c r="I351" s="54">
        <v>11</v>
      </c>
      <c r="J351" s="3">
        <v>100</v>
      </c>
      <c r="K351" s="57">
        <v>800</v>
      </c>
      <c r="L351" s="54"/>
      <c r="M351" s="58">
        <v>2</v>
      </c>
      <c r="N351" s="59">
        <f>VLOOKUP(A351,Baupläne!$B$2:$X$1019,23,FALSE)</f>
        <v>2000</v>
      </c>
      <c r="W351" s="17">
        <f>ROUND($X351*Berechnungen!$B$91,1)</f>
        <v>0.8</v>
      </c>
      <c r="X351" s="789">
        <f>ROUND(VLOOKUP($D351,Berechnungen!$A$37:$F$61,4),0)</f>
        <v>4</v>
      </c>
      <c r="Y351" s="332">
        <v>0</v>
      </c>
      <c r="Z351" s="333"/>
      <c r="AC351" s="227"/>
      <c r="AD351" s="227"/>
      <c r="AE351" s="227"/>
      <c r="AF351" s="228"/>
    </row>
    <row r="352" spans="1:32" outlineLevel="1" x14ac:dyDescent="0.2">
      <c r="A352" s="5">
        <v>1212</v>
      </c>
      <c r="B352" s="3" t="s">
        <v>469</v>
      </c>
      <c r="C352" s="3" t="s">
        <v>53</v>
      </c>
      <c r="D352" s="54">
        <v>6</v>
      </c>
      <c r="E352" s="55" t="s">
        <v>195</v>
      </c>
      <c r="F352" s="56"/>
      <c r="G352" s="3">
        <v>8</v>
      </c>
      <c r="H352" s="54">
        <v>1</v>
      </c>
      <c r="I352" s="54">
        <v>12</v>
      </c>
      <c r="J352" s="3">
        <v>100</v>
      </c>
      <c r="K352" s="57">
        <v>1200</v>
      </c>
      <c r="L352" s="54"/>
      <c r="M352" s="58">
        <v>2</v>
      </c>
      <c r="N352" s="59">
        <f>VLOOKUP(A352,Baupläne!$B$2:$X$1019,23,FALSE)</f>
        <v>3000</v>
      </c>
      <c r="W352" s="17">
        <f>ROUND($X351*Berechnungen!$B$92,1)</f>
        <v>1.2</v>
      </c>
      <c r="X352" s="789"/>
      <c r="Y352" s="332">
        <v>0</v>
      </c>
      <c r="Z352" s="333"/>
      <c r="AC352" s="227"/>
      <c r="AD352" s="227"/>
      <c r="AE352" s="227"/>
      <c r="AF352" s="228"/>
    </row>
    <row r="353" spans="1:32" outlineLevel="1" x14ac:dyDescent="0.2">
      <c r="A353" s="5">
        <v>1213</v>
      </c>
      <c r="B353" s="3" t="s">
        <v>470</v>
      </c>
      <c r="C353" s="3" t="s">
        <v>53</v>
      </c>
      <c r="D353" s="54">
        <v>7</v>
      </c>
      <c r="E353" s="55" t="s">
        <v>195</v>
      </c>
      <c r="F353" s="56"/>
      <c r="G353" s="3">
        <v>8</v>
      </c>
      <c r="H353" s="54">
        <v>1</v>
      </c>
      <c r="I353" s="54">
        <v>13</v>
      </c>
      <c r="J353" s="3">
        <v>100</v>
      </c>
      <c r="K353" s="57">
        <v>600</v>
      </c>
      <c r="L353" s="54"/>
      <c r="M353" s="58">
        <v>2</v>
      </c>
      <c r="N353" s="59">
        <f>VLOOKUP(A353,Baupläne!$B$2:$X$1019,23,FALSE)</f>
        <v>1700</v>
      </c>
      <c r="W353" s="17">
        <f>ROUND($X351*Berechnungen!$B$93,1)</f>
        <v>0.6</v>
      </c>
      <c r="X353" s="789"/>
      <c r="Y353" s="332">
        <v>0</v>
      </c>
      <c r="Z353" s="333"/>
      <c r="AC353" s="227"/>
      <c r="AD353" s="227"/>
      <c r="AE353" s="227"/>
      <c r="AF353" s="228"/>
    </row>
    <row r="354" spans="1:32" outlineLevel="1" x14ac:dyDescent="0.2">
      <c r="A354" s="5">
        <v>1214</v>
      </c>
      <c r="B354" s="3" t="s">
        <v>471</v>
      </c>
      <c r="C354" s="3" t="s">
        <v>53</v>
      </c>
      <c r="D354" s="54">
        <v>7</v>
      </c>
      <c r="E354" s="55" t="s">
        <v>195</v>
      </c>
      <c r="F354" s="56"/>
      <c r="G354" s="3">
        <v>8</v>
      </c>
      <c r="H354" s="54">
        <v>1</v>
      </c>
      <c r="I354" s="54">
        <v>14</v>
      </c>
      <c r="J354" s="3">
        <v>100</v>
      </c>
      <c r="K354" s="57">
        <v>800</v>
      </c>
      <c r="L354" s="54"/>
      <c r="M354" s="58">
        <v>2</v>
      </c>
      <c r="N354" s="59">
        <f>VLOOKUP(A354,Baupläne!$B$2:$X$1019,23,FALSE)</f>
        <v>2300</v>
      </c>
      <c r="W354" s="17">
        <f>ROUND($X351*Berechnungen!$B$94,1)</f>
        <v>0.8</v>
      </c>
      <c r="X354" s="789"/>
      <c r="Y354" s="332">
        <v>0</v>
      </c>
      <c r="Z354" s="333"/>
      <c r="AC354" s="227"/>
      <c r="AD354" s="227"/>
      <c r="AE354" s="227"/>
      <c r="AF354" s="228"/>
    </row>
    <row r="355" spans="1:32" outlineLevel="1" x14ac:dyDescent="0.2">
      <c r="A355" s="5">
        <v>1215</v>
      </c>
      <c r="B355" s="3" t="s">
        <v>472</v>
      </c>
      <c r="C355" s="3" t="s">
        <v>53</v>
      </c>
      <c r="D355" s="54">
        <v>7</v>
      </c>
      <c r="E355" s="55" t="s">
        <v>195</v>
      </c>
      <c r="F355" s="56"/>
      <c r="G355" s="3">
        <v>8</v>
      </c>
      <c r="H355" s="54">
        <v>1</v>
      </c>
      <c r="I355" s="54">
        <v>15</v>
      </c>
      <c r="J355" s="3">
        <v>100</v>
      </c>
      <c r="K355" s="57">
        <v>600</v>
      </c>
      <c r="L355" s="54"/>
      <c r="M355" s="58">
        <v>2</v>
      </c>
      <c r="N355" s="59">
        <f>VLOOKUP(A355,Baupläne!$B$2:$X$1019,23,FALSE)</f>
        <v>1700</v>
      </c>
      <c r="W355" s="17">
        <f>ROUND($X351*Berechnungen!$B$95,1)</f>
        <v>0.6</v>
      </c>
      <c r="X355" s="789"/>
      <c r="Y355" s="332">
        <v>0</v>
      </c>
      <c r="Z355" s="333"/>
      <c r="AC355" s="227"/>
      <c r="AD355" s="227"/>
      <c r="AE355" s="227"/>
      <c r="AF355" s="228"/>
    </row>
    <row r="356" spans="1:32" ht="12.75" customHeight="1" outlineLevel="1" x14ac:dyDescent="0.2">
      <c r="A356" s="5">
        <v>1216</v>
      </c>
      <c r="B356" s="3" t="s">
        <v>473</v>
      </c>
      <c r="C356" s="3" t="s">
        <v>53</v>
      </c>
      <c r="D356" s="54">
        <v>9</v>
      </c>
      <c r="E356" s="55" t="s">
        <v>195</v>
      </c>
      <c r="F356" s="56"/>
      <c r="G356" s="3">
        <v>8</v>
      </c>
      <c r="H356" s="54">
        <v>1</v>
      </c>
      <c r="I356" s="54">
        <v>11</v>
      </c>
      <c r="J356" s="3">
        <v>100</v>
      </c>
      <c r="K356" s="57">
        <v>1200</v>
      </c>
      <c r="L356" s="54"/>
      <c r="M356" s="58">
        <v>2</v>
      </c>
      <c r="N356" s="59">
        <f>VLOOKUP(A356,Baupläne!$B$2:$X$1019,23,FALSE)</f>
        <v>3100</v>
      </c>
      <c r="W356" s="17">
        <f>ROUND($X356*Berechnungen!$B$91,1)</f>
        <v>1</v>
      </c>
      <c r="X356" s="787">
        <f>ROUND(VLOOKUP($D356,Berechnungen!$A$37:$F$61,4),0)</f>
        <v>5</v>
      </c>
      <c r="Y356" s="332">
        <v>0</v>
      </c>
      <c r="Z356" s="333"/>
      <c r="AC356" s="227"/>
      <c r="AD356" s="227"/>
      <c r="AE356" s="227"/>
      <c r="AF356" s="228"/>
    </row>
    <row r="357" spans="1:32" outlineLevel="1" x14ac:dyDescent="0.2">
      <c r="A357" s="5">
        <v>1217</v>
      </c>
      <c r="B357" s="3" t="s">
        <v>474</v>
      </c>
      <c r="C357" s="3" t="s">
        <v>53</v>
      </c>
      <c r="D357" s="54">
        <v>9</v>
      </c>
      <c r="E357" s="55" t="s">
        <v>195</v>
      </c>
      <c r="F357" s="56"/>
      <c r="G357" s="3">
        <v>8</v>
      </c>
      <c r="H357" s="54">
        <v>1</v>
      </c>
      <c r="I357" s="54">
        <v>12</v>
      </c>
      <c r="J357" s="3">
        <v>100</v>
      </c>
      <c r="K357" s="57">
        <v>1800</v>
      </c>
      <c r="L357" s="54"/>
      <c r="M357" s="58">
        <v>2</v>
      </c>
      <c r="N357" s="59">
        <f>VLOOKUP(A357,Baupläne!$B$2:$X$1019,23,FALSE)</f>
        <v>4600</v>
      </c>
      <c r="W357" s="17">
        <f>ROUND($X356*Berechnungen!$B$92,1)</f>
        <v>1.5</v>
      </c>
      <c r="X357" s="787"/>
      <c r="Y357" s="332">
        <v>0</v>
      </c>
      <c r="Z357" s="333"/>
      <c r="AC357" s="227"/>
      <c r="AD357" s="227"/>
      <c r="AE357" s="227"/>
      <c r="AF357" s="228"/>
    </row>
    <row r="358" spans="1:32" outlineLevel="1" x14ac:dyDescent="0.2">
      <c r="A358" s="5">
        <v>1218</v>
      </c>
      <c r="B358" s="3" t="s">
        <v>475</v>
      </c>
      <c r="C358" s="3" t="s">
        <v>53</v>
      </c>
      <c r="D358" s="54">
        <v>10</v>
      </c>
      <c r="E358" s="55" t="s">
        <v>195</v>
      </c>
      <c r="F358" s="56"/>
      <c r="G358" s="3">
        <v>8</v>
      </c>
      <c r="H358" s="54">
        <v>1</v>
      </c>
      <c r="I358" s="54">
        <v>13</v>
      </c>
      <c r="J358" s="3">
        <v>100</v>
      </c>
      <c r="K358" s="57">
        <v>900</v>
      </c>
      <c r="L358" s="54"/>
      <c r="M358" s="58">
        <v>2</v>
      </c>
      <c r="N358" s="59">
        <f>VLOOKUP(A358,Baupläne!$B$2:$X$1019,23,FALSE)</f>
        <v>2600</v>
      </c>
      <c r="W358" s="17">
        <f>ROUND($X356*Berechnungen!$B$93,1)</f>
        <v>0.8</v>
      </c>
      <c r="X358" s="787"/>
      <c r="Y358" s="332">
        <v>0</v>
      </c>
      <c r="Z358" s="333"/>
      <c r="AC358" s="227"/>
      <c r="AD358" s="227"/>
      <c r="AE358" s="227"/>
      <c r="AF358" s="228"/>
    </row>
    <row r="359" spans="1:32" outlineLevel="1" x14ac:dyDescent="0.2">
      <c r="A359" s="5">
        <v>1219</v>
      </c>
      <c r="B359" s="3" t="s">
        <v>476</v>
      </c>
      <c r="C359" s="3" t="s">
        <v>53</v>
      </c>
      <c r="D359" s="54">
        <v>10</v>
      </c>
      <c r="E359" s="55" t="s">
        <v>195</v>
      </c>
      <c r="F359" s="56"/>
      <c r="G359" s="3">
        <v>8</v>
      </c>
      <c r="H359" s="54">
        <v>1</v>
      </c>
      <c r="I359" s="54">
        <v>14</v>
      </c>
      <c r="J359" s="3">
        <v>100</v>
      </c>
      <c r="K359" s="57">
        <v>1200</v>
      </c>
      <c r="L359" s="54"/>
      <c r="M359" s="58">
        <v>2</v>
      </c>
      <c r="N359" s="59">
        <f>VLOOKUP(A359,Baupläne!$B$2:$X$1019,23,FALSE)</f>
        <v>3500</v>
      </c>
      <c r="W359" s="17">
        <f>ROUND($X356*Berechnungen!$B$94,1)</f>
        <v>1</v>
      </c>
      <c r="X359" s="787"/>
      <c r="Y359" s="332">
        <v>0</v>
      </c>
      <c r="Z359" s="333"/>
      <c r="AC359" s="227"/>
      <c r="AD359" s="227"/>
      <c r="AE359" s="227"/>
      <c r="AF359" s="228"/>
    </row>
    <row r="360" spans="1:32" outlineLevel="1" x14ac:dyDescent="0.2">
      <c r="A360" s="5">
        <v>1220</v>
      </c>
      <c r="B360" s="334" t="s">
        <v>477</v>
      </c>
      <c r="C360" s="334" t="s">
        <v>53</v>
      </c>
      <c r="D360" s="335">
        <v>10</v>
      </c>
      <c r="E360" s="336" t="s">
        <v>195</v>
      </c>
      <c r="F360" s="337"/>
      <c r="G360" s="334">
        <v>8</v>
      </c>
      <c r="H360" s="335">
        <v>1</v>
      </c>
      <c r="I360" s="335">
        <v>15</v>
      </c>
      <c r="J360" s="334">
        <v>100</v>
      </c>
      <c r="K360" s="338">
        <v>900</v>
      </c>
      <c r="L360" s="335"/>
      <c r="M360" s="339">
        <v>2</v>
      </c>
      <c r="N360" s="59">
        <f>VLOOKUP(A360,Baupläne!$B$2:$X$1019,23,FALSE)</f>
        <v>2600</v>
      </c>
      <c r="O360" s="340"/>
      <c r="P360" s="235"/>
      <c r="Q360" s="231"/>
      <c r="R360" s="236"/>
      <c r="S360" s="231"/>
      <c r="T360" s="230"/>
      <c r="U360" s="231"/>
      <c r="V360" s="231"/>
      <c r="W360" s="232">
        <f>ROUND($X356*Berechnungen!$B$95,1)</f>
        <v>0.8</v>
      </c>
      <c r="X360" s="787"/>
      <c r="Y360" s="341">
        <v>0</v>
      </c>
      <c r="Z360" s="342"/>
      <c r="AA360" s="236"/>
      <c r="AB360" s="236"/>
      <c r="AC360" s="343"/>
      <c r="AD360" s="343"/>
      <c r="AE360" s="343"/>
      <c r="AF360" s="344"/>
    </row>
    <row r="361" spans="1:32" ht="12.75" customHeight="1" outlineLevel="1" x14ac:dyDescent="0.2">
      <c r="A361" s="5">
        <v>1221</v>
      </c>
      <c r="B361" s="3" t="s">
        <v>478</v>
      </c>
      <c r="C361" s="3" t="s">
        <v>53</v>
      </c>
      <c r="D361" s="54">
        <v>11</v>
      </c>
      <c r="E361" s="331" t="s">
        <v>195</v>
      </c>
      <c r="F361" s="56"/>
      <c r="G361" s="3">
        <v>8</v>
      </c>
      <c r="H361" s="54">
        <v>1</v>
      </c>
      <c r="I361" s="54">
        <v>11</v>
      </c>
      <c r="J361" s="3">
        <v>100</v>
      </c>
      <c r="K361" s="57">
        <v>800</v>
      </c>
      <c r="L361" s="54"/>
      <c r="M361" s="58">
        <v>3</v>
      </c>
      <c r="N361" s="59">
        <f>VLOOKUP(A361,Baupläne!$B$2:$X$1019,23,FALSE)</f>
        <v>4000</v>
      </c>
      <c r="W361" s="17">
        <f>ROUND($X361*Berechnungen!$B$91,1)</f>
        <v>1.2</v>
      </c>
      <c r="X361" s="789">
        <f>ROUND(VLOOKUP($D361,Berechnungen!$A$37:$F$61,4),0)</f>
        <v>6</v>
      </c>
      <c r="Y361" s="332">
        <v>0</v>
      </c>
      <c r="Z361" s="333"/>
      <c r="AC361" s="227"/>
      <c r="AD361" s="227"/>
      <c r="AE361" s="227"/>
      <c r="AF361" s="228"/>
    </row>
    <row r="362" spans="1:32" outlineLevel="1" x14ac:dyDescent="0.2">
      <c r="A362" s="5">
        <v>1222</v>
      </c>
      <c r="B362" s="3" t="s">
        <v>479</v>
      </c>
      <c r="C362" s="3" t="s">
        <v>53</v>
      </c>
      <c r="D362" s="54">
        <v>11</v>
      </c>
      <c r="E362" s="55" t="s">
        <v>195</v>
      </c>
      <c r="F362" s="56"/>
      <c r="G362" s="3">
        <v>8</v>
      </c>
      <c r="H362" s="54">
        <v>1</v>
      </c>
      <c r="I362" s="54">
        <v>12</v>
      </c>
      <c r="J362" s="3">
        <v>100</v>
      </c>
      <c r="K362" s="57">
        <v>1200</v>
      </c>
      <c r="L362" s="54"/>
      <c r="M362" s="58">
        <v>3</v>
      </c>
      <c r="N362" s="59">
        <f>VLOOKUP(A362,Baupläne!$B$2:$X$1019,23,FALSE)</f>
        <v>6100</v>
      </c>
      <c r="W362" s="17">
        <f>ROUND($X361*Berechnungen!$B$92,1)</f>
        <v>1.8</v>
      </c>
      <c r="X362" s="789"/>
      <c r="Y362" s="332">
        <v>0</v>
      </c>
      <c r="Z362" s="333"/>
      <c r="AC362" s="227"/>
      <c r="AD362" s="227"/>
      <c r="AE362" s="227"/>
      <c r="AF362" s="228"/>
    </row>
    <row r="363" spans="1:32" outlineLevel="1" x14ac:dyDescent="0.2">
      <c r="A363" s="5">
        <v>1223</v>
      </c>
      <c r="B363" s="3" t="s">
        <v>480</v>
      </c>
      <c r="C363" s="3" t="s">
        <v>53</v>
      </c>
      <c r="D363" s="54">
        <v>12</v>
      </c>
      <c r="E363" s="55" t="s">
        <v>195</v>
      </c>
      <c r="F363" s="56"/>
      <c r="G363" s="3">
        <v>8</v>
      </c>
      <c r="H363" s="54">
        <v>1</v>
      </c>
      <c r="I363" s="54">
        <v>13</v>
      </c>
      <c r="J363" s="3">
        <v>100</v>
      </c>
      <c r="K363" s="57">
        <v>600</v>
      </c>
      <c r="L363" s="54"/>
      <c r="M363" s="58">
        <v>3</v>
      </c>
      <c r="N363" s="59">
        <f>VLOOKUP(A363,Baupläne!$B$2:$X$1019,23,FALSE)</f>
        <v>3500</v>
      </c>
      <c r="W363" s="17">
        <f>ROUND($X361*Berechnungen!$B$93,1)</f>
        <v>0.9</v>
      </c>
      <c r="X363" s="789"/>
      <c r="Y363" s="332">
        <v>0</v>
      </c>
      <c r="Z363" s="333"/>
      <c r="AC363" s="227"/>
      <c r="AD363" s="227"/>
      <c r="AE363" s="227"/>
      <c r="AF363" s="228"/>
    </row>
    <row r="364" spans="1:32" outlineLevel="1" x14ac:dyDescent="0.2">
      <c r="A364" s="5">
        <v>1224</v>
      </c>
      <c r="B364" s="3" t="s">
        <v>481</v>
      </c>
      <c r="C364" s="3" t="s">
        <v>53</v>
      </c>
      <c r="D364" s="54">
        <v>12</v>
      </c>
      <c r="E364" s="55" t="s">
        <v>195</v>
      </c>
      <c r="F364" s="56"/>
      <c r="G364" s="3">
        <v>8</v>
      </c>
      <c r="H364" s="54">
        <v>1</v>
      </c>
      <c r="I364" s="54">
        <v>14</v>
      </c>
      <c r="J364" s="3">
        <v>100</v>
      </c>
      <c r="K364" s="57">
        <v>800</v>
      </c>
      <c r="L364" s="54"/>
      <c r="M364" s="58">
        <v>3</v>
      </c>
      <c r="N364" s="59">
        <f>VLOOKUP(A364,Baupläne!$B$2:$X$1019,23,FALSE)</f>
        <v>4700</v>
      </c>
      <c r="W364" s="17">
        <f>ROUND($X361*Berechnungen!$B$94,1)</f>
        <v>1.2</v>
      </c>
      <c r="X364" s="789"/>
      <c r="Y364" s="332">
        <v>0</v>
      </c>
      <c r="Z364" s="333"/>
      <c r="AC364" s="227"/>
      <c r="AD364" s="227"/>
      <c r="AE364" s="227"/>
      <c r="AF364" s="228"/>
    </row>
    <row r="365" spans="1:32" outlineLevel="1" x14ac:dyDescent="0.2">
      <c r="A365" s="5">
        <v>1225</v>
      </c>
      <c r="B365" s="3" t="s">
        <v>482</v>
      </c>
      <c r="C365" s="3" t="s">
        <v>53</v>
      </c>
      <c r="D365" s="54">
        <v>12</v>
      </c>
      <c r="E365" s="55" t="s">
        <v>195</v>
      </c>
      <c r="F365" s="56"/>
      <c r="G365" s="3">
        <v>8</v>
      </c>
      <c r="H365" s="54">
        <v>1</v>
      </c>
      <c r="I365" s="54">
        <v>15</v>
      </c>
      <c r="J365" s="3">
        <v>100</v>
      </c>
      <c r="K365" s="57">
        <v>600</v>
      </c>
      <c r="L365" s="54"/>
      <c r="M365" s="58">
        <v>3</v>
      </c>
      <c r="N365" s="59">
        <f>VLOOKUP(A365,Baupläne!$B$2:$X$1019,23,FALSE)</f>
        <v>3500</v>
      </c>
      <c r="W365" s="17">
        <f>ROUND($X361*Berechnungen!$B$95,1)</f>
        <v>0.9</v>
      </c>
      <c r="X365" s="789"/>
      <c r="Y365" s="332">
        <v>0</v>
      </c>
      <c r="Z365" s="333"/>
      <c r="AC365" s="227"/>
      <c r="AD365" s="227"/>
      <c r="AE365" s="227"/>
      <c r="AF365" s="228"/>
    </row>
    <row r="366" spans="1:32" ht="12.75" customHeight="1" outlineLevel="1" x14ac:dyDescent="0.2">
      <c r="A366" s="5">
        <v>1226</v>
      </c>
      <c r="B366" s="3" t="s">
        <v>483</v>
      </c>
      <c r="C366" s="3" t="s">
        <v>53</v>
      </c>
      <c r="D366" s="54">
        <v>14</v>
      </c>
      <c r="E366" s="55" t="s">
        <v>195</v>
      </c>
      <c r="F366" s="56"/>
      <c r="G366" s="3">
        <v>8</v>
      </c>
      <c r="H366" s="54">
        <v>1</v>
      </c>
      <c r="I366" s="54">
        <v>11</v>
      </c>
      <c r="J366" s="3">
        <v>100</v>
      </c>
      <c r="K366" s="57">
        <v>1200</v>
      </c>
      <c r="L366" s="54"/>
      <c r="M366" s="58">
        <v>3</v>
      </c>
      <c r="N366" s="59">
        <f>VLOOKUP(A366,Baupläne!$B$2:$X$1019,23,FALSE)</f>
        <v>6200</v>
      </c>
      <c r="W366" s="17">
        <f>ROUND($X366*Berechnungen!$B$91,1)</f>
        <v>1.4</v>
      </c>
      <c r="X366" s="787">
        <f>ROUND(VLOOKUP($D366,Berechnungen!$A$37:$F$61,4),0)</f>
        <v>7</v>
      </c>
      <c r="Y366" s="332">
        <v>0</v>
      </c>
      <c r="Z366" s="333"/>
      <c r="AC366" s="227"/>
      <c r="AD366" s="227"/>
      <c r="AE366" s="227"/>
      <c r="AF366" s="228"/>
    </row>
    <row r="367" spans="1:32" outlineLevel="1" x14ac:dyDescent="0.2">
      <c r="A367" s="5">
        <v>1227</v>
      </c>
      <c r="B367" s="3" t="s">
        <v>484</v>
      </c>
      <c r="C367" s="3" t="s">
        <v>53</v>
      </c>
      <c r="D367" s="54">
        <v>14</v>
      </c>
      <c r="E367" s="55" t="s">
        <v>195</v>
      </c>
      <c r="F367" s="56"/>
      <c r="G367" s="3">
        <v>8</v>
      </c>
      <c r="H367" s="54">
        <v>1</v>
      </c>
      <c r="I367" s="54">
        <v>12</v>
      </c>
      <c r="J367" s="3">
        <v>100</v>
      </c>
      <c r="K367" s="57">
        <v>1800</v>
      </c>
      <c r="L367" s="54"/>
      <c r="M367" s="58">
        <v>3</v>
      </c>
      <c r="N367" s="59">
        <f>VLOOKUP(A367,Baupläne!$B$2:$X$1019,23,FALSE)</f>
        <v>9200</v>
      </c>
      <c r="W367" s="17">
        <f>ROUND($X366*Berechnungen!$B$92,1)</f>
        <v>2.1</v>
      </c>
      <c r="X367" s="787"/>
      <c r="Y367" s="332">
        <v>0</v>
      </c>
      <c r="Z367" s="333"/>
      <c r="AC367" s="227"/>
      <c r="AD367" s="227"/>
      <c r="AE367" s="227"/>
      <c r="AF367" s="228"/>
    </row>
    <row r="368" spans="1:32" outlineLevel="1" x14ac:dyDescent="0.2">
      <c r="A368" s="5">
        <v>1228</v>
      </c>
      <c r="B368" s="3" t="s">
        <v>485</v>
      </c>
      <c r="C368" s="3" t="s">
        <v>53</v>
      </c>
      <c r="D368" s="54">
        <v>15</v>
      </c>
      <c r="E368" s="55" t="s">
        <v>195</v>
      </c>
      <c r="F368" s="56"/>
      <c r="G368" s="3">
        <v>8</v>
      </c>
      <c r="H368" s="54">
        <v>1</v>
      </c>
      <c r="I368" s="54">
        <v>13</v>
      </c>
      <c r="J368" s="3">
        <v>100</v>
      </c>
      <c r="K368" s="57">
        <v>900</v>
      </c>
      <c r="L368" s="54"/>
      <c r="M368" s="58">
        <v>3</v>
      </c>
      <c r="N368" s="59">
        <f>VLOOKUP(A368,Baupläne!$B$2:$X$1019,23,FALSE)</f>
        <v>5300</v>
      </c>
      <c r="W368" s="17">
        <f>ROUND($X366*Berechnungen!$B$93,1)</f>
        <v>1.1000000000000001</v>
      </c>
      <c r="X368" s="787"/>
      <c r="Y368" s="332">
        <v>0</v>
      </c>
      <c r="Z368" s="333"/>
      <c r="AC368" s="227"/>
      <c r="AD368" s="227"/>
      <c r="AE368" s="227"/>
      <c r="AF368" s="228"/>
    </row>
    <row r="369" spans="1:32" outlineLevel="1" x14ac:dyDescent="0.2">
      <c r="A369" s="5">
        <v>1229</v>
      </c>
      <c r="B369" s="3" t="s">
        <v>486</v>
      </c>
      <c r="C369" s="3" t="s">
        <v>53</v>
      </c>
      <c r="D369" s="54">
        <v>15</v>
      </c>
      <c r="E369" s="55" t="s">
        <v>195</v>
      </c>
      <c r="F369" s="56"/>
      <c r="G369" s="3">
        <v>8</v>
      </c>
      <c r="H369" s="54">
        <v>1</v>
      </c>
      <c r="I369" s="54">
        <v>14</v>
      </c>
      <c r="J369" s="3">
        <v>100</v>
      </c>
      <c r="K369" s="57">
        <v>1200</v>
      </c>
      <c r="L369" s="54"/>
      <c r="M369" s="58">
        <v>3</v>
      </c>
      <c r="N369" s="59">
        <f>VLOOKUP(A369,Baupläne!$B$2:$X$1019,23,FALSE)</f>
        <v>7100</v>
      </c>
      <c r="W369" s="17">
        <f>ROUND($X366*Berechnungen!$B$94,1)</f>
        <v>1.4</v>
      </c>
      <c r="X369" s="787"/>
      <c r="Y369" s="332">
        <v>0</v>
      </c>
      <c r="Z369" s="333"/>
      <c r="AC369" s="227"/>
      <c r="AD369" s="227"/>
      <c r="AE369" s="227"/>
      <c r="AF369" s="228"/>
    </row>
    <row r="370" spans="1:32" outlineLevel="1" x14ac:dyDescent="0.2">
      <c r="A370" s="5">
        <v>1230</v>
      </c>
      <c r="B370" s="334" t="s">
        <v>487</v>
      </c>
      <c r="C370" s="334" t="s">
        <v>53</v>
      </c>
      <c r="D370" s="335">
        <v>15</v>
      </c>
      <c r="E370" s="336" t="s">
        <v>195</v>
      </c>
      <c r="F370" s="337"/>
      <c r="G370" s="334">
        <v>8</v>
      </c>
      <c r="H370" s="335">
        <v>1</v>
      </c>
      <c r="I370" s="335">
        <v>15</v>
      </c>
      <c r="J370" s="334">
        <v>100</v>
      </c>
      <c r="K370" s="338">
        <v>900</v>
      </c>
      <c r="L370" s="335"/>
      <c r="M370" s="339">
        <v>3</v>
      </c>
      <c r="N370" s="59">
        <f>VLOOKUP(A370,Baupläne!$B$2:$X$1019,23,FALSE)</f>
        <v>5300</v>
      </c>
      <c r="O370" s="340"/>
      <c r="P370" s="235"/>
      <c r="Q370" s="231"/>
      <c r="R370" s="236"/>
      <c r="S370" s="231"/>
      <c r="T370" s="230"/>
      <c r="U370" s="231"/>
      <c r="V370" s="231"/>
      <c r="W370" s="232">
        <f>ROUND($X366*Berechnungen!$B$95,1)</f>
        <v>1.1000000000000001</v>
      </c>
      <c r="X370" s="787"/>
      <c r="Y370" s="341">
        <v>0</v>
      </c>
      <c r="Z370" s="342"/>
      <c r="AA370" s="236"/>
      <c r="AB370" s="236"/>
      <c r="AC370" s="343"/>
      <c r="AD370" s="343"/>
      <c r="AE370" s="343"/>
      <c r="AF370" s="344"/>
    </row>
    <row r="371" spans="1:32" ht="12.75" customHeight="1" outlineLevel="1" x14ac:dyDescent="0.2">
      <c r="A371" s="5">
        <v>1231</v>
      </c>
      <c r="B371" s="3" t="s">
        <v>488</v>
      </c>
      <c r="C371" s="3" t="s">
        <v>53</v>
      </c>
      <c r="D371" s="54">
        <v>16</v>
      </c>
      <c r="E371" s="331" t="s">
        <v>195</v>
      </c>
      <c r="F371" s="56"/>
      <c r="G371" s="3">
        <v>8</v>
      </c>
      <c r="H371" s="54">
        <v>1</v>
      </c>
      <c r="I371" s="54">
        <v>11</v>
      </c>
      <c r="J371" s="3">
        <v>100</v>
      </c>
      <c r="K371" s="57">
        <v>800</v>
      </c>
      <c r="L371" s="54"/>
      <c r="M371" s="58">
        <v>4</v>
      </c>
      <c r="N371" s="59">
        <f>VLOOKUP(A371,Baupläne!$B$2:$X$1019,23,FALSE)</f>
        <v>8100</v>
      </c>
      <c r="W371" s="17">
        <f>ROUND($X371*Berechnungen!$B$91,1)</f>
        <v>1.6</v>
      </c>
      <c r="X371" s="789">
        <f>ROUND(VLOOKUP($D371,Berechnungen!$A$37:$F$61,4),0)</f>
        <v>8</v>
      </c>
      <c r="Y371" s="332">
        <v>0</v>
      </c>
      <c r="Z371" s="333"/>
      <c r="AC371" s="227"/>
      <c r="AD371" s="227"/>
      <c r="AE371" s="227"/>
      <c r="AF371" s="228"/>
    </row>
    <row r="372" spans="1:32" outlineLevel="1" x14ac:dyDescent="0.2">
      <c r="A372" s="5">
        <v>1232</v>
      </c>
      <c r="B372" s="3" t="s">
        <v>489</v>
      </c>
      <c r="C372" s="3" t="s">
        <v>53</v>
      </c>
      <c r="D372" s="54">
        <v>16</v>
      </c>
      <c r="E372" s="55" t="s">
        <v>195</v>
      </c>
      <c r="F372" s="56"/>
      <c r="G372" s="3">
        <v>8</v>
      </c>
      <c r="H372" s="54">
        <v>1</v>
      </c>
      <c r="I372" s="54">
        <v>12</v>
      </c>
      <c r="J372" s="3">
        <v>100</v>
      </c>
      <c r="K372" s="57">
        <v>1200</v>
      </c>
      <c r="L372" s="54"/>
      <c r="M372" s="58">
        <v>4</v>
      </c>
      <c r="N372" s="59">
        <f>VLOOKUP(A372,Baupläne!$B$2:$X$1019,23,FALSE)</f>
        <v>12200</v>
      </c>
      <c r="W372" s="17">
        <f>ROUND($X371*Berechnungen!$B$92,1)</f>
        <v>2.4</v>
      </c>
      <c r="X372" s="789"/>
      <c r="Y372" s="332">
        <v>0</v>
      </c>
      <c r="Z372" s="333"/>
      <c r="AC372" s="227"/>
      <c r="AD372" s="227"/>
      <c r="AE372" s="227"/>
      <c r="AF372" s="228"/>
    </row>
    <row r="373" spans="1:32" outlineLevel="1" x14ac:dyDescent="0.2">
      <c r="A373" s="5">
        <v>1233</v>
      </c>
      <c r="B373" s="3" t="s">
        <v>490</v>
      </c>
      <c r="C373" s="3" t="s">
        <v>53</v>
      </c>
      <c r="D373" s="54">
        <v>17</v>
      </c>
      <c r="E373" s="55" t="s">
        <v>195</v>
      </c>
      <c r="F373" s="56"/>
      <c r="G373" s="3">
        <v>8</v>
      </c>
      <c r="H373" s="54">
        <v>1</v>
      </c>
      <c r="I373" s="54">
        <v>13</v>
      </c>
      <c r="J373" s="3">
        <v>100</v>
      </c>
      <c r="K373" s="57">
        <v>600</v>
      </c>
      <c r="L373" s="54"/>
      <c r="M373" s="58">
        <v>4</v>
      </c>
      <c r="N373" s="59">
        <f>VLOOKUP(A373,Baupläne!$B$2:$X$1019,23,FALSE)</f>
        <v>7000</v>
      </c>
      <c r="W373" s="17">
        <f>ROUND($X371*Berechnungen!$B$93,1)</f>
        <v>1.2</v>
      </c>
      <c r="X373" s="789"/>
      <c r="Y373" s="332">
        <v>0</v>
      </c>
      <c r="Z373" s="333"/>
      <c r="AC373" s="227"/>
      <c r="AD373" s="227"/>
      <c r="AE373" s="227"/>
      <c r="AF373" s="228"/>
    </row>
    <row r="374" spans="1:32" outlineLevel="1" x14ac:dyDescent="0.2">
      <c r="A374" s="5">
        <v>1234</v>
      </c>
      <c r="B374" s="3" t="s">
        <v>491</v>
      </c>
      <c r="C374" s="3" t="s">
        <v>53</v>
      </c>
      <c r="D374" s="54">
        <v>17</v>
      </c>
      <c r="E374" s="55" t="s">
        <v>195</v>
      </c>
      <c r="F374" s="56"/>
      <c r="G374" s="3">
        <v>8</v>
      </c>
      <c r="H374" s="54">
        <v>1</v>
      </c>
      <c r="I374" s="54">
        <v>14</v>
      </c>
      <c r="J374" s="3">
        <v>100</v>
      </c>
      <c r="K374" s="57">
        <v>800</v>
      </c>
      <c r="L374" s="54"/>
      <c r="M374" s="58">
        <v>4</v>
      </c>
      <c r="N374" s="59">
        <f>VLOOKUP(A374,Baupläne!$B$2:$X$1019,23,FALSE)</f>
        <v>9400</v>
      </c>
      <c r="W374" s="17">
        <f>ROUND($X371*Berechnungen!$B$94,1)</f>
        <v>1.6</v>
      </c>
      <c r="X374" s="789"/>
      <c r="Y374" s="332">
        <v>0</v>
      </c>
      <c r="Z374" s="333"/>
      <c r="AC374" s="227"/>
      <c r="AD374" s="227"/>
      <c r="AE374" s="227"/>
      <c r="AF374" s="228"/>
    </row>
    <row r="375" spans="1:32" outlineLevel="1" x14ac:dyDescent="0.2">
      <c r="A375" s="5">
        <v>1235</v>
      </c>
      <c r="B375" s="3" t="s">
        <v>492</v>
      </c>
      <c r="C375" s="3" t="s">
        <v>53</v>
      </c>
      <c r="D375" s="54">
        <v>17</v>
      </c>
      <c r="E375" s="55" t="s">
        <v>195</v>
      </c>
      <c r="F375" s="56"/>
      <c r="G375" s="3">
        <v>8</v>
      </c>
      <c r="H375" s="54">
        <v>1</v>
      </c>
      <c r="I375" s="54">
        <v>15</v>
      </c>
      <c r="J375" s="3">
        <v>100</v>
      </c>
      <c r="K375" s="57">
        <v>600</v>
      </c>
      <c r="L375" s="54"/>
      <c r="M375" s="58">
        <v>4</v>
      </c>
      <c r="N375" s="59">
        <f>VLOOKUP(A375,Baupläne!$B$2:$X$1019,23,FALSE)</f>
        <v>7000</v>
      </c>
      <c r="W375" s="17">
        <f>ROUND($X371*Berechnungen!$B$95,1)</f>
        <v>1.2</v>
      </c>
      <c r="X375" s="789"/>
      <c r="Y375" s="332">
        <v>0</v>
      </c>
      <c r="Z375" s="333"/>
      <c r="AC375" s="227"/>
      <c r="AD375" s="227"/>
      <c r="AE375" s="227"/>
      <c r="AF375" s="228"/>
    </row>
    <row r="376" spans="1:32" ht="12.75" customHeight="1" outlineLevel="1" x14ac:dyDescent="0.2">
      <c r="A376" s="5">
        <v>1236</v>
      </c>
      <c r="B376" s="3" t="s">
        <v>493</v>
      </c>
      <c r="C376" s="3" t="s">
        <v>53</v>
      </c>
      <c r="D376" s="54">
        <v>19</v>
      </c>
      <c r="E376" s="55" t="s">
        <v>195</v>
      </c>
      <c r="F376" s="56"/>
      <c r="G376" s="3">
        <v>8</v>
      </c>
      <c r="H376" s="54">
        <v>1</v>
      </c>
      <c r="I376" s="54">
        <v>11</v>
      </c>
      <c r="J376" s="3">
        <v>100</v>
      </c>
      <c r="K376" s="57">
        <v>1200</v>
      </c>
      <c r="L376" s="54"/>
      <c r="M376" s="58">
        <v>4</v>
      </c>
      <c r="N376" s="59">
        <f>VLOOKUP(A376,Baupläne!$B$2:$X$1019,23,FALSE)</f>
        <v>12400</v>
      </c>
      <c r="W376" s="17">
        <f>ROUND($X376*Berechnungen!$B$91,1)</f>
        <v>1.8</v>
      </c>
      <c r="X376" s="787">
        <f>ROUND(VLOOKUP($D376,Berechnungen!$A$37:$F$61,4),0)</f>
        <v>9</v>
      </c>
      <c r="Y376" s="332">
        <v>0</v>
      </c>
      <c r="Z376" s="333"/>
      <c r="AC376" s="227"/>
      <c r="AD376" s="227"/>
      <c r="AE376" s="227"/>
      <c r="AF376" s="228"/>
    </row>
    <row r="377" spans="1:32" outlineLevel="1" x14ac:dyDescent="0.2">
      <c r="A377" s="5">
        <v>1237</v>
      </c>
      <c r="B377" s="3" t="s">
        <v>494</v>
      </c>
      <c r="C377" s="3" t="s">
        <v>53</v>
      </c>
      <c r="D377" s="54">
        <v>19</v>
      </c>
      <c r="E377" s="55" t="s">
        <v>195</v>
      </c>
      <c r="F377" s="56"/>
      <c r="G377" s="3">
        <v>8</v>
      </c>
      <c r="H377" s="54">
        <v>1</v>
      </c>
      <c r="I377" s="54">
        <v>12</v>
      </c>
      <c r="J377" s="3">
        <v>100</v>
      </c>
      <c r="K377" s="57">
        <v>1800</v>
      </c>
      <c r="L377" s="54"/>
      <c r="M377" s="58">
        <v>4</v>
      </c>
      <c r="N377" s="59">
        <f>VLOOKUP(A377,Baupläne!$B$2:$X$1019,23,FALSE)</f>
        <v>18600</v>
      </c>
      <c r="W377" s="17">
        <f>ROUND($X376*Berechnungen!$B$92,1)</f>
        <v>2.7</v>
      </c>
      <c r="X377" s="787"/>
      <c r="Y377" s="332">
        <v>0</v>
      </c>
      <c r="Z377" s="333"/>
      <c r="AC377" s="227"/>
      <c r="AD377" s="227"/>
      <c r="AE377" s="227"/>
      <c r="AF377" s="228"/>
    </row>
    <row r="378" spans="1:32" outlineLevel="1" x14ac:dyDescent="0.2">
      <c r="A378" s="5">
        <v>1238</v>
      </c>
      <c r="B378" s="3" t="s">
        <v>495</v>
      </c>
      <c r="C378" s="3" t="s">
        <v>53</v>
      </c>
      <c r="D378" s="54">
        <v>20</v>
      </c>
      <c r="E378" s="55" t="s">
        <v>195</v>
      </c>
      <c r="F378" s="56"/>
      <c r="G378" s="3">
        <v>8</v>
      </c>
      <c r="H378" s="54">
        <v>1</v>
      </c>
      <c r="I378" s="54">
        <v>13</v>
      </c>
      <c r="J378" s="3">
        <v>100</v>
      </c>
      <c r="K378" s="57">
        <v>900</v>
      </c>
      <c r="L378" s="54"/>
      <c r="M378" s="58">
        <v>4</v>
      </c>
      <c r="N378" s="59">
        <f>VLOOKUP(A378,Baupläne!$B$2:$X$1019,23,FALSE)</f>
        <v>10700</v>
      </c>
      <c r="W378" s="17">
        <f>ROUND($X376*Berechnungen!$B$93,1)</f>
        <v>1.4</v>
      </c>
      <c r="X378" s="787"/>
      <c r="Y378" s="332">
        <v>0</v>
      </c>
      <c r="Z378" s="333"/>
      <c r="AC378" s="227"/>
      <c r="AD378" s="227"/>
      <c r="AE378" s="227"/>
      <c r="AF378" s="228"/>
    </row>
    <row r="379" spans="1:32" outlineLevel="1" x14ac:dyDescent="0.2">
      <c r="A379" s="5">
        <v>1239</v>
      </c>
      <c r="B379" s="3" t="s">
        <v>496</v>
      </c>
      <c r="C379" s="3" t="s">
        <v>53</v>
      </c>
      <c r="D379" s="54">
        <v>20</v>
      </c>
      <c r="E379" s="55" t="s">
        <v>195</v>
      </c>
      <c r="F379" s="56"/>
      <c r="G379" s="3">
        <v>8</v>
      </c>
      <c r="H379" s="54">
        <v>1</v>
      </c>
      <c r="I379" s="54">
        <v>14</v>
      </c>
      <c r="J379" s="3">
        <v>100</v>
      </c>
      <c r="K379" s="57">
        <v>1200</v>
      </c>
      <c r="L379" s="54"/>
      <c r="M379" s="58">
        <v>4</v>
      </c>
      <c r="N379" s="59">
        <f>VLOOKUP(A379,Baupläne!$B$2:$X$1019,23,FALSE)</f>
        <v>14200</v>
      </c>
      <c r="W379" s="17">
        <f>ROUND($X376*Berechnungen!$B$94,1)</f>
        <v>1.8</v>
      </c>
      <c r="X379" s="787"/>
      <c r="Y379" s="332">
        <v>0</v>
      </c>
      <c r="Z379" s="333"/>
      <c r="AC379" s="227"/>
      <c r="AD379" s="227"/>
      <c r="AE379" s="227"/>
      <c r="AF379" s="228"/>
    </row>
    <row r="380" spans="1:32" outlineLevel="1" x14ac:dyDescent="0.2">
      <c r="A380" s="345">
        <v>1240</v>
      </c>
      <c r="B380" s="334" t="s">
        <v>497</v>
      </c>
      <c r="C380" s="334" t="s">
        <v>53</v>
      </c>
      <c r="D380" s="335">
        <v>20</v>
      </c>
      <c r="E380" s="336" t="s">
        <v>195</v>
      </c>
      <c r="F380" s="337"/>
      <c r="G380" s="334">
        <v>8</v>
      </c>
      <c r="H380" s="335">
        <v>1</v>
      </c>
      <c r="I380" s="335">
        <v>15</v>
      </c>
      <c r="J380" s="334">
        <v>100</v>
      </c>
      <c r="K380" s="338">
        <v>900</v>
      </c>
      <c r="L380" s="335"/>
      <c r="M380" s="339">
        <v>4</v>
      </c>
      <c r="N380" s="59">
        <f>VLOOKUP(A380,Baupläne!$B$2:$X$1019,23,FALSE)</f>
        <v>10700</v>
      </c>
      <c r="O380" s="340"/>
      <c r="P380" s="235"/>
      <c r="Q380" s="231"/>
      <c r="R380" s="236"/>
      <c r="S380" s="231"/>
      <c r="T380" s="230"/>
      <c r="U380" s="231"/>
      <c r="V380" s="231"/>
      <c r="W380" s="232">
        <f>ROUND($X376*Berechnungen!$B$95,1)</f>
        <v>1.4</v>
      </c>
      <c r="X380" s="787"/>
      <c r="Y380" s="341">
        <v>0</v>
      </c>
      <c r="Z380" s="342"/>
      <c r="AA380" s="236"/>
      <c r="AB380" s="236"/>
      <c r="AC380" s="343"/>
      <c r="AD380" s="343"/>
      <c r="AE380" s="343"/>
      <c r="AF380" s="344"/>
    </row>
    <row r="381" spans="1:32" ht="12.75" customHeight="1" outlineLevel="1" x14ac:dyDescent="0.2">
      <c r="A381" s="5">
        <v>1241</v>
      </c>
      <c r="B381" s="3" t="s">
        <v>498</v>
      </c>
      <c r="C381" s="3" t="s">
        <v>53</v>
      </c>
      <c r="D381" s="54">
        <v>21</v>
      </c>
      <c r="E381" s="55" t="s">
        <v>195</v>
      </c>
      <c r="F381" s="56"/>
      <c r="G381" s="3">
        <v>8</v>
      </c>
      <c r="H381" s="54">
        <v>1</v>
      </c>
      <c r="I381" s="54">
        <v>11</v>
      </c>
      <c r="J381" s="3">
        <v>100</v>
      </c>
      <c r="K381" s="57">
        <v>800</v>
      </c>
      <c r="L381" s="54"/>
      <c r="M381" s="58">
        <v>5</v>
      </c>
      <c r="N381" s="59">
        <f>VLOOKUP(A381,Baupläne!$B$2:$X$1019,23,FALSE)</f>
        <v>16400</v>
      </c>
      <c r="W381" s="17">
        <f>ROUND($X381*Berechnungen!$B$91,1)</f>
        <v>2</v>
      </c>
      <c r="X381" s="789">
        <f>ROUND(VLOOKUP($D381,Berechnungen!$A$37:$F$61,4),0)</f>
        <v>10</v>
      </c>
      <c r="Y381" s="332">
        <v>0</v>
      </c>
      <c r="Z381" s="333"/>
      <c r="AC381" s="227"/>
      <c r="AD381" s="227"/>
      <c r="AE381" s="227"/>
      <c r="AF381" s="228"/>
    </row>
    <row r="382" spans="1:32" outlineLevel="1" x14ac:dyDescent="0.2">
      <c r="A382" s="5">
        <v>1242</v>
      </c>
      <c r="B382" s="3" t="s">
        <v>499</v>
      </c>
      <c r="C382" s="3" t="s">
        <v>53</v>
      </c>
      <c r="D382" s="54">
        <v>21</v>
      </c>
      <c r="E382" s="55" t="s">
        <v>195</v>
      </c>
      <c r="F382" s="56"/>
      <c r="G382" s="3">
        <v>8</v>
      </c>
      <c r="H382" s="54">
        <v>1</v>
      </c>
      <c r="I382" s="54">
        <v>12</v>
      </c>
      <c r="J382" s="3">
        <v>100</v>
      </c>
      <c r="K382" s="57">
        <v>1200</v>
      </c>
      <c r="L382" s="54"/>
      <c r="M382" s="58">
        <v>5</v>
      </c>
      <c r="N382" s="59">
        <f>VLOOKUP(A382,Baupläne!$B$2:$X$1019,23,FALSE)</f>
        <v>24500</v>
      </c>
      <c r="W382" s="17">
        <f>ROUND($X381*Berechnungen!$B$92,1)</f>
        <v>3</v>
      </c>
      <c r="X382" s="789"/>
      <c r="Y382" s="332">
        <v>0</v>
      </c>
      <c r="Z382" s="333"/>
      <c r="AC382" s="227"/>
      <c r="AD382" s="227"/>
      <c r="AE382" s="227"/>
      <c r="AF382" s="228"/>
    </row>
    <row r="383" spans="1:32" outlineLevel="1" x14ac:dyDescent="0.2">
      <c r="A383" s="5">
        <v>1243</v>
      </c>
      <c r="B383" s="3" t="s">
        <v>500</v>
      </c>
      <c r="C383" s="3" t="s">
        <v>53</v>
      </c>
      <c r="D383" s="54">
        <v>22</v>
      </c>
      <c r="E383" s="55" t="s">
        <v>195</v>
      </c>
      <c r="F383" s="56"/>
      <c r="G383" s="3">
        <v>8</v>
      </c>
      <c r="H383" s="54">
        <v>1</v>
      </c>
      <c r="I383" s="54">
        <v>13</v>
      </c>
      <c r="J383" s="3">
        <v>100</v>
      </c>
      <c r="K383" s="57">
        <v>600</v>
      </c>
      <c r="L383" s="54"/>
      <c r="M383" s="58">
        <v>5</v>
      </c>
      <c r="N383" s="59">
        <f>VLOOKUP(A383,Baupläne!$B$2:$X$1019,23,FALSE)</f>
        <v>14100</v>
      </c>
      <c r="W383" s="17">
        <f>ROUND($X381*Berechnungen!$B$93,1)</f>
        <v>1.5</v>
      </c>
      <c r="X383" s="789"/>
      <c r="Y383" s="332">
        <v>0</v>
      </c>
      <c r="Z383" s="333"/>
      <c r="AC383" s="227"/>
      <c r="AD383" s="227"/>
      <c r="AE383" s="227"/>
      <c r="AF383" s="228"/>
    </row>
    <row r="384" spans="1:32" outlineLevel="1" x14ac:dyDescent="0.2">
      <c r="A384" s="5">
        <v>1244</v>
      </c>
      <c r="B384" s="3" t="s">
        <v>501</v>
      </c>
      <c r="C384" s="3" t="s">
        <v>53</v>
      </c>
      <c r="D384" s="54">
        <v>22</v>
      </c>
      <c r="E384" s="55" t="s">
        <v>195</v>
      </c>
      <c r="F384" s="56"/>
      <c r="G384" s="3">
        <v>8</v>
      </c>
      <c r="H384" s="54">
        <v>1</v>
      </c>
      <c r="I384" s="54">
        <v>14</v>
      </c>
      <c r="J384" s="3">
        <v>100</v>
      </c>
      <c r="K384" s="57">
        <v>800</v>
      </c>
      <c r="L384" s="54"/>
      <c r="M384" s="58">
        <v>5</v>
      </c>
      <c r="N384" s="59">
        <f>VLOOKUP(A384,Baupläne!$B$2:$X$1019,23,FALSE)</f>
        <v>18800</v>
      </c>
      <c r="W384" s="17">
        <f>ROUND($X381*Berechnungen!$B$94,1)</f>
        <v>2</v>
      </c>
      <c r="X384" s="789"/>
      <c r="Y384" s="332">
        <v>0</v>
      </c>
      <c r="Z384" s="333"/>
      <c r="AC384" s="227"/>
      <c r="AD384" s="227"/>
      <c r="AE384" s="227"/>
      <c r="AF384" s="228"/>
    </row>
    <row r="385" spans="1:32" outlineLevel="1" x14ac:dyDescent="0.2">
      <c r="A385" s="5">
        <v>1245</v>
      </c>
      <c r="B385" s="3" t="s">
        <v>502</v>
      </c>
      <c r="C385" s="3" t="s">
        <v>53</v>
      </c>
      <c r="D385" s="54">
        <v>22</v>
      </c>
      <c r="E385" s="55" t="s">
        <v>195</v>
      </c>
      <c r="F385" s="56"/>
      <c r="G385" s="3">
        <v>8</v>
      </c>
      <c r="H385" s="54">
        <v>1</v>
      </c>
      <c r="I385" s="54">
        <v>15</v>
      </c>
      <c r="J385" s="3">
        <v>100</v>
      </c>
      <c r="K385" s="57">
        <v>600</v>
      </c>
      <c r="L385" s="54"/>
      <c r="M385" s="58">
        <v>5</v>
      </c>
      <c r="N385" s="59">
        <f>VLOOKUP(A385,Baupläne!$B$2:$X$1019,23,FALSE)</f>
        <v>14100</v>
      </c>
      <c r="W385" s="17">
        <f>ROUND($X381*Berechnungen!$B$95,1)</f>
        <v>1.5</v>
      </c>
      <c r="X385" s="789"/>
      <c r="Y385" s="332">
        <v>0</v>
      </c>
      <c r="Z385" s="333"/>
      <c r="AC385" s="227"/>
      <c r="AD385" s="227"/>
      <c r="AE385" s="227"/>
      <c r="AF385" s="228"/>
    </row>
    <row r="386" spans="1:32" ht="12.75" customHeight="1" outlineLevel="1" x14ac:dyDescent="0.2">
      <c r="A386" s="5">
        <v>1246</v>
      </c>
      <c r="B386" s="3" t="s">
        <v>503</v>
      </c>
      <c r="C386" s="3" t="s">
        <v>53</v>
      </c>
      <c r="D386" s="54">
        <v>24</v>
      </c>
      <c r="E386" s="55" t="s">
        <v>195</v>
      </c>
      <c r="F386" s="56"/>
      <c r="G386" s="3">
        <v>8</v>
      </c>
      <c r="H386" s="54">
        <v>1</v>
      </c>
      <c r="I386" s="54">
        <v>11</v>
      </c>
      <c r="J386" s="3">
        <v>100</v>
      </c>
      <c r="K386" s="57">
        <v>1200</v>
      </c>
      <c r="L386" s="54"/>
      <c r="M386" s="58">
        <v>5</v>
      </c>
      <c r="N386" s="59">
        <f>VLOOKUP(A386,Baupläne!$B$2:$X$1019,23,FALSE)</f>
        <v>24900</v>
      </c>
      <c r="W386" s="17">
        <f>ROUND($X386*Berechnungen!$B$91,1)</f>
        <v>2.4</v>
      </c>
      <c r="X386" s="787">
        <f>ROUND(VLOOKUP($D386,Berechnungen!$A$37:$F$61,4),0)</f>
        <v>12</v>
      </c>
      <c r="Y386" s="332">
        <v>0</v>
      </c>
      <c r="Z386" s="333"/>
      <c r="AC386" s="227"/>
      <c r="AD386" s="227"/>
      <c r="AE386" s="227"/>
      <c r="AF386" s="228"/>
    </row>
    <row r="387" spans="1:32" outlineLevel="1" x14ac:dyDescent="0.2">
      <c r="A387" s="5">
        <v>1247</v>
      </c>
      <c r="B387" s="3" t="s">
        <v>504</v>
      </c>
      <c r="C387" s="3" t="s">
        <v>53</v>
      </c>
      <c r="D387" s="54">
        <v>24</v>
      </c>
      <c r="E387" s="55" t="s">
        <v>195</v>
      </c>
      <c r="F387" s="56"/>
      <c r="G387" s="3">
        <v>8</v>
      </c>
      <c r="H387" s="54">
        <v>1</v>
      </c>
      <c r="I387" s="54">
        <v>12</v>
      </c>
      <c r="J387" s="3">
        <v>100</v>
      </c>
      <c r="K387" s="57">
        <v>1800</v>
      </c>
      <c r="L387" s="54"/>
      <c r="M387" s="58">
        <v>5</v>
      </c>
      <c r="N387" s="59">
        <f>VLOOKUP(A387,Baupläne!$B$2:$X$1019,23,FALSE)</f>
        <v>37300</v>
      </c>
      <c r="W387" s="17">
        <f>ROUND($X386*Berechnungen!$B$92,1)</f>
        <v>3.6</v>
      </c>
      <c r="X387" s="787"/>
      <c r="Y387" s="332">
        <v>0</v>
      </c>
      <c r="Z387" s="333"/>
      <c r="AC387" s="227"/>
      <c r="AD387" s="227"/>
      <c r="AE387" s="227"/>
      <c r="AF387" s="228"/>
    </row>
    <row r="388" spans="1:32" outlineLevel="1" x14ac:dyDescent="0.2">
      <c r="A388" s="5">
        <v>1248</v>
      </c>
      <c r="B388" s="3" t="s">
        <v>505</v>
      </c>
      <c r="C388" s="3" t="s">
        <v>53</v>
      </c>
      <c r="D388" s="54">
        <v>25</v>
      </c>
      <c r="E388" s="55" t="s">
        <v>195</v>
      </c>
      <c r="F388" s="56"/>
      <c r="G388" s="3">
        <v>8</v>
      </c>
      <c r="H388" s="54">
        <v>1</v>
      </c>
      <c r="I388" s="54">
        <v>13</v>
      </c>
      <c r="J388" s="3">
        <v>100</v>
      </c>
      <c r="K388" s="57">
        <v>900</v>
      </c>
      <c r="L388" s="54"/>
      <c r="M388" s="58">
        <v>5</v>
      </c>
      <c r="N388" s="59">
        <f>VLOOKUP(A388,Baupläne!$B$2:$X$1019,23,FALSE)</f>
        <v>21500</v>
      </c>
      <c r="W388" s="17">
        <f>ROUND($X386*Berechnungen!$B$93,1)</f>
        <v>1.8</v>
      </c>
      <c r="X388" s="787"/>
      <c r="Y388" s="332">
        <v>0</v>
      </c>
      <c r="Z388" s="333"/>
      <c r="AC388" s="227"/>
      <c r="AD388" s="227"/>
      <c r="AE388" s="227"/>
      <c r="AF388" s="228"/>
    </row>
    <row r="389" spans="1:32" outlineLevel="1" x14ac:dyDescent="0.2">
      <c r="A389" s="5">
        <v>1249</v>
      </c>
      <c r="B389" s="3" t="s">
        <v>506</v>
      </c>
      <c r="C389" s="3" t="s">
        <v>53</v>
      </c>
      <c r="D389" s="54">
        <v>25</v>
      </c>
      <c r="E389" s="55" t="s">
        <v>195</v>
      </c>
      <c r="F389" s="56"/>
      <c r="G389" s="3">
        <v>8</v>
      </c>
      <c r="H389" s="54">
        <v>1</v>
      </c>
      <c r="I389" s="54">
        <v>14</v>
      </c>
      <c r="J389" s="3">
        <v>100</v>
      </c>
      <c r="K389" s="57">
        <v>1200</v>
      </c>
      <c r="L389" s="54"/>
      <c r="M389" s="58">
        <v>5</v>
      </c>
      <c r="N389" s="59">
        <f>VLOOKUP(A389,Baupläne!$B$2:$X$1019,23,FALSE)</f>
        <v>28600</v>
      </c>
      <c r="W389" s="17">
        <f>ROUND($X386*Berechnungen!$B$94,1)</f>
        <v>2.4</v>
      </c>
      <c r="X389" s="787"/>
      <c r="Y389" s="332">
        <v>0</v>
      </c>
      <c r="Z389" s="333"/>
      <c r="AC389" s="227"/>
      <c r="AD389" s="227"/>
      <c r="AE389" s="227"/>
      <c r="AF389" s="228"/>
    </row>
    <row r="390" spans="1:32" s="347" customFormat="1" outlineLevel="1" x14ac:dyDescent="0.2">
      <c r="A390" s="345">
        <v>1250</v>
      </c>
      <c r="B390" s="334" t="s">
        <v>507</v>
      </c>
      <c r="C390" s="334" t="s">
        <v>53</v>
      </c>
      <c r="D390" s="335">
        <v>25</v>
      </c>
      <c r="E390" s="336" t="s">
        <v>195</v>
      </c>
      <c r="F390" s="337"/>
      <c r="G390" s="334">
        <v>8</v>
      </c>
      <c r="H390" s="335">
        <v>1</v>
      </c>
      <c r="I390" s="335">
        <v>15</v>
      </c>
      <c r="J390" s="334">
        <v>100</v>
      </c>
      <c r="K390" s="338">
        <v>900</v>
      </c>
      <c r="L390" s="335"/>
      <c r="M390" s="339">
        <v>5</v>
      </c>
      <c r="N390" s="346">
        <f>VLOOKUP(A390,Baupläne!$B$2:$X$1019,23,FALSE)</f>
        <v>21500</v>
      </c>
      <c r="O390" s="340"/>
      <c r="P390" s="235"/>
      <c r="Q390" s="231"/>
      <c r="R390" s="236"/>
      <c r="S390" s="231"/>
      <c r="T390" s="230"/>
      <c r="U390" s="231"/>
      <c r="V390" s="231"/>
      <c r="W390" s="232">
        <f>ROUND($X386*Berechnungen!$B$95,1)</f>
        <v>1.8</v>
      </c>
      <c r="X390" s="787"/>
      <c r="Y390" s="341">
        <v>0</v>
      </c>
      <c r="Z390" s="342"/>
      <c r="AA390" s="236"/>
      <c r="AB390" s="236"/>
      <c r="AC390" s="343"/>
      <c r="AD390" s="343"/>
      <c r="AE390" s="343"/>
      <c r="AF390" s="344"/>
    </row>
    <row r="391" spans="1:32" s="294" customFormat="1" ht="12.75" customHeight="1" outlineLevel="1" x14ac:dyDescent="0.2">
      <c r="A391" s="293">
        <v>2201</v>
      </c>
      <c r="B391" s="177" t="s">
        <v>508</v>
      </c>
      <c r="C391" s="177" t="s">
        <v>53</v>
      </c>
      <c r="D391" s="178">
        <v>4</v>
      </c>
      <c r="E391" s="316" t="s">
        <v>195</v>
      </c>
      <c r="F391" s="56"/>
      <c r="G391" s="177">
        <v>8</v>
      </c>
      <c r="H391" s="178">
        <v>2</v>
      </c>
      <c r="I391" s="178">
        <v>11</v>
      </c>
      <c r="J391" s="177">
        <v>100</v>
      </c>
      <c r="K391" s="317">
        <v>1200</v>
      </c>
      <c r="L391" s="178"/>
      <c r="M391" s="179"/>
      <c r="N391" s="299">
        <f>VLOOKUP(A391,Baupläne!$B$2:$X$1019,23,FALSE)</f>
        <v>2000</v>
      </c>
      <c r="O391" s="295"/>
      <c r="Q391" s="301"/>
      <c r="R391" s="306"/>
      <c r="S391" s="301"/>
      <c r="T391" s="302"/>
      <c r="U391" s="301"/>
      <c r="V391" s="301"/>
      <c r="W391" s="303">
        <f>ROUND($X391*Berechnungen!$B$91,1)</f>
        <v>0.8</v>
      </c>
      <c r="X391" s="786">
        <f>ROUND(VLOOKUP($D391+3,Berechnungen!$A$37:$F$66,4),0)</f>
        <v>4</v>
      </c>
      <c r="Y391" s="348">
        <v>0</v>
      </c>
      <c r="Z391" s="349"/>
      <c r="AA391" s="306"/>
      <c r="AB391" s="306"/>
      <c r="AC391" s="307"/>
      <c r="AD391" s="307"/>
      <c r="AE391" s="307"/>
      <c r="AF391" s="308"/>
    </row>
    <row r="392" spans="1:32" s="294" customFormat="1" outlineLevel="1" x14ac:dyDescent="0.2">
      <c r="A392" s="293">
        <v>2202</v>
      </c>
      <c r="B392" s="177" t="s">
        <v>509</v>
      </c>
      <c r="C392" s="177" t="s">
        <v>53</v>
      </c>
      <c r="D392" s="178">
        <v>4</v>
      </c>
      <c r="E392" s="316" t="s">
        <v>195</v>
      </c>
      <c r="F392" s="56"/>
      <c r="G392" s="177">
        <v>8</v>
      </c>
      <c r="H392" s="178">
        <v>2</v>
      </c>
      <c r="I392" s="178">
        <v>12</v>
      </c>
      <c r="J392" s="177">
        <v>100</v>
      </c>
      <c r="K392" s="317">
        <v>1800</v>
      </c>
      <c r="L392" s="178"/>
      <c r="M392" s="179"/>
      <c r="N392" s="299">
        <f>VLOOKUP(A392,Baupläne!$B$2:$X$1019,23,FALSE)</f>
        <v>2800</v>
      </c>
      <c r="O392" s="295"/>
      <c r="Q392" s="301"/>
      <c r="R392" s="306"/>
      <c r="S392" s="301"/>
      <c r="T392" s="302"/>
      <c r="U392" s="301"/>
      <c r="V392" s="301"/>
      <c r="W392" s="303">
        <f>ROUND($X391*Berechnungen!$B$92,1)</f>
        <v>1.2</v>
      </c>
      <c r="X392" s="786"/>
      <c r="Y392" s="348">
        <v>0</v>
      </c>
      <c r="Z392" s="349"/>
      <c r="AA392" s="306"/>
      <c r="AB392" s="306"/>
      <c r="AC392" s="307"/>
      <c r="AD392" s="307"/>
      <c r="AE392" s="307"/>
      <c r="AF392" s="308"/>
    </row>
    <row r="393" spans="1:32" s="294" customFormat="1" outlineLevel="1" x14ac:dyDescent="0.2">
      <c r="A393" s="293">
        <v>2203</v>
      </c>
      <c r="B393" s="177" t="s">
        <v>510</v>
      </c>
      <c r="C393" s="177" t="s">
        <v>53</v>
      </c>
      <c r="D393" s="178">
        <v>5</v>
      </c>
      <c r="E393" s="316" t="s">
        <v>195</v>
      </c>
      <c r="F393" s="56"/>
      <c r="G393" s="177">
        <v>8</v>
      </c>
      <c r="H393" s="178">
        <v>2</v>
      </c>
      <c r="I393" s="178">
        <v>13</v>
      </c>
      <c r="J393" s="177">
        <v>100</v>
      </c>
      <c r="K393" s="317">
        <v>900</v>
      </c>
      <c r="L393" s="178"/>
      <c r="M393" s="179"/>
      <c r="N393" s="299">
        <f>VLOOKUP(A393,Baupläne!$B$2:$X$1019,23,FALSE)</f>
        <v>1800</v>
      </c>
      <c r="O393" s="295"/>
      <c r="Q393" s="301"/>
      <c r="R393" s="306"/>
      <c r="S393" s="301"/>
      <c r="T393" s="302"/>
      <c r="U393" s="301"/>
      <c r="V393" s="301"/>
      <c r="W393" s="303">
        <f>ROUND($X391*Berechnungen!$B$93,1)</f>
        <v>0.6</v>
      </c>
      <c r="X393" s="786"/>
      <c r="Y393" s="348">
        <v>0</v>
      </c>
      <c r="Z393" s="349"/>
      <c r="AA393" s="306"/>
      <c r="AB393" s="306"/>
      <c r="AC393" s="307"/>
      <c r="AD393" s="307"/>
      <c r="AE393" s="307"/>
      <c r="AF393" s="308"/>
    </row>
    <row r="394" spans="1:32" s="294" customFormat="1" outlineLevel="1" x14ac:dyDescent="0.2">
      <c r="A394" s="293">
        <v>2204</v>
      </c>
      <c r="B394" s="177" t="s">
        <v>511</v>
      </c>
      <c r="C394" s="177" t="s">
        <v>53</v>
      </c>
      <c r="D394" s="178">
        <v>5</v>
      </c>
      <c r="E394" s="316" t="s">
        <v>195</v>
      </c>
      <c r="F394" s="56"/>
      <c r="G394" s="177">
        <v>8</v>
      </c>
      <c r="H394" s="178">
        <v>2</v>
      </c>
      <c r="I394" s="178">
        <v>14</v>
      </c>
      <c r="J394" s="177">
        <v>100</v>
      </c>
      <c r="K394" s="317">
        <v>1200</v>
      </c>
      <c r="L394" s="178"/>
      <c r="M394" s="179"/>
      <c r="N394" s="299">
        <f>VLOOKUP(A394,Baupläne!$B$2:$X$1019,23,FALSE)</f>
        <v>2200</v>
      </c>
      <c r="O394" s="295"/>
      <c r="Q394" s="301"/>
      <c r="R394" s="306"/>
      <c r="S394" s="301"/>
      <c r="T394" s="302"/>
      <c r="U394" s="301"/>
      <c r="V394" s="301"/>
      <c r="W394" s="303">
        <f>ROUND($X391*Berechnungen!$B$94,1)</f>
        <v>0.8</v>
      </c>
      <c r="X394" s="786"/>
      <c r="Y394" s="348">
        <v>0</v>
      </c>
      <c r="Z394" s="349"/>
      <c r="AA394" s="306"/>
      <c r="AB394" s="306"/>
      <c r="AC394" s="307"/>
      <c r="AD394" s="307"/>
      <c r="AE394" s="307"/>
      <c r="AF394" s="308"/>
    </row>
    <row r="395" spans="1:32" s="294" customFormat="1" outlineLevel="1" x14ac:dyDescent="0.2">
      <c r="A395" s="293">
        <v>2205</v>
      </c>
      <c r="B395" s="350" t="s">
        <v>512</v>
      </c>
      <c r="C395" s="350" t="s">
        <v>53</v>
      </c>
      <c r="D395" s="351">
        <v>5</v>
      </c>
      <c r="E395" s="352" t="s">
        <v>195</v>
      </c>
      <c r="F395" s="337"/>
      <c r="G395" s="350">
        <v>8</v>
      </c>
      <c r="H395" s="351">
        <v>2</v>
      </c>
      <c r="I395" s="351">
        <v>15</v>
      </c>
      <c r="J395" s="350">
        <v>100</v>
      </c>
      <c r="K395" s="353">
        <v>900</v>
      </c>
      <c r="L395" s="351"/>
      <c r="M395" s="354"/>
      <c r="N395" s="299">
        <f>VLOOKUP(A395,Baupläne!$B$2:$X$1019,23,FALSE)</f>
        <v>1800</v>
      </c>
      <c r="O395" s="355"/>
      <c r="P395" s="356"/>
      <c r="Q395" s="357"/>
      <c r="R395" s="358"/>
      <c r="S395" s="357"/>
      <c r="T395" s="359"/>
      <c r="U395" s="357"/>
      <c r="V395" s="357"/>
      <c r="W395" s="360">
        <f>ROUND($X391*Berechnungen!$B$95,1)</f>
        <v>0.6</v>
      </c>
      <c r="X395" s="786"/>
      <c r="Y395" s="361">
        <v>0</v>
      </c>
      <c r="Z395" s="362"/>
      <c r="AA395" s="358"/>
      <c r="AB395" s="358"/>
      <c r="AC395" s="363"/>
      <c r="AD395" s="363"/>
      <c r="AE395" s="363"/>
      <c r="AF395" s="364"/>
    </row>
    <row r="396" spans="1:32" s="294" customFormat="1" ht="12.75" customHeight="1" outlineLevel="1" x14ac:dyDescent="0.2">
      <c r="A396" s="293">
        <v>2211</v>
      </c>
      <c r="B396" s="177" t="s">
        <v>513</v>
      </c>
      <c r="C396" s="177" t="s">
        <v>53</v>
      </c>
      <c r="D396" s="178">
        <v>9</v>
      </c>
      <c r="E396" s="316" t="s">
        <v>195</v>
      </c>
      <c r="F396" s="56"/>
      <c r="G396" s="177">
        <v>8</v>
      </c>
      <c r="H396" s="178">
        <v>2</v>
      </c>
      <c r="I396" s="178">
        <v>11</v>
      </c>
      <c r="J396" s="177">
        <v>100</v>
      </c>
      <c r="K396" s="317">
        <v>1200</v>
      </c>
      <c r="L396" s="178"/>
      <c r="M396" s="179"/>
      <c r="N396" s="299">
        <f>VLOOKUP(A396,Baupläne!$B$2:$X$1019,23,FALSE)</f>
        <v>4100</v>
      </c>
      <c r="O396" s="295"/>
      <c r="Q396" s="301"/>
      <c r="R396" s="306"/>
      <c r="S396" s="301"/>
      <c r="T396" s="302"/>
      <c r="U396" s="301"/>
      <c r="V396" s="301"/>
      <c r="W396" s="303">
        <f>ROUND($X396*Berechnungen!$B$91,1)</f>
        <v>1.2</v>
      </c>
      <c r="X396" s="788">
        <f>ROUND(VLOOKUP($D396+3,Berechnungen!$A$37:$F$66,4),0)</f>
        <v>6</v>
      </c>
      <c r="Y396" s="348">
        <v>0</v>
      </c>
      <c r="Z396" s="349"/>
      <c r="AA396" s="306"/>
      <c r="AB396" s="306"/>
      <c r="AC396" s="307"/>
      <c r="AD396" s="307"/>
      <c r="AE396" s="307"/>
      <c r="AF396" s="308"/>
    </row>
    <row r="397" spans="1:32" s="294" customFormat="1" outlineLevel="1" x14ac:dyDescent="0.2">
      <c r="A397" s="293">
        <v>2212</v>
      </c>
      <c r="B397" s="177" t="s">
        <v>514</v>
      </c>
      <c r="C397" s="177" t="s">
        <v>53</v>
      </c>
      <c r="D397" s="178">
        <v>9</v>
      </c>
      <c r="E397" s="316" t="s">
        <v>195</v>
      </c>
      <c r="F397" s="56"/>
      <c r="G397" s="177">
        <v>8</v>
      </c>
      <c r="H397" s="178">
        <v>2</v>
      </c>
      <c r="I397" s="178">
        <v>12</v>
      </c>
      <c r="J397" s="177">
        <v>100</v>
      </c>
      <c r="K397" s="317">
        <v>1800</v>
      </c>
      <c r="L397" s="178"/>
      <c r="M397" s="179"/>
      <c r="N397" s="299">
        <f>VLOOKUP(A397,Baupläne!$B$2:$X$1019,23,FALSE)</f>
        <v>5600</v>
      </c>
      <c r="O397" s="295"/>
      <c r="Q397" s="301"/>
      <c r="R397" s="306"/>
      <c r="S397" s="301"/>
      <c r="T397" s="302"/>
      <c r="U397" s="301"/>
      <c r="V397" s="301"/>
      <c r="W397" s="303">
        <f>ROUND($X396*Berechnungen!$B$92,1)</f>
        <v>1.8</v>
      </c>
      <c r="X397" s="788"/>
      <c r="Y397" s="348">
        <v>0</v>
      </c>
      <c r="Z397" s="349"/>
      <c r="AA397" s="306"/>
      <c r="AB397" s="306"/>
      <c r="AC397" s="307"/>
      <c r="AD397" s="307"/>
      <c r="AE397" s="307"/>
      <c r="AF397" s="308"/>
    </row>
    <row r="398" spans="1:32" s="294" customFormat="1" outlineLevel="1" x14ac:dyDescent="0.2">
      <c r="A398" s="293">
        <v>2213</v>
      </c>
      <c r="B398" s="177" t="s">
        <v>515</v>
      </c>
      <c r="C398" s="177" t="s">
        <v>53</v>
      </c>
      <c r="D398" s="178">
        <v>10</v>
      </c>
      <c r="E398" s="316" t="s">
        <v>195</v>
      </c>
      <c r="F398" s="56"/>
      <c r="G398" s="177">
        <v>8</v>
      </c>
      <c r="H398" s="178">
        <v>2</v>
      </c>
      <c r="I398" s="178">
        <v>13</v>
      </c>
      <c r="J398" s="177">
        <v>100</v>
      </c>
      <c r="K398" s="317">
        <v>900</v>
      </c>
      <c r="L398" s="178"/>
      <c r="M398" s="179"/>
      <c r="N398" s="299">
        <f>VLOOKUP(A398,Baupläne!$B$2:$X$1019,23,FALSE)</f>
        <v>3600</v>
      </c>
      <c r="O398" s="295"/>
      <c r="Q398" s="301"/>
      <c r="R398" s="306"/>
      <c r="S398" s="301"/>
      <c r="T398" s="302"/>
      <c r="U398" s="301"/>
      <c r="V398" s="301"/>
      <c r="W398" s="303">
        <f>ROUND($X396*Berechnungen!$B$93,1)</f>
        <v>0.9</v>
      </c>
      <c r="X398" s="788"/>
      <c r="Y398" s="348">
        <v>0</v>
      </c>
      <c r="Z398" s="349"/>
      <c r="AA398" s="306"/>
      <c r="AB398" s="306"/>
      <c r="AC398" s="307"/>
      <c r="AD398" s="307"/>
      <c r="AE398" s="307"/>
      <c r="AF398" s="308"/>
    </row>
    <row r="399" spans="1:32" s="294" customFormat="1" outlineLevel="1" x14ac:dyDescent="0.2">
      <c r="A399" s="293">
        <v>2214</v>
      </c>
      <c r="B399" s="177" t="s">
        <v>516</v>
      </c>
      <c r="C399" s="177" t="s">
        <v>53</v>
      </c>
      <c r="D399" s="178">
        <v>10</v>
      </c>
      <c r="E399" s="316" t="s">
        <v>195</v>
      </c>
      <c r="F399" s="56"/>
      <c r="G399" s="177">
        <v>8</v>
      </c>
      <c r="H399" s="178">
        <v>2</v>
      </c>
      <c r="I399" s="178">
        <v>14</v>
      </c>
      <c r="J399" s="177">
        <v>100</v>
      </c>
      <c r="K399" s="317">
        <v>1200</v>
      </c>
      <c r="L399" s="178"/>
      <c r="M399" s="179"/>
      <c r="N399" s="299">
        <f>VLOOKUP(A399,Baupläne!$B$2:$X$1019,23,FALSE)</f>
        <v>4500</v>
      </c>
      <c r="O399" s="295"/>
      <c r="Q399" s="301"/>
      <c r="R399" s="306"/>
      <c r="S399" s="301"/>
      <c r="T399" s="302"/>
      <c r="U399" s="301"/>
      <c r="V399" s="301"/>
      <c r="W399" s="303">
        <f>ROUND($X396*Berechnungen!$B$94,1)</f>
        <v>1.2</v>
      </c>
      <c r="X399" s="788"/>
      <c r="Y399" s="348">
        <v>0</v>
      </c>
      <c r="Z399" s="349"/>
      <c r="AA399" s="306"/>
      <c r="AB399" s="306"/>
      <c r="AC399" s="307"/>
      <c r="AD399" s="307"/>
      <c r="AE399" s="307"/>
      <c r="AF399" s="308"/>
    </row>
    <row r="400" spans="1:32" s="294" customFormat="1" outlineLevel="1" x14ac:dyDescent="0.2">
      <c r="A400" s="293">
        <v>2215</v>
      </c>
      <c r="B400" s="350" t="s">
        <v>517</v>
      </c>
      <c r="C400" s="350" t="s">
        <v>53</v>
      </c>
      <c r="D400" s="351">
        <v>10</v>
      </c>
      <c r="E400" s="352" t="s">
        <v>195</v>
      </c>
      <c r="F400" s="337"/>
      <c r="G400" s="350">
        <v>8</v>
      </c>
      <c r="H400" s="351">
        <v>2</v>
      </c>
      <c r="I400" s="351">
        <v>15</v>
      </c>
      <c r="J400" s="350">
        <v>100</v>
      </c>
      <c r="K400" s="353">
        <v>900</v>
      </c>
      <c r="L400" s="351"/>
      <c r="M400" s="354"/>
      <c r="N400" s="299">
        <f>VLOOKUP(A400,Baupläne!$B$2:$X$1019,23,FALSE)</f>
        <v>3600</v>
      </c>
      <c r="O400" s="355"/>
      <c r="P400" s="356"/>
      <c r="Q400" s="357"/>
      <c r="R400" s="358"/>
      <c r="S400" s="357"/>
      <c r="T400" s="359"/>
      <c r="U400" s="357"/>
      <c r="V400" s="357"/>
      <c r="W400" s="360">
        <f>ROUND($X396*Berechnungen!$B$95,1)</f>
        <v>0.9</v>
      </c>
      <c r="X400" s="788"/>
      <c r="Y400" s="361">
        <v>0</v>
      </c>
      <c r="Z400" s="362"/>
      <c r="AA400" s="358"/>
      <c r="AB400" s="358"/>
      <c r="AC400" s="363"/>
      <c r="AD400" s="363"/>
      <c r="AE400" s="363"/>
      <c r="AF400" s="364"/>
    </row>
    <row r="401" spans="1:32" s="294" customFormat="1" ht="12.75" customHeight="1" outlineLevel="1" x14ac:dyDescent="0.2">
      <c r="A401" s="293">
        <v>2221</v>
      </c>
      <c r="B401" s="177" t="s">
        <v>518</v>
      </c>
      <c r="C401" s="177" t="s">
        <v>53</v>
      </c>
      <c r="D401" s="178">
        <v>14</v>
      </c>
      <c r="E401" s="316" t="s">
        <v>195</v>
      </c>
      <c r="F401" s="56"/>
      <c r="G401" s="177">
        <v>8</v>
      </c>
      <c r="H401" s="178">
        <v>2</v>
      </c>
      <c r="I401" s="178">
        <v>11</v>
      </c>
      <c r="J401" s="177">
        <v>100</v>
      </c>
      <c r="K401" s="317">
        <v>1200</v>
      </c>
      <c r="L401" s="178"/>
      <c r="M401" s="179"/>
      <c r="N401" s="299">
        <f>VLOOKUP(A401,Baupläne!$B$2:$X$1019,23,FALSE)</f>
        <v>8200</v>
      </c>
      <c r="O401" s="295"/>
      <c r="Q401" s="301"/>
      <c r="R401" s="306"/>
      <c r="S401" s="301"/>
      <c r="T401" s="302"/>
      <c r="U401" s="301"/>
      <c r="V401" s="301"/>
      <c r="W401" s="303">
        <f>ROUND($X401*Berechnungen!$B$91,1)</f>
        <v>1.6</v>
      </c>
      <c r="X401" s="788">
        <f>ROUND(VLOOKUP($D401+3,Berechnungen!$A$37:$F$66,4),0)</f>
        <v>8</v>
      </c>
      <c r="Y401" s="348">
        <v>0</v>
      </c>
      <c r="Z401" s="349"/>
      <c r="AA401" s="306"/>
      <c r="AB401" s="306"/>
      <c r="AC401" s="307"/>
      <c r="AD401" s="307"/>
      <c r="AE401" s="307"/>
      <c r="AF401" s="308"/>
    </row>
    <row r="402" spans="1:32" s="294" customFormat="1" outlineLevel="1" x14ac:dyDescent="0.2">
      <c r="A402" s="293">
        <v>2222</v>
      </c>
      <c r="B402" s="177" t="s">
        <v>519</v>
      </c>
      <c r="C402" s="177" t="s">
        <v>53</v>
      </c>
      <c r="D402" s="178">
        <v>14</v>
      </c>
      <c r="E402" s="316" t="s">
        <v>195</v>
      </c>
      <c r="F402" s="56"/>
      <c r="G402" s="177">
        <v>8</v>
      </c>
      <c r="H402" s="178">
        <v>2</v>
      </c>
      <c r="I402" s="178">
        <v>12</v>
      </c>
      <c r="J402" s="177">
        <v>100</v>
      </c>
      <c r="K402" s="317">
        <v>1800</v>
      </c>
      <c r="L402" s="178"/>
      <c r="M402" s="179"/>
      <c r="N402" s="299">
        <f>VLOOKUP(A402,Baupläne!$B$2:$X$1019,23,FALSE)</f>
        <v>11200</v>
      </c>
      <c r="O402" s="295"/>
      <c r="Q402" s="301"/>
      <c r="R402" s="306"/>
      <c r="S402" s="301"/>
      <c r="T402" s="302"/>
      <c r="U402" s="301"/>
      <c r="V402" s="301"/>
      <c r="W402" s="303">
        <f>ROUND($X401*Berechnungen!$B$92,1)</f>
        <v>2.4</v>
      </c>
      <c r="X402" s="788"/>
      <c r="Y402" s="348">
        <v>0</v>
      </c>
      <c r="Z402" s="349"/>
      <c r="AA402" s="306"/>
      <c r="AB402" s="306"/>
      <c r="AC402" s="307"/>
      <c r="AD402" s="307"/>
      <c r="AE402" s="307"/>
      <c r="AF402" s="308"/>
    </row>
    <row r="403" spans="1:32" s="294" customFormat="1" outlineLevel="1" x14ac:dyDescent="0.2">
      <c r="A403" s="293">
        <v>2223</v>
      </c>
      <c r="B403" s="177" t="s">
        <v>520</v>
      </c>
      <c r="C403" s="177" t="s">
        <v>53</v>
      </c>
      <c r="D403" s="178">
        <v>15</v>
      </c>
      <c r="E403" s="316" t="s">
        <v>195</v>
      </c>
      <c r="F403" s="56"/>
      <c r="G403" s="177">
        <v>8</v>
      </c>
      <c r="H403" s="178">
        <v>2</v>
      </c>
      <c r="I403" s="178">
        <v>13</v>
      </c>
      <c r="J403" s="177">
        <v>100</v>
      </c>
      <c r="K403" s="317">
        <v>900</v>
      </c>
      <c r="L403" s="178"/>
      <c r="M403" s="179"/>
      <c r="N403" s="299">
        <f>VLOOKUP(A403,Baupläne!$B$2:$X$1019,23,FALSE)</f>
        <v>7300</v>
      </c>
      <c r="O403" s="295"/>
      <c r="Q403" s="301"/>
      <c r="R403" s="306"/>
      <c r="S403" s="301"/>
      <c r="T403" s="302"/>
      <c r="U403" s="301"/>
      <c r="V403" s="301"/>
      <c r="W403" s="303">
        <f>ROUND($X401*Berechnungen!$B$93,1)</f>
        <v>1.2</v>
      </c>
      <c r="X403" s="788"/>
      <c r="Y403" s="348">
        <v>0</v>
      </c>
      <c r="Z403" s="349"/>
      <c r="AA403" s="306"/>
      <c r="AB403" s="306"/>
      <c r="AC403" s="307"/>
      <c r="AD403" s="307"/>
      <c r="AE403" s="307"/>
      <c r="AF403" s="308"/>
    </row>
    <row r="404" spans="1:32" s="294" customFormat="1" outlineLevel="1" x14ac:dyDescent="0.2">
      <c r="A404" s="293">
        <v>2224</v>
      </c>
      <c r="B404" s="177" t="s">
        <v>521</v>
      </c>
      <c r="C404" s="177" t="s">
        <v>53</v>
      </c>
      <c r="D404" s="178">
        <v>15</v>
      </c>
      <c r="E404" s="316" t="s">
        <v>195</v>
      </c>
      <c r="F404" s="56"/>
      <c r="G404" s="177">
        <v>8</v>
      </c>
      <c r="H404" s="178">
        <v>2</v>
      </c>
      <c r="I404" s="178">
        <v>14</v>
      </c>
      <c r="J404" s="177">
        <v>100</v>
      </c>
      <c r="K404" s="317">
        <v>1200</v>
      </c>
      <c r="L404" s="178"/>
      <c r="M404" s="179"/>
      <c r="N404" s="299">
        <f>VLOOKUP(A404,Baupläne!$B$2:$X$1019,23,FALSE)</f>
        <v>9100</v>
      </c>
      <c r="O404" s="295"/>
      <c r="Q404" s="301"/>
      <c r="R404" s="306"/>
      <c r="S404" s="301"/>
      <c r="T404" s="302"/>
      <c r="U404" s="301"/>
      <c r="V404" s="301"/>
      <c r="W404" s="303">
        <f>ROUND($X401*Berechnungen!$B$94,1)</f>
        <v>1.6</v>
      </c>
      <c r="X404" s="788"/>
      <c r="Y404" s="348">
        <v>0</v>
      </c>
      <c r="Z404" s="349"/>
      <c r="AA404" s="306"/>
      <c r="AB404" s="306"/>
      <c r="AC404" s="307"/>
      <c r="AD404" s="307"/>
      <c r="AE404" s="307"/>
      <c r="AF404" s="308"/>
    </row>
    <row r="405" spans="1:32" s="294" customFormat="1" outlineLevel="1" x14ac:dyDescent="0.2">
      <c r="A405" s="293">
        <v>2225</v>
      </c>
      <c r="B405" s="350" t="s">
        <v>522</v>
      </c>
      <c r="C405" s="350" t="s">
        <v>53</v>
      </c>
      <c r="D405" s="351">
        <v>15</v>
      </c>
      <c r="E405" s="352" t="s">
        <v>195</v>
      </c>
      <c r="F405" s="337"/>
      <c r="G405" s="350">
        <v>8</v>
      </c>
      <c r="H405" s="351">
        <v>2</v>
      </c>
      <c r="I405" s="351">
        <v>15</v>
      </c>
      <c r="J405" s="350">
        <v>100</v>
      </c>
      <c r="K405" s="353">
        <v>900</v>
      </c>
      <c r="L405" s="351"/>
      <c r="M405" s="354"/>
      <c r="N405" s="299">
        <f>VLOOKUP(A405,Baupläne!$B$2:$X$1019,23,FALSE)</f>
        <v>7300</v>
      </c>
      <c r="O405" s="355"/>
      <c r="P405" s="356"/>
      <c r="Q405" s="357"/>
      <c r="R405" s="358"/>
      <c r="S405" s="357"/>
      <c r="T405" s="359"/>
      <c r="U405" s="357"/>
      <c r="V405" s="357"/>
      <c r="W405" s="360">
        <f>ROUND($X401*Berechnungen!$B$95,1)</f>
        <v>1.2</v>
      </c>
      <c r="X405" s="788"/>
      <c r="Y405" s="361">
        <v>0</v>
      </c>
      <c r="Z405" s="362"/>
      <c r="AA405" s="358"/>
      <c r="AB405" s="358"/>
      <c r="AC405" s="363"/>
      <c r="AD405" s="363"/>
      <c r="AE405" s="363"/>
      <c r="AF405" s="364"/>
    </row>
    <row r="406" spans="1:32" s="294" customFormat="1" ht="12.75" customHeight="1" outlineLevel="1" x14ac:dyDescent="0.2">
      <c r="A406" s="293">
        <v>2231</v>
      </c>
      <c r="B406" s="177" t="s">
        <v>523</v>
      </c>
      <c r="C406" s="177" t="s">
        <v>53</v>
      </c>
      <c r="D406" s="178">
        <v>19</v>
      </c>
      <c r="E406" s="316" t="s">
        <v>195</v>
      </c>
      <c r="F406" s="56"/>
      <c r="G406" s="177">
        <v>8</v>
      </c>
      <c r="H406" s="178">
        <v>2</v>
      </c>
      <c r="I406" s="178">
        <v>11</v>
      </c>
      <c r="J406" s="177">
        <v>100</v>
      </c>
      <c r="K406" s="317">
        <v>1200</v>
      </c>
      <c r="L406" s="178"/>
      <c r="M406" s="179"/>
      <c r="N406" s="299">
        <f>VLOOKUP(A406,Baupläne!$B$2:$X$1019,23,FALSE)</f>
        <v>15900</v>
      </c>
      <c r="O406" s="295"/>
      <c r="Q406" s="301"/>
      <c r="R406" s="306"/>
      <c r="S406" s="301"/>
      <c r="T406" s="302"/>
      <c r="U406" s="301"/>
      <c r="V406" s="301"/>
      <c r="W406" s="303">
        <f>ROUND($X406*Berechnungen!$B$91,1)</f>
        <v>2.2000000000000002</v>
      </c>
      <c r="X406" s="788">
        <f>ROUND(VLOOKUP($D406+3,Berechnungen!$A$37:$F$66,4),0)</f>
        <v>11</v>
      </c>
      <c r="Y406" s="348">
        <v>0</v>
      </c>
      <c r="Z406" s="349"/>
      <c r="AA406" s="306"/>
      <c r="AB406" s="306"/>
      <c r="AC406" s="307"/>
      <c r="AD406" s="307"/>
      <c r="AE406" s="307"/>
      <c r="AF406" s="308"/>
    </row>
    <row r="407" spans="1:32" s="294" customFormat="1" outlineLevel="1" x14ac:dyDescent="0.2">
      <c r="A407" s="293">
        <v>2232</v>
      </c>
      <c r="B407" s="177" t="s">
        <v>524</v>
      </c>
      <c r="C407" s="177" t="s">
        <v>53</v>
      </c>
      <c r="D407" s="178">
        <v>19</v>
      </c>
      <c r="E407" s="316" t="s">
        <v>195</v>
      </c>
      <c r="F407" s="56"/>
      <c r="G407" s="177">
        <v>8</v>
      </c>
      <c r="H407" s="178">
        <v>2</v>
      </c>
      <c r="I407" s="178">
        <v>12</v>
      </c>
      <c r="J407" s="177">
        <v>100</v>
      </c>
      <c r="K407" s="317">
        <v>1800</v>
      </c>
      <c r="L407" s="178"/>
      <c r="M407" s="179"/>
      <c r="N407" s="299">
        <f>VLOOKUP(A407,Baupläne!$B$2:$X$1019,23,FALSE)</f>
        <v>22100</v>
      </c>
      <c r="O407" s="295"/>
      <c r="Q407" s="301"/>
      <c r="R407" s="306"/>
      <c r="S407" s="301"/>
      <c r="T407" s="302"/>
      <c r="U407" s="301"/>
      <c r="V407" s="301"/>
      <c r="W407" s="303">
        <f>ROUND($X406*Berechnungen!$B$92,1)</f>
        <v>3.3</v>
      </c>
      <c r="X407" s="788"/>
      <c r="Y407" s="348">
        <v>0</v>
      </c>
      <c r="Z407" s="349"/>
      <c r="AA407" s="306"/>
      <c r="AB407" s="306"/>
      <c r="AC407" s="307"/>
      <c r="AD407" s="307"/>
      <c r="AE407" s="307"/>
      <c r="AF407" s="308"/>
    </row>
    <row r="408" spans="1:32" s="294" customFormat="1" outlineLevel="1" x14ac:dyDescent="0.2">
      <c r="A408" s="293">
        <v>2233</v>
      </c>
      <c r="B408" s="177" t="s">
        <v>525</v>
      </c>
      <c r="C408" s="177" t="s">
        <v>53</v>
      </c>
      <c r="D408" s="178">
        <v>20</v>
      </c>
      <c r="E408" s="316" t="s">
        <v>195</v>
      </c>
      <c r="F408" s="56"/>
      <c r="G408" s="177">
        <v>8</v>
      </c>
      <c r="H408" s="178">
        <v>2</v>
      </c>
      <c r="I408" s="178">
        <v>13</v>
      </c>
      <c r="J408" s="177">
        <v>100</v>
      </c>
      <c r="K408" s="317">
        <v>900</v>
      </c>
      <c r="L408" s="178"/>
      <c r="M408" s="179"/>
      <c r="N408" s="299">
        <f>VLOOKUP(A408,Baupläne!$B$2:$X$1019,23,FALSE)</f>
        <v>14200</v>
      </c>
      <c r="O408" s="295"/>
      <c r="Q408" s="301"/>
      <c r="R408" s="306"/>
      <c r="S408" s="301"/>
      <c r="T408" s="302"/>
      <c r="U408" s="301"/>
      <c r="V408" s="301"/>
      <c r="W408" s="303">
        <f>ROUND($X406*Berechnungen!$B$93,1)</f>
        <v>1.7</v>
      </c>
      <c r="X408" s="788"/>
      <c r="Y408" s="348">
        <v>0</v>
      </c>
      <c r="Z408" s="349"/>
      <c r="AA408" s="306"/>
      <c r="AB408" s="306"/>
      <c r="AC408" s="307"/>
      <c r="AD408" s="307"/>
      <c r="AE408" s="307"/>
      <c r="AF408" s="308"/>
    </row>
    <row r="409" spans="1:32" s="294" customFormat="1" outlineLevel="1" x14ac:dyDescent="0.2">
      <c r="A409" s="293">
        <v>2234</v>
      </c>
      <c r="B409" s="177" t="s">
        <v>526</v>
      </c>
      <c r="C409" s="177" t="s">
        <v>53</v>
      </c>
      <c r="D409" s="178">
        <v>20</v>
      </c>
      <c r="E409" s="316" t="s">
        <v>195</v>
      </c>
      <c r="F409" s="56"/>
      <c r="G409" s="177">
        <v>8</v>
      </c>
      <c r="H409" s="178">
        <v>2</v>
      </c>
      <c r="I409" s="178">
        <v>14</v>
      </c>
      <c r="J409" s="177">
        <v>100</v>
      </c>
      <c r="K409" s="317">
        <v>1200</v>
      </c>
      <c r="L409" s="178"/>
      <c r="M409" s="179"/>
      <c r="N409" s="299">
        <f>VLOOKUP(A409,Baupläne!$B$2:$X$1019,23,FALSE)</f>
        <v>17700</v>
      </c>
      <c r="O409" s="295"/>
      <c r="Q409" s="301"/>
      <c r="R409" s="306"/>
      <c r="S409" s="301"/>
      <c r="T409" s="302"/>
      <c r="U409" s="301"/>
      <c r="V409" s="301"/>
      <c r="W409" s="303">
        <f>ROUND($X406*Berechnungen!$B$94,1)</f>
        <v>2.2000000000000002</v>
      </c>
      <c r="X409" s="788"/>
      <c r="Y409" s="348">
        <v>0</v>
      </c>
      <c r="Z409" s="349"/>
      <c r="AA409" s="306"/>
      <c r="AB409" s="306"/>
      <c r="AC409" s="307"/>
      <c r="AD409" s="307"/>
      <c r="AE409" s="307"/>
      <c r="AF409" s="308"/>
    </row>
    <row r="410" spans="1:32" s="294" customFormat="1" outlineLevel="1" x14ac:dyDescent="0.2">
      <c r="A410" s="293">
        <v>2235</v>
      </c>
      <c r="B410" s="350" t="s">
        <v>527</v>
      </c>
      <c r="C410" s="350" t="s">
        <v>53</v>
      </c>
      <c r="D410" s="351">
        <v>20</v>
      </c>
      <c r="E410" s="352" t="s">
        <v>195</v>
      </c>
      <c r="F410" s="337"/>
      <c r="G410" s="350">
        <v>8</v>
      </c>
      <c r="H410" s="351">
        <v>2</v>
      </c>
      <c r="I410" s="351">
        <v>15</v>
      </c>
      <c r="J410" s="350">
        <v>100</v>
      </c>
      <c r="K410" s="353">
        <v>900</v>
      </c>
      <c r="L410" s="351"/>
      <c r="M410" s="354"/>
      <c r="N410" s="299">
        <f>VLOOKUP(A410,Baupläne!$B$2:$X$1019,23,FALSE)</f>
        <v>14200</v>
      </c>
      <c r="O410" s="355"/>
      <c r="P410" s="356"/>
      <c r="Q410" s="357"/>
      <c r="R410" s="358"/>
      <c r="S410" s="357"/>
      <c r="T410" s="359"/>
      <c r="U410" s="357"/>
      <c r="V410" s="357"/>
      <c r="W410" s="360">
        <f>ROUND($X406*Berechnungen!$B$95,1)</f>
        <v>1.7</v>
      </c>
      <c r="X410" s="788"/>
      <c r="Y410" s="361">
        <v>0</v>
      </c>
      <c r="Z410" s="362"/>
      <c r="AA410" s="358"/>
      <c r="AB410" s="358"/>
      <c r="AC410" s="363"/>
      <c r="AD410" s="363"/>
      <c r="AE410" s="363"/>
      <c r="AF410" s="364"/>
    </row>
    <row r="411" spans="1:32" s="294" customFormat="1" ht="12.75" customHeight="1" outlineLevel="1" x14ac:dyDescent="0.2">
      <c r="A411" s="293">
        <v>2241</v>
      </c>
      <c r="B411" s="177" t="s">
        <v>528</v>
      </c>
      <c r="C411" s="177" t="s">
        <v>53</v>
      </c>
      <c r="D411" s="178">
        <v>24</v>
      </c>
      <c r="E411" s="316" t="s">
        <v>195</v>
      </c>
      <c r="F411" s="56"/>
      <c r="G411" s="177">
        <v>8</v>
      </c>
      <c r="H411" s="178">
        <v>2</v>
      </c>
      <c r="I411" s="178">
        <v>11</v>
      </c>
      <c r="J411" s="177">
        <v>100</v>
      </c>
      <c r="K411" s="317">
        <v>1200</v>
      </c>
      <c r="L411" s="178"/>
      <c r="M411" s="179"/>
      <c r="N411" s="299">
        <f>VLOOKUP(A411,Baupläne!$B$2:$X$1019,23,FALSE)</f>
        <v>29900</v>
      </c>
      <c r="O411" s="295"/>
      <c r="Q411" s="301"/>
      <c r="R411" s="306"/>
      <c r="S411" s="301"/>
      <c r="T411" s="302"/>
      <c r="U411" s="301"/>
      <c r="V411" s="301"/>
      <c r="W411" s="303">
        <f>ROUND($X411*Berechnungen!$B$91,1)</f>
        <v>2.6</v>
      </c>
      <c r="X411" s="788">
        <f>ROUND(VLOOKUP($D411+3,Berechnungen!$A$37:$F$66,4),0)</f>
        <v>13</v>
      </c>
      <c r="Y411" s="348">
        <v>0</v>
      </c>
      <c r="Z411" s="349"/>
      <c r="AA411" s="306"/>
      <c r="AB411" s="306"/>
      <c r="AC411" s="307"/>
      <c r="AD411" s="307"/>
      <c r="AE411" s="307"/>
      <c r="AF411" s="308"/>
    </row>
    <row r="412" spans="1:32" s="294" customFormat="1" outlineLevel="1" x14ac:dyDescent="0.2">
      <c r="A412" s="293">
        <v>2242</v>
      </c>
      <c r="B412" s="177" t="s">
        <v>529</v>
      </c>
      <c r="C412" s="177" t="s">
        <v>53</v>
      </c>
      <c r="D412" s="178">
        <v>24</v>
      </c>
      <c r="E412" s="316" t="s">
        <v>195</v>
      </c>
      <c r="F412" s="56"/>
      <c r="G412" s="177">
        <v>8</v>
      </c>
      <c r="H412" s="178">
        <v>2</v>
      </c>
      <c r="I412" s="178">
        <v>12</v>
      </c>
      <c r="J412" s="177">
        <v>100</v>
      </c>
      <c r="K412" s="317">
        <v>1800</v>
      </c>
      <c r="L412" s="178"/>
      <c r="M412" s="179"/>
      <c r="N412" s="299">
        <f>VLOOKUP(A412,Baupläne!$B$2:$X$1019,23,FALSE)</f>
        <v>42300</v>
      </c>
      <c r="O412" s="295"/>
      <c r="Q412" s="301"/>
      <c r="R412" s="306"/>
      <c r="S412" s="301"/>
      <c r="T412" s="302"/>
      <c r="U412" s="301"/>
      <c r="V412" s="301"/>
      <c r="W412" s="303">
        <f>ROUND($X411*Berechnungen!$B$92,1)</f>
        <v>3.9</v>
      </c>
      <c r="X412" s="788"/>
      <c r="Y412" s="348">
        <v>0</v>
      </c>
      <c r="Z412" s="349"/>
      <c r="AA412" s="306"/>
      <c r="AB412" s="306"/>
      <c r="AC412" s="307"/>
      <c r="AD412" s="307"/>
      <c r="AE412" s="307"/>
      <c r="AF412" s="308"/>
    </row>
    <row r="413" spans="1:32" s="294" customFormat="1" outlineLevel="1" x14ac:dyDescent="0.2">
      <c r="A413" s="293">
        <v>2243</v>
      </c>
      <c r="B413" s="177" t="s">
        <v>530</v>
      </c>
      <c r="C413" s="177" t="s">
        <v>53</v>
      </c>
      <c r="D413" s="178">
        <v>25</v>
      </c>
      <c r="E413" s="316" t="s">
        <v>195</v>
      </c>
      <c r="F413" s="56"/>
      <c r="G413" s="177">
        <v>8</v>
      </c>
      <c r="H413" s="178">
        <v>2</v>
      </c>
      <c r="I413" s="178">
        <v>13</v>
      </c>
      <c r="J413" s="177">
        <v>100</v>
      </c>
      <c r="K413" s="317">
        <v>900</v>
      </c>
      <c r="L413" s="178"/>
      <c r="M413" s="179"/>
      <c r="N413" s="299">
        <f>VLOOKUP(A413,Baupläne!$B$2:$X$1019,23,FALSE)</f>
        <v>26500</v>
      </c>
      <c r="O413" s="295"/>
      <c r="Q413" s="301"/>
      <c r="R413" s="306"/>
      <c r="S413" s="301"/>
      <c r="T413" s="302"/>
      <c r="U413" s="301"/>
      <c r="V413" s="301"/>
      <c r="W413" s="303">
        <f>ROUND($X411*Berechnungen!$B$93,1)</f>
        <v>2</v>
      </c>
      <c r="X413" s="788"/>
      <c r="Y413" s="348">
        <v>0</v>
      </c>
      <c r="Z413" s="349"/>
      <c r="AA413" s="306"/>
      <c r="AB413" s="306"/>
      <c r="AC413" s="307"/>
      <c r="AD413" s="307"/>
      <c r="AE413" s="307"/>
      <c r="AF413" s="308"/>
    </row>
    <row r="414" spans="1:32" s="294" customFormat="1" outlineLevel="1" x14ac:dyDescent="0.2">
      <c r="A414" s="293">
        <v>2244</v>
      </c>
      <c r="B414" s="177" t="s">
        <v>531</v>
      </c>
      <c r="C414" s="177" t="s">
        <v>53</v>
      </c>
      <c r="D414" s="178">
        <v>25</v>
      </c>
      <c r="E414" s="316" t="s">
        <v>195</v>
      </c>
      <c r="F414" s="56"/>
      <c r="G414" s="177">
        <v>8</v>
      </c>
      <c r="H414" s="178">
        <v>2</v>
      </c>
      <c r="I414" s="178">
        <v>14</v>
      </c>
      <c r="J414" s="177">
        <v>100</v>
      </c>
      <c r="K414" s="317">
        <v>1200</v>
      </c>
      <c r="L414" s="178"/>
      <c r="M414" s="179"/>
      <c r="N414" s="299">
        <f>VLOOKUP(A414,Baupläne!$B$2:$X$1019,23,FALSE)</f>
        <v>33600</v>
      </c>
      <c r="O414" s="295"/>
      <c r="Q414" s="301"/>
      <c r="R414" s="306"/>
      <c r="S414" s="301"/>
      <c r="T414" s="302"/>
      <c r="U414" s="301"/>
      <c r="V414" s="301"/>
      <c r="W414" s="303">
        <f>ROUND($X411*Berechnungen!$B$94,1)</f>
        <v>2.6</v>
      </c>
      <c r="X414" s="788"/>
      <c r="Y414" s="348">
        <v>0</v>
      </c>
      <c r="Z414" s="349"/>
      <c r="AA414" s="306"/>
      <c r="AB414" s="306"/>
      <c r="AC414" s="307"/>
      <c r="AD414" s="307"/>
      <c r="AE414" s="307"/>
      <c r="AF414" s="308"/>
    </row>
    <row r="415" spans="1:32" s="294" customFormat="1" outlineLevel="1" x14ac:dyDescent="0.2">
      <c r="A415" s="293">
        <v>2245</v>
      </c>
      <c r="B415" s="350" t="s">
        <v>532</v>
      </c>
      <c r="C415" s="350" t="s">
        <v>53</v>
      </c>
      <c r="D415" s="351">
        <v>25</v>
      </c>
      <c r="E415" s="352" t="s">
        <v>195</v>
      </c>
      <c r="F415" s="337"/>
      <c r="G415" s="350">
        <v>8</v>
      </c>
      <c r="H415" s="351">
        <v>2</v>
      </c>
      <c r="I415" s="351">
        <v>15</v>
      </c>
      <c r="J415" s="350">
        <v>100</v>
      </c>
      <c r="K415" s="353">
        <v>900</v>
      </c>
      <c r="L415" s="351"/>
      <c r="M415" s="354"/>
      <c r="N415" s="299">
        <f>VLOOKUP(A415,Baupläne!$B$2:$X$1019,23,FALSE)</f>
        <v>26500</v>
      </c>
      <c r="O415" s="355"/>
      <c r="P415" s="356"/>
      <c r="Q415" s="357"/>
      <c r="R415" s="358"/>
      <c r="S415" s="357"/>
      <c r="T415" s="359"/>
      <c r="U415" s="357"/>
      <c r="V415" s="357"/>
      <c r="W415" s="303">
        <f>ROUND($X411*Berechnungen!$B$95,1)</f>
        <v>2</v>
      </c>
      <c r="X415" s="788"/>
      <c r="Y415" s="348">
        <v>0</v>
      </c>
      <c r="Z415" s="349"/>
      <c r="AA415" s="306"/>
      <c r="AB415" s="306"/>
      <c r="AC415" s="363"/>
      <c r="AD415" s="363"/>
      <c r="AE415" s="363"/>
      <c r="AF415" s="364"/>
    </row>
    <row r="416" spans="1:32" x14ac:dyDescent="0.2">
      <c r="A416" s="271"/>
      <c r="B416" s="272" t="s">
        <v>533</v>
      </c>
      <c r="C416" s="321"/>
      <c r="D416" s="322"/>
      <c r="E416" s="365"/>
      <c r="F416" s="366"/>
      <c r="G416" s="321"/>
      <c r="H416" s="322"/>
      <c r="I416" s="322"/>
      <c r="J416" s="321"/>
      <c r="K416" s="325"/>
      <c r="L416" s="322"/>
      <c r="M416" s="326"/>
      <c r="N416" s="327"/>
      <c r="O416" s="328"/>
      <c r="P416" s="329"/>
      <c r="Q416" s="281"/>
      <c r="R416" s="330"/>
      <c r="S416" s="281"/>
      <c r="T416" s="282"/>
      <c r="U416" s="281"/>
      <c r="V416" s="281"/>
      <c r="W416" s="283"/>
      <c r="X416" s="284"/>
      <c r="Y416" s="285"/>
      <c r="Z416" s="286"/>
      <c r="AA416" s="287"/>
      <c r="AB416" s="287"/>
      <c r="AC416" s="288"/>
      <c r="AD416" s="288"/>
      <c r="AE416" s="288"/>
      <c r="AF416" s="289"/>
    </row>
    <row r="417" spans="1:32" ht="12.75" customHeight="1" outlineLevel="1" x14ac:dyDescent="0.2">
      <c r="A417" s="5">
        <v>1301</v>
      </c>
      <c r="B417" s="3" t="s">
        <v>534</v>
      </c>
      <c r="C417" s="3" t="s">
        <v>53</v>
      </c>
      <c r="D417" s="54">
        <v>1</v>
      </c>
      <c r="E417" s="331" t="s">
        <v>199</v>
      </c>
      <c r="F417" s="56"/>
      <c r="G417" s="3">
        <v>8</v>
      </c>
      <c r="H417" s="54">
        <v>1</v>
      </c>
      <c r="I417" s="54">
        <v>11</v>
      </c>
      <c r="J417" s="3">
        <v>100</v>
      </c>
      <c r="K417" s="57">
        <v>1200</v>
      </c>
      <c r="L417" s="54"/>
      <c r="M417" s="58">
        <v>1</v>
      </c>
      <c r="N417" s="59">
        <f>VLOOKUP(A417,Baupläne!$B$2:$X$1019,23,FALSE)</f>
        <v>1000</v>
      </c>
      <c r="W417" s="17">
        <f>ROUND($X417*Berechnungen!$B$91,1)</f>
        <v>0.6</v>
      </c>
      <c r="X417" s="787">
        <f>ROUND(VLOOKUP($D417,Berechnungen!$A$37:$F$61,5),0)</f>
        <v>3</v>
      </c>
      <c r="Y417" s="332">
        <v>2</v>
      </c>
      <c r="Z417" s="367">
        <v>8</v>
      </c>
      <c r="AC417" s="227"/>
      <c r="AD417" s="227"/>
      <c r="AE417" s="227"/>
      <c r="AF417" s="228"/>
    </row>
    <row r="418" spans="1:32" outlineLevel="1" x14ac:dyDescent="0.2">
      <c r="A418" s="5">
        <v>1302</v>
      </c>
      <c r="B418" s="3" t="s">
        <v>535</v>
      </c>
      <c r="C418" s="3" t="s">
        <v>53</v>
      </c>
      <c r="D418" s="54">
        <v>1</v>
      </c>
      <c r="E418" s="55" t="s">
        <v>199</v>
      </c>
      <c r="F418" s="56"/>
      <c r="G418" s="3">
        <v>8</v>
      </c>
      <c r="H418" s="54">
        <v>1</v>
      </c>
      <c r="I418" s="54">
        <v>12</v>
      </c>
      <c r="J418" s="3">
        <v>100</v>
      </c>
      <c r="K418" s="57">
        <v>1800</v>
      </c>
      <c r="L418" s="54"/>
      <c r="M418" s="58">
        <v>1</v>
      </c>
      <c r="N418" s="59">
        <f>VLOOKUP(A418,Baupläne!$B$2:$X$1019,23,FALSE)</f>
        <v>1500</v>
      </c>
      <c r="W418" s="17">
        <f>ROUND($X417*Berechnungen!$B$92,1)</f>
        <v>0.9</v>
      </c>
      <c r="X418" s="787"/>
      <c r="Y418" s="332">
        <v>3</v>
      </c>
      <c r="Z418" s="367">
        <v>12</v>
      </c>
      <c r="AC418" s="227"/>
      <c r="AD418" s="227"/>
      <c r="AE418" s="227"/>
      <c r="AF418" s="228"/>
    </row>
    <row r="419" spans="1:32" outlineLevel="1" x14ac:dyDescent="0.2">
      <c r="A419" s="5">
        <v>1303</v>
      </c>
      <c r="B419" s="3" t="s">
        <v>536</v>
      </c>
      <c r="C419" s="3" t="s">
        <v>53</v>
      </c>
      <c r="D419" s="54">
        <v>2</v>
      </c>
      <c r="E419" s="55" t="s">
        <v>199</v>
      </c>
      <c r="F419" s="56"/>
      <c r="G419" s="3">
        <v>8</v>
      </c>
      <c r="H419" s="54">
        <v>1</v>
      </c>
      <c r="I419" s="54">
        <v>13</v>
      </c>
      <c r="J419" s="3">
        <v>100</v>
      </c>
      <c r="K419" s="57">
        <v>900</v>
      </c>
      <c r="L419" s="54"/>
      <c r="M419" s="58">
        <v>1</v>
      </c>
      <c r="N419" s="59">
        <f>VLOOKUP(A419,Baupläne!$B$2:$X$1019,23,FALSE)</f>
        <v>900</v>
      </c>
      <c r="W419" s="17">
        <f>ROUND($X417*Berechnungen!$B$93,1)</f>
        <v>0.5</v>
      </c>
      <c r="X419" s="787"/>
      <c r="Y419" s="332">
        <v>1.5</v>
      </c>
      <c r="Z419" s="367">
        <v>6</v>
      </c>
      <c r="AC419" s="227"/>
      <c r="AD419" s="227"/>
      <c r="AE419" s="227"/>
      <c r="AF419" s="228"/>
    </row>
    <row r="420" spans="1:32" outlineLevel="1" x14ac:dyDescent="0.2">
      <c r="A420" s="5">
        <v>1304</v>
      </c>
      <c r="B420" s="3" t="s">
        <v>537</v>
      </c>
      <c r="C420" s="3" t="s">
        <v>53</v>
      </c>
      <c r="D420" s="54">
        <v>2</v>
      </c>
      <c r="E420" s="55" t="s">
        <v>199</v>
      </c>
      <c r="F420" s="56"/>
      <c r="G420" s="3">
        <v>8</v>
      </c>
      <c r="H420" s="54">
        <v>1</v>
      </c>
      <c r="I420" s="54">
        <v>14</v>
      </c>
      <c r="J420" s="3">
        <v>100</v>
      </c>
      <c r="K420" s="57">
        <v>1200</v>
      </c>
      <c r="L420" s="54"/>
      <c r="M420" s="58">
        <v>1</v>
      </c>
      <c r="N420" s="59">
        <f>VLOOKUP(A420,Baupläne!$B$2:$X$1019,23,FALSE)</f>
        <v>1200</v>
      </c>
      <c r="W420" s="17">
        <f>ROUND($X417*Berechnungen!$B$94,1)</f>
        <v>0.6</v>
      </c>
      <c r="X420" s="787"/>
      <c r="Y420" s="332">
        <v>2</v>
      </c>
      <c r="Z420" s="367">
        <v>8</v>
      </c>
      <c r="AC420" s="227"/>
      <c r="AD420" s="227"/>
      <c r="AE420" s="227"/>
      <c r="AF420" s="228"/>
    </row>
    <row r="421" spans="1:32" outlineLevel="1" x14ac:dyDescent="0.2">
      <c r="A421" s="5">
        <v>1305</v>
      </c>
      <c r="B421" s="3" t="s">
        <v>538</v>
      </c>
      <c r="C421" s="3" t="s">
        <v>53</v>
      </c>
      <c r="D421" s="54">
        <v>2</v>
      </c>
      <c r="E421" s="55" t="s">
        <v>199</v>
      </c>
      <c r="F421" s="56"/>
      <c r="G421" s="3">
        <v>8</v>
      </c>
      <c r="H421" s="54">
        <v>1</v>
      </c>
      <c r="I421" s="54">
        <v>15</v>
      </c>
      <c r="J421" s="3">
        <v>100</v>
      </c>
      <c r="K421" s="57">
        <v>900</v>
      </c>
      <c r="L421" s="54"/>
      <c r="M421" s="58">
        <v>1</v>
      </c>
      <c r="N421" s="59">
        <f>VLOOKUP(A421,Baupläne!$B$2:$X$1019,23,FALSE)</f>
        <v>900</v>
      </c>
      <c r="W421" s="17">
        <f>ROUND($X417*Berechnungen!$B$95,1)</f>
        <v>0.5</v>
      </c>
      <c r="X421" s="787"/>
      <c r="Y421" s="332">
        <v>1.5</v>
      </c>
      <c r="Z421" s="367">
        <v>6</v>
      </c>
      <c r="AC421" s="227"/>
      <c r="AD421" s="227"/>
      <c r="AE421" s="227"/>
      <c r="AF421" s="228"/>
    </row>
    <row r="422" spans="1:32" ht="12.75" customHeight="1" outlineLevel="1" x14ac:dyDescent="0.2">
      <c r="A422" s="5">
        <v>1306</v>
      </c>
      <c r="B422" s="3" t="s">
        <v>539</v>
      </c>
      <c r="C422" s="3" t="s">
        <v>53</v>
      </c>
      <c r="D422" s="54">
        <v>4</v>
      </c>
      <c r="E422" s="55" t="s">
        <v>199</v>
      </c>
      <c r="F422" s="56"/>
      <c r="G422" s="3">
        <v>8</v>
      </c>
      <c r="H422" s="54">
        <v>1</v>
      </c>
      <c r="I422" s="54">
        <v>11</v>
      </c>
      <c r="J422" s="3">
        <v>100</v>
      </c>
      <c r="K422" s="57">
        <v>1600</v>
      </c>
      <c r="L422" s="54"/>
      <c r="M422" s="58">
        <v>1</v>
      </c>
      <c r="N422" s="59">
        <f>VLOOKUP(A422,Baupläne!$B$2:$X$1019,23,FALSE)</f>
        <v>1500</v>
      </c>
      <c r="W422" s="17">
        <f>ROUND($X422*Berechnungen!$B$91,1)</f>
        <v>0.8</v>
      </c>
      <c r="X422" s="787">
        <f>ROUND(VLOOKUP($D422,Berechnungen!$A$37:$F$61,5),0)</f>
        <v>4</v>
      </c>
      <c r="Y422" s="332">
        <v>2</v>
      </c>
      <c r="Z422" s="367">
        <v>8</v>
      </c>
      <c r="AC422" s="227"/>
      <c r="AD422" s="227"/>
      <c r="AE422" s="227"/>
      <c r="AF422" s="228"/>
    </row>
    <row r="423" spans="1:32" outlineLevel="1" x14ac:dyDescent="0.2">
      <c r="A423" s="5">
        <v>1307</v>
      </c>
      <c r="B423" s="3" t="s">
        <v>540</v>
      </c>
      <c r="C423" s="3" t="s">
        <v>53</v>
      </c>
      <c r="D423" s="54">
        <v>4</v>
      </c>
      <c r="E423" s="55" t="s">
        <v>199</v>
      </c>
      <c r="F423" s="56"/>
      <c r="G423" s="3">
        <v>8</v>
      </c>
      <c r="H423" s="54">
        <v>1</v>
      </c>
      <c r="I423" s="54">
        <v>12</v>
      </c>
      <c r="J423" s="3">
        <v>100</v>
      </c>
      <c r="K423" s="57">
        <v>2400</v>
      </c>
      <c r="L423" s="54"/>
      <c r="M423" s="58">
        <v>1</v>
      </c>
      <c r="N423" s="59">
        <f>VLOOKUP(A423,Baupläne!$B$2:$X$1019,23,FALSE)</f>
        <v>2300</v>
      </c>
      <c r="W423" s="17">
        <f>ROUND($X422*Berechnungen!$B$92,1)</f>
        <v>1.2</v>
      </c>
      <c r="X423" s="787"/>
      <c r="Y423" s="332">
        <v>3</v>
      </c>
      <c r="Z423" s="367">
        <v>12</v>
      </c>
      <c r="AC423" s="227"/>
      <c r="AD423" s="227"/>
      <c r="AE423" s="227"/>
      <c r="AF423" s="228"/>
    </row>
    <row r="424" spans="1:32" outlineLevel="1" x14ac:dyDescent="0.2">
      <c r="A424" s="5">
        <v>1308</v>
      </c>
      <c r="B424" s="3" t="s">
        <v>541</v>
      </c>
      <c r="C424" s="3" t="s">
        <v>53</v>
      </c>
      <c r="D424" s="54">
        <v>5</v>
      </c>
      <c r="E424" s="55" t="s">
        <v>199</v>
      </c>
      <c r="F424" s="56"/>
      <c r="G424" s="3">
        <v>8</v>
      </c>
      <c r="H424" s="54">
        <v>1</v>
      </c>
      <c r="I424" s="54">
        <v>13</v>
      </c>
      <c r="J424" s="3">
        <v>100</v>
      </c>
      <c r="K424" s="57">
        <v>1200</v>
      </c>
      <c r="L424" s="54"/>
      <c r="M424" s="58">
        <v>1</v>
      </c>
      <c r="N424" s="59">
        <f>VLOOKUP(A424,Baupläne!$B$2:$X$1019,23,FALSE)</f>
        <v>1300</v>
      </c>
      <c r="W424" s="17">
        <f>ROUND($X422*Berechnungen!$B$93,1)</f>
        <v>0.6</v>
      </c>
      <c r="X424" s="787"/>
      <c r="Y424" s="332">
        <v>1.5</v>
      </c>
      <c r="Z424" s="367">
        <v>6</v>
      </c>
      <c r="AC424" s="227"/>
      <c r="AD424" s="227"/>
      <c r="AE424" s="227"/>
      <c r="AF424" s="228"/>
    </row>
    <row r="425" spans="1:32" outlineLevel="1" x14ac:dyDescent="0.2">
      <c r="A425" s="5">
        <v>1309</v>
      </c>
      <c r="B425" s="3" t="s">
        <v>542</v>
      </c>
      <c r="C425" s="3" t="s">
        <v>53</v>
      </c>
      <c r="D425" s="54">
        <v>5</v>
      </c>
      <c r="E425" s="55" t="s">
        <v>199</v>
      </c>
      <c r="F425" s="56"/>
      <c r="G425" s="3">
        <v>8</v>
      </c>
      <c r="H425" s="54">
        <v>1</v>
      </c>
      <c r="I425" s="54">
        <v>14</v>
      </c>
      <c r="J425" s="3">
        <v>100</v>
      </c>
      <c r="K425" s="57">
        <v>1600</v>
      </c>
      <c r="L425" s="54"/>
      <c r="M425" s="58">
        <v>1</v>
      </c>
      <c r="N425" s="59">
        <f>VLOOKUP(A425,Baupläne!$B$2:$X$1019,23,FALSE)</f>
        <v>1700</v>
      </c>
      <c r="W425" s="17">
        <f>ROUND($X422*Berechnungen!$B$94,1)</f>
        <v>0.8</v>
      </c>
      <c r="X425" s="787"/>
      <c r="Y425" s="332">
        <v>2</v>
      </c>
      <c r="Z425" s="367">
        <v>8</v>
      </c>
      <c r="AC425" s="227"/>
      <c r="AD425" s="227"/>
      <c r="AE425" s="227"/>
      <c r="AF425" s="228"/>
    </row>
    <row r="426" spans="1:32" outlineLevel="1" x14ac:dyDescent="0.2">
      <c r="A426" s="5">
        <v>1310</v>
      </c>
      <c r="B426" s="334" t="s">
        <v>543</v>
      </c>
      <c r="C426" s="334" t="s">
        <v>53</v>
      </c>
      <c r="D426" s="335">
        <v>5</v>
      </c>
      <c r="E426" s="336" t="s">
        <v>199</v>
      </c>
      <c r="F426" s="337"/>
      <c r="G426" s="334">
        <v>8</v>
      </c>
      <c r="H426" s="335">
        <v>1</v>
      </c>
      <c r="I426" s="335">
        <v>15</v>
      </c>
      <c r="J426" s="334">
        <v>100</v>
      </c>
      <c r="K426" s="338">
        <v>1200</v>
      </c>
      <c r="L426" s="335"/>
      <c r="M426" s="339">
        <v>1</v>
      </c>
      <c r="N426" s="59">
        <f>VLOOKUP(A426,Baupläne!$B$2:$X$1019,23,FALSE)</f>
        <v>1300</v>
      </c>
      <c r="O426" s="340"/>
      <c r="P426" s="235"/>
      <c r="Q426" s="231"/>
      <c r="R426" s="236"/>
      <c r="S426" s="231"/>
      <c r="T426" s="230"/>
      <c r="U426" s="231"/>
      <c r="V426" s="231"/>
      <c r="W426" s="232">
        <f>ROUND($X422*Berechnungen!$B$95,1)</f>
        <v>0.6</v>
      </c>
      <c r="X426" s="787"/>
      <c r="Y426" s="341">
        <v>1.5</v>
      </c>
      <c r="Z426" s="368">
        <v>6</v>
      </c>
      <c r="AA426" s="236"/>
      <c r="AB426" s="236"/>
      <c r="AC426" s="343"/>
      <c r="AD426" s="343"/>
      <c r="AE426" s="343"/>
      <c r="AF426" s="344"/>
    </row>
    <row r="427" spans="1:32" ht="12.75" customHeight="1" outlineLevel="1" x14ac:dyDescent="0.2">
      <c r="A427" s="5">
        <v>1311</v>
      </c>
      <c r="B427" s="3" t="s">
        <v>544</v>
      </c>
      <c r="C427" s="3" t="s">
        <v>53</v>
      </c>
      <c r="D427" s="54">
        <v>6</v>
      </c>
      <c r="E427" s="331" t="s">
        <v>199</v>
      </c>
      <c r="F427" s="56"/>
      <c r="G427" s="3">
        <v>8</v>
      </c>
      <c r="H427" s="54">
        <v>1</v>
      </c>
      <c r="I427" s="54">
        <v>11</v>
      </c>
      <c r="J427" s="3">
        <v>100</v>
      </c>
      <c r="K427" s="57">
        <v>1200</v>
      </c>
      <c r="L427" s="54"/>
      <c r="M427" s="58">
        <v>2</v>
      </c>
      <c r="N427" s="59">
        <f>VLOOKUP(A427,Baupläne!$B$2:$X$1019,23,FALSE)</f>
        <v>2000</v>
      </c>
      <c r="W427" s="17">
        <f>ROUND($X427*Berechnungen!$B$91,1)</f>
        <v>1</v>
      </c>
      <c r="X427" s="789">
        <f>ROUND(VLOOKUP($D427,Berechnungen!$A$37:$F$61,5),0)</f>
        <v>5</v>
      </c>
      <c r="Y427" s="332">
        <v>2</v>
      </c>
      <c r="Z427" s="367">
        <v>8</v>
      </c>
      <c r="AC427" s="227"/>
      <c r="AD427" s="227"/>
      <c r="AE427" s="227"/>
      <c r="AF427" s="228"/>
    </row>
    <row r="428" spans="1:32" outlineLevel="1" x14ac:dyDescent="0.2">
      <c r="A428" s="5">
        <v>1312</v>
      </c>
      <c r="B428" s="3" t="s">
        <v>545</v>
      </c>
      <c r="C428" s="3" t="s">
        <v>53</v>
      </c>
      <c r="D428" s="54">
        <v>6</v>
      </c>
      <c r="E428" s="55" t="s">
        <v>199</v>
      </c>
      <c r="F428" s="56"/>
      <c r="G428" s="3">
        <v>8</v>
      </c>
      <c r="H428" s="54">
        <v>1</v>
      </c>
      <c r="I428" s="54">
        <v>12</v>
      </c>
      <c r="J428" s="3">
        <v>100</v>
      </c>
      <c r="K428" s="57">
        <v>1800</v>
      </c>
      <c r="L428" s="54"/>
      <c r="M428" s="58">
        <v>2</v>
      </c>
      <c r="N428" s="59">
        <f>VLOOKUP(A428,Baupläne!$B$2:$X$1019,23,FALSE)</f>
        <v>3000</v>
      </c>
      <c r="W428" s="17">
        <f>ROUND($X427*Berechnungen!$B$92,1)</f>
        <v>1.5</v>
      </c>
      <c r="X428" s="789"/>
      <c r="Y428" s="332">
        <v>3</v>
      </c>
      <c r="Z428" s="367">
        <v>12</v>
      </c>
      <c r="AC428" s="227"/>
      <c r="AD428" s="227"/>
      <c r="AE428" s="227"/>
      <c r="AF428" s="228"/>
    </row>
    <row r="429" spans="1:32" outlineLevel="1" x14ac:dyDescent="0.2">
      <c r="A429" s="5">
        <v>1313</v>
      </c>
      <c r="B429" s="3" t="s">
        <v>546</v>
      </c>
      <c r="C429" s="3" t="s">
        <v>53</v>
      </c>
      <c r="D429" s="54">
        <v>7</v>
      </c>
      <c r="E429" s="55" t="s">
        <v>199</v>
      </c>
      <c r="F429" s="56"/>
      <c r="G429" s="3">
        <v>8</v>
      </c>
      <c r="H429" s="54">
        <v>1</v>
      </c>
      <c r="I429" s="54">
        <v>13</v>
      </c>
      <c r="J429" s="3">
        <v>100</v>
      </c>
      <c r="K429" s="57">
        <v>900</v>
      </c>
      <c r="L429" s="54"/>
      <c r="M429" s="58">
        <v>2</v>
      </c>
      <c r="N429" s="59">
        <f>VLOOKUP(A429,Baupläne!$B$2:$X$1019,23,FALSE)</f>
        <v>1700</v>
      </c>
      <c r="W429" s="17">
        <f>ROUND($X427*Berechnungen!$B$93,1)</f>
        <v>0.8</v>
      </c>
      <c r="X429" s="789"/>
      <c r="Y429" s="332">
        <v>1.5</v>
      </c>
      <c r="Z429" s="367">
        <v>6</v>
      </c>
      <c r="AC429" s="227"/>
      <c r="AD429" s="227"/>
      <c r="AE429" s="227"/>
      <c r="AF429" s="228"/>
    </row>
    <row r="430" spans="1:32" outlineLevel="1" x14ac:dyDescent="0.2">
      <c r="A430" s="5">
        <v>1314</v>
      </c>
      <c r="B430" s="3" t="s">
        <v>547</v>
      </c>
      <c r="C430" s="3" t="s">
        <v>53</v>
      </c>
      <c r="D430" s="54">
        <v>7</v>
      </c>
      <c r="E430" s="55" t="s">
        <v>199</v>
      </c>
      <c r="F430" s="56"/>
      <c r="G430" s="3">
        <v>8</v>
      </c>
      <c r="H430" s="54">
        <v>1</v>
      </c>
      <c r="I430" s="54">
        <v>14</v>
      </c>
      <c r="J430" s="3">
        <v>100</v>
      </c>
      <c r="K430" s="57">
        <v>1200</v>
      </c>
      <c r="L430" s="54"/>
      <c r="M430" s="58">
        <v>2</v>
      </c>
      <c r="N430" s="59">
        <f>VLOOKUP(A430,Baupläne!$B$2:$X$1019,23,FALSE)</f>
        <v>2300</v>
      </c>
      <c r="W430" s="17">
        <f>ROUND($X427*Berechnungen!$B$94,1)</f>
        <v>1</v>
      </c>
      <c r="X430" s="789"/>
      <c r="Y430" s="332">
        <v>2</v>
      </c>
      <c r="Z430" s="367">
        <v>8</v>
      </c>
      <c r="AC430" s="227"/>
      <c r="AD430" s="227"/>
      <c r="AE430" s="227"/>
      <c r="AF430" s="228"/>
    </row>
    <row r="431" spans="1:32" outlineLevel="1" x14ac:dyDescent="0.2">
      <c r="A431" s="5">
        <v>1315</v>
      </c>
      <c r="B431" s="3" t="s">
        <v>548</v>
      </c>
      <c r="C431" s="3" t="s">
        <v>53</v>
      </c>
      <c r="D431" s="54">
        <v>7</v>
      </c>
      <c r="E431" s="55" t="s">
        <v>199</v>
      </c>
      <c r="F431" s="56"/>
      <c r="G431" s="3">
        <v>8</v>
      </c>
      <c r="H431" s="54">
        <v>1</v>
      </c>
      <c r="I431" s="54">
        <v>15</v>
      </c>
      <c r="J431" s="3">
        <v>100</v>
      </c>
      <c r="K431" s="57">
        <v>900</v>
      </c>
      <c r="L431" s="54"/>
      <c r="M431" s="58">
        <v>2</v>
      </c>
      <c r="N431" s="59">
        <f>VLOOKUP(A431,Baupläne!$B$2:$X$1019,23,FALSE)</f>
        <v>1700</v>
      </c>
      <c r="W431" s="17">
        <f>ROUND($X427*Berechnungen!$B$95,1)</f>
        <v>0.8</v>
      </c>
      <c r="X431" s="789"/>
      <c r="Y431" s="332">
        <v>1.5</v>
      </c>
      <c r="Z431" s="367">
        <v>6</v>
      </c>
      <c r="AC431" s="227"/>
      <c r="AD431" s="227"/>
      <c r="AE431" s="227"/>
      <c r="AF431" s="228"/>
    </row>
    <row r="432" spans="1:32" ht="12.75" customHeight="1" outlineLevel="1" x14ac:dyDescent="0.2">
      <c r="A432" s="5">
        <v>1316</v>
      </c>
      <c r="B432" s="3" t="s">
        <v>549</v>
      </c>
      <c r="C432" s="3" t="s">
        <v>53</v>
      </c>
      <c r="D432" s="54">
        <v>9</v>
      </c>
      <c r="E432" s="55" t="s">
        <v>199</v>
      </c>
      <c r="F432" s="56"/>
      <c r="G432" s="3">
        <v>8</v>
      </c>
      <c r="H432" s="54">
        <v>1</v>
      </c>
      <c r="I432" s="54">
        <v>11</v>
      </c>
      <c r="J432" s="3">
        <v>100</v>
      </c>
      <c r="K432" s="57">
        <v>1600</v>
      </c>
      <c r="L432" s="54"/>
      <c r="M432" s="58">
        <v>2</v>
      </c>
      <c r="N432" s="59">
        <f>VLOOKUP(A432,Baupläne!$B$2:$X$1019,23,FALSE)</f>
        <v>3100</v>
      </c>
      <c r="W432" s="17">
        <f>ROUND($X432*Berechnungen!$B$91,1)</f>
        <v>1.4</v>
      </c>
      <c r="X432" s="787">
        <f>ROUND(VLOOKUP($D432,Berechnungen!$A$37:$F$61,5),0)</f>
        <v>7</v>
      </c>
      <c r="Y432" s="332">
        <v>2</v>
      </c>
      <c r="Z432" s="367">
        <v>8</v>
      </c>
      <c r="AC432" s="227"/>
      <c r="AD432" s="227"/>
      <c r="AE432" s="227"/>
      <c r="AF432" s="228"/>
    </row>
    <row r="433" spans="1:32" outlineLevel="1" x14ac:dyDescent="0.2">
      <c r="A433" s="5">
        <v>1317</v>
      </c>
      <c r="B433" s="3" t="s">
        <v>550</v>
      </c>
      <c r="C433" s="3" t="s">
        <v>53</v>
      </c>
      <c r="D433" s="54">
        <v>9</v>
      </c>
      <c r="E433" s="55" t="s">
        <v>199</v>
      </c>
      <c r="F433" s="56"/>
      <c r="G433" s="3">
        <v>8</v>
      </c>
      <c r="H433" s="54">
        <v>1</v>
      </c>
      <c r="I433" s="54">
        <v>12</v>
      </c>
      <c r="J433" s="3">
        <v>100</v>
      </c>
      <c r="K433" s="57">
        <v>2400</v>
      </c>
      <c r="L433" s="54"/>
      <c r="M433" s="58">
        <v>2</v>
      </c>
      <c r="N433" s="59">
        <f>VLOOKUP(A433,Baupläne!$B$2:$X$1019,23,FALSE)</f>
        <v>4600</v>
      </c>
      <c r="W433" s="17">
        <f>ROUND($X432*Berechnungen!$B$92,1)</f>
        <v>2.1</v>
      </c>
      <c r="X433" s="787"/>
      <c r="Y433" s="332">
        <v>3</v>
      </c>
      <c r="Z433" s="367">
        <v>12</v>
      </c>
      <c r="AC433" s="227"/>
      <c r="AD433" s="227"/>
      <c r="AE433" s="227"/>
      <c r="AF433" s="228"/>
    </row>
    <row r="434" spans="1:32" outlineLevel="1" x14ac:dyDescent="0.2">
      <c r="A434" s="5">
        <v>1318</v>
      </c>
      <c r="B434" s="3" t="s">
        <v>551</v>
      </c>
      <c r="C434" s="3" t="s">
        <v>53</v>
      </c>
      <c r="D434" s="54">
        <v>10</v>
      </c>
      <c r="E434" s="55" t="s">
        <v>199</v>
      </c>
      <c r="F434" s="56"/>
      <c r="G434" s="3">
        <v>8</v>
      </c>
      <c r="H434" s="54">
        <v>1</v>
      </c>
      <c r="I434" s="54">
        <v>13</v>
      </c>
      <c r="J434" s="3">
        <v>100</v>
      </c>
      <c r="K434" s="57">
        <v>1200</v>
      </c>
      <c r="L434" s="54"/>
      <c r="M434" s="58">
        <v>2</v>
      </c>
      <c r="N434" s="59">
        <f>VLOOKUP(A434,Baupläne!$B$2:$X$1019,23,FALSE)</f>
        <v>2600</v>
      </c>
      <c r="W434" s="17">
        <f>ROUND($X432*Berechnungen!$B$93,1)</f>
        <v>1.1000000000000001</v>
      </c>
      <c r="X434" s="787"/>
      <c r="Y434" s="332">
        <v>1.5</v>
      </c>
      <c r="Z434" s="367">
        <v>6</v>
      </c>
      <c r="AC434" s="227"/>
      <c r="AD434" s="227"/>
      <c r="AE434" s="227"/>
      <c r="AF434" s="228"/>
    </row>
    <row r="435" spans="1:32" outlineLevel="1" x14ac:dyDescent="0.2">
      <c r="A435" s="5">
        <v>1319</v>
      </c>
      <c r="B435" s="3" t="s">
        <v>552</v>
      </c>
      <c r="C435" s="3" t="s">
        <v>53</v>
      </c>
      <c r="D435" s="54">
        <v>10</v>
      </c>
      <c r="E435" s="55" t="s">
        <v>199</v>
      </c>
      <c r="F435" s="56"/>
      <c r="G435" s="3">
        <v>8</v>
      </c>
      <c r="H435" s="54">
        <v>1</v>
      </c>
      <c r="I435" s="54">
        <v>14</v>
      </c>
      <c r="J435" s="3">
        <v>100</v>
      </c>
      <c r="K435" s="57">
        <v>1600</v>
      </c>
      <c r="L435" s="54"/>
      <c r="M435" s="58">
        <v>2</v>
      </c>
      <c r="N435" s="59">
        <f>VLOOKUP(A435,Baupläne!$B$2:$X$1019,23,FALSE)</f>
        <v>3500</v>
      </c>
      <c r="W435" s="17">
        <f>ROUND($X432*Berechnungen!$B$94,1)</f>
        <v>1.4</v>
      </c>
      <c r="X435" s="787"/>
      <c r="Y435" s="332">
        <v>2</v>
      </c>
      <c r="Z435" s="367">
        <v>8</v>
      </c>
      <c r="AC435" s="227"/>
      <c r="AD435" s="227"/>
      <c r="AE435" s="227"/>
      <c r="AF435" s="228"/>
    </row>
    <row r="436" spans="1:32" outlineLevel="1" x14ac:dyDescent="0.2">
      <c r="A436" s="5">
        <v>1320</v>
      </c>
      <c r="B436" s="334" t="s">
        <v>553</v>
      </c>
      <c r="C436" s="334" t="s">
        <v>53</v>
      </c>
      <c r="D436" s="335">
        <v>10</v>
      </c>
      <c r="E436" s="336" t="s">
        <v>199</v>
      </c>
      <c r="F436" s="337"/>
      <c r="G436" s="334">
        <v>8</v>
      </c>
      <c r="H436" s="335">
        <v>1</v>
      </c>
      <c r="I436" s="335">
        <v>15</v>
      </c>
      <c r="J436" s="334">
        <v>100</v>
      </c>
      <c r="K436" s="338">
        <v>1200</v>
      </c>
      <c r="L436" s="335"/>
      <c r="M436" s="339">
        <v>2</v>
      </c>
      <c r="N436" s="59">
        <f>VLOOKUP(A436,Baupläne!$B$2:$X$1019,23,FALSE)</f>
        <v>2600</v>
      </c>
      <c r="O436" s="340"/>
      <c r="P436" s="235"/>
      <c r="Q436" s="231"/>
      <c r="R436" s="236"/>
      <c r="S436" s="231"/>
      <c r="T436" s="230"/>
      <c r="U436" s="231"/>
      <c r="V436" s="231"/>
      <c r="W436" s="232">
        <f>ROUND($X432*Berechnungen!$B$95,1)</f>
        <v>1.1000000000000001</v>
      </c>
      <c r="X436" s="787"/>
      <c r="Y436" s="341">
        <v>1.5</v>
      </c>
      <c r="Z436" s="368">
        <v>6</v>
      </c>
      <c r="AA436" s="236"/>
      <c r="AB436" s="236"/>
      <c r="AC436" s="343"/>
      <c r="AD436" s="343"/>
      <c r="AE436" s="343"/>
      <c r="AF436" s="344"/>
    </row>
    <row r="437" spans="1:32" ht="12.75" customHeight="1" outlineLevel="1" x14ac:dyDescent="0.2">
      <c r="A437" s="5">
        <v>1321</v>
      </c>
      <c r="B437" s="3" t="s">
        <v>554</v>
      </c>
      <c r="C437" s="3" t="s">
        <v>53</v>
      </c>
      <c r="D437" s="54">
        <v>11</v>
      </c>
      <c r="E437" s="331" t="s">
        <v>199</v>
      </c>
      <c r="F437" s="56"/>
      <c r="G437" s="3">
        <v>8</v>
      </c>
      <c r="H437" s="54">
        <v>1</v>
      </c>
      <c r="I437" s="54">
        <v>11</v>
      </c>
      <c r="J437" s="3">
        <v>100</v>
      </c>
      <c r="K437" s="57">
        <v>1200</v>
      </c>
      <c r="L437" s="54"/>
      <c r="M437" s="58">
        <v>3</v>
      </c>
      <c r="N437" s="59">
        <f>VLOOKUP(A437,Baupläne!$B$2:$X$1019,23,FALSE)</f>
        <v>4000</v>
      </c>
      <c r="W437" s="17">
        <f>ROUND($X437*Berechnungen!$B$91,1)</f>
        <v>1.6</v>
      </c>
      <c r="X437" s="789">
        <f>ROUND(VLOOKUP($D437,Berechnungen!$A$37:$F$61,5),0)</f>
        <v>8</v>
      </c>
      <c r="Y437" s="332">
        <v>2</v>
      </c>
      <c r="Z437" s="367">
        <v>8</v>
      </c>
      <c r="AC437" s="227"/>
      <c r="AD437" s="227"/>
      <c r="AE437" s="227"/>
      <c r="AF437" s="228"/>
    </row>
    <row r="438" spans="1:32" outlineLevel="1" x14ac:dyDescent="0.2">
      <c r="A438" s="5">
        <v>1322</v>
      </c>
      <c r="B438" s="3" t="s">
        <v>555</v>
      </c>
      <c r="C438" s="3" t="s">
        <v>53</v>
      </c>
      <c r="D438" s="54">
        <v>11</v>
      </c>
      <c r="E438" s="55" t="s">
        <v>199</v>
      </c>
      <c r="F438" s="56"/>
      <c r="G438" s="3">
        <v>8</v>
      </c>
      <c r="H438" s="54">
        <v>1</v>
      </c>
      <c r="I438" s="54">
        <v>12</v>
      </c>
      <c r="J438" s="3">
        <v>100</v>
      </c>
      <c r="K438" s="57">
        <v>1800</v>
      </c>
      <c r="L438" s="54"/>
      <c r="M438" s="58">
        <v>3</v>
      </c>
      <c r="N438" s="59">
        <f>VLOOKUP(A438,Baupläne!$B$2:$X$1019,23,FALSE)</f>
        <v>6100</v>
      </c>
      <c r="W438" s="17">
        <f>ROUND($X437*Berechnungen!$B$92,1)</f>
        <v>2.4</v>
      </c>
      <c r="X438" s="789"/>
      <c r="Y438" s="332">
        <v>3</v>
      </c>
      <c r="Z438" s="367">
        <v>12</v>
      </c>
      <c r="AC438" s="227"/>
      <c r="AD438" s="227"/>
      <c r="AE438" s="227"/>
      <c r="AF438" s="228"/>
    </row>
    <row r="439" spans="1:32" outlineLevel="1" x14ac:dyDescent="0.2">
      <c r="A439" s="5">
        <v>1323</v>
      </c>
      <c r="B439" s="3" t="s">
        <v>556</v>
      </c>
      <c r="C439" s="3" t="s">
        <v>53</v>
      </c>
      <c r="D439" s="54">
        <v>12</v>
      </c>
      <c r="E439" s="55" t="s">
        <v>199</v>
      </c>
      <c r="F439" s="56"/>
      <c r="G439" s="3">
        <v>8</v>
      </c>
      <c r="H439" s="54">
        <v>1</v>
      </c>
      <c r="I439" s="54">
        <v>13</v>
      </c>
      <c r="J439" s="3">
        <v>100</v>
      </c>
      <c r="K439" s="57">
        <v>900</v>
      </c>
      <c r="L439" s="54"/>
      <c r="M439" s="58">
        <v>3</v>
      </c>
      <c r="N439" s="59">
        <f>VLOOKUP(A439,Baupläne!$B$2:$X$1019,23,FALSE)</f>
        <v>3500</v>
      </c>
      <c r="W439" s="17">
        <f>ROUND($X437*Berechnungen!$B$93,1)</f>
        <v>1.2</v>
      </c>
      <c r="X439" s="789"/>
      <c r="Y439" s="332">
        <v>1.5</v>
      </c>
      <c r="Z439" s="367">
        <v>6</v>
      </c>
      <c r="AC439" s="227"/>
      <c r="AD439" s="227"/>
      <c r="AE439" s="227"/>
      <c r="AF439" s="228"/>
    </row>
    <row r="440" spans="1:32" outlineLevel="1" x14ac:dyDescent="0.2">
      <c r="A440" s="5">
        <v>1324</v>
      </c>
      <c r="B440" s="3" t="s">
        <v>557</v>
      </c>
      <c r="C440" s="3" t="s">
        <v>53</v>
      </c>
      <c r="D440" s="54">
        <v>12</v>
      </c>
      <c r="E440" s="55" t="s">
        <v>199</v>
      </c>
      <c r="F440" s="56"/>
      <c r="G440" s="3">
        <v>8</v>
      </c>
      <c r="H440" s="54">
        <v>1</v>
      </c>
      <c r="I440" s="54">
        <v>14</v>
      </c>
      <c r="J440" s="3">
        <v>100</v>
      </c>
      <c r="K440" s="57">
        <v>1200</v>
      </c>
      <c r="L440" s="54"/>
      <c r="M440" s="58">
        <v>3</v>
      </c>
      <c r="N440" s="59">
        <f>VLOOKUP(A440,Baupläne!$B$2:$X$1019,23,FALSE)</f>
        <v>4700</v>
      </c>
      <c r="W440" s="17">
        <f>ROUND($X437*Berechnungen!$B$94,1)</f>
        <v>1.6</v>
      </c>
      <c r="X440" s="789"/>
      <c r="Y440" s="332">
        <v>2</v>
      </c>
      <c r="Z440" s="367">
        <v>8</v>
      </c>
      <c r="AC440" s="227"/>
      <c r="AD440" s="227"/>
      <c r="AE440" s="227"/>
      <c r="AF440" s="228"/>
    </row>
    <row r="441" spans="1:32" outlineLevel="1" x14ac:dyDescent="0.2">
      <c r="A441" s="5">
        <v>1325</v>
      </c>
      <c r="B441" s="3" t="s">
        <v>558</v>
      </c>
      <c r="C441" s="3" t="s">
        <v>53</v>
      </c>
      <c r="D441" s="54">
        <v>12</v>
      </c>
      <c r="E441" s="55" t="s">
        <v>199</v>
      </c>
      <c r="F441" s="56"/>
      <c r="G441" s="3">
        <v>8</v>
      </c>
      <c r="H441" s="54">
        <v>1</v>
      </c>
      <c r="I441" s="54">
        <v>15</v>
      </c>
      <c r="J441" s="3">
        <v>100</v>
      </c>
      <c r="K441" s="57">
        <v>900</v>
      </c>
      <c r="L441" s="54"/>
      <c r="M441" s="58">
        <v>3</v>
      </c>
      <c r="N441" s="59">
        <f>VLOOKUP(A441,Baupläne!$B$2:$X$1019,23,FALSE)</f>
        <v>3500</v>
      </c>
      <c r="W441" s="17">
        <f>ROUND($X437*Berechnungen!$B$95,1)</f>
        <v>1.2</v>
      </c>
      <c r="X441" s="789"/>
      <c r="Y441" s="332">
        <v>1.5</v>
      </c>
      <c r="Z441" s="367">
        <v>6</v>
      </c>
      <c r="AC441" s="227"/>
      <c r="AD441" s="227"/>
      <c r="AE441" s="227"/>
      <c r="AF441" s="228"/>
    </row>
    <row r="442" spans="1:32" ht="12.75" customHeight="1" outlineLevel="1" x14ac:dyDescent="0.2">
      <c r="A442" s="5">
        <v>1326</v>
      </c>
      <c r="B442" s="3" t="s">
        <v>559</v>
      </c>
      <c r="C442" s="3" t="s">
        <v>53</v>
      </c>
      <c r="D442" s="54">
        <v>14</v>
      </c>
      <c r="E442" s="55" t="s">
        <v>199</v>
      </c>
      <c r="F442" s="56"/>
      <c r="G442" s="3">
        <v>8</v>
      </c>
      <c r="H442" s="54">
        <v>1</v>
      </c>
      <c r="I442" s="54">
        <v>11</v>
      </c>
      <c r="J442" s="3">
        <v>100</v>
      </c>
      <c r="K442" s="57">
        <v>1600</v>
      </c>
      <c r="L442" s="54"/>
      <c r="M442" s="58">
        <v>3</v>
      </c>
      <c r="N442" s="59">
        <f>VLOOKUP(A442,Baupläne!$B$2:$X$1019,23,FALSE)</f>
        <v>6200</v>
      </c>
      <c r="W442" s="17">
        <f>ROUND($X442*Berechnungen!$B$91,1)</f>
        <v>2</v>
      </c>
      <c r="X442" s="787">
        <f>ROUND(VLOOKUP($D442,Berechnungen!$A$37:$F$61,5),0)</f>
        <v>10</v>
      </c>
      <c r="Y442" s="332">
        <v>2</v>
      </c>
      <c r="Z442" s="367">
        <v>8</v>
      </c>
      <c r="AC442" s="227"/>
      <c r="AD442" s="227"/>
      <c r="AE442" s="227"/>
      <c r="AF442" s="228"/>
    </row>
    <row r="443" spans="1:32" outlineLevel="1" x14ac:dyDescent="0.2">
      <c r="A443" s="5">
        <v>1327</v>
      </c>
      <c r="B443" s="3" t="s">
        <v>560</v>
      </c>
      <c r="C443" s="3" t="s">
        <v>53</v>
      </c>
      <c r="D443" s="54">
        <v>14</v>
      </c>
      <c r="E443" s="55" t="s">
        <v>199</v>
      </c>
      <c r="F443" s="56"/>
      <c r="G443" s="3">
        <v>8</v>
      </c>
      <c r="H443" s="54">
        <v>1</v>
      </c>
      <c r="I443" s="54">
        <v>12</v>
      </c>
      <c r="J443" s="3">
        <v>100</v>
      </c>
      <c r="K443" s="57">
        <v>2400</v>
      </c>
      <c r="L443" s="54"/>
      <c r="M443" s="58">
        <v>3</v>
      </c>
      <c r="N443" s="59">
        <f>VLOOKUP(A443,Baupläne!$B$2:$X$1019,23,FALSE)</f>
        <v>9200</v>
      </c>
      <c r="W443" s="17">
        <f>ROUND($X442*Berechnungen!$B$92,1)</f>
        <v>3</v>
      </c>
      <c r="X443" s="787"/>
      <c r="Y443" s="332">
        <v>3</v>
      </c>
      <c r="Z443" s="367">
        <v>12</v>
      </c>
      <c r="AC443" s="227"/>
      <c r="AD443" s="227"/>
      <c r="AE443" s="227"/>
      <c r="AF443" s="228"/>
    </row>
    <row r="444" spans="1:32" outlineLevel="1" x14ac:dyDescent="0.2">
      <c r="A444" s="5">
        <v>1328</v>
      </c>
      <c r="B444" s="3" t="s">
        <v>561</v>
      </c>
      <c r="C444" s="3" t="s">
        <v>53</v>
      </c>
      <c r="D444" s="54">
        <v>15</v>
      </c>
      <c r="E444" s="55" t="s">
        <v>199</v>
      </c>
      <c r="F444" s="56"/>
      <c r="G444" s="3">
        <v>8</v>
      </c>
      <c r="H444" s="54">
        <v>1</v>
      </c>
      <c r="I444" s="54">
        <v>13</v>
      </c>
      <c r="J444" s="3">
        <v>100</v>
      </c>
      <c r="K444" s="57">
        <v>1200</v>
      </c>
      <c r="L444" s="54"/>
      <c r="M444" s="58">
        <v>3</v>
      </c>
      <c r="N444" s="59">
        <f>VLOOKUP(A444,Baupläne!$B$2:$X$1019,23,FALSE)</f>
        <v>5300</v>
      </c>
      <c r="W444" s="17">
        <f>ROUND($X442*Berechnungen!$B$93,1)</f>
        <v>1.5</v>
      </c>
      <c r="X444" s="787"/>
      <c r="Y444" s="332">
        <v>1.5</v>
      </c>
      <c r="Z444" s="367">
        <v>6</v>
      </c>
      <c r="AC444" s="227"/>
      <c r="AD444" s="227"/>
      <c r="AE444" s="227"/>
      <c r="AF444" s="228"/>
    </row>
    <row r="445" spans="1:32" outlineLevel="1" x14ac:dyDescent="0.2">
      <c r="A445" s="5">
        <v>1329</v>
      </c>
      <c r="B445" s="3" t="s">
        <v>562</v>
      </c>
      <c r="C445" s="3" t="s">
        <v>53</v>
      </c>
      <c r="D445" s="54">
        <v>15</v>
      </c>
      <c r="E445" s="55" t="s">
        <v>199</v>
      </c>
      <c r="F445" s="56"/>
      <c r="G445" s="3">
        <v>8</v>
      </c>
      <c r="H445" s="54">
        <v>1</v>
      </c>
      <c r="I445" s="54">
        <v>14</v>
      </c>
      <c r="J445" s="3">
        <v>100</v>
      </c>
      <c r="K445" s="57">
        <v>1600</v>
      </c>
      <c r="L445" s="54"/>
      <c r="M445" s="58">
        <v>3</v>
      </c>
      <c r="N445" s="59">
        <f>VLOOKUP(A445,Baupläne!$B$2:$X$1019,23,FALSE)</f>
        <v>7100</v>
      </c>
      <c r="W445" s="17">
        <f>ROUND($X442*Berechnungen!$B$94,1)</f>
        <v>2</v>
      </c>
      <c r="X445" s="787"/>
      <c r="Y445" s="332">
        <v>2</v>
      </c>
      <c r="Z445" s="367">
        <v>8</v>
      </c>
      <c r="AC445" s="227"/>
      <c r="AD445" s="227"/>
      <c r="AE445" s="227"/>
      <c r="AF445" s="228"/>
    </row>
    <row r="446" spans="1:32" outlineLevel="1" x14ac:dyDescent="0.2">
      <c r="A446" s="5">
        <v>1330</v>
      </c>
      <c r="B446" s="334" t="s">
        <v>563</v>
      </c>
      <c r="C446" s="334" t="s">
        <v>53</v>
      </c>
      <c r="D446" s="335">
        <v>15</v>
      </c>
      <c r="E446" s="336" t="s">
        <v>199</v>
      </c>
      <c r="F446" s="337"/>
      <c r="G446" s="334">
        <v>8</v>
      </c>
      <c r="H446" s="335">
        <v>1</v>
      </c>
      <c r="I446" s="335">
        <v>15</v>
      </c>
      <c r="J446" s="334">
        <v>100</v>
      </c>
      <c r="K446" s="338">
        <v>1200</v>
      </c>
      <c r="L446" s="335"/>
      <c r="M446" s="339">
        <v>3</v>
      </c>
      <c r="N446" s="59">
        <f>VLOOKUP(A446,Baupläne!$B$2:$X$1019,23,FALSE)</f>
        <v>5300</v>
      </c>
      <c r="O446" s="340"/>
      <c r="P446" s="235"/>
      <c r="Q446" s="231"/>
      <c r="R446" s="236"/>
      <c r="S446" s="231"/>
      <c r="T446" s="230"/>
      <c r="U446" s="231"/>
      <c r="V446" s="231"/>
      <c r="W446" s="232">
        <f>ROUND($X442*Berechnungen!$B$95,1)</f>
        <v>1.5</v>
      </c>
      <c r="X446" s="787"/>
      <c r="Y446" s="341">
        <v>1.5</v>
      </c>
      <c r="Z446" s="368">
        <v>6</v>
      </c>
      <c r="AA446" s="236"/>
      <c r="AB446" s="236"/>
      <c r="AC446" s="343"/>
      <c r="AD446" s="343"/>
      <c r="AE446" s="343"/>
      <c r="AF446" s="344"/>
    </row>
    <row r="447" spans="1:32" ht="12.75" customHeight="1" outlineLevel="1" x14ac:dyDescent="0.2">
      <c r="A447" s="5">
        <v>1331</v>
      </c>
      <c r="B447" s="3" t="s">
        <v>564</v>
      </c>
      <c r="C447" s="3" t="s">
        <v>53</v>
      </c>
      <c r="D447" s="54">
        <v>16</v>
      </c>
      <c r="E447" s="331" t="s">
        <v>199</v>
      </c>
      <c r="F447" s="56"/>
      <c r="G447" s="3">
        <v>8</v>
      </c>
      <c r="H447" s="54">
        <v>1</v>
      </c>
      <c r="I447" s="54">
        <v>11</v>
      </c>
      <c r="J447" s="3">
        <v>100</v>
      </c>
      <c r="K447" s="57">
        <v>1200</v>
      </c>
      <c r="L447" s="54"/>
      <c r="M447" s="58">
        <v>4</v>
      </c>
      <c r="N447" s="59">
        <f>VLOOKUP(A447,Baupläne!$B$2:$X$1019,23,FALSE)</f>
        <v>8100</v>
      </c>
      <c r="W447" s="17">
        <f>ROUND($X447*Berechnungen!$B$91,1)</f>
        <v>2.2000000000000002</v>
      </c>
      <c r="X447" s="789">
        <f>ROUND(VLOOKUP($D447,Berechnungen!$A$37:$F$61,5),0)</f>
        <v>11</v>
      </c>
      <c r="Y447" s="332">
        <v>2</v>
      </c>
      <c r="Z447" s="367">
        <v>8</v>
      </c>
      <c r="AC447" s="227"/>
      <c r="AD447" s="227"/>
      <c r="AE447" s="227"/>
      <c r="AF447" s="228"/>
    </row>
    <row r="448" spans="1:32" outlineLevel="1" x14ac:dyDescent="0.2">
      <c r="A448" s="5">
        <v>1332</v>
      </c>
      <c r="B448" s="3" t="s">
        <v>565</v>
      </c>
      <c r="C448" s="3" t="s">
        <v>53</v>
      </c>
      <c r="D448" s="54">
        <v>16</v>
      </c>
      <c r="E448" s="55" t="s">
        <v>199</v>
      </c>
      <c r="F448" s="56"/>
      <c r="G448" s="3">
        <v>8</v>
      </c>
      <c r="H448" s="54">
        <v>1</v>
      </c>
      <c r="I448" s="54">
        <v>12</v>
      </c>
      <c r="J448" s="3">
        <v>100</v>
      </c>
      <c r="K448" s="57">
        <v>1800</v>
      </c>
      <c r="L448" s="54"/>
      <c r="M448" s="58">
        <v>4</v>
      </c>
      <c r="N448" s="59">
        <f>VLOOKUP(A448,Baupläne!$B$2:$X$1019,23,FALSE)</f>
        <v>12200</v>
      </c>
      <c r="W448" s="17">
        <f>ROUND($X447*Berechnungen!$B$92,1)</f>
        <v>3.3</v>
      </c>
      <c r="X448" s="789"/>
      <c r="Y448" s="332">
        <v>3</v>
      </c>
      <c r="Z448" s="367">
        <v>12</v>
      </c>
      <c r="AC448" s="227"/>
      <c r="AD448" s="227"/>
      <c r="AE448" s="227"/>
      <c r="AF448" s="228"/>
    </row>
    <row r="449" spans="1:32" outlineLevel="1" x14ac:dyDescent="0.2">
      <c r="A449" s="5">
        <v>1333</v>
      </c>
      <c r="B449" s="3" t="s">
        <v>566</v>
      </c>
      <c r="C449" s="3" t="s">
        <v>53</v>
      </c>
      <c r="D449" s="54">
        <v>17</v>
      </c>
      <c r="E449" s="55" t="s">
        <v>199</v>
      </c>
      <c r="F449" s="56"/>
      <c r="G449" s="3">
        <v>8</v>
      </c>
      <c r="H449" s="54">
        <v>1</v>
      </c>
      <c r="I449" s="54">
        <v>13</v>
      </c>
      <c r="J449" s="3">
        <v>100</v>
      </c>
      <c r="K449" s="57">
        <v>900</v>
      </c>
      <c r="L449" s="54"/>
      <c r="M449" s="58">
        <v>4</v>
      </c>
      <c r="N449" s="59">
        <f>VLOOKUP(A449,Baupläne!$B$2:$X$1019,23,FALSE)</f>
        <v>7000</v>
      </c>
      <c r="W449" s="17">
        <f>ROUND($X447*Berechnungen!$B$93,1)</f>
        <v>1.7</v>
      </c>
      <c r="X449" s="789"/>
      <c r="Y449" s="332">
        <v>1.5</v>
      </c>
      <c r="Z449" s="367">
        <v>6</v>
      </c>
      <c r="AC449" s="227"/>
      <c r="AD449" s="227"/>
      <c r="AE449" s="227"/>
      <c r="AF449" s="228"/>
    </row>
    <row r="450" spans="1:32" outlineLevel="1" x14ac:dyDescent="0.2">
      <c r="A450" s="5">
        <v>1334</v>
      </c>
      <c r="B450" s="3" t="s">
        <v>567</v>
      </c>
      <c r="C450" s="3" t="s">
        <v>53</v>
      </c>
      <c r="D450" s="54">
        <v>17</v>
      </c>
      <c r="E450" s="55" t="s">
        <v>199</v>
      </c>
      <c r="F450" s="56"/>
      <c r="G450" s="3">
        <v>8</v>
      </c>
      <c r="H450" s="54">
        <v>1</v>
      </c>
      <c r="I450" s="54">
        <v>14</v>
      </c>
      <c r="J450" s="3">
        <v>100</v>
      </c>
      <c r="K450" s="57">
        <v>1200</v>
      </c>
      <c r="L450" s="54"/>
      <c r="M450" s="58">
        <v>4</v>
      </c>
      <c r="N450" s="59">
        <f>VLOOKUP(A450,Baupläne!$B$2:$X$1019,23,FALSE)</f>
        <v>9400</v>
      </c>
      <c r="W450" s="17">
        <f>ROUND($X447*Berechnungen!$B$94,1)</f>
        <v>2.2000000000000002</v>
      </c>
      <c r="X450" s="789"/>
      <c r="Y450" s="332">
        <v>2</v>
      </c>
      <c r="Z450" s="367">
        <v>8</v>
      </c>
      <c r="AC450" s="227"/>
      <c r="AD450" s="227"/>
      <c r="AE450" s="227"/>
      <c r="AF450" s="228"/>
    </row>
    <row r="451" spans="1:32" outlineLevel="1" x14ac:dyDescent="0.2">
      <c r="A451" s="5">
        <v>1335</v>
      </c>
      <c r="B451" s="3" t="s">
        <v>568</v>
      </c>
      <c r="C451" s="3" t="s">
        <v>53</v>
      </c>
      <c r="D451" s="54">
        <v>17</v>
      </c>
      <c r="E451" s="55" t="s">
        <v>199</v>
      </c>
      <c r="F451" s="56"/>
      <c r="G451" s="3">
        <v>8</v>
      </c>
      <c r="H451" s="54">
        <v>1</v>
      </c>
      <c r="I451" s="54">
        <v>15</v>
      </c>
      <c r="J451" s="3">
        <v>100</v>
      </c>
      <c r="K451" s="57">
        <v>900</v>
      </c>
      <c r="L451" s="54"/>
      <c r="M451" s="58">
        <v>4</v>
      </c>
      <c r="N451" s="59">
        <f>VLOOKUP(A451,Baupläne!$B$2:$X$1019,23,FALSE)</f>
        <v>7000</v>
      </c>
      <c r="W451" s="17">
        <f>ROUND($X447*Berechnungen!$B$95,1)</f>
        <v>1.7</v>
      </c>
      <c r="X451" s="789"/>
      <c r="Y451" s="332">
        <v>1.5</v>
      </c>
      <c r="Z451" s="367">
        <v>6</v>
      </c>
      <c r="AC451" s="227"/>
      <c r="AD451" s="227"/>
      <c r="AE451" s="227"/>
      <c r="AF451" s="228"/>
    </row>
    <row r="452" spans="1:32" ht="12.75" customHeight="1" outlineLevel="1" x14ac:dyDescent="0.2">
      <c r="A452" s="5">
        <v>1336</v>
      </c>
      <c r="B452" s="3" t="s">
        <v>569</v>
      </c>
      <c r="C452" s="3" t="s">
        <v>53</v>
      </c>
      <c r="D452" s="54">
        <v>19</v>
      </c>
      <c r="E452" s="55" t="s">
        <v>199</v>
      </c>
      <c r="F452" s="56"/>
      <c r="G452" s="3">
        <v>8</v>
      </c>
      <c r="H452" s="54">
        <v>1</v>
      </c>
      <c r="I452" s="54">
        <v>11</v>
      </c>
      <c r="J452" s="3">
        <v>100</v>
      </c>
      <c r="K452" s="57">
        <v>1600</v>
      </c>
      <c r="L452" s="54"/>
      <c r="M452" s="58">
        <v>4</v>
      </c>
      <c r="N452" s="59">
        <f>VLOOKUP(A452,Baupläne!$B$2:$X$1019,23,FALSE)</f>
        <v>12400</v>
      </c>
      <c r="W452" s="17">
        <f>ROUND($X452*Berechnungen!$B$91,1)</f>
        <v>2.6</v>
      </c>
      <c r="X452" s="787">
        <f>ROUND(VLOOKUP($D452,Berechnungen!$A$37:$F$61,5),0)</f>
        <v>13</v>
      </c>
      <c r="Y452" s="332">
        <v>2</v>
      </c>
      <c r="Z452" s="367">
        <v>8</v>
      </c>
      <c r="AC452" s="227"/>
      <c r="AD452" s="227"/>
      <c r="AE452" s="227"/>
      <c r="AF452" s="228"/>
    </row>
    <row r="453" spans="1:32" outlineLevel="1" x14ac:dyDescent="0.2">
      <c r="A453" s="5">
        <v>1337</v>
      </c>
      <c r="B453" s="3" t="s">
        <v>570</v>
      </c>
      <c r="C453" s="3" t="s">
        <v>53</v>
      </c>
      <c r="D453" s="54">
        <v>19</v>
      </c>
      <c r="E453" s="55" t="s">
        <v>199</v>
      </c>
      <c r="F453" s="56"/>
      <c r="G453" s="3">
        <v>8</v>
      </c>
      <c r="H453" s="54">
        <v>1</v>
      </c>
      <c r="I453" s="54">
        <v>12</v>
      </c>
      <c r="J453" s="3">
        <v>100</v>
      </c>
      <c r="K453" s="57">
        <v>2400</v>
      </c>
      <c r="L453" s="54"/>
      <c r="M453" s="58">
        <v>4</v>
      </c>
      <c r="N453" s="59">
        <f>VLOOKUP(A453,Baupläne!$B$2:$X$1019,23,FALSE)</f>
        <v>18600</v>
      </c>
      <c r="W453" s="17">
        <f>ROUND($X452*Berechnungen!$B$92,1)</f>
        <v>3.9</v>
      </c>
      <c r="X453" s="787"/>
      <c r="Y453" s="332">
        <v>3</v>
      </c>
      <c r="Z453" s="367">
        <v>12</v>
      </c>
      <c r="AC453" s="227"/>
      <c r="AD453" s="227"/>
      <c r="AE453" s="227"/>
      <c r="AF453" s="228"/>
    </row>
    <row r="454" spans="1:32" outlineLevel="1" x14ac:dyDescent="0.2">
      <c r="A454" s="5">
        <v>1338</v>
      </c>
      <c r="B454" s="3" t="s">
        <v>571</v>
      </c>
      <c r="C454" s="3" t="s">
        <v>53</v>
      </c>
      <c r="D454" s="54">
        <v>20</v>
      </c>
      <c r="E454" s="55" t="s">
        <v>199</v>
      </c>
      <c r="F454" s="56"/>
      <c r="G454" s="3">
        <v>8</v>
      </c>
      <c r="H454" s="54">
        <v>1</v>
      </c>
      <c r="I454" s="54">
        <v>13</v>
      </c>
      <c r="J454" s="3">
        <v>100</v>
      </c>
      <c r="K454" s="57">
        <v>1200</v>
      </c>
      <c r="L454" s="54"/>
      <c r="M454" s="58">
        <v>4</v>
      </c>
      <c r="N454" s="59">
        <f>VLOOKUP(A454,Baupläne!$B$2:$X$1019,23,FALSE)</f>
        <v>10700</v>
      </c>
      <c r="W454" s="17">
        <f>ROUND($X452*Berechnungen!$B$93,1)</f>
        <v>2</v>
      </c>
      <c r="X454" s="787"/>
      <c r="Y454" s="332">
        <v>1.5</v>
      </c>
      <c r="Z454" s="367">
        <v>6</v>
      </c>
      <c r="AC454" s="227"/>
      <c r="AD454" s="227"/>
      <c r="AE454" s="227"/>
      <c r="AF454" s="228"/>
    </row>
    <row r="455" spans="1:32" outlineLevel="1" x14ac:dyDescent="0.2">
      <c r="A455" s="5">
        <v>1339</v>
      </c>
      <c r="B455" s="3" t="s">
        <v>572</v>
      </c>
      <c r="C455" s="3" t="s">
        <v>53</v>
      </c>
      <c r="D455" s="54">
        <v>20</v>
      </c>
      <c r="E455" s="55" t="s">
        <v>199</v>
      </c>
      <c r="F455" s="56"/>
      <c r="G455" s="3">
        <v>8</v>
      </c>
      <c r="H455" s="54">
        <v>1</v>
      </c>
      <c r="I455" s="54">
        <v>14</v>
      </c>
      <c r="J455" s="3">
        <v>100</v>
      </c>
      <c r="K455" s="57">
        <v>1600</v>
      </c>
      <c r="L455" s="54"/>
      <c r="M455" s="58">
        <v>4</v>
      </c>
      <c r="N455" s="59">
        <f>VLOOKUP(A455,Baupläne!$B$2:$X$1019,23,FALSE)</f>
        <v>14200</v>
      </c>
      <c r="W455" s="17">
        <f>ROUND($X452*Berechnungen!$B$94,1)</f>
        <v>2.6</v>
      </c>
      <c r="X455" s="787"/>
      <c r="Y455" s="332">
        <v>2</v>
      </c>
      <c r="Z455" s="367">
        <v>8</v>
      </c>
      <c r="AC455" s="227"/>
      <c r="AD455" s="227"/>
      <c r="AE455" s="227"/>
      <c r="AF455" s="228"/>
    </row>
    <row r="456" spans="1:32" outlineLevel="1" x14ac:dyDescent="0.2">
      <c r="A456" s="5">
        <v>1340</v>
      </c>
      <c r="B456" s="334" t="s">
        <v>573</v>
      </c>
      <c r="C456" s="334" t="s">
        <v>53</v>
      </c>
      <c r="D456" s="335">
        <v>20</v>
      </c>
      <c r="E456" s="336" t="s">
        <v>199</v>
      </c>
      <c r="F456" s="337"/>
      <c r="G456" s="334">
        <v>8</v>
      </c>
      <c r="H456" s="335">
        <v>1</v>
      </c>
      <c r="I456" s="335">
        <v>15</v>
      </c>
      <c r="J456" s="334">
        <v>100</v>
      </c>
      <c r="K456" s="338">
        <v>1200</v>
      </c>
      <c r="L456" s="335"/>
      <c r="M456" s="339">
        <v>4</v>
      </c>
      <c r="N456" s="59">
        <f>VLOOKUP(A456,Baupläne!$B$2:$X$1019,23,FALSE)</f>
        <v>10700</v>
      </c>
      <c r="O456" s="340"/>
      <c r="P456" s="235"/>
      <c r="Q456" s="231"/>
      <c r="R456" s="236"/>
      <c r="S456" s="231"/>
      <c r="T456" s="230"/>
      <c r="U456" s="231"/>
      <c r="V456" s="231"/>
      <c r="W456" s="232">
        <f>ROUND($X452*Berechnungen!$B$95,1)</f>
        <v>2</v>
      </c>
      <c r="X456" s="787"/>
      <c r="Y456" s="341">
        <v>1.5</v>
      </c>
      <c r="Z456" s="368">
        <v>6</v>
      </c>
      <c r="AA456" s="236"/>
      <c r="AB456" s="236"/>
      <c r="AC456" s="343"/>
      <c r="AD456" s="343"/>
      <c r="AE456" s="343"/>
      <c r="AF456" s="344"/>
    </row>
    <row r="457" spans="1:32" ht="12.75" customHeight="1" outlineLevel="1" x14ac:dyDescent="0.2">
      <c r="A457" s="5">
        <v>1341</v>
      </c>
      <c r="B457" s="3" t="s">
        <v>574</v>
      </c>
      <c r="C457" s="3" t="s">
        <v>53</v>
      </c>
      <c r="D457" s="54">
        <v>21</v>
      </c>
      <c r="E457" s="331" t="s">
        <v>199</v>
      </c>
      <c r="F457" s="56"/>
      <c r="G457" s="3">
        <v>8</v>
      </c>
      <c r="H457" s="54">
        <v>1</v>
      </c>
      <c r="I457" s="54">
        <v>11</v>
      </c>
      <c r="J457" s="3">
        <v>100</v>
      </c>
      <c r="K457" s="57">
        <v>1200</v>
      </c>
      <c r="L457" s="54"/>
      <c r="M457" s="58">
        <v>5</v>
      </c>
      <c r="N457" s="59">
        <f>VLOOKUP(A457,Baupläne!$B$2:$X$1019,23,FALSE)</f>
        <v>16400</v>
      </c>
      <c r="W457" s="17">
        <f>ROUND($X457*Berechnungen!$B$91,1)</f>
        <v>3</v>
      </c>
      <c r="X457" s="789">
        <f>ROUND(VLOOKUP($D457,Berechnungen!$A$37:$F$61,5),0)</f>
        <v>15</v>
      </c>
      <c r="Y457" s="332">
        <v>2</v>
      </c>
      <c r="Z457" s="367">
        <v>8</v>
      </c>
      <c r="AC457" s="227"/>
      <c r="AD457" s="227"/>
      <c r="AE457" s="227"/>
      <c r="AF457" s="228"/>
    </row>
    <row r="458" spans="1:32" outlineLevel="1" x14ac:dyDescent="0.2">
      <c r="A458" s="5">
        <v>1342</v>
      </c>
      <c r="B458" s="3" t="s">
        <v>575</v>
      </c>
      <c r="C458" s="3" t="s">
        <v>53</v>
      </c>
      <c r="D458" s="54">
        <v>21</v>
      </c>
      <c r="E458" s="55" t="s">
        <v>199</v>
      </c>
      <c r="F458" s="56"/>
      <c r="G458" s="3">
        <v>8</v>
      </c>
      <c r="H458" s="54">
        <v>1</v>
      </c>
      <c r="I458" s="54">
        <v>12</v>
      </c>
      <c r="J458" s="3">
        <v>100</v>
      </c>
      <c r="K458" s="57">
        <v>1800</v>
      </c>
      <c r="L458" s="54"/>
      <c r="M458" s="58">
        <v>5</v>
      </c>
      <c r="N458" s="59">
        <f>VLOOKUP(A458,Baupläne!$B$2:$X$1019,23,FALSE)</f>
        <v>24500</v>
      </c>
      <c r="W458" s="17">
        <f>ROUND($X457*Berechnungen!$B$92,1)</f>
        <v>4.5</v>
      </c>
      <c r="X458" s="789"/>
      <c r="Y458" s="332">
        <v>3</v>
      </c>
      <c r="Z458" s="367">
        <v>12</v>
      </c>
      <c r="AC458" s="227"/>
      <c r="AD458" s="227"/>
      <c r="AE458" s="227"/>
      <c r="AF458" s="228"/>
    </row>
    <row r="459" spans="1:32" outlineLevel="1" x14ac:dyDescent="0.2">
      <c r="A459" s="5">
        <v>1343</v>
      </c>
      <c r="B459" s="3" t="s">
        <v>576</v>
      </c>
      <c r="C459" s="3" t="s">
        <v>53</v>
      </c>
      <c r="D459" s="54">
        <v>22</v>
      </c>
      <c r="E459" s="55" t="s">
        <v>199</v>
      </c>
      <c r="F459" s="56"/>
      <c r="G459" s="3">
        <v>8</v>
      </c>
      <c r="H459" s="54">
        <v>1</v>
      </c>
      <c r="I459" s="54">
        <v>13</v>
      </c>
      <c r="J459" s="3">
        <v>100</v>
      </c>
      <c r="K459" s="57">
        <v>900</v>
      </c>
      <c r="L459" s="54"/>
      <c r="M459" s="58">
        <v>5</v>
      </c>
      <c r="N459" s="59">
        <f>VLOOKUP(A459,Baupläne!$B$2:$X$1019,23,FALSE)</f>
        <v>14100</v>
      </c>
      <c r="W459" s="17">
        <f>ROUND($X457*Berechnungen!$B$93,1)</f>
        <v>2.2999999999999998</v>
      </c>
      <c r="X459" s="789"/>
      <c r="Y459" s="332">
        <v>1.5</v>
      </c>
      <c r="Z459" s="367">
        <v>6</v>
      </c>
      <c r="AC459" s="227"/>
      <c r="AD459" s="227"/>
      <c r="AE459" s="227"/>
      <c r="AF459" s="228"/>
    </row>
    <row r="460" spans="1:32" outlineLevel="1" x14ac:dyDescent="0.2">
      <c r="A460" s="5">
        <v>1344</v>
      </c>
      <c r="B460" s="3" t="s">
        <v>577</v>
      </c>
      <c r="C460" s="3" t="s">
        <v>53</v>
      </c>
      <c r="D460" s="54">
        <v>22</v>
      </c>
      <c r="E460" s="55" t="s">
        <v>199</v>
      </c>
      <c r="F460" s="56"/>
      <c r="G460" s="3">
        <v>8</v>
      </c>
      <c r="H460" s="54">
        <v>1</v>
      </c>
      <c r="I460" s="54">
        <v>14</v>
      </c>
      <c r="J460" s="3">
        <v>100</v>
      </c>
      <c r="K460" s="57">
        <v>1200</v>
      </c>
      <c r="L460" s="54"/>
      <c r="M460" s="58">
        <v>5</v>
      </c>
      <c r="N460" s="59">
        <f>VLOOKUP(A460,Baupläne!$B$2:$X$1019,23,FALSE)</f>
        <v>18800</v>
      </c>
      <c r="W460" s="17">
        <f>ROUND($X457*Berechnungen!$B$94,1)</f>
        <v>3</v>
      </c>
      <c r="X460" s="789"/>
      <c r="Y460" s="332">
        <v>2</v>
      </c>
      <c r="Z460" s="367">
        <v>8</v>
      </c>
      <c r="AC460" s="227"/>
      <c r="AD460" s="227"/>
      <c r="AE460" s="227"/>
      <c r="AF460" s="228"/>
    </row>
    <row r="461" spans="1:32" outlineLevel="1" x14ac:dyDescent="0.2">
      <c r="A461" s="5">
        <v>1345</v>
      </c>
      <c r="B461" s="3" t="s">
        <v>578</v>
      </c>
      <c r="C461" s="3" t="s">
        <v>53</v>
      </c>
      <c r="D461" s="54">
        <v>22</v>
      </c>
      <c r="E461" s="55" t="s">
        <v>199</v>
      </c>
      <c r="F461" s="56"/>
      <c r="G461" s="3">
        <v>8</v>
      </c>
      <c r="H461" s="54">
        <v>1</v>
      </c>
      <c r="I461" s="54">
        <v>15</v>
      </c>
      <c r="J461" s="3">
        <v>100</v>
      </c>
      <c r="K461" s="57">
        <v>900</v>
      </c>
      <c r="L461" s="54"/>
      <c r="M461" s="58">
        <v>5</v>
      </c>
      <c r="N461" s="59">
        <f>VLOOKUP(A461,Baupläne!$B$2:$X$1019,23,FALSE)</f>
        <v>14100</v>
      </c>
      <c r="W461" s="17">
        <f>ROUND($X457*Berechnungen!$B$95,1)</f>
        <v>2.2999999999999998</v>
      </c>
      <c r="X461" s="789"/>
      <c r="Y461" s="332">
        <v>1.5</v>
      </c>
      <c r="Z461" s="367">
        <v>6</v>
      </c>
      <c r="AC461" s="227"/>
      <c r="AD461" s="227"/>
      <c r="AE461" s="227"/>
      <c r="AF461" s="228"/>
    </row>
    <row r="462" spans="1:32" ht="12.75" customHeight="1" outlineLevel="1" x14ac:dyDescent="0.2">
      <c r="A462" s="5">
        <v>1346</v>
      </c>
      <c r="B462" s="3" t="s">
        <v>579</v>
      </c>
      <c r="C462" s="3" t="s">
        <v>53</v>
      </c>
      <c r="D462" s="54">
        <v>24</v>
      </c>
      <c r="E462" s="55" t="s">
        <v>199</v>
      </c>
      <c r="F462" s="56"/>
      <c r="G462" s="3">
        <v>8</v>
      </c>
      <c r="H462" s="54">
        <v>1</v>
      </c>
      <c r="I462" s="54">
        <v>11</v>
      </c>
      <c r="J462" s="3">
        <v>100</v>
      </c>
      <c r="K462" s="57">
        <v>1600</v>
      </c>
      <c r="L462" s="54"/>
      <c r="M462" s="58">
        <v>5</v>
      </c>
      <c r="N462" s="59">
        <f>VLOOKUP(A462,Baupläne!$B$2:$X$1019,23,FALSE)</f>
        <v>24900</v>
      </c>
      <c r="W462" s="17">
        <f>ROUND($X462*Berechnungen!$B$91,1)</f>
        <v>3.4</v>
      </c>
      <c r="X462" s="787">
        <f>ROUND(VLOOKUP($D462,Berechnungen!$A$37:$F$61,5),0)</f>
        <v>17</v>
      </c>
      <c r="Y462" s="332">
        <v>2</v>
      </c>
      <c r="Z462" s="367">
        <v>8</v>
      </c>
      <c r="AC462" s="227"/>
      <c r="AD462" s="227"/>
      <c r="AE462" s="227"/>
      <c r="AF462" s="228"/>
    </row>
    <row r="463" spans="1:32" outlineLevel="1" x14ac:dyDescent="0.2">
      <c r="A463" s="5">
        <v>1347</v>
      </c>
      <c r="B463" s="3" t="s">
        <v>580</v>
      </c>
      <c r="C463" s="3" t="s">
        <v>53</v>
      </c>
      <c r="D463" s="54">
        <v>24</v>
      </c>
      <c r="E463" s="55" t="s">
        <v>199</v>
      </c>
      <c r="F463" s="56"/>
      <c r="G463" s="3">
        <v>8</v>
      </c>
      <c r="H463" s="54">
        <v>1</v>
      </c>
      <c r="I463" s="54">
        <v>12</v>
      </c>
      <c r="J463" s="3">
        <v>100</v>
      </c>
      <c r="K463" s="57">
        <v>2400</v>
      </c>
      <c r="L463" s="54"/>
      <c r="M463" s="58">
        <v>5</v>
      </c>
      <c r="N463" s="59">
        <f>VLOOKUP(A463,Baupläne!$B$2:$X$1019,23,FALSE)</f>
        <v>37300</v>
      </c>
      <c r="W463" s="17">
        <f>ROUND($X462*Berechnungen!$B$92,1)</f>
        <v>5.0999999999999996</v>
      </c>
      <c r="X463" s="787"/>
      <c r="Y463" s="332">
        <v>3</v>
      </c>
      <c r="Z463" s="367">
        <v>12</v>
      </c>
      <c r="AC463" s="227"/>
      <c r="AD463" s="227"/>
      <c r="AE463" s="227"/>
      <c r="AF463" s="228"/>
    </row>
    <row r="464" spans="1:32" outlineLevel="1" x14ac:dyDescent="0.2">
      <c r="A464" s="5">
        <v>1348</v>
      </c>
      <c r="B464" s="3" t="s">
        <v>581</v>
      </c>
      <c r="C464" s="3" t="s">
        <v>53</v>
      </c>
      <c r="D464" s="54">
        <v>25</v>
      </c>
      <c r="E464" s="55" t="s">
        <v>199</v>
      </c>
      <c r="F464" s="56"/>
      <c r="G464" s="3">
        <v>8</v>
      </c>
      <c r="H464" s="54">
        <v>1</v>
      </c>
      <c r="I464" s="54">
        <v>13</v>
      </c>
      <c r="J464" s="3">
        <v>100</v>
      </c>
      <c r="K464" s="57">
        <v>1200</v>
      </c>
      <c r="L464" s="54"/>
      <c r="M464" s="58">
        <v>5</v>
      </c>
      <c r="N464" s="59">
        <f>VLOOKUP(A464,Baupläne!$B$2:$X$1019,23,FALSE)</f>
        <v>21500</v>
      </c>
      <c r="W464" s="17">
        <f>ROUND($X462*Berechnungen!$B$93,1)</f>
        <v>2.6</v>
      </c>
      <c r="X464" s="787"/>
      <c r="Y464" s="332">
        <v>1.5</v>
      </c>
      <c r="Z464" s="367">
        <v>6</v>
      </c>
      <c r="AC464" s="227"/>
      <c r="AD464" s="227"/>
      <c r="AE464" s="227"/>
      <c r="AF464" s="228"/>
    </row>
    <row r="465" spans="1:32" outlineLevel="1" x14ac:dyDescent="0.2">
      <c r="A465" s="5">
        <v>1349</v>
      </c>
      <c r="B465" s="3" t="s">
        <v>582</v>
      </c>
      <c r="C465" s="3" t="s">
        <v>53</v>
      </c>
      <c r="D465" s="54">
        <v>25</v>
      </c>
      <c r="E465" s="55" t="s">
        <v>199</v>
      </c>
      <c r="F465" s="56"/>
      <c r="G465" s="3">
        <v>8</v>
      </c>
      <c r="H465" s="54">
        <v>1</v>
      </c>
      <c r="I465" s="54">
        <v>14</v>
      </c>
      <c r="J465" s="3">
        <v>100</v>
      </c>
      <c r="K465" s="57">
        <v>1600</v>
      </c>
      <c r="L465" s="54"/>
      <c r="M465" s="58">
        <v>5</v>
      </c>
      <c r="N465" s="59">
        <f>VLOOKUP(A465,Baupläne!$B$2:$X$1019,23,FALSE)</f>
        <v>28600</v>
      </c>
      <c r="W465" s="17">
        <f>ROUND($X462*Berechnungen!$B$94,1)</f>
        <v>3.4</v>
      </c>
      <c r="X465" s="787"/>
      <c r="Y465" s="332">
        <v>2</v>
      </c>
      <c r="Z465" s="367">
        <v>8</v>
      </c>
      <c r="AC465" s="227"/>
      <c r="AD465" s="227"/>
      <c r="AE465" s="227"/>
      <c r="AF465" s="228"/>
    </row>
    <row r="466" spans="1:32" outlineLevel="1" x14ac:dyDescent="0.2">
      <c r="A466" s="5">
        <v>1350</v>
      </c>
      <c r="B466" s="334" t="s">
        <v>583</v>
      </c>
      <c r="C466" s="334" t="s">
        <v>53</v>
      </c>
      <c r="D466" s="335">
        <v>25</v>
      </c>
      <c r="E466" s="336" t="s">
        <v>199</v>
      </c>
      <c r="F466" s="337"/>
      <c r="G466" s="3">
        <v>8</v>
      </c>
      <c r="H466" s="54">
        <v>1</v>
      </c>
      <c r="I466" s="54">
        <v>15</v>
      </c>
      <c r="J466" s="3">
        <v>100</v>
      </c>
      <c r="K466" s="57">
        <v>1200</v>
      </c>
      <c r="L466" s="54"/>
      <c r="M466" s="58">
        <v>5</v>
      </c>
      <c r="N466" s="346">
        <f>VLOOKUP(A466,Baupläne!$B$2:$X$1019,23,FALSE)</f>
        <v>21500</v>
      </c>
      <c r="S466" s="231"/>
      <c r="T466" s="230"/>
      <c r="U466" s="231"/>
      <c r="V466" s="231"/>
      <c r="W466" s="232">
        <f>ROUND($X462*Berechnungen!$B$95,1)</f>
        <v>2.6</v>
      </c>
      <c r="X466" s="787"/>
      <c r="Y466" s="341">
        <v>1.5</v>
      </c>
      <c r="Z466" s="368">
        <v>6</v>
      </c>
      <c r="AA466" s="236"/>
      <c r="AB466" s="236"/>
      <c r="AC466" s="343"/>
      <c r="AD466" s="343"/>
      <c r="AE466" s="343"/>
      <c r="AF466" s="344"/>
    </row>
    <row r="467" spans="1:32" s="294" customFormat="1" ht="12.75" customHeight="1" outlineLevel="1" x14ac:dyDescent="0.2">
      <c r="A467" s="293">
        <v>2301</v>
      </c>
      <c r="B467" s="177" t="s">
        <v>584</v>
      </c>
      <c r="C467" s="177" t="s">
        <v>53</v>
      </c>
      <c r="D467" s="178">
        <v>4</v>
      </c>
      <c r="E467" s="369" t="s">
        <v>199</v>
      </c>
      <c r="F467" s="56"/>
      <c r="G467" s="370">
        <v>8</v>
      </c>
      <c r="H467" s="371">
        <v>2</v>
      </c>
      <c r="I467" s="371">
        <v>11</v>
      </c>
      <c r="J467" s="370">
        <v>100</v>
      </c>
      <c r="K467" s="372">
        <v>1600</v>
      </c>
      <c r="L467" s="371"/>
      <c r="M467" s="373"/>
      <c r="N467" s="299">
        <f>VLOOKUP(A467,Baupläne!$B$2:$X$1019,23,FALSE)</f>
        <v>2000</v>
      </c>
      <c r="O467" s="374"/>
      <c r="P467" s="375"/>
      <c r="Q467" s="376"/>
      <c r="R467" s="377"/>
      <c r="S467" s="301"/>
      <c r="T467" s="302"/>
      <c r="U467" s="301"/>
      <c r="V467" s="301"/>
      <c r="W467" s="303">
        <f>ROUND($X467*Berechnungen!$B$91,1)</f>
        <v>1.2</v>
      </c>
      <c r="X467" s="788">
        <f>ROUND(VLOOKUP($D467+3,Berechnungen!$A$37:$F$66,5),0)</f>
        <v>6</v>
      </c>
      <c r="Y467" s="348">
        <v>2</v>
      </c>
      <c r="Z467" s="378">
        <v>8</v>
      </c>
      <c r="AA467" s="306"/>
      <c r="AB467" s="306"/>
      <c r="AC467" s="307"/>
      <c r="AD467" s="307"/>
      <c r="AE467" s="307"/>
      <c r="AF467" s="308"/>
    </row>
    <row r="468" spans="1:32" s="294" customFormat="1" outlineLevel="1" x14ac:dyDescent="0.2">
      <c r="A468" s="293">
        <v>2302</v>
      </c>
      <c r="B468" s="177" t="s">
        <v>585</v>
      </c>
      <c r="C468" s="177" t="s">
        <v>53</v>
      </c>
      <c r="D468" s="178">
        <v>4</v>
      </c>
      <c r="E468" s="316" t="s">
        <v>199</v>
      </c>
      <c r="F468" s="56"/>
      <c r="G468" s="177">
        <v>8</v>
      </c>
      <c r="H468" s="178">
        <v>2</v>
      </c>
      <c r="I468" s="178">
        <v>12</v>
      </c>
      <c r="J468" s="177">
        <v>100</v>
      </c>
      <c r="K468" s="317">
        <v>2400</v>
      </c>
      <c r="L468" s="178"/>
      <c r="M468" s="179"/>
      <c r="N468" s="299">
        <f>VLOOKUP(A468,Baupläne!$B$2:$X$1019,23,FALSE)</f>
        <v>2800</v>
      </c>
      <c r="O468" s="379"/>
      <c r="Q468" s="301"/>
      <c r="R468" s="306"/>
      <c r="S468" s="301"/>
      <c r="T468" s="302"/>
      <c r="U468" s="301"/>
      <c r="V468" s="301"/>
      <c r="W468" s="303">
        <f>ROUND($X467*Berechnungen!$B$92,1)</f>
        <v>1.8</v>
      </c>
      <c r="X468" s="788"/>
      <c r="Y468" s="348">
        <v>3</v>
      </c>
      <c r="Z468" s="378">
        <v>12</v>
      </c>
      <c r="AA468" s="306"/>
      <c r="AB468" s="306"/>
      <c r="AC468" s="307"/>
      <c r="AD468" s="307"/>
      <c r="AE468" s="307"/>
      <c r="AF468" s="308"/>
    </row>
    <row r="469" spans="1:32" s="294" customFormat="1" outlineLevel="1" x14ac:dyDescent="0.2">
      <c r="A469" s="293">
        <v>2303</v>
      </c>
      <c r="B469" s="177" t="s">
        <v>586</v>
      </c>
      <c r="C469" s="177" t="s">
        <v>53</v>
      </c>
      <c r="D469" s="178">
        <v>5</v>
      </c>
      <c r="E469" s="316" t="s">
        <v>199</v>
      </c>
      <c r="F469" s="56"/>
      <c r="G469" s="177">
        <v>8</v>
      </c>
      <c r="H469" s="178">
        <v>2</v>
      </c>
      <c r="I469" s="178">
        <v>13</v>
      </c>
      <c r="J469" s="177">
        <v>100</v>
      </c>
      <c r="K469" s="317">
        <v>1200</v>
      </c>
      <c r="L469" s="178"/>
      <c r="M469" s="179"/>
      <c r="N469" s="299">
        <f>VLOOKUP(A469,Baupläne!$B$2:$X$1019,23,FALSE)</f>
        <v>1800</v>
      </c>
      <c r="O469" s="379"/>
      <c r="Q469" s="301"/>
      <c r="R469" s="306"/>
      <c r="S469" s="301"/>
      <c r="T469" s="302"/>
      <c r="U469" s="301"/>
      <c r="V469" s="301"/>
      <c r="W469" s="303">
        <f>ROUND($X467*Berechnungen!$B$93,1)</f>
        <v>0.9</v>
      </c>
      <c r="X469" s="788"/>
      <c r="Y469" s="348">
        <v>1.5</v>
      </c>
      <c r="Z469" s="378">
        <v>6</v>
      </c>
      <c r="AA469" s="306"/>
      <c r="AB469" s="306"/>
      <c r="AC469" s="307"/>
      <c r="AD469" s="307"/>
      <c r="AE469" s="307"/>
      <c r="AF469" s="308"/>
    </row>
    <row r="470" spans="1:32" s="294" customFormat="1" outlineLevel="1" x14ac:dyDescent="0.2">
      <c r="A470" s="293">
        <v>2304</v>
      </c>
      <c r="B470" s="177" t="s">
        <v>587</v>
      </c>
      <c r="C470" s="177" t="s">
        <v>53</v>
      </c>
      <c r="D470" s="178">
        <v>5</v>
      </c>
      <c r="E470" s="316" t="s">
        <v>199</v>
      </c>
      <c r="F470" s="56"/>
      <c r="G470" s="177">
        <v>8</v>
      </c>
      <c r="H470" s="178">
        <v>2</v>
      </c>
      <c r="I470" s="178">
        <v>14</v>
      </c>
      <c r="J470" s="177">
        <v>100</v>
      </c>
      <c r="K470" s="317">
        <v>1600</v>
      </c>
      <c r="L470" s="178"/>
      <c r="M470" s="179"/>
      <c r="N470" s="299">
        <f>VLOOKUP(A470,Baupläne!$B$2:$X$1019,23,FALSE)</f>
        <v>2200</v>
      </c>
      <c r="O470" s="379"/>
      <c r="Q470" s="301"/>
      <c r="R470" s="306"/>
      <c r="S470" s="301"/>
      <c r="T470" s="302"/>
      <c r="U470" s="301"/>
      <c r="V470" s="301"/>
      <c r="W470" s="303">
        <f>ROUND($X467*Berechnungen!$B$94,1)</f>
        <v>1.2</v>
      </c>
      <c r="X470" s="788"/>
      <c r="Y470" s="348">
        <v>2</v>
      </c>
      <c r="Z470" s="378">
        <v>8</v>
      </c>
      <c r="AA470" s="306"/>
      <c r="AB470" s="306"/>
      <c r="AC470" s="307"/>
      <c r="AD470" s="307"/>
      <c r="AE470" s="307"/>
      <c r="AF470" s="308"/>
    </row>
    <row r="471" spans="1:32" s="294" customFormat="1" outlineLevel="1" x14ac:dyDescent="0.2">
      <c r="A471" s="293">
        <v>2305</v>
      </c>
      <c r="B471" s="380" t="s">
        <v>588</v>
      </c>
      <c r="C471" s="350" t="s">
        <v>53</v>
      </c>
      <c r="D471" s="351">
        <v>5</v>
      </c>
      <c r="E471" s="352" t="s">
        <v>199</v>
      </c>
      <c r="F471" s="337"/>
      <c r="G471" s="350">
        <v>8</v>
      </c>
      <c r="H471" s="351">
        <v>2</v>
      </c>
      <c r="I471" s="351">
        <v>15</v>
      </c>
      <c r="J471" s="350">
        <v>100</v>
      </c>
      <c r="K471" s="353">
        <v>1200</v>
      </c>
      <c r="L471" s="351"/>
      <c r="M471" s="354"/>
      <c r="N471" s="299">
        <f>VLOOKUP(A471,Baupläne!$B$2:$X$1019,23,FALSE)</f>
        <v>1800</v>
      </c>
      <c r="O471" s="379"/>
      <c r="Q471" s="301"/>
      <c r="R471" s="306"/>
      <c r="S471" s="301"/>
      <c r="T471" s="302"/>
      <c r="U471" s="301"/>
      <c r="V471" s="301"/>
      <c r="W471" s="360">
        <f>ROUND($X467*Berechnungen!$B$95,1)</f>
        <v>0.9</v>
      </c>
      <c r="X471" s="788"/>
      <c r="Y471" s="361">
        <v>1.5</v>
      </c>
      <c r="Z471" s="381">
        <v>6</v>
      </c>
      <c r="AA471" s="358"/>
      <c r="AB471" s="358"/>
      <c r="AC471" s="307"/>
      <c r="AD471" s="307"/>
      <c r="AE471" s="307"/>
      <c r="AF471" s="308"/>
    </row>
    <row r="472" spans="1:32" s="294" customFormat="1" ht="12.75" customHeight="1" outlineLevel="1" x14ac:dyDescent="0.2">
      <c r="A472" s="293">
        <v>2311</v>
      </c>
      <c r="B472" s="177" t="s">
        <v>589</v>
      </c>
      <c r="C472" s="177" t="s">
        <v>53</v>
      </c>
      <c r="D472" s="178">
        <v>9</v>
      </c>
      <c r="E472" s="316" t="s">
        <v>199</v>
      </c>
      <c r="F472" s="56"/>
      <c r="G472" s="177">
        <v>8</v>
      </c>
      <c r="H472" s="178">
        <v>2</v>
      </c>
      <c r="I472" s="178">
        <v>11</v>
      </c>
      <c r="J472" s="177">
        <v>100</v>
      </c>
      <c r="K472" s="317">
        <v>1600</v>
      </c>
      <c r="L472" s="178"/>
      <c r="M472" s="179"/>
      <c r="N472" s="299">
        <f>VLOOKUP(A472,Baupläne!$B$2:$X$1019,23,FALSE)</f>
        <v>4100</v>
      </c>
      <c r="O472" s="379"/>
      <c r="Q472" s="301"/>
      <c r="R472" s="306"/>
      <c r="S472" s="301"/>
      <c r="T472" s="302"/>
      <c r="U472" s="301"/>
      <c r="V472" s="301"/>
      <c r="W472" s="303">
        <f>ROUND($X472*Berechnungen!$B$91,1)</f>
        <v>1.8</v>
      </c>
      <c r="X472" s="788">
        <f>ROUND(VLOOKUP($D472+3,Berechnungen!$A$37:$F$66,5),0)</f>
        <v>9</v>
      </c>
      <c r="Y472" s="348">
        <v>2</v>
      </c>
      <c r="Z472" s="378">
        <v>8</v>
      </c>
      <c r="AA472" s="306"/>
      <c r="AB472" s="306"/>
      <c r="AC472" s="307"/>
      <c r="AD472" s="307"/>
      <c r="AE472" s="307"/>
      <c r="AF472" s="308"/>
    </row>
    <row r="473" spans="1:32" s="294" customFormat="1" outlineLevel="1" x14ac:dyDescent="0.2">
      <c r="A473" s="293">
        <v>2312</v>
      </c>
      <c r="B473" s="177" t="s">
        <v>590</v>
      </c>
      <c r="C473" s="177" t="s">
        <v>53</v>
      </c>
      <c r="D473" s="178">
        <v>9</v>
      </c>
      <c r="E473" s="316" t="s">
        <v>199</v>
      </c>
      <c r="F473" s="56"/>
      <c r="G473" s="177">
        <v>8</v>
      </c>
      <c r="H473" s="178">
        <v>2</v>
      </c>
      <c r="I473" s="178">
        <v>12</v>
      </c>
      <c r="J473" s="177">
        <v>100</v>
      </c>
      <c r="K473" s="317">
        <v>2400</v>
      </c>
      <c r="L473" s="178"/>
      <c r="M473" s="179"/>
      <c r="N473" s="299">
        <f>VLOOKUP(A473,Baupläne!$B$2:$X$1019,23,FALSE)</f>
        <v>5600</v>
      </c>
      <c r="O473" s="379"/>
      <c r="Q473" s="301"/>
      <c r="R473" s="306"/>
      <c r="S473" s="301"/>
      <c r="T473" s="302"/>
      <c r="U473" s="301"/>
      <c r="V473" s="301"/>
      <c r="W473" s="303">
        <f>ROUND($X472*Berechnungen!$B$92,1)</f>
        <v>2.7</v>
      </c>
      <c r="X473" s="788"/>
      <c r="Y473" s="348">
        <v>3</v>
      </c>
      <c r="Z473" s="378">
        <v>12</v>
      </c>
      <c r="AA473" s="306"/>
      <c r="AB473" s="306"/>
      <c r="AC473" s="307"/>
      <c r="AD473" s="307"/>
      <c r="AE473" s="307"/>
      <c r="AF473" s="308"/>
    </row>
    <row r="474" spans="1:32" s="294" customFormat="1" outlineLevel="1" x14ac:dyDescent="0.2">
      <c r="A474" s="293">
        <v>2313</v>
      </c>
      <c r="B474" s="177" t="s">
        <v>591</v>
      </c>
      <c r="C474" s="177" t="s">
        <v>53</v>
      </c>
      <c r="D474" s="178">
        <v>10</v>
      </c>
      <c r="E474" s="316" t="s">
        <v>199</v>
      </c>
      <c r="F474" s="56"/>
      <c r="G474" s="177">
        <v>8</v>
      </c>
      <c r="H474" s="178">
        <v>2</v>
      </c>
      <c r="I474" s="178">
        <v>13</v>
      </c>
      <c r="J474" s="177">
        <v>100</v>
      </c>
      <c r="K474" s="317">
        <v>1200</v>
      </c>
      <c r="L474" s="178"/>
      <c r="M474" s="179"/>
      <c r="N474" s="299">
        <f>VLOOKUP(A474,Baupläne!$B$2:$X$1019,23,FALSE)</f>
        <v>3600</v>
      </c>
      <c r="O474" s="379"/>
      <c r="Q474" s="301"/>
      <c r="R474" s="306"/>
      <c r="S474" s="301"/>
      <c r="T474" s="302"/>
      <c r="U474" s="301"/>
      <c r="V474" s="301"/>
      <c r="W474" s="303">
        <f>ROUND($X472*Berechnungen!$B$93,1)</f>
        <v>1.4</v>
      </c>
      <c r="X474" s="788"/>
      <c r="Y474" s="348">
        <v>1.5</v>
      </c>
      <c r="Z474" s="378">
        <v>6</v>
      </c>
      <c r="AA474" s="306"/>
      <c r="AB474" s="306"/>
      <c r="AC474" s="307"/>
      <c r="AD474" s="307"/>
      <c r="AE474" s="307"/>
      <c r="AF474" s="308"/>
    </row>
    <row r="475" spans="1:32" s="294" customFormat="1" outlineLevel="1" x14ac:dyDescent="0.2">
      <c r="A475" s="293">
        <v>2314</v>
      </c>
      <c r="B475" s="177" t="s">
        <v>592</v>
      </c>
      <c r="C475" s="177" t="s">
        <v>53</v>
      </c>
      <c r="D475" s="178">
        <v>10</v>
      </c>
      <c r="E475" s="316" t="s">
        <v>199</v>
      </c>
      <c r="F475" s="56"/>
      <c r="G475" s="177">
        <v>8</v>
      </c>
      <c r="H475" s="178">
        <v>2</v>
      </c>
      <c r="I475" s="178">
        <v>14</v>
      </c>
      <c r="J475" s="177">
        <v>100</v>
      </c>
      <c r="K475" s="317">
        <v>1600</v>
      </c>
      <c r="L475" s="178"/>
      <c r="M475" s="179"/>
      <c r="N475" s="299">
        <f>VLOOKUP(A475,Baupläne!$B$2:$X$1019,23,FALSE)</f>
        <v>4500</v>
      </c>
      <c r="O475" s="379"/>
      <c r="Q475" s="301"/>
      <c r="R475" s="306"/>
      <c r="S475" s="301"/>
      <c r="T475" s="302"/>
      <c r="U475" s="301"/>
      <c r="V475" s="301"/>
      <c r="W475" s="303">
        <f>ROUND($X472*Berechnungen!$B$94,1)</f>
        <v>1.8</v>
      </c>
      <c r="X475" s="788"/>
      <c r="Y475" s="348">
        <v>2</v>
      </c>
      <c r="Z475" s="378">
        <v>8</v>
      </c>
      <c r="AA475" s="306"/>
      <c r="AB475" s="306"/>
      <c r="AC475" s="307"/>
      <c r="AD475" s="307"/>
      <c r="AE475" s="307"/>
      <c r="AF475" s="308"/>
    </row>
    <row r="476" spans="1:32" s="294" customFormat="1" outlineLevel="1" x14ac:dyDescent="0.2">
      <c r="A476" s="293">
        <v>2315</v>
      </c>
      <c r="B476" s="380" t="s">
        <v>593</v>
      </c>
      <c r="C476" s="350" t="s">
        <v>53</v>
      </c>
      <c r="D476" s="351">
        <v>10</v>
      </c>
      <c r="E476" s="352" t="s">
        <v>199</v>
      </c>
      <c r="F476" s="337"/>
      <c r="G476" s="350">
        <v>8</v>
      </c>
      <c r="H476" s="351">
        <v>2</v>
      </c>
      <c r="I476" s="351">
        <v>15</v>
      </c>
      <c r="J476" s="350">
        <v>100</v>
      </c>
      <c r="K476" s="353">
        <v>1200</v>
      </c>
      <c r="L476" s="351"/>
      <c r="M476" s="354"/>
      <c r="N476" s="299">
        <f>VLOOKUP(A476,Baupläne!$B$2:$X$1019,23,FALSE)</f>
        <v>3600</v>
      </c>
      <c r="O476" s="379"/>
      <c r="Q476" s="301"/>
      <c r="R476" s="306"/>
      <c r="S476" s="301"/>
      <c r="T476" s="302"/>
      <c r="U476" s="301"/>
      <c r="V476" s="301"/>
      <c r="W476" s="360">
        <f>ROUND($X472*Berechnungen!$B$95,1)</f>
        <v>1.4</v>
      </c>
      <c r="X476" s="788"/>
      <c r="Y476" s="361">
        <v>1.5</v>
      </c>
      <c r="Z476" s="381">
        <v>6</v>
      </c>
      <c r="AA476" s="358"/>
      <c r="AB476" s="358"/>
      <c r="AC476" s="307"/>
      <c r="AD476" s="307"/>
      <c r="AE476" s="307"/>
      <c r="AF476" s="308"/>
    </row>
    <row r="477" spans="1:32" s="294" customFormat="1" ht="12.75" customHeight="1" outlineLevel="1" x14ac:dyDescent="0.2">
      <c r="A477" s="293">
        <v>2321</v>
      </c>
      <c r="B477" s="177" t="s">
        <v>594</v>
      </c>
      <c r="C477" s="177" t="s">
        <v>53</v>
      </c>
      <c r="D477" s="178">
        <v>14</v>
      </c>
      <c r="E477" s="316" t="s">
        <v>199</v>
      </c>
      <c r="F477" s="56"/>
      <c r="G477" s="177">
        <v>8</v>
      </c>
      <c r="H477" s="178">
        <v>2</v>
      </c>
      <c r="I477" s="178">
        <v>11</v>
      </c>
      <c r="J477" s="177">
        <v>100</v>
      </c>
      <c r="K477" s="317">
        <v>1600</v>
      </c>
      <c r="L477" s="178"/>
      <c r="M477" s="179"/>
      <c r="N477" s="299">
        <f>VLOOKUP(A477,Baupläne!$B$2:$X$1019,23,FALSE)</f>
        <v>8200</v>
      </c>
      <c r="O477" s="379"/>
      <c r="Q477" s="301"/>
      <c r="R477" s="306"/>
      <c r="S477" s="301"/>
      <c r="T477" s="302"/>
      <c r="U477" s="301"/>
      <c r="V477" s="301"/>
      <c r="W477" s="303">
        <f>ROUND($X477*Berechnungen!$B$91,1)</f>
        <v>2.4</v>
      </c>
      <c r="X477" s="788">
        <f>ROUND(VLOOKUP($D477+3,Berechnungen!$A$37:$F$66,5),0)</f>
        <v>12</v>
      </c>
      <c r="Y477" s="348">
        <v>2</v>
      </c>
      <c r="Z477" s="378">
        <v>8</v>
      </c>
      <c r="AA477" s="306"/>
      <c r="AB477" s="306"/>
      <c r="AC477" s="307"/>
      <c r="AD477" s="307"/>
      <c r="AE477" s="307"/>
      <c r="AF477" s="308"/>
    </row>
    <row r="478" spans="1:32" s="294" customFormat="1" outlineLevel="1" x14ac:dyDescent="0.2">
      <c r="A478" s="293">
        <v>2322</v>
      </c>
      <c r="B478" s="177" t="s">
        <v>595</v>
      </c>
      <c r="C478" s="177" t="s">
        <v>53</v>
      </c>
      <c r="D478" s="178">
        <v>14</v>
      </c>
      <c r="E478" s="316" t="s">
        <v>199</v>
      </c>
      <c r="F478" s="56"/>
      <c r="G478" s="177">
        <v>8</v>
      </c>
      <c r="H478" s="178">
        <v>2</v>
      </c>
      <c r="I478" s="178">
        <v>12</v>
      </c>
      <c r="J478" s="177">
        <v>100</v>
      </c>
      <c r="K478" s="317">
        <v>2400</v>
      </c>
      <c r="L478" s="178"/>
      <c r="M478" s="179"/>
      <c r="N478" s="299">
        <f>VLOOKUP(A478,Baupläne!$B$2:$X$1019,23,FALSE)</f>
        <v>11200</v>
      </c>
      <c r="O478" s="379"/>
      <c r="Q478" s="301"/>
      <c r="R478" s="306"/>
      <c r="S478" s="301"/>
      <c r="T478" s="302"/>
      <c r="U478" s="301"/>
      <c r="V478" s="301"/>
      <c r="W478" s="303">
        <f>ROUND($X477*Berechnungen!$B$92,1)</f>
        <v>3.6</v>
      </c>
      <c r="X478" s="788"/>
      <c r="Y478" s="348">
        <v>3</v>
      </c>
      <c r="Z478" s="378">
        <v>12</v>
      </c>
      <c r="AA478" s="306"/>
      <c r="AB478" s="306"/>
      <c r="AC478" s="307"/>
      <c r="AD478" s="307"/>
      <c r="AE478" s="307"/>
      <c r="AF478" s="308"/>
    </row>
    <row r="479" spans="1:32" s="294" customFormat="1" outlineLevel="1" x14ac:dyDescent="0.2">
      <c r="A479" s="293">
        <v>2323</v>
      </c>
      <c r="B479" s="177" t="s">
        <v>596</v>
      </c>
      <c r="C479" s="177" t="s">
        <v>53</v>
      </c>
      <c r="D479" s="178">
        <v>15</v>
      </c>
      <c r="E479" s="316" t="s">
        <v>199</v>
      </c>
      <c r="F479" s="56"/>
      <c r="G479" s="177">
        <v>8</v>
      </c>
      <c r="H479" s="178">
        <v>2</v>
      </c>
      <c r="I479" s="178">
        <v>13</v>
      </c>
      <c r="J479" s="177">
        <v>100</v>
      </c>
      <c r="K479" s="317">
        <v>1200</v>
      </c>
      <c r="L479" s="178"/>
      <c r="M479" s="179"/>
      <c r="N479" s="299">
        <f>VLOOKUP(A479,Baupläne!$B$2:$X$1019,23,FALSE)</f>
        <v>7300</v>
      </c>
      <c r="O479" s="379"/>
      <c r="Q479" s="301"/>
      <c r="R479" s="306"/>
      <c r="S479" s="301"/>
      <c r="T479" s="302"/>
      <c r="U479" s="301"/>
      <c r="V479" s="301"/>
      <c r="W479" s="303">
        <f>ROUND($X477*Berechnungen!$B$93,1)</f>
        <v>1.8</v>
      </c>
      <c r="X479" s="788"/>
      <c r="Y479" s="348">
        <v>1.5</v>
      </c>
      <c r="Z479" s="378">
        <v>6</v>
      </c>
      <c r="AA479" s="306"/>
      <c r="AB479" s="306"/>
      <c r="AC479" s="307"/>
      <c r="AD479" s="307"/>
      <c r="AE479" s="307"/>
      <c r="AF479" s="308"/>
    </row>
    <row r="480" spans="1:32" s="294" customFormat="1" outlineLevel="1" x14ac:dyDescent="0.2">
      <c r="A480" s="293">
        <v>2324</v>
      </c>
      <c r="B480" s="177" t="s">
        <v>597</v>
      </c>
      <c r="C480" s="177" t="s">
        <v>53</v>
      </c>
      <c r="D480" s="178">
        <v>15</v>
      </c>
      <c r="E480" s="316" t="s">
        <v>199</v>
      </c>
      <c r="F480" s="56"/>
      <c r="G480" s="177">
        <v>8</v>
      </c>
      <c r="H480" s="178">
        <v>2</v>
      </c>
      <c r="I480" s="178">
        <v>14</v>
      </c>
      <c r="J480" s="177">
        <v>100</v>
      </c>
      <c r="K480" s="317">
        <v>1600</v>
      </c>
      <c r="L480" s="178"/>
      <c r="M480" s="179"/>
      <c r="N480" s="299">
        <f>VLOOKUP(A480,Baupläne!$B$2:$X$1019,23,FALSE)</f>
        <v>9100</v>
      </c>
      <c r="O480" s="379"/>
      <c r="Q480" s="301"/>
      <c r="R480" s="306"/>
      <c r="S480" s="301"/>
      <c r="T480" s="302"/>
      <c r="U480" s="301"/>
      <c r="V480" s="301"/>
      <c r="W480" s="303">
        <f>ROUND($X477*Berechnungen!$B$94,1)</f>
        <v>2.4</v>
      </c>
      <c r="X480" s="788"/>
      <c r="Y480" s="348">
        <v>2</v>
      </c>
      <c r="Z480" s="378">
        <v>8</v>
      </c>
      <c r="AA480" s="306"/>
      <c r="AB480" s="306"/>
      <c r="AC480" s="307"/>
      <c r="AD480" s="307"/>
      <c r="AE480" s="307"/>
      <c r="AF480" s="308"/>
    </row>
    <row r="481" spans="1:32" s="294" customFormat="1" outlineLevel="1" x14ac:dyDescent="0.2">
      <c r="A481" s="293">
        <v>2325</v>
      </c>
      <c r="B481" s="380" t="s">
        <v>598</v>
      </c>
      <c r="C481" s="350" t="s">
        <v>53</v>
      </c>
      <c r="D481" s="351">
        <v>15</v>
      </c>
      <c r="E481" s="352" t="s">
        <v>199</v>
      </c>
      <c r="F481" s="337"/>
      <c r="G481" s="350">
        <v>8</v>
      </c>
      <c r="H481" s="351">
        <v>2</v>
      </c>
      <c r="I481" s="351">
        <v>15</v>
      </c>
      <c r="J481" s="350">
        <v>100</v>
      </c>
      <c r="K481" s="353">
        <v>1200</v>
      </c>
      <c r="L481" s="351"/>
      <c r="M481" s="354"/>
      <c r="N481" s="299">
        <f>VLOOKUP(A481,Baupläne!$B$2:$X$1019,23,FALSE)</f>
        <v>7300</v>
      </c>
      <c r="O481" s="379"/>
      <c r="Q481" s="301"/>
      <c r="R481" s="306"/>
      <c r="S481" s="301"/>
      <c r="T481" s="302"/>
      <c r="U481" s="301"/>
      <c r="V481" s="301"/>
      <c r="W481" s="360">
        <f>ROUND($X477*Berechnungen!$B$95,1)</f>
        <v>1.8</v>
      </c>
      <c r="X481" s="788"/>
      <c r="Y481" s="361">
        <v>1.5</v>
      </c>
      <c r="Z481" s="381">
        <v>6</v>
      </c>
      <c r="AA481" s="358"/>
      <c r="AB481" s="358"/>
      <c r="AC481" s="307"/>
      <c r="AD481" s="307"/>
      <c r="AE481" s="307"/>
      <c r="AF481" s="308"/>
    </row>
    <row r="482" spans="1:32" s="294" customFormat="1" ht="12.75" customHeight="1" outlineLevel="1" x14ac:dyDescent="0.2">
      <c r="A482" s="293">
        <v>2331</v>
      </c>
      <c r="B482" s="177" t="s">
        <v>599</v>
      </c>
      <c r="C482" s="177" t="s">
        <v>53</v>
      </c>
      <c r="D482" s="178">
        <v>19</v>
      </c>
      <c r="E482" s="316" t="s">
        <v>199</v>
      </c>
      <c r="F482" s="56"/>
      <c r="G482" s="177">
        <v>8</v>
      </c>
      <c r="H482" s="178">
        <v>2</v>
      </c>
      <c r="I482" s="178">
        <v>11</v>
      </c>
      <c r="J482" s="177">
        <v>100</v>
      </c>
      <c r="K482" s="317">
        <v>1600</v>
      </c>
      <c r="L482" s="178"/>
      <c r="M482" s="179"/>
      <c r="N482" s="299">
        <f>VLOOKUP(A482,Baupläne!$B$2:$X$1019,23,FALSE)</f>
        <v>15900</v>
      </c>
      <c r="O482" s="379"/>
      <c r="Q482" s="301"/>
      <c r="R482" s="306"/>
      <c r="S482" s="301"/>
      <c r="T482" s="302"/>
      <c r="U482" s="301"/>
      <c r="V482" s="301"/>
      <c r="W482" s="303">
        <f>ROUND($X482*Berechnungen!$B$91,1)</f>
        <v>3</v>
      </c>
      <c r="X482" s="788">
        <f>ROUND(VLOOKUP($D482+3,Berechnungen!$A$37:$F$66,5),0)</f>
        <v>15</v>
      </c>
      <c r="Y482" s="348">
        <v>2</v>
      </c>
      <c r="Z482" s="378">
        <v>8</v>
      </c>
      <c r="AA482" s="306"/>
      <c r="AB482" s="306"/>
      <c r="AC482" s="307"/>
      <c r="AD482" s="307"/>
      <c r="AE482" s="307"/>
      <c r="AF482" s="308"/>
    </row>
    <row r="483" spans="1:32" s="294" customFormat="1" outlineLevel="1" x14ac:dyDescent="0.2">
      <c r="A483" s="293">
        <v>2332</v>
      </c>
      <c r="B483" s="177" t="s">
        <v>600</v>
      </c>
      <c r="C483" s="177" t="s">
        <v>53</v>
      </c>
      <c r="D483" s="178">
        <v>19</v>
      </c>
      <c r="E483" s="316" t="s">
        <v>199</v>
      </c>
      <c r="F483" s="56"/>
      <c r="G483" s="177">
        <v>8</v>
      </c>
      <c r="H483" s="178">
        <v>2</v>
      </c>
      <c r="I483" s="178">
        <v>12</v>
      </c>
      <c r="J483" s="177">
        <v>100</v>
      </c>
      <c r="K483" s="317">
        <v>2400</v>
      </c>
      <c r="L483" s="178"/>
      <c r="M483" s="179"/>
      <c r="N483" s="299">
        <f>VLOOKUP(A483,Baupläne!$B$2:$X$1019,23,FALSE)</f>
        <v>22100</v>
      </c>
      <c r="O483" s="379"/>
      <c r="Q483" s="301"/>
      <c r="R483" s="306"/>
      <c r="S483" s="301"/>
      <c r="T483" s="302"/>
      <c r="U483" s="301"/>
      <c r="V483" s="301"/>
      <c r="W483" s="303">
        <f>ROUND($X482*Berechnungen!$B$92,1)</f>
        <v>4.5</v>
      </c>
      <c r="X483" s="788"/>
      <c r="Y483" s="348">
        <v>3</v>
      </c>
      <c r="Z483" s="378">
        <v>12</v>
      </c>
      <c r="AA483" s="306"/>
      <c r="AB483" s="306"/>
      <c r="AC483" s="307"/>
      <c r="AD483" s="307"/>
      <c r="AE483" s="307"/>
      <c r="AF483" s="308"/>
    </row>
    <row r="484" spans="1:32" s="294" customFormat="1" outlineLevel="1" x14ac:dyDescent="0.2">
      <c r="A484" s="293">
        <v>2333</v>
      </c>
      <c r="B484" s="177" t="s">
        <v>601</v>
      </c>
      <c r="C484" s="177" t="s">
        <v>53</v>
      </c>
      <c r="D484" s="178">
        <v>20</v>
      </c>
      <c r="E484" s="316" t="s">
        <v>199</v>
      </c>
      <c r="F484" s="56"/>
      <c r="G484" s="177">
        <v>8</v>
      </c>
      <c r="H484" s="178">
        <v>2</v>
      </c>
      <c r="I484" s="178">
        <v>13</v>
      </c>
      <c r="J484" s="177">
        <v>100</v>
      </c>
      <c r="K484" s="317">
        <v>1200</v>
      </c>
      <c r="L484" s="178"/>
      <c r="M484" s="179"/>
      <c r="N484" s="299">
        <f>VLOOKUP(A484,Baupläne!$B$2:$X$1019,23,FALSE)</f>
        <v>14200</v>
      </c>
      <c r="O484" s="379"/>
      <c r="Q484" s="301"/>
      <c r="R484" s="306"/>
      <c r="S484" s="301"/>
      <c r="T484" s="302"/>
      <c r="U484" s="301"/>
      <c r="V484" s="301"/>
      <c r="W484" s="303">
        <f>ROUND($X482*Berechnungen!$B$93,1)</f>
        <v>2.2999999999999998</v>
      </c>
      <c r="X484" s="788"/>
      <c r="Y484" s="348">
        <v>1.5</v>
      </c>
      <c r="Z484" s="378">
        <v>6</v>
      </c>
      <c r="AA484" s="306"/>
      <c r="AB484" s="306"/>
      <c r="AC484" s="307"/>
      <c r="AD484" s="307"/>
      <c r="AE484" s="307"/>
      <c r="AF484" s="308"/>
    </row>
    <row r="485" spans="1:32" s="294" customFormat="1" outlineLevel="1" x14ac:dyDescent="0.2">
      <c r="A485" s="293">
        <v>2334</v>
      </c>
      <c r="B485" s="177" t="s">
        <v>602</v>
      </c>
      <c r="C485" s="177" t="s">
        <v>53</v>
      </c>
      <c r="D485" s="178">
        <v>20</v>
      </c>
      <c r="E485" s="316" t="s">
        <v>199</v>
      </c>
      <c r="F485" s="56"/>
      <c r="G485" s="177">
        <v>8</v>
      </c>
      <c r="H485" s="178">
        <v>2</v>
      </c>
      <c r="I485" s="178">
        <v>14</v>
      </c>
      <c r="J485" s="177">
        <v>100</v>
      </c>
      <c r="K485" s="317">
        <v>1600</v>
      </c>
      <c r="L485" s="178"/>
      <c r="M485" s="179"/>
      <c r="N485" s="299">
        <f>VLOOKUP(A485,Baupläne!$B$2:$X$1019,23,FALSE)</f>
        <v>17700</v>
      </c>
      <c r="O485" s="379"/>
      <c r="Q485" s="301"/>
      <c r="R485" s="306"/>
      <c r="S485" s="301"/>
      <c r="T485" s="302"/>
      <c r="U485" s="301"/>
      <c r="V485" s="301"/>
      <c r="W485" s="303">
        <f>ROUND($X482*Berechnungen!$B$94,1)</f>
        <v>3</v>
      </c>
      <c r="X485" s="788"/>
      <c r="Y485" s="348">
        <v>2</v>
      </c>
      <c r="Z485" s="378">
        <v>8</v>
      </c>
      <c r="AA485" s="306"/>
      <c r="AB485" s="306"/>
      <c r="AC485" s="307"/>
      <c r="AD485" s="307"/>
      <c r="AE485" s="307"/>
      <c r="AF485" s="308"/>
    </row>
    <row r="486" spans="1:32" s="294" customFormat="1" outlineLevel="1" x14ac:dyDescent="0.2">
      <c r="A486" s="293">
        <v>2335</v>
      </c>
      <c r="B486" s="380" t="s">
        <v>603</v>
      </c>
      <c r="C486" s="350" t="s">
        <v>53</v>
      </c>
      <c r="D486" s="351">
        <v>20</v>
      </c>
      <c r="E486" s="352" t="s">
        <v>199</v>
      </c>
      <c r="F486" s="337"/>
      <c r="G486" s="350">
        <v>8</v>
      </c>
      <c r="H486" s="351">
        <v>2</v>
      </c>
      <c r="I486" s="351">
        <v>15</v>
      </c>
      <c r="J486" s="350">
        <v>100</v>
      </c>
      <c r="K486" s="353">
        <v>1200</v>
      </c>
      <c r="L486" s="351"/>
      <c r="M486" s="354"/>
      <c r="N486" s="299">
        <f>VLOOKUP(A486,Baupläne!$B$2:$X$1019,23,FALSE)</f>
        <v>14200</v>
      </c>
      <c r="O486" s="379"/>
      <c r="Q486" s="301"/>
      <c r="R486" s="306"/>
      <c r="S486" s="301"/>
      <c r="T486" s="302"/>
      <c r="U486" s="301"/>
      <c r="V486" s="301"/>
      <c r="W486" s="360">
        <f>ROUND($X482*Berechnungen!$B$95,1)</f>
        <v>2.2999999999999998</v>
      </c>
      <c r="X486" s="788"/>
      <c r="Y486" s="361">
        <v>1.5</v>
      </c>
      <c r="Z486" s="381">
        <v>6</v>
      </c>
      <c r="AA486" s="358"/>
      <c r="AB486" s="358"/>
      <c r="AC486" s="307"/>
      <c r="AD486" s="307"/>
      <c r="AE486" s="307"/>
      <c r="AF486" s="308"/>
    </row>
    <row r="487" spans="1:32" s="294" customFormat="1" ht="12.75" customHeight="1" outlineLevel="1" x14ac:dyDescent="0.2">
      <c r="A487" s="293">
        <v>2341</v>
      </c>
      <c r="B487" s="177" t="s">
        <v>604</v>
      </c>
      <c r="C487" s="177" t="s">
        <v>53</v>
      </c>
      <c r="D487" s="178">
        <v>24</v>
      </c>
      <c r="E487" s="316" t="s">
        <v>199</v>
      </c>
      <c r="F487" s="56"/>
      <c r="G487" s="177">
        <v>8</v>
      </c>
      <c r="H487" s="178">
        <v>2</v>
      </c>
      <c r="I487" s="178">
        <v>11</v>
      </c>
      <c r="J487" s="177">
        <v>100</v>
      </c>
      <c r="K487" s="317">
        <v>1600</v>
      </c>
      <c r="L487" s="178"/>
      <c r="M487" s="179"/>
      <c r="N487" s="299">
        <f>VLOOKUP(A487,Baupläne!$B$2:$X$1019,23,FALSE)</f>
        <v>29900</v>
      </c>
      <c r="O487" s="379"/>
      <c r="Q487" s="301"/>
      <c r="R487" s="306"/>
      <c r="S487" s="301"/>
      <c r="T487" s="302"/>
      <c r="U487" s="301"/>
      <c r="V487" s="301"/>
      <c r="W487" s="303">
        <f>ROUND($X487*Berechnungen!$B$91,1)</f>
        <v>3.8</v>
      </c>
      <c r="X487" s="788">
        <f>ROUND(VLOOKUP($D487+3,Berechnungen!$A$37:$F$66,5),0)</f>
        <v>19</v>
      </c>
      <c r="Y487" s="348">
        <v>2</v>
      </c>
      <c r="Z487" s="378">
        <v>8</v>
      </c>
      <c r="AA487" s="306"/>
      <c r="AB487" s="306"/>
      <c r="AC487" s="307"/>
      <c r="AD487" s="307"/>
      <c r="AE487" s="307"/>
      <c r="AF487" s="308"/>
    </row>
    <row r="488" spans="1:32" s="294" customFormat="1" outlineLevel="1" x14ac:dyDescent="0.2">
      <c r="A488" s="293">
        <v>2342</v>
      </c>
      <c r="B488" s="177" t="s">
        <v>605</v>
      </c>
      <c r="C488" s="177" t="s">
        <v>53</v>
      </c>
      <c r="D488" s="178">
        <v>24</v>
      </c>
      <c r="E488" s="316" t="s">
        <v>199</v>
      </c>
      <c r="F488" s="56"/>
      <c r="G488" s="177">
        <v>8</v>
      </c>
      <c r="H488" s="178">
        <v>2</v>
      </c>
      <c r="I488" s="178">
        <v>12</v>
      </c>
      <c r="J488" s="177">
        <v>100</v>
      </c>
      <c r="K488" s="317">
        <v>2400</v>
      </c>
      <c r="L488" s="178"/>
      <c r="M488" s="179"/>
      <c r="N488" s="299">
        <f>VLOOKUP(A488,Baupläne!$B$2:$X$1019,23,FALSE)</f>
        <v>42300</v>
      </c>
      <c r="O488" s="379"/>
      <c r="Q488" s="301"/>
      <c r="R488" s="306"/>
      <c r="S488" s="301"/>
      <c r="T488" s="302"/>
      <c r="U488" s="301"/>
      <c r="V488" s="301"/>
      <c r="W488" s="303">
        <f>ROUND($X487*Berechnungen!$B$92,1)</f>
        <v>5.7</v>
      </c>
      <c r="X488" s="788"/>
      <c r="Y488" s="348">
        <v>3</v>
      </c>
      <c r="Z488" s="378">
        <v>12</v>
      </c>
      <c r="AA488" s="306"/>
      <c r="AB488" s="306"/>
      <c r="AC488" s="307"/>
      <c r="AD488" s="307"/>
      <c r="AE488" s="307"/>
      <c r="AF488" s="308"/>
    </row>
    <row r="489" spans="1:32" s="294" customFormat="1" outlineLevel="1" x14ac:dyDescent="0.2">
      <c r="A489" s="293">
        <v>2343</v>
      </c>
      <c r="B489" s="177" t="s">
        <v>606</v>
      </c>
      <c r="C489" s="177" t="s">
        <v>53</v>
      </c>
      <c r="D489" s="178">
        <v>25</v>
      </c>
      <c r="E489" s="316" t="s">
        <v>199</v>
      </c>
      <c r="F489" s="56"/>
      <c r="G489" s="177">
        <v>8</v>
      </c>
      <c r="H489" s="178">
        <v>2</v>
      </c>
      <c r="I489" s="178">
        <v>13</v>
      </c>
      <c r="J489" s="177">
        <v>100</v>
      </c>
      <c r="K489" s="317">
        <v>1200</v>
      </c>
      <c r="L489" s="178"/>
      <c r="M489" s="179"/>
      <c r="N489" s="299">
        <f>VLOOKUP(A489,Baupläne!$B$2:$X$1019,23,FALSE)</f>
        <v>26500</v>
      </c>
      <c r="O489" s="379"/>
      <c r="Q489" s="301"/>
      <c r="R489" s="306"/>
      <c r="S489" s="301"/>
      <c r="T489" s="302"/>
      <c r="U489" s="301"/>
      <c r="V489" s="301"/>
      <c r="W489" s="303">
        <f>ROUND($X487*Berechnungen!$B$93,1)</f>
        <v>2.9</v>
      </c>
      <c r="X489" s="788"/>
      <c r="Y489" s="348">
        <v>1.5</v>
      </c>
      <c r="Z489" s="378">
        <v>6</v>
      </c>
      <c r="AA489" s="306"/>
      <c r="AB489" s="306"/>
      <c r="AC489" s="307"/>
      <c r="AD489" s="307"/>
      <c r="AE489" s="307"/>
      <c r="AF489" s="308"/>
    </row>
    <row r="490" spans="1:32" s="294" customFormat="1" outlineLevel="1" x14ac:dyDescent="0.2">
      <c r="A490" s="293">
        <v>2344</v>
      </c>
      <c r="B490" s="177" t="s">
        <v>607</v>
      </c>
      <c r="C490" s="177" t="s">
        <v>53</v>
      </c>
      <c r="D490" s="178">
        <v>25</v>
      </c>
      <c r="E490" s="316" t="s">
        <v>199</v>
      </c>
      <c r="F490" s="56"/>
      <c r="G490" s="177">
        <v>8</v>
      </c>
      <c r="H490" s="178">
        <v>2</v>
      </c>
      <c r="I490" s="178">
        <v>14</v>
      </c>
      <c r="J490" s="177">
        <v>100</v>
      </c>
      <c r="K490" s="317">
        <v>1600</v>
      </c>
      <c r="L490" s="178"/>
      <c r="M490" s="179"/>
      <c r="N490" s="299">
        <f>VLOOKUP(A490,Baupläne!$B$2:$X$1019,23,FALSE)</f>
        <v>33600</v>
      </c>
      <c r="O490" s="379"/>
      <c r="Q490" s="301"/>
      <c r="R490" s="306"/>
      <c r="S490" s="301"/>
      <c r="T490" s="302"/>
      <c r="U490" s="301"/>
      <c r="V490" s="301"/>
      <c r="W490" s="303">
        <f>ROUND($X487*Berechnungen!$B$94,1)</f>
        <v>3.8</v>
      </c>
      <c r="X490" s="788"/>
      <c r="Y490" s="348">
        <v>2</v>
      </c>
      <c r="Z490" s="378">
        <v>8</v>
      </c>
      <c r="AA490" s="306"/>
      <c r="AB490" s="306"/>
      <c r="AC490" s="307"/>
      <c r="AD490" s="307"/>
      <c r="AE490" s="307"/>
      <c r="AF490" s="308"/>
    </row>
    <row r="491" spans="1:32" s="294" customFormat="1" outlineLevel="1" x14ac:dyDescent="0.2">
      <c r="A491" s="293">
        <v>2345</v>
      </c>
      <c r="B491" s="177" t="s">
        <v>608</v>
      </c>
      <c r="C491" s="177" t="s">
        <v>53</v>
      </c>
      <c r="D491" s="351">
        <v>25</v>
      </c>
      <c r="E491" s="316" t="s">
        <v>199</v>
      </c>
      <c r="F491" s="56"/>
      <c r="G491" s="177">
        <v>8</v>
      </c>
      <c r="H491" s="178">
        <v>2</v>
      </c>
      <c r="I491" s="178">
        <v>15</v>
      </c>
      <c r="J491" s="177">
        <v>100</v>
      </c>
      <c r="K491" s="317">
        <v>1200</v>
      </c>
      <c r="L491" s="178"/>
      <c r="M491" s="179"/>
      <c r="N491" s="299">
        <f>VLOOKUP(A491,Baupläne!$B$2:$X$1019,23,FALSE)</f>
        <v>26500</v>
      </c>
      <c r="O491" s="382"/>
      <c r="P491" s="356"/>
      <c r="Q491" s="357"/>
      <c r="R491" s="358"/>
      <c r="S491" s="301"/>
      <c r="T491" s="302"/>
      <c r="U491" s="301"/>
      <c r="V491" s="301"/>
      <c r="W491" s="303">
        <f>ROUND($X487*Berechnungen!$B$95,1)</f>
        <v>2.9</v>
      </c>
      <c r="X491" s="788"/>
      <c r="Y491" s="348">
        <v>1.5</v>
      </c>
      <c r="Z491" s="378">
        <v>6</v>
      </c>
      <c r="AA491" s="306"/>
      <c r="AB491" s="306"/>
      <c r="AC491" s="307"/>
      <c r="AD491" s="307"/>
      <c r="AE491" s="307"/>
      <c r="AF491" s="308"/>
    </row>
    <row r="492" spans="1:32" x14ac:dyDescent="0.2">
      <c r="A492" s="271"/>
      <c r="B492" s="272" t="s">
        <v>186</v>
      </c>
      <c r="C492" s="321"/>
      <c r="D492" s="322"/>
      <c r="E492" s="365"/>
      <c r="F492" s="366"/>
      <c r="G492" s="321"/>
      <c r="H492" s="322"/>
      <c r="I492" s="322"/>
      <c r="J492" s="321"/>
      <c r="K492" s="325"/>
      <c r="L492" s="322"/>
      <c r="M492" s="326"/>
      <c r="N492" s="327"/>
      <c r="O492" s="383"/>
      <c r="P492" s="384"/>
      <c r="Q492" s="385"/>
      <c r="R492" s="386"/>
      <c r="S492" s="281"/>
      <c r="T492" s="282"/>
      <c r="U492" s="281"/>
      <c r="V492" s="281"/>
      <c r="W492" s="283"/>
      <c r="X492" s="284"/>
      <c r="Y492" s="285"/>
      <c r="Z492" s="387"/>
      <c r="AA492" s="287"/>
      <c r="AB492" s="287"/>
      <c r="AC492" s="288"/>
      <c r="AD492" s="288"/>
      <c r="AE492" s="288"/>
      <c r="AF492" s="289"/>
    </row>
    <row r="493" spans="1:32" ht="12.75" customHeight="1" outlineLevel="1" x14ac:dyDescent="0.2">
      <c r="A493" s="5">
        <v>1401</v>
      </c>
      <c r="B493" s="3" t="s">
        <v>609</v>
      </c>
      <c r="C493" s="3" t="s">
        <v>54</v>
      </c>
      <c r="D493" s="54">
        <v>1</v>
      </c>
      <c r="E493" s="331" t="s">
        <v>186</v>
      </c>
      <c r="F493" s="56"/>
      <c r="G493" s="3">
        <v>9</v>
      </c>
      <c r="H493" s="54">
        <v>1</v>
      </c>
      <c r="I493" s="54">
        <v>11</v>
      </c>
      <c r="J493" s="3">
        <v>100</v>
      </c>
      <c r="K493" s="57">
        <v>3200</v>
      </c>
      <c r="L493" s="54"/>
      <c r="M493" s="58">
        <v>1</v>
      </c>
      <c r="N493" s="59">
        <f>VLOOKUP(A493,Baupläne!$B$2:$X$1019,23,FALSE)</f>
        <v>1000</v>
      </c>
      <c r="W493" s="17">
        <f>ROUND($X493*Berechnungen!$B$91,1)</f>
        <v>0.8</v>
      </c>
      <c r="X493" s="787">
        <f>ROUND(VLOOKUP($D493,Berechnungen!$A$37:$F$61,6),0)</f>
        <v>4</v>
      </c>
      <c r="Y493" s="332">
        <v>4</v>
      </c>
      <c r="Z493" s="367">
        <v>16</v>
      </c>
      <c r="AC493" s="227"/>
      <c r="AD493" s="227"/>
      <c r="AE493" s="227"/>
      <c r="AF493" s="228"/>
    </row>
    <row r="494" spans="1:32" outlineLevel="1" x14ac:dyDescent="0.2">
      <c r="A494" s="5">
        <v>1402</v>
      </c>
      <c r="B494" s="3" t="s">
        <v>610</v>
      </c>
      <c r="C494" s="3" t="s">
        <v>54</v>
      </c>
      <c r="D494" s="54">
        <v>1</v>
      </c>
      <c r="E494" s="55" t="s">
        <v>186</v>
      </c>
      <c r="F494" s="56"/>
      <c r="G494" s="3">
        <v>9</v>
      </c>
      <c r="H494" s="54">
        <v>1</v>
      </c>
      <c r="I494" s="54">
        <v>12</v>
      </c>
      <c r="J494" s="3">
        <v>100</v>
      </c>
      <c r="K494" s="57">
        <v>4800</v>
      </c>
      <c r="L494" s="54"/>
      <c r="M494" s="58">
        <v>1</v>
      </c>
      <c r="N494" s="59">
        <f>VLOOKUP(A494,Baupläne!$B$2:$X$1019,23,FALSE)</f>
        <v>1500</v>
      </c>
      <c r="W494" s="17">
        <f>ROUND($X493*Berechnungen!$B$92,1)</f>
        <v>1.2</v>
      </c>
      <c r="X494" s="787"/>
      <c r="Y494" s="332">
        <v>6</v>
      </c>
      <c r="Z494" s="367">
        <v>24</v>
      </c>
      <c r="AC494" s="227"/>
      <c r="AD494" s="227"/>
      <c r="AE494" s="227"/>
      <c r="AF494" s="228"/>
    </row>
    <row r="495" spans="1:32" outlineLevel="1" x14ac:dyDescent="0.2">
      <c r="A495" s="5">
        <v>1403</v>
      </c>
      <c r="B495" s="3" t="s">
        <v>611</v>
      </c>
      <c r="C495" s="3" t="s">
        <v>54</v>
      </c>
      <c r="D495" s="54">
        <v>2</v>
      </c>
      <c r="E495" s="55" t="s">
        <v>186</v>
      </c>
      <c r="F495" s="56"/>
      <c r="G495" s="3">
        <v>9</v>
      </c>
      <c r="H495" s="54">
        <v>1</v>
      </c>
      <c r="I495" s="54">
        <v>13</v>
      </c>
      <c r="J495" s="3">
        <v>100</v>
      </c>
      <c r="K495" s="57">
        <v>2400</v>
      </c>
      <c r="L495" s="54"/>
      <c r="M495" s="58">
        <v>1</v>
      </c>
      <c r="N495" s="59">
        <f>VLOOKUP(A495,Baupläne!$B$2:$X$1019,23,FALSE)</f>
        <v>900</v>
      </c>
      <c r="W495" s="17">
        <f>ROUND($X493*Berechnungen!$B$93,1)</f>
        <v>0.6</v>
      </c>
      <c r="X495" s="787"/>
      <c r="Y495" s="332">
        <v>3</v>
      </c>
      <c r="Z495" s="367">
        <v>12</v>
      </c>
      <c r="AC495" s="227"/>
      <c r="AD495" s="227"/>
      <c r="AE495" s="227"/>
      <c r="AF495" s="228"/>
    </row>
    <row r="496" spans="1:32" outlineLevel="1" x14ac:dyDescent="0.2">
      <c r="A496" s="5">
        <v>1404</v>
      </c>
      <c r="B496" s="3" t="s">
        <v>612</v>
      </c>
      <c r="C496" s="3" t="s">
        <v>54</v>
      </c>
      <c r="D496" s="54">
        <v>2</v>
      </c>
      <c r="E496" s="55" t="s">
        <v>186</v>
      </c>
      <c r="F496" s="56"/>
      <c r="G496" s="3">
        <v>9</v>
      </c>
      <c r="H496" s="54">
        <v>1</v>
      </c>
      <c r="I496" s="54">
        <v>14</v>
      </c>
      <c r="J496" s="3">
        <v>100</v>
      </c>
      <c r="K496" s="57">
        <v>3200</v>
      </c>
      <c r="L496" s="54"/>
      <c r="M496" s="58">
        <v>1</v>
      </c>
      <c r="N496" s="59">
        <f>VLOOKUP(A496,Baupläne!$B$2:$X$1019,23,FALSE)</f>
        <v>1200</v>
      </c>
      <c r="W496" s="17">
        <f>ROUND($X493*Berechnungen!$B$94,1)</f>
        <v>0.8</v>
      </c>
      <c r="X496" s="787"/>
      <c r="Y496" s="332">
        <v>4</v>
      </c>
      <c r="Z496" s="367">
        <v>16</v>
      </c>
      <c r="AC496" s="227"/>
      <c r="AD496" s="227"/>
      <c r="AE496" s="227"/>
      <c r="AF496" s="228"/>
    </row>
    <row r="497" spans="1:32" outlineLevel="1" x14ac:dyDescent="0.2">
      <c r="A497" s="5">
        <v>1405</v>
      </c>
      <c r="B497" s="3" t="s">
        <v>613</v>
      </c>
      <c r="C497" s="3" t="s">
        <v>54</v>
      </c>
      <c r="D497" s="54">
        <v>2</v>
      </c>
      <c r="E497" s="55" t="s">
        <v>186</v>
      </c>
      <c r="F497" s="56"/>
      <c r="G497" s="3">
        <v>9</v>
      </c>
      <c r="H497" s="54">
        <v>1</v>
      </c>
      <c r="I497" s="54">
        <v>15</v>
      </c>
      <c r="J497" s="3">
        <v>100</v>
      </c>
      <c r="K497" s="57">
        <v>2400</v>
      </c>
      <c r="L497" s="54"/>
      <c r="M497" s="58">
        <v>1</v>
      </c>
      <c r="N497" s="59">
        <f>VLOOKUP(A497,Baupläne!$B$2:$X$1019,23,FALSE)</f>
        <v>900</v>
      </c>
      <c r="W497" s="17">
        <f>ROUND($X493*Berechnungen!$B$95,1)</f>
        <v>0.6</v>
      </c>
      <c r="X497" s="787"/>
      <c r="Y497" s="332">
        <v>3</v>
      </c>
      <c r="Z497" s="367">
        <v>12</v>
      </c>
      <c r="AC497" s="227"/>
      <c r="AD497" s="227"/>
      <c r="AE497" s="227"/>
      <c r="AF497" s="228"/>
    </row>
    <row r="498" spans="1:32" ht="12.75" customHeight="1" outlineLevel="1" x14ac:dyDescent="0.2">
      <c r="A498" s="5">
        <v>1406</v>
      </c>
      <c r="B498" s="3" t="s">
        <v>614</v>
      </c>
      <c r="C498" s="3" t="s">
        <v>54</v>
      </c>
      <c r="D498" s="54">
        <v>4</v>
      </c>
      <c r="E498" s="55" t="s">
        <v>186</v>
      </c>
      <c r="F498" s="56"/>
      <c r="G498" s="3">
        <v>9</v>
      </c>
      <c r="H498" s="54">
        <v>1</v>
      </c>
      <c r="I498" s="54">
        <v>11</v>
      </c>
      <c r="J498" s="3">
        <v>100</v>
      </c>
      <c r="K498" s="57">
        <v>3600</v>
      </c>
      <c r="L498" s="54"/>
      <c r="M498" s="58">
        <v>1</v>
      </c>
      <c r="N498" s="59">
        <f>VLOOKUP(A498,Baupläne!$B$2:$X$1019,23,FALSE)</f>
        <v>1500</v>
      </c>
      <c r="W498" s="17">
        <f>ROUND($X498*Berechnungen!$B$91,1)</f>
        <v>1.2</v>
      </c>
      <c r="X498" s="787">
        <f>ROUND(VLOOKUP($D498,Berechnungen!$A$37:$F$61,6),0)</f>
        <v>6</v>
      </c>
      <c r="Y498" s="332">
        <v>4</v>
      </c>
      <c r="Z498" s="367">
        <v>16</v>
      </c>
      <c r="AC498" s="227"/>
      <c r="AD498" s="227"/>
      <c r="AE498" s="227"/>
      <c r="AF498" s="228"/>
    </row>
    <row r="499" spans="1:32" outlineLevel="1" x14ac:dyDescent="0.2">
      <c r="A499" s="5">
        <v>1407</v>
      </c>
      <c r="B499" s="3" t="s">
        <v>615</v>
      </c>
      <c r="C499" s="3" t="s">
        <v>54</v>
      </c>
      <c r="D499" s="54">
        <v>4</v>
      </c>
      <c r="E499" s="55" t="s">
        <v>186</v>
      </c>
      <c r="F499" s="56"/>
      <c r="G499" s="3">
        <v>9</v>
      </c>
      <c r="H499" s="54">
        <v>1</v>
      </c>
      <c r="I499" s="54">
        <v>12</v>
      </c>
      <c r="J499" s="3">
        <v>100</v>
      </c>
      <c r="K499" s="57">
        <v>5400</v>
      </c>
      <c r="L499" s="54"/>
      <c r="M499" s="58">
        <v>1</v>
      </c>
      <c r="N499" s="59">
        <f>VLOOKUP(A499,Baupläne!$B$2:$X$1019,23,FALSE)</f>
        <v>2300</v>
      </c>
      <c r="W499" s="17">
        <f>ROUND($X498*Berechnungen!$B$92,1)</f>
        <v>1.8</v>
      </c>
      <c r="X499" s="787"/>
      <c r="Y499" s="332">
        <v>6</v>
      </c>
      <c r="Z499" s="367">
        <v>24</v>
      </c>
      <c r="AC499" s="227"/>
      <c r="AD499" s="227"/>
      <c r="AE499" s="227"/>
      <c r="AF499" s="228"/>
    </row>
    <row r="500" spans="1:32" outlineLevel="1" x14ac:dyDescent="0.2">
      <c r="A500" s="5">
        <v>1408</v>
      </c>
      <c r="B500" s="3" t="s">
        <v>616</v>
      </c>
      <c r="C500" s="3" t="s">
        <v>54</v>
      </c>
      <c r="D500" s="54">
        <v>5</v>
      </c>
      <c r="E500" s="55" t="s">
        <v>186</v>
      </c>
      <c r="F500" s="56"/>
      <c r="G500" s="3">
        <v>9</v>
      </c>
      <c r="H500" s="54">
        <v>1</v>
      </c>
      <c r="I500" s="54">
        <v>13</v>
      </c>
      <c r="J500" s="3">
        <v>100</v>
      </c>
      <c r="K500" s="57">
        <v>2700</v>
      </c>
      <c r="L500" s="54"/>
      <c r="M500" s="58">
        <v>1</v>
      </c>
      <c r="N500" s="59">
        <f>VLOOKUP(A500,Baupläne!$B$2:$X$1019,23,FALSE)</f>
        <v>1300</v>
      </c>
      <c r="W500" s="17">
        <f>ROUND($X498*Berechnungen!$B$93,1)</f>
        <v>0.9</v>
      </c>
      <c r="X500" s="787"/>
      <c r="Y500" s="332">
        <v>3</v>
      </c>
      <c r="Z500" s="367">
        <v>12</v>
      </c>
      <c r="AC500" s="227"/>
      <c r="AD500" s="227"/>
      <c r="AE500" s="227"/>
      <c r="AF500" s="228"/>
    </row>
    <row r="501" spans="1:32" outlineLevel="1" x14ac:dyDescent="0.2">
      <c r="A501" s="5">
        <v>1409</v>
      </c>
      <c r="B501" s="3" t="s">
        <v>617</v>
      </c>
      <c r="C501" s="3" t="s">
        <v>54</v>
      </c>
      <c r="D501" s="54">
        <v>5</v>
      </c>
      <c r="E501" s="55" t="s">
        <v>186</v>
      </c>
      <c r="F501" s="56"/>
      <c r="G501" s="3">
        <v>9</v>
      </c>
      <c r="H501" s="54">
        <v>1</v>
      </c>
      <c r="I501" s="54">
        <v>14</v>
      </c>
      <c r="J501" s="3">
        <v>100</v>
      </c>
      <c r="K501" s="57">
        <v>3600</v>
      </c>
      <c r="L501" s="54"/>
      <c r="M501" s="58">
        <v>1</v>
      </c>
      <c r="N501" s="59">
        <f>VLOOKUP(A501,Baupläne!$B$2:$X$1019,23,FALSE)</f>
        <v>1700</v>
      </c>
      <c r="W501" s="17">
        <f>ROUND($X498*Berechnungen!$B$94,1)</f>
        <v>1.2</v>
      </c>
      <c r="X501" s="787"/>
      <c r="Y501" s="332">
        <v>4</v>
      </c>
      <c r="Z501" s="367">
        <v>16</v>
      </c>
      <c r="AC501" s="227"/>
      <c r="AD501" s="227"/>
      <c r="AE501" s="227"/>
      <c r="AF501" s="228"/>
    </row>
    <row r="502" spans="1:32" outlineLevel="1" x14ac:dyDescent="0.2">
      <c r="A502" s="5">
        <v>1410</v>
      </c>
      <c r="B502" s="334" t="s">
        <v>618</v>
      </c>
      <c r="C502" s="334" t="s">
        <v>54</v>
      </c>
      <c r="D502" s="335">
        <v>5</v>
      </c>
      <c r="E502" s="336" t="s">
        <v>186</v>
      </c>
      <c r="F502" s="337"/>
      <c r="G502" s="334">
        <v>9</v>
      </c>
      <c r="H502" s="335">
        <v>1</v>
      </c>
      <c r="I502" s="335">
        <v>15</v>
      </c>
      <c r="J502" s="334">
        <v>100</v>
      </c>
      <c r="K502" s="338">
        <v>2700</v>
      </c>
      <c r="L502" s="335"/>
      <c r="M502" s="339">
        <v>1</v>
      </c>
      <c r="N502" s="59">
        <f>VLOOKUP(A502,Baupläne!$B$2:$X$1019,23,FALSE)</f>
        <v>1300</v>
      </c>
      <c r="O502" s="340"/>
      <c r="P502" s="235"/>
      <c r="Q502" s="231"/>
      <c r="R502" s="236"/>
      <c r="S502" s="231"/>
      <c r="T502" s="230"/>
      <c r="U502" s="231"/>
      <c r="V502" s="231"/>
      <c r="W502" s="17">
        <f>ROUND($X498*Berechnungen!$B$95,1)</f>
        <v>0.9</v>
      </c>
      <c r="X502" s="787"/>
      <c r="Y502" s="332">
        <v>3</v>
      </c>
      <c r="Z502" s="367">
        <v>12</v>
      </c>
      <c r="AC502" s="343"/>
      <c r="AD502" s="343"/>
      <c r="AE502" s="343"/>
      <c r="AF502" s="344"/>
    </row>
    <row r="503" spans="1:32" ht="12.75" customHeight="1" outlineLevel="1" x14ac:dyDescent="0.2">
      <c r="A503" s="5">
        <v>1411</v>
      </c>
      <c r="B503" s="3" t="s">
        <v>619</v>
      </c>
      <c r="C503" s="3" t="s">
        <v>54</v>
      </c>
      <c r="D503" s="54">
        <v>6</v>
      </c>
      <c r="E503" s="331" t="s">
        <v>186</v>
      </c>
      <c r="F503" s="56"/>
      <c r="G503" s="3">
        <v>9</v>
      </c>
      <c r="H503" s="54">
        <v>1</v>
      </c>
      <c r="I503" s="54">
        <v>11</v>
      </c>
      <c r="J503" s="3">
        <v>100</v>
      </c>
      <c r="K503" s="57">
        <v>3200</v>
      </c>
      <c r="L503" s="54"/>
      <c r="M503" s="58">
        <v>2</v>
      </c>
      <c r="N503" s="59">
        <f>VLOOKUP(A503,Baupläne!$B$2:$X$1019,23,FALSE)</f>
        <v>2000</v>
      </c>
      <c r="W503" s="17">
        <f>ROUND($X503*Berechnungen!$B$91,1)</f>
        <v>1.4</v>
      </c>
      <c r="X503" s="787">
        <f>ROUND(VLOOKUP($D503,Berechnungen!$A$37:$F$61,6),0)</f>
        <v>7</v>
      </c>
      <c r="Y503" s="332">
        <v>4</v>
      </c>
      <c r="Z503" s="367">
        <v>16</v>
      </c>
      <c r="AC503" s="227"/>
      <c r="AD503" s="227"/>
      <c r="AE503" s="227"/>
      <c r="AF503" s="228"/>
    </row>
    <row r="504" spans="1:32" outlineLevel="1" x14ac:dyDescent="0.2">
      <c r="A504" s="5">
        <v>1412</v>
      </c>
      <c r="B504" s="3" t="s">
        <v>620</v>
      </c>
      <c r="C504" s="3" t="s">
        <v>54</v>
      </c>
      <c r="D504" s="54">
        <v>6</v>
      </c>
      <c r="E504" s="55" t="s">
        <v>186</v>
      </c>
      <c r="F504" s="56"/>
      <c r="G504" s="3">
        <v>9</v>
      </c>
      <c r="H504" s="54">
        <v>1</v>
      </c>
      <c r="I504" s="54">
        <v>12</v>
      </c>
      <c r="J504" s="3">
        <v>100</v>
      </c>
      <c r="K504" s="57">
        <v>4800</v>
      </c>
      <c r="L504" s="54"/>
      <c r="M504" s="58">
        <v>2</v>
      </c>
      <c r="N504" s="59">
        <f>VLOOKUP(A504,Baupläne!$B$2:$X$1019,23,FALSE)</f>
        <v>3000</v>
      </c>
      <c r="W504" s="17">
        <f>ROUND($X503*Berechnungen!$B$92,1)</f>
        <v>2.1</v>
      </c>
      <c r="X504" s="787"/>
      <c r="Y504" s="332">
        <v>6</v>
      </c>
      <c r="Z504" s="367">
        <v>24</v>
      </c>
      <c r="AC504" s="227"/>
      <c r="AD504" s="227"/>
      <c r="AE504" s="227"/>
      <c r="AF504" s="228"/>
    </row>
    <row r="505" spans="1:32" outlineLevel="1" x14ac:dyDescent="0.2">
      <c r="A505" s="5">
        <v>1413</v>
      </c>
      <c r="B505" s="3" t="s">
        <v>621</v>
      </c>
      <c r="C505" s="3" t="s">
        <v>54</v>
      </c>
      <c r="D505" s="54">
        <v>7</v>
      </c>
      <c r="E505" s="55" t="s">
        <v>186</v>
      </c>
      <c r="F505" s="56"/>
      <c r="G505" s="3">
        <v>9</v>
      </c>
      <c r="H505" s="54">
        <v>1</v>
      </c>
      <c r="I505" s="54">
        <v>13</v>
      </c>
      <c r="J505" s="3">
        <v>100</v>
      </c>
      <c r="K505" s="57">
        <v>2400</v>
      </c>
      <c r="L505" s="54"/>
      <c r="M505" s="58">
        <v>2</v>
      </c>
      <c r="N505" s="59">
        <f>VLOOKUP(A505,Baupläne!$B$2:$X$1019,23,FALSE)</f>
        <v>1700</v>
      </c>
      <c r="W505" s="17">
        <f>ROUND($X503*Berechnungen!$B$93,1)</f>
        <v>1.1000000000000001</v>
      </c>
      <c r="X505" s="787"/>
      <c r="Y505" s="332">
        <v>3</v>
      </c>
      <c r="Z505" s="367">
        <v>12</v>
      </c>
      <c r="AC505" s="227"/>
      <c r="AD505" s="227"/>
      <c r="AE505" s="227"/>
      <c r="AF505" s="228"/>
    </row>
    <row r="506" spans="1:32" outlineLevel="1" x14ac:dyDescent="0.2">
      <c r="A506" s="5">
        <v>1414</v>
      </c>
      <c r="B506" s="3" t="s">
        <v>622</v>
      </c>
      <c r="C506" s="3" t="s">
        <v>54</v>
      </c>
      <c r="D506" s="54">
        <v>7</v>
      </c>
      <c r="E506" s="55" t="s">
        <v>186</v>
      </c>
      <c r="F506" s="56"/>
      <c r="G506" s="3">
        <v>9</v>
      </c>
      <c r="H506" s="54">
        <v>1</v>
      </c>
      <c r="I506" s="54">
        <v>14</v>
      </c>
      <c r="J506" s="3">
        <v>100</v>
      </c>
      <c r="K506" s="57">
        <v>3200</v>
      </c>
      <c r="L506" s="54"/>
      <c r="M506" s="58">
        <v>2</v>
      </c>
      <c r="N506" s="59">
        <f>VLOOKUP(A506,Baupläne!$B$2:$X$1019,23,FALSE)</f>
        <v>2300</v>
      </c>
      <c r="W506" s="17">
        <f>ROUND($X503*Berechnungen!$B$94,1)</f>
        <v>1.4</v>
      </c>
      <c r="X506" s="787"/>
      <c r="Y506" s="332">
        <v>4</v>
      </c>
      <c r="Z506" s="367">
        <v>16</v>
      </c>
      <c r="AC506" s="227"/>
      <c r="AD506" s="227"/>
      <c r="AE506" s="227"/>
      <c r="AF506" s="228"/>
    </row>
    <row r="507" spans="1:32" outlineLevel="1" x14ac:dyDescent="0.2">
      <c r="A507" s="5">
        <v>1415</v>
      </c>
      <c r="B507" s="3" t="s">
        <v>623</v>
      </c>
      <c r="C507" s="3" t="s">
        <v>54</v>
      </c>
      <c r="D507" s="54">
        <v>7</v>
      </c>
      <c r="E507" s="55" t="s">
        <v>186</v>
      </c>
      <c r="F507" s="56"/>
      <c r="G507" s="3">
        <v>9</v>
      </c>
      <c r="H507" s="54">
        <v>1</v>
      </c>
      <c r="I507" s="54">
        <v>15</v>
      </c>
      <c r="J507" s="3">
        <v>100</v>
      </c>
      <c r="K507" s="57">
        <v>2400</v>
      </c>
      <c r="L507" s="54"/>
      <c r="M507" s="58">
        <v>2</v>
      </c>
      <c r="N507" s="59">
        <f>VLOOKUP(A507,Baupläne!$B$2:$X$1019,23,FALSE)</f>
        <v>1700</v>
      </c>
      <c r="W507" s="17">
        <f>ROUND($X503*Berechnungen!$B$95,1)</f>
        <v>1.1000000000000001</v>
      </c>
      <c r="X507" s="787"/>
      <c r="Y507" s="332">
        <v>3</v>
      </c>
      <c r="Z507" s="367">
        <v>12</v>
      </c>
      <c r="AC507" s="227"/>
      <c r="AD507" s="227"/>
      <c r="AE507" s="227"/>
      <c r="AF507" s="228"/>
    </row>
    <row r="508" spans="1:32" ht="12.75" customHeight="1" outlineLevel="1" x14ac:dyDescent="0.2">
      <c r="A508" s="5">
        <v>1416</v>
      </c>
      <c r="B508" s="3" t="s">
        <v>624</v>
      </c>
      <c r="C508" s="3" t="s">
        <v>54</v>
      </c>
      <c r="D508" s="54">
        <v>9</v>
      </c>
      <c r="E508" s="55" t="s">
        <v>186</v>
      </c>
      <c r="F508" s="56"/>
      <c r="G508" s="3">
        <v>9</v>
      </c>
      <c r="H508" s="54">
        <v>1</v>
      </c>
      <c r="I508" s="54">
        <v>11</v>
      </c>
      <c r="J508" s="3">
        <v>100</v>
      </c>
      <c r="K508" s="57">
        <v>3600</v>
      </c>
      <c r="L508" s="54"/>
      <c r="M508" s="58">
        <v>2</v>
      </c>
      <c r="N508" s="59">
        <f>VLOOKUP(A508,Baupläne!$B$2:$X$1019,23,FALSE)</f>
        <v>3100</v>
      </c>
      <c r="W508" s="17">
        <f>ROUND($X508*Berechnungen!$B$91,1)</f>
        <v>2</v>
      </c>
      <c r="X508" s="787">
        <f>ROUND(VLOOKUP($D508,Berechnungen!$A$37:$F$61,6),0)</f>
        <v>10</v>
      </c>
      <c r="Y508" s="332">
        <v>4</v>
      </c>
      <c r="Z508" s="367">
        <v>16</v>
      </c>
      <c r="AC508" s="227"/>
      <c r="AD508" s="227"/>
      <c r="AE508" s="227"/>
      <c r="AF508" s="228"/>
    </row>
    <row r="509" spans="1:32" outlineLevel="1" x14ac:dyDescent="0.2">
      <c r="A509" s="5">
        <v>1417</v>
      </c>
      <c r="B509" s="3" t="s">
        <v>625</v>
      </c>
      <c r="C509" s="3" t="s">
        <v>54</v>
      </c>
      <c r="D509" s="54">
        <v>9</v>
      </c>
      <c r="E509" s="55" t="s">
        <v>186</v>
      </c>
      <c r="F509" s="56"/>
      <c r="G509" s="3">
        <v>9</v>
      </c>
      <c r="H509" s="54">
        <v>1</v>
      </c>
      <c r="I509" s="54">
        <v>12</v>
      </c>
      <c r="J509" s="3">
        <v>100</v>
      </c>
      <c r="K509" s="57">
        <v>5400</v>
      </c>
      <c r="L509" s="54"/>
      <c r="M509" s="58">
        <v>2</v>
      </c>
      <c r="N509" s="59">
        <f>VLOOKUP(A509,Baupläne!$B$2:$X$1019,23,FALSE)</f>
        <v>4600</v>
      </c>
      <c r="W509" s="17">
        <f>ROUND($X508*Berechnungen!$B$92,1)</f>
        <v>3</v>
      </c>
      <c r="X509" s="787"/>
      <c r="Y509" s="332">
        <v>6</v>
      </c>
      <c r="Z509" s="367">
        <v>24</v>
      </c>
      <c r="AC509" s="227"/>
      <c r="AD509" s="227"/>
      <c r="AE509" s="227"/>
      <c r="AF509" s="228"/>
    </row>
    <row r="510" spans="1:32" outlineLevel="1" x14ac:dyDescent="0.2">
      <c r="A510" s="5">
        <v>1418</v>
      </c>
      <c r="B510" s="3" t="s">
        <v>626</v>
      </c>
      <c r="C510" s="3" t="s">
        <v>54</v>
      </c>
      <c r="D510" s="54">
        <v>10</v>
      </c>
      <c r="E510" s="55" t="s">
        <v>186</v>
      </c>
      <c r="F510" s="56"/>
      <c r="G510" s="3">
        <v>9</v>
      </c>
      <c r="H510" s="54">
        <v>1</v>
      </c>
      <c r="I510" s="54">
        <v>13</v>
      </c>
      <c r="J510" s="3">
        <v>100</v>
      </c>
      <c r="K510" s="57">
        <v>2700</v>
      </c>
      <c r="L510" s="54"/>
      <c r="M510" s="58">
        <v>2</v>
      </c>
      <c r="N510" s="59">
        <f>VLOOKUP(A510,Baupläne!$B$2:$X$1019,23,FALSE)</f>
        <v>2600</v>
      </c>
      <c r="W510" s="17">
        <f>ROUND($X508*Berechnungen!$B$93,1)</f>
        <v>1.5</v>
      </c>
      <c r="X510" s="787"/>
      <c r="Y510" s="332">
        <v>3</v>
      </c>
      <c r="Z510" s="367">
        <v>12</v>
      </c>
      <c r="AC510" s="227"/>
      <c r="AD510" s="227"/>
      <c r="AE510" s="227"/>
      <c r="AF510" s="228"/>
    </row>
    <row r="511" spans="1:32" outlineLevel="1" x14ac:dyDescent="0.2">
      <c r="A511" s="5">
        <v>1419</v>
      </c>
      <c r="B511" s="3" t="s">
        <v>627</v>
      </c>
      <c r="C511" s="3" t="s">
        <v>54</v>
      </c>
      <c r="D511" s="54">
        <v>10</v>
      </c>
      <c r="E511" s="55" t="s">
        <v>186</v>
      </c>
      <c r="F511" s="56"/>
      <c r="G511" s="3">
        <v>9</v>
      </c>
      <c r="H511" s="54">
        <v>1</v>
      </c>
      <c r="I511" s="54">
        <v>14</v>
      </c>
      <c r="J511" s="3">
        <v>100</v>
      </c>
      <c r="K511" s="57">
        <v>3600</v>
      </c>
      <c r="L511" s="54"/>
      <c r="M511" s="58">
        <v>2</v>
      </c>
      <c r="N511" s="59">
        <f>VLOOKUP(A511,Baupläne!$B$2:$X$1019,23,FALSE)</f>
        <v>3500</v>
      </c>
      <c r="W511" s="17">
        <f>ROUND($X508*Berechnungen!$B$94,1)</f>
        <v>2</v>
      </c>
      <c r="X511" s="787"/>
      <c r="Y511" s="332">
        <v>4</v>
      </c>
      <c r="Z511" s="367">
        <v>16</v>
      </c>
      <c r="AC511" s="227"/>
      <c r="AD511" s="227"/>
      <c r="AE511" s="227"/>
      <c r="AF511" s="228"/>
    </row>
    <row r="512" spans="1:32" outlineLevel="1" x14ac:dyDescent="0.2">
      <c r="A512" s="5">
        <v>1420</v>
      </c>
      <c r="B512" s="334" t="s">
        <v>628</v>
      </c>
      <c r="C512" s="334" t="s">
        <v>54</v>
      </c>
      <c r="D512" s="335">
        <v>10</v>
      </c>
      <c r="E512" s="336" t="s">
        <v>186</v>
      </c>
      <c r="F512" s="337"/>
      <c r="G512" s="334">
        <v>9</v>
      </c>
      <c r="H512" s="335">
        <v>1</v>
      </c>
      <c r="I512" s="335">
        <v>15</v>
      </c>
      <c r="J512" s="334">
        <v>100</v>
      </c>
      <c r="K512" s="338">
        <v>2700</v>
      </c>
      <c r="L512" s="335"/>
      <c r="M512" s="339">
        <v>2</v>
      </c>
      <c r="N512" s="59">
        <f>VLOOKUP(A512,Baupläne!$B$2:$X$1019,23,FALSE)</f>
        <v>2600</v>
      </c>
      <c r="O512" s="340"/>
      <c r="P512" s="235"/>
      <c r="Q512" s="231"/>
      <c r="R512" s="236"/>
      <c r="S512" s="231"/>
      <c r="T512" s="230"/>
      <c r="U512" s="231"/>
      <c r="V512" s="231"/>
      <c r="W512" s="17">
        <f>ROUND($X508*Berechnungen!$B$95,1)</f>
        <v>1.5</v>
      </c>
      <c r="X512" s="787"/>
      <c r="Y512" s="332">
        <v>3</v>
      </c>
      <c r="Z512" s="367">
        <v>12</v>
      </c>
      <c r="AC512" s="343"/>
      <c r="AD512" s="343"/>
      <c r="AE512" s="343"/>
      <c r="AF512" s="344"/>
    </row>
    <row r="513" spans="1:32" ht="12.75" customHeight="1" outlineLevel="1" x14ac:dyDescent="0.2">
      <c r="A513" s="5">
        <v>1421</v>
      </c>
      <c r="B513" s="3" t="s">
        <v>629</v>
      </c>
      <c r="C513" s="3" t="s">
        <v>54</v>
      </c>
      <c r="D513" s="54">
        <v>11</v>
      </c>
      <c r="E513" s="331" t="s">
        <v>186</v>
      </c>
      <c r="F513" s="56"/>
      <c r="G513" s="3">
        <v>9</v>
      </c>
      <c r="H513" s="54">
        <v>1</v>
      </c>
      <c r="I513" s="54">
        <v>11</v>
      </c>
      <c r="J513" s="3">
        <v>100</v>
      </c>
      <c r="K513" s="57">
        <v>3200</v>
      </c>
      <c r="L513" s="54"/>
      <c r="M513" s="58">
        <v>3</v>
      </c>
      <c r="N513" s="59">
        <f>VLOOKUP(A513,Baupläne!$B$2:$X$1019,23,FALSE)</f>
        <v>4000</v>
      </c>
      <c r="W513" s="17">
        <f>ROUND($X513*Berechnungen!$B$91,1)</f>
        <v>2.2000000000000002</v>
      </c>
      <c r="X513" s="787">
        <f>ROUND(VLOOKUP($D513,Berechnungen!$A$37:$F$61,6),0)</f>
        <v>11</v>
      </c>
      <c r="Y513" s="332">
        <v>4</v>
      </c>
      <c r="Z513" s="367">
        <v>16</v>
      </c>
      <c r="AC513" s="227"/>
      <c r="AD513" s="227"/>
      <c r="AE513" s="227"/>
      <c r="AF513" s="228"/>
    </row>
    <row r="514" spans="1:32" outlineLevel="1" x14ac:dyDescent="0.2">
      <c r="A514" s="5">
        <v>1422</v>
      </c>
      <c r="B514" s="3" t="s">
        <v>630</v>
      </c>
      <c r="C514" s="3" t="s">
        <v>54</v>
      </c>
      <c r="D514" s="54">
        <v>11</v>
      </c>
      <c r="E514" s="55" t="s">
        <v>186</v>
      </c>
      <c r="F514" s="56"/>
      <c r="G514" s="3">
        <v>9</v>
      </c>
      <c r="H514" s="54">
        <v>1</v>
      </c>
      <c r="I514" s="54">
        <v>12</v>
      </c>
      <c r="J514" s="3">
        <v>100</v>
      </c>
      <c r="K514" s="57">
        <v>4800</v>
      </c>
      <c r="L514" s="54"/>
      <c r="M514" s="58">
        <v>3</v>
      </c>
      <c r="N514" s="59">
        <f>VLOOKUP(A514,Baupläne!$B$2:$X$1019,23,FALSE)</f>
        <v>6100</v>
      </c>
      <c r="W514" s="17">
        <f>ROUND($X513*Berechnungen!$B$92,1)</f>
        <v>3.3</v>
      </c>
      <c r="X514" s="787"/>
      <c r="Y514" s="332">
        <v>6</v>
      </c>
      <c r="Z514" s="367">
        <v>24</v>
      </c>
      <c r="AC514" s="227"/>
      <c r="AD514" s="227"/>
      <c r="AE514" s="227"/>
      <c r="AF514" s="228"/>
    </row>
    <row r="515" spans="1:32" outlineLevel="1" x14ac:dyDescent="0.2">
      <c r="A515" s="5">
        <v>1423</v>
      </c>
      <c r="B515" s="3" t="s">
        <v>631</v>
      </c>
      <c r="C515" s="3" t="s">
        <v>54</v>
      </c>
      <c r="D515" s="54">
        <v>12</v>
      </c>
      <c r="E515" s="55" t="s">
        <v>186</v>
      </c>
      <c r="F515" s="56"/>
      <c r="G515" s="3">
        <v>9</v>
      </c>
      <c r="H515" s="54">
        <v>1</v>
      </c>
      <c r="I515" s="54">
        <v>13</v>
      </c>
      <c r="J515" s="3">
        <v>100</v>
      </c>
      <c r="K515" s="57">
        <v>2400</v>
      </c>
      <c r="L515" s="54"/>
      <c r="M515" s="58">
        <v>3</v>
      </c>
      <c r="N515" s="59">
        <f>VLOOKUP(A515,Baupläne!$B$2:$X$1019,23,FALSE)</f>
        <v>3500</v>
      </c>
      <c r="W515" s="17">
        <f>ROUND($X513*Berechnungen!$B$93,1)</f>
        <v>1.7</v>
      </c>
      <c r="X515" s="787"/>
      <c r="Y515" s="332">
        <v>3</v>
      </c>
      <c r="Z515" s="367">
        <v>12</v>
      </c>
      <c r="AC515" s="227"/>
      <c r="AD515" s="227"/>
      <c r="AE515" s="227"/>
      <c r="AF515" s="228"/>
    </row>
    <row r="516" spans="1:32" outlineLevel="1" x14ac:dyDescent="0.2">
      <c r="A516" s="5">
        <v>1424</v>
      </c>
      <c r="B516" s="3" t="s">
        <v>632</v>
      </c>
      <c r="C516" s="3" t="s">
        <v>54</v>
      </c>
      <c r="D516" s="54">
        <v>12</v>
      </c>
      <c r="E516" s="55" t="s">
        <v>186</v>
      </c>
      <c r="F516" s="56"/>
      <c r="G516" s="3">
        <v>9</v>
      </c>
      <c r="H516" s="54">
        <v>1</v>
      </c>
      <c r="I516" s="54">
        <v>14</v>
      </c>
      <c r="J516" s="3">
        <v>100</v>
      </c>
      <c r="K516" s="57">
        <v>3200</v>
      </c>
      <c r="L516" s="54"/>
      <c r="M516" s="58">
        <v>3</v>
      </c>
      <c r="N516" s="59">
        <f>VLOOKUP(A516,Baupläne!$B$2:$X$1019,23,FALSE)</f>
        <v>4700</v>
      </c>
      <c r="W516" s="17">
        <f>ROUND($X513*Berechnungen!$B$94,1)</f>
        <v>2.2000000000000002</v>
      </c>
      <c r="X516" s="787"/>
      <c r="Y516" s="332">
        <v>4</v>
      </c>
      <c r="Z516" s="367">
        <v>16</v>
      </c>
      <c r="AC516" s="227"/>
      <c r="AD516" s="227"/>
      <c r="AE516" s="227"/>
      <c r="AF516" s="228"/>
    </row>
    <row r="517" spans="1:32" outlineLevel="1" x14ac:dyDescent="0.2">
      <c r="A517" s="5">
        <v>1425</v>
      </c>
      <c r="B517" s="3" t="s">
        <v>633</v>
      </c>
      <c r="C517" s="3" t="s">
        <v>54</v>
      </c>
      <c r="D517" s="54">
        <v>12</v>
      </c>
      <c r="E517" s="55" t="s">
        <v>186</v>
      </c>
      <c r="F517" s="56"/>
      <c r="G517" s="3">
        <v>9</v>
      </c>
      <c r="H517" s="54">
        <v>1</v>
      </c>
      <c r="I517" s="54">
        <v>15</v>
      </c>
      <c r="J517" s="3">
        <v>100</v>
      </c>
      <c r="K517" s="57">
        <v>2400</v>
      </c>
      <c r="L517" s="54"/>
      <c r="M517" s="58">
        <v>3</v>
      </c>
      <c r="N517" s="59">
        <f>VLOOKUP(A517,Baupläne!$B$2:$X$1019,23,FALSE)</f>
        <v>3500</v>
      </c>
      <c r="W517" s="17">
        <f>ROUND($X513*Berechnungen!$B$95,1)</f>
        <v>1.7</v>
      </c>
      <c r="X517" s="787"/>
      <c r="Y517" s="332">
        <v>3</v>
      </c>
      <c r="Z517" s="367">
        <v>12</v>
      </c>
      <c r="AC517" s="227"/>
      <c r="AD517" s="227"/>
      <c r="AE517" s="227"/>
      <c r="AF517" s="228"/>
    </row>
    <row r="518" spans="1:32" ht="12.75" customHeight="1" outlineLevel="1" x14ac:dyDescent="0.2">
      <c r="A518" s="5">
        <v>1426</v>
      </c>
      <c r="B518" s="3" t="s">
        <v>634</v>
      </c>
      <c r="C518" s="3" t="s">
        <v>54</v>
      </c>
      <c r="D518" s="54">
        <v>14</v>
      </c>
      <c r="E518" s="55" t="s">
        <v>186</v>
      </c>
      <c r="F518" s="56"/>
      <c r="G518" s="3">
        <v>9</v>
      </c>
      <c r="H518" s="54">
        <v>1</v>
      </c>
      <c r="I518" s="54">
        <v>11</v>
      </c>
      <c r="J518" s="3">
        <v>100</v>
      </c>
      <c r="K518" s="57">
        <v>3600</v>
      </c>
      <c r="L518" s="54"/>
      <c r="M518" s="58">
        <v>3</v>
      </c>
      <c r="N518" s="59">
        <f>VLOOKUP(A518,Baupläne!$B$2:$X$1019,23,FALSE)</f>
        <v>6200</v>
      </c>
      <c r="W518" s="17">
        <f>ROUND($X518*Berechnungen!$B$91,1)</f>
        <v>2.8</v>
      </c>
      <c r="X518" s="787">
        <f>ROUND(VLOOKUP($D518,Berechnungen!$A$37:$F$61,6),0)</f>
        <v>14</v>
      </c>
      <c r="Y518" s="332">
        <v>4</v>
      </c>
      <c r="Z518" s="367">
        <v>16</v>
      </c>
      <c r="AC518" s="227"/>
      <c r="AD518" s="227"/>
      <c r="AE518" s="227"/>
      <c r="AF518" s="228"/>
    </row>
    <row r="519" spans="1:32" outlineLevel="1" x14ac:dyDescent="0.2">
      <c r="A519" s="5">
        <v>1427</v>
      </c>
      <c r="B519" s="3" t="s">
        <v>635</v>
      </c>
      <c r="C519" s="3" t="s">
        <v>54</v>
      </c>
      <c r="D519" s="54">
        <v>14</v>
      </c>
      <c r="E519" s="55" t="s">
        <v>186</v>
      </c>
      <c r="F519" s="56"/>
      <c r="G519" s="3">
        <v>9</v>
      </c>
      <c r="H519" s="54">
        <v>1</v>
      </c>
      <c r="I519" s="54">
        <v>12</v>
      </c>
      <c r="J519" s="3">
        <v>100</v>
      </c>
      <c r="K519" s="57">
        <v>5400</v>
      </c>
      <c r="L519" s="54"/>
      <c r="M519" s="58">
        <v>3</v>
      </c>
      <c r="N519" s="59">
        <f>VLOOKUP(A519,Baupläne!$B$2:$X$1019,23,FALSE)</f>
        <v>9200</v>
      </c>
      <c r="W519" s="17">
        <f>ROUND($X518*Berechnungen!$B$92,1)</f>
        <v>4.2</v>
      </c>
      <c r="X519" s="787"/>
      <c r="Y519" s="332">
        <v>6</v>
      </c>
      <c r="Z519" s="367">
        <v>24</v>
      </c>
      <c r="AC519" s="227"/>
      <c r="AD519" s="227"/>
      <c r="AE519" s="227"/>
      <c r="AF519" s="228"/>
    </row>
    <row r="520" spans="1:32" outlineLevel="1" x14ac:dyDescent="0.2">
      <c r="A520" s="5">
        <v>1428</v>
      </c>
      <c r="B520" s="3" t="s">
        <v>636</v>
      </c>
      <c r="C520" s="3" t="s">
        <v>54</v>
      </c>
      <c r="D520" s="54">
        <v>15</v>
      </c>
      <c r="E520" s="55" t="s">
        <v>186</v>
      </c>
      <c r="F520" s="56"/>
      <c r="G520" s="3">
        <v>9</v>
      </c>
      <c r="H520" s="54">
        <v>1</v>
      </c>
      <c r="I520" s="54">
        <v>13</v>
      </c>
      <c r="J520" s="3">
        <v>100</v>
      </c>
      <c r="K520" s="57">
        <v>2700</v>
      </c>
      <c r="L520" s="54"/>
      <c r="M520" s="58">
        <v>3</v>
      </c>
      <c r="N520" s="59">
        <f>VLOOKUP(A520,Baupläne!$B$2:$X$1019,23,FALSE)</f>
        <v>5300</v>
      </c>
      <c r="W520" s="17">
        <f>ROUND($X518*Berechnungen!$B$93,1)</f>
        <v>2.1</v>
      </c>
      <c r="X520" s="787"/>
      <c r="Y520" s="332">
        <v>3</v>
      </c>
      <c r="Z520" s="367">
        <v>12</v>
      </c>
      <c r="AC520" s="227"/>
      <c r="AD520" s="227"/>
      <c r="AE520" s="227"/>
      <c r="AF520" s="228"/>
    </row>
    <row r="521" spans="1:32" outlineLevel="1" x14ac:dyDescent="0.2">
      <c r="A521" s="5">
        <v>1429</v>
      </c>
      <c r="B521" s="3" t="s">
        <v>637</v>
      </c>
      <c r="C521" s="3" t="s">
        <v>54</v>
      </c>
      <c r="D521" s="54">
        <v>15</v>
      </c>
      <c r="E521" s="55" t="s">
        <v>186</v>
      </c>
      <c r="F521" s="56"/>
      <c r="G521" s="3">
        <v>9</v>
      </c>
      <c r="H521" s="54">
        <v>1</v>
      </c>
      <c r="I521" s="54">
        <v>14</v>
      </c>
      <c r="J521" s="3">
        <v>100</v>
      </c>
      <c r="K521" s="57">
        <v>3600</v>
      </c>
      <c r="L521" s="54"/>
      <c r="M521" s="58">
        <v>3</v>
      </c>
      <c r="N521" s="59">
        <f>VLOOKUP(A521,Baupläne!$B$2:$X$1019,23,FALSE)</f>
        <v>7100</v>
      </c>
      <c r="W521" s="17">
        <f>ROUND($X518*Berechnungen!$B$94,1)</f>
        <v>2.8</v>
      </c>
      <c r="X521" s="787"/>
      <c r="Y521" s="332">
        <v>4</v>
      </c>
      <c r="Z521" s="367">
        <v>16</v>
      </c>
      <c r="AC521" s="227"/>
      <c r="AD521" s="227"/>
      <c r="AE521" s="227"/>
      <c r="AF521" s="228"/>
    </row>
    <row r="522" spans="1:32" outlineLevel="1" x14ac:dyDescent="0.2">
      <c r="A522" s="5">
        <v>1430</v>
      </c>
      <c r="B522" s="334" t="s">
        <v>638</v>
      </c>
      <c r="C522" s="334" t="s">
        <v>54</v>
      </c>
      <c r="D522" s="335">
        <v>15</v>
      </c>
      <c r="E522" s="336" t="s">
        <v>186</v>
      </c>
      <c r="F522" s="337"/>
      <c r="G522" s="334">
        <v>9</v>
      </c>
      <c r="H522" s="335">
        <v>1</v>
      </c>
      <c r="I522" s="335">
        <v>15</v>
      </c>
      <c r="J522" s="334">
        <v>100</v>
      </c>
      <c r="K522" s="338">
        <v>2700</v>
      </c>
      <c r="L522" s="335"/>
      <c r="M522" s="339">
        <v>3</v>
      </c>
      <c r="N522" s="59">
        <f>VLOOKUP(A522,Baupläne!$B$2:$X$1019,23,FALSE)</f>
        <v>5300</v>
      </c>
      <c r="O522" s="340"/>
      <c r="P522" s="235"/>
      <c r="Q522" s="231"/>
      <c r="R522" s="236"/>
      <c r="S522" s="231"/>
      <c r="T522" s="230"/>
      <c r="U522" s="231"/>
      <c r="V522" s="231"/>
      <c r="W522" s="17">
        <f>ROUND($X518*Berechnungen!$B$95,1)</f>
        <v>2.1</v>
      </c>
      <c r="X522" s="787"/>
      <c r="Y522" s="332">
        <v>3</v>
      </c>
      <c r="Z522" s="367">
        <v>12</v>
      </c>
      <c r="AC522" s="343"/>
      <c r="AD522" s="343"/>
      <c r="AE522" s="343"/>
      <c r="AF522" s="344"/>
    </row>
    <row r="523" spans="1:32" ht="12.75" customHeight="1" outlineLevel="1" x14ac:dyDescent="0.2">
      <c r="A523" s="5">
        <v>1431</v>
      </c>
      <c r="B523" s="3" t="s">
        <v>639</v>
      </c>
      <c r="C523" s="3" t="s">
        <v>54</v>
      </c>
      <c r="D523" s="54">
        <v>16</v>
      </c>
      <c r="E523" s="331" t="s">
        <v>186</v>
      </c>
      <c r="F523" s="56"/>
      <c r="G523" s="3">
        <v>9</v>
      </c>
      <c r="H523" s="54">
        <v>1</v>
      </c>
      <c r="I523" s="54">
        <v>11</v>
      </c>
      <c r="J523" s="3">
        <v>100</v>
      </c>
      <c r="K523" s="57">
        <v>3200</v>
      </c>
      <c r="L523" s="54"/>
      <c r="M523" s="58">
        <v>4</v>
      </c>
      <c r="N523" s="59">
        <f>VLOOKUP(A523,Baupläne!$B$2:$X$1019,23,FALSE)</f>
        <v>8100</v>
      </c>
      <c r="W523" s="17">
        <f>ROUND($X523*Berechnungen!$B$91,1)</f>
        <v>3.2</v>
      </c>
      <c r="X523" s="787">
        <f>ROUND(VLOOKUP($D523,Berechnungen!$A$37:$F$61,6),0)</f>
        <v>16</v>
      </c>
      <c r="Y523" s="332">
        <v>4</v>
      </c>
      <c r="Z523" s="367">
        <v>16</v>
      </c>
      <c r="AC523" s="227"/>
      <c r="AD523" s="227"/>
      <c r="AE523" s="227"/>
      <c r="AF523" s="228"/>
    </row>
    <row r="524" spans="1:32" outlineLevel="1" x14ac:dyDescent="0.2">
      <c r="A524" s="5">
        <v>1432</v>
      </c>
      <c r="B524" s="3" t="s">
        <v>640</v>
      </c>
      <c r="C524" s="3" t="s">
        <v>54</v>
      </c>
      <c r="D524" s="54">
        <v>16</v>
      </c>
      <c r="E524" s="55" t="s">
        <v>186</v>
      </c>
      <c r="F524" s="56"/>
      <c r="G524" s="3">
        <v>9</v>
      </c>
      <c r="H524" s="54">
        <v>1</v>
      </c>
      <c r="I524" s="54">
        <v>12</v>
      </c>
      <c r="J524" s="3">
        <v>100</v>
      </c>
      <c r="K524" s="57">
        <v>4800</v>
      </c>
      <c r="L524" s="54"/>
      <c r="M524" s="58">
        <v>4</v>
      </c>
      <c r="N524" s="59">
        <f>VLOOKUP(A524,Baupläne!$B$2:$X$1019,23,FALSE)</f>
        <v>12200</v>
      </c>
      <c r="W524" s="17">
        <f>ROUND($X523*Berechnungen!$B$92,1)</f>
        <v>4.8</v>
      </c>
      <c r="X524" s="787"/>
      <c r="Y524" s="332">
        <v>6</v>
      </c>
      <c r="Z524" s="367">
        <v>24</v>
      </c>
      <c r="AC524" s="227"/>
      <c r="AD524" s="227"/>
      <c r="AE524" s="227"/>
      <c r="AF524" s="228"/>
    </row>
    <row r="525" spans="1:32" outlineLevel="1" x14ac:dyDescent="0.2">
      <c r="A525" s="5">
        <v>1433</v>
      </c>
      <c r="B525" s="3" t="s">
        <v>641</v>
      </c>
      <c r="C525" s="3" t="s">
        <v>54</v>
      </c>
      <c r="D525" s="54">
        <v>17</v>
      </c>
      <c r="E525" s="55" t="s">
        <v>186</v>
      </c>
      <c r="F525" s="56"/>
      <c r="G525" s="3">
        <v>9</v>
      </c>
      <c r="H525" s="54">
        <v>1</v>
      </c>
      <c r="I525" s="54">
        <v>13</v>
      </c>
      <c r="J525" s="3">
        <v>100</v>
      </c>
      <c r="K525" s="57">
        <v>2400</v>
      </c>
      <c r="L525" s="54"/>
      <c r="M525" s="58">
        <v>4</v>
      </c>
      <c r="N525" s="59">
        <f>VLOOKUP(A525,Baupläne!$B$2:$X$1019,23,FALSE)</f>
        <v>7000</v>
      </c>
      <c r="W525" s="17">
        <f>ROUND($X523*Berechnungen!$B$93,1)</f>
        <v>2.4</v>
      </c>
      <c r="X525" s="787"/>
      <c r="Y525" s="332">
        <v>3</v>
      </c>
      <c r="Z525" s="367">
        <v>12</v>
      </c>
      <c r="AC525" s="227"/>
      <c r="AD525" s="227"/>
      <c r="AE525" s="227"/>
      <c r="AF525" s="228"/>
    </row>
    <row r="526" spans="1:32" outlineLevel="1" x14ac:dyDescent="0.2">
      <c r="A526" s="5">
        <v>1434</v>
      </c>
      <c r="B526" s="3" t="s">
        <v>642</v>
      </c>
      <c r="C526" s="3" t="s">
        <v>54</v>
      </c>
      <c r="D526" s="54">
        <v>17</v>
      </c>
      <c r="E526" s="55" t="s">
        <v>186</v>
      </c>
      <c r="F526" s="56"/>
      <c r="G526" s="3">
        <v>9</v>
      </c>
      <c r="H526" s="54">
        <v>1</v>
      </c>
      <c r="I526" s="54">
        <v>14</v>
      </c>
      <c r="J526" s="3">
        <v>100</v>
      </c>
      <c r="K526" s="57">
        <v>3200</v>
      </c>
      <c r="L526" s="54"/>
      <c r="M526" s="58">
        <v>4</v>
      </c>
      <c r="N526" s="59">
        <f>VLOOKUP(A526,Baupläne!$B$2:$X$1019,23,FALSE)</f>
        <v>9400</v>
      </c>
      <c r="W526" s="17">
        <f>ROUND($X523*Berechnungen!$B$94,1)</f>
        <v>3.2</v>
      </c>
      <c r="X526" s="787"/>
      <c r="Y526" s="332">
        <v>4</v>
      </c>
      <c r="Z526" s="367">
        <v>16</v>
      </c>
      <c r="AC526" s="227"/>
      <c r="AD526" s="227"/>
      <c r="AE526" s="227"/>
      <c r="AF526" s="228"/>
    </row>
    <row r="527" spans="1:32" outlineLevel="1" x14ac:dyDescent="0.2">
      <c r="A527" s="5">
        <v>1435</v>
      </c>
      <c r="B527" s="3" t="s">
        <v>643</v>
      </c>
      <c r="C527" s="3" t="s">
        <v>54</v>
      </c>
      <c r="D527" s="54">
        <v>17</v>
      </c>
      <c r="E527" s="55" t="s">
        <v>186</v>
      </c>
      <c r="F527" s="56"/>
      <c r="G527" s="3">
        <v>9</v>
      </c>
      <c r="H527" s="54">
        <v>1</v>
      </c>
      <c r="I527" s="54">
        <v>15</v>
      </c>
      <c r="J527" s="3">
        <v>100</v>
      </c>
      <c r="K527" s="57">
        <v>2400</v>
      </c>
      <c r="L527" s="54"/>
      <c r="M527" s="58">
        <v>4</v>
      </c>
      <c r="N527" s="59">
        <f>VLOOKUP(A527,Baupläne!$B$2:$X$1019,23,FALSE)</f>
        <v>7000</v>
      </c>
      <c r="W527" s="17">
        <f>ROUND($X523*Berechnungen!$B$95,1)</f>
        <v>2.4</v>
      </c>
      <c r="X527" s="787"/>
      <c r="Y527" s="332">
        <v>3</v>
      </c>
      <c r="Z527" s="367">
        <v>12</v>
      </c>
      <c r="AC527" s="227"/>
      <c r="AD527" s="227"/>
      <c r="AE527" s="227"/>
      <c r="AF527" s="228"/>
    </row>
    <row r="528" spans="1:32" ht="12.75" customHeight="1" outlineLevel="1" x14ac:dyDescent="0.2">
      <c r="A528" s="5">
        <v>1436</v>
      </c>
      <c r="B528" s="3" t="s">
        <v>644</v>
      </c>
      <c r="C528" s="3" t="s">
        <v>54</v>
      </c>
      <c r="D528" s="54">
        <v>19</v>
      </c>
      <c r="E528" s="55" t="s">
        <v>186</v>
      </c>
      <c r="F528" s="56"/>
      <c r="G528" s="3">
        <v>9</v>
      </c>
      <c r="H528" s="54">
        <v>1</v>
      </c>
      <c r="I528" s="54">
        <v>11</v>
      </c>
      <c r="J528" s="3">
        <v>100</v>
      </c>
      <c r="K528" s="57">
        <v>3600</v>
      </c>
      <c r="L528" s="54"/>
      <c r="M528" s="58">
        <v>4</v>
      </c>
      <c r="N528" s="59">
        <f>VLOOKUP(A528,Baupläne!$B$2:$X$1019,23,FALSE)</f>
        <v>12400</v>
      </c>
      <c r="W528" s="17">
        <f>ROUND($X528*Berechnungen!$B$91,1)</f>
        <v>3.6</v>
      </c>
      <c r="X528" s="787">
        <f>ROUND(VLOOKUP($D528,Berechnungen!$A$37:$F$61,6),0)</f>
        <v>18</v>
      </c>
      <c r="Y528" s="332">
        <v>4</v>
      </c>
      <c r="Z528" s="367">
        <v>16</v>
      </c>
      <c r="AC528" s="227"/>
      <c r="AD528" s="227"/>
      <c r="AE528" s="227"/>
      <c r="AF528" s="228"/>
    </row>
    <row r="529" spans="1:32" outlineLevel="1" x14ac:dyDescent="0.2">
      <c r="A529" s="5">
        <v>1437</v>
      </c>
      <c r="B529" s="3" t="s">
        <v>645</v>
      </c>
      <c r="C529" s="3" t="s">
        <v>54</v>
      </c>
      <c r="D529" s="54">
        <v>19</v>
      </c>
      <c r="E529" s="55" t="s">
        <v>186</v>
      </c>
      <c r="F529" s="56"/>
      <c r="G529" s="3">
        <v>9</v>
      </c>
      <c r="H529" s="54">
        <v>1</v>
      </c>
      <c r="I529" s="54">
        <v>12</v>
      </c>
      <c r="J529" s="3">
        <v>100</v>
      </c>
      <c r="K529" s="57">
        <v>5400</v>
      </c>
      <c r="L529" s="54"/>
      <c r="M529" s="58">
        <v>4</v>
      </c>
      <c r="N529" s="59">
        <f>VLOOKUP(A529,Baupläne!$B$2:$X$1019,23,FALSE)</f>
        <v>18600</v>
      </c>
      <c r="W529" s="17">
        <f>ROUND($X528*Berechnungen!$B$92,1)</f>
        <v>5.4</v>
      </c>
      <c r="X529" s="787"/>
      <c r="Y529" s="332">
        <v>6</v>
      </c>
      <c r="Z529" s="367">
        <v>24</v>
      </c>
      <c r="AC529" s="227"/>
      <c r="AD529" s="227"/>
      <c r="AE529" s="227"/>
      <c r="AF529" s="228"/>
    </row>
    <row r="530" spans="1:32" outlineLevel="1" x14ac:dyDescent="0.2">
      <c r="A530" s="5">
        <v>1438</v>
      </c>
      <c r="B530" s="3" t="s">
        <v>646</v>
      </c>
      <c r="C530" s="3" t="s">
        <v>54</v>
      </c>
      <c r="D530" s="54">
        <v>20</v>
      </c>
      <c r="E530" s="55" t="s">
        <v>186</v>
      </c>
      <c r="F530" s="56"/>
      <c r="G530" s="3">
        <v>9</v>
      </c>
      <c r="H530" s="54">
        <v>1</v>
      </c>
      <c r="I530" s="54">
        <v>13</v>
      </c>
      <c r="J530" s="3">
        <v>100</v>
      </c>
      <c r="K530" s="57">
        <v>2700</v>
      </c>
      <c r="L530" s="54"/>
      <c r="M530" s="58">
        <v>4</v>
      </c>
      <c r="N530" s="59">
        <f>VLOOKUP(A530,Baupläne!$B$2:$X$1019,23,FALSE)</f>
        <v>10700</v>
      </c>
      <c r="W530" s="17">
        <f>ROUND($X528*Berechnungen!$B$93,1)</f>
        <v>2.7</v>
      </c>
      <c r="X530" s="787"/>
      <c r="Y530" s="332">
        <v>3</v>
      </c>
      <c r="Z530" s="367">
        <v>12</v>
      </c>
      <c r="AC530" s="227"/>
      <c r="AD530" s="227"/>
      <c r="AE530" s="227"/>
      <c r="AF530" s="228"/>
    </row>
    <row r="531" spans="1:32" outlineLevel="1" x14ac:dyDescent="0.2">
      <c r="A531" s="5">
        <v>1439</v>
      </c>
      <c r="B531" s="3" t="s">
        <v>647</v>
      </c>
      <c r="C531" s="3" t="s">
        <v>54</v>
      </c>
      <c r="D531" s="54">
        <v>20</v>
      </c>
      <c r="E531" s="55" t="s">
        <v>186</v>
      </c>
      <c r="F531" s="56"/>
      <c r="G531" s="3">
        <v>9</v>
      </c>
      <c r="H531" s="54">
        <v>1</v>
      </c>
      <c r="I531" s="54">
        <v>14</v>
      </c>
      <c r="J531" s="3">
        <v>100</v>
      </c>
      <c r="K531" s="57">
        <v>3600</v>
      </c>
      <c r="L531" s="54"/>
      <c r="M531" s="58">
        <v>4</v>
      </c>
      <c r="N531" s="59">
        <f>VLOOKUP(A531,Baupläne!$B$2:$X$1019,23,FALSE)</f>
        <v>14200</v>
      </c>
      <c r="W531" s="17">
        <f>ROUND($X528*Berechnungen!$B$94,1)</f>
        <v>3.6</v>
      </c>
      <c r="X531" s="787"/>
      <c r="Y531" s="332">
        <v>4</v>
      </c>
      <c r="Z531" s="367">
        <v>16</v>
      </c>
      <c r="AC531" s="227"/>
      <c r="AD531" s="227"/>
      <c r="AE531" s="227"/>
      <c r="AF531" s="228"/>
    </row>
    <row r="532" spans="1:32" outlineLevel="1" x14ac:dyDescent="0.2">
      <c r="A532" s="5">
        <v>1440</v>
      </c>
      <c r="B532" s="334" t="s">
        <v>648</v>
      </c>
      <c r="C532" s="334" t="s">
        <v>54</v>
      </c>
      <c r="D532" s="335">
        <v>20</v>
      </c>
      <c r="E532" s="336" t="s">
        <v>186</v>
      </c>
      <c r="F532" s="337"/>
      <c r="G532" s="334">
        <v>9</v>
      </c>
      <c r="H532" s="335">
        <v>1</v>
      </c>
      <c r="I532" s="335">
        <v>15</v>
      </c>
      <c r="J532" s="334">
        <v>100</v>
      </c>
      <c r="K532" s="338">
        <v>2700</v>
      </c>
      <c r="L532" s="335"/>
      <c r="M532" s="339">
        <v>4</v>
      </c>
      <c r="N532" s="59">
        <f>VLOOKUP(A532,Baupläne!$B$2:$X$1019,23,FALSE)</f>
        <v>10700</v>
      </c>
      <c r="O532" s="340"/>
      <c r="P532" s="235"/>
      <c r="Q532" s="231"/>
      <c r="R532" s="236"/>
      <c r="S532" s="231"/>
      <c r="T532" s="230"/>
      <c r="U532" s="231"/>
      <c r="V532" s="231"/>
      <c r="W532" s="17">
        <f>ROUND($X528*Berechnungen!$B$95,1)</f>
        <v>2.7</v>
      </c>
      <c r="X532" s="787"/>
      <c r="Y532" s="332">
        <v>3</v>
      </c>
      <c r="Z532" s="367">
        <v>12</v>
      </c>
      <c r="AC532" s="343"/>
      <c r="AD532" s="343"/>
      <c r="AE532" s="343"/>
      <c r="AF532" s="344"/>
    </row>
    <row r="533" spans="1:32" ht="12.75" customHeight="1" outlineLevel="1" x14ac:dyDescent="0.2">
      <c r="A533" s="5">
        <v>1441</v>
      </c>
      <c r="B533" s="3" t="s">
        <v>649</v>
      </c>
      <c r="C533" s="3" t="s">
        <v>54</v>
      </c>
      <c r="D533" s="54">
        <v>21</v>
      </c>
      <c r="E533" s="331" t="s">
        <v>186</v>
      </c>
      <c r="F533" s="56"/>
      <c r="G533" s="3">
        <v>9</v>
      </c>
      <c r="H533" s="54">
        <v>1</v>
      </c>
      <c r="I533" s="54">
        <v>11</v>
      </c>
      <c r="J533" s="3">
        <v>100</v>
      </c>
      <c r="K533" s="57">
        <v>3200</v>
      </c>
      <c r="L533" s="54"/>
      <c r="M533" s="58">
        <v>5</v>
      </c>
      <c r="N533" s="59">
        <f>VLOOKUP(A533,Baupläne!$B$2:$X$1019,23,FALSE)</f>
        <v>16400</v>
      </c>
      <c r="W533" s="17">
        <f>ROUND($X533*Berechnungen!$B$91,1)</f>
        <v>4</v>
      </c>
      <c r="X533" s="787">
        <f>ROUND(VLOOKUP($D533,Berechnungen!$A$37:$F$61,6),0)</f>
        <v>20</v>
      </c>
      <c r="Y533" s="332">
        <v>4</v>
      </c>
      <c r="Z533" s="367">
        <v>16</v>
      </c>
      <c r="AC533" s="227"/>
      <c r="AD533" s="227"/>
      <c r="AE533" s="227"/>
      <c r="AF533" s="228"/>
    </row>
    <row r="534" spans="1:32" outlineLevel="1" x14ac:dyDescent="0.2">
      <c r="A534" s="5">
        <v>1442</v>
      </c>
      <c r="B534" s="3" t="s">
        <v>650</v>
      </c>
      <c r="C534" s="3" t="s">
        <v>54</v>
      </c>
      <c r="D534" s="54">
        <v>21</v>
      </c>
      <c r="E534" s="55" t="s">
        <v>186</v>
      </c>
      <c r="F534" s="56"/>
      <c r="G534" s="3">
        <v>9</v>
      </c>
      <c r="H534" s="54">
        <v>1</v>
      </c>
      <c r="I534" s="54">
        <v>12</v>
      </c>
      <c r="J534" s="3">
        <v>100</v>
      </c>
      <c r="K534" s="57">
        <v>4800</v>
      </c>
      <c r="L534" s="54"/>
      <c r="M534" s="58">
        <v>5</v>
      </c>
      <c r="N534" s="59">
        <f>VLOOKUP(A534,Baupläne!$B$2:$X$1019,23,FALSE)</f>
        <v>24500</v>
      </c>
      <c r="W534" s="17">
        <f>ROUND($X533*Berechnungen!$B$92,1)</f>
        <v>6</v>
      </c>
      <c r="X534" s="787"/>
      <c r="Y534" s="332">
        <v>6</v>
      </c>
      <c r="Z534" s="367">
        <v>24</v>
      </c>
      <c r="AC534" s="227"/>
      <c r="AD534" s="227"/>
      <c r="AE534" s="227"/>
      <c r="AF534" s="228"/>
    </row>
    <row r="535" spans="1:32" outlineLevel="1" x14ac:dyDescent="0.2">
      <c r="A535" s="5">
        <v>1443</v>
      </c>
      <c r="B535" s="3" t="s">
        <v>651</v>
      </c>
      <c r="C535" s="3" t="s">
        <v>54</v>
      </c>
      <c r="D535" s="54">
        <v>22</v>
      </c>
      <c r="E535" s="55" t="s">
        <v>186</v>
      </c>
      <c r="F535" s="56"/>
      <c r="G535" s="3">
        <v>9</v>
      </c>
      <c r="H535" s="54">
        <v>1</v>
      </c>
      <c r="I535" s="54">
        <v>13</v>
      </c>
      <c r="J535" s="3">
        <v>100</v>
      </c>
      <c r="K535" s="57">
        <v>2400</v>
      </c>
      <c r="L535" s="54"/>
      <c r="M535" s="58">
        <v>5</v>
      </c>
      <c r="N535" s="59">
        <f>VLOOKUP(A535,Baupläne!$B$2:$X$1019,23,FALSE)</f>
        <v>14100</v>
      </c>
      <c r="W535" s="17">
        <f>ROUND($X533*Berechnungen!$B$93,1)</f>
        <v>3</v>
      </c>
      <c r="X535" s="787"/>
      <c r="Y535" s="332">
        <v>3</v>
      </c>
      <c r="Z535" s="367">
        <v>12</v>
      </c>
      <c r="AC535" s="227"/>
      <c r="AD535" s="227"/>
      <c r="AE535" s="227"/>
      <c r="AF535" s="228"/>
    </row>
    <row r="536" spans="1:32" outlineLevel="1" x14ac:dyDescent="0.2">
      <c r="A536" s="5">
        <v>1444</v>
      </c>
      <c r="B536" s="3" t="s">
        <v>652</v>
      </c>
      <c r="C536" s="3" t="s">
        <v>54</v>
      </c>
      <c r="D536" s="54">
        <v>22</v>
      </c>
      <c r="E536" s="55" t="s">
        <v>186</v>
      </c>
      <c r="F536" s="56"/>
      <c r="G536" s="3">
        <v>9</v>
      </c>
      <c r="H536" s="54">
        <v>1</v>
      </c>
      <c r="I536" s="54">
        <v>14</v>
      </c>
      <c r="J536" s="3">
        <v>100</v>
      </c>
      <c r="K536" s="57">
        <v>3200</v>
      </c>
      <c r="L536" s="54"/>
      <c r="M536" s="58">
        <v>5</v>
      </c>
      <c r="N536" s="59">
        <f>VLOOKUP(A536,Baupläne!$B$2:$X$1019,23,FALSE)</f>
        <v>18800</v>
      </c>
      <c r="W536" s="17">
        <f>ROUND($X533*Berechnungen!$B$94,1)</f>
        <v>4</v>
      </c>
      <c r="X536" s="787"/>
      <c r="Y536" s="332">
        <v>4</v>
      </c>
      <c r="Z536" s="367">
        <v>16</v>
      </c>
      <c r="AC536" s="227"/>
      <c r="AD536" s="227"/>
      <c r="AE536" s="227"/>
      <c r="AF536" s="228"/>
    </row>
    <row r="537" spans="1:32" outlineLevel="1" x14ac:dyDescent="0.2">
      <c r="A537" s="5">
        <v>1445</v>
      </c>
      <c r="B537" s="3" t="s">
        <v>653</v>
      </c>
      <c r="C537" s="3" t="s">
        <v>54</v>
      </c>
      <c r="D537" s="54">
        <v>22</v>
      </c>
      <c r="E537" s="55" t="s">
        <v>186</v>
      </c>
      <c r="F537" s="56"/>
      <c r="G537" s="3">
        <v>9</v>
      </c>
      <c r="H537" s="54">
        <v>1</v>
      </c>
      <c r="I537" s="54">
        <v>15</v>
      </c>
      <c r="J537" s="3">
        <v>100</v>
      </c>
      <c r="K537" s="57">
        <v>2400</v>
      </c>
      <c r="L537" s="54"/>
      <c r="M537" s="58">
        <v>5</v>
      </c>
      <c r="N537" s="59">
        <f>VLOOKUP(A537,Baupläne!$B$2:$X$1019,23,FALSE)</f>
        <v>14100</v>
      </c>
      <c r="W537" s="17">
        <f>ROUND($X533*Berechnungen!$B$95,1)</f>
        <v>3</v>
      </c>
      <c r="X537" s="787"/>
      <c r="Y537" s="332">
        <v>3</v>
      </c>
      <c r="Z537" s="367">
        <v>12</v>
      </c>
      <c r="AC537" s="227"/>
      <c r="AD537" s="227"/>
      <c r="AE537" s="227"/>
      <c r="AF537" s="228"/>
    </row>
    <row r="538" spans="1:32" ht="12.75" customHeight="1" outlineLevel="1" x14ac:dyDescent="0.2">
      <c r="A538" s="5">
        <v>1446</v>
      </c>
      <c r="B538" s="3" t="s">
        <v>654</v>
      </c>
      <c r="C538" s="3" t="s">
        <v>54</v>
      </c>
      <c r="D538" s="54">
        <v>24</v>
      </c>
      <c r="E538" s="55" t="s">
        <v>186</v>
      </c>
      <c r="F538" s="56"/>
      <c r="G538" s="3">
        <v>9</v>
      </c>
      <c r="H538" s="54">
        <v>1</v>
      </c>
      <c r="I538" s="54">
        <v>11</v>
      </c>
      <c r="J538" s="3">
        <v>100</v>
      </c>
      <c r="K538" s="57">
        <v>3600</v>
      </c>
      <c r="L538" s="54"/>
      <c r="M538" s="58">
        <v>5</v>
      </c>
      <c r="N538" s="59">
        <f>VLOOKUP(A538,Baupläne!$B$2:$X$1019,23,FALSE)</f>
        <v>24900</v>
      </c>
      <c r="W538" s="17">
        <f>ROUND($X538*Berechnungen!$B$91,1)</f>
        <v>4.8</v>
      </c>
      <c r="X538" s="787">
        <f>ROUND(VLOOKUP($D538,Berechnungen!$A$37:$F$61,6),0)</f>
        <v>24</v>
      </c>
      <c r="Y538" s="332">
        <v>4</v>
      </c>
      <c r="Z538" s="367">
        <v>16</v>
      </c>
      <c r="AC538" s="227"/>
      <c r="AD538" s="227"/>
      <c r="AE538" s="227"/>
      <c r="AF538" s="228"/>
    </row>
    <row r="539" spans="1:32" outlineLevel="1" x14ac:dyDescent="0.2">
      <c r="A539" s="5">
        <v>1447</v>
      </c>
      <c r="B539" s="3" t="s">
        <v>655</v>
      </c>
      <c r="C539" s="3" t="s">
        <v>54</v>
      </c>
      <c r="D539" s="54">
        <v>24</v>
      </c>
      <c r="E539" s="55" t="s">
        <v>186</v>
      </c>
      <c r="F539" s="56"/>
      <c r="G539" s="3">
        <v>9</v>
      </c>
      <c r="H539" s="54">
        <v>1</v>
      </c>
      <c r="I539" s="54">
        <v>12</v>
      </c>
      <c r="J539" s="3">
        <v>100</v>
      </c>
      <c r="K539" s="57">
        <v>5400</v>
      </c>
      <c r="L539" s="54"/>
      <c r="M539" s="58">
        <v>5</v>
      </c>
      <c r="N539" s="59">
        <f>VLOOKUP(A539,Baupläne!$B$2:$X$1019,23,FALSE)</f>
        <v>37300</v>
      </c>
      <c r="W539" s="17">
        <f>ROUND($X538*Berechnungen!$B$92,1)</f>
        <v>7.2</v>
      </c>
      <c r="X539" s="787"/>
      <c r="Y539" s="332">
        <v>6</v>
      </c>
      <c r="Z539" s="367">
        <v>24</v>
      </c>
      <c r="AC539" s="227"/>
      <c r="AD539" s="227"/>
      <c r="AE539" s="227"/>
      <c r="AF539" s="228"/>
    </row>
    <row r="540" spans="1:32" outlineLevel="1" x14ac:dyDescent="0.2">
      <c r="A540" s="5">
        <v>1448</v>
      </c>
      <c r="B540" s="3" t="s">
        <v>656</v>
      </c>
      <c r="C540" s="3" t="s">
        <v>54</v>
      </c>
      <c r="D540" s="54">
        <v>25</v>
      </c>
      <c r="E540" s="55" t="s">
        <v>186</v>
      </c>
      <c r="F540" s="56"/>
      <c r="G540" s="3">
        <v>9</v>
      </c>
      <c r="H540" s="54">
        <v>1</v>
      </c>
      <c r="I540" s="54">
        <v>13</v>
      </c>
      <c r="J540" s="3">
        <v>100</v>
      </c>
      <c r="K540" s="57">
        <v>2700</v>
      </c>
      <c r="L540" s="54"/>
      <c r="M540" s="58">
        <v>5</v>
      </c>
      <c r="N540" s="59">
        <f>VLOOKUP(A540,Baupläne!$B$2:$X$1019,23,FALSE)</f>
        <v>21500</v>
      </c>
      <c r="W540" s="17">
        <f>ROUND($X538*Berechnungen!$B$93,1)</f>
        <v>3.6</v>
      </c>
      <c r="X540" s="787"/>
      <c r="Y540" s="332">
        <v>3</v>
      </c>
      <c r="Z540" s="367">
        <v>12</v>
      </c>
      <c r="AC540" s="227"/>
      <c r="AD540" s="227"/>
      <c r="AE540" s="227"/>
      <c r="AF540" s="228"/>
    </row>
    <row r="541" spans="1:32" outlineLevel="1" x14ac:dyDescent="0.2">
      <c r="A541" s="5">
        <v>1449</v>
      </c>
      <c r="B541" s="3" t="s">
        <v>657</v>
      </c>
      <c r="C541" s="3" t="s">
        <v>54</v>
      </c>
      <c r="D541" s="54">
        <v>25</v>
      </c>
      <c r="E541" s="55" t="s">
        <v>186</v>
      </c>
      <c r="F541" s="56"/>
      <c r="G541" s="3">
        <v>9</v>
      </c>
      <c r="H541" s="54">
        <v>1</v>
      </c>
      <c r="I541" s="54">
        <v>14</v>
      </c>
      <c r="J541" s="3">
        <v>100</v>
      </c>
      <c r="K541" s="57">
        <v>3600</v>
      </c>
      <c r="L541" s="54"/>
      <c r="M541" s="58">
        <v>5</v>
      </c>
      <c r="N541" s="59">
        <f>VLOOKUP(A541,Baupläne!$B$2:$X$1019,23,FALSE)</f>
        <v>28600</v>
      </c>
      <c r="W541" s="17">
        <f>ROUND($X538*Berechnungen!$B$94,1)</f>
        <v>4.8</v>
      </c>
      <c r="X541" s="787"/>
      <c r="Y541" s="332">
        <v>4</v>
      </c>
      <c r="Z541" s="367">
        <v>16</v>
      </c>
      <c r="AC541" s="227"/>
      <c r="AD541" s="227"/>
      <c r="AE541" s="227"/>
      <c r="AF541" s="228"/>
    </row>
    <row r="542" spans="1:32" outlineLevel="1" x14ac:dyDescent="0.2">
      <c r="A542" s="5">
        <v>1450</v>
      </c>
      <c r="B542" s="334" t="s">
        <v>658</v>
      </c>
      <c r="C542" s="334" t="s">
        <v>54</v>
      </c>
      <c r="D542" s="335">
        <v>25</v>
      </c>
      <c r="E542" s="336" t="s">
        <v>186</v>
      </c>
      <c r="F542" s="337"/>
      <c r="G542" s="3">
        <v>9</v>
      </c>
      <c r="H542" s="54">
        <v>1</v>
      </c>
      <c r="I542" s="54">
        <v>15</v>
      </c>
      <c r="J542" s="3">
        <v>100</v>
      </c>
      <c r="K542" s="57">
        <v>2700</v>
      </c>
      <c r="L542" s="54"/>
      <c r="M542" s="58">
        <v>5</v>
      </c>
      <c r="N542" s="346">
        <f>VLOOKUP(A542,Baupläne!$B$2:$X$1019,23,FALSE)</f>
        <v>21500</v>
      </c>
      <c r="S542" s="231"/>
      <c r="T542" s="230"/>
      <c r="U542" s="231"/>
      <c r="V542" s="231"/>
      <c r="W542" s="17">
        <f>ROUND($X538*Berechnungen!$B$95,1)</f>
        <v>3.6</v>
      </c>
      <c r="X542" s="787"/>
      <c r="Y542" s="332">
        <v>3</v>
      </c>
      <c r="Z542" s="367">
        <v>12</v>
      </c>
      <c r="AC542" s="343"/>
      <c r="AD542" s="343"/>
      <c r="AE542" s="343"/>
      <c r="AF542" s="344"/>
    </row>
    <row r="543" spans="1:32" s="294" customFormat="1" ht="12.75" customHeight="1" outlineLevel="1" x14ac:dyDescent="0.2">
      <c r="A543" s="293">
        <v>2401</v>
      </c>
      <c r="B543" s="177" t="s">
        <v>659</v>
      </c>
      <c r="C543" s="177" t="s">
        <v>54</v>
      </c>
      <c r="D543" s="178">
        <v>4</v>
      </c>
      <c r="E543" s="316" t="s">
        <v>186</v>
      </c>
      <c r="F543" s="56"/>
      <c r="G543" s="370">
        <v>9</v>
      </c>
      <c r="H543" s="371">
        <v>2</v>
      </c>
      <c r="I543" s="371">
        <v>11</v>
      </c>
      <c r="J543" s="370">
        <v>100</v>
      </c>
      <c r="K543" s="372">
        <v>3600</v>
      </c>
      <c r="L543" s="371"/>
      <c r="M543" s="373"/>
      <c r="N543" s="299">
        <f>VLOOKUP(A543,Baupläne!$B$2:$X$1019,23,FALSE)</f>
        <v>2000</v>
      </c>
      <c r="O543" s="374"/>
      <c r="P543" s="375"/>
      <c r="Q543" s="376"/>
      <c r="R543" s="377"/>
      <c r="S543" s="301"/>
      <c r="T543" s="302"/>
      <c r="U543" s="301"/>
      <c r="V543" s="301"/>
      <c r="W543" s="303">
        <f>ROUND($X543*Berechnungen!$B$91,1)</f>
        <v>1.6</v>
      </c>
      <c r="X543" s="786">
        <f>ROUND(VLOOKUP($D543+3,Berechnungen!$A$37:$F$66,6),0)</f>
        <v>8</v>
      </c>
      <c r="Y543" s="348">
        <v>4</v>
      </c>
      <c r="Z543" s="378">
        <v>16</v>
      </c>
      <c r="AA543" s="306"/>
      <c r="AB543" s="306"/>
      <c r="AC543" s="307"/>
      <c r="AD543" s="307"/>
      <c r="AE543" s="307"/>
      <c r="AF543" s="308"/>
    </row>
    <row r="544" spans="1:32" s="294" customFormat="1" outlineLevel="1" x14ac:dyDescent="0.2">
      <c r="A544" s="293">
        <v>2402</v>
      </c>
      <c r="B544" s="177" t="s">
        <v>660</v>
      </c>
      <c r="C544" s="177" t="s">
        <v>54</v>
      </c>
      <c r="D544" s="178">
        <v>4</v>
      </c>
      <c r="E544" s="316" t="s">
        <v>186</v>
      </c>
      <c r="F544" s="56"/>
      <c r="G544" s="177">
        <v>9</v>
      </c>
      <c r="H544" s="178">
        <v>2</v>
      </c>
      <c r="I544" s="178">
        <v>12</v>
      </c>
      <c r="J544" s="177">
        <v>100</v>
      </c>
      <c r="K544" s="317">
        <v>5400</v>
      </c>
      <c r="L544" s="178"/>
      <c r="M544" s="179"/>
      <c r="N544" s="299">
        <f>VLOOKUP(A544,Baupläne!$B$2:$X$1019,23,FALSE)</f>
        <v>2800</v>
      </c>
      <c r="O544" s="379"/>
      <c r="Q544" s="301"/>
      <c r="R544" s="306"/>
      <c r="S544" s="301"/>
      <c r="T544" s="302"/>
      <c r="U544" s="301"/>
      <c r="V544" s="301"/>
      <c r="W544" s="303">
        <f>ROUND($X543*Berechnungen!$B$92,1)</f>
        <v>2.4</v>
      </c>
      <c r="X544" s="786"/>
      <c r="Y544" s="348">
        <v>6</v>
      </c>
      <c r="Z544" s="378">
        <v>24</v>
      </c>
      <c r="AA544" s="306"/>
      <c r="AB544" s="306"/>
      <c r="AC544" s="307"/>
      <c r="AD544" s="307"/>
      <c r="AE544" s="307"/>
      <c r="AF544" s="308"/>
    </row>
    <row r="545" spans="1:32" s="294" customFormat="1" outlineLevel="1" x14ac:dyDescent="0.2">
      <c r="A545" s="293">
        <v>2403</v>
      </c>
      <c r="B545" s="177" t="s">
        <v>661</v>
      </c>
      <c r="C545" s="177" t="s">
        <v>54</v>
      </c>
      <c r="D545" s="178">
        <v>5</v>
      </c>
      <c r="E545" s="316" t="s">
        <v>186</v>
      </c>
      <c r="F545" s="56"/>
      <c r="G545" s="177">
        <v>9</v>
      </c>
      <c r="H545" s="178">
        <v>2</v>
      </c>
      <c r="I545" s="178">
        <v>13</v>
      </c>
      <c r="J545" s="177">
        <v>100</v>
      </c>
      <c r="K545" s="317">
        <v>2700</v>
      </c>
      <c r="L545" s="178"/>
      <c r="M545" s="179"/>
      <c r="N545" s="299">
        <f>VLOOKUP(A545,Baupläne!$B$2:$X$1019,23,FALSE)</f>
        <v>1800</v>
      </c>
      <c r="O545" s="379"/>
      <c r="Q545" s="301"/>
      <c r="R545" s="306"/>
      <c r="S545" s="301"/>
      <c r="T545" s="302"/>
      <c r="U545" s="301"/>
      <c r="V545" s="301"/>
      <c r="W545" s="303">
        <f>ROUND($X543*Berechnungen!$B$93,1)</f>
        <v>1.2</v>
      </c>
      <c r="X545" s="786"/>
      <c r="Y545" s="348">
        <v>3</v>
      </c>
      <c r="Z545" s="378">
        <v>12</v>
      </c>
      <c r="AA545" s="306"/>
      <c r="AB545" s="306"/>
      <c r="AC545" s="307"/>
      <c r="AD545" s="307"/>
      <c r="AE545" s="307"/>
      <c r="AF545" s="308"/>
    </row>
    <row r="546" spans="1:32" s="294" customFormat="1" outlineLevel="1" x14ac:dyDescent="0.2">
      <c r="A546" s="293">
        <v>2404</v>
      </c>
      <c r="B546" s="177" t="s">
        <v>662</v>
      </c>
      <c r="C546" s="177" t="s">
        <v>54</v>
      </c>
      <c r="D546" s="178">
        <v>5</v>
      </c>
      <c r="E546" s="316" t="s">
        <v>186</v>
      </c>
      <c r="F546" s="56"/>
      <c r="G546" s="177">
        <v>9</v>
      </c>
      <c r="H546" s="178">
        <v>2</v>
      </c>
      <c r="I546" s="178">
        <v>14</v>
      </c>
      <c r="J546" s="177">
        <v>100</v>
      </c>
      <c r="K546" s="317">
        <v>3600</v>
      </c>
      <c r="L546" s="178"/>
      <c r="M546" s="179"/>
      <c r="N546" s="299">
        <f>VLOOKUP(A546,Baupläne!$B$2:$X$1019,23,FALSE)</f>
        <v>2200</v>
      </c>
      <c r="O546" s="379"/>
      <c r="Q546" s="301"/>
      <c r="R546" s="306"/>
      <c r="S546" s="301"/>
      <c r="T546" s="302"/>
      <c r="U546" s="301"/>
      <c r="V546" s="301"/>
      <c r="W546" s="303">
        <f>ROUND($X543*Berechnungen!$B$94,1)</f>
        <v>1.6</v>
      </c>
      <c r="X546" s="786"/>
      <c r="Y546" s="348">
        <v>4</v>
      </c>
      <c r="Z546" s="378">
        <v>16</v>
      </c>
      <c r="AA546" s="306"/>
      <c r="AB546" s="306"/>
      <c r="AC546" s="307"/>
      <c r="AD546" s="307"/>
      <c r="AE546" s="307"/>
      <c r="AF546" s="308"/>
    </row>
    <row r="547" spans="1:32" s="294" customFormat="1" outlineLevel="1" x14ac:dyDescent="0.2">
      <c r="A547" s="293">
        <v>2405</v>
      </c>
      <c r="B547" s="350" t="s">
        <v>663</v>
      </c>
      <c r="C547" s="350" t="s">
        <v>54</v>
      </c>
      <c r="D547" s="351">
        <v>5</v>
      </c>
      <c r="E547" s="352" t="s">
        <v>186</v>
      </c>
      <c r="F547" s="337"/>
      <c r="G547" s="177">
        <v>9</v>
      </c>
      <c r="H547" s="178">
        <v>2</v>
      </c>
      <c r="I547" s="178">
        <v>15</v>
      </c>
      <c r="J547" s="177">
        <v>100</v>
      </c>
      <c r="K547" s="317">
        <v>2700</v>
      </c>
      <c r="L547" s="178"/>
      <c r="M547" s="179"/>
      <c r="N547" s="299">
        <f>VLOOKUP(A547,Baupläne!$B$2:$X$1019,23,FALSE)</f>
        <v>1800</v>
      </c>
      <c r="O547" s="382"/>
      <c r="P547" s="356"/>
      <c r="Q547" s="357"/>
      <c r="R547" s="358"/>
      <c r="S547" s="357"/>
      <c r="T547" s="359"/>
      <c r="U547" s="357"/>
      <c r="V547" s="357"/>
      <c r="W547" s="303">
        <f>ROUND($X543*Berechnungen!$B$95,1)</f>
        <v>1.2</v>
      </c>
      <c r="X547" s="786"/>
      <c r="Y547" s="348">
        <v>3</v>
      </c>
      <c r="Z547" s="378">
        <v>12</v>
      </c>
      <c r="AA547" s="306"/>
      <c r="AB547" s="306"/>
      <c r="AC547" s="363"/>
      <c r="AD547" s="363"/>
      <c r="AE547" s="363"/>
      <c r="AF547" s="364"/>
    </row>
    <row r="548" spans="1:32" s="294" customFormat="1" ht="12.75" customHeight="1" outlineLevel="1" x14ac:dyDescent="0.2">
      <c r="A548" s="293">
        <v>2411</v>
      </c>
      <c r="B548" s="177" t="s">
        <v>664</v>
      </c>
      <c r="C548" s="177" t="s">
        <v>54</v>
      </c>
      <c r="D548" s="178">
        <v>9</v>
      </c>
      <c r="E548" s="316" t="s">
        <v>186</v>
      </c>
      <c r="F548" s="56"/>
      <c r="G548" s="370">
        <v>9</v>
      </c>
      <c r="H548" s="371">
        <v>2</v>
      </c>
      <c r="I548" s="371">
        <v>11</v>
      </c>
      <c r="J548" s="370">
        <v>100</v>
      </c>
      <c r="K548" s="372">
        <v>3600</v>
      </c>
      <c r="L548" s="371"/>
      <c r="M548" s="373"/>
      <c r="N548" s="299">
        <f>VLOOKUP(A548,Baupläne!$B$2:$X$1019,23,FALSE)</f>
        <v>4100</v>
      </c>
      <c r="O548" s="295"/>
      <c r="Q548" s="301"/>
      <c r="R548" s="306"/>
      <c r="S548" s="301"/>
      <c r="T548" s="302"/>
      <c r="U548" s="301"/>
      <c r="V548" s="301"/>
      <c r="W548" s="303">
        <f>ROUND($X548*Berechnungen!$B$91,1)</f>
        <v>2.4</v>
      </c>
      <c r="X548" s="786">
        <f>ROUND(VLOOKUP($D548+3,Berechnungen!$A$37:$F$66,6),0)</f>
        <v>12</v>
      </c>
      <c r="Y548" s="348">
        <v>4</v>
      </c>
      <c r="Z548" s="378">
        <v>16</v>
      </c>
      <c r="AA548" s="306"/>
      <c r="AB548" s="306"/>
      <c r="AC548" s="307"/>
      <c r="AD548" s="307"/>
      <c r="AE548" s="307"/>
      <c r="AF548" s="308"/>
    </row>
    <row r="549" spans="1:32" s="294" customFormat="1" outlineLevel="1" x14ac:dyDescent="0.2">
      <c r="A549" s="293">
        <v>2412</v>
      </c>
      <c r="B549" s="177" t="s">
        <v>665</v>
      </c>
      <c r="C549" s="177" t="s">
        <v>54</v>
      </c>
      <c r="D549" s="178">
        <v>9</v>
      </c>
      <c r="E549" s="316" t="s">
        <v>186</v>
      </c>
      <c r="F549" s="56"/>
      <c r="G549" s="177">
        <v>9</v>
      </c>
      <c r="H549" s="178">
        <v>2</v>
      </c>
      <c r="I549" s="178">
        <v>12</v>
      </c>
      <c r="J549" s="177">
        <v>100</v>
      </c>
      <c r="K549" s="317">
        <v>5400</v>
      </c>
      <c r="L549" s="178"/>
      <c r="M549" s="179"/>
      <c r="N549" s="299">
        <f>VLOOKUP(A549,Baupläne!$B$2:$X$1019,23,FALSE)</f>
        <v>5600</v>
      </c>
      <c r="O549" s="295"/>
      <c r="Q549" s="301"/>
      <c r="R549" s="306"/>
      <c r="S549" s="301"/>
      <c r="T549" s="302"/>
      <c r="U549" s="301"/>
      <c r="V549" s="301"/>
      <c r="W549" s="303">
        <f>ROUND($X548*Berechnungen!$B$92,1)</f>
        <v>3.6</v>
      </c>
      <c r="X549" s="786"/>
      <c r="Y549" s="348">
        <v>6</v>
      </c>
      <c r="Z549" s="378">
        <v>24</v>
      </c>
      <c r="AA549" s="306"/>
      <c r="AB549" s="306"/>
      <c r="AC549" s="307"/>
      <c r="AD549" s="307"/>
      <c r="AE549" s="307"/>
      <c r="AF549" s="308"/>
    </row>
    <row r="550" spans="1:32" s="294" customFormat="1" outlineLevel="1" x14ac:dyDescent="0.2">
      <c r="A550" s="293">
        <v>2413</v>
      </c>
      <c r="B550" s="177" t="s">
        <v>666</v>
      </c>
      <c r="C550" s="177" t="s">
        <v>54</v>
      </c>
      <c r="D550" s="178">
        <v>10</v>
      </c>
      <c r="E550" s="316" t="s">
        <v>186</v>
      </c>
      <c r="F550" s="56"/>
      <c r="G550" s="177">
        <v>9</v>
      </c>
      <c r="H550" s="178">
        <v>2</v>
      </c>
      <c r="I550" s="178">
        <v>13</v>
      </c>
      <c r="J550" s="177">
        <v>100</v>
      </c>
      <c r="K550" s="317">
        <v>2700</v>
      </c>
      <c r="L550" s="178"/>
      <c r="M550" s="179"/>
      <c r="N550" s="299">
        <f>VLOOKUP(A550,Baupläne!$B$2:$X$1019,23,FALSE)</f>
        <v>3600</v>
      </c>
      <c r="O550" s="295"/>
      <c r="Q550" s="301"/>
      <c r="R550" s="306"/>
      <c r="S550" s="301"/>
      <c r="T550" s="302"/>
      <c r="U550" s="301"/>
      <c r="V550" s="301"/>
      <c r="W550" s="303">
        <f>ROUND($X548*Berechnungen!$B$93,1)</f>
        <v>1.8</v>
      </c>
      <c r="X550" s="786"/>
      <c r="Y550" s="348">
        <v>3</v>
      </c>
      <c r="Z550" s="378">
        <v>12</v>
      </c>
      <c r="AA550" s="306"/>
      <c r="AB550" s="306"/>
      <c r="AC550" s="307"/>
      <c r="AD550" s="307"/>
      <c r="AE550" s="307"/>
      <c r="AF550" s="308"/>
    </row>
    <row r="551" spans="1:32" s="294" customFormat="1" outlineLevel="1" x14ac:dyDescent="0.2">
      <c r="A551" s="293">
        <v>2414</v>
      </c>
      <c r="B551" s="177" t="s">
        <v>667</v>
      </c>
      <c r="C551" s="177" t="s">
        <v>54</v>
      </c>
      <c r="D551" s="178">
        <v>10</v>
      </c>
      <c r="E551" s="316" t="s">
        <v>186</v>
      </c>
      <c r="F551" s="56"/>
      <c r="G551" s="177">
        <v>9</v>
      </c>
      <c r="H551" s="178">
        <v>2</v>
      </c>
      <c r="I551" s="178">
        <v>14</v>
      </c>
      <c r="J551" s="177">
        <v>100</v>
      </c>
      <c r="K551" s="317">
        <v>3600</v>
      </c>
      <c r="L551" s="178"/>
      <c r="M551" s="179"/>
      <c r="N551" s="299">
        <f>VLOOKUP(A551,Baupläne!$B$2:$X$1019,23,FALSE)</f>
        <v>4500</v>
      </c>
      <c r="O551" s="295"/>
      <c r="Q551" s="301"/>
      <c r="R551" s="306"/>
      <c r="S551" s="301"/>
      <c r="T551" s="302"/>
      <c r="U551" s="301"/>
      <c r="V551" s="301"/>
      <c r="W551" s="303">
        <f>ROUND($X548*Berechnungen!$B$94,1)</f>
        <v>2.4</v>
      </c>
      <c r="X551" s="786"/>
      <c r="Y551" s="348">
        <v>4</v>
      </c>
      <c r="Z551" s="378">
        <v>16</v>
      </c>
      <c r="AA551" s="306"/>
      <c r="AB551" s="306"/>
      <c r="AC551" s="307"/>
      <c r="AD551" s="307"/>
      <c r="AE551" s="307"/>
      <c r="AF551" s="308"/>
    </row>
    <row r="552" spans="1:32" s="294" customFormat="1" outlineLevel="1" x14ac:dyDescent="0.2">
      <c r="A552" s="293">
        <v>2415</v>
      </c>
      <c r="B552" s="350" t="s">
        <v>668</v>
      </c>
      <c r="C552" s="350" t="s">
        <v>54</v>
      </c>
      <c r="D552" s="351">
        <v>10</v>
      </c>
      <c r="E552" s="352" t="s">
        <v>186</v>
      </c>
      <c r="F552" s="337"/>
      <c r="G552" s="350">
        <v>9</v>
      </c>
      <c r="H552" s="351">
        <v>2</v>
      </c>
      <c r="I552" s="351">
        <v>15</v>
      </c>
      <c r="J552" s="350">
        <v>100</v>
      </c>
      <c r="K552" s="353">
        <v>2700</v>
      </c>
      <c r="L552" s="351"/>
      <c r="M552" s="354"/>
      <c r="N552" s="299">
        <f>VLOOKUP(A552,Baupläne!$B$2:$X$1019,23,FALSE)</f>
        <v>3600</v>
      </c>
      <c r="O552" s="355"/>
      <c r="P552" s="356"/>
      <c r="Q552" s="357"/>
      <c r="R552" s="358"/>
      <c r="S552" s="357"/>
      <c r="T552" s="359"/>
      <c r="U552" s="357"/>
      <c r="V552" s="357"/>
      <c r="W552" s="303">
        <f>ROUND($X548*Berechnungen!$B$95,1)</f>
        <v>1.8</v>
      </c>
      <c r="X552" s="786"/>
      <c r="Y552" s="348">
        <v>3</v>
      </c>
      <c r="Z552" s="378">
        <v>12</v>
      </c>
      <c r="AA552" s="306"/>
      <c r="AB552" s="306"/>
      <c r="AC552" s="363"/>
      <c r="AD552" s="363"/>
      <c r="AE552" s="363"/>
      <c r="AF552" s="364"/>
    </row>
    <row r="553" spans="1:32" s="294" customFormat="1" ht="12.75" customHeight="1" outlineLevel="1" x14ac:dyDescent="0.2">
      <c r="A553" s="293">
        <v>2421</v>
      </c>
      <c r="B553" s="177" t="s">
        <v>669</v>
      </c>
      <c r="C553" s="177" t="s">
        <v>54</v>
      </c>
      <c r="D553" s="178">
        <v>14</v>
      </c>
      <c r="E553" s="316" t="s">
        <v>186</v>
      </c>
      <c r="F553" s="56"/>
      <c r="G553" s="177">
        <v>9</v>
      </c>
      <c r="H553" s="178">
        <v>2</v>
      </c>
      <c r="I553" s="178">
        <v>11</v>
      </c>
      <c r="J553" s="177">
        <v>100</v>
      </c>
      <c r="K553" s="317">
        <v>3600</v>
      </c>
      <c r="L553" s="178"/>
      <c r="M553" s="179"/>
      <c r="N553" s="299">
        <f>VLOOKUP(A553,Baupläne!$B$2:$X$1019,23,FALSE)</f>
        <v>8200</v>
      </c>
      <c r="O553" s="295"/>
      <c r="Q553" s="301"/>
      <c r="R553" s="306"/>
      <c r="S553" s="301"/>
      <c r="T553" s="302"/>
      <c r="U553" s="301"/>
      <c r="V553" s="301"/>
      <c r="W553" s="303">
        <f>ROUND($X553*Berechnungen!$B$91,1)</f>
        <v>3.4</v>
      </c>
      <c r="X553" s="786">
        <f>ROUND(VLOOKUP($D553+3,Berechnungen!$A$37:$F$66,6),0)</f>
        <v>17</v>
      </c>
      <c r="Y553" s="348">
        <v>4</v>
      </c>
      <c r="Z553" s="378">
        <v>16</v>
      </c>
      <c r="AA553" s="306"/>
      <c r="AB553" s="306"/>
      <c r="AC553" s="307"/>
      <c r="AD553" s="307"/>
      <c r="AE553" s="307"/>
      <c r="AF553" s="308"/>
    </row>
    <row r="554" spans="1:32" s="294" customFormat="1" outlineLevel="1" x14ac:dyDescent="0.2">
      <c r="A554" s="293">
        <v>2422</v>
      </c>
      <c r="B554" s="177" t="s">
        <v>670</v>
      </c>
      <c r="C554" s="177" t="s">
        <v>54</v>
      </c>
      <c r="D554" s="178">
        <v>14</v>
      </c>
      <c r="E554" s="316" t="s">
        <v>186</v>
      </c>
      <c r="F554" s="56"/>
      <c r="G554" s="177">
        <v>9</v>
      </c>
      <c r="H554" s="178">
        <v>2</v>
      </c>
      <c r="I554" s="178">
        <v>12</v>
      </c>
      <c r="J554" s="177">
        <v>100</v>
      </c>
      <c r="K554" s="317">
        <v>5400</v>
      </c>
      <c r="L554" s="178"/>
      <c r="M554" s="179"/>
      <c r="N554" s="299">
        <f>VLOOKUP(A554,Baupläne!$B$2:$X$1019,23,FALSE)</f>
        <v>11200</v>
      </c>
      <c r="O554" s="295"/>
      <c r="Q554" s="301"/>
      <c r="R554" s="306"/>
      <c r="S554" s="301"/>
      <c r="T554" s="302"/>
      <c r="U554" s="301"/>
      <c r="V554" s="301"/>
      <c r="W554" s="303">
        <f>ROUND($X553*Berechnungen!$B$92,1)</f>
        <v>5.0999999999999996</v>
      </c>
      <c r="X554" s="786"/>
      <c r="Y554" s="348">
        <v>6</v>
      </c>
      <c r="Z554" s="378">
        <v>24</v>
      </c>
      <c r="AA554" s="306"/>
      <c r="AB554" s="306"/>
      <c r="AC554" s="307"/>
      <c r="AD554" s="307"/>
      <c r="AE554" s="307"/>
      <c r="AF554" s="308"/>
    </row>
    <row r="555" spans="1:32" s="294" customFormat="1" outlineLevel="1" x14ac:dyDescent="0.2">
      <c r="A555" s="293">
        <v>2423</v>
      </c>
      <c r="B555" s="177" t="s">
        <v>671</v>
      </c>
      <c r="C555" s="177" t="s">
        <v>54</v>
      </c>
      <c r="D555" s="178">
        <v>15</v>
      </c>
      <c r="E555" s="316" t="s">
        <v>186</v>
      </c>
      <c r="F555" s="56"/>
      <c r="G555" s="177">
        <v>9</v>
      </c>
      <c r="H555" s="178">
        <v>2</v>
      </c>
      <c r="I555" s="178">
        <v>13</v>
      </c>
      <c r="J555" s="177">
        <v>100</v>
      </c>
      <c r="K555" s="317">
        <v>2700</v>
      </c>
      <c r="L555" s="178"/>
      <c r="M555" s="179"/>
      <c r="N555" s="299">
        <f>VLOOKUP(A555,Baupläne!$B$2:$X$1019,23,FALSE)</f>
        <v>7300</v>
      </c>
      <c r="O555" s="295"/>
      <c r="Q555" s="301"/>
      <c r="R555" s="306"/>
      <c r="S555" s="301"/>
      <c r="T555" s="302"/>
      <c r="U555" s="301"/>
      <c r="V555" s="301"/>
      <c r="W555" s="303">
        <f>ROUND($X553*Berechnungen!$B$93,1)</f>
        <v>2.6</v>
      </c>
      <c r="X555" s="786"/>
      <c r="Y555" s="348">
        <v>3</v>
      </c>
      <c r="Z555" s="378">
        <v>12</v>
      </c>
      <c r="AA555" s="306"/>
      <c r="AB555" s="306"/>
      <c r="AC555" s="307"/>
      <c r="AD555" s="307"/>
      <c r="AE555" s="307"/>
      <c r="AF555" s="308"/>
    </row>
    <row r="556" spans="1:32" s="294" customFormat="1" outlineLevel="1" x14ac:dyDescent="0.2">
      <c r="A556" s="293">
        <v>2424</v>
      </c>
      <c r="B556" s="177" t="s">
        <v>672</v>
      </c>
      <c r="C556" s="177" t="s">
        <v>54</v>
      </c>
      <c r="D556" s="178">
        <v>15</v>
      </c>
      <c r="E556" s="316" t="s">
        <v>186</v>
      </c>
      <c r="F556" s="56"/>
      <c r="G556" s="177">
        <v>9</v>
      </c>
      <c r="H556" s="178">
        <v>2</v>
      </c>
      <c r="I556" s="178">
        <v>14</v>
      </c>
      <c r="J556" s="177">
        <v>100</v>
      </c>
      <c r="K556" s="317">
        <v>3600</v>
      </c>
      <c r="L556" s="178"/>
      <c r="M556" s="179"/>
      <c r="N556" s="299">
        <f>VLOOKUP(A556,Baupläne!$B$2:$X$1019,23,FALSE)</f>
        <v>9100</v>
      </c>
      <c r="O556" s="295"/>
      <c r="Q556" s="301"/>
      <c r="R556" s="306"/>
      <c r="S556" s="301"/>
      <c r="T556" s="302"/>
      <c r="U556" s="301"/>
      <c r="V556" s="301"/>
      <c r="W556" s="303">
        <f>ROUND($X553*Berechnungen!$B$94,1)</f>
        <v>3.4</v>
      </c>
      <c r="X556" s="786"/>
      <c r="Y556" s="348">
        <v>4</v>
      </c>
      <c r="Z556" s="378">
        <v>16</v>
      </c>
      <c r="AA556" s="306"/>
      <c r="AB556" s="306"/>
      <c r="AC556" s="307"/>
      <c r="AD556" s="307"/>
      <c r="AE556" s="307"/>
      <c r="AF556" s="308"/>
    </row>
    <row r="557" spans="1:32" s="294" customFormat="1" outlineLevel="1" x14ac:dyDescent="0.2">
      <c r="A557" s="293">
        <v>2425</v>
      </c>
      <c r="B557" s="350" t="s">
        <v>673</v>
      </c>
      <c r="C557" s="350" t="s">
        <v>54</v>
      </c>
      <c r="D557" s="351">
        <v>15</v>
      </c>
      <c r="E557" s="352" t="s">
        <v>186</v>
      </c>
      <c r="F557" s="337"/>
      <c r="G557" s="177">
        <v>9</v>
      </c>
      <c r="H557" s="178">
        <v>2</v>
      </c>
      <c r="I557" s="178">
        <v>15</v>
      </c>
      <c r="J557" s="177">
        <v>100</v>
      </c>
      <c r="K557" s="317">
        <v>2700</v>
      </c>
      <c r="L557" s="178"/>
      <c r="M557" s="179"/>
      <c r="N557" s="299">
        <f>VLOOKUP(A557,Baupläne!$B$2:$X$1019,23,FALSE)</f>
        <v>7300</v>
      </c>
      <c r="O557" s="355"/>
      <c r="P557" s="356"/>
      <c r="Q557" s="357"/>
      <c r="R557" s="358"/>
      <c r="S557" s="357"/>
      <c r="T557" s="359"/>
      <c r="U557" s="357"/>
      <c r="V557" s="357"/>
      <c r="W557" s="303">
        <f>ROUND($X553*Berechnungen!$B$95,1)</f>
        <v>2.6</v>
      </c>
      <c r="X557" s="786"/>
      <c r="Y557" s="348">
        <v>3</v>
      </c>
      <c r="Z557" s="378">
        <v>12</v>
      </c>
      <c r="AA557" s="306"/>
      <c r="AB557" s="306"/>
      <c r="AC557" s="363"/>
      <c r="AD557" s="363"/>
      <c r="AE557" s="363"/>
      <c r="AF557" s="364"/>
    </row>
    <row r="558" spans="1:32" s="294" customFormat="1" ht="12.75" customHeight="1" outlineLevel="1" x14ac:dyDescent="0.2">
      <c r="A558" s="293">
        <v>2431</v>
      </c>
      <c r="B558" s="177" t="s">
        <v>674</v>
      </c>
      <c r="C558" s="177" t="s">
        <v>54</v>
      </c>
      <c r="D558" s="178">
        <v>19</v>
      </c>
      <c r="E558" s="316" t="s">
        <v>186</v>
      </c>
      <c r="F558" s="56"/>
      <c r="G558" s="370">
        <v>9</v>
      </c>
      <c r="H558" s="371">
        <v>2</v>
      </c>
      <c r="I558" s="371">
        <v>11</v>
      </c>
      <c r="J558" s="370">
        <v>100</v>
      </c>
      <c r="K558" s="372">
        <v>3600</v>
      </c>
      <c r="L558" s="371"/>
      <c r="M558" s="373"/>
      <c r="N558" s="299">
        <f>VLOOKUP(A558,Baupläne!$B$2:$X$1019,23,FALSE)</f>
        <v>15900</v>
      </c>
      <c r="O558" s="295"/>
      <c r="Q558" s="301"/>
      <c r="R558" s="306"/>
      <c r="S558" s="301"/>
      <c r="T558" s="302"/>
      <c r="U558" s="301"/>
      <c r="V558" s="301"/>
      <c r="W558" s="303">
        <f>ROUND($X558*Berechnungen!$B$91,1)</f>
        <v>4.2</v>
      </c>
      <c r="X558" s="786">
        <f>ROUND(VLOOKUP($D558+3,Berechnungen!$A$37:$F$66,6),0)</f>
        <v>21</v>
      </c>
      <c r="Y558" s="348">
        <v>4</v>
      </c>
      <c r="Z558" s="378">
        <v>16</v>
      </c>
      <c r="AA558" s="306"/>
      <c r="AB558" s="306"/>
      <c r="AC558" s="307"/>
      <c r="AD558" s="307"/>
      <c r="AE558" s="307"/>
      <c r="AF558" s="308"/>
    </row>
    <row r="559" spans="1:32" s="294" customFormat="1" outlineLevel="1" x14ac:dyDescent="0.2">
      <c r="A559" s="293">
        <v>2432</v>
      </c>
      <c r="B559" s="177" t="s">
        <v>675</v>
      </c>
      <c r="C559" s="177" t="s">
        <v>54</v>
      </c>
      <c r="D559" s="178">
        <v>19</v>
      </c>
      <c r="E559" s="316" t="s">
        <v>186</v>
      </c>
      <c r="F559" s="56"/>
      <c r="G559" s="177">
        <v>9</v>
      </c>
      <c r="H559" s="178">
        <v>2</v>
      </c>
      <c r="I559" s="178">
        <v>12</v>
      </c>
      <c r="J559" s="177">
        <v>100</v>
      </c>
      <c r="K559" s="317">
        <v>5400</v>
      </c>
      <c r="L559" s="178"/>
      <c r="M559" s="179"/>
      <c r="N559" s="299">
        <f>VLOOKUP(A559,Baupläne!$B$2:$X$1019,23,FALSE)</f>
        <v>22100</v>
      </c>
      <c r="O559" s="295"/>
      <c r="Q559" s="301"/>
      <c r="R559" s="306"/>
      <c r="S559" s="301"/>
      <c r="T559" s="302"/>
      <c r="U559" s="301"/>
      <c r="V559" s="301"/>
      <c r="W559" s="303">
        <f>ROUND($X558*Berechnungen!$B$92,1)</f>
        <v>6.3</v>
      </c>
      <c r="X559" s="786"/>
      <c r="Y559" s="348">
        <v>6</v>
      </c>
      <c r="Z559" s="378">
        <v>24</v>
      </c>
      <c r="AA559" s="306"/>
      <c r="AB559" s="306"/>
      <c r="AC559" s="307"/>
      <c r="AD559" s="307"/>
      <c r="AE559" s="307"/>
      <c r="AF559" s="308"/>
    </row>
    <row r="560" spans="1:32" s="294" customFormat="1" outlineLevel="1" x14ac:dyDescent="0.2">
      <c r="A560" s="293">
        <v>2433</v>
      </c>
      <c r="B560" s="177" t="s">
        <v>676</v>
      </c>
      <c r="C560" s="177" t="s">
        <v>54</v>
      </c>
      <c r="D560" s="178">
        <v>20</v>
      </c>
      <c r="E560" s="316" t="s">
        <v>186</v>
      </c>
      <c r="F560" s="56"/>
      <c r="G560" s="177">
        <v>9</v>
      </c>
      <c r="H560" s="178">
        <v>2</v>
      </c>
      <c r="I560" s="178">
        <v>13</v>
      </c>
      <c r="J560" s="177">
        <v>100</v>
      </c>
      <c r="K560" s="317">
        <v>2700</v>
      </c>
      <c r="L560" s="178"/>
      <c r="M560" s="179"/>
      <c r="N560" s="299">
        <f>VLOOKUP(A560,Baupläne!$B$2:$X$1019,23,FALSE)</f>
        <v>14200</v>
      </c>
      <c r="O560" s="295"/>
      <c r="Q560" s="301"/>
      <c r="R560" s="306"/>
      <c r="S560" s="301"/>
      <c r="T560" s="302"/>
      <c r="U560" s="301"/>
      <c r="V560" s="301"/>
      <c r="W560" s="303">
        <f>ROUND($X558*Berechnungen!$B$93,1)</f>
        <v>3.2</v>
      </c>
      <c r="X560" s="786"/>
      <c r="Y560" s="348">
        <v>3</v>
      </c>
      <c r="Z560" s="378">
        <v>12</v>
      </c>
      <c r="AA560" s="306"/>
      <c r="AB560" s="306"/>
      <c r="AC560" s="307"/>
      <c r="AD560" s="307"/>
      <c r="AE560" s="307"/>
      <c r="AF560" s="308"/>
    </row>
    <row r="561" spans="1:32" s="294" customFormat="1" outlineLevel="1" x14ac:dyDescent="0.2">
      <c r="A561" s="293">
        <v>2434</v>
      </c>
      <c r="B561" s="177" t="s">
        <v>677</v>
      </c>
      <c r="C561" s="177" t="s">
        <v>54</v>
      </c>
      <c r="D561" s="178">
        <v>20</v>
      </c>
      <c r="E561" s="316" t="s">
        <v>186</v>
      </c>
      <c r="F561" s="56"/>
      <c r="G561" s="177">
        <v>9</v>
      </c>
      <c r="H561" s="178">
        <v>2</v>
      </c>
      <c r="I561" s="178">
        <v>14</v>
      </c>
      <c r="J561" s="177">
        <v>100</v>
      </c>
      <c r="K561" s="317">
        <v>3600</v>
      </c>
      <c r="L561" s="178"/>
      <c r="M561" s="179"/>
      <c r="N561" s="299">
        <f>VLOOKUP(A561,Baupläne!$B$2:$X$1019,23,FALSE)</f>
        <v>17700</v>
      </c>
      <c r="O561" s="295"/>
      <c r="Q561" s="301"/>
      <c r="R561" s="306"/>
      <c r="S561" s="301"/>
      <c r="T561" s="302"/>
      <c r="U561" s="301"/>
      <c r="V561" s="301"/>
      <c r="W561" s="303">
        <f>ROUND($X558*Berechnungen!$B$94,1)</f>
        <v>4.2</v>
      </c>
      <c r="X561" s="786"/>
      <c r="Y561" s="348">
        <v>4</v>
      </c>
      <c r="Z561" s="378">
        <v>16</v>
      </c>
      <c r="AA561" s="306"/>
      <c r="AB561" s="306"/>
      <c r="AC561" s="307"/>
      <c r="AD561" s="307"/>
      <c r="AE561" s="307"/>
      <c r="AF561" s="308"/>
    </row>
    <row r="562" spans="1:32" s="294" customFormat="1" outlineLevel="1" x14ac:dyDescent="0.2">
      <c r="A562" s="293">
        <v>2435</v>
      </c>
      <c r="B562" s="350" t="s">
        <v>678</v>
      </c>
      <c r="C562" s="350" t="s">
        <v>54</v>
      </c>
      <c r="D562" s="351">
        <v>20</v>
      </c>
      <c r="E562" s="352" t="s">
        <v>186</v>
      </c>
      <c r="F562" s="337"/>
      <c r="G562" s="350">
        <v>9</v>
      </c>
      <c r="H562" s="351">
        <v>2</v>
      </c>
      <c r="I562" s="351">
        <v>15</v>
      </c>
      <c r="J562" s="350">
        <v>100</v>
      </c>
      <c r="K562" s="353">
        <v>2700</v>
      </c>
      <c r="L562" s="351"/>
      <c r="M562" s="354"/>
      <c r="N562" s="299">
        <f>VLOOKUP(A562,Baupläne!$B$2:$X$1019,23,FALSE)</f>
        <v>14200</v>
      </c>
      <c r="O562" s="355"/>
      <c r="P562" s="356"/>
      <c r="Q562" s="357"/>
      <c r="R562" s="358"/>
      <c r="S562" s="357"/>
      <c r="T562" s="359"/>
      <c r="U562" s="357"/>
      <c r="V562" s="357"/>
      <c r="W562" s="303">
        <f>ROUND($X558*Berechnungen!$B$95,1)</f>
        <v>3.2</v>
      </c>
      <c r="X562" s="786"/>
      <c r="Y562" s="348">
        <v>3</v>
      </c>
      <c r="Z562" s="378">
        <v>12</v>
      </c>
      <c r="AA562" s="306"/>
      <c r="AB562" s="306"/>
      <c r="AC562" s="363"/>
      <c r="AD562" s="363"/>
      <c r="AE562" s="363"/>
      <c r="AF562" s="364"/>
    </row>
    <row r="563" spans="1:32" s="294" customFormat="1" ht="12.75" customHeight="1" outlineLevel="1" x14ac:dyDescent="0.2">
      <c r="A563" s="293">
        <v>2441</v>
      </c>
      <c r="B563" s="177" t="s">
        <v>679</v>
      </c>
      <c r="C563" s="177" t="s">
        <v>54</v>
      </c>
      <c r="D563" s="178">
        <v>24</v>
      </c>
      <c r="E563" s="316" t="s">
        <v>186</v>
      </c>
      <c r="F563" s="56"/>
      <c r="G563" s="177">
        <v>9</v>
      </c>
      <c r="H563" s="178">
        <v>2</v>
      </c>
      <c r="I563" s="178">
        <v>11</v>
      </c>
      <c r="J563" s="177">
        <v>100</v>
      </c>
      <c r="K563" s="317">
        <v>3600</v>
      </c>
      <c r="L563" s="178"/>
      <c r="M563" s="179"/>
      <c r="N563" s="299">
        <f>VLOOKUP(A563,Baupläne!$B$2:$X$1019,23,FALSE)</f>
        <v>29900</v>
      </c>
      <c r="O563" s="295"/>
      <c r="Q563" s="301"/>
      <c r="R563" s="306"/>
      <c r="S563" s="301"/>
      <c r="T563" s="302"/>
      <c r="U563" s="301"/>
      <c r="V563" s="301"/>
      <c r="W563" s="303">
        <f>ROUND($X563*Berechnungen!$B$91,1)</f>
        <v>5.4</v>
      </c>
      <c r="X563" s="786">
        <f>ROUND(VLOOKUP($D563+3,Berechnungen!$A$37:$F$66,6),0)</f>
        <v>27</v>
      </c>
      <c r="Y563" s="348">
        <v>4</v>
      </c>
      <c r="Z563" s="378">
        <v>16</v>
      </c>
      <c r="AA563" s="306"/>
      <c r="AB563" s="306"/>
      <c r="AC563" s="307"/>
      <c r="AD563" s="307"/>
      <c r="AE563" s="307"/>
      <c r="AF563" s="308"/>
    </row>
    <row r="564" spans="1:32" s="294" customFormat="1" outlineLevel="1" x14ac:dyDescent="0.2">
      <c r="A564" s="293">
        <v>2442</v>
      </c>
      <c r="B564" s="177" t="s">
        <v>680</v>
      </c>
      <c r="C564" s="177" t="s">
        <v>54</v>
      </c>
      <c r="D564" s="178">
        <v>24</v>
      </c>
      <c r="E564" s="316" t="s">
        <v>186</v>
      </c>
      <c r="F564" s="56"/>
      <c r="G564" s="177">
        <v>9</v>
      </c>
      <c r="H564" s="178">
        <v>2</v>
      </c>
      <c r="I564" s="178">
        <v>12</v>
      </c>
      <c r="J564" s="177">
        <v>100</v>
      </c>
      <c r="K564" s="317">
        <v>5400</v>
      </c>
      <c r="L564" s="178"/>
      <c r="M564" s="179"/>
      <c r="N564" s="299">
        <f>VLOOKUP(A564,Baupläne!$B$2:$X$1019,23,FALSE)</f>
        <v>42300</v>
      </c>
      <c r="O564" s="295"/>
      <c r="Q564" s="301"/>
      <c r="R564" s="306"/>
      <c r="S564" s="301"/>
      <c r="T564" s="302"/>
      <c r="U564" s="301"/>
      <c r="V564" s="301"/>
      <c r="W564" s="303">
        <f>ROUND($X563*Berechnungen!$B$92,1)</f>
        <v>8.1</v>
      </c>
      <c r="X564" s="786"/>
      <c r="Y564" s="348">
        <v>6</v>
      </c>
      <c r="Z564" s="378">
        <v>24</v>
      </c>
      <c r="AA564" s="306"/>
      <c r="AB564" s="306"/>
      <c r="AC564" s="307"/>
      <c r="AD564" s="307"/>
      <c r="AE564" s="307"/>
      <c r="AF564" s="308"/>
    </row>
    <row r="565" spans="1:32" s="294" customFormat="1" outlineLevel="1" x14ac:dyDescent="0.2">
      <c r="A565" s="293">
        <v>2443</v>
      </c>
      <c r="B565" s="177" t="s">
        <v>681</v>
      </c>
      <c r="C565" s="177" t="s">
        <v>54</v>
      </c>
      <c r="D565" s="178">
        <v>25</v>
      </c>
      <c r="E565" s="316" t="s">
        <v>186</v>
      </c>
      <c r="F565" s="56"/>
      <c r="G565" s="177">
        <v>9</v>
      </c>
      <c r="H565" s="178">
        <v>2</v>
      </c>
      <c r="I565" s="178">
        <v>13</v>
      </c>
      <c r="J565" s="177">
        <v>100</v>
      </c>
      <c r="K565" s="317">
        <v>2700</v>
      </c>
      <c r="L565" s="178"/>
      <c r="M565" s="179"/>
      <c r="N565" s="299">
        <f>VLOOKUP(A565,Baupläne!$B$2:$X$1019,23,FALSE)</f>
        <v>26500</v>
      </c>
      <c r="O565" s="295"/>
      <c r="Q565" s="301"/>
      <c r="R565" s="306"/>
      <c r="S565" s="301"/>
      <c r="T565" s="302"/>
      <c r="U565" s="301"/>
      <c r="V565" s="301"/>
      <c r="W565" s="303">
        <f>ROUND($X563*Berechnungen!$B$93,1)</f>
        <v>4.0999999999999996</v>
      </c>
      <c r="X565" s="786"/>
      <c r="Y565" s="348">
        <v>3</v>
      </c>
      <c r="Z565" s="378">
        <v>12</v>
      </c>
      <c r="AA565" s="306"/>
      <c r="AB565" s="306"/>
      <c r="AC565" s="307"/>
      <c r="AD565" s="307"/>
      <c r="AE565" s="307"/>
      <c r="AF565" s="308"/>
    </row>
    <row r="566" spans="1:32" s="294" customFormat="1" outlineLevel="1" x14ac:dyDescent="0.2">
      <c r="A566" s="293">
        <v>2444</v>
      </c>
      <c r="B566" s="177" t="s">
        <v>682</v>
      </c>
      <c r="C566" s="177" t="s">
        <v>54</v>
      </c>
      <c r="D566" s="178">
        <v>25</v>
      </c>
      <c r="E566" s="316" t="s">
        <v>186</v>
      </c>
      <c r="F566" s="56"/>
      <c r="G566" s="177">
        <v>9</v>
      </c>
      <c r="H566" s="178">
        <v>2</v>
      </c>
      <c r="I566" s="178">
        <v>14</v>
      </c>
      <c r="J566" s="177">
        <v>100</v>
      </c>
      <c r="K566" s="317">
        <v>3600</v>
      </c>
      <c r="L566" s="178"/>
      <c r="M566" s="179"/>
      <c r="N566" s="299">
        <f>VLOOKUP(A566,Baupläne!$B$2:$X$1019,23,FALSE)</f>
        <v>33600</v>
      </c>
      <c r="O566" s="295"/>
      <c r="Q566" s="301"/>
      <c r="R566" s="306"/>
      <c r="S566" s="301"/>
      <c r="T566" s="302"/>
      <c r="U566" s="301"/>
      <c r="V566" s="301"/>
      <c r="W566" s="303">
        <f>ROUND($X563*Berechnungen!$B$94,1)</f>
        <v>5.4</v>
      </c>
      <c r="X566" s="786"/>
      <c r="Y566" s="348">
        <v>4</v>
      </c>
      <c r="Z566" s="378">
        <v>16</v>
      </c>
      <c r="AA566" s="306"/>
      <c r="AB566" s="306"/>
      <c r="AC566" s="307"/>
      <c r="AD566" s="307"/>
      <c r="AE566" s="307"/>
      <c r="AF566" s="308"/>
    </row>
    <row r="567" spans="1:32" s="294" customFormat="1" outlineLevel="1" x14ac:dyDescent="0.2">
      <c r="A567" s="293">
        <v>2445</v>
      </c>
      <c r="B567" s="350" t="s">
        <v>683</v>
      </c>
      <c r="C567" s="350" t="s">
        <v>54</v>
      </c>
      <c r="D567" s="351">
        <v>25</v>
      </c>
      <c r="E567" s="352" t="s">
        <v>186</v>
      </c>
      <c r="F567" s="337"/>
      <c r="G567" s="350">
        <v>9</v>
      </c>
      <c r="H567" s="351">
        <v>2</v>
      </c>
      <c r="I567" s="351">
        <v>15</v>
      </c>
      <c r="J567" s="350">
        <v>100</v>
      </c>
      <c r="K567" s="353">
        <v>2700</v>
      </c>
      <c r="L567" s="351"/>
      <c r="M567" s="354"/>
      <c r="N567" s="299">
        <f>VLOOKUP(A567,Baupläne!$B$2:$X$1019,23,FALSE)</f>
        <v>26500</v>
      </c>
      <c r="O567" s="355"/>
      <c r="P567" s="356"/>
      <c r="Q567" s="357"/>
      <c r="R567" s="358"/>
      <c r="S567" s="357"/>
      <c r="T567" s="359"/>
      <c r="U567" s="357"/>
      <c r="V567" s="357"/>
      <c r="W567" s="303">
        <f>ROUND($X563*Berechnungen!$B$95,1)</f>
        <v>4.0999999999999996</v>
      </c>
      <c r="X567" s="786"/>
      <c r="Y567" s="348">
        <v>3</v>
      </c>
      <c r="Z567" s="378">
        <v>12</v>
      </c>
      <c r="AA567" s="306"/>
      <c r="AB567" s="306"/>
      <c r="AC567" s="363"/>
      <c r="AD567" s="363"/>
      <c r="AE567" s="363"/>
      <c r="AF567" s="364"/>
    </row>
    <row r="568" spans="1:32" x14ac:dyDescent="0.2">
      <c r="A568" s="271"/>
      <c r="B568" s="272" t="s">
        <v>684</v>
      </c>
      <c r="C568" s="321"/>
      <c r="D568" s="322"/>
      <c r="E568" s="365"/>
      <c r="F568" s="366"/>
      <c r="G568" s="388"/>
      <c r="H568" s="389"/>
      <c r="I568" s="389"/>
      <c r="J568" s="388"/>
      <c r="K568" s="390"/>
      <c r="L568" s="389"/>
      <c r="M568" s="391"/>
      <c r="N568" s="327"/>
      <c r="O568" s="328"/>
      <c r="P568" s="329"/>
      <c r="Q568" s="281"/>
      <c r="R568" s="330"/>
      <c r="S568" s="281"/>
      <c r="T568" s="282"/>
      <c r="U568" s="281"/>
      <c r="V568" s="281"/>
      <c r="W568" s="283"/>
      <c r="X568" s="284"/>
      <c r="Y568" s="285"/>
      <c r="Z568" s="286"/>
      <c r="AA568" s="287"/>
      <c r="AB568" s="287"/>
      <c r="AC568" s="288"/>
      <c r="AD568" s="288"/>
      <c r="AE568" s="288"/>
      <c r="AF568" s="289"/>
    </row>
    <row r="569" spans="1:32" outlineLevel="1" x14ac:dyDescent="0.2">
      <c r="A569" s="5">
        <v>1501</v>
      </c>
      <c r="B569" s="3" t="s">
        <v>685</v>
      </c>
      <c r="C569" s="3" t="s">
        <v>53</v>
      </c>
      <c r="D569" s="6">
        <v>1</v>
      </c>
      <c r="E569" s="55" t="s">
        <v>281</v>
      </c>
      <c r="G569" s="3">
        <v>8</v>
      </c>
      <c r="H569" s="54">
        <v>1</v>
      </c>
      <c r="I569" s="54">
        <v>3</v>
      </c>
      <c r="J569" s="3">
        <v>100</v>
      </c>
      <c r="K569" s="57">
        <v>2700</v>
      </c>
      <c r="L569" s="54"/>
      <c r="M569" s="58">
        <v>1</v>
      </c>
      <c r="N569" s="59">
        <f>VLOOKUP(A569,Baupläne!$B$2:$X$1019,23,FALSE)</f>
        <v>1000</v>
      </c>
      <c r="Y569" s="19">
        <v>4</v>
      </c>
      <c r="AA569" s="15">
        <f>ROUND(25+D569*1.1,0)</f>
        <v>26</v>
      </c>
      <c r="AC569" s="227"/>
      <c r="AD569" s="227"/>
      <c r="AE569" s="227"/>
      <c r="AF569" s="228"/>
    </row>
    <row r="570" spans="1:32" outlineLevel="1" x14ac:dyDescent="0.2">
      <c r="A570" s="5">
        <v>1502</v>
      </c>
      <c r="B570" s="3" t="s">
        <v>686</v>
      </c>
      <c r="C570" s="3" t="s">
        <v>53</v>
      </c>
      <c r="D570" s="6">
        <v>4</v>
      </c>
      <c r="E570" s="55" t="s">
        <v>281</v>
      </c>
      <c r="G570" s="3">
        <v>8</v>
      </c>
      <c r="H570" s="54">
        <v>1</v>
      </c>
      <c r="I570" s="54">
        <v>3</v>
      </c>
      <c r="J570" s="3">
        <v>100</v>
      </c>
      <c r="K570" s="57">
        <v>2900</v>
      </c>
      <c r="L570" s="54"/>
      <c r="M570" s="58">
        <v>1</v>
      </c>
      <c r="N570" s="59">
        <f>VLOOKUP(A570,Baupläne!$B$2:$X$1019,23,FALSE)</f>
        <v>1500</v>
      </c>
      <c r="Y570" s="19">
        <v>4</v>
      </c>
      <c r="AA570" s="15">
        <f t="shared" ref="AA570:AA578" si="34">ROUND(25+D570*1.1,0)</f>
        <v>29</v>
      </c>
      <c r="AC570" s="227"/>
      <c r="AD570" s="227"/>
      <c r="AE570" s="227"/>
      <c r="AF570" s="228"/>
    </row>
    <row r="571" spans="1:32" outlineLevel="1" x14ac:dyDescent="0.2">
      <c r="A571" s="5">
        <v>1503</v>
      </c>
      <c r="B571" s="3" t="s">
        <v>687</v>
      </c>
      <c r="C571" s="3" t="s">
        <v>53</v>
      </c>
      <c r="D571" s="6">
        <v>6</v>
      </c>
      <c r="E571" s="55" t="s">
        <v>281</v>
      </c>
      <c r="G571" s="3">
        <v>8</v>
      </c>
      <c r="H571" s="54">
        <v>1</v>
      </c>
      <c r="I571" s="54">
        <v>3</v>
      </c>
      <c r="J571" s="3">
        <v>100</v>
      </c>
      <c r="K571" s="57">
        <v>2800</v>
      </c>
      <c r="L571" s="54"/>
      <c r="M571" s="58">
        <v>2</v>
      </c>
      <c r="N571" s="59">
        <f>VLOOKUP(A571,Baupläne!$B$2:$X$1019,23,FALSE)</f>
        <v>2000</v>
      </c>
      <c r="Y571" s="19">
        <v>4</v>
      </c>
      <c r="AA571" s="15">
        <f t="shared" si="34"/>
        <v>32</v>
      </c>
      <c r="AC571" s="227"/>
      <c r="AD571" s="227"/>
      <c r="AE571" s="227"/>
      <c r="AF571" s="228"/>
    </row>
    <row r="572" spans="1:32" outlineLevel="1" x14ac:dyDescent="0.2">
      <c r="A572" s="5">
        <v>1504</v>
      </c>
      <c r="B572" s="3" t="s">
        <v>688</v>
      </c>
      <c r="C572" s="3" t="s">
        <v>53</v>
      </c>
      <c r="D572" s="6">
        <v>9</v>
      </c>
      <c r="E572" s="55" t="s">
        <v>281</v>
      </c>
      <c r="G572" s="3">
        <v>8</v>
      </c>
      <c r="H572" s="54">
        <v>1</v>
      </c>
      <c r="I572" s="54">
        <v>3</v>
      </c>
      <c r="J572" s="3">
        <v>100</v>
      </c>
      <c r="K572" s="57">
        <v>3200</v>
      </c>
      <c r="L572" s="54"/>
      <c r="M572" s="58">
        <v>2</v>
      </c>
      <c r="N572" s="59">
        <f>VLOOKUP(A572,Baupläne!$B$2:$X$1019,23,FALSE)</f>
        <v>3100</v>
      </c>
      <c r="Y572" s="19">
        <v>4</v>
      </c>
      <c r="AA572" s="15">
        <f t="shared" si="34"/>
        <v>35</v>
      </c>
      <c r="AC572" s="227"/>
      <c r="AD572" s="227"/>
      <c r="AE572" s="227"/>
      <c r="AF572" s="228"/>
    </row>
    <row r="573" spans="1:32" outlineLevel="1" x14ac:dyDescent="0.2">
      <c r="A573" s="5">
        <v>1505</v>
      </c>
      <c r="B573" s="3" t="s">
        <v>689</v>
      </c>
      <c r="C573" s="3" t="s">
        <v>53</v>
      </c>
      <c r="D573" s="6">
        <v>11</v>
      </c>
      <c r="E573" s="55" t="s">
        <v>281</v>
      </c>
      <c r="G573" s="3">
        <v>8</v>
      </c>
      <c r="H573" s="54">
        <v>1</v>
      </c>
      <c r="I573" s="54">
        <v>3</v>
      </c>
      <c r="J573" s="3">
        <v>100</v>
      </c>
      <c r="K573" s="57">
        <v>3100</v>
      </c>
      <c r="L573" s="54"/>
      <c r="M573" s="58">
        <v>3</v>
      </c>
      <c r="N573" s="59">
        <f>VLOOKUP(A573,Baupläne!$B$2:$X$1019,23,FALSE)</f>
        <v>4000</v>
      </c>
      <c r="Y573" s="19">
        <v>4</v>
      </c>
      <c r="AA573" s="15">
        <f t="shared" si="34"/>
        <v>37</v>
      </c>
      <c r="AC573" s="227"/>
      <c r="AD573" s="227"/>
      <c r="AE573" s="227"/>
      <c r="AF573" s="228"/>
    </row>
    <row r="574" spans="1:32" outlineLevel="1" x14ac:dyDescent="0.2">
      <c r="A574" s="5">
        <v>1506</v>
      </c>
      <c r="B574" s="3" t="s">
        <v>690</v>
      </c>
      <c r="C574" s="3" t="s">
        <v>53</v>
      </c>
      <c r="D574" s="6">
        <v>14</v>
      </c>
      <c r="E574" s="55" t="s">
        <v>281</v>
      </c>
      <c r="G574" s="3">
        <v>8</v>
      </c>
      <c r="H574" s="54">
        <v>1</v>
      </c>
      <c r="I574" s="54">
        <v>3</v>
      </c>
      <c r="J574" s="3">
        <v>100</v>
      </c>
      <c r="K574" s="57">
        <v>2900</v>
      </c>
      <c r="L574" s="54"/>
      <c r="M574" s="58">
        <v>3</v>
      </c>
      <c r="N574" s="59">
        <f>VLOOKUP(A574,Baupläne!$B$2:$X$1019,23,FALSE)</f>
        <v>6200</v>
      </c>
      <c r="Y574" s="19">
        <v>4</v>
      </c>
      <c r="AA574" s="15">
        <f t="shared" si="34"/>
        <v>40</v>
      </c>
      <c r="AC574" s="227"/>
      <c r="AD574" s="227"/>
      <c r="AE574" s="227"/>
      <c r="AF574" s="228"/>
    </row>
    <row r="575" spans="1:32" outlineLevel="1" x14ac:dyDescent="0.2">
      <c r="A575" s="5">
        <v>1507</v>
      </c>
      <c r="B575" s="3" t="s">
        <v>691</v>
      </c>
      <c r="C575" s="3" t="s">
        <v>53</v>
      </c>
      <c r="D575" s="6">
        <v>16</v>
      </c>
      <c r="E575" s="55" t="s">
        <v>281</v>
      </c>
      <c r="G575" s="3">
        <v>8</v>
      </c>
      <c r="H575" s="54">
        <v>1</v>
      </c>
      <c r="I575" s="54">
        <v>3</v>
      </c>
      <c r="J575" s="3">
        <v>100</v>
      </c>
      <c r="K575" s="57">
        <v>3300</v>
      </c>
      <c r="L575" s="54"/>
      <c r="M575" s="58">
        <v>4</v>
      </c>
      <c r="N575" s="59">
        <f>VLOOKUP(A575,Baupläne!$B$2:$X$1019,23,FALSE)</f>
        <v>8100</v>
      </c>
      <c r="Y575" s="19">
        <v>4</v>
      </c>
      <c r="AA575" s="15">
        <f t="shared" si="34"/>
        <v>43</v>
      </c>
      <c r="AC575" s="227"/>
      <c r="AD575" s="227"/>
      <c r="AE575" s="227"/>
      <c r="AF575" s="228"/>
    </row>
    <row r="576" spans="1:32" outlineLevel="1" x14ac:dyDescent="0.2">
      <c r="A576" s="5">
        <v>1508</v>
      </c>
      <c r="B576" s="3" t="s">
        <v>692</v>
      </c>
      <c r="C576" s="3" t="s">
        <v>53</v>
      </c>
      <c r="D576" s="6">
        <v>19</v>
      </c>
      <c r="E576" s="55" t="s">
        <v>281</v>
      </c>
      <c r="G576" s="3">
        <v>8</v>
      </c>
      <c r="H576" s="54">
        <v>1</v>
      </c>
      <c r="I576" s="54">
        <v>3</v>
      </c>
      <c r="J576" s="3">
        <v>100</v>
      </c>
      <c r="K576" s="57">
        <v>3400</v>
      </c>
      <c r="L576" s="54"/>
      <c r="M576" s="58">
        <v>4</v>
      </c>
      <c r="N576" s="59">
        <f>VLOOKUP(A576,Baupläne!$B$2:$X$1019,23,FALSE)</f>
        <v>12400</v>
      </c>
      <c r="Y576" s="19">
        <v>4</v>
      </c>
      <c r="AA576" s="15">
        <f t="shared" si="34"/>
        <v>46</v>
      </c>
      <c r="AC576" s="227"/>
      <c r="AD576" s="227"/>
      <c r="AE576" s="227"/>
      <c r="AF576" s="228"/>
    </row>
    <row r="577" spans="1:32" outlineLevel="1" x14ac:dyDescent="0.2">
      <c r="A577" s="5">
        <v>1509</v>
      </c>
      <c r="B577" s="1" t="s">
        <v>693</v>
      </c>
      <c r="C577" s="3" t="s">
        <v>53</v>
      </c>
      <c r="D577" s="6">
        <v>21</v>
      </c>
      <c r="E577" s="55" t="s">
        <v>281</v>
      </c>
      <c r="G577" s="3">
        <v>8</v>
      </c>
      <c r="H577" s="54">
        <v>1</v>
      </c>
      <c r="I577" s="54">
        <v>3</v>
      </c>
      <c r="J577" s="3">
        <v>100</v>
      </c>
      <c r="K577" s="57">
        <v>3300</v>
      </c>
      <c r="L577" s="54"/>
      <c r="M577" s="58">
        <v>5</v>
      </c>
      <c r="N577" s="59">
        <f>VLOOKUP(A577,Baupläne!$B$2:$X$1019,23,FALSE)</f>
        <v>16400</v>
      </c>
      <c r="Y577" s="19">
        <v>4</v>
      </c>
      <c r="AA577" s="15">
        <f t="shared" si="34"/>
        <v>48</v>
      </c>
      <c r="AC577" s="392"/>
      <c r="AD577" s="227"/>
      <c r="AE577" s="227"/>
      <c r="AF577" s="228"/>
    </row>
    <row r="578" spans="1:32" outlineLevel="1" x14ac:dyDescent="0.2">
      <c r="A578" s="5">
        <v>1510</v>
      </c>
      <c r="B578" s="1" t="s">
        <v>694</v>
      </c>
      <c r="C578" s="3" t="s">
        <v>53</v>
      </c>
      <c r="D578" s="6">
        <v>24</v>
      </c>
      <c r="E578" s="55" t="s">
        <v>281</v>
      </c>
      <c r="G578" s="3">
        <v>8</v>
      </c>
      <c r="H578" s="54">
        <v>1</v>
      </c>
      <c r="I578" s="54">
        <v>3</v>
      </c>
      <c r="J578" s="3">
        <v>100</v>
      </c>
      <c r="K578" s="57">
        <v>3400</v>
      </c>
      <c r="L578" s="54"/>
      <c r="M578" s="58">
        <v>5</v>
      </c>
      <c r="N578" s="59">
        <f>VLOOKUP(A578,Baupläne!$B$2:$X$1019,23,FALSE)</f>
        <v>24900</v>
      </c>
      <c r="S578" s="393"/>
      <c r="V578" s="16"/>
      <c r="Y578" s="19">
        <v>4</v>
      </c>
      <c r="AA578" s="15">
        <f t="shared" si="34"/>
        <v>51</v>
      </c>
      <c r="AC578" s="392"/>
      <c r="AD578" s="227"/>
      <c r="AE578" s="227"/>
      <c r="AF578" s="228"/>
    </row>
    <row r="579" spans="1:32" s="294" customFormat="1" outlineLevel="1" x14ac:dyDescent="0.2">
      <c r="A579" s="293">
        <v>2501</v>
      </c>
      <c r="B579" s="177" t="s">
        <v>695</v>
      </c>
      <c r="C579" s="177" t="s">
        <v>53</v>
      </c>
      <c r="D579" s="295">
        <v>4</v>
      </c>
      <c r="E579" s="316" t="s">
        <v>281</v>
      </c>
      <c r="F579" s="8"/>
      <c r="G579" s="177">
        <v>8</v>
      </c>
      <c r="H579" s="178">
        <v>2</v>
      </c>
      <c r="I579" s="178">
        <v>3</v>
      </c>
      <c r="J579" s="177">
        <v>100</v>
      </c>
      <c r="K579" s="317">
        <v>2800</v>
      </c>
      <c r="L579" s="178"/>
      <c r="M579" s="179"/>
      <c r="N579" s="299">
        <f>VLOOKUP(A579,Baupläne!$B$2:$X$1019,23,FALSE)</f>
        <v>2500</v>
      </c>
      <c r="O579" s="295"/>
      <c r="Q579" s="301"/>
      <c r="R579" s="306"/>
      <c r="S579" s="301"/>
      <c r="T579" s="302"/>
      <c r="U579" s="301"/>
      <c r="V579" s="301"/>
      <c r="W579" s="303"/>
      <c r="X579" s="304"/>
      <c r="Y579" s="305">
        <v>4</v>
      </c>
      <c r="AA579" s="856">
        <f>ROUND((D579+3)*1.1+25,0)</f>
        <v>33</v>
      </c>
      <c r="AB579" s="306"/>
      <c r="AC579" s="307"/>
      <c r="AD579" s="307"/>
      <c r="AE579" s="307"/>
      <c r="AF579" s="308"/>
    </row>
    <row r="580" spans="1:32" s="294" customFormat="1" outlineLevel="1" x14ac:dyDescent="0.2">
      <c r="A580" s="293">
        <v>2502</v>
      </c>
      <c r="B580" s="177" t="s">
        <v>696</v>
      </c>
      <c r="C580" s="177" t="s">
        <v>53</v>
      </c>
      <c r="D580" s="295">
        <v>9</v>
      </c>
      <c r="E580" s="316" t="s">
        <v>281</v>
      </c>
      <c r="F580" s="8"/>
      <c r="G580" s="177">
        <v>8</v>
      </c>
      <c r="H580" s="178">
        <v>2</v>
      </c>
      <c r="I580" s="178">
        <v>3</v>
      </c>
      <c r="J580" s="177">
        <v>100</v>
      </c>
      <c r="K580" s="317">
        <v>2800</v>
      </c>
      <c r="L580" s="178"/>
      <c r="M580" s="179"/>
      <c r="N580" s="299">
        <f>VLOOKUP(A580,Baupläne!$B$2:$X$1019,23,FALSE)</f>
        <v>5100</v>
      </c>
      <c r="O580" s="295"/>
      <c r="Q580" s="301"/>
      <c r="R580" s="306"/>
      <c r="S580" s="301"/>
      <c r="T580" s="302"/>
      <c r="U580" s="301"/>
      <c r="V580" s="301"/>
      <c r="W580" s="303"/>
      <c r="X580" s="304"/>
      <c r="Y580" s="305">
        <v>4</v>
      </c>
      <c r="AA580" s="856">
        <f t="shared" ref="AA580:AA583" si="35">ROUND((D580+3)*1.1+25,0)</f>
        <v>38</v>
      </c>
      <c r="AB580" s="306"/>
      <c r="AC580" s="307"/>
      <c r="AD580" s="307"/>
      <c r="AE580" s="307"/>
      <c r="AF580" s="308"/>
    </row>
    <row r="581" spans="1:32" s="294" customFormat="1" outlineLevel="1" x14ac:dyDescent="0.2">
      <c r="A581" s="293">
        <v>2503</v>
      </c>
      <c r="B581" s="177" t="s">
        <v>697</v>
      </c>
      <c r="C581" s="177" t="s">
        <v>53</v>
      </c>
      <c r="D581" s="295">
        <v>14</v>
      </c>
      <c r="E581" s="316" t="s">
        <v>281</v>
      </c>
      <c r="F581" s="8"/>
      <c r="G581" s="177">
        <v>8</v>
      </c>
      <c r="H581" s="178">
        <v>2</v>
      </c>
      <c r="I581" s="178">
        <v>3</v>
      </c>
      <c r="J581" s="177">
        <v>100</v>
      </c>
      <c r="K581" s="317">
        <v>2800</v>
      </c>
      <c r="L581" s="178"/>
      <c r="M581" s="179"/>
      <c r="N581" s="299">
        <f>VLOOKUP(A581,Baupläne!$B$2:$X$1019,23,FALSE)</f>
        <v>10200</v>
      </c>
      <c r="O581" s="295"/>
      <c r="Q581" s="301"/>
      <c r="R581" s="306"/>
      <c r="S581" s="301"/>
      <c r="T581" s="302"/>
      <c r="U581" s="301"/>
      <c r="V581" s="301"/>
      <c r="W581" s="303"/>
      <c r="X581" s="304"/>
      <c r="Y581" s="305">
        <v>4</v>
      </c>
      <c r="AA581" s="856">
        <f t="shared" si="35"/>
        <v>44</v>
      </c>
      <c r="AB581" s="306"/>
      <c r="AC581" s="307"/>
      <c r="AD581" s="307"/>
      <c r="AE581" s="307"/>
      <c r="AF581" s="308"/>
    </row>
    <row r="582" spans="1:32" s="294" customFormat="1" outlineLevel="1" x14ac:dyDescent="0.2">
      <c r="A582" s="293">
        <v>2504</v>
      </c>
      <c r="B582" s="177" t="s">
        <v>698</v>
      </c>
      <c r="C582" s="177" t="s">
        <v>53</v>
      </c>
      <c r="D582" s="295">
        <v>19</v>
      </c>
      <c r="E582" s="316" t="s">
        <v>281</v>
      </c>
      <c r="F582" s="8"/>
      <c r="G582" s="177">
        <v>8</v>
      </c>
      <c r="H582" s="178">
        <v>2</v>
      </c>
      <c r="I582" s="178">
        <v>3</v>
      </c>
      <c r="J582" s="177">
        <v>100</v>
      </c>
      <c r="K582" s="317">
        <v>2800</v>
      </c>
      <c r="L582" s="178"/>
      <c r="M582" s="179"/>
      <c r="N582" s="299">
        <f>VLOOKUP(A582,Baupläne!$B$2:$X$1019,23,FALSE)</f>
        <v>19400</v>
      </c>
      <c r="O582" s="295"/>
      <c r="Q582" s="301"/>
      <c r="R582" s="306"/>
      <c r="S582" s="301"/>
      <c r="T582" s="302"/>
      <c r="U582" s="301"/>
      <c r="V582" s="301"/>
      <c r="W582" s="303"/>
      <c r="X582" s="304"/>
      <c r="Y582" s="305">
        <v>4</v>
      </c>
      <c r="AA582" s="856">
        <f t="shared" si="35"/>
        <v>49</v>
      </c>
      <c r="AB582" s="306"/>
      <c r="AC582" s="307"/>
      <c r="AD582" s="307"/>
      <c r="AE582" s="307"/>
      <c r="AF582" s="308"/>
    </row>
    <row r="583" spans="1:32" s="294" customFormat="1" outlineLevel="1" x14ac:dyDescent="0.2">
      <c r="A583" s="293">
        <v>2505</v>
      </c>
      <c r="B583" s="177" t="s">
        <v>699</v>
      </c>
      <c r="C583" s="177" t="s">
        <v>53</v>
      </c>
      <c r="D583" s="295">
        <v>24</v>
      </c>
      <c r="E583" s="316" t="s">
        <v>281</v>
      </c>
      <c r="F583" s="8"/>
      <c r="G583" s="177">
        <v>8</v>
      </c>
      <c r="H583" s="178">
        <v>2</v>
      </c>
      <c r="I583" s="178">
        <v>3</v>
      </c>
      <c r="J583" s="177">
        <v>100</v>
      </c>
      <c r="K583" s="317">
        <v>2800</v>
      </c>
      <c r="L583" s="178"/>
      <c r="M583" s="179"/>
      <c r="N583" s="299">
        <f>VLOOKUP(A583,Baupläne!$B$2:$X$1019,23,FALSE)</f>
        <v>34900</v>
      </c>
      <c r="O583" s="295"/>
      <c r="Q583" s="301"/>
      <c r="R583" s="306"/>
      <c r="S583" s="301"/>
      <c r="T583" s="302"/>
      <c r="U583" s="301"/>
      <c r="V583" s="301"/>
      <c r="W583" s="303"/>
      <c r="X583" s="304"/>
      <c r="Y583" s="305">
        <v>4</v>
      </c>
      <c r="AA583" s="856">
        <f t="shared" si="35"/>
        <v>55</v>
      </c>
      <c r="AB583" s="306"/>
      <c r="AC583" s="307"/>
      <c r="AD583" s="307"/>
      <c r="AE583" s="307"/>
      <c r="AF583" s="308"/>
    </row>
    <row r="584" spans="1:32" x14ac:dyDescent="0.2">
      <c r="A584" s="271"/>
      <c r="B584" s="274" t="s">
        <v>700</v>
      </c>
      <c r="C584" s="321"/>
      <c r="D584" s="322"/>
      <c r="E584" s="365"/>
      <c r="F584" s="366"/>
      <c r="G584" s="321"/>
      <c r="H584" s="322"/>
      <c r="I584" s="322">
        <v>3</v>
      </c>
      <c r="J584" s="321"/>
      <c r="K584" s="325"/>
      <c r="L584" s="322"/>
      <c r="M584" s="326"/>
      <c r="N584" s="327"/>
      <c r="O584" s="328"/>
      <c r="P584" s="329"/>
      <c r="Q584" s="281"/>
      <c r="R584" s="330"/>
      <c r="S584" s="281"/>
      <c r="T584" s="282"/>
      <c r="U584" s="281"/>
      <c r="V584" s="281"/>
      <c r="W584" s="283"/>
      <c r="X584" s="284"/>
      <c r="Y584" s="285"/>
      <c r="Z584" s="286"/>
      <c r="AA584" s="287"/>
      <c r="AB584" s="287"/>
      <c r="AC584" s="288"/>
      <c r="AD584" s="288"/>
      <c r="AE584" s="288"/>
      <c r="AF584" s="289"/>
    </row>
    <row r="585" spans="1:32" outlineLevel="1" x14ac:dyDescent="0.2">
      <c r="A585" s="5">
        <v>1511</v>
      </c>
      <c r="B585" s="3" t="s">
        <v>701</v>
      </c>
      <c r="C585" s="3" t="s">
        <v>54</v>
      </c>
      <c r="D585" s="6">
        <v>2</v>
      </c>
      <c r="E585" s="55" t="s">
        <v>285</v>
      </c>
      <c r="G585" s="3">
        <v>9</v>
      </c>
      <c r="H585" s="54">
        <v>1</v>
      </c>
      <c r="I585" s="54">
        <v>3</v>
      </c>
      <c r="J585" s="3">
        <v>100</v>
      </c>
      <c r="K585" s="57">
        <v>3400</v>
      </c>
      <c r="L585" s="54"/>
      <c r="M585" s="58">
        <v>1</v>
      </c>
      <c r="N585" s="59">
        <f>VLOOKUP(A585,Baupläne!$B$2:$X$1019,23,FALSE)</f>
        <v>1400</v>
      </c>
      <c r="Y585" s="19">
        <v>6</v>
      </c>
      <c r="AA585" s="15">
        <f>ROUND(34+D585*0.9,0)</f>
        <v>36</v>
      </c>
      <c r="AC585" s="227"/>
      <c r="AD585" s="227"/>
      <c r="AE585" s="227"/>
      <c r="AF585" s="228"/>
    </row>
    <row r="586" spans="1:32" outlineLevel="1" x14ac:dyDescent="0.2">
      <c r="A586" s="5">
        <v>1512</v>
      </c>
      <c r="B586" s="3" t="s">
        <v>702</v>
      </c>
      <c r="C586" s="3" t="s">
        <v>54</v>
      </c>
      <c r="D586" s="6">
        <v>5</v>
      </c>
      <c r="E586" s="55" t="s">
        <v>285</v>
      </c>
      <c r="G586" s="3">
        <v>9</v>
      </c>
      <c r="H586" s="54">
        <v>1</v>
      </c>
      <c r="I586" s="54">
        <v>3</v>
      </c>
      <c r="J586" s="3">
        <v>100</v>
      </c>
      <c r="K586" s="57">
        <v>3500</v>
      </c>
      <c r="L586" s="54"/>
      <c r="M586" s="58">
        <v>1</v>
      </c>
      <c r="N586" s="59">
        <f>VLOOKUP(A586,Baupläne!$B$2:$X$1019,23,FALSE)</f>
        <v>2100</v>
      </c>
      <c r="Y586" s="19">
        <v>6</v>
      </c>
      <c r="AA586" s="15">
        <f t="shared" ref="AA586:AA594" si="36">ROUND(34+D586*0.9,0)</f>
        <v>39</v>
      </c>
      <c r="AC586" s="227"/>
      <c r="AD586" s="227"/>
      <c r="AE586" s="227"/>
      <c r="AF586" s="228"/>
    </row>
    <row r="587" spans="1:32" outlineLevel="1" x14ac:dyDescent="0.2">
      <c r="A587" s="5">
        <v>1513</v>
      </c>
      <c r="B587" s="3" t="s">
        <v>703</v>
      </c>
      <c r="C587" s="3" t="s">
        <v>54</v>
      </c>
      <c r="D587" s="6">
        <v>7</v>
      </c>
      <c r="E587" s="55" t="s">
        <v>285</v>
      </c>
      <c r="G587" s="3">
        <v>9</v>
      </c>
      <c r="H587" s="54">
        <v>1</v>
      </c>
      <c r="I587" s="54">
        <v>3</v>
      </c>
      <c r="J587" s="3">
        <v>100</v>
      </c>
      <c r="K587" s="57">
        <v>3700</v>
      </c>
      <c r="L587" s="54"/>
      <c r="M587" s="58">
        <v>2</v>
      </c>
      <c r="N587" s="59">
        <f>VLOOKUP(A587,Baupläne!$B$2:$X$1019,23,FALSE)</f>
        <v>2800</v>
      </c>
      <c r="Y587" s="19">
        <v>6</v>
      </c>
      <c r="AA587" s="15">
        <f t="shared" si="36"/>
        <v>40</v>
      </c>
      <c r="AC587" s="227"/>
      <c r="AD587" s="227"/>
      <c r="AE587" s="227"/>
      <c r="AF587" s="228"/>
    </row>
    <row r="588" spans="1:32" outlineLevel="1" x14ac:dyDescent="0.2">
      <c r="A588" s="5">
        <v>1514</v>
      </c>
      <c r="B588" s="3" t="s">
        <v>704</v>
      </c>
      <c r="C588" s="3" t="s">
        <v>54</v>
      </c>
      <c r="D588" s="6">
        <v>10</v>
      </c>
      <c r="E588" s="55" t="s">
        <v>285</v>
      </c>
      <c r="G588" s="3">
        <v>9</v>
      </c>
      <c r="H588" s="54">
        <v>1</v>
      </c>
      <c r="I588" s="54">
        <v>3</v>
      </c>
      <c r="J588" s="3">
        <v>100</v>
      </c>
      <c r="K588" s="57">
        <v>3600</v>
      </c>
      <c r="L588" s="54"/>
      <c r="M588" s="58">
        <v>2</v>
      </c>
      <c r="N588" s="59">
        <f>VLOOKUP(A588,Baupläne!$B$2:$X$1019,23,FALSE)</f>
        <v>4200</v>
      </c>
      <c r="Y588" s="19">
        <v>6</v>
      </c>
      <c r="AA588" s="15">
        <f t="shared" si="36"/>
        <v>43</v>
      </c>
      <c r="AC588" s="227"/>
      <c r="AD588" s="227"/>
      <c r="AE588" s="227"/>
      <c r="AF588" s="228"/>
    </row>
    <row r="589" spans="1:32" outlineLevel="1" x14ac:dyDescent="0.2">
      <c r="A589" s="5">
        <v>1515</v>
      </c>
      <c r="B589" s="3" t="s">
        <v>705</v>
      </c>
      <c r="C589" s="3" t="s">
        <v>54</v>
      </c>
      <c r="D589" s="6">
        <v>12</v>
      </c>
      <c r="E589" s="55" t="s">
        <v>285</v>
      </c>
      <c r="G589" s="3">
        <v>9</v>
      </c>
      <c r="H589" s="54">
        <v>1</v>
      </c>
      <c r="I589" s="54">
        <v>3</v>
      </c>
      <c r="J589" s="3">
        <v>100</v>
      </c>
      <c r="K589" s="57">
        <v>3500</v>
      </c>
      <c r="L589" s="54"/>
      <c r="M589" s="58">
        <v>3</v>
      </c>
      <c r="N589" s="59">
        <f>VLOOKUP(A589,Baupläne!$B$2:$X$1019,23,FALSE)</f>
        <v>5600</v>
      </c>
      <c r="Y589" s="19">
        <v>6</v>
      </c>
      <c r="AA589" s="15">
        <f t="shared" si="36"/>
        <v>45</v>
      </c>
      <c r="AC589" s="227"/>
      <c r="AD589" s="227"/>
      <c r="AE589" s="227"/>
      <c r="AF589" s="228"/>
    </row>
    <row r="590" spans="1:32" outlineLevel="1" x14ac:dyDescent="0.2">
      <c r="A590" s="5">
        <v>1516</v>
      </c>
      <c r="B590" s="3" t="s">
        <v>706</v>
      </c>
      <c r="C590" s="3" t="s">
        <v>54</v>
      </c>
      <c r="D590" s="6">
        <v>15</v>
      </c>
      <c r="E590" s="55" t="s">
        <v>285</v>
      </c>
      <c r="G590" s="3">
        <v>9</v>
      </c>
      <c r="H590" s="54">
        <v>1</v>
      </c>
      <c r="I590" s="54">
        <v>3</v>
      </c>
      <c r="J590" s="3">
        <v>100</v>
      </c>
      <c r="K590" s="57">
        <v>3800</v>
      </c>
      <c r="L590" s="54"/>
      <c r="M590" s="58">
        <v>3</v>
      </c>
      <c r="N590" s="59">
        <f>VLOOKUP(A590,Baupläne!$B$2:$X$1019,23,FALSE)</f>
        <v>8500</v>
      </c>
      <c r="Y590" s="19">
        <v>6</v>
      </c>
      <c r="AA590" s="15">
        <f t="shared" si="36"/>
        <v>48</v>
      </c>
      <c r="AC590" s="227"/>
      <c r="AD590" s="227"/>
      <c r="AE590" s="227"/>
      <c r="AF590" s="228"/>
    </row>
    <row r="591" spans="1:32" outlineLevel="1" x14ac:dyDescent="0.2">
      <c r="A591" s="5">
        <v>1517</v>
      </c>
      <c r="B591" s="1" t="s">
        <v>707</v>
      </c>
      <c r="C591" s="3" t="s">
        <v>54</v>
      </c>
      <c r="D591" s="6">
        <v>17</v>
      </c>
      <c r="E591" s="55" t="s">
        <v>285</v>
      </c>
      <c r="G591" s="3">
        <v>9</v>
      </c>
      <c r="H591" s="54">
        <v>1</v>
      </c>
      <c r="I591" s="54">
        <v>3</v>
      </c>
      <c r="J591" s="3">
        <v>100</v>
      </c>
      <c r="K591" s="57">
        <v>3600</v>
      </c>
      <c r="L591" s="54"/>
      <c r="M591" s="58">
        <v>4</v>
      </c>
      <c r="N591" s="59">
        <f>VLOOKUP(A591,Baupläne!$B$2:$X$1019,23,FALSE)</f>
        <v>11200</v>
      </c>
      <c r="Y591" s="19">
        <v>6</v>
      </c>
      <c r="AA591" s="15">
        <f t="shared" si="36"/>
        <v>49</v>
      </c>
      <c r="AC591" s="227"/>
      <c r="AD591" s="227"/>
      <c r="AE591" s="227"/>
      <c r="AF591" s="228"/>
    </row>
    <row r="592" spans="1:32" outlineLevel="1" x14ac:dyDescent="0.2">
      <c r="A592" s="5">
        <v>1518</v>
      </c>
      <c r="B592" s="1" t="s">
        <v>708</v>
      </c>
      <c r="C592" s="3" t="s">
        <v>54</v>
      </c>
      <c r="D592" s="6">
        <v>20</v>
      </c>
      <c r="E592" s="55" t="s">
        <v>285</v>
      </c>
      <c r="G592" s="3">
        <v>9</v>
      </c>
      <c r="H592" s="54">
        <v>1</v>
      </c>
      <c r="I592" s="54">
        <v>3</v>
      </c>
      <c r="J592" s="3">
        <v>100</v>
      </c>
      <c r="K592" s="57">
        <v>4000</v>
      </c>
      <c r="L592" s="54"/>
      <c r="M592" s="58">
        <v>4</v>
      </c>
      <c r="N592" s="59">
        <f>VLOOKUP(A592,Baupläne!$B$2:$X$1019,23,FALSE)</f>
        <v>17100</v>
      </c>
      <c r="Y592" s="19">
        <v>6</v>
      </c>
      <c r="AA592" s="15">
        <f t="shared" si="36"/>
        <v>52</v>
      </c>
      <c r="AC592" s="227"/>
      <c r="AD592" s="227"/>
      <c r="AE592" s="227"/>
      <c r="AF592" s="228"/>
    </row>
    <row r="593" spans="1:32" outlineLevel="1" x14ac:dyDescent="0.2">
      <c r="A593" s="5">
        <v>1519</v>
      </c>
      <c r="B593" s="1" t="s">
        <v>709</v>
      </c>
      <c r="C593" s="3" t="s">
        <v>54</v>
      </c>
      <c r="D593" s="6">
        <v>22</v>
      </c>
      <c r="E593" s="55" t="s">
        <v>285</v>
      </c>
      <c r="G593" s="3">
        <v>9</v>
      </c>
      <c r="H593" s="54">
        <v>1</v>
      </c>
      <c r="I593" s="54">
        <v>3</v>
      </c>
      <c r="J593" s="3">
        <v>100</v>
      </c>
      <c r="K593" s="57">
        <v>3900</v>
      </c>
      <c r="L593" s="54"/>
      <c r="M593" s="58">
        <v>5</v>
      </c>
      <c r="N593" s="59">
        <f>VLOOKUP(A593,Baupläne!$B$2:$X$1019,23,FALSE)</f>
        <v>22600</v>
      </c>
      <c r="Y593" s="19">
        <v>6</v>
      </c>
      <c r="AA593" s="15">
        <f t="shared" si="36"/>
        <v>54</v>
      </c>
      <c r="AC593" s="227"/>
      <c r="AD593" s="227"/>
      <c r="AE593" s="227"/>
      <c r="AF593" s="228"/>
    </row>
    <row r="594" spans="1:32" outlineLevel="1" x14ac:dyDescent="0.2">
      <c r="A594" s="5">
        <v>1520</v>
      </c>
      <c r="B594" s="1" t="s">
        <v>710</v>
      </c>
      <c r="C594" s="3" t="s">
        <v>54</v>
      </c>
      <c r="D594" s="6">
        <v>25</v>
      </c>
      <c r="E594" s="55" t="s">
        <v>285</v>
      </c>
      <c r="G594" s="3">
        <v>9</v>
      </c>
      <c r="H594" s="54">
        <v>1</v>
      </c>
      <c r="I594" s="54">
        <v>3</v>
      </c>
      <c r="J594" s="3">
        <v>100</v>
      </c>
      <c r="K594" s="57">
        <v>3800</v>
      </c>
      <c r="L594" s="54"/>
      <c r="M594" s="58">
        <v>5</v>
      </c>
      <c r="N594" s="59">
        <f>VLOOKUP(A594,Baupläne!$B$2:$X$1019,23,FALSE)</f>
        <v>34400</v>
      </c>
      <c r="Y594" s="19">
        <v>6</v>
      </c>
      <c r="AA594" s="15">
        <f t="shared" si="36"/>
        <v>57</v>
      </c>
      <c r="AC594" s="227"/>
      <c r="AD594" s="227"/>
      <c r="AE594" s="227"/>
      <c r="AF594" s="228"/>
    </row>
    <row r="595" spans="1:32" s="294" customFormat="1" outlineLevel="1" x14ac:dyDescent="0.2">
      <c r="A595" s="293">
        <v>2511</v>
      </c>
      <c r="B595" s="177" t="s">
        <v>711</v>
      </c>
      <c r="C595" s="177" t="s">
        <v>54</v>
      </c>
      <c r="D595" s="295">
        <v>5</v>
      </c>
      <c r="E595" s="316" t="s">
        <v>285</v>
      </c>
      <c r="F595" s="8"/>
      <c r="G595" s="177">
        <v>9</v>
      </c>
      <c r="H595" s="178">
        <v>2</v>
      </c>
      <c r="I595" s="178">
        <v>3</v>
      </c>
      <c r="J595" s="177">
        <v>100</v>
      </c>
      <c r="K595" s="317">
        <v>3500</v>
      </c>
      <c r="L595" s="178"/>
      <c r="M595" s="179"/>
      <c r="N595" s="299">
        <f>VLOOKUP(A595,Baupläne!$B$2:$X$1019,23,FALSE)</f>
        <v>3100</v>
      </c>
      <c r="O595" s="295"/>
      <c r="Q595" s="301"/>
      <c r="R595" s="306"/>
      <c r="S595" s="301"/>
      <c r="T595" s="302"/>
      <c r="U595" s="301"/>
      <c r="V595" s="301"/>
      <c r="W595" s="303"/>
      <c r="X595" s="304"/>
      <c r="Y595" s="305">
        <v>6</v>
      </c>
      <c r="AA595" s="856">
        <f>ROUND(34+(D595+3)*0.9,0)</f>
        <v>41</v>
      </c>
      <c r="AB595" s="306"/>
      <c r="AC595" s="307"/>
      <c r="AD595" s="307"/>
      <c r="AE595" s="307"/>
      <c r="AF595" s="308"/>
    </row>
    <row r="596" spans="1:32" s="294" customFormat="1" outlineLevel="1" x14ac:dyDescent="0.2">
      <c r="A596" s="293">
        <v>2512</v>
      </c>
      <c r="B596" s="177" t="s">
        <v>712</v>
      </c>
      <c r="C596" s="177" t="s">
        <v>54</v>
      </c>
      <c r="D596" s="295">
        <v>10</v>
      </c>
      <c r="E596" s="316" t="s">
        <v>285</v>
      </c>
      <c r="F596" s="8"/>
      <c r="G596" s="177">
        <v>9</v>
      </c>
      <c r="H596" s="178">
        <v>2</v>
      </c>
      <c r="I596" s="178">
        <v>3</v>
      </c>
      <c r="J596" s="177">
        <v>100</v>
      </c>
      <c r="K596" s="317">
        <v>3500</v>
      </c>
      <c r="L596" s="178"/>
      <c r="M596" s="179"/>
      <c r="N596" s="299">
        <f>VLOOKUP(A596,Baupläne!$B$2:$X$1019,23,FALSE)</f>
        <v>6200</v>
      </c>
      <c r="O596" s="295"/>
      <c r="Q596" s="301"/>
      <c r="R596" s="306"/>
      <c r="S596" s="301"/>
      <c r="T596" s="302"/>
      <c r="U596" s="301"/>
      <c r="V596" s="301"/>
      <c r="W596" s="303"/>
      <c r="X596" s="304"/>
      <c r="Y596" s="305">
        <v>6</v>
      </c>
      <c r="AA596" s="856">
        <f t="shared" ref="AA596:AA599" si="37">ROUND(34+(D596+3)*0.9,0)</f>
        <v>46</v>
      </c>
      <c r="AB596" s="306"/>
      <c r="AC596" s="307"/>
      <c r="AD596" s="307"/>
      <c r="AE596" s="307"/>
      <c r="AF596" s="308"/>
    </row>
    <row r="597" spans="1:32" s="294" customFormat="1" outlineLevel="1" x14ac:dyDescent="0.2">
      <c r="A597" s="293">
        <v>2513</v>
      </c>
      <c r="B597" s="177" t="s">
        <v>713</v>
      </c>
      <c r="C597" s="177" t="s">
        <v>54</v>
      </c>
      <c r="D597" s="295">
        <v>15</v>
      </c>
      <c r="E597" s="316" t="s">
        <v>285</v>
      </c>
      <c r="F597" s="8"/>
      <c r="G597" s="177">
        <v>9</v>
      </c>
      <c r="H597" s="178">
        <v>2</v>
      </c>
      <c r="I597" s="178">
        <v>3</v>
      </c>
      <c r="J597" s="177">
        <v>100</v>
      </c>
      <c r="K597" s="317">
        <v>3500</v>
      </c>
      <c r="L597" s="178"/>
      <c r="M597" s="179"/>
      <c r="N597" s="299">
        <f>VLOOKUP(A597,Baupläne!$B$2:$X$1019,23,FALSE)</f>
        <v>12500</v>
      </c>
      <c r="O597" s="295"/>
      <c r="Q597" s="301"/>
      <c r="R597" s="306"/>
      <c r="S597" s="301"/>
      <c r="T597" s="302"/>
      <c r="U597" s="301"/>
      <c r="V597" s="301"/>
      <c r="W597" s="303"/>
      <c r="X597" s="304"/>
      <c r="Y597" s="305">
        <v>6</v>
      </c>
      <c r="AA597" s="856">
        <f t="shared" si="37"/>
        <v>50</v>
      </c>
      <c r="AB597" s="306"/>
      <c r="AC597" s="307"/>
      <c r="AD597" s="307"/>
      <c r="AE597" s="307"/>
      <c r="AF597" s="308"/>
    </row>
    <row r="598" spans="1:32" s="294" customFormat="1" outlineLevel="1" x14ac:dyDescent="0.2">
      <c r="A598" s="293">
        <v>2514</v>
      </c>
      <c r="B598" s="177" t="s">
        <v>714</v>
      </c>
      <c r="C598" s="177" t="s">
        <v>54</v>
      </c>
      <c r="D598" s="295">
        <v>20</v>
      </c>
      <c r="E598" s="316" t="s">
        <v>285</v>
      </c>
      <c r="F598" s="8"/>
      <c r="G598" s="177">
        <v>9</v>
      </c>
      <c r="H598" s="178">
        <v>2</v>
      </c>
      <c r="I598" s="178">
        <v>3</v>
      </c>
      <c r="J598" s="177">
        <v>100</v>
      </c>
      <c r="K598" s="317">
        <v>3500</v>
      </c>
      <c r="L598" s="178"/>
      <c r="M598" s="179"/>
      <c r="N598" s="299">
        <f>VLOOKUP(A598,Baupläne!$B$2:$X$1019,23,FALSE)</f>
        <v>24100</v>
      </c>
      <c r="O598" s="295"/>
      <c r="Q598" s="301"/>
      <c r="R598" s="306"/>
      <c r="S598" s="301"/>
      <c r="T598" s="302"/>
      <c r="U598" s="301"/>
      <c r="V598" s="301"/>
      <c r="W598" s="303"/>
      <c r="X598" s="304"/>
      <c r="Y598" s="305">
        <v>6</v>
      </c>
      <c r="AA598" s="856">
        <f t="shared" si="37"/>
        <v>55</v>
      </c>
      <c r="AB598" s="306"/>
      <c r="AC598" s="307"/>
      <c r="AD598" s="307"/>
      <c r="AE598" s="307"/>
      <c r="AF598" s="308"/>
    </row>
    <row r="599" spans="1:32" s="294" customFormat="1" outlineLevel="1" x14ac:dyDescent="0.2">
      <c r="A599" s="293">
        <v>2515</v>
      </c>
      <c r="B599" s="177" t="s">
        <v>715</v>
      </c>
      <c r="C599" s="177" t="s">
        <v>54</v>
      </c>
      <c r="D599" s="295">
        <v>25</v>
      </c>
      <c r="E599" s="316" t="s">
        <v>285</v>
      </c>
      <c r="F599" s="8"/>
      <c r="G599" s="177">
        <v>9</v>
      </c>
      <c r="H599" s="178">
        <v>2</v>
      </c>
      <c r="I599" s="178">
        <v>3</v>
      </c>
      <c r="J599" s="177">
        <v>100</v>
      </c>
      <c r="K599" s="317">
        <v>3500</v>
      </c>
      <c r="L599" s="178"/>
      <c r="M599" s="179"/>
      <c r="N599" s="299">
        <f>VLOOKUP(A599,Baupläne!$B$2:$X$1019,23,FALSE)</f>
        <v>44400</v>
      </c>
      <c r="O599" s="295"/>
      <c r="Q599" s="301"/>
      <c r="R599" s="306"/>
      <c r="S599" s="301"/>
      <c r="T599" s="302"/>
      <c r="U599" s="301"/>
      <c r="V599" s="301"/>
      <c r="W599" s="303"/>
      <c r="X599" s="304"/>
      <c r="Y599" s="305">
        <v>6</v>
      </c>
      <c r="AA599" s="856">
        <f t="shared" si="37"/>
        <v>59</v>
      </c>
      <c r="AB599" s="306"/>
      <c r="AC599" s="307"/>
      <c r="AD599" s="307"/>
      <c r="AE599" s="307"/>
      <c r="AF599" s="308"/>
    </row>
    <row r="600" spans="1:32" x14ac:dyDescent="0.2">
      <c r="A600" s="271"/>
      <c r="B600" s="272" t="s">
        <v>271</v>
      </c>
      <c r="C600" s="321"/>
      <c r="D600" s="322"/>
      <c r="E600" s="365"/>
      <c r="F600" s="366"/>
      <c r="G600" s="321"/>
      <c r="H600" s="322"/>
      <c r="I600" s="322"/>
      <c r="J600" s="321"/>
      <c r="K600" s="325"/>
      <c r="L600" s="322"/>
      <c r="M600" s="326"/>
      <c r="N600" s="327"/>
      <c r="O600" s="328"/>
      <c r="P600" s="329"/>
      <c r="Q600" s="281"/>
      <c r="R600" s="330"/>
      <c r="S600" s="281"/>
      <c r="T600" s="282"/>
      <c r="U600" s="281"/>
      <c r="V600" s="281"/>
      <c r="W600" s="283"/>
      <c r="X600" s="284"/>
      <c r="Y600" s="285"/>
      <c r="Z600" s="286"/>
      <c r="AA600" s="287"/>
      <c r="AB600" s="287"/>
      <c r="AC600" s="288"/>
      <c r="AD600" s="288"/>
      <c r="AE600" s="288"/>
      <c r="AF600" s="289"/>
    </row>
    <row r="601" spans="1:32" outlineLevel="1" x14ac:dyDescent="0.2">
      <c r="A601" s="5">
        <v>1601</v>
      </c>
      <c r="B601" s="3" t="s">
        <v>716</v>
      </c>
      <c r="C601" s="3" t="s">
        <v>717</v>
      </c>
      <c r="D601" s="6">
        <v>1</v>
      </c>
      <c r="E601" s="55" t="s">
        <v>271</v>
      </c>
      <c r="G601" s="3">
        <v>10</v>
      </c>
      <c r="H601" s="54">
        <v>1</v>
      </c>
      <c r="I601" s="54">
        <v>4</v>
      </c>
      <c r="J601" s="3">
        <v>100</v>
      </c>
      <c r="K601" s="57">
        <v>1700</v>
      </c>
      <c r="L601" s="54"/>
      <c r="M601" s="58">
        <v>1</v>
      </c>
      <c r="N601" s="59">
        <f>VLOOKUP(A601,Baupläne!$B$2:$X$1019,23,FALSE)</f>
        <v>2000</v>
      </c>
      <c r="AB601" s="15">
        <v>43</v>
      </c>
      <c r="AC601" s="394">
        <f t="shared" ref="AC601:AC610" si="38">D601*4</f>
        <v>4</v>
      </c>
      <c r="AD601" s="394"/>
      <c r="AE601" s="227"/>
      <c r="AF601" s="395">
        <f t="shared" ref="AF601:AF610" si="39">D601*2</f>
        <v>2</v>
      </c>
    </row>
    <row r="602" spans="1:32" outlineLevel="1" x14ac:dyDescent="0.2">
      <c r="A602" s="5">
        <v>1602</v>
      </c>
      <c r="B602" s="3" t="s">
        <v>718</v>
      </c>
      <c r="C602" s="3" t="s">
        <v>717</v>
      </c>
      <c r="D602" s="6">
        <v>4</v>
      </c>
      <c r="E602" s="55" t="s">
        <v>271</v>
      </c>
      <c r="G602" s="3">
        <v>10</v>
      </c>
      <c r="H602" s="54">
        <v>1</v>
      </c>
      <c r="I602" s="54">
        <v>4</v>
      </c>
      <c r="J602" s="3">
        <v>100</v>
      </c>
      <c r="K602" s="57">
        <v>1800</v>
      </c>
      <c r="L602" s="54"/>
      <c r="M602" s="58">
        <v>1</v>
      </c>
      <c r="N602" s="59">
        <f>VLOOKUP(A602,Baupläne!$B$2:$X$1019,23,FALSE)</f>
        <v>3000</v>
      </c>
      <c r="AB602" s="15">
        <v>43</v>
      </c>
      <c r="AC602" s="394">
        <f t="shared" si="38"/>
        <v>16</v>
      </c>
      <c r="AD602" s="394"/>
      <c r="AE602" s="227"/>
      <c r="AF602" s="395">
        <f t="shared" si="39"/>
        <v>8</v>
      </c>
    </row>
    <row r="603" spans="1:32" outlineLevel="1" x14ac:dyDescent="0.2">
      <c r="A603" s="5">
        <v>1603</v>
      </c>
      <c r="B603" s="3" t="s">
        <v>719</v>
      </c>
      <c r="C603" s="3" t="s">
        <v>717</v>
      </c>
      <c r="D603" s="6">
        <v>6</v>
      </c>
      <c r="E603" s="55" t="s">
        <v>271</v>
      </c>
      <c r="G603" s="3">
        <v>10</v>
      </c>
      <c r="H603" s="54">
        <v>1</v>
      </c>
      <c r="I603" s="54">
        <v>4</v>
      </c>
      <c r="J603" s="3">
        <v>100</v>
      </c>
      <c r="K603" s="57">
        <v>2000</v>
      </c>
      <c r="L603" s="54"/>
      <c r="M603" s="58">
        <v>2</v>
      </c>
      <c r="N603" s="59">
        <f>VLOOKUP(A603,Baupläne!$B$2:$X$1019,23,FALSE)</f>
        <v>4000</v>
      </c>
      <c r="AB603" s="15">
        <v>43</v>
      </c>
      <c r="AC603" s="394">
        <f t="shared" si="38"/>
        <v>24</v>
      </c>
      <c r="AD603" s="394"/>
      <c r="AE603" s="227"/>
      <c r="AF603" s="395">
        <f t="shared" si="39"/>
        <v>12</v>
      </c>
    </row>
    <row r="604" spans="1:32" outlineLevel="1" x14ac:dyDescent="0.2">
      <c r="A604" s="5">
        <v>1604</v>
      </c>
      <c r="B604" s="3" t="s">
        <v>720</v>
      </c>
      <c r="C604" s="3" t="s">
        <v>717</v>
      </c>
      <c r="D604" s="6">
        <v>9</v>
      </c>
      <c r="E604" s="55" t="s">
        <v>271</v>
      </c>
      <c r="G604" s="3">
        <v>10</v>
      </c>
      <c r="H604" s="54">
        <v>1</v>
      </c>
      <c r="I604" s="54">
        <v>4</v>
      </c>
      <c r="J604" s="3">
        <v>100</v>
      </c>
      <c r="K604" s="57">
        <v>1900</v>
      </c>
      <c r="L604" s="54"/>
      <c r="M604" s="58">
        <v>2</v>
      </c>
      <c r="N604" s="59">
        <f>VLOOKUP(A604,Baupläne!$B$2:$X$1019,23,FALSE)</f>
        <v>6100</v>
      </c>
      <c r="AB604" s="15">
        <v>43</v>
      </c>
      <c r="AC604" s="394">
        <f t="shared" si="38"/>
        <v>36</v>
      </c>
      <c r="AD604" s="394"/>
      <c r="AE604" s="227"/>
      <c r="AF604" s="395">
        <f t="shared" si="39"/>
        <v>18</v>
      </c>
    </row>
    <row r="605" spans="1:32" outlineLevel="1" x14ac:dyDescent="0.2">
      <c r="A605" s="5">
        <v>1605</v>
      </c>
      <c r="B605" s="3" t="s">
        <v>721</v>
      </c>
      <c r="C605" s="3" t="s">
        <v>717</v>
      </c>
      <c r="D605" s="6">
        <v>11</v>
      </c>
      <c r="E605" s="55" t="s">
        <v>271</v>
      </c>
      <c r="G605" s="3">
        <v>10</v>
      </c>
      <c r="H605" s="54">
        <v>1</v>
      </c>
      <c r="I605" s="54">
        <v>4</v>
      </c>
      <c r="J605" s="3">
        <v>100</v>
      </c>
      <c r="K605" s="57">
        <v>1800</v>
      </c>
      <c r="L605" s="54"/>
      <c r="M605" s="58">
        <v>3</v>
      </c>
      <c r="N605" s="59">
        <f>VLOOKUP(A605,Baupläne!$B$2:$X$1019,23,FALSE)</f>
        <v>8100</v>
      </c>
      <c r="AB605" s="15">
        <v>43</v>
      </c>
      <c r="AC605" s="394">
        <f t="shared" si="38"/>
        <v>44</v>
      </c>
      <c r="AD605" s="394"/>
      <c r="AE605" s="227"/>
      <c r="AF605" s="395">
        <f t="shared" si="39"/>
        <v>22</v>
      </c>
    </row>
    <row r="606" spans="1:32" outlineLevel="1" x14ac:dyDescent="0.2">
      <c r="A606" s="5">
        <v>1606</v>
      </c>
      <c r="B606" s="3" t="s">
        <v>722</v>
      </c>
      <c r="C606" s="3" t="s">
        <v>717</v>
      </c>
      <c r="D606" s="6">
        <v>14</v>
      </c>
      <c r="E606" s="55" t="s">
        <v>271</v>
      </c>
      <c r="G606" s="3">
        <v>10</v>
      </c>
      <c r="H606" s="54">
        <v>1</v>
      </c>
      <c r="I606" s="54">
        <v>4</v>
      </c>
      <c r="J606" s="3">
        <v>100</v>
      </c>
      <c r="K606" s="57">
        <v>1600</v>
      </c>
      <c r="L606" s="54"/>
      <c r="M606" s="58">
        <v>3</v>
      </c>
      <c r="N606" s="59">
        <f>VLOOKUP(A606,Baupläne!$B$2:$X$1019,23,FALSE)</f>
        <v>12300</v>
      </c>
      <c r="AB606" s="15">
        <v>43</v>
      </c>
      <c r="AC606" s="394">
        <f t="shared" si="38"/>
        <v>56</v>
      </c>
      <c r="AD606" s="394"/>
      <c r="AE606" s="227"/>
      <c r="AF606" s="395">
        <f t="shared" si="39"/>
        <v>28</v>
      </c>
    </row>
    <row r="607" spans="1:32" outlineLevel="1" x14ac:dyDescent="0.2">
      <c r="A607" s="5">
        <v>1607</v>
      </c>
      <c r="B607" s="3" t="s">
        <v>723</v>
      </c>
      <c r="C607" s="3" t="s">
        <v>717</v>
      </c>
      <c r="D607" s="6">
        <v>16</v>
      </c>
      <c r="E607" s="55" t="s">
        <v>271</v>
      </c>
      <c r="G607" s="3">
        <v>10</v>
      </c>
      <c r="H607" s="54">
        <v>1</v>
      </c>
      <c r="I607" s="54">
        <v>4</v>
      </c>
      <c r="J607" s="3">
        <v>100</v>
      </c>
      <c r="K607" s="57">
        <v>1800</v>
      </c>
      <c r="L607" s="54"/>
      <c r="M607" s="58">
        <v>4</v>
      </c>
      <c r="N607" s="59">
        <f>VLOOKUP(A607,Baupläne!$B$2:$X$1019,23,FALSE)</f>
        <v>16300</v>
      </c>
      <c r="AB607" s="15">
        <v>43</v>
      </c>
      <c r="AC607" s="394">
        <f t="shared" si="38"/>
        <v>64</v>
      </c>
      <c r="AD607" s="394"/>
      <c r="AE607" s="227"/>
      <c r="AF607" s="395">
        <f t="shared" si="39"/>
        <v>32</v>
      </c>
    </row>
    <row r="608" spans="1:32" outlineLevel="1" x14ac:dyDescent="0.2">
      <c r="A608" s="5">
        <v>1608</v>
      </c>
      <c r="B608" s="3" t="s">
        <v>724</v>
      </c>
      <c r="C608" s="3" t="s">
        <v>717</v>
      </c>
      <c r="D608" s="6">
        <v>19</v>
      </c>
      <c r="E608" s="55" t="s">
        <v>271</v>
      </c>
      <c r="G608" s="3">
        <v>10</v>
      </c>
      <c r="H608" s="54">
        <v>1</v>
      </c>
      <c r="I608" s="54">
        <v>4</v>
      </c>
      <c r="J608" s="3">
        <v>100</v>
      </c>
      <c r="K608" s="57">
        <v>1700</v>
      </c>
      <c r="L608" s="54"/>
      <c r="M608" s="58">
        <v>4</v>
      </c>
      <c r="N608" s="59">
        <f>VLOOKUP(A608,Baupläne!$B$2:$X$1019,23,FALSE)</f>
        <v>24800</v>
      </c>
      <c r="AB608" s="15">
        <v>43</v>
      </c>
      <c r="AC608" s="394">
        <f t="shared" si="38"/>
        <v>76</v>
      </c>
      <c r="AD608" s="394"/>
      <c r="AE608" s="227"/>
      <c r="AF608" s="395">
        <f t="shared" si="39"/>
        <v>38</v>
      </c>
    </row>
    <row r="609" spans="1:32" outlineLevel="1" x14ac:dyDescent="0.2">
      <c r="A609" s="5">
        <v>1609</v>
      </c>
      <c r="B609" s="3" t="s">
        <v>725</v>
      </c>
      <c r="C609" s="3" t="s">
        <v>717</v>
      </c>
      <c r="D609" s="6">
        <v>22</v>
      </c>
      <c r="E609" s="55" t="s">
        <v>271</v>
      </c>
      <c r="G609" s="3">
        <v>10</v>
      </c>
      <c r="H609" s="54">
        <v>1</v>
      </c>
      <c r="I609" s="54">
        <v>4</v>
      </c>
      <c r="J609" s="3">
        <v>100</v>
      </c>
      <c r="K609" s="57">
        <v>1900</v>
      </c>
      <c r="L609" s="54"/>
      <c r="M609" s="58">
        <v>5</v>
      </c>
      <c r="N609" s="59">
        <f>VLOOKUP(A609,Baupläne!$B$2:$X$1019,23,FALSE)</f>
        <v>37600</v>
      </c>
      <c r="AB609" s="15">
        <v>43</v>
      </c>
      <c r="AC609" s="394">
        <f t="shared" si="38"/>
        <v>88</v>
      </c>
      <c r="AD609" s="394"/>
      <c r="AE609" s="227"/>
      <c r="AF609" s="395">
        <f t="shared" si="39"/>
        <v>44</v>
      </c>
    </row>
    <row r="610" spans="1:32" outlineLevel="1" x14ac:dyDescent="0.2">
      <c r="A610" s="5">
        <v>1610</v>
      </c>
      <c r="B610" s="3" t="s">
        <v>726</v>
      </c>
      <c r="C610" s="3" t="s">
        <v>717</v>
      </c>
      <c r="D610" s="6">
        <v>25</v>
      </c>
      <c r="E610" s="55" t="s">
        <v>271</v>
      </c>
      <c r="G610" s="3">
        <v>10</v>
      </c>
      <c r="H610" s="54">
        <v>1</v>
      </c>
      <c r="I610" s="54">
        <v>4</v>
      </c>
      <c r="J610" s="3">
        <v>100</v>
      </c>
      <c r="K610" s="57">
        <v>1800</v>
      </c>
      <c r="L610" s="54"/>
      <c r="M610" s="58">
        <v>5</v>
      </c>
      <c r="N610" s="59">
        <f>VLOOKUP(A610,Baupläne!$B$2:$X$1019,23,FALSE)</f>
        <v>57300</v>
      </c>
      <c r="AB610" s="15">
        <v>43</v>
      </c>
      <c r="AC610" s="394">
        <f t="shared" si="38"/>
        <v>100</v>
      </c>
      <c r="AD610" s="394"/>
      <c r="AE610" s="227"/>
      <c r="AF610" s="395">
        <f t="shared" si="39"/>
        <v>50</v>
      </c>
    </row>
    <row r="611" spans="1:32" s="294" customFormat="1" outlineLevel="1" x14ac:dyDescent="0.2">
      <c r="A611" s="293">
        <v>2601</v>
      </c>
      <c r="B611" s="177" t="s">
        <v>727</v>
      </c>
      <c r="C611" s="177" t="s">
        <v>717</v>
      </c>
      <c r="D611" s="295">
        <v>4</v>
      </c>
      <c r="E611" s="316" t="s">
        <v>271</v>
      </c>
      <c r="F611" s="8"/>
      <c r="G611" s="177">
        <v>10</v>
      </c>
      <c r="H611" s="178">
        <v>2</v>
      </c>
      <c r="I611" s="178">
        <v>4</v>
      </c>
      <c r="J611" s="177">
        <v>100</v>
      </c>
      <c r="K611" s="317">
        <v>1700</v>
      </c>
      <c r="L611" s="178"/>
      <c r="M611" s="179"/>
      <c r="N611" s="299">
        <f>VLOOKUP(A611,Baupläne!$B$2:$X$1019,23,FALSE)</f>
        <v>5500</v>
      </c>
      <c r="O611" s="295"/>
      <c r="Q611" s="301"/>
      <c r="R611" s="306"/>
      <c r="S611" s="301"/>
      <c r="T611" s="302"/>
      <c r="U611" s="301"/>
      <c r="V611" s="301"/>
      <c r="W611" s="303"/>
      <c r="X611" s="304"/>
      <c r="Y611" s="305"/>
      <c r="AA611" s="306"/>
      <c r="AB611" s="306">
        <v>43</v>
      </c>
      <c r="AC611" s="307">
        <f>(D611+3)*4</f>
        <v>28</v>
      </c>
      <c r="AD611" s="307"/>
      <c r="AE611" s="307"/>
      <c r="AF611" s="308">
        <f>(D611+3)*2</f>
        <v>14</v>
      </c>
    </row>
    <row r="612" spans="1:32" s="294" customFormat="1" outlineLevel="1" x14ac:dyDescent="0.2">
      <c r="A612" s="293">
        <v>2602</v>
      </c>
      <c r="B612" s="177" t="s">
        <v>728</v>
      </c>
      <c r="C612" s="177" t="s">
        <v>717</v>
      </c>
      <c r="D612" s="295">
        <v>9</v>
      </c>
      <c r="E612" s="316" t="s">
        <v>271</v>
      </c>
      <c r="F612" s="8"/>
      <c r="G612" s="177">
        <v>10</v>
      </c>
      <c r="H612" s="178">
        <v>2</v>
      </c>
      <c r="I612" s="178">
        <v>4</v>
      </c>
      <c r="J612" s="177">
        <v>100</v>
      </c>
      <c r="K612" s="317">
        <v>1800</v>
      </c>
      <c r="L612" s="178"/>
      <c r="M612" s="179"/>
      <c r="N612" s="299">
        <f>VLOOKUP(A612,Baupläne!$B$2:$X$1019,23,FALSE)</f>
        <v>11100</v>
      </c>
      <c r="O612" s="295"/>
      <c r="Q612" s="301"/>
      <c r="R612" s="306"/>
      <c r="S612" s="301"/>
      <c r="T612" s="302"/>
      <c r="U612" s="301"/>
      <c r="V612" s="301"/>
      <c r="W612" s="303"/>
      <c r="X612" s="304"/>
      <c r="Y612" s="305"/>
      <c r="AA612" s="306"/>
      <c r="AB612" s="306">
        <v>43</v>
      </c>
      <c r="AC612" s="307">
        <f>(D612+3)*4</f>
        <v>48</v>
      </c>
      <c r="AD612" s="307"/>
      <c r="AE612" s="307"/>
      <c r="AF612" s="308">
        <f>(D612+3)*2</f>
        <v>24</v>
      </c>
    </row>
    <row r="613" spans="1:32" s="294" customFormat="1" outlineLevel="1" x14ac:dyDescent="0.2">
      <c r="A613" s="293">
        <v>2603</v>
      </c>
      <c r="B613" s="177" t="s">
        <v>729</v>
      </c>
      <c r="C613" s="177" t="s">
        <v>717</v>
      </c>
      <c r="D613" s="295">
        <v>14</v>
      </c>
      <c r="E613" s="316" t="s">
        <v>271</v>
      </c>
      <c r="F613" s="8"/>
      <c r="G613" s="177">
        <v>10</v>
      </c>
      <c r="H613" s="178">
        <v>2</v>
      </c>
      <c r="I613" s="178">
        <v>4</v>
      </c>
      <c r="J613" s="177">
        <v>100</v>
      </c>
      <c r="K613" s="317">
        <v>2000</v>
      </c>
      <c r="L613" s="178"/>
      <c r="M613" s="179"/>
      <c r="N613" s="299">
        <f>VLOOKUP(A613,Baupläne!$B$2:$X$1019,23,FALSE)</f>
        <v>22300</v>
      </c>
      <c r="O613" s="295"/>
      <c r="Q613" s="301"/>
      <c r="R613" s="306"/>
      <c r="S613" s="301"/>
      <c r="T613" s="302"/>
      <c r="U613" s="301"/>
      <c r="V613" s="301"/>
      <c r="W613" s="303"/>
      <c r="X613" s="304"/>
      <c r="Y613" s="305"/>
      <c r="AA613" s="306"/>
      <c r="AB613" s="306">
        <v>43</v>
      </c>
      <c r="AC613" s="307">
        <f>(D613+3)*4</f>
        <v>68</v>
      </c>
      <c r="AD613" s="307"/>
      <c r="AE613" s="307"/>
      <c r="AF613" s="308">
        <f>(D613+3)*2</f>
        <v>34</v>
      </c>
    </row>
    <row r="614" spans="1:32" s="294" customFormat="1" outlineLevel="1" x14ac:dyDescent="0.2">
      <c r="A614" s="293">
        <v>2604</v>
      </c>
      <c r="B614" s="177" t="s">
        <v>730</v>
      </c>
      <c r="C614" s="177" t="s">
        <v>717</v>
      </c>
      <c r="D614" s="295">
        <v>19</v>
      </c>
      <c r="E614" s="316" t="s">
        <v>271</v>
      </c>
      <c r="F614" s="8"/>
      <c r="G614" s="177">
        <v>10</v>
      </c>
      <c r="H614" s="178">
        <v>2</v>
      </c>
      <c r="I614" s="178">
        <v>4</v>
      </c>
      <c r="J614" s="177">
        <v>100</v>
      </c>
      <c r="K614" s="317">
        <v>1900</v>
      </c>
      <c r="L614" s="178"/>
      <c r="M614" s="179"/>
      <c r="N614" s="299">
        <f>VLOOKUP(A614,Baupläne!$B$2:$X$1019,23,FALSE)</f>
        <v>42300</v>
      </c>
      <c r="O614" s="295"/>
      <c r="Q614" s="301"/>
      <c r="R614" s="306"/>
      <c r="S614" s="301"/>
      <c r="T614" s="302"/>
      <c r="U614" s="301"/>
      <c r="V614" s="301"/>
      <c r="W614" s="303"/>
      <c r="X614" s="304"/>
      <c r="Y614" s="305"/>
      <c r="AA614" s="306"/>
      <c r="AB614" s="306">
        <v>43</v>
      </c>
      <c r="AC614" s="307">
        <f>(D614+3)*4</f>
        <v>88</v>
      </c>
      <c r="AD614" s="307"/>
      <c r="AE614" s="307"/>
      <c r="AF614" s="308">
        <f>(D614+3)*2</f>
        <v>44</v>
      </c>
    </row>
    <row r="615" spans="1:32" s="294" customFormat="1" outlineLevel="1" x14ac:dyDescent="0.2">
      <c r="A615" s="293">
        <v>2605</v>
      </c>
      <c r="B615" s="177" t="s">
        <v>731</v>
      </c>
      <c r="C615" s="177" t="s">
        <v>717</v>
      </c>
      <c r="D615" s="295">
        <v>25</v>
      </c>
      <c r="E615" s="316" t="s">
        <v>271</v>
      </c>
      <c r="F615" s="8"/>
      <c r="G615" s="177">
        <v>10</v>
      </c>
      <c r="H615" s="178">
        <v>2</v>
      </c>
      <c r="I615" s="178">
        <v>4</v>
      </c>
      <c r="J615" s="177">
        <v>100</v>
      </c>
      <c r="K615" s="317">
        <v>1800</v>
      </c>
      <c r="L615" s="178"/>
      <c r="M615" s="179"/>
      <c r="N615" s="299">
        <f>VLOOKUP(A615,Baupläne!$B$2:$X$1019,23,FALSE)</f>
        <v>82300</v>
      </c>
      <c r="O615" s="295"/>
      <c r="Q615" s="301"/>
      <c r="R615" s="306"/>
      <c r="S615" s="301"/>
      <c r="T615" s="302"/>
      <c r="U615" s="301"/>
      <c r="V615" s="301"/>
      <c r="W615" s="303"/>
      <c r="X615" s="304"/>
      <c r="Y615" s="305"/>
      <c r="AA615" s="306"/>
      <c r="AB615" s="306">
        <v>43</v>
      </c>
      <c r="AC615" s="307">
        <f>(D615+3)*4</f>
        <v>112</v>
      </c>
      <c r="AD615" s="307"/>
      <c r="AE615" s="307"/>
      <c r="AF615" s="308">
        <f>(D615+3)*2</f>
        <v>56</v>
      </c>
    </row>
    <row r="616" spans="1:32" x14ac:dyDescent="0.2">
      <c r="A616" s="271"/>
      <c r="B616" s="272" t="s">
        <v>273</v>
      </c>
      <c r="C616" s="272"/>
      <c r="D616" s="273"/>
      <c r="E616" s="274"/>
      <c r="F616" s="275"/>
      <c r="G616" s="272"/>
      <c r="H616" s="273"/>
      <c r="I616" s="273"/>
      <c r="J616" s="272"/>
      <c r="K616" s="276"/>
      <c r="L616" s="273"/>
      <c r="M616" s="277"/>
      <c r="N616" s="327"/>
      <c r="O616" s="396"/>
      <c r="P616" s="286"/>
      <c r="Q616" s="281"/>
      <c r="R616" s="287"/>
      <c r="S616" s="281"/>
      <c r="T616" s="282"/>
      <c r="U616" s="281"/>
      <c r="V616" s="281"/>
      <c r="W616" s="283"/>
      <c r="X616" s="284"/>
      <c r="Y616" s="285"/>
      <c r="Z616" s="286"/>
      <c r="AA616" s="287"/>
      <c r="AB616" s="287"/>
      <c r="AC616" s="397"/>
      <c r="AD616" s="397"/>
      <c r="AE616" s="288"/>
      <c r="AF616" s="398"/>
    </row>
    <row r="617" spans="1:32" outlineLevel="1" x14ac:dyDescent="0.2">
      <c r="A617" s="5">
        <v>1611</v>
      </c>
      <c r="B617" s="1" t="s">
        <v>732</v>
      </c>
      <c r="C617" s="1" t="s">
        <v>733</v>
      </c>
      <c r="D617" s="6">
        <v>1</v>
      </c>
      <c r="E617" s="7" t="s">
        <v>273</v>
      </c>
      <c r="G617" s="1">
        <v>11</v>
      </c>
      <c r="H617" s="6">
        <v>1</v>
      </c>
      <c r="I617" s="6">
        <v>4</v>
      </c>
      <c r="J617" s="1">
        <v>100</v>
      </c>
      <c r="K617" s="9">
        <v>1700</v>
      </c>
      <c r="M617" s="10">
        <v>1</v>
      </c>
      <c r="N617" s="59">
        <f>VLOOKUP(A617,Baupläne!$B$2:$X$1019,23,FALSE)</f>
        <v>2000</v>
      </c>
      <c r="AB617" s="15">
        <v>43</v>
      </c>
      <c r="AC617" s="394">
        <f t="shared" ref="AC617:AC626" si="40">D617*4</f>
        <v>4</v>
      </c>
      <c r="AD617" s="394"/>
      <c r="AE617" s="227"/>
      <c r="AF617" s="395">
        <f t="shared" ref="AF617:AF626" si="41">D617*2</f>
        <v>2</v>
      </c>
    </row>
    <row r="618" spans="1:32" outlineLevel="1" x14ac:dyDescent="0.2">
      <c r="A618" s="5">
        <v>1612</v>
      </c>
      <c r="B618" s="1" t="s">
        <v>734</v>
      </c>
      <c r="C618" s="1" t="s">
        <v>733</v>
      </c>
      <c r="D618" s="6">
        <v>4</v>
      </c>
      <c r="E618" s="7" t="s">
        <v>273</v>
      </c>
      <c r="G618" s="1">
        <v>11</v>
      </c>
      <c r="H618" s="6">
        <v>1</v>
      </c>
      <c r="I618" s="6">
        <v>4</v>
      </c>
      <c r="J618" s="1">
        <v>100</v>
      </c>
      <c r="K618" s="9">
        <v>1800</v>
      </c>
      <c r="M618" s="10">
        <v>1</v>
      </c>
      <c r="N618" s="59">
        <f>VLOOKUP(A618,Baupläne!$B$2:$X$1019,23,FALSE)</f>
        <v>3000</v>
      </c>
      <c r="AB618" s="15">
        <v>43</v>
      </c>
      <c r="AC618" s="394">
        <f t="shared" si="40"/>
        <v>16</v>
      </c>
      <c r="AD618" s="394"/>
      <c r="AE618" s="227"/>
      <c r="AF618" s="395">
        <f t="shared" si="41"/>
        <v>8</v>
      </c>
    </row>
    <row r="619" spans="1:32" outlineLevel="1" x14ac:dyDescent="0.2">
      <c r="A619" s="5">
        <v>1613</v>
      </c>
      <c r="B619" s="1" t="s">
        <v>735</v>
      </c>
      <c r="C619" s="1" t="s">
        <v>733</v>
      </c>
      <c r="D619" s="6">
        <v>6</v>
      </c>
      <c r="E619" s="7" t="s">
        <v>273</v>
      </c>
      <c r="G619" s="1">
        <v>11</v>
      </c>
      <c r="H619" s="6">
        <v>1</v>
      </c>
      <c r="I619" s="6">
        <v>4</v>
      </c>
      <c r="J619" s="1">
        <v>100</v>
      </c>
      <c r="K619" s="9">
        <v>2000</v>
      </c>
      <c r="M619" s="10">
        <v>2</v>
      </c>
      <c r="N619" s="59">
        <f>VLOOKUP(A619,Baupläne!$B$2:$X$1019,23,FALSE)</f>
        <v>4000</v>
      </c>
      <c r="AB619" s="15">
        <v>43</v>
      </c>
      <c r="AC619" s="394">
        <f t="shared" si="40"/>
        <v>24</v>
      </c>
      <c r="AD619" s="394"/>
      <c r="AE619" s="227"/>
      <c r="AF619" s="395">
        <f t="shared" si="41"/>
        <v>12</v>
      </c>
    </row>
    <row r="620" spans="1:32" outlineLevel="1" x14ac:dyDescent="0.2">
      <c r="A620" s="5">
        <v>1614</v>
      </c>
      <c r="B620" s="1" t="s">
        <v>736</v>
      </c>
      <c r="C620" s="1" t="s">
        <v>733</v>
      </c>
      <c r="D620" s="6">
        <v>9</v>
      </c>
      <c r="E620" s="7" t="s">
        <v>273</v>
      </c>
      <c r="G620" s="1">
        <v>11</v>
      </c>
      <c r="H620" s="6">
        <v>1</v>
      </c>
      <c r="I620" s="6">
        <v>4</v>
      </c>
      <c r="J620" s="1">
        <v>100</v>
      </c>
      <c r="K620" s="9">
        <v>1900</v>
      </c>
      <c r="M620" s="10">
        <v>2</v>
      </c>
      <c r="N620" s="59">
        <f>VLOOKUP(A620,Baupläne!$B$2:$X$1019,23,FALSE)</f>
        <v>6100</v>
      </c>
      <c r="AB620" s="15">
        <v>43</v>
      </c>
      <c r="AC620" s="394">
        <f t="shared" si="40"/>
        <v>36</v>
      </c>
      <c r="AD620" s="394"/>
      <c r="AE620" s="227"/>
      <c r="AF620" s="395">
        <f t="shared" si="41"/>
        <v>18</v>
      </c>
    </row>
    <row r="621" spans="1:32" outlineLevel="1" x14ac:dyDescent="0.2">
      <c r="A621" s="5">
        <v>1615</v>
      </c>
      <c r="B621" s="1" t="s">
        <v>737</v>
      </c>
      <c r="C621" s="1" t="s">
        <v>733</v>
      </c>
      <c r="D621" s="6">
        <v>11</v>
      </c>
      <c r="E621" s="7" t="s">
        <v>273</v>
      </c>
      <c r="G621" s="1">
        <v>11</v>
      </c>
      <c r="H621" s="6">
        <v>1</v>
      </c>
      <c r="I621" s="6">
        <v>4</v>
      </c>
      <c r="J621" s="1">
        <v>100</v>
      </c>
      <c r="K621" s="9">
        <v>1800</v>
      </c>
      <c r="M621" s="10">
        <v>3</v>
      </c>
      <c r="N621" s="59">
        <f>VLOOKUP(A621,Baupläne!$B$2:$X$1019,23,FALSE)</f>
        <v>8100</v>
      </c>
      <c r="AB621" s="15">
        <v>43</v>
      </c>
      <c r="AC621" s="394">
        <f t="shared" si="40"/>
        <v>44</v>
      </c>
      <c r="AD621" s="394"/>
      <c r="AE621" s="227"/>
      <c r="AF621" s="395">
        <f t="shared" si="41"/>
        <v>22</v>
      </c>
    </row>
    <row r="622" spans="1:32" outlineLevel="1" x14ac:dyDescent="0.2">
      <c r="A622" s="5">
        <v>1616</v>
      </c>
      <c r="B622" s="1" t="s">
        <v>738</v>
      </c>
      <c r="C622" s="1" t="s">
        <v>733</v>
      </c>
      <c r="D622" s="6">
        <v>14</v>
      </c>
      <c r="E622" s="7" t="s">
        <v>273</v>
      </c>
      <c r="G622" s="1">
        <v>11</v>
      </c>
      <c r="H622" s="6">
        <v>1</v>
      </c>
      <c r="I622" s="6">
        <v>4</v>
      </c>
      <c r="J622" s="1">
        <v>100</v>
      </c>
      <c r="K622" s="9">
        <v>1600</v>
      </c>
      <c r="M622" s="10">
        <v>3</v>
      </c>
      <c r="N622" s="59">
        <f>VLOOKUP(A622,Baupläne!$B$2:$X$1019,23,FALSE)</f>
        <v>12300</v>
      </c>
      <c r="AB622" s="15">
        <v>43</v>
      </c>
      <c r="AC622" s="394">
        <f t="shared" si="40"/>
        <v>56</v>
      </c>
      <c r="AD622" s="394"/>
      <c r="AE622" s="227"/>
      <c r="AF622" s="395">
        <f t="shared" si="41"/>
        <v>28</v>
      </c>
    </row>
    <row r="623" spans="1:32" outlineLevel="1" x14ac:dyDescent="0.2">
      <c r="A623" s="5">
        <v>1617</v>
      </c>
      <c r="B623" s="1" t="s">
        <v>739</v>
      </c>
      <c r="C623" s="1" t="s">
        <v>733</v>
      </c>
      <c r="D623" s="6">
        <v>16</v>
      </c>
      <c r="E623" s="7" t="s">
        <v>273</v>
      </c>
      <c r="G623" s="1">
        <v>11</v>
      </c>
      <c r="H623" s="6">
        <v>1</v>
      </c>
      <c r="I623" s="6">
        <v>4</v>
      </c>
      <c r="J623" s="1">
        <v>100</v>
      </c>
      <c r="K623" s="9">
        <v>1800</v>
      </c>
      <c r="M623" s="10">
        <v>4</v>
      </c>
      <c r="N623" s="59">
        <f>VLOOKUP(A623,Baupläne!$B$2:$X$1019,23,FALSE)</f>
        <v>16300</v>
      </c>
      <c r="AB623" s="15">
        <v>43</v>
      </c>
      <c r="AC623" s="394">
        <f t="shared" si="40"/>
        <v>64</v>
      </c>
      <c r="AD623" s="394"/>
      <c r="AE623" s="227"/>
      <c r="AF623" s="395">
        <f t="shared" si="41"/>
        <v>32</v>
      </c>
    </row>
    <row r="624" spans="1:32" outlineLevel="1" x14ac:dyDescent="0.2">
      <c r="A624" s="5">
        <v>1618</v>
      </c>
      <c r="B624" s="1" t="s">
        <v>740</v>
      </c>
      <c r="C624" s="1" t="s">
        <v>733</v>
      </c>
      <c r="D624" s="6">
        <v>19</v>
      </c>
      <c r="E624" s="7" t="s">
        <v>273</v>
      </c>
      <c r="G624" s="1">
        <v>11</v>
      </c>
      <c r="H624" s="6">
        <v>1</v>
      </c>
      <c r="I624" s="6">
        <v>4</v>
      </c>
      <c r="J624" s="1">
        <v>100</v>
      </c>
      <c r="K624" s="9">
        <v>1700</v>
      </c>
      <c r="M624" s="10">
        <v>4</v>
      </c>
      <c r="N624" s="59">
        <f>VLOOKUP(A624,Baupläne!$B$2:$X$1019,23,FALSE)</f>
        <v>24800</v>
      </c>
      <c r="AB624" s="15">
        <v>43</v>
      </c>
      <c r="AC624" s="394">
        <f t="shared" si="40"/>
        <v>76</v>
      </c>
      <c r="AD624" s="394"/>
      <c r="AE624" s="227"/>
      <c r="AF624" s="395">
        <f t="shared" si="41"/>
        <v>38</v>
      </c>
    </row>
    <row r="625" spans="1:32" outlineLevel="1" x14ac:dyDescent="0.2">
      <c r="A625" s="5">
        <v>1619</v>
      </c>
      <c r="B625" s="1" t="s">
        <v>741</v>
      </c>
      <c r="C625" s="1" t="s">
        <v>733</v>
      </c>
      <c r="D625" s="6">
        <v>22</v>
      </c>
      <c r="E625" s="7" t="s">
        <v>273</v>
      </c>
      <c r="G625" s="1">
        <v>11</v>
      </c>
      <c r="H625" s="6">
        <v>1</v>
      </c>
      <c r="I625" s="6">
        <v>4</v>
      </c>
      <c r="J625" s="1">
        <v>100</v>
      </c>
      <c r="K625" s="9">
        <v>1900</v>
      </c>
      <c r="M625" s="10">
        <v>5</v>
      </c>
      <c r="N625" s="59">
        <f>VLOOKUP(A625,Baupläne!$B$2:$X$1019,23,FALSE)</f>
        <v>37600</v>
      </c>
      <c r="AB625" s="15">
        <v>43</v>
      </c>
      <c r="AC625" s="394">
        <f t="shared" si="40"/>
        <v>88</v>
      </c>
      <c r="AD625" s="394"/>
      <c r="AE625" s="227"/>
      <c r="AF625" s="395">
        <f t="shared" si="41"/>
        <v>44</v>
      </c>
    </row>
    <row r="626" spans="1:32" outlineLevel="1" x14ac:dyDescent="0.2">
      <c r="A626" s="5">
        <v>1620</v>
      </c>
      <c r="B626" s="1" t="s">
        <v>742</v>
      </c>
      <c r="C626" s="1" t="s">
        <v>733</v>
      </c>
      <c r="D626" s="6">
        <v>25</v>
      </c>
      <c r="E626" s="7" t="s">
        <v>273</v>
      </c>
      <c r="G626" s="1">
        <v>11</v>
      </c>
      <c r="H626" s="6">
        <v>1</v>
      </c>
      <c r="I626" s="6">
        <v>4</v>
      </c>
      <c r="J626" s="1">
        <v>100</v>
      </c>
      <c r="K626" s="9">
        <v>1800</v>
      </c>
      <c r="M626" s="10">
        <v>5</v>
      </c>
      <c r="N626" s="59">
        <f>VLOOKUP(A626,Baupläne!$B$2:$X$1019,23,FALSE)</f>
        <v>57300</v>
      </c>
      <c r="AB626" s="15">
        <v>43</v>
      </c>
      <c r="AC626" s="394">
        <f t="shared" si="40"/>
        <v>100</v>
      </c>
      <c r="AD626" s="394"/>
      <c r="AE626" s="227"/>
      <c r="AF626" s="395">
        <f t="shared" si="41"/>
        <v>50</v>
      </c>
    </row>
    <row r="627" spans="1:32" s="294" customFormat="1" outlineLevel="1" x14ac:dyDescent="0.2">
      <c r="A627" s="293">
        <v>2611</v>
      </c>
      <c r="B627" s="177" t="s">
        <v>743</v>
      </c>
      <c r="C627" s="294" t="s">
        <v>733</v>
      </c>
      <c r="D627" s="295">
        <v>4</v>
      </c>
      <c r="E627" s="296" t="s">
        <v>273</v>
      </c>
      <c r="F627" s="8"/>
      <c r="G627" s="177">
        <v>11</v>
      </c>
      <c r="H627" s="178">
        <v>2</v>
      </c>
      <c r="I627" s="178">
        <v>4</v>
      </c>
      <c r="J627" s="177">
        <v>100</v>
      </c>
      <c r="K627" s="317">
        <v>1700</v>
      </c>
      <c r="L627" s="178"/>
      <c r="M627" s="179"/>
      <c r="N627" s="299">
        <f>VLOOKUP(A627,Baupläne!$B$2:$X$1019,23,FALSE)</f>
        <v>5500</v>
      </c>
      <c r="O627" s="295"/>
      <c r="Q627" s="301"/>
      <c r="R627" s="306"/>
      <c r="S627" s="301"/>
      <c r="T627" s="302"/>
      <c r="U627" s="301"/>
      <c r="V627" s="301"/>
      <c r="W627" s="303"/>
      <c r="X627" s="304"/>
      <c r="Y627" s="305"/>
      <c r="AA627" s="306"/>
      <c r="AB627" s="306">
        <v>43</v>
      </c>
      <c r="AC627" s="307">
        <f>(D627+3)*4</f>
        <v>28</v>
      </c>
      <c r="AD627" s="307"/>
      <c r="AE627" s="307"/>
      <c r="AF627" s="308">
        <f>(D627+3)*2</f>
        <v>14</v>
      </c>
    </row>
    <row r="628" spans="1:32" s="294" customFormat="1" outlineLevel="1" x14ac:dyDescent="0.2">
      <c r="A628" s="293">
        <v>2612</v>
      </c>
      <c r="B628" s="177" t="s">
        <v>744</v>
      </c>
      <c r="C628" s="294" t="s">
        <v>733</v>
      </c>
      <c r="D628" s="295">
        <v>9</v>
      </c>
      <c r="E628" s="296" t="s">
        <v>273</v>
      </c>
      <c r="F628" s="8"/>
      <c r="G628" s="177">
        <v>11</v>
      </c>
      <c r="H628" s="178">
        <v>2</v>
      </c>
      <c r="I628" s="178">
        <v>4</v>
      </c>
      <c r="J628" s="177">
        <v>100</v>
      </c>
      <c r="K628" s="317">
        <v>1800</v>
      </c>
      <c r="L628" s="178"/>
      <c r="M628" s="179"/>
      <c r="N628" s="299">
        <f>VLOOKUP(A628,Baupläne!$B$2:$X$1019,23,FALSE)</f>
        <v>11100</v>
      </c>
      <c r="O628" s="295"/>
      <c r="Q628" s="301"/>
      <c r="R628" s="306"/>
      <c r="S628" s="301"/>
      <c r="T628" s="302"/>
      <c r="U628" s="301"/>
      <c r="V628" s="301"/>
      <c r="W628" s="303"/>
      <c r="X628" s="304"/>
      <c r="Y628" s="305"/>
      <c r="AA628" s="306"/>
      <c r="AB628" s="306">
        <v>43</v>
      </c>
      <c r="AC628" s="307">
        <f>(D628+3)*4</f>
        <v>48</v>
      </c>
      <c r="AD628" s="307"/>
      <c r="AE628" s="307"/>
      <c r="AF628" s="308">
        <f>(D628+3)*2</f>
        <v>24</v>
      </c>
    </row>
    <row r="629" spans="1:32" s="294" customFormat="1" outlineLevel="1" x14ac:dyDescent="0.2">
      <c r="A629" s="293">
        <v>2613</v>
      </c>
      <c r="B629" s="177" t="s">
        <v>745</v>
      </c>
      <c r="C629" s="294" t="s">
        <v>733</v>
      </c>
      <c r="D629" s="295">
        <v>14</v>
      </c>
      <c r="E629" s="296" t="s">
        <v>273</v>
      </c>
      <c r="F629" s="8"/>
      <c r="G629" s="177">
        <v>11</v>
      </c>
      <c r="H629" s="178">
        <v>2</v>
      </c>
      <c r="I629" s="178">
        <v>4</v>
      </c>
      <c r="J629" s="177">
        <v>100</v>
      </c>
      <c r="K629" s="317">
        <v>2000</v>
      </c>
      <c r="L629" s="178"/>
      <c r="M629" s="179"/>
      <c r="N629" s="299">
        <f>VLOOKUP(A629,Baupläne!$B$2:$X$1019,23,FALSE)</f>
        <v>22300</v>
      </c>
      <c r="O629" s="295"/>
      <c r="Q629" s="301"/>
      <c r="R629" s="306"/>
      <c r="S629" s="301"/>
      <c r="T629" s="302"/>
      <c r="U629" s="301"/>
      <c r="V629" s="301"/>
      <c r="W629" s="303"/>
      <c r="X629" s="304"/>
      <c r="Y629" s="305"/>
      <c r="AA629" s="306"/>
      <c r="AB629" s="306">
        <v>43</v>
      </c>
      <c r="AC629" s="307">
        <f>(D629+3)*4</f>
        <v>68</v>
      </c>
      <c r="AD629" s="307"/>
      <c r="AE629" s="307"/>
      <c r="AF629" s="308">
        <f>(D629+3)*2</f>
        <v>34</v>
      </c>
    </row>
    <row r="630" spans="1:32" s="294" customFormat="1" outlineLevel="1" x14ac:dyDescent="0.2">
      <c r="A630" s="293">
        <v>2614</v>
      </c>
      <c r="B630" s="177" t="s">
        <v>746</v>
      </c>
      <c r="C630" s="294" t="s">
        <v>733</v>
      </c>
      <c r="D630" s="295">
        <v>19</v>
      </c>
      <c r="E630" s="296" t="s">
        <v>273</v>
      </c>
      <c r="F630" s="8"/>
      <c r="G630" s="177">
        <v>11</v>
      </c>
      <c r="H630" s="178">
        <v>2</v>
      </c>
      <c r="I630" s="178">
        <v>4</v>
      </c>
      <c r="J630" s="177">
        <v>100</v>
      </c>
      <c r="K630" s="317">
        <v>1900</v>
      </c>
      <c r="L630" s="178"/>
      <c r="M630" s="179"/>
      <c r="N630" s="299">
        <f>VLOOKUP(A630,Baupläne!$B$2:$X$1019,23,FALSE)</f>
        <v>42300</v>
      </c>
      <c r="O630" s="295"/>
      <c r="Q630" s="301"/>
      <c r="R630" s="306"/>
      <c r="S630" s="301"/>
      <c r="T630" s="302"/>
      <c r="U630" s="301"/>
      <c r="V630" s="301"/>
      <c r="W630" s="303"/>
      <c r="X630" s="304"/>
      <c r="Y630" s="305"/>
      <c r="AA630" s="306"/>
      <c r="AB630" s="306">
        <v>43</v>
      </c>
      <c r="AC630" s="307">
        <f>(D630+3)*4</f>
        <v>88</v>
      </c>
      <c r="AD630" s="307"/>
      <c r="AE630" s="307"/>
      <c r="AF630" s="308">
        <f>(D630+3)*2</f>
        <v>44</v>
      </c>
    </row>
    <row r="631" spans="1:32" s="294" customFormat="1" outlineLevel="1" x14ac:dyDescent="0.2">
      <c r="A631" s="293">
        <v>2615</v>
      </c>
      <c r="B631" s="177" t="s">
        <v>747</v>
      </c>
      <c r="C631" s="294" t="s">
        <v>733</v>
      </c>
      <c r="D631" s="295">
        <v>25</v>
      </c>
      <c r="E631" s="296" t="s">
        <v>273</v>
      </c>
      <c r="F631" s="8"/>
      <c r="G631" s="177">
        <v>11</v>
      </c>
      <c r="H631" s="178">
        <v>2</v>
      </c>
      <c r="I631" s="178">
        <v>4</v>
      </c>
      <c r="J631" s="177">
        <v>100</v>
      </c>
      <c r="K631" s="317">
        <v>1800</v>
      </c>
      <c r="L631" s="178"/>
      <c r="M631" s="179"/>
      <c r="N631" s="299">
        <f>VLOOKUP(A631,Baupläne!$B$2:$X$1019,23,FALSE)</f>
        <v>82300</v>
      </c>
      <c r="O631" s="295"/>
      <c r="Q631" s="301"/>
      <c r="R631" s="306"/>
      <c r="S631" s="301"/>
      <c r="T631" s="302"/>
      <c r="U631" s="301"/>
      <c r="V631" s="301"/>
      <c r="W631" s="303"/>
      <c r="X631" s="304"/>
      <c r="Y631" s="305"/>
      <c r="AA631" s="306"/>
      <c r="AB631" s="306">
        <v>43</v>
      </c>
      <c r="AC631" s="307">
        <f>(D631+3)*4</f>
        <v>112</v>
      </c>
      <c r="AD631" s="307"/>
      <c r="AE631" s="307"/>
      <c r="AF631" s="308">
        <f>(D631+3)*2</f>
        <v>56</v>
      </c>
    </row>
    <row r="632" spans="1:32" x14ac:dyDescent="0.2">
      <c r="A632" s="271"/>
      <c r="B632" s="272" t="s">
        <v>275</v>
      </c>
      <c r="C632" s="272"/>
      <c r="D632" s="273"/>
      <c r="E632" s="274"/>
      <c r="F632" s="275"/>
      <c r="G632" s="272"/>
      <c r="H632" s="273"/>
      <c r="I632" s="273"/>
      <c r="J632" s="272"/>
      <c r="K632" s="276"/>
      <c r="L632" s="273"/>
      <c r="M632" s="277"/>
      <c r="N632" s="327"/>
      <c r="O632" s="396"/>
      <c r="P632" s="286"/>
      <c r="Q632" s="281"/>
      <c r="R632" s="287"/>
      <c r="S632" s="281"/>
      <c r="T632" s="282"/>
      <c r="U632" s="281"/>
      <c r="V632" s="281"/>
      <c r="W632" s="283"/>
      <c r="X632" s="284"/>
      <c r="Y632" s="285"/>
      <c r="Z632" s="286"/>
      <c r="AA632" s="287"/>
      <c r="AB632" s="287"/>
      <c r="AC632" s="397"/>
      <c r="AD632" s="397"/>
      <c r="AE632" s="288"/>
      <c r="AF632" s="398"/>
    </row>
    <row r="633" spans="1:32" outlineLevel="1" x14ac:dyDescent="0.2">
      <c r="A633" s="5">
        <v>1621</v>
      </c>
      <c r="B633" s="1" t="s">
        <v>748</v>
      </c>
      <c r="C633" s="1" t="s">
        <v>749</v>
      </c>
      <c r="D633" s="6">
        <v>1</v>
      </c>
      <c r="E633" s="7" t="s">
        <v>275</v>
      </c>
      <c r="G633" s="1">
        <v>12</v>
      </c>
      <c r="H633" s="6">
        <v>1</v>
      </c>
      <c r="I633" s="6">
        <v>4</v>
      </c>
      <c r="J633" s="1">
        <v>100</v>
      </c>
      <c r="K633" s="9">
        <v>1700</v>
      </c>
      <c r="M633" s="10">
        <v>1</v>
      </c>
      <c r="N633" s="59">
        <f>VLOOKUP(A633,Baupläne!$B$2:$X$1019,23,FALSE)</f>
        <v>2000</v>
      </c>
      <c r="AB633" s="15">
        <v>43</v>
      </c>
      <c r="AC633" s="394">
        <f t="shared" ref="AC633:AC642" si="42">D633*4</f>
        <v>4</v>
      </c>
      <c r="AD633" s="394"/>
      <c r="AE633" s="227"/>
      <c r="AF633" s="395">
        <f t="shared" ref="AF633:AF642" si="43">D633*2</f>
        <v>2</v>
      </c>
    </row>
    <row r="634" spans="1:32" outlineLevel="1" x14ac:dyDescent="0.2">
      <c r="A634" s="5">
        <v>1622</v>
      </c>
      <c r="B634" s="1" t="s">
        <v>750</v>
      </c>
      <c r="C634" s="1" t="s">
        <v>749</v>
      </c>
      <c r="D634" s="6">
        <v>4</v>
      </c>
      <c r="E634" s="7" t="s">
        <v>275</v>
      </c>
      <c r="G634" s="1">
        <v>12</v>
      </c>
      <c r="H634" s="6">
        <v>1</v>
      </c>
      <c r="I634" s="6">
        <v>4</v>
      </c>
      <c r="J634" s="1">
        <v>100</v>
      </c>
      <c r="K634" s="9">
        <v>1800</v>
      </c>
      <c r="M634" s="10">
        <v>1</v>
      </c>
      <c r="N634" s="59">
        <f>VLOOKUP(A634,Baupläne!$B$2:$X$1019,23,FALSE)</f>
        <v>3000</v>
      </c>
      <c r="AB634" s="15">
        <v>43</v>
      </c>
      <c r="AC634" s="394">
        <f t="shared" si="42"/>
        <v>16</v>
      </c>
      <c r="AD634" s="394"/>
      <c r="AE634" s="227"/>
      <c r="AF634" s="395">
        <f t="shared" si="43"/>
        <v>8</v>
      </c>
    </row>
    <row r="635" spans="1:32" outlineLevel="1" x14ac:dyDescent="0.2">
      <c r="A635" s="5">
        <v>1623</v>
      </c>
      <c r="B635" s="1" t="s">
        <v>751</v>
      </c>
      <c r="C635" s="1" t="s">
        <v>749</v>
      </c>
      <c r="D635" s="6">
        <v>6</v>
      </c>
      <c r="E635" s="7" t="s">
        <v>275</v>
      </c>
      <c r="G635" s="1">
        <v>12</v>
      </c>
      <c r="H635" s="6">
        <v>1</v>
      </c>
      <c r="I635" s="6">
        <v>4</v>
      </c>
      <c r="J635" s="1">
        <v>100</v>
      </c>
      <c r="K635" s="9">
        <v>2000</v>
      </c>
      <c r="M635" s="10">
        <v>2</v>
      </c>
      <c r="N635" s="59">
        <f>VLOOKUP(A635,Baupläne!$B$2:$X$1019,23,FALSE)</f>
        <v>4000</v>
      </c>
      <c r="AB635" s="15">
        <v>43</v>
      </c>
      <c r="AC635" s="394">
        <f t="shared" si="42"/>
        <v>24</v>
      </c>
      <c r="AD635" s="394"/>
      <c r="AE635" s="227"/>
      <c r="AF635" s="395">
        <f t="shared" si="43"/>
        <v>12</v>
      </c>
    </row>
    <row r="636" spans="1:32" outlineLevel="1" x14ac:dyDescent="0.2">
      <c r="A636" s="5">
        <v>1624</v>
      </c>
      <c r="B636" s="1" t="s">
        <v>752</v>
      </c>
      <c r="C636" s="1" t="s">
        <v>749</v>
      </c>
      <c r="D636" s="6">
        <v>9</v>
      </c>
      <c r="E636" s="7" t="s">
        <v>275</v>
      </c>
      <c r="G636" s="1">
        <v>12</v>
      </c>
      <c r="H636" s="6">
        <v>1</v>
      </c>
      <c r="I636" s="6">
        <v>4</v>
      </c>
      <c r="J636" s="1">
        <v>100</v>
      </c>
      <c r="K636" s="9">
        <v>1900</v>
      </c>
      <c r="M636" s="10">
        <v>2</v>
      </c>
      <c r="N636" s="59">
        <f>VLOOKUP(A636,Baupläne!$B$2:$X$1019,23,FALSE)</f>
        <v>6100</v>
      </c>
      <c r="AB636" s="15">
        <v>43</v>
      </c>
      <c r="AC636" s="394">
        <f t="shared" si="42"/>
        <v>36</v>
      </c>
      <c r="AD636" s="394"/>
      <c r="AE636" s="227"/>
      <c r="AF636" s="395">
        <f t="shared" si="43"/>
        <v>18</v>
      </c>
    </row>
    <row r="637" spans="1:32" outlineLevel="1" x14ac:dyDescent="0.2">
      <c r="A637" s="5">
        <v>1625</v>
      </c>
      <c r="B637" s="1" t="s">
        <v>753</v>
      </c>
      <c r="C637" s="1" t="s">
        <v>749</v>
      </c>
      <c r="D637" s="6">
        <v>11</v>
      </c>
      <c r="E637" s="7" t="s">
        <v>275</v>
      </c>
      <c r="G637" s="1">
        <v>12</v>
      </c>
      <c r="H637" s="6">
        <v>1</v>
      </c>
      <c r="I637" s="6">
        <v>4</v>
      </c>
      <c r="J637" s="1">
        <v>100</v>
      </c>
      <c r="K637" s="9">
        <v>1800</v>
      </c>
      <c r="M637" s="10">
        <v>3</v>
      </c>
      <c r="N637" s="59">
        <f>VLOOKUP(A637,Baupläne!$B$2:$X$1019,23,FALSE)</f>
        <v>8100</v>
      </c>
      <c r="AB637" s="15">
        <v>43</v>
      </c>
      <c r="AC637" s="394">
        <f t="shared" si="42"/>
        <v>44</v>
      </c>
      <c r="AD637" s="394"/>
      <c r="AE637" s="227"/>
      <c r="AF637" s="395">
        <f t="shared" si="43"/>
        <v>22</v>
      </c>
    </row>
    <row r="638" spans="1:32" outlineLevel="1" x14ac:dyDescent="0.2">
      <c r="A638" s="5">
        <v>1626</v>
      </c>
      <c r="B638" s="1" t="s">
        <v>754</v>
      </c>
      <c r="C638" s="1" t="s">
        <v>749</v>
      </c>
      <c r="D638" s="6">
        <v>14</v>
      </c>
      <c r="E638" s="7" t="s">
        <v>275</v>
      </c>
      <c r="G638" s="1">
        <v>12</v>
      </c>
      <c r="H638" s="6">
        <v>1</v>
      </c>
      <c r="I638" s="6">
        <v>4</v>
      </c>
      <c r="J638" s="1">
        <v>100</v>
      </c>
      <c r="K638" s="9">
        <v>1600</v>
      </c>
      <c r="M638" s="10">
        <v>3</v>
      </c>
      <c r="N638" s="59">
        <f>VLOOKUP(A638,Baupläne!$B$2:$X$1019,23,FALSE)</f>
        <v>12300</v>
      </c>
      <c r="AB638" s="15">
        <v>43</v>
      </c>
      <c r="AC638" s="394">
        <f t="shared" si="42"/>
        <v>56</v>
      </c>
      <c r="AD638" s="394"/>
      <c r="AE638" s="227"/>
      <c r="AF638" s="395">
        <f t="shared" si="43"/>
        <v>28</v>
      </c>
    </row>
    <row r="639" spans="1:32" outlineLevel="1" x14ac:dyDescent="0.2">
      <c r="A639" s="5">
        <v>1627</v>
      </c>
      <c r="B639" s="1" t="s">
        <v>755</v>
      </c>
      <c r="C639" s="1" t="s">
        <v>749</v>
      </c>
      <c r="D639" s="6">
        <v>16</v>
      </c>
      <c r="E639" s="7" t="s">
        <v>275</v>
      </c>
      <c r="G639" s="1">
        <v>12</v>
      </c>
      <c r="H639" s="6">
        <v>1</v>
      </c>
      <c r="I639" s="6">
        <v>4</v>
      </c>
      <c r="J639" s="1">
        <v>100</v>
      </c>
      <c r="K639" s="9">
        <v>1800</v>
      </c>
      <c r="M639" s="10">
        <v>4</v>
      </c>
      <c r="N639" s="59">
        <f>VLOOKUP(A639,Baupläne!$B$2:$X$1019,23,FALSE)</f>
        <v>16300</v>
      </c>
      <c r="AB639" s="15">
        <v>43</v>
      </c>
      <c r="AC639" s="394">
        <f t="shared" si="42"/>
        <v>64</v>
      </c>
      <c r="AD639" s="394"/>
      <c r="AE639" s="227"/>
      <c r="AF639" s="395">
        <f t="shared" si="43"/>
        <v>32</v>
      </c>
    </row>
    <row r="640" spans="1:32" outlineLevel="1" x14ac:dyDescent="0.2">
      <c r="A640" s="5">
        <v>1628</v>
      </c>
      <c r="B640" s="1" t="s">
        <v>756</v>
      </c>
      <c r="C640" s="1" t="s">
        <v>749</v>
      </c>
      <c r="D640" s="6">
        <v>19</v>
      </c>
      <c r="E640" s="7" t="s">
        <v>275</v>
      </c>
      <c r="G640" s="1">
        <v>12</v>
      </c>
      <c r="H640" s="6">
        <v>1</v>
      </c>
      <c r="I640" s="6">
        <v>4</v>
      </c>
      <c r="J640" s="1">
        <v>100</v>
      </c>
      <c r="K640" s="9">
        <v>1700</v>
      </c>
      <c r="M640" s="10">
        <v>4</v>
      </c>
      <c r="N640" s="59">
        <f>VLOOKUP(A640,Baupläne!$B$2:$X$1019,23,FALSE)</f>
        <v>24800</v>
      </c>
      <c r="AB640" s="15">
        <v>43</v>
      </c>
      <c r="AC640" s="394">
        <f t="shared" si="42"/>
        <v>76</v>
      </c>
      <c r="AD640" s="394"/>
      <c r="AE640" s="227"/>
      <c r="AF640" s="395">
        <f t="shared" si="43"/>
        <v>38</v>
      </c>
    </row>
    <row r="641" spans="1:32" outlineLevel="1" x14ac:dyDescent="0.2">
      <c r="A641" s="5">
        <v>1629</v>
      </c>
      <c r="B641" s="1" t="s">
        <v>757</v>
      </c>
      <c r="C641" s="1" t="s">
        <v>749</v>
      </c>
      <c r="D641" s="6">
        <v>22</v>
      </c>
      <c r="E641" s="7" t="s">
        <v>275</v>
      </c>
      <c r="G641" s="1">
        <v>12</v>
      </c>
      <c r="H641" s="6">
        <v>1</v>
      </c>
      <c r="I641" s="6">
        <v>4</v>
      </c>
      <c r="J641" s="1">
        <v>100</v>
      </c>
      <c r="K641" s="9">
        <v>1900</v>
      </c>
      <c r="M641" s="10">
        <v>5</v>
      </c>
      <c r="N641" s="59">
        <f>VLOOKUP(A641,Baupläne!$B$2:$X$1019,23,FALSE)</f>
        <v>37600</v>
      </c>
      <c r="AB641" s="15">
        <v>43</v>
      </c>
      <c r="AC641" s="394">
        <f t="shared" si="42"/>
        <v>88</v>
      </c>
      <c r="AD641" s="394"/>
      <c r="AE641" s="227"/>
      <c r="AF641" s="395">
        <f t="shared" si="43"/>
        <v>44</v>
      </c>
    </row>
    <row r="642" spans="1:32" outlineLevel="1" x14ac:dyDescent="0.2">
      <c r="A642" s="5">
        <v>1630</v>
      </c>
      <c r="B642" s="1" t="s">
        <v>758</v>
      </c>
      <c r="C642" s="1" t="s">
        <v>749</v>
      </c>
      <c r="D642" s="6">
        <v>25</v>
      </c>
      <c r="E642" s="7" t="s">
        <v>275</v>
      </c>
      <c r="G642" s="1">
        <v>12</v>
      </c>
      <c r="H642" s="6">
        <v>1</v>
      </c>
      <c r="I642" s="6">
        <v>4</v>
      </c>
      <c r="J642" s="1">
        <v>100</v>
      </c>
      <c r="K642" s="9">
        <v>1800</v>
      </c>
      <c r="M642" s="10">
        <v>5</v>
      </c>
      <c r="N642" s="59">
        <f>VLOOKUP(A642,Baupläne!$B$2:$X$1019,23,FALSE)</f>
        <v>57300</v>
      </c>
      <c r="AB642" s="15">
        <v>43</v>
      </c>
      <c r="AC642" s="394">
        <f t="shared" si="42"/>
        <v>100</v>
      </c>
      <c r="AD642" s="394"/>
      <c r="AE642" s="227"/>
      <c r="AF642" s="395">
        <f t="shared" si="43"/>
        <v>50</v>
      </c>
    </row>
    <row r="643" spans="1:32" s="294" customFormat="1" outlineLevel="1" x14ac:dyDescent="0.2">
      <c r="A643" s="293">
        <v>2621</v>
      </c>
      <c r="B643" s="177" t="s">
        <v>759</v>
      </c>
      <c r="C643" s="294" t="s">
        <v>749</v>
      </c>
      <c r="D643" s="295">
        <v>4</v>
      </c>
      <c r="E643" s="296" t="s">
        <v>275</v>
      </c>
      <c r="F643" s="8"/>
      <c r="G643" s="177">
        <v>12</v>
      </c>
      <c r="H643" s="178">
        <v>2</v>
      </c>
      <c r="I643" s="178">
        <v>4</v>
      </c>
      <c r="J643" s="177">
        <v>100</v>
      </c>
      <c r="K643" s="317">
        <v>1700</v>
      </c>
      <c r="L643" s="178"/>
      <c r="M643" s="179"/>
      <c r="N643" s="299">
        <f>VLOOKUP(A643,Baupläne!$B$2:$X$1019,23,FALSE)</f>
        <v>5500</v>
      </c>
      <c r="O643" s="295"/>
      <c r="Q643" s="301"/>
      <c r="R643" s="306"/>
      <c r="S643" s="301"/>
      <c r="T643" s="302"/>
      <c r="U643" s="301"/>
      <c r="V643" s="301"/>
      <c r="W643" s="303"/>
      <c r="X643" s="304"/>
      <c r="Y643" s="305"/>
      <c r="AA643" s="306"/>
      <c r="AB643" s="306">
        <v>43</v>
      </c>
      <c r="AC643" s="307">
        <f>(D643+3)*4</f>
        <v>28</v>
      </c>
      <c r="AD643" s="307"/>
      <c r="AE643" s="307"/>
      <c r="AF643" s="308">
        <f>(D643+3)*2</f>
        <v>14</v>
      </c>
    </row>
    <row r="644" spans="1:32" s="294" customFormat="1" outlineLevel="1" x14ac:dyDescent="0.2">
      <c r="A644" s="293">
        <v>2622</v>
      </c>
      <c r="B644" s="177" t="s">
        <v>760</v>
      </c>
      <c r="C644" s="294" t="s">
        <v>749</v>
      </c>
      <c r="D644" s="295">
        <v>9</v>
      </c>
      <c r="E644" s="296" t="s">
        <v>275</v>
      </c>
      <c r="F644" s="8"/>
      <c r="G644" s="177">
        <v>12</v>
      </c>
      <c r="H644" s="178">
        <v>2</v>
      </c>
      <c r="I644" s="178">
        <v>4</v>
      </c>
      <c r="J644" s="177">
        <v>100</v>
      </c>
      <c r="K644" s="317">
        <v>1800</v>
      </c>
      <c r="L644" s="178"/>
      <c r="M644" s="179"/>
      <c r="N644" s="299">
        <f>VLOOKUP(A644,Baupläne!$B$2:$X$1019,23,FALSE)</f>
        <v>11100</v>
      </c>
      <c r="O644" s="295"/>
      <c r="Q644" s="301"/>
      <c r="R644" s="306"/>
      <c r="S644" s="301"/>
      <c r="T644" s="302"/>
      <c r="U644" s="301"/>
      <c r="V644" s="301"/>
      <c r="W644" s="303"/>
      <c r="X644" s="304"/>
      <c r="Y644" s="305"/>
      <c r="AA644" s="306"/>
      <c r="AB644" s="306">
        <v>43</v>
      </c>
      <c r="AC644" s="307">
        <f>(D644+3)*4</f>
        <v>48</v>
      </c>
      <c r="AD644" s="307"/>
      <c r="AE644" s="307"/>
      <c r="AF644" s="308">
        <f>(D644+3)*2</f>
        <v>24</v>
      </c>
    </row>
    <row r="645" spans="1:32" s="294" customFormat="1" outlineLevel="1" x14ac:dyDescent="0.2">
      <c r="A645" s="293">
        <v>2623</v>
      </c>
      <c r="B645" s="177" t="s">
        <v>761</v>
      </c>
      <c r="C645" s="294" t="s">
        <v>749</v>
      </c>
      <c r="D645" s="295">
        <v>14</v>
      </c>
      <c r="E645" s="296" t="s">
        <v>275</v>
      </c>
      <c r="F645" s="8"/>
      <c r="G645" s="177">
        <v>12</v>
      </c>
      <c r="H645" s="178">
        <v>2</v>
      </c>
      <c r="I645" s="178">
        <v>4</v>
      </c>
      <c r="J645" s="177">
        <v>100</v>
      </c>
      <c r="K645" s="317">
        <v>2000</v>
      </c>
      <c r="L645" s="178"/>
      <c r="M645" s="179"/>
      <c r="N645" s="299">
        <f>VLOOKUP(A645,Baupläne!$B$2:$X$1019,23,FALSE)</f>
        <v>22300</v>
      </c>
      <c r="O645" s="295"/>
      <c r="Q645" s="301"/>
      <c r="R645" s="306"/>
      <c r="S645" s="301"/>
      <c r="T645" s="302"/>
      <c r="U645" s="301"/>
      <c r="V645" s="301"/>
      <c r="W645" s="303"/>
      <c r="X645" s="304"/>
      <c r="Y645" s="305"/>
      <c r="AA645" s="306"/>
      <c r="AB645" s="306">
        <v>43</v>
      </c>
      <c r="AC645" s="307">
        <f>(D645+3)*4</f>
        <v>68</v>
      </c>
      <c r="AD645" s="307"/>
      <c r="AE645" s="307"/>
      <c r="AF645" s="308">
        <f>(D645+3)*2</f>
        <v>34</v>
      </c>
    </row>
    <row r="646" spans="1:32" s="294" customFormat="1" outlineLevel="1" x14ac:dyDescent="0.2">
      <c r="A646" s="293">
        <v>2624</v>
      </c>
      <c r="B646" s="177" t="s">
        <v>762</v>
      </c>
      <c r="C646" s="294" t="s">
        <v>749</v>
      </c>
      <c r="D646" s="295">
        <v>19</v>
      </c>
      <c r="E646" s="296" t="s">
        <v>275</v>
      </c>
      <c r="F646" s="8"/>
      <c r="G646" s="177">
        <v>12</v>
      </c>
      <c r="H646" s="178">
        <v>2</v>
      </c>
      <c r="I646" s="178">
        <v>4</v>
      </c>
      <c r="J646" s="177">
        <v>100</v>
      </c>
      <c r="K646" s="317">
        <v>1900</v>
      </c>
      <c r="L646" s="178"/>
      <c r="M646" s="179"/>
      <c r="N646" s="299">
        <f>VLOOKUP(A646,Baupläne!$B$2:$X$1019,23,FALSE)</f>
        <v>42300</v>
      </c>
      <c r="O646" s="295"/>
      <c r="Q646" s="301"/>
      <c r="R646" s="306"/>
      <c r="S646" s="301"/>
      <c r="T646" s="302"/>
      <c r="U646" s="301"/>
      <c r="V646" s="301"/>
      <c r="W646" s="303"/>
      <c r="X646" s="304"/>
      <c r="Y646" s="305"/>
      <c r="AA646" s="306"/>
      <c r="AB646" s="306">
        <v>43</v>
      </c>
      <c r="AC646" s="307">
        <f>(D646+3)*4</f>
        <v>88</v>
      </c>
      <c r="AD646" s="307"/>
      <c r="AE646" s="307"/>
      <c r="AF646" s="308">
        <f>(D646+3)*2</f>
        <v>44</v>
      </c>
    </row>
    <row r="647" spans="1:32" s="294" customFormat="1" outlineLevel="1" x14ac:dyDescent="0.2">
      <c r="A647" s="293">
        <v>2625</v>
      </c>
      <c r="B647" s="177" t="s">
        <v>763</v>
      </c>
      <c r="C647" s="294" t="s">
        <v>749</v>
      </c>
      <c r="D647" s="295">
        <v>25</v>
      </c>
      <c r="E647" s="296" t="s">
        <v>275</v>
      </c>
      <c r="F647" s="8"/>
      <c r="G647" s="177">
        <v>12</v>
      </c>
      <c r="H647" s="178">
        <v>2</v>
      </c>
      <c r="I647" s="178">
        <v>4</v>
      </c>
      <c r="J647" s="177">
        <v>100</v>
      </c>
      <c r="K647" s="317">
        <v>1800</v>
      </c>
      <c r="L647" s="178"/>
      <c r="M647" s="179"/>
      <c r="N647" s="299">
        <f>VLOOKUP(A647,Baupläne!$B$2:$X$1019,23,FALSE)</f>
        <v>82300</v>
      </c>
      <c r="O647" s="295"/>
      <c r="Q647" s="301"/>
      <c r="R647" s="306"/>
      <c r="S647" s="301"/>
      <c r="T647" s="302"/>
      <c r="U647" s="301"/>
      <c r="V647" s="301"/>
      <c r="W647" s="303"/>
      <c r="X647" s="304"/>
      <c r="Y647" s="305"/>
      <c r="AA647" s="306"/>
      <c r="AB647" s="306">
        <v>43</v>
      </c>
      <c r="AC647" s="307">
        <f>(D647+3)*4</f>
        <v>112</v>
      </c>
      <c r="AD647" s="307"/>
      <c r="AE647" s="307"/>
      <c r="AF647" s="308">
        <f>(D647+3)*2</f>
        <v>56</v>
      </c>
    </row>
    <row r="648" spans="1:32" x14ac:dyDescent="0.2">
      <c r="A648" s="271"/>
      <c r="B648" s="272" t="s">
        <v>277</v>
      </c>
      <c r="C648" s="272"/>
      <c r="D648" s="273"/>
      <c r="E648" s="274"/>
      <c r="F648" s="275"/>
      <c r="G648" s="272"/>
      <c r="H648" s="273"/>
      <c r="I648" s="273"/>
      <c r="J648" s="272"/>
      <c r="K648" s="276"/>
      <c r="L648" s="273"/>
      <c r="M648" s="277"/>
      <c r="N648" s="327"/>
      <c r="O648" s="396"/>
      <c r="P648" s="286"/>
      <c r="Q648" s="281"/>
      <c r="R648" s="287"/>
      <c r="S648" s="281"/>
      <c r="T648" s="282"/>
      <c r="U648" s="281"/>
      <c r="V648" s="281"/>
      <c r="W648" s="283"/>
      <c r="X648" s="284"/>
      <c r="Y648" s="285"/>
      <c r="Z648" s="286"/>
      <c r="AA648" s="287"/>
      <c r="AB648" s="287"/>
      <c r="AC648" s="397"/>
      <c r="AD648" s="397"/>
      <c r="AE648" s="288"/>
      <c r="AF648" s="398"/>
    </row>
    <row r="649" spans="1:32" outlineLevel="1" x14ac:dyDescent="0.2">
      <c r="A649" s="5">
        <v>1631</v>
      </c>
      <c r="B649" s="1" t="s">
        <v>764</v>
      </c>
      <c r="C649" s="1" t="s">
        <v>765</v>
      </c>
      <c r="D649" s="6">
        <v>1</v>
      </c>
      <c r="E649" s="7" t="s">
        <v>277</v>
      </c>
      <c r="G649" s="1">
        <v>13</v>
      </c>
      <c r="H649" s="6">
        <v>1</v>
      </c>
      <c r="I649" s="6">
        <v>4</v>
      </c>
      <c r="J649" s="1">
        <v>100</v>
      </c>
      <c r="K649" s="9">
        <v>1700</v>
      </c>
      <c r="M649" s="10">
        <v>1</v>
      </c>
      <c r="N649" s="59">
        <f>VLOOKUP(A649,Baupläne!$B$2:$X$1019,23,FALSE)</f>
        <v>2000</v>
      </c>
      <c r="AB649" s="15">
        <v>43</v>
      </c>
      <c r="AC649" s="394">
        <f t="shared" ref="AC649:AC658" si="44">D649*4</f>
        <v>4</v>
      </c>
      <c r="AD649" s="394"/>
      <c r="AE649" s="227"/>
      <c r="AF649" s="395">
        <f t="shared" ref="AF649:AF658" si="45">D649*2</f>
        <v>2</v>
      </c>
    </row>
    <row r="650" spans="1:32" outlineLevel="1" x14ac:dyDescent="0.2">
      <c r="A650" s="5">
        <v>1632</v>
      </c>
      <c r="B650" s="1" t="s">
        <v>766</v>
      </c>
      <c r="C650" s="1" t="s">
        <v>765</v>
      </c>
      <c r="D650" s="6">
        <v>4</v>
      </c>
      <c r="E650" s="7" t="s">
        <v>277</v>
      </c>
      <c r="G650" s="1">
        <v>13</v>
      </c>
      <c r="H650" s="6">
        <v>1</v>
      </c>
      <c r="I650" s="6">
        <v>4</v>
      </c>
      <c r="J650" s="1">
        <v>100</v>
      </c>
      <c r="K650" s="9">
        <v>1800</v>
      </c>
      <c r="M650" s="10">
        <v>1</v>
      </c>
      <c r="N650" s="59">
        <f>VLOOKUP(A650,Baupläne!$B$2:$X$1019,23,FALSE)</f>
        <v>3000</v>
      </c>
      <c r="AB650" s="15">
        <v>43</v>
      </c>
      <c r="AC650" s="394">
        <f t="shared" si="44"/>
        <v>16</v>
      </c>
      <c r="AD650" s="394"/>
      <c r="AE650" s="227"/>
      <c r="AF650" s="395">
        <f t="shared" si="45"/>
        <v>8</v>
      </c>
    </row>
    <row r="651" spans="1:32" outlineLevel="1" x14ac:dyDescent="0.2">
      <c r="A651" s="5">
        <v>1633</v>
      </c>
      <c r="B651" s="1" t="s">
        <v>767</v>
      </c>
      <c r="C651" s="1" t="s">
        <v>765</v>
      </c>
      <c r="D651" s="6">
        <v>6</v>
      </c>
      <c r="E651" s="7" t="s">
        <v>277</v>
      </c>
      <c r="G651" s="1">
        <v>13</v>
      </c>
      <c r="H651" s="6">
        <v>1</v>
      </c>
      <c r="I651" s="6">
        <v>4</v>
      </c>
      <c r="J651" s="1">
        <v>100</v>
      </c>
      <c r="K651" s="9">
        <v>2000</v>
      </c>
      <c r="M651" s="10">
        <v>2</v>
      </c>
      <c r="N651" s="59">
        <f>VLOOKUP(A651,Baupläne!$B$2:$X$1019,23,FALSE)</f>
        <v>4000</v>
      </c>
      <c r="AB651" s="15">
        <v>43</v>
      </c>
      <c r="AC651" s="394">
        <f t="shared" si="44"/>
        <v>24</v>
      </c>
      <c r="AD651" s="394"/>
      <c r="AE651" s="227"/>
      <c r="AF651" s="395">
        <f t="shared" si="45"/>
        <v>12</v>
      </c>
    </row>
    <row r="652" spans="1:32" outlineLevel="1" x14ac:dyDescent="0.2">
      <c r="A652" s="5">
        <v>1634</v>
      </c>
      <c r="B652" s="1" t="s">
        <v>768</v>
      </c>
      <c r="C652" s="1" t="s">
        <v>765</v>
      </c>
      <c r="D652" s="6">
        <v>9</v>
      </c>
      <c r="E652" s="7" t="s">
        <v>277</v>
      </c>
      <c r="G652" s="1">
        <v>13</v>
      </c>
      <c r="H652" s="6">
        <v>1</v>
      </c>
      <c r="I652" s="6">
        <v>4</v>
      </c>
      <c r="J652" s="1">
        <v>100</v>
      </c>
      <c r="K652" s="9">
        <v>1900</v>
      </c>
      <c r="M652" s="10">
        <v>2</v>
      </c>
      <c r="N652" s="59">
        <f>VLOOKUP(A652,Baupläne!$B$2:$X$1019,23,FALSE)</f>
        <v>6100</v>
      </c>
      <c r="AB652" s="15">
        <v>43</v>
      </c>
      <c r="AC652" s="394">
        <f t="shared" si="44"/>
        <v>36</v>
      </c>
      <c r="AD652" s="394"/>
      <c r="AE652" s="227"/>
      <c r="AF652" s="395">
        <f t="shared" si="45"/>
        <v>18</v>
      </c>
    </row>
    <row r="653" spans="1:32" outlineLevel="1" x14ac:dyDescent="0.2">
      <c r="A653" s="5">
        <v>1635</v>
      </c>
      <c r="B653" s="1" t="s">
        <v>769</v>
      </c>
      <c r="C653" s="1" t="s">
        <v>765</v>
      </c>
      <c r="D653" s="6">
        <v>11</v>
      </c>
      <c r="E653" s="7" t="s">
        <v>277</v>
      </c>
      <c r="G653" s="1">
        <v>13</v>
      </c>
      <c r="H653" s="6">
        <v>1</v>
      </c>
      <c r="I653" s="6">
        <v>4</v>
      </c>
      <c r="J653" s="1">
        <v>100</v>
      </c>
      <c r="K653" s="9">
        <v>1800</v>
      </c>
      <c r="M653" s="10">
        <v>3</v>
      </c>
      <c r="N653" s="59">
        <f>VLOOKUP(A653,Baupläne!$B$2:$X$1019,23,FALSE)</f>
        <v>8100</v>
      </c>
      <c r="AB653" s="15">
        <v>43</v>
      </c>
      <c r="AC653" s="394">
        <f t="shared" si="44"/>
        <v>44</v>
      </c>
      <c r="AD653" s="394"/>
      <c r="AE653" s="227"/>
      <c r="AF653" s="395">
        <f t="shared" si="45"/>
        <v>22</v>
      </c>
    </row>
    <row r="654" spans="1:32" outlineLevel="1" x14ac:dyDescent="0.2">
      <c r="A654" s="5">
        <v>1636</v>
      </c>
      <c r="B654" s="1" t="s">
        <v>770</v>
      </c>
      <c r="C654" s="1" t="s">
        <v>765</v>
      </c>
      <c r="D654" s="6">
        <v>14</v>
      </c>
      <c r="E654" s="7" t="s">
        <v>277</v>
      </c>
      <c r="G654" s="1">
        <v>13</v>
      </c>
      <c r="H654" s="6">
        <v>1</v>
      </c>
      <c r="I654" s="6">
        <v>4</v>
      </c>
      <c r="J654" s="1">
        <v>100</v>
      </c>
      <c r="K654" s="9">
        <v>1600</v>
      </c>
      <c r="M654" s="10">
        <v>3</v>
      </c>
      <c r="N654" s="59">
        <f>VLOOKUP(A654,Baupläne!$B$2:$X$1019,23,FALSE)</f>
        <v>12300</v>
      </c>
      <c r="AB654" s="15">
        <v>43</v>
      </c>
      <c r="AC654" s="394">
        <f t="shared" si="44"/>
        <v>56</v>
      </c>
      <c r="AD654" s="394"/>
      <c r="AE654" s="227"/>
      <c r="AF654" s="395">
        <f t="shared" si="45"/>
        <v>28</v>
      </c>
    </row>
    <row r="655" spans="1:32" outlineLevel="1" x14ac:dyDescent="0.2">
      <c r="A655" s="5">
        <v>1637</v>
      </c>
      <c r="B655" s="1" t="s">
        <v>771</v>
      </c>
      <c r="C655" s="1" t="s">
        <v>765</v>
      </c>
      <c r="D655" s="6">
        <v>16</v>
      </c>
      <c r="E655" s="7" t="s">
        <v>277</v>
      </c>
      <c r="G655" s="1">
        <v>13</v>
      </c>
      <c r="H655" s="6">
        <v>1</v>
      </c>
      <c r="I655" s="6">
        <v>4</v>
      </c>
      <c r="J655" s="1">
        <v>100</v>
      </c>
      <c r="K655" s="9">
        <v>1800</v>
      </c>
      <c r="M655" s="10">
        <v>4</v>
      </c>
      <c r="N655" s="59">
        <f>VLOOKUP(A655,Baupläne!$B$2:$X$1019,23,FALSE)</f>
        <v>16300</v>
      </c>
      <c r="AB655" s="15">
        <v>43</v>
      </c>
      <c r="AC655" s="394">
        <f t="shared" si="44"/>
        <v>64</v>
      </c>
      <c r="AD655" s="394"/>
      <c r="AE655" s="227"/>
      <c r="AF655" s="395">
        <f t="shared" si="45"/>
        <v>32</v>
      </c>
    </row>
    <row r="656" spans="1:32" outlineLevel="1" x14ac:dyDescent="0.2">
      <c r="A656" s="5">
        <v>1638</v>
      </c>
      <c r="B656" s="1" t="s">
        <v>772</v>
      </c>
      <c r="C656" s="1" t="s">
        <v>765</v>
      </c>
      <c r="D656" s="6">
        <v>19</v>
      </c>
      <c r="E656" s="7" t="s">
        <v>277</v>
      </c>
      <c r="G656" s="1">
        <v>13</v>
      </c>
      <c r="H656" s="6">
        <v>1</v>
      </c>
      <c r="I656" s="6">
        <v>4</v>
      </c>
      <c r="J656" s="1">
        <v>100</v>
      </c>
      <c r="K656" s="9">
        <v>1700</v>
      </c>
      <c r="M656" s="10">
        <v>4</v>
      </c>
      <c r="N656" s="59">
        <f>VLOOKUP(A656,Baupläne!$B$2:$X$1019,23,FALSE)</f>
        <v>24800</v>
      </c>
      <c r="AB656" s="15">
        <v>43</v>
      </c>
      <c r="AC656" s="394">
        <f t="shared" si="44"/>
        <v>76</v>
      </c>
      <c r="AD656" s="394"/>
      <c r="AE656" s="227"/>
      <c r="AF656" s="395">
        <f t="shared" si="45"/>
        <v>38</v>
      </c>
    </row>
    <row r="657" spans="1:32" outlineLevel="1" x14ac:dyDescent="0.2">
      <c r="A657" s="5">
        <v>1639</v>
      </c>
      <c r="B657" s="1" t="s">
        <v>773</v>
      </c>
      <c r="C657" s="1" t="s">
        <v>765</v>
      </c>
      <c r="D657" s="6">
        <v>22</v>
      </c>
      <c r="E657" s="7" t="s">
        <v>277</v>
      </c>
      <c r="G657" s="1">
        <v>13</v>
      </c>
      <c r="H657" s="6">
        <v>1</v>
      </c>
      <c r="I657" s="6">
        <v>4</v>
      </c>
      <c r="J657" s="1">
        <v>100</v>
      </c>
      <c r="K657" s="9">
        <v>1900</v>
      </c>
      <c r="M657" s="10">
        <v>5</v>
      </c>
      <c r="N657" s="59">
        <f>VLOOKUP(A657,Baupläne!$B$2:$X$1019,23,FALSE)</f>
        <v>37600</v>
      </c>
      <c r="AB657" s="15">
        <v>43</v>
      </c>
      <c r="AC657" s="394">
        <f t="shared" si="44"/>
        <v>88</v>
      </c>
      <c r="AD657" s="394"/>
      <c r="AE657" s="227"/>
      <c r="AF657" s="395">
        <f t="shared" si="45"/>
        <v>44</v>
      </c>
    </row>
    <row r="658" spans="1:32" outlineLevel="1" x14ac:dyDescent="0.2">
      <c r="A658" s="5">
        <v>1640</v>
      </c>
      <c r="B658" s="1" t="s">
        <v>774</v>
      </c>
      <c r="C658" s="1" t="s">
        <v>765</v>
      </c>
      <c r="D658" s="6">
        <v>25</v>
      </c>
      <c r="E658" s="7" t="s">
        <v>277</v>
      </c>
      <c r="G658" s="1">
        <v>13</v>
      </c>
      <c r="H658" s="6">
        <v>1</v>
      </c>
      <c r="I658" s="6">
        <v>4</v>
      </c>
      <c r="J658" s="1">
        <v>100</v>
      </c>
      <c r="K658" s="9">
        <v>1800</v>
      </c>
      <c r="M658" s="10">
        <v>5</v>
      </c>
      <c r="N658" s="59">
        <f>VLOOKUP(A658,Baupläne!$B$2:$X$1019,23,FALSE)</f>
        <v>57300</v>
      </c>
      <c r="AB658" s="15">
        <v>43</v>
      </c>
      <c r="AC658" s="394">
        <f t="shared" si="44"/>
        <v>100</v>
      </c>
      <c r="AD658" s="394"/>
      <c r="AE658" s="227"/>
      <c r="AF658" s="395">
        <f t="shared" si="45"/>
        <v>50</v>
      </c>
    </row>
    <row r="659" spans="1:32" s="294" customFormat="1" outlineLevel="1" x14ac:dyDescent="0.2">
      <c r="A659" s="293">
        <v>2631</v>
      </c>
      <c r="B659" s="177" t="s">
        <v>775</v>
      </c>
      <c r="C659" s="294" t="s">
        <v>765</v>
      </c>
      <c r="D659" s="295">
        <v>4</v>
      </c>
      <c r="E659" s="296" t="s">
        <v>277</v>
      </c>
      <c r="F659" s="8"/>
      <c r="G659" s="177">
        <v>13</v>
      </c>
      <c r="H659" s="178">
        <v>2</v>
      </c>
      <c r="I659" s="178">
        <v>4</v>
      </c>
      <c r="J659" s="177">
        <v>100</v>
      </c>
      <c r="K659" s="317">
        <v>1700</v>
      </c>
      <c r="L659" s="178"/>
      <c r="M659" s="179"/>
      <c r="N659" s="299">
        <f>VLOOKUP(A659,Baupläne!$B$2:$X$1019,23,FALSE)</f>
        <v>5500</v>
      </c>
      <c r="O659" s="295"/>
      <c r="Q659" s="301"/>
      <c r="R659" s="306"/>
      <c r="S659" s="301"/>
      <c r="T659" s="302"/>
      <c r="U659" s="301"/>
      <c r="V659" s="301"/>
      <c r="W659" s="303"/>
      <c r="X659" s="304"/>
      <c r="Y659" s="305"/>
      <c r="AA659" s="306"/>
      <c r="AB659" s="306">
        <v>43</v>
      </c>
      <c r="AC659" s="307">
        <f>(D659+3)*4</f>
        <v>28</v>
      </c>
      <c r="AD659" s="307"/>
      <c r="AE659" s="307"/>
      <c r="AF659" s="308">
        <f>(D659+3)*2</f>
        <v>14</v>
      </c>
    </row>
    <row r="660" spans="1:32" s="294" customFormat="1" outlineLevel="1" x14ac:dyDescent="0.2">
      <c r="A660" s="293">
        <v>2632</v>
      </c>
      <c r="B660" s="177" t="s">
        <v>776</v>
      </c>
      <c r="C660" s="294" t="s">
        <v>765</v>
      </c>
      <c r="D660" s="295">
        <v>9</v>
      </c>
      <c r="E660" s="296" t="s">
        <v>277</v>
      </c>
      <c r="F660" s="8"/>
      <c r="G660" s="177">
        <v>13</v>
      </c>
      <c r="H660" s="178">
        <v>2</v>
      </c>
      <c r="I660" s="178">
        <v>4</v>
      </c>
      <c r="J660" s="177">
        <v>100</v>
      </c>
      <c r="K660" s="317">
        <v>1800</v>
      </c>
      <c r="L660" s="178"/>
      <c r="M660" s="179"/>
      <c r="N660" s="299">
        <f>VLOOKUP(A660,Baupläne!$B$2:$X$1019,23,FALSE)</f>
        <v>11100</v>
      </c>
      <c r="O660" s="295"/>
      <c r="Q660" s="301"/>
      <c r="R660" s="306"/>
      <c r="S660" s="301"/>
      <c r="T660" s="302"/>
      <c r="U660" s="301"/>
      <c r="V660" s="301"/>
      <c r="W660" s="303"/>
      <c r="X660" s="304"/>
      <c r="Y660" s="305"/>
      <c r="AA660" s="306"/>
      <c r="AB660" s="306">
        <v>43</v>
      </c>
      <c r="AC660" s="307">
        <f>(D660+3)*4</f>
        <v>48</v>
      </c>
      <c r="AD660" s="307"/>
      <c r="AE660" s="307"/>
      <c r="AF660" s="308">
        <f>(D660+3)*2</f>
        <v>24</v>
      </c>
    </row>
    <row r="661" spans="1:32" s="294" customFormat="1" outlineLevel="1" x14ac:dyDescent="0.2">
      <c r="A661" s="293">
        <v>2633</v>
      </c>
      <c r="B661" s="177" t="s">
        <v>777</v>
      </c>
      <c r="C661" s="294" t="s">
        <v>765</v>
      </c>
      <c r="D661" s="295">
        <v>14</v>
      </c>
      <c r="E661" s="296" t="s">
        <v>277</v>
      </c>
      <c r="F661" s="8"/>
      <c r="G661" s="177">
        <v>13</v>
      </c>
      <c r="H661" s="178">
        <v>2</v>
      </c>
      <c r="I661" s="178">
        <v>4</v>
      </c>
      <c r="J661" s="177">
        <v>100</v>
      </c>
      <c r="K661" s="317">
        <v>2000</v>
      </c>
      <c r="L661" s="178"/>
      <c r="M661" s="179"/>
      <c r="N661" s="299">
        <f>VLOOKUP(A661,Baupläne!$B$2:$X$1019,23,FALSE)</f>
        <v>22300</v>
      </c>
      <c r="O661" s="295"/>
      <c r="Q661" s="301"/>
      <c r="R661" s="306"/>
      <c r="S661" s="301"/>
      <c r="T661" s="302"/>
      <c r="U661" s="301"/>
      <c r="V661" s="301"/>
      <c r="W661" s="303"/>
      <c r="X661" s="304"/>
      <c r="Y661" s="305"/>
      <c r="AA661" s="306"/>
      <c r="AB661" s="306">
        <v>43</v>
      </c>
      <c r="AC661" s="307">
        <f>(D661+3)*4</f>
        <v>68</v>
      </c>
      <c r="AD661" s="307"/>
      <c r="AE661" s="307"/>
      <c r="AF661" s="308">
        <f>(D661+3)*2</f>
        <v>34</v>
      </c>
    </row>
    <row r="662" spans="1:32" s="294" customFormat="1" outlineLevel="1" x14ac:dyDescent="0.2">
      <c r="A662" s="293">
        <v>2634</v>
      </c>
      <c r="B662" s="177" t="s">
        <v>778</v>
      </c>
      <c r="C662" s="294" t="s">
        <v>765</v>
      </c>
      <c r="D662" s="295">
        <v>19</v>
      </c>
      <c r="E662" s="296" t="s">
        <v>277</v>
      </c>
      <c r="F662" s="8"/>
      <c r="G662" s="177">
        <v>13</v>
      </c>
      <c r="H662" s="178">
        <v>2</v>
      </c>
      <c r="I662" s="178">
        <v>4</v>
      </c>
      <c r="J662" s="177">
        <v>100</v>
      </c>
      <c r="K662" s="317">
        <v>1900</v>
      </c>
      <c r="L662" s="178"/>
      <c r="M662" s="179"/>
      <c r="N662" s="299">
        <f>VLOOKUP(A662,Baupläne!$B$2:$X$1019,23,FALSE)</f>
        <v>42300</v>
      </c>
      <c r="O662" s="295"/>
      <c r="Q662" s="301"/>
      <c r="R662" s="306"/>
      <c r="S662" s="301"/>
      <c r="T662" s="302"/>
      <c r="U662" s="301"/>
      <c r="V662" s="301"/>
      <c r="W662" s="303"/>
      <c r="X662" s="304"/>
      <c r="Y662" s="305"/>
      <c r="AA662" s="306"/>
      <c r="AB662" s="306">
        <v>43</v>
      </c>
      <c r="AC662" s="307">
        <f>(D662+3)*4</f>
        <v>88</v>
      </c>
      <c r="AD662" s="307"/>
      <c r="AE662" s="307"/>
      <c r="AF662" s="308">
        <f>(D662+3)*2</f>
        <v>44</v>
      </c>
    </row>
    <row r="663" spans="1:32" s="294" customFormat="1" outlineLevel="1" x14ac:dyDescent="0.2">
      <c r="A663" s="293">
        <v>2635</v>
      </c>
      <c r="B663" s="177" t="s">
        <v>779</v>
      </c>
      <c r="C663" s="294" t="s">
        <v>765</v>
      </c>
      <c r="D663" s="295">
        <v>25</v>
      </c>
      <c r="E663" s="296" t="s">
        <v>277</v>
      </c>
      <c r="F663" s="8"/>
      <c r="G663" s="177">
        <v>13</v>
      </c>
      <c r="H663" s="178">
        <v>2</v>
      </c>
      <c r="I663" s="178">
        <v>4</v>
      </c>
      <c r="J663" s="177">
        <v>100</v>
      </c>
      <c r="K663" s="317">
        <v>1800</v>
      </c>
      <c r="L663" s="178"/>
      <c r="M663" s="179"/>
      <c r="N663" s="299">
        <f>VLOOKUP(A663,Baupläne!$B$2:$X$1019,23,FALSE)</f>
        <v>82300</v>
      </c>
      <c r="O663" s="295"/>
      <c r="Q663" s="301"/>
      <c r="R663" s="306"/>
      <c r="S663" s="301"/>
      <c r="T663" s="302"/>
      <c r="U663" s="301"/>
      <c r="V663" s="301"/>
      <c r="W663" s="303"/>
      <c r="X663" s="304"/>
      <c r="Y663" s="305"/>
      <c r="AA663" s="306"/>
      <c r="AB663" s="306">
        <v>43</v>
      </c>
      <c r="AC663" s="307">
        <f>(D663+3)*4</f>
        <v>112</v>
      </c>
      <c r="AD663" s="307"/>
      <c r="AE663" s="307"/>
      <c r="AF663" s="308">
        <f>(D663+3)*2</f>
        <v>56</v>
      </c>
    </row>
    <row r="664" spans="1:32" x14ac:dyDescent="0.2">
      <c r="A664" s="399"/>
      <c r="B664" s="400"/>
      <c r="C664" s="193"/>
      <c r="D664" s="194"/>
      <c r="E664" s="195"/>
      <c r="F664" s="196"/>
      <c r="G664" s="193"/>
      <c r="H664" s="194"/>
      <c r="I664" s="194"/>
      <c r="J664" s="193"/>
      <c r="K664" s="198"/>
      <c r="L664" s="194"/>
      <c r="M664" s="199"/>
      <c r="N664" s="401"/>
      <c r="O664" s="402"/>
      <c r="P664" s="403"/>
      <c r="Q664" s="404"/>
      <c r="R664" s="405"/>
      <c r="S664" s="404"/>
      <c r="T664" s="406"/>
      <c r="U664" s="404"/>
      <c r="V664" s="404"/>
      <c r="W664" s="407"/>
      <c r="X664" s="408"/>
      <c r="Y664" s="409"/>
      <c r="Z664" s="403"/>
      <c r="AA664" s="405"/>
      <c r="AB664" s="405"/>
      <c r="AC664" s="410"/>
      <c r="AD664" s="410"/>
      <c r="AE664" s="410"/>
      <c r="AF664" s="411"/>
    </row>
    <row r="665" spans="1:32" s="3" customFormat="1" x14ac:dyDescent="0.2">
      <c r="A665" s="293">
        <v>3001</v>
      </c>
      <c r="B665" s="132" t="s">
        <v>1326</v>
      </c>
      <c r="D665" s="6">
        <v>5</v>
      </c>
      <c r="E665" s="7" t="s">
        <v>781</v>
      </c>
      <c r="F665" s="8">
        <v>401</v>
      </c>
      <c r="G665" s="3">
        <v>16</v>
      </c>
      <c r="H665" s="54">
        <v>0</v>
      </c>
      <c r="I665" s="54">
        <v>36</v>
      </c>
      <c r="J665" s="3">
        <v>100</v>
      </c>
      <c r="K665" s="57">
        <v>1000</v>
      </c>
      <c r="L665" s="178">
        <v>1</v>
      </c>
      <c r="M665" s="179"/>
      <c r="N665" s="59">
        <f>VLOOKUP(F665,Baupläne!$B$2:$X$1019,23,FALSE)</f>
        <v>2000</v>
      </c>
      <c r="O665" s="133"/>
      <c r="P665" s="132"/>
      <c r="Q665" s="291"/>
      <c r="R665" s="319"/>
      <c r="S665" s="291"/>
      <c r="T665" s="857"/>
      <c r="U665" s="291"/>
      <c r="V665" s="291"/>
      <c r="W665" s="858"/>
      <c r="X665" s="859"/>
      <c r="Y665" s="860"/>
      <c r="Z665" s="132"/>
      <c r="AA665" s="319"/>
      <c r="AB665" s="319"/>
      <c r="AC665" s="20"/>
      <c r="AD665" s="20"/>
      <c r="AE665" s="20"/>
      <c r="AF665" s="21"/>
    </row>
    <row r="666" spans="1:32" s="294" customFormat="1" outlineLevel="1" x14ac:dyDescent="0.2">
      <c r="A666" s="293">
        <v>3002</v>
      </c>
      <c r="B666" s="132" t="s">
        <v>1317</v>
      </c>
      <c r="D666" s="6">
        <v>10</v>
      </c>
      <c r="E666" s="7" t="s">
        <v>781</v>
      </c>
      <c r="F666" s="8">
        <v>402</v>
      </c>
      <c r="G666" s="3">
        <v>16</v>
      </c>
      <c r="H666" s="54">
        <v>0</v>
      </c>
      <c r="I666" s="54">
        <v>36</v>
      </c>
      <c r="J666" s="3">
        <v>100</v>
      </c>
      <c r="K666" s="57">
        <v>1000</v>
      </c>
      <c r="L666" s="178">
        <v>1</v>
      </c>
      <c r="M666" s="179"/>
      <c r="N666" s="59">
        <f>VLOOKUP(F666,Baupläne!$B$2:$X$1019,23,FALSE)</f>
        <v>5000</v>
      </c>
      <c r="O666" s="295"/>
      <c r="Q666" s="301"/>
      <c r="R666" s="306"/>
      <c r="S666" s="301"/>
      <c r="T666" s="302"/>
      <c r="U666" s="301"/>
      <c r="V666" s="301"/>
      <c r="W666" s="303"/>
      <c r="X666" s="304"/>
      <c r="Y666" s="305"/>
      <c r="AA666" s="306"/>
      <c r="AB666" s="306"/>
      <c r="AC666" s="307"/>
      <c r="AD666" s="307"/>
      <c r="AE666" s="307"/>
      <c r="AF666" s="308"/>
    </row>
    <row r="667" spans="1:32" s="294" customFormat="1" outlineLevel="1" x14ac:dyDescent="0.2">
      <c r="A667" s="293">
        <v>3003</v>
      </c>
      <c r="B667" s="132" t="s">
        <v>1318</v>
      </c>
      <c r="D667" s="6">
        <v>15</v>
      </c>
      <c r="E667" s="7" t="s">
        <v>781</v>
      </c>
      <c r="F667" s="8">
        <v>403</v>
      </c>
      <c r="G667" s="3">
        <v>16</v>
      </c>
      <c r="H667" s="54">
        <v>0</v>
      </c>
      <c r="I667" s="54">
        <v>36</v>
      </c>
      <c r="J667" s="3">
        <v>100</v>
      </c>
      <c r="K667" s="57">
        <v>1000</v>
      </c>
      <c r="L667" s="178">
        <v>1</v>
      </c>
      <c r="M667" s="179"/>
      <c r="N667" s="59">
        <f>VLOOKUP(F667,Baupläne!$B$2:$X$1019,23,FALSE)</f>
        <v>10000</v>
      </c>
      <c r="O667" s="295"/>
      <c r="Q667" s="301"/>
      <c r="R667" s="306"/>
      <c r="S667" s="301"/>
      <c r="T667" s="302"/>
      <c r="U667" s="301"/>
      <c r="V667" s="301"/>
      <c r="W667" s="303"/>
      <c r="X667" s="304"/>
      <c r="Y667" s="305"/>
      <c r="AA667" s="306"/>
      <c r="AB667" s="306"/>
      <c r="AC667" s="307"/>
      <c r="AD667" s="307"/>
      <c r="AE667" s="307"/>
      <c r="AF667" s="308"/>
    </row>
    <row r="668" spans="1:32" s="294" customFormat="1" outlineLevel="1" x14ac:dyDescent="0.2">
      <c r="A668" s="293">
        <v>3004</v>
      </c>
      <c r="B668" s="132" t="s">
        <v>1319</v>
      </c>
      <c r="D668" s="6">
        <v>20</v>
      </c>
      <c r="E668" s="7" t="s">
        <v>781</v>
      </c>
      <c r="F668" s="8">
        <v>404</v>
      </c>
      <c r="G668" s="3">
        <v>16</v>
      </c>
      <c r="H668" s="54">
        <v>0</v>
      </c>
      <c r="I668" s="54">
        <v>36</v>
      </c>
      <c r="J668" s="3">
        <v>100</v>
      </c>
      <c r="K668" s="57">
        <v>1000</v>
      </c>
      <c r="L668" s="178">
        <v>1</v>
      </c>
      <c r="M668" s="179"/>
      <c r="N668" s="59">
        <f>VLOOKUP(F668,Baupläne!$B$2:$X$1019,23,FALSE)</f>
        <v>25000</v>
      </c>
      <c r="O668" s="295"/>
      <c r="Q668" s="301"/>
      <c r="R668" s="306"/>
      <c r="S668" s="301"/>
      <c r="T668" s="302"/>
      <c r="U668" s="301"/>
      <c r="V668" s="301"/>
      <c r="W668" s="303"/>
      <c r="X668" s="304"/>
      <c r="Y668" s="305"/>
      <c r="AA668" s="306"/>
      <c r="AB668" s="306"/>
      <c r="AC668" s="307"/>
      <c r="AD668" s="307"/>
      <c r="AE668" s="307"/>
      <c r="AF668" s="308"/>
    </row>
    <row r="669" spans="1:32" s="294" customFormat="1" outlineLevel="1" x14ac:dyDescent="0.2">
      <c r="A669" s="293">
        <v>3005</v>
      </c>
      <c r="B669" s="132" t="s">
        <v>1320</v>
      </c>
      <c r="D669" s="6">
        <v>25</v>
      </c>
      <c r="E669" s="7" t="s">
        <v>781</v>
      </c>
      <c r="F669" s="8">
        <v>405</v>
      </c>
      <c r="G669" s="3">
        <v>16</v>
      </c>
      <c r="H669" s="54">
        <v>0</v>
      </c>
      <c r="I669" s="54">
        <v>36</v>
      </c>
      <c r="J669" s="3">
        <v>100</v>
      </c>
      <c r="K669" s="57">
        <v>1000</v>
      </c>
      <c r="L669" s="178">
        <v>1</v>
      </c>
      <c r="M669" s="179"/>
      <c r="N669" s="59">
        <f>VLOOKUP(F669,Baupläne!$B$2:$X$1019,23,FALSE)</f>
        <v>50000</v>
      </c>
      <c r="O669" s="295"/>
      <c r="Q669" s="301"/>
      <c r="R669" s="306"/>
      <c r="S669" s="301"/>
      <c r="T669" s="302"/>
      <c r="U669" s="301"/>
      <c r="V669" s="301"/>
      <c r="W669" s="303"/>
      <c r="X669" s="304"/>
      <c r="Y669" s="305"/>
      <c r="AA669" s="306"/>
      <c r="AB669" s="306"/>
      <c r="AC669" s="307"/>
      <c r="AD669" s="307"/>
      <c r="AE669" s="307"/>
      <c r="AF669" s="308"/>
    </row>
    <row r="670" spans="1:32" x14ac:dyDescent="0.2">
      <c r="A670" s="399"/>
      <c r="B670" s="400"/>
      <c r="C670" s="193"/>
      <c r="D670" s="194"/>
      <c r="E670" s="195"/>
      <c r="F670" s="196"/>
      <c r="G670" s="193"/>
      <c r="H670" s="194"/>
      <c r="I670" s="194"/>
      <c r="J670" s="194"/>
      <c r="K670" s="198"/>
      <c r="L670" s="194"/>
      <c r="M670" s="199"/>
      <c r="N670" s="199"/>
      <c r="O670" s="402"/>
      <c r="P670" s="403"/>
      <c r="Q670" s="404"/>
      <c r="R670" s="405"/>
      <c r="S670" s="404"/>
      <c r="T670" s="406"/>
      <c r="U670" s="404"/>
      <c r="V670" s="404"/>
      <c r="W670" s="407"/>
      <c r="X670" s="408"/>
      <c r="Y670" s="409"/>
      <c r="Z670" s="403"/>
      <c r="AA670" s="405"/>
      <c r="AB670" s="405"/>
      <c r="AC670" s="410"/>
      <c r="AD670" s="410"/>
      <c r="AE670" s="410"/>
      <c r="AF670" s="411"/>
    </row>
    <row r="671" spans="1:32" s="3" customFormat="1" x14ac:dyDescent="0.2">
      <c r="A671" s="293">
        <v>3011</v>
      </c>
      <c r="B671" s="132" t="s">
        <v>1325</v>
      </c>
      <c r="C671" s="294"/>
      <c r="D671" s="6">
        <v>5</v>
      </c>
      <c r="E671" s="7" t="s">
        <v>781</v>
      </c>
      <c r="F671" s="8">
        <v>411</v>
      </c>
      <c r="G671" s="3">
        <v>15</v>
      </c>
      <c r="H671" s="54">
        <v>0</v>
      </c>
      <c r="I671" s="54">
        <v>37</v>
      </c>
      <c r="J671" s="3">
        <v>100</v>
      </c>
      <c r="K671" s="57">
        <v>1000</v>
      </c>
      <c r="L671" s="178">
        <v>1</v>
      </c>
      <c r="M671" s="179"/>
      <c r="N671" s="59">
        <f>VLOOKUP(F671,Baupläne!$B$2:$X$1019,23,FALSE)</f>
        <v>2000</v>
      </c>
      <c r="O671" s="133"/>
      <c r="P671" s="132"/>
      <c r="Q671" s="291"/>
      <c r="R671" s="319"/>
      <c r="S671" s="291"/>
      <c r="T671" s="857"/>
      <c r="U671" s="291"/>
      <c r="V671" s="291"/>
      <c r="W671" s="858"/>
      <c r="X671" s="859"/>
      <c r="Y671" s="860"/>
      <c r="Z671" s="132"/>
      <c r="AA671" s="319"/>
      <c r="AB671" s="319"/>
      <c r="AC671" s="20"/>
      <c r="AD671" s="20"/>
      <c r="AE671" s="20"/>
      <c r="AF671" s="21"/>
    </row>
    <row r="672" spans="1:32" s="294" customFormat="1" outlineLevel="1" x14ac:dyDescent="0.2">
      <c r="A672" s="293">
        <v>3012</v>
      </c>
      <c r="B672" s="132" t="s">
        <v>1321</v>
      </c>
      <c r="D672" s="6">
        <v>10</v>
      </c>
      <c r="E672" s="7" t="s">
        <v>781</v>
      </c>
      <c r="F672" s="8">
        <v>412</v>
      </c>
      <c r="G672" s="3">
        <v>15</v>
      </c>
      <c r="H672" s="54">
        <v>0</v>
      </c>
      <c r="I672" s="54">
        <v>37</v>
      </c>
      <c r="J672" s="3">
        <v>100</v>
      </c>
      <c r="K672" s="57">
        <v>1000</v>
      </c>
      <c r="L672" s="178">
        <v>1</v>
      </c>
      <c r="M672" s="179"/>
      <c r="N672" s="59">
        <f>VLOOKUP(F672,Baupläne!$B$2:$X$1019,23,FALSE)</f>
        <v>5000</v>
      </c>
      <c r="O672" s="295"/>
      <c r="Q672" s="301"/>
      <c r="R672" s="306"/>
      <c r="S672" s="301"/>
      <c r="T672" s="302"/>
      <c r="U672" s="301"/>
      <c r="V672" s="301"/>
      <c r="W672" s="303"/>
      <c r="X672" s="304"/>
      <c r="Y672" s="305"/>
      <c r="AA672" s="306"/>
      <c r="AB672" s="306"/>
      <c r="AC672" s="307"/>
      <c r="AD672" s="307"/>
      <c r="AE672" s="307"/>
      <c r="AF672" s="308"/>
    </row>
    <row r="673" spans="1:32" s="294" customFormat="1" outlineLevel="1" x14ac:dyDescent="0.2">
      <c r="A673" s="293">
        <v>3013</v>
      </c>
      <c r="B673" s="132" t="s">
        <v>1322</v>
      </c>
      <c r="D673" s="6">
        <v>15</v>
      </c>
      <c r="E673" s="7" t="s">
        <v>781</v>
      </c>
      <c r="F673" s="8">
        <v>413</v>
      </c>
      <c r="G673" s="3">
        <v>15</v>
      </c>
      <c r="H673" s="54">
        <v>0</v>
      </c>
      <c r="I673" s="54">
        <v>37</v>
      </c>
      <c r="J673" s="3">
        <v>100</v>
      </c>
      <c r="K673" s="57">
        <v>1000</v>
      </c>
      <c r="L673" s="178">
        <v>1</v>
      </c>
      <c r="M673" s="179"/>
      <c r="N673" s="59">
        <f>VLOOKUP(F673,Baupläne!$B$2:$X$1019,23,FALSE)</f>
        <v>10000</v>
      </c>
      <c r="O673" s="295"/>
      <c r="Q673" s="301"/>
      <c r="R673" s="306"/>
      <c r="S673" s="301"/>
      <c r="T673" s="302"/>
      <c r="U673" s="301"/>
      <c r="V673" s="301"/>
      <c r="W673" s="303"/>
      <c r="X673" s="304"/>
      <c r="Y673" s="305"/>
      <c r="AA673" s="306"/>
      <c r="AB673" s="306"/>
      <c r="AC673" s="307"/>
      <c r="AD673" s="307"/>
      <c r="AE673" s="307"/>
      <c r="AF673" s="308"/>
    </row>
    <row r="674" spans="1:32" s="294" customFormat="1" outlineLevel="1" x14ac:dyDescent="0.2">
      <c r="A674" s="293">
        <v>3014</v>
      </c>
      <c r="B674" s="132" t="s">
        <v>1323</v>
      </c>
      <c r="D674" s="6">
        <v>20</v>
      </c>
      <c r="E674" s="7" t="s">
        <v>781</v>
      </c>
      <c r="F674" s="8">
        <v>414</v>
      </c>
      <c r="G674" s="3">
        <v>15</v>
      </c>
      <c r="H674" s="54">
        <v>0</v>
      </c>
      <c r="I674" s="54">
        <v>37</v>
      </c>
      <c r="J674" s="3">
        <v>100</v>
      </c>
      <c r="K674" s="57">
        <v>1000</v>
      </c>
      <c r="L674" s="178">
        <v>1</v>
      </c>
      <c r="M674" s="179"/>
      <c r="N674" s="59">
        <f>VLOOKUP(F674,Baupläne!$B$2:$X$1019,23,FALSE)</f>
        <v>25000</v>
      </c>
      <c r="O674" s="295"/>
      <c r="Q674" s="301"/>
      <c r="R674" s="306"/>
      <c r="S674" s="301"/>
      <c r="T674" s="302"/>
      <c r="U674" s="301"/>
      <c r="V674" s="301"/>
      <c r="W674" s="303"/>
      <c r="X674" s="304"/>
      <c r="Y674" s="305"/>
      <c r="AA674" s="306"/>
      <c r="AB674" s="306"/>
      <c r="AC674" s="307"/>
      <c r="AD674" s="307"/>
      <c r="AE674" s="307"/>
      <c r="AF674" s="308"/>
    </row>
    <row r="675" spans="1:32" s="294" customFormat="1" outlineLevel="1" x14ac:dyDescent="0.2">
      <c r="A675" s="293">
        <v>3015</v>
      </c>
      <c r="B675" s="132" t="s">
        <v>1324</v>
      </c>
      <c r="D675" s="6">
        <v>25</v>
      </c>
      <c r="E675" s="7" t="s">
        <v>781</v>
      </c>
      <c r="F675" s="8">
        <v>415</v>
      </c>
      <c r="G675" s="3">
        <v>15</v>
      </c>
      <c r="H675" s="54">
        <v>0</v>
      </c>
      <c r="I675" s="54">
        <v>37</v>
      </c>
      <c r="J675" s="3">
        <v>100</v>
      </c>
      <c r="K675" s="57">
        <v>1000</v>
      </c>
      <c r="L675" s="178">
        <v>1</v>
      </c>
      <c r="M675" s="179"/>
      <c r="N675" s="59">
        <f>VLOOKUP(F675,Baupläne!$B$2:$X$1019,23,FALSE)</f>
        <v>50000</v>
      </c>
      <c r="O675" s="295"/>
      <c r="Q675" s="301"/>
      <c r="R675" s="306"/>
      <c r="S675" s="301"/>
      <c r="T675" s="302"/>
      <c r="U675" s="301"/>
      <c r="V675" s="301"/>
      <c r="W675" s="303"/>
      <c r="X675" s="304"/>
      <c r="Y675" s="305"/>
      <c r="AA675" s="306"/>
      <c r="AB675" s="306"/>
      <c r="AC675" s="307"/>
      <c r="AD675" s="307"/>
      <c r="AE675" s="307"/>
      <c r="AF675" s="308"/>
    </row>
    <row r="676" spans="1:32" x14ac:dyDescent="0.2">
      <c r="A676" s="399"/>
      <c r="B676" s="400"/>
      <c r="C676" s="193"/>
      <c r="D676" s="194"/>
      <c r="E676" s="195"/>
      <c r="F676" s="196"/>
      <c r="G676" s="193"/>
      <c r="H676" s="194"/>
      <c r="I676" s="194"/>
      <c r="J676" s="194"/>
      <c r="K676" s="198"/>
      <c r="L676" s="194"/>
      <c r="M676" s="199"/>
      <c r="N676" s="199"/>
      <c r="O676" s="402"/>
      <c r="P676" s="403"/>
      <c r="Q676" s="404"/>
      <c r="R676" s="405"/>
      <c r="S676" s="404"/>
      <c r="T676" s="406"/>
      <c r="U676" s="404"/>
      <c r="V676" s="404"/>
      <c r="W676" s="407"/>
      <c r="X676" s="408"/>
      <c r="Y676" s="409"/>
      <c r="Z676" s="403"/>
      <c r="AA676" s="405"/>
      <c r="AB676" s="405"/>
      <c r="AC676" s="410"/>
      <c r="AD676" s="410"/>
      <c r="AE676" s="410"/>
      <c r="AF676" s="411"/>
    </row>
    <row r="677" spans="1:32" x14ac:dyDescent="0.2">
      <c r="A677" s="412">
        <f>F677+1000</f>
        <v>3101</v>
      </c>
      <c r="B677" s="132" t="s">
        <v>780</v>
      </c>
      <c r="D677" s="6">
        <f>VLOOKUP(F677,Baupläne!$A$2:$I$2011,9,FALSE)</f>
        <v>3</v>
      </c>
      <c r="E677" s="7" t="s">
        <v>781</v>
      </c>
      <c r="F677" s="8">
        <v>2101</v>
      </c>
      <c r="G677" s="1">
        <f>VLOOKUP(F677,Baupläne!$A$2:$I$2011,8,FALSE)</f>
        <v>56</v>
      </c>
      <c r="H677" s="6">
        <v>2</v>
      </c>
      <c r="I677" s="6">
        <v>35</v>
      </c>
      <c r="J677" s="3">
        <v>100</v>
      </c>
      <c r="K677" s="57">
        <v>1000</v>
      </c>
      <c r="L677" s="178">
        <v>1</v>
      </c>
      <c r="N677" s="59">
        <f>VLOOKUP(F677,Baupläne!$B$2:$X$1019,23,FALSE)</f>
        <v>2800</v>
      </c>
    </row>
    <row r="678" spans="1:32" x14ac:dyDescent="0.2">
      <c r="A678" s="412">
        <f t="shared" ref="A678:A741" si="46">F678+1000</f>
        <v>3102</v>
      </c>
      <c r="B678" s="132" t="s">
        <v>782</v>
      </c>
      <c r="D678" s="6">
        <f>VLOOKUP(F678,Baupläne!$A$2:$I$2011,9,FALSE)</f>
        <v>8</v>
      </c>
      <c r="E678" s="7" t="s">
        <v>781</v>
      </c>
      <c r="F678" s="8">
        <v>2102</v>
      </c>
      <c r="G678" s="1">
        <f>VLOOKUP(F678,Baupläne!$A$2:$I$2011,8,FALSE)</f>
        <v>56</v>
      </c>
      <c r="H678" s="6">
        <v>2</v>
      </c>
      <c r="I678" s="6">
        <v>35</v>
      </c>
      <c r="J678" s="3">
        <v>100</v>
      </c>
      <c r="K678" s="57">
        <v>1000</v>
      </c>
      <c r="L678" s="178">
        <v>1</v>
      </c>
      <c r="N678" s="59">
        <f>VLOOKUP(F678,Baupläne!$B$2:$X$1019,23,FALSE)</f>
        <v>5700</v>
      </c>
    </row>
    <row r="679" spans="1:32" x14ac:dyDescent="0.2">
      <c r="A679" s="412">
        <f t="shared" si="46"/>
        <v>3103</v>
      </c>
      <c r="B679" s="132" t="s">
        <v>783</v>
      </c>
      <c r="D679" s="6">
        <f>VLOOKUP(F679,Baupläne!$A$2:$I$2011,9,FALSE)</f>
        <v>13</v>
      </c>
      <c r="E679" s="7" t="s">
        <v>781</v>
      </c>
      <c r="F679" s="8">
        <v>2103</v>
      </c>
      <c r="G679" s="1">
        <f>VLOOKUP(F679,Baupläne!$A$2:$I$2011,8,FALSE)</f>
        <v>56</v>
      </c>
      <c r="H679" s="6">
        <v>2</v>
      </c>
      <c r="I679" s="6">
        <v>35</v>
      </c>
      <c r="J679" s="3">
        <v>100</v>
      </c>
      <c r="K679" s="57">
        <v>1000</v>
      </c>
      <c r="L679" s="178">
        <v>1</v>
      </c>
      <c r="N679" s="59">
        <f>VLOOKUP(F679,Baupläne!$B$2:$X$1019,23,FALSE)</f>
        <v>11400</v>
      </c>
    </row>
    <row r="680" spans="1:32" x14ac:dyDescent="0.2">
      <c r="A680" s="412">
        <f t="shared" si="46"/>
        <v>3104</v>
      </c>
      <c r="B680" s="132" t="s">
        <v>784</v>
      </c>
      <c r="D680" s="6">
        <f>VLOOKUP(F680,Baupläne!$A$2:$I$2011,9,FALSE)</f>
        <v>18</v>
      </c>
      <c r="E680" s="7" t="s">
        <v>781</v>
      </c>
      <c r="F680" s="8">
        <v>2104</v>
      </c>
      <c r="G680" s="1">
        <f>VLOOKUP(F680,Baupläne!$A$2:$I$2011,8,FALSE)</f>
        <v>56</v>
      </c>
      <c r="H680" s="6">
        <v>2</v>
      </c>
      <c r="I680" s="6">
        <v>35</v>
      </c>
      <c r="J680" s="3">
        <v>100</v>
      </c>
      <c r="K680" s="57">
        <v>1000</v>
      </c>
      <c r="L680" s="178">
        <v>1</v>
      </c>
      <c r="N680" s="59">
        <f>VLOOKUP(F680,Baupläne!$B$2:$X$1019,23,FALSE)</f>
        <v>21900</v>
      </c>
    </row>
    <row r="681" spans="1:32" x14ac:dyDescent="0.2">
      <c r="A681" s="412">
        <f t="shared" si="46"/>
        <v>3105</v>
      </c>
      <c r="B681" s="132" t="s">
        <v>785</v>
      </c>
      <c r="D681" s="6">
        <f>VLOOKUP(F681,Baupläne!$A$2:$I$2011,9,FALSE)</f>
        <v>24</v>
      </c>
      <c r="E681" s="7" t="s">
        <v>781</v>
      </c>
      <c r="F681" s="8">
        <v>2105</v>
      </c>
      <c r="G681" s="1">
        <f>VLOOKUP(F681,Baupläne!$A$2:$I$2011,8,FALSE)</f>
        <v>56</v>
      </c>
      <c r="H681" s="6">
        <v>2</v>
      </c>
      <c r="I681" s="6">
        <v>35</v>
      </c>
      <c r="J681" s="3">
        <v>100</v>
      </c>
      <c r="K681" s="57">
        <v>1000</v>
      </c>
      <c r="L681" s="178">
        <v>1</v>
      </c>
      <c r="N681" s="59">
        <f>VLOOKUP(F681,Baupläne!$B$2:$X$1019,23,FALSE)</f>
        <v>44400</v>
      </c>
    </row>
    <row r="682" spans="1:32" x14ac:dyDescent="0.2">
      <c r="A682" s="399"/>
      <c r="B682" s="400"/>
      <c r="C682" s="193"/>
      <c r="D682" s="194"/>
      <c r="E682" s="195"/>
      <c r="F682" s="196"/>
      <c r="G682" s="193"/>
      <c r="H682" s="194"/>
      <c r="I682" s="194"/>
      <c r="J682" s="193"/>
      <c r="K682" s="198"/>
      <c r="L682" s="194"/>
      <c r="M682" s="199"/>
      <c r="N682" s="401"/>
      <c r="O682" s="402"/>
      <c r="P682" s="403"/>
      <c r="Q682" s="404"/>
      <c r="R682" s="405"/>
      <c r="S682" s="404"/>
      <c r="T682" s="406"/>
      <c r="U682" s="404"/>
      <c r="V682" s="404"/>
      <c r="W682" s="407"/>
      <c r="X682" s="408"/>
      <c r="Y682" s="409"/>
      <c r="Z682" s="403"/>
      <c r="AA682" s="405"/>
      <c r="AB682" s="405"/>
      <c r="AC682" s="410"/>
      <c r="AD682" s="410"/>
      <c r="AE682" s="410"/>
      <c r="AF682" s="411"/>
    </row>
    <row r="683" spans="1:32" x14ac:dyDescent="0.2">
      <c r="A683" s="412">
        <f t="shared" si="46"/>
        <v>3111</v>
      </c>
      <c r="B683" s="132" t="s">
        <v>786</v>
      </c>
      <c r="D683" s="6">
        <f>VLOOKUP(F683,Baupläne!$A$2:$I$2011,9,FALSE)</f>
        <v>9</v>
      </c>
      <c r="E683" s="7" t="s">
        <v>781</v>
      </c>
      <c r="F683" s="8">
        <v>2111</v>
      </c>
      <c r="G683" s="1">
        <f>VLOOKUP(F683,Baupläne!$A$2:$I$2011,8,FALSE)</f>
        <v>56</v>
      </c>
      <c r="H683" s="6">
        <v>2</v>
      </c>
      <c r="I683" s="6">
        <v>35</v>
      </c>
      <c r="J683" s="3">
        <v>100</v>
      </c>
      <c r="K683" s="57">
        <v>1000</v>
      </c>
      <c r="L683" s="178">
        <v>1</v>
      </c>
      <c r="N683" s="59">
        <f>VLOOKUP(F683,Baupläne!$B$2:$X$1019,23,FALSE)</f>
        <v>12000</v>
      </c>
    </row>
    <row r="684" spans="1:32" x14ac:dyDescent="0.2">
      <c r="A684" s="412">
        <f t="shared" si="46"/>
        <v>3112</v>
      </c>
      <c r="B684" s="132" t="s">
        <v>787</v>
      </c>
      <c r="D684" s="6">
        <f>VLOOKUP(F684,Baupläne!$A$2:$I$2011,9,FALSE)</f>
        <v>14</v>
      </c>
      <c r="E684" s="7" t="s">
        <v>781</v>
      </c>
      <c r="F684" s="8">
        <v>2112</v>
      </c>
      <c r="G684" s="1">
        <f>VLOOKUP(F684,Baupläne!$A$2:$I$2011,8,FALSE)</f>
        <v>56</v>
      </c>
      <c r="H684" s="6">
        <v>2</v>
      </c>
      <c r="I684" s="6">
        <v>35</v>
      </c>
      <c r="J684" s="3">
        <v>100</v>
      </c>
      <c r="K684" s="57">
        <v>1000</v>
      </c>
      <c r="L684" s="178">
        <v>1</v>
      </c>
      <c r="N684" s="59">
        <f>VLOOKUP(F684,Baupläne!$B$2:$X$1019,23,FALSE)</f>
        <v>24200</v>
      </c>
    </row>
    <row r="685" spans="1:32" x14ac:dyDescent="0.2">
      <c r="A685" s="412">
        <f t="shared" si="46"/>
        <v>3113</v>
      </c>
      <c r="B685" s="132" t="s">
        <v>788</v>
      </c>
      <c r="D685" s="6">
        <f>VLOOKUP(F685,Baupläne!$A$2:$I$2011,9,FALSE)</f>
        <v>19</v>
      </c>
      <c r="E685" s="7" t="s">
        <v>781</v>
      </c>
      <c r="F685" s="8">
        <v>2113</v>
      </c>
      <c r="G685" s="1">
        <f>VLOOKUP(F685,Baupläne!$A$2:$I$2011,8,FALSE)</f>
        <v>56</v>
      </c>
      <c r="H685" s="6">
        <v>2</v>
      </c>
      <c r="I685" s="6">
        <v>35</v>
      </c>
      <c r="J685" s="3">
        <v>100</v>
      </c>
      <c r="K685" s="57">
        <v>1000</v>
      </c>
      <c r="L685" s="178">
        <v>1</v>
      </c>
      <c r="N685" s="59">
        <f>VLOOKUP(F685,Baupläne!$B$2:$X$1019,23,FALSE)</f>
        <v>46000</v>
      </c>
    </row>
    <row r="686" spans="1:32" x14ac:dyDescent="0.2">
      <c r="A686" s="412">
        <f t="shared" si="46"/>
        <v>3114</v>
      </c>
      <c r="B686" s="132" t="s">
        <v>789</v>
      </c>
      <c r="D686" s="6">
        <f>VLOOKUP(F686,Baupläne!$A$2:$I$2011,9,FALSE)</f>
        <v>24</v>
      </c>
      <c r="E686" s="7" t="s">
        <v>781</v>
      </c>
      <c r="F686" s="8">
        <v>2114</v>
      </c>
      <c r="G686" s="1">
        <f>VLOOKUP(F686,Baupläne!$A$2:$I$2011,8,FALSE)</f>
        <v>56</v>
      </c>
      <c r="H686" s="6">
        <v>2</v>
      </c>
      <c r="I686" s="6">
        <v>35</v>
      </c>
      <c r="J686" s="3">
        <v>100</v>
      </c>
      <c r="K686" s="57">
        <v>1000</v>
      </c>
      <c r="L686" s="178">
        <v>1</v>
      </c>
      <c r="N686" s="59">
        <f>VLOOKUP(F686,Baupläne!$B$2:$X$1019,23,FALSE)</f>
        <v>82300</v>
      </c>
    </row>
    <row r="687" spans="1:32" x14ac:dyDescent="0.2">
      <c r="A687" s="399"/>
      <c r="B687" s="400"/>
      <c r="C687" s="193"/>
      <c r="D687" s="194"/>
      <c r="E687" s="195"/>
      <c r="F687" s="196"/>
      <c r="G687" s="193"/>
      <c r="H687" s="194"/>
      <c r="I687" s="194"/>
      <c r="J687" s="193"/>
      <c r="K687" s="198"/>
      <c r="L687" s="194"/>
      <c r="M687" s="199"/>
      <c r="N687" s="401"/>
      <c r="O687" s="402"/>
      <c r="P687" s="403"/>
      <c r="Q687" s="404"/>
      <c r="R687" s="405"/>
      <c r="S687" s="404"/>
      <c r="T687" s="406"/>
      <c r="U687" s="404"/>
      <c r="V687" s="404"/>
      <c r="W687" s="407"/>
      <c r="X687" s="408"/>
      <c r="Y687" s="409"/>
      <c r="Z687" s="403"/>
      <c r="AA687" s="405"/>
      <c r="AB687" s="405"/>
      <c r="AC687" s="410"/>
      <c r="AD687" s="410"/>
      <c r="AE687" s="410"/>
      <c r="AF687" s="411"/>
    </row>
    <row r="688" spans="1:32" x14ac:dyDescent="0.2">
      <c r="A688" s="412">
        <f t="shared" si="46"/>
        <v>3121</v>
      </c>
      <c r="B688" s="132" t="s">
        <v>790</v>
      </c>
      <c r="D688" s="6">
        <f>VLOOKUP(F688,Baupläne!$A$2:$I$2011,9,FALSE)</f>
        <v>3</v>
      </c>
      <c r="E688" s="7" t="s">
        <v>781</v>
      </c>
      <c r="F688" s="8">
        <v>2121</v>
      </c>
      <c r="G688" s="1">
        <f>VLOOKUP(F688,Baupläne!$A$2:$I$2011,8,FALSE)</f>
        <v>57</v>
      </c>
      <c r="H688" s="6">
        <v>2</v>
      </c>
      <c r="I688" s="6">
        <v>35</v>
      </c>
      <c r="J688" s="3">
        <v>100</v>
      </c>
      <c r="K688" s="57">
        <v>1000</v>
      </c>
      <c r="L688" s="178">
        <v>1</v>
      </c>
      <c r="N688" s="59">
        <f>VLOOKUP(F688,Baupläne!$B$2:$X$1019,23,FALSE)</f>
        <v>2800</v>
      </c>
    </row>
    <row r="689" spans="1:32" x14ac:dyDescent="0.2">
      <c r="A689" s="412">
        <f t="shared" si="46"/>
        <v>3122</v>
      </c>
      <c r="B689" s="132" t="s">
        <v>791</v>
      </c>
      <c r="D689" s="6">
        <f>VLOOKUP(F689,Baupläne!$A$2:$I$2011,9,FALSE)</f>
        <v>8</v>
      </c>
      <c r="E689" s="7" t="s">
        <v>781</v>
      </c>
      <c r="F689" s="8">
        <v>2122</v>
      </c>
      <c r="G689" s="1">
        <f>VLOOKUP(F689,Baupläne!$A$2:$I$2011,8,FALSE)</f>
        <v>57</v>
      </c>
      <c r="H689" s="6">
        <v>2</v>
      </c>
      <c r="I689" s="6">
        <v>35</v>
      </c>
      <c r="J689" s="3">
        <v>100</v>
      </c>
      <c r="K689" s="57">
        <v>1000</v>
      </c>
      <c r="L689" s="178">
        <v>1</v>
      </c>
      <c r="N689" s="59">
        <f>VLOOKUP(F689,Baupläne!$B$2:$X$1019,23,FALSE)</f>
        <v>5700</v>
      </c>
    </row>
    <row r="690" spans="1:32" x14ac:dyDescent="0.2">
      <c r="A690" s="412">
        <f t="shared" si="46"/>
        <v>3123</v>
      </c>
      <c r="B690" s="132" t="s">
        <v>792</v>
      </c>
      <c r="D690" s="6">
        <f>VLOOKUP(F690,Baupläne!$A$2:$I$2011,9,FALSE)</f>
        <v>13</v>
      </c>
      <c r="E690" s="7" t="s">
        <v>781</v>
      </c>
      <c r="F690" s="8">
        <v>2123</v>
      </c>
      <c r="G690" s="1">
        <f>VLOOKUP(F690,Baupläne!$A$2:$I$2011,8,FALSE)</f>
        <v>57</v>
      </c>
      <c r="H690" s="6">
        <v>2</v>
      </c>
      <c r="I690" s="6">
        <v>35</v>
      </c>
      <c r="J690" s="3">
        <v>100</v>
      </c>
      <c r="K690" s="57">
        <v>1000</v>
      </c>
      <c r="L690" s="178">
        <v>1</v>
      </c>
      <c r="N690" s="59">
        <f>VLOOKUP(F690,Baupläne!$B$2:$X$1019,23,FALSE)</f>
        <v>11400</v>
      </c>
    </row>
    <row r="691" spans="1:32" x14ac:dyDescent="0.2">
      <c r="A691" s="412">
        <f t="shared" si="46"/>
        <v>3124</v>
      </c>
      <c r="B691" s="132" t="s">
        <v>793</v>
      </c>
      <c r="D691" s="6">
        <f>VLOOKUP(F691,Baupläne!$A$2:$I$2011,9,FALSE)</f>
        <v>18</v>
      </c>
      <c r="E691" s="7" t="s">
        <v>781</v>
      </c>
      <c r="F691" s="8">
        <v>2124</v>
      </c>
      <c r="G691" s="1">
        <f>VLOOKUP(F691,Baupläne!$A$2:$I$2011,8,FALSE)</f>
        <v>57</v>
      </c>
      <c r="H691" s="6">
        <v>2</v>
      </c>
      <c r="I691" s="6">
        <v>35</v>
      </c>
      <c r="J691" s="3">
        <v>100</v>
      </c>
      <c r="K691" s="57">
        <v>1000</v>
      </c>
      <c r="L691" s="178">
        <v>1</v>
      </c>
      <c r="N691" s="59">
        <f>VLOOKUP(F691,Baupläne!$B$2:$X$1019,23,FALSE)</f>
        <v>21900</v>
      </c>
    </row>
    <row r="692" spans="1:32" x14ac:dyDescent="0.2">
      <c r="A692" s="412">
        <f t="shared" si="46"/>
        <v>3125</v>
      </c>
      <c r="B692" s="132" t="s">
        <v>794</v>
      </c>
      <c r="D692" s="6">
        <f>VLOOKUP(F692,Baupläne!$A$2:$I$2011,9,FALSE)</f>
        <v>24</v>
      </c>
      <c r="E692" s="7" t="s">
        <v>781</v>
      </c>
      <c r="F692" s="8">
        <v>2125</v>
      </c>
      <c r="G692" s="1">
        <f>VLOOKUP(F692,Baupläne!$A$2:$I$2011,8,FALSE)</f>
        <v>57</v>
      </c>
      <c r="H692" s="6">
        <v>2</v>
      </c>
      <c r="I692" s="6">
        <v>35</v>
      </c>
      <c r="J692" s="3">
        <v>100</v>
      </c>
      <c r="K692" s="57">
        <v>1000</v>
      </c>
      <c r="L692" s="178">
        <v>1</v>
      </c>
      <c r="N692" s="59">
        <f>VLOOKUP(F692,Baupläne!$B$2:$X$1019,23,FALSE)</f>
        <v>44400</v>
      </c>
    </row>
    <row r="693" spans="1:32" x14ac:dyDescent="0.2">
      <c r="A693" s="399"/>
      <c r="B693" s="400"/>
      <c r="C693" s="193"/>
      <c r="D693" s="194"/>
      <c r="E693" s="195"/>
      <c r="F693" s="196"/>
      <c r="G693" s="193"/>
      <c r="H693" s="194"/>
      <c r="I693" s="194"/>
      <c r="J693" s="193"/>
      <c r="K693" s="198"/>
      <c r="L693" s="194"/>
      <c r="M693" s="199"/>
      <c r="N693" s="401"/>
      <c r="O693" s="402"/>
      <c r="P693" s="403"/>
      <c r="Q693" s="404"/>
      <c r="R693" s="405"/>
      <c r="S693" s="404"/>
      <c r="T693" s="406"/>
      <c r="U693" s="404"/>
      <c r="V693" s="404"/>
      <c r="W693" s="407"/>
      <c r="X693" s="408"/>
      <c r="Y693" s="409"/>
      <c r="Z693" s="403"/>
      <c r="AA693" s="405"/>
      <c r="AB693" s="405"/>
      <c r="AC693" s="410"/>
      <c r="AD693" s="410"/>
      <c r="AE693" s="410"/>
      <c r="AF693" s="411"/>
    </row>
    <row r="694" spans="1:32" x14ac:dyDescent="0.2">
      <c r="A694" s="412">
        <f t="shared" si="46"/>
        <v>3131</v>
      </c>
      <c r="B694" s="132" t="s">
        <v>795</v>
      </c>
      <c r="D694" s="6">
        <f>VLOOKUP(F694,Baupläne!$A$2:$I$2011,9,FALSE)</f>
        <v>3</v>
      </c>
      <c r="E694" s="7" t="s">
        <v>781</v>
      </c>
      <c r="F694" s="8">
        <v>2131</v>
      </c>
      <c r="G694" s="1">
        <f>VLOOKUP(F694,Baupläne!$A$2:$I$2011,8,FALSE)</f>
        <v>58</v>
      </c>
      <c r="H694" s="6">
        <v>2</v>
      </c>
      <c r="I694" s="6">
        <v>35</v>
      </c>
      <c r="J694" s="3">
        <v>100</v>
      </c>
      <c r="K694" s="57">
        <v>1000</v>
      </c>
      <c r="L694" s="178">
        <v>1</v>
      </c>
      <c r="N694" s="59">
        <f>VLOOKUP(F694,Baupläne!$B$2:$X$1019,23,FALSE)</f>
        <v>2800</v>
      </c>
    </row>
    <row r="695" spans="1:32" x14ac:dyDescent="0.2">
      <c r="A695" s="412">
        <f t="shared" si="46"/>
        <v>3132</v>
      </c>
      <c r="B695" s="132" t="s">
        <v>796</v>
      </c>
      <c r="D695" s="6">
        <f>VLOOKUP(F695,Baupläne!$A$2:$I$2011,9,FALSE)</f>
        <v>8</v>
      </c>
      <c r="E695" s="7" t="s">
        <v>781</v>
      </c>
      <c r="F695" s="8">
        <v>2132</v>
      </c>
      <c r="G695" s="1">
        <f>VLOOKUP(F695,Baupläne!$A$2:$I$2011,8,FALSE)</f>
        <v>58</v>
      </c>
      <c r="H695" s="6">
        <v>2</v>
      </c>
      <c r="I695" s="6">
        <v>35</v>
      </c>
      <c r="J695" s="3">
        <v>100</v>
      </c>
      <c r="K695" s="57">
        <v>1000</v>
      </c>
      <c r="L695" s="178">
        <v>1</v>
      </c>
      <c r="N695" s="59">
        <f>VLOOKUP(F695,Baupläne!$B$2:$X$1019,23,FALSE)</f>
        <v>5700</v>
      </c>
    </row>
    <row r="696" spans="1:32" x14ac:dyDescent="0.2">
      <c r="A696" s="412">
        <f t="shared" si="46"/>
        <v>3133</v>
      </c>
      <c r="B696" s="132" t="s">
        <v>797</v>
      </c>
      <c r="D696" s="6">
        <f>VLOOKUP(F696,Baupläne!$A$2:$I$2011,9,FALSE)</f>
        <v>13</v>
      </c>
      <c r="E696" s="7" t="s">
        <v>781</v>
      </c>
      <c r="F696" s="8">
        <v>2133</v>
      </c>
      <c r="G696" s="1">
        <f>VLOOKUP(F696,Baupläne!$A$2:$I$2011,8,FALSE)</f>
        <v>58</v>
      </c>
      <c r="H696" s="6">
        <v>2</v>
      </c>
      <c r="I696" s="6">
        <v>35</v>
      </c>
      <c r="J696" s="3">
        <v>100</v>
      </c>
      <c r="K696" s="57">
        <v>1000</v>
      </c>
      <c r="L696" s="178">
        <v>1</v>
      </c>
      <c r="N696" s="59">
        <f>VLOOKUP(F696,Baupläne!$B$2:$X$1019,23,FALSE)</f>
        <v>11400</v>
      </c>
    </row>
    <row r="697" spans="1:32" x14ac:dyDescent="0.2">
      <c r="A697" s="412">
        <f t="shared" si="46"/>
        <v>3134</v>
      </c>
      <c r="B697" s="132" t="s">
        <v>798</v>
      </c>
      <c r="D697" s="6">
        <f>VLOOKUP(F697,Baupläne!$A$2:$I$2011,9,FALSE)</f>
        <v>18</v>
      </c>
      <c r="E697" s="7" t="s">
        <v>781</v>
      </c>
      <c r="F697" s="8">
        <v>2134</v>
      </c>
      <c r="G697" s="1">
        <f>VLOOKUP(F697,Baupläne!$A$2:$I$2011,8,FALSE)</f>
        <v>58</v>
      </c>
      <c r="H697" s="6">
        <v>2</v>
      </c>
      <c r="I697" s="6">
        <v>35</v>
      </c>
      <c r="J697" s="3">
        <v>100</v>
      </c>
      <c r="K697" s="57">
        <v>1000</v>
      </c>
      <c r="L697" s="178">
        <v>1</v>
      </c>
      <c r="N697" s="59">
        <f>VLOOKUP(F697,Baupläne!$B$2:$X$1019,23,FALSE)</f>
        <v>21900</v>
      </c>
    </row>
    <row r="698" spans="1:32" x14ac:dyDescent="0.2">
      <c r="A698" s="412">
        <f t="shared" si="46"/>
        <v>3135</v>
      </c>
      <c r="B698" s="132" t="s">
        <v>799</v>
      </c>
      <c r="D698" s="6">
        <f>VLOOKUP(F698,Baupläne!$A$2:$I$2011,9,FALSE)</f>
        <v>24</v>
      </c>
      <c r="E698" s="7" t="s">
        <v>781</v>
      </c>
      <c r="F698" s="8">
        <v>2135</v>
      </c>
      <c r="G698" s="1">
        <f>VLOOKUP(F698,Baupläne!$A$2:$I$2011,8,FALSE)</f>
        <v>58</v>
      </c>
      <c r="H698" s="6">
        <v>2</v>
      </c>
      <c r="I698" s="6">
        <v>35</v>
      </c>
      <c r="J698" s="3">
        <v>100</v>
      </c>
      <c r="K698" s="57">
        <v>1000</v>
      </c>
      <c r="L698" s="178">
        <v>1</v>
      </c>
      <c r="N698" s="59">
        <f>VLOOKUP(F698,Baupläne!$B$2:$X$1019,23,FALSE)</f>
        <v>44400</v>
      </c>
    </row>
    <row r="699" spans="1:32" x14ac:dyDescent="0.2">
      <c r="A699" s="399"/>
      <c r="B699" s="400"/>
      <c r="C699" s="193"/>
      <c r="D699" s="194"/>
      <c r="E699" s="195"/>
      <c r="F699" s="196"/>
      <c r="G699" s="193"/>
      <c r="H699" s="194"/>
      <c r="I699" s="194"/>
      <c r="J699" s="193"/>
      <c r="K699" s="198"/>
      <c r="L699" s="194"/>
      <c r="M699" s="199"/>
      <c r="N699" s="401"/>
      <c r="O699" s="402"/>
      <c r="P699" s="403"/>
      <c r="Q699" s="404"/>
      <c r="R699" s="405"/>
      <c r="S699" s="404"/>
      <c r="T699" s="406"/>
      <c r="U699" s="404"/>
      <c r="V699" s="404"/>
      <c r="W699" s="407"/>
      <c r="X699" s="408"/>
      <c r="Y699" s="409"/>
      <c r="Z699" s="403"/>
      <c r="AA699" s="405"/>
      <c r="AB699" s="405"/>
      <c r="AC699" s="410"/>
      <c r="AD699" s="410"/>
      <c r="AE699" s="410"/>
      <c r="AF699" s="411"/>
    </row>
    <row r="700" spans="1:32" x14ac:dyDescent="0.2">
      <c r="A700" s="412">
        <f t="shared" si="46"/>
        <v>3141</v>
      </c>
      <c r="B700" s="132" t="s">
        <v>800</v>
      </c>
      <c r="D700" s="6">
        <f>VLOOKUP(F700,Baupläne!$A$2:$I$2011,9,FALSE)</f>
        <v>9</v>
      </c>
      <c r="E700" s="7" t="s">
        <v>781</v>
      </c>
      <c r="F700" s="8">
        <v>2141</v>
      </c>
      <c r="G700" s="1">
        <f>VLOOKUP(F700,Baupläne!$A$2:$I$2011,8,FALSE)</f>
        <v>58</v>
      </c>
      <c r="H700" s="6">
        <v>2</v>
      </c>
      <c r="I700" s="6">
        <v>35</v>
      </c>
      <c r="J700" s="3">
        <v>100</v>
      </c>
      <c r="K700" s="57">
        <v>1000</v>
      </c>
      <c r="L700" s="178">
        <v>1</v>
      </c>
      <c r="N700" s="59">
        <f>VLOOKUP(F700,Baupläne!$B$2:$X$1019,23,FALSE)</f>
        <v>12000</v>
      </c>
    </row>
    <row r="701" spans="1:32" x14ac:dyDescent="0.2">
      <c r="A701" s="412">
        <f t="shared" si="46"/>
        <v>3142</v>
      </c>
      <c r="B701" s="132" t="s">
        <v>801</v>
      </c>
      <c r="D701" s="6">
        <f>VLOOKUP(F701,Baupläne!$A$2:$I$2011,9,FALSE)</f>
        <v>14</v>
      </c>
      <c r="E701" s="7" t="s">
        <v>781</v>
      </c>
      <c r="F701" s="8">
        <v>2142</v>
      </c>
      <c r="G701" s="1">
        <f>VLOOKUP(F701,Baupläne!$A$2:$I$2011,8,FALSE)</f>
        <v>58</v>
      </c>
      <c r="H701" s="6">
        <v>2</v>
      </c>
      <c r="I701" s="6">
        <v>35</v>
      </c>
      <c r="J701" s="3">
        <v>100</v>
      </c>
      <c r="K701" s="57">
        <v>1000</v>
      </c>
      <c r="L701" s="178">
        <v>1</v>
      </c>
      <c r="N701" s="59">
        <f>VLOOKUP(F701,Baupläne!$B$2:$X$1019,23,FALSE)</f>
        <v>24200</v>
      </c>
    </row>
    <row r="702" spans="1:32" x14ac:dyDescent="0.2">
      <c r="A702" s="412">
        <f t="shared" si="46"/>
        <v>3143</v>
      </c>
      <c r="B702" s="132" t="s">
        <v>802</v>
      </c>
      <c r="D702" s="6">
        <f>VLOOKUP(F702,Baupläne!$A$2:$I$2011,9,FALSE)</f>
        <v>19</v>
      </c>
      <c r="E702" s="7" t="s">
        <v>781</v>
      </c>
      <c r="F702" s="8">
        <v>2143</v>
      </c>
      <c r="G702" s="1">
        <f>VLOOKUP(F702,Baupläne!$A$2:$I$2011,8,FALSE)</f>
        <v>58</v>
      </c>
      <c r="H702" s="6">
        <v>2</v>
      </c>
      <c r="I702" s="6">
        <v>35</v>
      </c>
      <c r="J702" s="3">
        <v>100</v>
      </c>
      <c r="K702" s="57">
        <v>1000</v>
      </c>
      <c r="L702" s="178">
        <v>1</v>
      </c>
      <c r="N702" s="59">
        <f>VLOOKUP(F702,Baupläne!$B$2:$X$1019,23,FALSE)</f>
        <v>46000</v>
      </c>
    </row>
    <row r="703" spans="1:32" x14ac:dyDescent="0.2">
      <c r="A703" s="412">
        <f t="shared" si="46"/>
        <v>3144</v>
      </c>
      <c r="B703" s="132" t="s">
        <v>803</v>
      </c>
      <c r="D703" s="6">
        <f>VLOOKUP(F703,Baupläne!$A$2:$I$2011,9,FALSE)</f>
        <v>24</v>
      </c>
      <c r="E703" s="7" t="s">
        <v>781</v>
      </c>
      <c r="F703" s="8">
        <v>2144</v>
      </c>
      <c r="G703" s="1">
        <f>VLOOKUP(F703,Baupläne!$A$2:$I$2011,8,FALSE)</f>
        <v>58</v>
      </c>
      <c r="H703" s="6">
        <v>2</v>
      </c>
      <c r="I703" s="6">
        <v>35</v>
      </c>
      <c r="J703" s="3">
        <v>100</v>
      </c>
      <c r="K703" s="57">
        <v>1000</v>
      </c>
      <c r="L703" s="178">
        <v>1</v>
      </c>
      <c r="N703" s="59">
        <f>VLOOKUP(F703,Baupläne!$B$2:$X$1019,23,FALSE)</f>
        <v>82300</v>
      </c>
    </row>
    <row r="704" spans="1:32" x14ac:dyDescent="0.2">
      <c r="A704" s="399"/>
      <c r="B704" s="400"/>
      <c r="C704" s="193"/>
      <c r="D704" s="194"/>
      <c r="E704" s="195"/>
      <c r="F704" s="196"/>
      <c r="G704" s="193"/>
      <c r="H704" s="194"/>
      <c r="I704" s="194"/>
      <c r="J704" s="193"/>
      <c r="K704" s="198"/>
      <c r="L704" s="194"/>
      <c r="M704" s="199"/>
      <c r="N704" s="401"/>
      <c r="O704" s="402"/>
      <c r="P704" s="403"/>
      <c r="Q704" s="404"/>
      <c r="R704" s="405"/>
      <c r="S704" s="404"/>
      <c r="T704" s="406"/>
      <c r="U704" s="404"/>
      <c r="V704" s="404"/>
      <c r="W704" s="407"/>
      <c r="X704" s="408"/>
      <c r="Y704" s="409"/>
      <c r="Z704" s="403"/>
      <c r="AA704" s="405"/>
      <c r="AB704" s="405"/>
      <c r="AC704" s="410"/>
      <c r="AD704" s="410"/>
      <c r="AE704" s="410"/>
      <c r="AF704" s="411"/>
    </row>
    <row r="705" spans="1:32" x14ac:dyDescent="0.2">
      <c r="A705" s="412">
        <f t="shared" si="46"/>
        <v>3151</v>
      </c>
      <c r="B705" s="132" t="s">
        <v>804</v>
      </c>
      <c r="D705" s="6">
        <f>VLOOKUP(F705,Baupläne!$A$2:$I$2011,9,FALSE)</f>
        <v>3</v>
      </c>
      <c r="E705" s="7" t="s">
        <v>781</v>
      </c>
      <c r="F705" s="8">
        <v>2151</v>
      </c>
      <c r="G705" s="1">
        <f>VLOOKUP(F705,Baupläne!$A$2:$I$2011,8,FALSE)</f>
        <v>59</v>
      </c>
      <c r="H705" s="6">
        <v>2</v>
      </c>
      <c r="I705" s="6">
        <v>35</v>
      </c>
      <c r="J705" s="3">
        <v>100</v>
      </c>
      <c r="K705" s="57">
        <v>1000</v>
      </c>
      <c r="L705" s="178">
        <v>1</v>
      </c>
      <c r="N705" s="59">
        <f>VLOOKUP(F705,Baupläne!$B$2:$X$1019,23,FALSE)</f>
        <v>2800</v>
      </c>
    </row>
    <row r="706" spans="1:32" x14ac:dyDescent="0.2">
      <c r="A706" s="412">
        <f t="shared" si="46"/>
        <v>3152</v>
      </c>
      <c r="B706" s="132" t="s">
        <v>805</v>
      </c>
      <c r="D706" s="6">
        <f>VLOOKUP(F706,Baupläne!$A$2:$I$2011,9,FALSE)</f>
        <v>8</v>
      </c>
      <c r="E706" s="7" t="s">
        <v>781</v>
      </c>
      <c r="F706" s="8">
        <v>2152</v>
      </c>
      <c r="G706" s="1">
        <f>VLOOKUP(F706,Baupläne!$A$2:$I$2011,8,FALSE)</f>
        <v>59</v>
      </c>
      <c r="H706" s="6">
        <v>2</v>
      </c>
      <c r="I706" s="6">
        <v>35</v>
      </c>
      <c r="J706" s="3">
        <v>100</v>
      </c>
      <c r="K706" s="57">
        <v>1000</v>
      </c>
      <c r="L706" s="178">
        <v>1</v>
      </c>
      <c r="N706" s="59">
        <f>VLOOKUP(F706,Baupläne!$B$2:$X$1019,23,FALSE)</f>
        <v>5700</v>
      </c>
    </row>
    <row r="707" spans="1:32" x14ac:dyDescent="0.2">
      <c r="A707" s="412">
        <f t="shared" si="46"/>
        <v>3153</v>
      </c>
      <c r="B707" s="132" t="s">
        <v>806</v>
      </c>
      <c r="D707" s="6">
        <f>VLOOKUP(F707,Baupläne!$A$2:$I$2011,9,FALSE)</f>
        <v>13</v>
      </c>
      <c r="E707" s="7" t="s">
        <v>781</v>
      </c>
      <c r="F707" s="8">
        <v>2153</v>
      </c>
      <c r="G707" s="1">
        <f>VLOOKUP(F707,Baupläne!$A$2:$I$2011,8,FALSE)</f>
        <v>59</v>
      </c>
      <c r="H707" s="6">
        <v>2</v>
      </c>
      <c r="I707" s="6">
        <v>35</v>
      </c>
      <c r="J707" s="3">
        <v>100</v>
      </c>
      <c r="K707" s="57">
        <v>1000</v>
      </c>
      <c r="L707" s="178">
        <v>1</v>
      </c>
      <c r="N707" s="59">
        <f>VLOOKUP(F707,Baupläne!$B$2:$X$1019,23,FALSE)</f>
        <v>11400</v>
      </c>
    </row>
    <row r="708" spans="1:32" x14ac:dyDescent="0.2">
      <c r="A708" s="412">
        <f t="shared" si="46"/>
        <v>3154</v>
      </c>
      <c r="B708" s="132" t="s">
        <v>807</v>
      </c>
      <c r="D708" s="6">
        <f>VLOOKUP(F708,Baupläne!$A$2:$I$2011,9,FALSE)</f>
        <v>18</v>
      </c>
      <c r="E708" s="7" t="s">
        <v>781</v>
      </c>
      <c r="F708" s="8">
        <v>2154</v>
      </c>
      <c r="G708" s="1">
        <f>VLOOKUP(F708,Baupläne!$A$2:$I$2011,8,FALSE)</f>
        <v>59</v>
      </c>
      <c r="H708" s="6">
        <v>2</v>
      </c>
      <c r="I708" s="6">
        <v>35</v>
      </c>
      <c r="J708" s="3">
        <v>100</v>
      </c>
      <c r="K708" s="57">
        <v>1000</v>
      </c>
      <c r="L708" s="178">
        <v>1</v>
      </c>
      <c r="N708" s="59">
        <f>VLOOKUP(F708,Baupläne!$B$2:$X$1019,23,FALSE)</f>
        <v>21900</v>
      </c>
    </row>
    <row r="709" spans="1:32" x14ac:dyDescent="0.2">
      <c r="A709" s="412">
        <f t="shared" si="46"/>
        <v>3155</v>
      </c>
      <c r="B709" s="132" t="s">
        <v>808</v>
      </c>
      <c r="D709" s="6">
        <f>VLOOKUP(F709,Baupläne!$A$2:$I$2011,9,FALSE)</f>
        <v>24</v>
      </c>
      <c r="E709" s="7" t="s">
        <v>781</v>
      </c>
      <c r="F709" s="8">
        <v>2155</v>
      </c>
      <c r="G709" s="1">
        <f>VLOOKUP(F709,Baupläne!$A$2:$I$2011,8,FALSE)</f>
        <v>59</v>
      </c>
      <c r="H709" s="6">
        <v>2</v>
      </c>
      <c r="I709" s="6">
        <v>35</v>
      </c>
      <c r="J709" s="3">
        <v>100</v>
      </c>
      <c r="K709" s="57">
        <v>1000</v>
      </c>
      <c r="L709" s="178">
        <v>1</v>
      </c>
      <c r="N709" s="59">
        <f>VLOOKUP(F709,Baupläne!$B$2:$X$1019,23,FALSE)</f>
        <v>44400</v>
      </c>
    </row>
    <row r="710" spans="1:32" x14ac:dyDescent="0.2">
      <c r="A710" s="399"/>
      <c r="B710" s="400"/>
      <c r="C710" s="193"/>
      <c r="D710" s="194"/>
      <c r="E710" s="195"/>
      <c r="F710" s="196"/>
      <c r="G710" s="193"/>
      <c r="H710" s="194"/>
      <c r="I710" s="194"/>
      <c r="J710" s="193"/>
      <c r="K710" s="198"/>
      <c r="L710" s="194"/>
      <c r="M710" s="199"/>
      <c r="N710" s="401"/>
      <c r="O710" s="402"/>
      <c r="P710" s="403"/>
      <c r="Q710" s="404"/>
      <c r="R710" s="405"/>
      <c r="S710" s="404"/>
      <c r="T710" s="406"/>
      <c r="U710" s="404"/>
      <c r="V710" s="404"/>
      <c r="W710" s="407"/>
      <c r="X710" s="408"/>
      <c r="Y710" s="409"/>
      <c r="Z710" s="403"/>
      <c r="AA710" s="405"/>
      <c r="AB710" s="405"/>
      <c r="AC710" s="410"/>
      <c r="AD710" s="410"/>
      <c r="AE710" s="410"/>
      <c r="AF710" s="411"/>
    </row>
    <row r="711" spans="1:32" x14ac:dyDescent="0.2">
      <c r="A711" s="412">
        <f t="shared" si="46"/>
        <v>3161</v>
      </c>
      <c r="B711" s="132" t="s">
        <v>809</v>
      </c>
      <c r="D711" s="6">
        <f>VLOOKUP(F711,Baupläne!$A$2:$I$2011,9,FALSE)</f>
        <v>9</v>
      </c>
      <c r="E711" s="7" t="s">
        <v>781</v>
      </c>
      <c r="F711" s="8">
        <v>2161</v>
      </c>
      <c r="G711" s="1">
        <f>VLOOKUP(F711,Baupläne!$A$2:$I$2011,8,FALSE)</f>
        <v>59</v>
      </c>
      <c r="H711" s="6">
        <v>2</v>
      </c>
      <c r="I711" s="6">
        <v>35</v>
      </c>
      <c r="J711" s="3">
        <v>100</v>
      </c>
      <c r="K711" s="57">
        <v>1000</v>
      </c>
      <c r="L711" s="178">
        <v>1</v>
      </c>
      <c r="N711" s="59">
        <f>VLOOKUP(F711,Baupläne!$B$2:$X$1019,23,FALSE)</f>
        <v>12000</v>
      </c>
    </row>
    <row r="712" spans="1:32" x14ac:dyDescent="0.2">
      <c r="A712" s="412">
        <f t="shared" si="46"/>
        <v>3162</v>
      </c>
      <c r="B712" s="132" t="s">
        <v>810</v>
      </c>
      <c r="D712" s="6">
        <f>VLOOKUP(F712,Baupläne!$A$2:$I$2011,9,FALSE)</f>
        <v>14</v>
      </c>
      <c r="E712" s="7" t="s">
        <v>781</v>
      </c>
      <c r="F712" s="8">
        <v>2162</v>
      </c>
      <c r="G712" s="1">
        <f>VLOOKUP(F712,Baupläne!$A$2:$I$2011,8,FALSE)</f>
        <v>59</v>
      </c>
      <c r="H712" s="6">
        <v>2</v>
      </c>
      <c r="I712" s="6">
        <v>35</v>
      </c>
      <c r="J712" s="3">
        <v>100</v>
      </c>
      <c r="K712" s="57">
        <v>1000</v>
      </c>
      <c r="L712" s="178">
        <v>1</v>
      </c>
      <c r="N712" s="59">
        <f>VLOOKUP(F712,Baupläne!$B$2:$X$1019,23,FALSE)</f>
        <v>24200</v>
      </c>
    </row>
    <row r="713" spans="1:32" x14ac:dyDescent="0.2">
      <c r="A713" s="412">
        <f t="shared" si="46"/>
        <v>3163</v>
      </c>
      <c r="B713" s="132" t="s">
        <v>811</v>
      </c>
      <c r="D713" s="6">
        <f>VLOOKUP(F713,Baupläne!$A$2:$I$2011,9,FALSE)</f>
        <v>19</v>
      </c>
      <c r="E713" s="7" t="s">
        <v>781</v>
      </c>
      <c r="F713" s="8">
        <v>2163</v>
      </c>
      <c r="G713" s="1">
        <f>VLOOKUP(F713,Baupläne!$A$2:$I$2011,8,FALSE)</f>
        <v>59</v>
      </c>
      <c r="H713" s="6">
        <v>2</v>
      </c>
      <c r="I713" s="6">
        <v>35</v>
      </c>
      <c r="J713" s="3">
        <v>100</v>
      </c>
      <c r="K713" s="57">
        <v>1000</v>
      </c>
      <c r="L713" s="178">
        <v>1</v>
      </c>
      <c r="N713" s="59">
        <f>VLOOKUP(F713,Baupläne!$B$2:$X$1019,23,FALSE)</f>
        <v>46000</v>
      </c>
    </row>
    <row r="714" spans="1:32" x14ac:dyDescent="0.2">
      <c r="A714" s="412">
        <f t="shared" si="46"/>
        <v>3164</v>
      </c>
      <c r="B714" s="132" t="s">
        <v>812</v>
      </c>
      <c r="D714" s="6">
        <f>VLOOKUP(F714,Baupläne!$A$2:$I$2011,9,FALSE)</f>
        <v>24</v>
      </c>
      <c r="E714" s="7" t="s">
        <v>781</v>
      </c>
      <c r="F714" s="8">
        <v>2164</v>
      </c>
      <c r="G714" s="1">
        <f>VLOOKUP(F714,Baupläne!$A$2:$I$2011,8,FALSE)</f>
        <v>59</v>
      </c>
      <c r="H714" s="6">
        <v>2</v>
      </c>
      <c r="I714" s="6">
        <v>35</v>
      </c>
      <c r="J714" s="3">
        <v>100</v>
      </c>
      <c r="K714" s="57">
        <v>1000</v>
      </c>
      <c r="L714" s="178">
        <v>1</v>
      </c>
      <c r="N714" s="59">
        <f>VLOOKUP(F714,Baupläne!$B$2:$X$1019,23,FALSE)</f>
        <v>82300</v>
      </c>
    </row>
    <row r="715" spans="1:32" x14ac:dyDescent="0.2">
      <c r="A715" s="399"/>
      <c r="B715" s="400"/>
      <c r="C715" s="193"/>
      <c r="D715" s="194"/>
      <c r="E715" s="195"/>
      <c r="F715" s="196"/>
      <c r="G715" s="193"/>
      <c r="H715" s="194"/>
      <c r="I715" s="194"/>
      <c r="J715" s="193"/>
      <c r="K715" s="198"/>
      <c r="L715" s="194"/>
      <c r="M715" s="199"/>
      <c r="N715" s="401"/>
      <c r="O715" s="402"/>
      <c r="P715" s="403"/>
      <c r="Q715" s="404"/>
      <c r="R715" s="405"/>
      <c r="S715" s="404"/>
      <c r="T715" s="406"/>
      <c r="U715" s="404"/>
      <c r="V715" s="404"/>
      <c r="W715" s="407"/>
      <c r="X715" s="408"/>
      <c r="Y715" s="409"/>
      <c r="Z715" s="403"/>
      <c r="AA715" s="405"/>
      <c r="AB715" s="405"/>
      <c r="AC715" s="410"/>
      <c r="AD715" s="410"/>
      <c r="AE715" s="410"/>
      <c r="AF715" s="411"/>
    </row>
    <row r="716" spans="1:32" x14ac:dyDescent="0.2">
      <c r="A716" s="412">
        <f t="shared" si="46"/>
        <v>3171</v>
      </c>
      <c r="B716" s="132" t="s">
        <v>813</v>
      </c>
      <c r="D716" s="6">
        <f>VLOOKUP(F716,Baupläne!$A$2:$I$2011,9,FALSE)</f>
        <v>3</v>
      </c>
      <c r="E716" s="7" t="s">
        <v>781</v>
      </c>
      <c r="F716" s="8">
        <v>2171</v>
      </c>
      <c r="G716" s="1">
        <f>VLOOKUP(F716,Baupläne!$A$2:$I$2011,8,FALSE)</f>
        <v>60</v>
      </c>
      <c r="H716" s="6">
        <v>2</v>
      </c>
      <c r="I716" s="6">
        <v>35</v>
      </c>
      <c r="J716" s="3">
        <v>100</v>
      </c>
      <c r="K716" s="57">
        <v>1000</v>
      </c>
      <c r="L716" s="178">
        <v>1</v>
      </c>
      <c r="N716" s="59">
        <f>VLOOKUP(F716,Baupläne!$B$2:$X$1019,23,FALSE)</f>
        <v>5500</v>
      </c>
    </row>
    <row r="717" spans="1:32" x14ac:dyDescent="0.2">
      <c r="A717" s="412">
        <f t="shared" si="46"/>
        <v>3172</v>
      </c>
      <c r="B717" s="132" t="s">
        <v>814</v>
      </c>
      <c r="D717" s="6">
        <f>VLOOKUP(F717,Baupläne!$A$2:$I$2011,9,FALSE)</f>
        <v>8</v>
      </c>
      <c r="E717" s="7" t="s">
        <v>781</v>
      </c>
      <c r="F717" s="8">
        <v>2172</v>
      </c>
      <c r="G717" s="1">
        <f>VLOOKUP(F717,Baupläne!$A$2:$I$2011,8,FALSE)</f>
        <v>60</v>
      </c>
      <c r="H717" s="6">
        <v>2</v>
      </c>
      <c r="I717" s="6">
        <v>35</v>
      </c>
      <c r="J717" s="3">
        <v>100</v>
      </c>
      <c r="K717" s="57">
        <v>1000</v>
      </c>
      <c r="L717" s="178">
        <v>1</v>
      </c>
      <c r="N717" s="59">
        <f>VLOOKUP(F717,Baupläne!$B$2:$X$1019,23,FALSE)</f>
        <v>11100</v>
      </c>
    </row>
    <row r="718" spans="1:32" x14ac:dyDescent="0.2">
      <c r="A718" s="412">
        <f t="shared" si="46"/>
        <v>3173</v>
      </c>
      <c r="B718" s="132" t="s">
        <v>815</v>
      </c>
      <c r="D718" s="6">
        <f>VLOOKUP(F718,Baupläne!$A$2:$I$2011,9,FALSE)</f>
        <v>13</v>
      </c>
      <c r="E718" s="7" t="s">
        <v>781</v>
      </c>
      <c r="F718" s="8">
        <v>2173</v>
      </c>
      <c r="G718" s="1">
        <f>VLOOKUP(F718,Baupläne!$A$2:$I$2011,8,FALSE)</f>
        <v>60</v>
      </c>
      <c r="H718" s="6">
        <v>2</v>
      </c>
      <c r="I718" s="6">
        <v>35</v>
      </c>
      <c r="J718" s="3">
        <v>100</v>
      </c>
      <c r="K718" s="57">
        <v>1000</v>
      </c>
      <c r="L718" s="178">
        <v>1</v>
      </c>
      <c r="N718" s="59">
        <f>VLOOKUP(F718,Baupläne!$B$2:$X$1019,23,FALSE)</f>
        <v>22300</v>
      </c>
    </row>
    <row r="719" spans="1:32" x14ac:dyDescent="0.2">
      <c r="A719" s="412">
        <f t="shared" si="46"/>
        <v>3174</v>
      </c>
      <c r="B719" s="132" t="s">
        <v>816</v>
      </c>
      <c r="D719" s="6">
        <f>VLOOKUP(F719,Baupläne!$A$2:$I$2011,9,FALSE)</f>
        <v>18</v>
      </c>
      <c r="E719" s="7" t="s">
        <v>781</v>
      </c>
      <c r="F719" s="8">
        <v>2174</v>
      </c>
      <c r="G719" s="1">
        <f>VLOOKUP(F719,Baupläne!$A$2:$I$2011,8,FALSE)</f>
        <v>60</v>
      </c>
      <c r="H719" s="6">
        <v>2</v>
      </c>
      <c r="I719" s="6">
        <v>35</v>
      </c>
      <c r="J719" s="3">
        <v>100</v>
      </c>
      <c r="K719" s="57">
        <v>1000</v>
      </c>
      <c r="L719" s="178">
        <v>1</v>
      </c>
      <c r="N719" s="59">
        <f>VLOOKUP(F719,Baupläne!$B$2:$X$1019,23,FALSE)</f>
        <v>42300</v>
      </c>
    </row>
    <row r="720" spans="1:32" x14ac:dyDescent="0.2">
      <c r="A720" s="412">
        <f t="shared" si="46"/>
        <v>3175</v>
      </c>
      <c r="B720" s="132" t="s">
        <v>817</v>
      </c>
      <c r="D720" s="6">
        <f>VLOOKUP(F720,Baupläne!$A$2:$I$2011,9,FALSE)</f>
        <v>24</v>
      </c>
      <c r="E720" s="7" t="s">
        <v>781</v>
      </c>
      <c r="F720" s="8">
        <v>2175</v>
      </c>
      <c r="G720" s="1">
        <f>VLOOKUP(F720,Baupläne!$A$2:$I$2011,8,FALSE)</f>
        <v>60</v>
      </c>
      <c r="H720" s="6">
        <v>2</v>
      </c>
      <c r="I720" s="6">
        <v>35</v>
      </c>
      <c r="J720" s="3">
        <v>100</v>
      </c>
      <c r="K720" s="57">
        <v>1000</v>
      </c>
      <c r="L720" s="178">
        <v>1</v>
      </c>
      <c r="N720" s="59">
        <f>VLOOKUP(F720,Baupläne!$B$2:$X$1019,23,FALSE)</f>
        <v>82300</v>
      </c>
    </row>
    <row r="721" spans="1:32" x14ac:dyDescent="0.2">
      <c r="A721" s="399"/>
      <c r="B721" s="400"/>
      <c r="C721" s="193"/>
      <c r="D721" s="194"/>
      <c r="E721" s="195"/>
      <c r="F721" s="196"/>
      <c r="G721" s="193"/>
      <c r="H721" s="194"/>
      <c r="I721" s="194"/>
      <c r="J721" s="193"/>
      <c r="K721" s="198"/>
      <c r="L721" s="194"/>
      <c r="M721" s="199"/>
      <c r="N721" s="401"/>
      <c r="O721" s="402"/>
      <c r="P721" s="403"/>
      <c r="Q721" s="404"/>
      <c r="R721" s="405"/>
      <c r="S721" s="404"/>
      <c r="T721" s="406"/>
      <c r="U721" s="404"/>
      <c r="V721" s="404"/>
      <c r="W721" s="407"/>
      <c r="X721" s="408"/>
      <c r="Y721" s="409"/>
      <c r="Z721" s="403"/>
      <c r="AA721" s="405"/>
      <c r="AB721" s="405"/>
      <c r="AC721" s="410"/>
      <c r="AD721" s="410"/>
      <c r="AE721" s="410"/>
      <c r="AF721" s="411"/>
    </row>
    <row r="722" spans="1:32" x14ac:dyDescent="0.2">
      <c r="A722" s="412">
        <f t="shared" si="46"/>
        <v>3181</v>
      </c>
      <c r="B722" s="132" t="s">
        <v>818</v>
      </c>
      <c r="D722" s="6">
        <f>VLOOKUP(F722,Baupläne!$A$2:$I$2011,9,FALSE)</f>
        <v>3</v>
      </c>
      <c r="E722" s="7" t="s">
        <v>781</v>
      </c>
      <c r="F722" s="8">
        <v>2181</v>
      </c>
      <c r="G722" s="1">
        <f>VLOOKUP(F722,Baupläne!$A$2:$I$2011,8,FALSE)</f>
        <v>64</v>
      </c>
      <c r="H722" s="6">
        <v>2</v>
      </c>
      <c r="I722" s="6">
        <v>35</v>
      </c>
      <c r="J722" s="3">
        <v>100</v>
      </c>
      <c r="K722" s="57">
        <v>1000</v>
      </c>
      <c r="L722" s="178">
        <v>1</v>
      </c>
      <c r="N722" s="59">
        <f>VLOOKUP(F722,Baupläne!$B$2:$X$1019,23,FALSE)</f>
        <v>5500</v>
      </c>
    </row>
    <row r="723" spans="1:32" x14ac:dyDescent="0.2">
      <c r="A723" s="412">
        <f t="shared" si="46"/>
        <v>3182</v>
      </c>
      <c r="B723" s="132" t="s">
        <v>819</v>
      </c>
      <c r="D723" s="6">
        <f>VLOOKUP(F723,Baupläne!$A$2:$I$2011,9,FALSE)</f>
        <v>8</v>
      </c>
      <c r="E723" s="7" t="s">
        <v>781</v>
      </c>
      <c r="F723" s="8">
        <v>2182</v>
      </c>
      <c r="G723" s="1">
        <f>VLOOKUP(F723,Baupläne!$A$2:$I$2011,8,FALSE)</f>
        <v>64</v>
      </c>
      <c r="H723" s="6">
        <v>2</v>
      </c>
      <c r="I723" s="6">
        <v>35</v>
      </c>
      <c r="J723" s="3">
        <v>100</v>
      </c>
      <c r="K723" s="57">
        <v>1000</v>
      </c>
      <c r="L723" s="178">
        <v>1</v>
      </c>
      <c r="N723" s="59">
        <f>VLOOKUP(F723,Baupläne!$B$2:$X$1019,23,FALSE)</f>
        <v>11100</v>
      </c>
    </row>
    <row r="724" spans="1:32" x14ac:dyDescent="0.2">
      <c r="A724" s="412">
        <f t="shared" si="46"/>
        <v>3183</v>
      </c>
      <c r="B724" s="132" t="s">
        <v>820</v>
      </c>
      <c r="D724" s="6">
        <f>VLOOKUP(F724,Baupläne!$A$2:$I$2011,9,FALSE)</f>
        <v>13</v>
      </c>
      <c r="E724" s="7" t="s">
        <v>781</v>
      </c>
      <c r="F724" s="8">
        <v>2183</v>
      </c>
      <c r="G724" s="1">
        <f>VLOOKUP(F724,Baupläne!$A$2:$I$2011,8,FALSE)</f>
        <v>64</v>
      </c>
      <c r="H724" s="6">
        <v>2</v>
      </c>
      <c r="I724" s="6">
        <v>35</v>
      </c>
      <c r="J724" s="3">
        <v>100</v>
      </c>
      <c r="K724" s="57">
        <v>1000</v>
      </c>
      <c r="L724" s="178">
        <v>1</v>
      </c>
      <c r="N724" s="59">
        <f>VLOOKUP(F724,Baupläne!$B$2:$X$1019,23,FALSE)</f>
        <v>22300</v>
      </c>
    </row>
    <row r="725" spans="1:32" x14ac:dyDescent="0.2">
      <c r="A725" s="412">
        <f t="shared" si="46"/>
        <v>3184</v>
      </c>
      <c r="B725" s="132" t="s">
        <v>821</v>
      </c>
      <c r="D725" s="6">
        <f>VLOOKUP(F725,Baupläne!$A$2:$I$2011,9,FALSE)</f>
        <v>18</v>
      </c>
      <c r="E725" s="7" t="s">
        <v>781</v>
      </c>
      <c r="F725" s="8">
        <v>2184</v>
      </c>
      <c r="G725" s="1">
        <f>VLOOKUP(F725,Baupläne!$A$2:$I$2011,8,FALSE)</f>
        <v>64</v>
      </c>
      <c r="H725" s="6">
        <v>2</v>
      </c>
      <c r="I725" s="6">
        <v>35</v>
      </c>
      <c r="J725" s="3">
        <v>100</v>
      </c>
      <c r="K725" s="57">
        <v>1000</v>
      </c>
      <c r="L725" s="178">
        <v>1</v>
      </c>
      <c r="N725" s="59">
        <f>VLOOKUP(F725,Baupläne!$B$2:$X$1019,23,FALSE)</f>
        <v>42300</v>
      </c>
    </row>
    <row r="726" spans="1:32" x14ac:dyDescent="0.2">
      <c r="A726" s="412">
        <f t="shared" si="46"/>
        <v>3185</v>
      </c>
      <c r="B726" s="132" t="s">
        <v>822</v>
      </c>
      <c r="D726" s="6">
        <f>VLOOKUP(F726,Baupläne!$A$2:$I$2011,9,FALSE)</f>
        <v>24</v>
      </c>
      <c r="E726" s="7" t="s">
        <v>781</v>
      </c>
      <c r="F726" s="8">
        <v>2185</v>
      </c>
      <c r="G726" s="1">
        <f>VLOOKUP(F726,Baupläne!$A$2:$I$2011,8,FALSE)</f>
        <v>64</v>
      </c>
      <c r="H726" s="6">
        <v>2</v>
      </c>
      <c r="I726" s="6">
        <v>35</v>
      </c>
      <c r="J726" s="3">
        <v>100</v>
      </c>
      <c r="K726" s="57">
        <v>1000</v>
      </c>
      <c r="L726" s="178">
        <v>1</v>
      </c>
      <c r="N726" s="59">
        <f>VLOOKUP(F726,Baupläne!$B$2:$X$1019,23,FALSE)</f>
        <v>82300</v>
      </c>
    </row>
    <row r="727" spans="1:32" x14ac:dyDescent="0.2">
      <c r="A727" s="399"/>
      <c r="B727" s="400"/>
      <c r="C727" s="193"/>
      <c r="D727" s="194"/>
      <c r="E727" s="195"/>
      <c r="F727" s="196"/>
      <c r="G727" s="193"/>
      <c r="H727" s="194"/>
      <c r="I727" s="194"/>
      <c r="J727" s="193"/>
      <c r="K727" s="198"/>
      <c r="L727" s="194"/>
      <c r="M727" s="199"/>
      <c r="N727" s="401"/>
      <c r="O727" s="402"/>
      <c r="P727" s="403"/>
      <c r="Q727" s="404"/>
      <c r="R727" s="405"/>
      <c r="S727" s="404"/>
      <c r="T727" s="406"/>
      <c r="U727" s="404"/>
      <c r="V727" s="404"/>
      <c r="W727" s="407"/>
      <c r="X727" s="408"/>
      <c r="Y727" s="409"/>
      <c r="Z727" s="403"/>
      <c r="AA727" s="405"/>
      <c r="AB727" s="405"/>
      <c r="AC727" s="410"/>
      <c r="AD727" s="410"/>
      <c r="AE727" s="410"/>
      <c r="AF727" s="411"/>
    </row>
    <row r="728" spans="1:32" x14ac:dyDescent="0.2">
      <c r="A728" s="412">
        <f t="shared" si="46"/>
        <v>3191</v>
      </c>
      <c r="B728" s="132" t="s">
        <v>823</v>
      </c>
      <c r="D728" s="6">
        <f>VLOOKUP(F728,Baupläne!$A$2:$I$2011,9,FALSE)</f>
        <v>3</v>
      </c>
      <c r="E728" s="7" t="s">
        <v>781</v>
      </c>
      <c r="F728" s="8">
        <v>2191</v>
      </c>
      <c r="G728" s="1">
        <v>65</v>
      </c>
      <c r="H728" s="6">
        <v>2</v>
      </c>
      <c r="I728" s="6">
        <v>35</v>
      </c>
      <c r="J728" s="3">
        <v>100</v>
      </c>
      <c r="K728" s="57">
        <v>1000</v>
      </c>
      <c r="L728" s="178">
        <v>1</v>
      </c>
      <c r="N728" s="59">
        <f>VLOOKUP(F728,Baupläne!$B$2:$X$1019,23,FALSE)</f>
        <v>5500</v>
      </c>
    </row>
    <row r="729" spans="1:32" x14ac:dyDescent="0.2">
      <c r="A729" s="412">
        <f t="shared" si="46"/>
        <v>3192</v>
      </c>
      <c r="B729" s="132" t="s">
        <v>824</v>
      </c>
      <c r="D729" s="6">
        <f>VLOOKUP(F729,Baupläne!$A$2:$I$2011,9,FALSE)</f>
        <v>8</v>
      </c>
      <c r="E729" s="7" t="s">
        <v>781</v>
      </c>
      <c r="F729" s="8">
        <v>2192</v>
      </c>
      <c r="G729" s="1">
        <v>65</v>
      </c>
      <c r="H729" s="6">
        <v>2</v>
      </c>
      <c r="I729" s="6">
        <v>35</v>
      </c>
      <c r="J729" s="3">
        <v>100</v>
      </c>
      <c r="K729" s="57">
        <v>1000</v>
      </c>
      <c r="L729" s="178">
        <v>1</v>
      </c>
      <c r="N729" s="59">
        <f>VLOOKUP(F729,Baupläne!$B$2:$X$1019,23,FALSE)</f>
        <v>11100</v>
      </c>
    </row>
    <row r="730" spans="1:32" x14ac:dyDescent="0.2">
      <c r="A730" s="412">
        <f t="shared" si="46"/>
        <v>3193</v>
      </c>
      <c r="B730" s="132" t="s">
        <v>825</v>
      </c>
      <c r="D730" s="6">
        <f>VLOOKUP(F730,Baupläne!$A$2:$I$2011,9,FALSE)</f>
        <v>13</v>
      </c>
      <c r="E730" s="7" t="s">
        <v>781</v>
      </c>
      <c r="F730" s="8">
        <v>2193</v>
      </c>
      <c r="G730" s="1">
        <v>65</v>
      </c>
      <c r="H730" s="6">
        <v>2</v>
      </c>
      <c r="I730" s="6">
        <v>35</v>
      </c>
      <c r="J730" s="3">
        <v>100</v>
      </c>
      <c r="K730" s="57">
        <v>1000</v>
      </c>
      <c r="L730" s="178">
        <v>1</v>
      </c>
      <c r="N730" s="59">
        <f>VLOOKUP(F730,Baupläne!$B$2:$X$1019,23,FALSE)</f>
        <v>22300</v>
      </c>
    </row>
    <row r="731" spans="1:32" x14ac:dyDescent="0.2">
      <c r="A731" s="412">
        <f t="shared" si="46"/>
        <v>3194</v>
      </c>
      <c r="B731" s="132" t="s">
        <v>826</v>
      </c>
      <c r="D731" s="6">
        <f>VLOOKUP(F731,Baupläne!$A$2:$I$2011,9,FALSE)</f>
        <v>18</v>
      </c>
      <c r="E731" s="7" t="s">
        <v>781</v>
      </c>
      <c r="F731" s="8">
        <v>2194</v>
      </c>
      <c r="G731" s="1">
        <v>65</v>
      </c>
      <c r="H731" s="6">
        <v>2</v>
      </c>
      <c r="I731" s="6">
        <v>35</v>
      </c>
      <c r="J731" s="3">
        <v>100</v>
      </c>
      <c r="K731" s="57">
        <v>1000</v>
      </c>
      <c r="L731" s="178">
        <v>1</v>
      </c>
      <c r="N731" s="59">
        <f>VLOOKUP(F731,Baupläne!$B$2:$X$1019,23,FALSE)</f>
        <v>42300</v>
      </c>
    </row>
    <row r="732" spans="1:32" x14ac:dyDescent="0.2">
      <c r="A732" s="412">
        <f t="shared" si="46"/>
        <v>3195</v>
      </c>
      <c r="B732" s="132" t="s">
        <v>827</v>
      </c>
      <c r="D732" s="6">
        <f>VLOOKUP(F732,Baupläne!$A$2:$I$2011,9,FALSE)</f>
        <v>24</v>
      </c>
      <c r="E732" s="7" t="s">
        <v>781</v>
      </c>
      <c r="F732" s="8">
        <v>2195</v>
      </c>
      <c r="G732" s="1">
        <v>65</v>
      </c>
      <c r="H732" s="6">
        <v>2</v>
      </c>
      <c r="I732" s="6">
        <v>35</v>
      </c>
      <c r="J732" s="3">
        <v>100</v>
      </c>
      <c r="K732" s="57">
        <v>1000</v>
      </c>
      <c r="L732" s="178">
        <v>1</v>
      </c>
      <c r="N732" s="59">
        <f>VLOOKUP(F732,Baupläne!$B$2:$X$1019,23,FALSE)</f>
        <v>82300</v>
      </c>
    </row>
    <row r="733" spans="1:32" x14ac:dyDescent="0.2">
      <c r="A733" s="399"/>
      <c r="B733" s="400"/>
      <c r="C733" s="193"/>
      <c r="D733" s="194"/>
      <c r="E733" s="195"/>
      <c r="F733" s="196"/>
      <c r="G733" s="193"/>
      <c r="H733" s="194"/>
      <c r="I733" s="194"/>
      <c r="J733" s="193"/>
      <c r="K733" s="198"/>
      <c r="L733" s="194"/>
      <c r="M733" s="199"/>
      <c r="N733" s="401"/>
      <c r="O733" s="402"/>
      <c r="P733" s="403"/>
      <c r="Q733" s="404"/>
      <c r="R733" s="405"/>
      <c r="S733" s="404"/>
      <c r="T733" s="406"/>
      <c r="U733" s="404"/>
      <c r="V733" s="404"/>
      <c r="W733" s="407"/>
      <c r="X733" s="408"/>
      <c r="Y733" s="409"/>
      <c r="Z733" s="403"/>
      <c r="AA733" s="405"/>
      <c r="AB733" s="405"/>
      <c r="AC733" s="410"/>
      <c r="AD733" s="410"/>
      <c r="AE733" s="410"/>
      <c r="AF733" s="411"/>
    </row>
    <row r="734" spans="1:32" x14ac:dyDescent="0.2">
      <c r="A734" s="412">
        <f t="shared" si="46"/>
        <v>3201</v>
      </c>
      <c r="B734" s="132" t="s">
        <v>828</v>
      </c>
      <c r="D734" s="6">
        <f>VLOOKUP(F734,Baupläne!$A$2:$I$2011,9,FALSE)</f>
        <v>3</v>
      </c>
      <c r="E734" s="7" t="s">
        <v>781</v>
      </c>
      <c r="F734" s="8">
        <v>2201</v>
      </c>
      <c r="G734" s="1">
        <f>VLOOKUP(F734,Baupläne!$A$2:$I$2011,8,FALSE)</f>
        <v>66</v>
      </c>
      <c r="H734" s="6">
        <v>2</v>
      </c>
      <c r="I734" s="6">
        <v>35</v>
      </c>
      <c r="J734" s="3">
        <v>100</v>
      </c>
      <c r="K734" s="57">
        <v>1000</v>
      </c>
      <c r="L734" s="178">
        <v>1</v>
      </c>
      <c r="N734" s="59">
        <f>VLOOKUP(F734,Baupläne!$B$2:$X$1019,23,FALSE)</f>
        <v>2000</v>
      </c>
    </row>
    <row r="735" spans="1:32" x14ac:dyDescent="0.2">
      <c r="A735" s="412">
        <f t="shared" si="46"/>
        <v>3202</v>
      </c>
      <c r="B735" s="132" t="s">
        <v>829</v>
      </c>
      <c r="D735" s="6">
        <f>VLOOKUP(F735,Baupläne!$A$2:$I$2011,9,FALSE)</f>
        <v>3</v>
      </c>
      <c r="E735" s="7" t="s">
        <v>781</v>
      </c>
      <c r="F735" s="8">
        <v>2202</v>
      </c>
      <c r="G735" s="1">
        <f>VLOOKUP(F735,Baupläne!$A$2:$I$2011,8,FALSE)</f>
        <v>66</v>
      </c>
      <c r="H735" s="6">
        <v>2</v>
      </c>
      <c r="I735" s="6">
        <v>35</v>
      </c>
      <c r="J735" s="3">
        <v>100</v>
      </c>
      <c r="K735" s="57">
        <v>1000</v>
      </c>
      <c r="L735" s="178">
        <v>1</v>
      </c>
      <c r="N735" s="59">
        <f>VLOOKUP(F735,Baupläne!$B$2:$X$1019,23,FALSE)</f>
        <v>2800</v>
      </c>
    </row>
    <row r="736" spans="1:32" x14ac:dyDescent="0.2">
      <c r="A736" s="412">
        <f t="shared" si="46"/>
        <v>3203</v>
      </c>
      <c r="B736" s="132" t="s">
        <v>830</v>
      </c>
      <c r="D736" s="6">
        <f>VLOOKUP(F736,Baupläne!$A$2:$I$2011,9,FALSE)</f>
        <v>4</v>
      </c>
      <c r="E736" s="7" t="s">
        <v>781</v>
      </c>
      <c r="F736" s="8">
        <v>2203</v>
      </c>
      <c r="G736" s="1">
        <f>VLOOKUP(F736,Baupläne!$A$2:$I$2011,8,FALSE)</f>
        <v>66</v>
      </c>
      <c r="H736" s="6">
        <v>2</v>
      </c>
      <c r="I736" s="6">
        <v>35</v>
      </c>
      <c r="J736" s="3">
        <v>100</v>
      </c>
      <c r="K736" s="57">
        <v>1000</v>
      </c>
      <c r="L736" s="178">
        <v>1</v>
      </c>
      <c r="N736" s="59">
        <f>VLOOKUP(F736,Baupläne!$B$2:$X$1019,23,FALSE)</f>
        <v>1800</v>
      </c>
    </row>
    <row r="737" spans="1:14" x14ac:dyDescent="0.2">
      <c r="A737" s="412">
        <f t="shared" si="46"/>
        <v>3204</v>
      </c>
      <c r="B737" s="132" t="s">
        <v>831</v>
      </c>
      <c r="D737" s="6">
        <f>VLOOKUP(F737,Baupläne!$A$2:$I$2011,9,FALSE)</f>
        <v>4</v>
      </c>
      <c r="E737" s="7" t="s">
        <v>781</v>
      </c>
      <c r="F737" s="8">
        <v>2204</v>
      </c>
      <c r="G737" s="1">
        <f>VLOOKUP(F737,Baupläne!$A$2:$I$2011,8,FALSE)</f>
        <v>66</v>
      </c>
      <c r="H737" s="6">
        <v>2</v>
      </c>
      <c r="I737" s="6">
        <v>35</v>
      </c>
      <c r="J737" s="3">
        <v>100</v>
      </c>
      <c r="K737" s="57">
        <v>1000</v>
      </c>
      <c r="L737" s="178">
        <v>1</v>
      </c>
      <c r="N737" s="59">
        <f>VLOOKUP(F737,Baupläne!$B$2:$X$1019,23,FALSE)</f>
        <v>2200</v>
      </c>
    </row>
    <row r="738" spans="1:14" x14ac:dyDescent="0.2">
      <c r="A738" s="412">
        <f t="shared" si="46"/>
        <v>3205</v>
      </c>
      <c r="B738" s="413" t="s">
        <v>832</v>
      </c>
      <c r="D738" s="6">
        <f>VLOOKUP(F738,Baupläne!$A$2:$I$2011,9,FALSE)</f>
        <v>4</v>
      </c>
      <c r="E738" s="7" t="s">
        <v>781</v>
      </c>
      <c r="F738" s="8">
        <v>2205</v>
      </c>
      <c r="G738" s="1">
        <f>VLOOKUP(F738,Baupläne!$A$2:$I$2011,8,FALSE)</f>
        <v>66</v>
      </c>
      <c r="H738" s="6">
        <v>2</v>
      </c>
      <c r="I738" s="6">
        <v>35</v>
      </c>
      <c r="J738" s="3">
        <v>100</v>
      </c>
      <c r="K738" s="57">
        <v>1000</v>
      </c>
      <c r="L738" s="178">
        <v>1</v>
      </c>
      <c r="N738" s="59">
        <f>VLOOKUP(F738,Baupläne!$B$2:$X$1019,23,FALSE)</f>
        <v>1800</v>
      </c>
    </row>
    <row r="739" spans="1:14" x14ac:dyDescent="0.2">
      <c r="A739" s="412">
        <f t="shared" si="46"/>
        <v>3211</v>
      </c>
      <c r="B739" s="132" t="s">
        <v>833</v>
      </c>
      <c r="D739" s="6">
        <f>VLOOKUP(F739,Baupläne!$A$2:$I$2011,9,FALSE)</f>
        <v>8</v>
      </c>
      <c r="E739" s="7" t="s">
        <v>781</v>
      </c>
      <c r="F739" s="8">
        <v>2211</v>
      </c>
      <c r="G739" s="1">
        <f>VLOOKUP(F739,Baupläne!$A$2:$I$2011,8,FALSE)</f>
        <v>66</v>
      </c>
      <c r="H739" s="6">
        <v>2</v>
      </c>
      <c r="I739" s="6">
        <v>35</v>
      </c>
      <c r="J739" s="3">
        <v>100</v>
      </c>
      <c r="K739" s="57">
        <v>1000</v>
      </c>
      <c r="L739" s="178">
        <v>1</v>
      </c>
      <c r="N739" s="59">
        <f>VLOOKUP(F739,Baupläne!$B$2:$X$1019,23,FALSE)</f>
        <v>4100</v>
      </c>
    </row>
    <row r="740" spans="1:14" x14ac:dyDescent="0.2">
      <c r="A740" s="412">
        <f t="shared" si="46"/>
        <v>3212</v>
      </c>
      <c r="B740" s="132" t="s">
        <v>834</v>
      </c>
      <c r="D740" s="6">
        <f>VLOOKUP(F740,Baupläne!$A$2:$I$2011,9,FALSE)</f>
        <v>8</v>
      </c>
      <c r="E740" s="7" t="s">
        <v>781</v>
      </c>
      <c r="F740" s="8">
        <v>2212</v>
      </c>
      <c r="G740" s="1">
        <f>VLOOKUP(F740,Baupläne!$A$2:$I$2011,8,FALSE)</f>
        <v>66</v>
      </c>
      <c r="H740" s="6">
        <v>2</v>
      </c>
      <c r="I740" s="6">
        <v>35</v>
      </c>
      <c r="J740" s="3">
        <v>100</v>
      </c>
      <c r="K740" s="57">
        <v>1000</v>
      </c>
      <c r="L740" s="178">
        <v>1</v>
      </c>
      <c r="N740" s="59">
        <f>VLOOKUP(F740,Baupläne!$B$2:$X$1019,23,FALSE)</f>
        <v>5600</v>
      </c>
    </row>
    <row r="741" spans="1:14" x14ac:dyDescent="0.2">
      <c r="A741" s="412">
        <f t="shared" si="46"/>
        <v>3213</v>
      </c>
      <c r="B741" s="132" t="s">
        <v>835</v>
      </c>
      <c r="D741" s="6">
        <f>VLOOKUP(F741,Baupläne!$A$2:$I$2011,9,FALSE)</f>
        <v>9</v>
      </c>
      <c r="E741" s="7" t="s">
        <v>781</v>
      </c>
      <c r="F741" s="8">
        <v>2213</v>
      </c>
      <c r="G741" s="1">
        <f>VLOOKUP(F741,Baupläne!$A$2:$I$2011,8,FALSE)</f>
        <v>66</v>
      </c>
      <c r="H741" s="6">
        <v>2</v>
      </c>
      <c r="I741" s="6">
        <v>35</v>
      </c>
      <c r="J741" s="3">
        <v>100</v>
      </c>
      <c r="K741" s="57">
        <v>1000</v>
      </c>
      <c r="L741" s="178">
        <v>1</v>
      </c>
      <c r="N741" s="59">
        <f>VLOOKUP(F741,Baupläne!$B$2:$X$1019,23,FALSE)</f>
        <v>3600</v>
      </c>
    </row>
    <row r="742" spans="1:14" x14ac:dyDescent="0.2">
      <c r="A742" s="412">
        <f t="shared" ref="A742:A805" si="47">F742+1000</f>
        <v>3214</v>
      </c>
      <c r="B742" s="132" t="s">
        <v>836</v>
      </c>
      <c r="D742" s="6">
        <f>VLOOKUP(F742,Baupläne!$A$2:$I$2011,9,FALSE)</f>
        <v>9</v>
      </c>
      <c r="E742" s="7" t="s">
        <v>781</v>
      </c>
      <c r="F742" s="8">
        <v>2214</v>
      </c>
      <c r="G742" s="1">
        <f>VLOOKUP(F742,Baupläne!$A$2:$I$2011,8,FALSE)</f>
        <v>66</v>
      </c>
      <c r="H742" s="6">
        <v>2</v>
      </c>
      <c r="I742" s="6">
        <v>35</v>
      </c>
      <c r="J742" s="3">
        <v>100</v>
      </c>
      <c r="K742" s="57">
        <v>1000</v>
      </c>
      <c r="L742" s="178">
        <v>1</v>
      </c>
      <c r="N742" s="59">
        <f>VLOOKUP(F742,Baupläne!$B$2:$X$1019,23,FALSE)</f>
        <v>4500</v>
      </c>
    </row>
    <row r="743" spans="1:14" x14ac:dyDescent="0.2">
      <c r="A743" s="412">
        <f t="shared" si="47"/>
        <v>3215</v>
      </c>
      <c r="B743" s="413" t="s">
        <v>837</v>
      </c>
      <c r="D743" s="6">
        <f>VLOOKUP(F743,Baupläne!$A$2:$I$2011,9,FALSE)</f>
        <v>9</v>
      </c>
      <c r="E743" s="7" t="s">
        <v>781</v>
      </c>
      <c r="F743" s="8">
        <v>2215</v>
      </c>
      <c r="G743" s="1">
        <f>VLOOKUP(F743,Baupläne!$A$2:$I$2011,8,FALSE)</f>
        <v>66</v>
      </c>
      <c r="H743" s="6">
        <v>2</v>
      </c>
      <c r="I743" s="6">
        <v>35</v>
      </c>
      <c r="J743" s="3">
        <v>100</v>
      </c>
      <c r="K743" s="57">
        <v>1000</v>
      </c>
      <c r="L743" s="178">
        <v>1</v>
      </c>
      <c r="N743" s="59">
        <f>VLOOKUP(F743,Baupläne!$B$2:$X$1019,23,FALSE)</f>
        <v>3600</v>
      </c>
    </row>
    <row r="744" spans="1:14" x14ac:dyDescent="0.2">
      <c r="A744" s="412">
        <f t="shared" si="47"/>
        <v>3221</v>
      </c>
      <c r="B744" s="132" t="s">
        <v>838</v>
      </c>
      <c r="D744" s="6">
        <f>VLOOKUP(F744,Baupläne!$A$2:$I$2011,9,FALSE)</f>
        <v>13</v>
      </c>
      <c r="E744" s="7" t="s">
        <v>781</v>
      </c>
      <c r="F744" s="8">
        <v>2221</v>
      </c>
      <c r="G744" s="1">
        <f>VLOOKUP(F744,Baupläne!$A$2:$I$2011,8,FALSE)</f>
        <v>66</v>
      </c>
      <c r="H744" s="6">
        <v>2</v>
      </c>
      <c r="I744" s="6">
        <v>35</v>
      </c>
      <c r="J744" s="3">
        <v>100</v>
      </c>
      <c r="K744" s="57">
        <v>1000</v>
      </c>
      <c r="L744" s="178">
        <v>1</v>
      </c>
      <c r="N744" s="59">
        <f>VLOOKUP(F744,Baupläne!$B$2:$X$1019,23,FALSE)</f>
        <v>8200</v>
      </c>
    </row>
    <row r="745" spans="1:14" x14ac:dyDescent="0.2">
      <c r="A745" s="412">
        <f t="shared" si="47"/>
        <v>3222</v>
      </c>
      <c r="B745" s="132" t="s">
        <v>839</v>
      </c>
      <c r="D745" s="6">
        <f>VLOOKUP(F745,Baupläne!$A$2:$I$2011,9,FALSE)</f>
        <v>13</v>
      </c>
      <c r="E745" s="7" t="s">
        <v>781</v>
      </c>
      <c r="F745" s="8">
        <v>2222</v>
      </c>
      <c r="G745" s="1">
        <f>VLOOKUP(F745,Baupläne!$A$2:$I$2011,8,FALSE)</f>
        <v>66</v>
      </c>
      <c r="H745" s="6">
        <v>2</v>
      </c>
      <c r="I745" s="6">
        <v>35</v>
      </c>
      <c r="J745" s="3">
        <v>100</v>
      </c>
      <c r="K745" s="57">
        <v>1000</v>
      </c>
      <c r="L745" s="178">
        <v>1</v>
      </c>
      <c r="N745" s="59">
        <f>VLOOKUP(F745,Baupläne!$B$2:$X$1019,23,FALSE)</f>
        <v>11200</v>
      </c>
    </row>
    <row r="746" spans="1:14" x14ac:dyDescent="0.2">
      <c r="A746" s="412">
        <f t="shared" si="47"/>
        <v>3223</v>
      </c>
      <c r="B746" s="132" t="s">
        <v>840</v>
      </c>
      <c r="D746" s="6">
        <f>VLOOKUP(F746,Baupläne!$A$2:$I$2011,9,FALSE)</f>
        <v>14</v>
      </c>
      <c r="E746" s="7" t="s">
        <v>781</v>
      </c>
      <c r="F746" s="8">
        <v>2223</v>
      </c>
      <c r="G746" s="1">
        <f>VLOOKUP(F746,Baupläne!$A$2:$I$2011,8,FALSE)</f>
        <v>66</v>
      </c>
      <c r="H746" s="6">
        <v>2</v>
      </c>
      <c r="I746" s="6">
        <v>35</v>
      </c>
      <c r="J746" s="3">
        <v>100</v>
      </c>
      <c r="K746" s="57">
        <v>1000</v>
      </c>
      <c r="L746" s="178">
        <v>1</v>
      </c>
      <c r="N746" s="59">
        <f>VLOOKUP(F746,Baupläne!$B$2:$X$1019,23,FALSE)</f>
        <v>7300</v>
      </c>
    </row>
    <row r="747" spans="1:14" x14ac:dyDescent="0.2">
      <c r="A747" s="412">
        <f t="shared" si="47"/>
        <v>3224</v>
      </c>
      <c r="B747" s="132" t="s">
        <v>841</v>
      </c>
      <c r="D747" s="6">
        <f>VLOOKUP(F747,Baupläne!$A$2:$I$2011,9,FALSE)</f>
        <v>14</v>
      </c>
      <c r="E747" s="7" t="s">
        <v>781</v>
      </c>
      <c r="F747" s="8">
        <v>2224</v>
      </c>
      <c r="G747" s="1">
        <f>VLOOKUP(F747,Baupläne!$A$2:$I$2011,8,FALSE)</f>
        <v>66</v>
      </c>
      <c r="H747" s="6">
        <v>2</v>
      </c>
      <c r="I747" s="6">
        <v>35</v>
      </c>
      <c r="J747" s="3">
        <v>100</v>
      </c>
      <c r="K747" s="57">
        <v>1000</v>
      </c>
      <c r="L747" s="178">
        <v>1</v>
      </c>
      <c r="N747" s="59">
        <f>VLOOKUP(F747,Baupläne!$B$2:$X$1019,23,FALSE)</f>
        <v>9100</v>
      </c>
    </row>
    <row r="748" spans="1:14" x14ac:dyDescent="0.2">
      <c r="A748" s="412">
        <f t="shared" si="47"/>
        <v>3225</v>
      </c>
      <c r="B748" s="413" t="s">
        <v>842</v>
      </c>
      <c r="D748" s="6">
        <f>VLOOKUP(F748,Baupläne!$A$2:$I$2011,9,FALSE)</f>
        <v>14</v>
      </c>
      <c r="E748" s="7" t="s">
        <v>781</v>
      </c>
      <c r="F748" s="8">
        <v>2225</v>
      </c>
      <c r="G748" s="1">
        <f>VLOOKUP(F748,Baupläne!$A$2:$I$2011,8,FALSE)</f>
        <v>66</v>
      </c>
      <c r="H748" s="6">
        <v>2</v>
      </c>
      <c r="I748" s="6">
        <v>35</v>
      </c>
      <c r="J748" s="3">
        <v>100</v>
      </c>
      <c r="K748" s="57">
        <v>1000</v>
      </c>
      <c r="L748" s="178">
        <v>1</v>
      </c>
      <c r="N748" s="59">
        <f>VLOOKUP(F748,Baupläne!$B$2:$X$1019,23,FALSE)</f>
        <v>7300</v>
      </c>
    </row>
    <row r="749" spans="1:14" x14ac:dyDescent="0.2">
      <c r="A749" s="412">
        <f t="shared" si="47"/>
        <v>3231</v>
      </c>
      <c r="B749" s="132" t="s">
        <v>843</v>
      </c>
      <c r="D749" s="6">
        <f>VLOOKUP(F749,Baupläne!$A$2:$I$2011,9,FALSE)</f>
        <v>18</v>
      </c>
      <c r="E749" s="7" t="s">
        <v>781</v>
      </c>
      <c r="F749" s="8">
        <v>2231</v>
      </c>
      <c r="G749" s="1">
        <f>VLOOKUP(F749,Baupläne!$A$2:$I$2011,8,FALSE)</f>
        <v>66</v>
      </c>
      <c r="H749" s="6">
        <v>2</v>
      </c>
      <c r="I749" s="6">
        <v>35</v>
      </c>
      <c r="J749" s="3">
        <v>100</v>
      </c>
      <c r="K749" s="57">
        <v>1000</v>
      </c>
      <c r="L749" s="178">
        <v>1</v>
      </c>
      <c r="N749" s="59">
        <f>VLOOKUP(F749,Baupläne!$B$2:$X$1019,23,FALSE)</f>
        <v>15900</v>
      </c>
    </row>
    <row r="750" spans="1:14" x14ac:dyDescent="0.2">
      <c r="A750" s="412">
        <f t="shared" si="47"/>
        <v>3232</v>
      </c>
      <c r="B750" s="132" t="s">
        <v>844</v>
      </c>
      <c r="D750" s="6">
        <f>VLOOKUP(F750,Baupläne!$A$2:$I$2011,9,FALSE)</f>
        <v>18</v>
      </c>
      <c r="E750" s="7" t="s">
        <v>781</v>
      </c>
      <c r="F750" s="8">
        <v>2232</v>
      </c>
      <c r="G750" s="1">
        <f>VLOOKUP(F750,Baupläne!$A$2:$I$2011,8,FALSE)</f>
        <v>66</v>
      </c>
      <c r="H750" s="6">
        <v>2</v>
      </c>
      <c r="I750" s="6">
        <v>35</v>
      </c>
      <c r="J750" s="3">
        <v>100</v>
      </c>
      <c r="K750" s="57">
        <v>1000</v>
      </c>
      <c r="L750" s="178">
        <v>1</v>
      </c>
      <c r="N750" s="59">
        <f>VLOOKUP(F750,Baupläne!$B$2:$X$1019,23,FALSE)</f>
        <v>22100</v>
      </c>
    </row>
    <row r="751" spans="1:14" x14ac:dyDescent="0.2">
      <c r="A751" s="412">
        <f t="shared" si="47"/>
        <v>3233</v>
      </c>
      <c r="B751" s="132" t="s">
        <v>845</v>
      </c>
      <c r="D751" s="6">
        <f>VLOOKUP(F751,Baupläne!$A$2:$I$2011,9,FALSE)</f>
        <v>19</v>
      </c>
      <c r="E751" s="7" t="s">
        <v>781</v>
      </c>
      <c r="F751" s="8">
        <v>2233</v>
      </c>
      <c r="G751" s="1">
        <f>VLOOKUP(F751,Baupläne!$A$2:$I$2011,8,FALSE)</f>
        <v>66</v>
      </c>
      <c r="H751" s="6">
        <v>2</v>
      </c>
      <c r="I751" s="6">
        <v>35</v>
      </c>
      <c r="J751" s="3">
        <v>100</v>
      </c>
      <c r="K751" s="57">
        <v>1000</v>
      </c>
      <c r="L751" s="178">
        <v>1</v>
      </c>
      <c r="N751" s="59">
        <f>VLOOKUP(F751,Baupläne!$B$2:$X$1019,23,FALSE)</f>
        <v>14200</v>
      </c>
    </row>
    <row r="752" spans="1:14" x14ac:dyDescent="0.2">
      <c r="A752" s="412">
        <f t="shared" si="47"/>
        <v>3234</v>
      </c>
      <c r="B752" s="132" t="s">
        <v>846</v>
      </c>
      <c r="D752" s="6">
        <f>VLOOKUP(F752,Baupläne!$A$2:$I$2011,9,FALSE)</f>
        <v>19</v>
      </c>
      <c r="E752" s="7" t="s">
        <v>781</v>
      </c>
      <c r="F752" s="8">
        <v>2234</v>
      </c>
      <c r="G752" s="1">
        <f>VLOOKUP(F752,Baupläne!$A$2:$I$2011,8,FALSE)</f>
        <v>66</v>
      </c>
      <c r="H752" s="6">
        <v>2</v>
      </c>
      <c r="I752" s="6">
        <v>35</v>
      </c>
      <c r="J752" s="3">
        <v>100</v>
      </c>
      <c r="K752" s="57">
        <v>1000</v>
      </c>
      <c r="L752" s="178">
        <v>1</v>
      </c>
      <c r="N752" s="59">
        <f>VLOOKUP(F752,Baupläne!$B$2:$X$1019,23,FALSE)</f>
        <v>17700</v>
      </c>
    </row>
    <row r="753" spans="1:32" x14ac:dyDescent="0.2">
      <c r="A753" s="412">
        <f t="shared" si="47"/>
        <v>3235</v>
      </c>
      <c r="B753" s="413" t="s">
        <v>847</v>
      </c>
      <c r="D753" s="6">
        <f>VLOOKUP(F753,Baupläne!$A$2:$I$2011,9,FALSE)</f>
        <v>19</v>
      </c>
      <c r="E753" s="7" t="s">
        <v>781</v>
      </c>
      <c r="F753" s="8">
        <v>2235</v>
      </c>
      <c r="G753" s="1">
        <f>VLOOKUP(F753,Baupläne!$A$2:$I$2011,8,FALSE)</f>
        <v>66</v>
      </c>
      <c r="H753" s="6">
        <v>2</v>
      </c>
      <c r="I753" s="6">
        <v>35</v>
      </c>
      <c r="J753" s="3">
        <v>100</v>
      </c>
      <c r="K753" s="57">
        <v>1000</v>
      </c>
      <c r="L753" s="178">
        <v>1</v>
      </c>
      <c r="N753" s="59">
        <f>VLOOKUP(F753,Baupläne!$B$2:$X$1019,23,FALSE)</f>
        <v>14200</v>
      </c>
    </row>
    <row r="754" spans="1:32" x14ac:dyDescent="0.2">
      <c r="A754" s="412">
        <f t="shared" si="47"/>
        <v>3241</v>
      </c>
      <c r="B754" s="132" t="s">
        <v>848</v>
      </c>
      <c r="D754" s="6">
        <f>VLOOKUP(F754,Baupläne!$A$2:$I$2011,9,FALSE)</f>
        <v>23</v>
      </c>
      <c r="E754" s="7" t="s">
        <v>781</v>
      </c>
      <c r="F754" s="8">
        <v>2241</v>
      </c>
      <c r="G754" s="1">
        <f>VLOOKUP(F754,Baupläne!$A$2:$I$2011,8,FALSE)</f>
        <v>66</v>
      </c>
      <c r="H754" s="6">
        <v>2</v>
      </c>
      <c r="I754" s="6">
        <v>35</v>
      </c>
      <c r="J754" s="3">
        <v>100</v>
      </c>
      <c r="K754" s="57">
        <v>1000</v>
      </c>
      <c r="L754" s="178">
        <v>1</v>
      </c>
      <c r="N754" s="59">
        <f>VLOOKUP(F754,Baupläne!$B$2:$X$1019,23,FALSE)</f>
        <v>29900</v>
      </c>
    </row>
    <row r="755" spans="1:32" x14ac:dyDescent="0.2">
      <c r="A755" s="412">
        <f t="shared" si="47"/>
        <v>3242</v>
      </c>
      <c r="B755" s="132" t="s">
        <v>849</v>
      </c>
      <c r="D755" s="6">
        <f>VLOOKUP(F755,Baupläne!$A$2:$I$2011,9,FALSE)</f>
        <v>23</v>
      </c>
      <c r="E755" s="7" t="s">
        <v>781</v>
      </c>
      <c r="F755" s="8">
        <v>2242</v>
      </c>
      <c r="G755" s="1">
        <f>VLOOKUP(F755,Baupläne!$A$2:$I$2011,8,FALSE)</f>
        <v>66</v>
      </c>
      <c r="H755" s="6">
        <v>2</v>
      </c>
      <c r="I755" s="6">
        <v>35</v>
      </c>
      <c r="J755" s="3">
        <v>100</v>
      </c>
      <c r="K755" s="57">
        <v>1000</v>
      </c>
      <c r="L755" s="178">
        <v>1</v>
      </c>
      <c r="N755" s="59">
        <f>VLOOKUP(F755,Baupläne!$B$2:$X$1019,23,FALSE)</f>
        <v>42300</v>
      </c>
    </row>
    <row r="756" spans="1:32" x14ac:dyDescent="0.2">
      <c r="A756" s="412">
        <f t="shared" si="47"/>
        <v>3243</v>
      </c>
      <c r="B756" s="132" t="s">
        <v>850</v>
      </c>
      <c r="D756" s="6">
        <f>VLOOKUP(F756,Baupläne!$A$2:$I$2011,9,FALSE)</f>
        <v>24</v>
      </c>
      <c r="E756" s="7" t="s">
        <v>781</v>
      </c>
      <c r="F756" s="8">
        <v>2243</v>
      </c>
      <c r="G756" s="1">
        <f>VLOOKUP(F756,Baupläne!$A$2:$I$2011,8,FALSE)</f>
        <v>66</v>
      </c>
      <c r="H756" s="6">
        <v>2</v>
      </c>
      <c r="I756" s="6">
        <v>35</v>
      </c>
      <c r="J756" s="3">
        <v>100</v>
      </c>
      <c r="K756" s="57">
        <v>1000</v>
      </c>
      <c r="L756" s="178">
        <v>1</v>
      </c>
      <c r="N756" s="59">
        <f>VLOOKUP(F756,Baupläne!$B$2:$X$1019,23,FALSE)</f>
        <v>26500</v>
      </c>
    </row>
    <row r="757" spans="1:32" x14ac:dyDescent="0.2">
      <c r="A757" s="412">
        <f t="shared" si="47"/>
        <v>3244</v>
      </c>
      <c r="B757" s="132" t="s">
        <v>851</v>
      </c>
      <c r="D757" s="6">
        <f>VLOOKUP(F757,Baupläne!$A$2:$I$2011,9,FALSE)</f>
        <v>24</v>
      </c>
      <c r="E757" s="7" t="s">
        <v>781</v>
      </c>
      <c r="F757" s="8">
        <v>2244</v>
      </c>
      <c r="G757" s="1">
        <f>VLOOKUP(F757,Baupläne!$A$2:$I$2011,8,FALSE)</f>
        <v>66</v>
      </c>
      <c r="H757" s="6">
        <v>2</v>
      </c>
      <c r="I757" s="6">
        <v>35</v>
      </c>
      <c r="J757" s="3">
        <v>100</v>
      </c>
      <c r="K757" s="57">
        <v>1000</v>
      </c>
      <c r="L757" s="178">
        <v>1</v>
      </c>
      <c r="N757" s="59">
        <f>VLOOKUP(F757,Baupläne!$B$2:$X$1019,23,FALSE)</f>
        <v>33600</v>
      </c>
    </row>
    <row r="758" spans="1:32" x14ac:dyDescent="0.2">
      <c r="A758" s="412">
        <f t="shared" si="47"/>
        <v>3245</v>
      </c>
      <c r="B758" s="413" t="s">
        <v>852</v>
      </c>
      <c r="D758" s="6">
        <f>VLOOKUP(F758,Baupläne!$A$2:$I$2011,9,FALSE)</f>
        <v>24</v>
      </c>
      <c r="E758" s="7" t="s">
        <v>781</v>
      </c>
      <c r="F758" s="8">
        <v>2245</v>
      </c>
      <c r="G758" s="1">
        <f>VLOOKUP(F758,Baupläne!$A$2:$I$2011,8,FALSE)</f>
        <v>66</v>
      </c>
      <c r="H758" s="6">
        <v>2</v>
      </c>
      <c r="I758" s="6">
        <v>35</v>
      </c>
      <c r="J758" s="3">
        <v>100</v>
      </c>
      <c r="K758" s="57">
        <v>1000</v>
      </c>
      <c r="L758" s="178">
        <v>1</v>
      </c>
      <c r="N758" s="59">
        <f>VLOOKUP(F758,Baupläne!$B$2:$X$1019,23,FALSE)</f>
        <v>26500</v>
      </c>
    </row>
    <row r="759" spans="1:32" x14ac:dyDescent="0.2">
      <c r="A759" s="399"/>
      <c r="B759" s="400"/>
      <c r="C759" s="193"/>
      <c r="D759" s="194"/>
      <c r="E759" s="195"/>
      <c r="F759" s="196"/>
      <c r="G759" s="193"/>
      <c r="H759" s="194"/>
      <c r="I759" s="194"/>
      <c r="J759" s="193"/>
      <c r="K759" s="198"/>
      <c r="L759" s="194"/>
      <c r="M759" s="199"/>
      <c r="N759" s="401"/>
      <c r="O759" s="402"/>
      <c r="P759" s="403"/>
      <c r="Q759" s="404"/>
      <c r="R759" s="405"/>
      <c r="S759" s="404"/>
      <c r="T759" s="406"/>
      <c r="U759" s="404"/>
      <c r="V759" s="404"/>
      <c r="W759" s="407"/>
      <c r="X759" s="408"/>
      <c r="Y759" s="409"/>
      <c r="Z759" s="403"/>
      <c r="AA759" s="405"/>
      <c r="AB759" s="405"/>
      <c r="AC759" s="410"/>
      <c r="AD759" s="410"/>
      <c r="AE759" s="410"/>
      <c r="AF759" s="411"/>
    </row>
    <row r="760" spans="1:32" x14ac:dyDescent="0.2">
      <c r="A760" s="412">
        <f t="shared" si="47"/>
        <v>3301</v>
      </c>
      <c r="B760" s="132" t="s">
        <v>853</v>
      </c>
      <c r="D760" s="6">
        <f>VLOOKUP(F760,Baupläne!$A$2:$I$2011,9,FALSE)</f>
        <v>3</v>
      </c>
      <c r="E760" s="7" t="s">
        <v>781</v>
      </c>
      <c r="F760" s="8">
        <v>2301</v>
      </c>
      <c r="G760" s="1">
        <f>VLOOKUP(F760,Baupläne!$A$2:$I$2011,8,FALSE)</f>
        <v>61</v>
      </c>
      <c r="H760" s="6">
        <v>2</v>
      </c>
      <c r="I760" s="6">
        <v>35</v>
      </c>
      <c r="J760" s="3">
        <v>100</v>
      </c>
      <c r="K760" s="57">
        <v>1000</v>
      </c>
      <c r="L760" s="178">
        <v>1</v>
      </c>
      <c r="N760" s="59">
        <f>VLOOKUP(F760,Baupläne!$B$2:$X$1019,23,FALSE)</f>
        <v>2000</v>
      </c>
    </row>
    <row r="761" spans="1:32" x14ac:dyDescent="0.2">
      <c r="A761" s="412">
        <f t="shared" si="47"/>
        <v>3302</v>
      </c>
      <c r="B761" s="132" t="s">
        <v>854</v>
      </c>
      <c r="D761" s="6">
        <f>VLOOKUP(F761,Baupläne!$A$2:$I$2011,9,FALSE)</f>
        <v>3</v>
      </c>
      <c r="E761" s="7" t="s">
        <v>781</v>
      </c>
      <c r="F761" s="8">
        <v>2302</v>
      </c>
      <c r="G761" s="1">
        <f>VLOOKUP(F761,Baupläne!$A$2:$I$2011,8,FALSE)</f>
        <v>61</v>
      </c>
      <c r="H761" s="6">
        <v>2</v>
      </c>
      <c r="I761" s="6">
        <v>35</v>
      </c>
      <c r="J761" s="3">
        <v>100</v>
      </c>
      <c r="K761" s="57">
        <v>1000</v>
      </c>
      <c r="L761" s="178">
        <v>1</v>
      </c>
      <c r="N761" s="59">
        <f>VLOOKUP(F761,Baupläne!$B$2:$X$1019,23,FALSE)</f>
        <v>2800</v>
      </c>
    </row>
    <row r="762" spans="1:32" x14ac:dyDescent="0.2">
      <c r="A762" s="412">
        <f t="shared" si="47"/>
        <v>3303</v>
      </c>
      <c r="B762" s="132" t="s">
        <v>855</v>
      </c>
      <c r="D762" s="6">
        <f>VLOOKUP(F762,Baupläne!$A$2:$I$2011,9,FALSE)</f>
        <v>4</v>
      </c>
      <c r="E762" s="7" t="s">
        <v>781</v>
      </c>
      <c r="F762" s="8">
        <v>2303</v>
      </c>
      <c r="G762" s="1">
        <f>VLOOKUP(F762,Baupläne!$A$2:$I$2011,8,FALSE)</f>
        <v>61</v>
      </c>
      <c r="H762" s="6">
        <v>2</v>
      </c>
      <c r="I762" s="6">
        <v>35</v>
      </c>
      <c r="J762" s="3">
        <v>100</v>
      </c>
      <c r="K762" s="57">
        <v>1000</v>
      </c>
      <c r="L762" s="178">
        <v>1</v>
      </c>
      <c r="N762" s="59">
        <f>VLOOKUP(F762,Baupläne!$B$2:$X$1019,23,FALSE)</f>
        <v>1800</v>
      </c>
    </row>
    <row r="763" spans="1:32" x14ac:dyDescent="0.2">
      <c r="A763" s="412">
        <f t="shared" si="47"/>
        <v>3304</v>
      </c>
      <c r="B763" s="132" t="s">
        <v>856</v>
      </c>
      <c r="D763" s="6">
        <f>VLOOKUP(F763,Baupläne!$A$2:$I$2011,9,FALSE)</f>
        <v>4</v>
      </c>
      <c r="E763" s="7" t="s">
        <v>781</v>
      </c>
      <c r="F763" s="8">
        <v>2304</v>
      </c>
      <c r="G763" s="1">
        <f>VLOOKUP(F763,Baupläne!$A$2:$I$2011,8,FALSE)</f>
        <v>61</v>
      </c>
      <c r="H763" s="6">
        <v>2</v>
      </c>
      <c r="I763" s="6">
        <v>35</v>
      </c>
      <c r="J763" s="3">
        <v>100</v>
      </c>
      <c r="K763" s="57">
        <v>1000</v>
      </c>
      <c r="L763" s="178">
        <v>1</v>
      </c>
      <c r="N763" s="59">
        <f>VLOOKUP(F763,Baupläne!$B$2:$X$1019,23,FALSE)</f>
        <v>2200</v>
      </c>
    </row>
    <row r="764" spans="1:32" x14ac:dyDescent="0.2">
      <c r="A764" s="412">
        <f t="shared" si="47"/>
        <v>3305</v>
      </c>
      <c r="B764" s="413" t="s">
        <v>857</v>
      </c>
      <c r="D764" s="6">
        <f>VLOOKUP(F764,Baupläne!$A$2:$I$2011,9,FALSE)</f>
        <v>4</v>
      </c>
      <c r="E764" s="7" t="s">
        <v>781</v>
      </c>
      <c r="F764" s="8">
        <v>2305</v>
      </c>
      <c r="G764" s="1">
        <f>VLOOKUP(F764,Baupläne!$A$2:$I$2011,8,FALSE)</f>
        <v>61</v>
      </c>
      <c r="H764" s="6">
        <v>2</v>
      </c>
      <c r="I764" s="6">
        <v>35</v>
      </c>
      <c r="J764" s="3">
        <v>100</v>
      </c>
      <c r="K764" s="57">
        <v>1000</v>
      </c>
      <c r="L764" s="178">
        <v>1</v>
      </c>
      <c r="N764" s="59">
        <f>VLOOKUP(F764,Baupläne!$B$2:$X$1019,23,FALSE)</f>
        <v>1800</v>
      </c>
    </row>
    <row r="765" spans="1:32" x14ac:dyDescent="0.2">
      <c r="A765" s="412">
        <f t="shared" si="47"/>
        <v>3311</v>
      </c>
      <c r="B765" s="132" t="s">
        <v>858</v>
      </c>
      <c r="D765" s="6">
        <f>VLOOKUP(F765,Baupläne!$A$2:$I$2011,9,FALSE)</f>
        <v>8</v>
      </c>
      <c r="E765" s="7" t="s">
        <v>781</v>
      </c>
      <c r="F765" s="8">
        <v>2311</v>
      </c>
      <c r="G765" s="1">
        <f>VLOOKUP(F765,Baupläne!$A$2:$I$2011,8,FALSE)</f>
        <v>61</v>
      </c>
      <c r="H765" s="6">
        <v>2</v>
      </c>
      <c r="I765" s="6">
        <v>35</v>
      </c>
      <c r="J765" s="3">
        <v>100</v>
      </c>
      <c r="K765" s="57">
        <v>1000</v>
      </c>
      <c r="L765" s="178">
        <v>1</v>
      </c>
      <c r="N765" s="59">
        <f>VLOOKUP(F765,Baupläne!$B$2:$X$1019,23,FALSE)</f>
        <v>4100</v>
      </c>
    </row>
    <row r="766" spans="1:32" x14ac:dyDescent="0.2">
      <c r="A766" s="412">
        <f t="shared" si="47"/>
        <v>3312</v>
      </c>
      <c r="B766" s="132" t="s">
        <v>859</v>
      </c>
      <c r="D766" s="6">
        <f>VLOOKUP(F766,Baupläne!$A$2:$I$2011,9,FALSE)</f>
        <v>8</v>
      </c>
      <c r="E766" s="7" t="s">
        <v>781</v>
      </c>
      <c r="F766" s="8">
        <v>2312</v>
      </c>
      <c r="G766" s="1">
        <f>VLOOKUP(F766,Baupläne!$A$2:$I$2011,8,FALSE)</f>
        <v>61</v>
      </c>
      <c r="H766" s="6">
        <v>2</v>
      </c>
      <c r="I766" s="6">
        <v>35</v>
      </c>
      <c r="J766" s="3">
        <v>100</v>
      </c>
      <c r="K766" s="57">
        <v>1000</v>
      </c>
      <c r="L766" s="178">
        <v>1</v>
      </c>
      <c r="N766" s="59">
        <f>VLOOKUP(F766,Baupläne!$B$2:$X$1019,23,FALSE)</f>
        <v>5600</v>
      </c>
    </row>
    <row r="767" spans="1:32" x14ac:dyDescent="0.2">
      <c r="A767" s="412">
        <f t="shared" si="47"/>
        <v>3313</v>
      </c>
      <c r="B767" s="132" t="s">
        <v>860</v>
      </c>
      <c r="D767" s="6">
        <f>VLOOKUP(F767,Baupläne!$A$2:$I$2011,9,FALSE)</f>
        <v>9</v>
      </c>
      <c r="E767" s="7" t="s">
        <v>781</v>
      </c>
      <c r="F767" s="8">
        <v>2313</v>
      </c>
      <c r="G767" s="1">
        <f>VLOOKUP(F767,Baupläne!$A$2:$I$2011,8,FALSE)</f>
        <v>61</v>
      </c>
      <c r="H767" s="6">
        <v>2</v>
      </c>
      <c r="I767" s="6">
        <v>35</v>
      </c>
      <c r="J767" s="3">
        <v>100</v>
      </c>
      <c r="K767" s="57">
        <v>1000</v>
      </c>
      <c r="L767" s="178">
        <v>1</v>
      </c>
      <c r="N767" s="59">
        <f>VLOOKUP(F767,Baupläne!$B$2:$X$1019,23,FALSE)</f>
        <v>3600</v>
      </c>
    </row>
    <row r="768" spans="1:32" x14ac:dyDescent="0.2">
      <c r="A768" s="412">
        <f t="shared" si="47"/>
        <v>3314</v>
      </c>
      <c r="B768" s="132" t="s">
        <v>861</v>
      </c>
      <c r="D768" s="6">
        <f>VLOOKUP(F768,Baupläne!$A$2:$I$2011,9,FALSE)</f>
        <v>9</v>
      </c>
      <c r="E768" s="7" t="s">
        <v>781</v>
      </c>
      <c r="F768" s="8">
        <v>2314</v>
      </c>
      <c r="G768" s="1">
        <f>VLOOKUP(F768,Baupläne!$A$2:$I$2011,8,FALSE)</f>
        <v>61</v>
      </c>
      <c r="H768" s="6">
        <v>2</v>
      </c>
      <c r="I768" s="6">
        <v>35</v>
      </c>
      <c r="J768" s="3">
        <v>100</v>
      </c>
      <c r="K768" s="57">
        <v>1000</v>
      </c>
      <c r="L768" s="178">
        <v>1</v>
      </c>
      <c r="N768" s="59">
        <f>VLOOKUP(F768,Baupläne!$B$2:$X$1019,23,FALSE)</f>
        <v>4500</v>
      </c>
    </row>
    <row r="769" spans="1:14" x14ac:dyDescent="0.2">
      <c r="A769" s="412">
        <f t="shared" si="47"/>
        <v>3315</v>
      </c>
      <c r="B769" s="413" t="s">
        <v>862</v>
      </c>
      <c r="D769" s="6">
        <f>VLOOKUP(F769,Baupläne!$A$2:$I$2011,9,FALSE)</f>
        <v>9</v>
      </c>
      <c r="E769" s="7" t="s">
        <v>781</v>
      </c>
      <c r="F769" s="8">
        <v>2315</v>
      </c>
      <c r="G769" s="1">
        <f>VLOOKUP(F769,Baupläne!$A$2:$I$2011,8,FALSE)</f>
        <v>61</v>
      </c>
      <c r="H769" s="6">
        <v>2</v>
      </c>
      <c r="I769" s="6">
        <v>35</v>
      </c>
      <c r="J769" s="3">
        <v>100</v>
      </c>
      <c r="K769" s="57">
        <v>1000</v>
      </c>
      <c r="L769" s="178">
        <v>1</v>
      </c>
      <c r="N769" s="59">
        <f>VLOOKUP(F769,Baupläne!$B$2:$X$1019,23,FALSE)</f>
        <v>3600</v>
      </c>
    </row>
    <row r="770" spans="1:14" x14ac:dyDescent="0.2">
      <c r="A770" s="412">
        <f t="shared" si="47"/>
        <v>3321</v>
      </c>
      <c r="B770" s="132" t="s">
        <v>863</v>
      </c>
      <c r="D770" s="6">
        <f>VLOOKUP(F770,Baupläne!$A$2:$I$2011,9,FALSE)</f>
        <v>13</v>
      </c>
      <c r="E770" s="7" t="s">
        <v>781</v>
      </c>
      <c r="F770" s="8">
        <v>2321</v>
      </c>
      <c r="G770" s="1">
        <f>VLOOKUP(F770,Baupläne!$A$2:$I$2011,8,FALSE)</f>
        <v>61</v>
      </c>
      <c r="H770" s="6">
        <v>2</v>
      </c>
      <c r="I770" s="6">
        <v>35</v>
      </c>
      <c r="J770" s="3">
        <v>100</v>
      </c>
      <c r="K770" s="57">
        <v>1000</v>
      </c>
      <c r="L770" s="178">
        <v>1</v>
      </c>
      <c r="N770" s="59">
        <f>VLOOKUP(F770,Baupläne!$B$2:$X$1019,23,FALSE)</f>
        <v>8200</v>
      </c>
    </row>
    <row r="771" spans="1:14" x14ac:dyDescent="0.2">
      <c r="A771" s="412">
        <f t="shared" si="47"/>
        <v>3322</v>
      </c>
      <c r="B771" s="132" t="s">
        <v>864</v>
      </c>
      <c r="D771" s="6">
        <f>VLOOKUP(F771,Baupläne!$A$2:$I$2011,9,FALSE)</f>
        <v>13</v>
      </c>
      <c r="E771" s="7" t="s">
        <v>781</v>
      </c>
      <c r="F771" s="8">
        <v>2322</v>
      </c>
      <c r="G771" s="1">
        <f>VLOOKUP(F771,Baupläne!$A$2:$I$2011,8,FALSE)</f>
        <v>61</v>
      </c>
      <c r="H771" s="6">
        <v>2</v>
      </c>
      <c r="I771" s="6">
        <v>35</v>
      </c>
      <c r="J771" s="3">
        <v>100</v>
      </c>
      <c r="K771" s="57">
        <v>1000</v>
      </c>
      <c r="L771" s="178">
        <v>1</v>
      </c>
      <c r="N771" s="59">
        <f>VLOOKUP(F771,Baupläne!$B$2:$X$1019,23,FALSE)</f>
        <v>11200</v>
      </c>
    </row>
    <row r="772" spans="1:14" x14ac:dyDescent="0.2">
      <c r="A772" s="412">
        <f t="shared" si="47"/>
        <v>3323</v>
      </c>
      <c r="B772" s="132" t="s">
        <v>865</v>
      </c>
      <c r="D772" s="6">
        <f>VLOOKUP(F772,Baupläne!$A$2:$I$2011,9,FALSE)</f>
        <v>14</v>
      </c>
      <c r="E772" s="7" t="s">
        <v>781</v>
      </c>
      <c r="F772" s="8">
        <v>2323</v>
      </c>
      <c r="G772" s="1">
        <f>VLOOKUP(F772,Baupläne!$A$2:$I$2011,8,FALSE)</f>
        <v>61</v>
      </c>
      <c r="H772" s="6">
        <v>2</v>
      </c>
      <c r="I772" s="6">
        <v>35</v>
      </c>
      <c r="J772" s="3">
        <v>100</v>
      </c>
      <c r="K772" s="57">
        <v>1000</v>
      </c>
      <c r="L772" s="178">
        <v>1</v>
      </c>
      <c r="N772" s="59">
        <f>VLOOKUP(F772,Baupläne!$B$2:$X$1019,23,FALSE)</f>
        <v>7300</v>
      </c>
    </row>
    <row r="773" spans="1:14" x14ac:dyDescent="0.2">
      <c r="A773" s="412">
        <f t="shared" si="47"/>
        <v>3324</v>
      </c>
      <c r="B773" s="132" t="s">
        <v>866</v>
      </c>
      <c r="D773" s="6">
        <f>VLOOKUP(F773,Baupläne!$A$2:$I$2011,9,FALSE)</f>
        <v>14</v>
      </c>
      <c r="E773" s="7" t="s">
        <v>781</v>
      </c>
      <c r="F773" s="8">
        <v>2324</v>
      </c>
      <c r="G773" s="1">
        <f>VLOOKUP(F773,Baupläne!$A$2:$I$2011,8,FALSE)</f>
        <v>61</v>
      </c>
      <c r="H773" s="6">
        <v>2</v>
      </c>
      <c r="I773" s="6">
        <v>35</v>
      </c>
      <c r="J773" s="3">
        <v>100</v>
      </c>
      <c r="K773" s="57">
        <v>1000</v>
      </c>
      <c r="L773" s="178">
        <v>1</v>
      </c>
      <c r="N773" s="59">
        <f>VLOOKUP(F773,Baupläne!$B$2:$X$1019,23,FALSE)</f>
        <v>9100</v>
      </c>
    </row>
    <row r="774" spans="1:14" x14ac:dyDescent="0.2">
      <c r="A774" s="412">
        <f t="shared" si="47"/>
        <v>3325</v>
      </c>
      <c r="B774" s="413" t="s">
        <v>867</v>
      </c>
      <c r="D774" s="6">
        <f>VLOOKUP(F774,Baupläne!$A$2:$I$2011,9,FALSE)</f>
        <v>14</v>
      </c>
      <c r="E774" s="7" t="s">
        <v>781</v>
      </c>
      <c r="F774" s="8">
        <v>2325</v>
      </c>
      <c r="G774" s="1">
        <f>VLOOKUP(F774,Baupläne!$A$2:$I$2011,8,FALSE)</f>
        <v>61</v>
      </c>
      <c r="H774" s="6">
        <v>2</v>
      </c>
      <c r="I774" s="6">
        <v>35</v>
      </c>
      <c r="J774" s="3">
        <v>100</v>
      </c>
      <c r="K774" s="57">
        <v>1000</v>
      </c>
      <c r="L774" s="178">
        <v>1</v>
      </c>
      <c r="N774" s="59">
        <f>VLOOKUP(F774,Baupläne!$B$2:$X$1019,23,FALSE)</f>
        <v>7300</v>
      </c>
    </row>
    <row r="775" spans="1:14" x14ac:dyDescent="0.2">
      <c r="A775" s="412">
        <f t="shared" si="47"/>
        <v>3331</v>
      </c>
      <c r="B775" s="132" t="s">
        <v>868</v>
      </c>
      <c r="D775" s="6">
        <f>VLOOKUP(F775,Baupläne!$A$2:$I$2011,9,FALSE)</f>
        <v>18</v>
      </c>
      <c r="E775" s="7" t="s">
        <v>781</v>
      </c>
      <c r="F775" s="8">
        <v>2331</v>
      </c>
      <c r="G775" s="1">
        <f>VLOOKUP(F775,Baupläne!$A$2:$I$2011,8,FALSE)</f>
        <v>61</v>
      </c>
      <c r="H775" s="6">
        <v>2</v>
      </c>
      <c r="I775" s="6">
        <v>35</v>
      </c>
      <c r="J775" s="3">
        <v>100</v>
      </c>
      <c r="K775" s="57">
        <v>1000</v>
      </c>
      <c r="L775" s="178">
        <v>1</v>
      </c>
      <c r="N775" s="59">
        <f>VLOOKUP(F775,Baupläne!$B$2:$X$1019,23,FALSE)</f>
        <v>15900</v>
      </c>
    </row>
    <row r="776" spans="1:14" x14ac:dyDescent="0.2">
      <c r="A776" s="412">
        <f t="shared" si="47"/>
        <v>3332</v>
      </c>
      <c r="B776" s="132" t="s">
        <v>869</v>
      </c>
      <c r="D776" s="6">
        <f>VLOOKUP(F776,Baupläne!$A$2:$I$2011,9,FALSE)</f>
        <v>18</v>
      </c>
      <c r="E776" s="7" t="s">
        <v>781</v>
      </c>
      <c r="F776" s="8">
        <v>2332</v>
      </c>
      <c r="G776" s="1">
        <f>VLOOKUP(F776,Baupläne!$A$2:$I$2011,8,FALSE)</f>
        <v>61</v>
      </c>
      <c r="H776" s="6">
        <v>2</v>
      </c>
      <c r="I776" s="6">
        <v>35</v>
      </c>
      <c r="J776" s="3">
        <v>100</v>
      </c>
      <c r="K776" s="57">
        <v>1000</v>
      </c>
      <c r="L776" s="178">
        <v>1</v>
      </c>
      <c r="N776" s="59">
        <f>VLOOKUP(F776,Baupläne!$B$2:$X$1019,23,FALSE)</f>
        <v>22100</v>
      </c>
    </row>
    <row r="777" spans="1:14" x14ac:dyDescent="0.2">
      <c r="A777" s="412">
        <f t="shared" si="47"/>
        <v>3333</v>
      </c>
      <c r="B777" s="132" t="s">
        <v>870</v>
      </c>
      <c r="D777" s="6">
        <f>VLOOKUP(F777,Baupläne!$A$2:$I$2011,9,FALSE)</f>
        <v>19</v>
      </c>
      <c r="E777" s="7" t="s">
        <v>781</v>
      </c>
      <c r="F777" s="8">
        <v>2333</v>
      </c>
      <c r="G777" s="1">
        <f>VLOOKUP(F777,Baupläne!$A$2:$I$2011,8,FALSE)</f>
        <v>61</v>
      </c>
      <c r="H777" s="6">
        <v>2</v>
      </c>
      <c r="I777" s="6">
        <v>35</v>
      </c>
      <c r="J777" s="3">
        <v>100</v>
      </c>
      <c r="K777" s="57">
        <v>1000</v>
      </c>
      <c r="L777" s="178">
        <v>1</v>
      </c>
      <c r="N777" s="59">
        <f>VLOOKUP(F777,Baupläne!$B$2:$X$1019,23,FALSE)</f>
        <v>14200</v>
      </c>
    </row>
    <row r="778" spans="1:14" x14ac:dyDescent="0.2">
      <c r="A778" s="412">
        <f t="shared" si="47"/>
        <v>3334</v>
      </c>
      <c r="B778" s="132" t="s">
        <v>871</v>
      </c>
      <c r="D778" s="6">
        <f>VLOOKUP(F778,Baupläne!$A$2:$I$2011,9,FALSE)</f>
        <v>19</v>
      </c>
      <c r="E778" s="7" t="s">
        <v>781</v>
      </c>
      <c r="F778" s="8">
        <v>2334</v>
      </c>
      <c r="G778" s="1">
        <f>VLOOKUP(F778,Baupläne!$A$2:$I$2011,8,FALSE)</f>
        <v>61</v>
      </c>
      <c r="H778" s="6">
        <v>2</v>
      </c>
      <c r="I778" s="6">
        <v>35</v>
      </c>
      <c r="J778" s="3">
        <v>100</v>
      </c>
      <c r="K778" s="57">
        <v>1000</v>
      </c>
      <c r="L778" s="178">
        <v>1</v>
      </c>
      <c r="N778" s="59">
        <f>VLOOKUP(F778,Baupläne!$B$2:$X$1019,23,FALSE)</f>
        <v>17700</v>
      </c>
    </row>
    <row r="779" spans="1:14" x14ac:dyDescent="0.2">
      <c r="A779" s="412">
        <f t="shared" si="47"/>
        <v>3335</v>
      </c>
      <c r="B779" s="413" t="s">
        <v>872</v>
      </c>
      <c r="D779" s="6">
        <f>VLOOKUP(F779,Baupläne!$A$2:$I$2011,9,FALSE)</f>
        <v>19</v>
      </c>
      <c r="E779" s="7" t="s">
        <v>781</v>
      </c>
      <c r="F779" s="8">
        <v>2335</v>
      </c>
      <c r="G779" s="1">
        <f>VLOOKUP(F779,Baupläne!$A$2:$I$2011,8,FALSE)</f>
        <v>61</v>
      </c>
      <c r="H779" s="6">
        <v>2</v>
      </c>
      <c r="I779" s="6">
        <v>35</v>
      </c>
      <c r="J779" s="3">
        <v>100</v>
      </c>
      <c r="K779" s="57">
        <v>1000</v>
      </c>
      <c r="L779" s="178">
        <v>1</v>
      </c>
      <c r="N779" s="59">
        <f>VLOOKUP(F779,Baupläne!$B$2:$X$1019,23,FALSE)</f>
        <v>14200</v>
      </c>
    </row>
    <row r="780" spans="1:14" x14ac:dyDescent="0.2">
      <c r="A780" s="412">
        <f t="shared" si="47"/>
        <v>3341</v>
      </c>
      <c r="B780" s="132" t="s">
        <v>873</v>
      </c>
      <c r="D780" s="6">
        <f>VLOOKUP(F780,Baupläne!$A$2:$I$2011,9,FALSE)</f>
        <v>23</v>
      </c>
      <c r="E780" s="7" t="s">
        <v>781</v>
      </c>
      <c r="F780" s="8">
        <v>2341</v>
      </c>
      <c r="G780" s="1">
        <f>VLOOKUP(F780,Baupläne!$A$2:$I$2011,8,FALSE)</f>
        <v>61</v>
      </c>
      <c r="H780" s="6">
        <v>2</v>
      </c>
      <c r="I780" s="6">
        <v>35</v>
      </c>
      <c r="J780" s="3">
        <v>100</v>
      </c>
      <c r="K780" s="57">
        <v>1000</v>
      </c>
      <c r="L780" s="178">
        <v>1</v>
      </c>
      <c r="N780" s="59">
        <f>VLOOKUP(F780,Baupläne!$B$2:$X$1019,23,FALSE)</f>
        <v>29900</v>
      </c>
    </row>
    <row r="781" spans="1:14" x14ac:dyDescent="0.2">
      <c r="A781" s="412">
        <f t="shared" si="47"/>
        <v>3342</v>
      </c>
      <c r="B781" s="132" t="s">
        <v>874</v>
      </c>
      <c r="D781" s="6">
        <f>VLOOKUP(F781,Baupläne!$A$2:$I$2011,9,FALSE)</f>
        <v>23</v>
      </c>
      <c r="E781" s="7" t="s">
        <v>781</v>
      </c>
      <c r="F781" s="8">
        <v>2342</v>
      </c>
      <c r="G781" s="1">
        <f>VLOOKUP(F781,Baupläne!$A$2:$I$2011,8,FALSE)</f>
        <v>61</v>
      </c>
      <c r="H781" s="6">
        <v>2</v>
      </c>
      <c r="I781" s="6">
        <v>35</v>
      </c>
      <c r="J781" s="3">
        <v>100</v>
      </c>
      <c r="K781" s="57">
        <v>1000</v>
      </c>
      <c r="L781" s="178">
        <v>1</v>
      </c>
      <c r="N781" s="59">
        <f>VLOOKUP(F781,Baupläne!$B$2:$X$1019,23,FALSE)</f>
        <v>42300</v>
      </c>
    </row>
    <row r="782" spans="1:14" x14ac:dyDescent="0.2">
      <c r="A782" s="412">
        <f t="shared" si="47"/>
        <v>3343</v>
      </c>
      <c r="B782" s="132" t="s">
        <v>875</v>
      </c>
      <c r="D782" s="6">
        <f>VLOOKUP(F782,Baupläne!$A$2:$I$2011,9,FALSE)</f>
        <v>24</v>
      </c>
      <c r="E782" s="7" t="s">
        <v>781</v>
      </c>
      <c r="F782" s="8">
        <v>2343</v>
      </c>
      <c r="G782" s="1">
        <f>VLOOKUP(F782,Baupläne!$A$2:$I$2011,8,FALSE)</f>
        <v>61</v>
      </c>
      <c r="H782" s="6">
        <v>2</v>
      </c>
      <c r="I782" s="6">
        <v>35</v>
      </c>
      <c r="J782" s="3">
        <v>100</v>
      </c>
      <c r="K782" s="57">
        <v>1000</v>
      </c>
      <c r="L782" s="178">
        <v>1</v>
      </c>
      <c r="N782" s="59">
        <f>VLOOKUP(F782,Baupläne!$B$2:$X$1019,23,FALSE)</f>
        <v>26500</v>
      </c>
    </row>
    <row r="783" spans="1:14" x14ac:dyDescent="0.2">
      <c r="A783" s="412">
        <f t="shared" si="47"/>
        <v>3344</v>
      </c>
      <c r="B783" s="132" t="s">
        <v>876</v>
      </c>
      <c r="D783" s="6">
        <f>VLOOKUP(F783,Baupläne!$A$2:$I$2011,9,FALSE)</f>
        <v>24</v>
      </c>
      <c r="E783" s="7" t="s">
        <v>781</v>
      </c>
      <c r="F783" s="8">
        <v>2344</v>
      </c>
      <c r="G783" s="1">
        <f>VLOOKUP(F783,Baupläne!$A$2:$I$2011,8,FALSE)</f>
        <v>61</v>
      </c>
      <c r="H783" s="6">
        <v>2</v>
      </c>
      <c r="I783" s="6">
        <v>35</v>
      </c>
      <c r="J783" s="3">
        <v>100</v>
      </c>
      <c r="K783" s="57">
        <v>1000</v>
      </c>
      <c r="L783" s="178">
        <v>1</v>
      </c>
      <c r="N783" s="59">
        <f>VLOOKUP(F783,Baupläne!$B$2:$X$1019,23,FALSE)</f>
        <v>33600</v>
      </c>
    </row>
    <row r="784" spans="1:14" x14ac:dyDescent="0.2">
      <c r="A784" s="412">
        <f t="shared" si="47"/>
        <v>3345</v>
      </c>
      <c r="B784" s="413" t="s">
        <v>877</v>
      </c>
      <c r="D784" s="6">
        <f>VLOOKUP(F784,Baupläne!$A$2:$I$2011,9,FALSE)</f>
        <v>24</v>
      </c>
      <c r="E784" s="7" t="s">
        <v>781</v>
      </c>
      <c r="F784" s="8">
        <v>2345</v>
      </c>
      <c r="G784" s="1">
        <f>VLOOKUP(F784,Baupläne!$A$2:$I$2011,8,FALSE)</f>
        <v>61</v>
      </c>
      <c r="H784" s="6">
        <v>2</v>
      </c>
      <c r="I784" s="6">
        <v>35</v>
      </c>
      <c r="J784" s="3">
        <v>100</v>
      </c>
      <c r="K784" s="57">
        <v>1000</v>
      </c>
      <c r="L784" s="178">
        <v>1</v>
      </c>
      <c r="N784" s="59">
        <f>VLOOKUP(F784,Baupläne!$B$2:$X$1019,23,FALSE)</f>
        <v>26500</v>
      </c>
    </row>
    <row r="785" spans="1:32" x14ac:dyDescent="0.2">
      <c r="A785" s="399"/>
      <c r="B785" s="400"/>
      <c r="C785" s="193"/>
      <c r="D785" s="194"/>
      <c r="E785" s="195"/>
      <c r="F785" s="196"/>
      <c r="G785" s="193"/>
      <c r="H785" s="194"/>
      <c r="I785" s="194"/>
      <c r="J785" s="193"/>
      <c r="K785" s="198"/>
      <c r="L785" s="194"/>
      <c r="M785" s="199"/>
      <c r="N785" s="401"/>
      <c r="O785" s="402"/>
      <c r="P785" s="403"/>
      <c r="Q785" s="404"/>
      <c r="R785" s="405"/>
      <c r="S785" s="404"/>
      <c r="T785" s="406"/>
      <c r="U785" s="404"/>
      <c r="V785" s="404"/>
      <c r="W785" s="407"/>
      <c r="X785" s="408"/>
      <c r="Y785" s="409"/>
      <c r="Z785" s="403"/>
      <c r="AA785" s="405"/>
      <c r="AB785" s="405"/>
      <c r="AC785" s="410"/>
      <c r="AD785" s="410"/>
      <c r="AE785" s="410"/>
      <c r="AF785" s="411"/>
    </row>
    <row r="786" spans="1:32" x14ac:dyDescent="0.2">
      <c r="A786" s="412">
        <f t="shared" si="47"/>
        <v>3401</v>
      </c>
      <c r="B786" s="132" t="s">
        <v>878</v>
      </c>
      <c r="D786" s="6">
        <f>VLOOKUP(F786,Baupläne!$A$2:$I$2011,9,FALSE)</f>
        <v>3</v>
      </c>
      <c r="E786" s="7" t="s">
        <v>781</v>
      </c>
      <c r="F786" s="8">
        <v>2401</v>
      </c>
      <c r="G786" s="1">
        <f>VLOOKUP(F786,Baupläne!$A$2:$I$2011,8,FALSE)</f>
        <v>62</v>
      </c>
      <c r="H786" s="6">
        <v>2</v>
      </c>
      <c r="I786" s="6">
        <v>35</v>
      </c>
      <c r="J786" s="3">
        <v>100</v>
      </c>
      <c r="K786" s="57">
        <v>1000</v>
      </c>
      <c r="L786" s="178">
        <v>1</v>
      </c>
      <c r="N786" s="59">
        <f>VLOOKUP(F786,Baupläne!$B$2:$X$1019,23,FALSE)</f>
        <v>2000</v>
      </c>
    </row>
    <row r="787" spans="1:32" x14ac:dyDescent="0.2">
      <c r="A787" s="412">
        <f t="shared" si="47"/>
        <v>3402</v>
      </c>
      <c r="B787" s="132" t="s">
        <v>879</v>
      </c>
      <c r="C787" s="20"/>
      <c r="D787" s="6">
        <f>VLOOKUP(F787,Baupläne!$A$2:$I$2011,9,FALSE)</f>
        <v>3</v>
      </c>
      <c r="E787" s="7" t="s">
        <v>781</v>
      </c>
      <c r="F787" s="8">
        <v>2402</v>
      </c>
      <c r="G787" s="1">
        <f>VLOOKUP(F787,Baupläne!$A$2:$I$2011,8,FALSE)</f>
        <v>62</v>
      </c>
      <c r="H787" s="6">
        <v>2</v>
      </c>
      <c r="I787" s="6">
        <v>35</v>
      </c>
      <c r="J787" s="3">
        <v>100</v>
      </c>
      <c r="K787" s="57">
        <v>1000</v>
      </c>
      <c r="L787" s="178">
        <v>1</v>
      </c>
      <c r="N787" s="59">
        <f>VLOOKUP(F787,Baupläne!$B$2:$X$1019,23,FALSE)</f>
        <v>2800</v>
      </c>
    </row>
    <row r="788" spans="1:32" x14ac:dyDescent="0.2">
      <c r="A788" s="412">
        <f t="shared" si="47"/>
        <v>3403</v>
      </c>
      <c r="B788" s="132" t="s">
        <v>880</v>
      </c>
      <c r="C788" s="20"/>
      <c r="D788" s="6">
        <f>VLOOKUP(F788,Baupläne!$A$2:$I$2011,9,FALSE)</f>
        <v>4</v>
      </c>
      <c r="E788" s="7" t="s">
        <v>781</v>
      </c>
      <c r="F788" s="8">
        <v>2403</v>
      </c>
      <c r="G788" s="1">
        <f>VLOOKUP(F788,Baupläne!$A$2:$I$2011,8,FALSE)</f>
        <v>62</v>
      </c>
      <c r="H788" s="6">
        <v>2</v>
      </c>
      <c r="I788" s="6">
        <v>35</v>
      </c>
      <c r="J788" s="3">
        <v>100</v>
      </c>
      <c r="K788" s="57">
        <v>1000</v>
      </c>
      <c r="L788" s="178">
        <v>1</v>
      </c>
      <c r="N788" s="59">
        <f>VLOOKUP(F788,Baupläne!$B$2:$X$1019,23,FALSE)</f>
        <v>1800</v>
      </c>
    </row>
    <row r="789" spans="1:32" x14ac:dyDescent="0.2">
      <c r="A789" s="412">
        <f t="shared" si="47"/>
        <v>3404</v>
      </c>
      <c r="B789" s="132" t="s">
        <v>881</v>
      </c>
      <c r="C789" s="20"/>
      <c r="D789" s="6">
        <f>VLOOKUP(F789,Baupläne!$A$2:$I$2011,9,FALSE)</f>
        <v>4</v>
      </c>
      <c r="E789" s="7" t="s">
        <v>781</v>
      </c>
      <c r="F789" s="8">
        <v>2404</v>
      </c>
      <c r="G789" s="1">
        <f>VLOOKUP(F789,Baupläne!$A$2:$I$2011,8,FALSE)</f>
        <v>62</v>
      </c>
      <c r="H789" s="6">
        <v>2</v>
      </c>
      <c r="I789" s="6">
        <v>35</v>
      </c>
      <c r="J789" s="3">
        <v>100</v>
      </c>
      <c r="K789" s="57">
        <v>1000</v>
      </c>
      <c r="L789" s="178">
        <v>1</v>
      </c>
      <c r="N789" s="59">
        <f>VLOOKUP(F789,Baupläne!$B$2:$X$1019,23,FALSE)</f>
        <v>2200</v>
      </c>
    </row>
    <row r="790" spans="1:32" x14ac:dyDescent="0.2">
      <c r="A790" s="412">
        <f t="shared" si="47"/>
        <v>3405</v>
      </c>
      <c r="B790" s="413" t="s">
        <v>882</v>
      </c>
      <c r="C790" s="20"/>
      <c r="D790" s="6">
        <f>VLOOKUP(F790,Baupläne!$A$2:$I$2011,9,FALSE)</f>
        <v>4</v>
      </c>
      <c r="E790" s="7" t="s">
        <v>781</v>
      </c>
      <c r="F790" s="8">
        <v>2405</v>
      </c>
      <c r="G790" s="1">
        <f>VLOOKUP(F790,Baupläne!$A$2:$I$2011,8,FALSE)</f>
        <v>62</v>
      </c>
      <c r="H790" s="6">
        <v>2</v>
      </c>
      <c r="I790" s="6">
        <v>35</v>
      </c>
      <c r="J790" s="3">
        <v>100</v>
      </c>
      <c r="K790" s="57">
        <v>1000</v>
      </c>
      <c r="L790" s="178">
        <v>1</v>
      </c>
      <c r="N790" s="59">
        <f>VLOOKUP(F790,Baupläne!$B$2:$X$1019,23,FALSE)</f>
        <v>1800</v>
      </c>
    </row>
    <row r="791" spans="1:32" x14ac:dyDescent="0.2">
      <c r="A791" s="412">
        <f t="shared" si="47"/>
        <v>3411</v>
      </c>
      <c r="B791" s="132" t="s">
        <v>883</v>
      </c>
      <c r="C791" s="20"/>
      <c r="D791" s="6">
        <f>VLOOKUP(F791,Baupläne!$A$2:$I$2011,9,FALSE)</f>
        <v>8</v>
      </c>
      <c r="E791" s="7" t="s">
        <v>781</v>
      </c>
      <c r="F791" s="8">
        <v>2411</v>
      </c>
      <c r="G791" s="1">
        <f>VLOOKUP(F791,Baupläne!$A$2:$I$2011,8,FALSE)</f>
        <v>62</v>
      </c>
      <c r="H791" s="6">
        <v>2</v>
      </c>
      <c r="I791" s="6">
        <v>35</v>
      </c>
      <c r="J791" s="3">
        <v>100</v>
      </c>
      <c r="K791" s="57">
        <v>1000</v>
      </c>
      <c r="L791" s="178">
        <v>1</v>
      </c>
      <c r="N791" s="59">
        <f>VLOOKUP(F791,Baupläne!$B$2:$X$1019,23,FALSE)</f>
        <v>4100</v>
      </c>
    </row>
    <row r="792" spans="1:32" x14ac:dyDescent="0.2">
      <c r="A792" s="412">
        <f t="shared" si="47"/>
        <v>3412</v>
      </c>
      <c r="B792" s="132" t="s">
        <v>884</v>
      </c>
      <c r="C792" s="20"/>
      <c r="D792" s="6">
        <f>VLOOKUP(F792,Baupläne!$A$2:$I$2011,9,FALSE)</f>
        <v>8</v>
      </c>
      <c r="E792" s="7" t="s">
        <v>781</v>
      </c>
      <c r="F792" s="8">
        <v>2412</v>
      </c>
      <c r="G792" s="1">
        <f>VLOOKUP(F792,Baupläne!$A$2:$I$2011,8,FALSE)</f>
        <v>62</v>
      </c>
      <c r="H792" s="6">
        <v>2</v>
      </c>
      <c r="I792" s="6">
        <v>35</v>
      </c>
      <c r="J792" s="3">
        <v>100</v>
      </c>
      <c r="K792" s="57">
        <v>1000</v>
      </c>
      <c r="L792" s="178">
        <v>1</v>
      </c>
      <c r="N792" s="59">
        <f>VLOOKUP(F792,Baupläne!$B$2:$X$1019,23,FALSE)</f>
        <v>5600</v>
      </c>
    </row>
    <row r="793" spans="1:32" x14ac:dyDescent="0.2">
      <c r="A793" s="412">
        <f t="shared" si="47"/>
        <v>3413</v>
      </c>
      <c r="B793" s="132" t="s">
        <v>885</v>
      </c>
      <c r="C793" s="20"/>
      <c r="D793" s="6">
        <f>VLOOKUP(F793,Baupläne!$A$2:$I$2011,9,FALSE)</f>
        <v>9</v>
      </c>
      <c r="E793" s="7" t="s">
        <v>781</v>
      </c>
      <c r="F793" s="8">
        <v>2413</v>
      </c>
      <c r="G793" s="1">
        <f>VLOOKUP(F793,Baupläne!$A$2:$I$2011,8,FALSE)</f>
        <v>62</v>
      </c>
      <c r="H793" s="6">
        <v>2</v>
      </c>
      <c r="I793" s="6">
        <v>35</v>
      </c>
      <c r="J793" s="3">
        <v>100</v>
      </c>
      <c r="K793" s="57">
        <v>1000</v>
      </c>
      <c r="L793" s="178">
        <v>1</v>
      </c>
      <c r="N793" s="59">
        <f>VLOOKUP(F793,Baupläne!$B$2:$X$1019,23,FALSE)</f>
        <v>3600</v>
      </c>
    </row>
    <row r="794" spans="1:32" x14ac:dyDescent="0.2">
      <c r="A794" s="412">
        <f t="shared" si="47"/>
        <v>3414</v>
      </c>
      <c r="B794" s="132" t="s">
        <v>886</v>
      </c>
      <c r="C794" s="20"/>
      <c r="D794" s="6">
        <f>VLOOKUP(F794,Baupläne!$A$2:$I$2011,9,FALSE)</f>
        <v>9</v>
      </c>
      <c r="E794" s="7" t="s">
        <v>781</v>
      </c>
      <c r="F794" s="8">
        <v>2414</v>
      </c>
      <c r="G794" s="1">
        <f>VLOOKUP(F794,Baupläne!$A$2:$I$2011,8,FALSE)</f>
        <v>62</v>
      </c>
      <c r="H794" s="6">
        <v>2</v>
      </c>
      <c r="I794" s="6">
        <v>35</v>
      </c>
      <c r="J794" s="3">
        <v>100</v>
      </c>
      <c r="K794" s="57">
        <v>1000</v>
      </c>
      <c r="L794" s="178">
        <v>1</v>
      </c>
      <c r="N794" s="59">
        <f>VLOOKUP(F794,Baupläne!$B$2:$X$1019,23,FALSE)</f>
        <v>4500</v>
      </c>
    </row>
    <row r="795" spans="1:32" x14ac:dyDescent="0.2">
      <c r="A795" s="412">
        <f t="shared" si="47"/>
        <v>3415</v>
      </c>
      <c r="B795" s="413" t="s">
        <v>887</v>
      </c>
      <c r="C795" s="20"/>
      <c r="D795" s="6">
        <f>VLOOKUP(F795,Baupläne!$A$2:$I$2011,9,FALSE)</f>
        <v>9</v>
      </c>
      <c r="E795" s="7" t="s">
        <v>781</v>
      </c>
      <c r="F795" s="8">
        <v>2415</v>
      </c>
      <c r="G795" s="1">
        <f>VLOOKUP(F795,Baupläne!$A$2:$I$2011,8,FALSE)</f>
        <v>62</v>
      </c>
      <c r="H795" s="6">
        <v>2</v>
      </c>
      <c r="I795" s="6">
        <v>35</v>
      </c>
      <c r="J795" s="3">
        <v>100</v>
      </c>
      <c r="K795" s="57">
        <v>1000</v>
      </c>
      <c r="L795" s="178">
        <v>1</v>
      </c>
      <c r="N795" s="59">
        <f>VLOOKUP(F795,Baupläne!$B$2:$X$1019,23,FALSE)</f>
        <v>3600</v>
      </c>
    </row>
    <row r="796" spans="1:32" x14ac:dyDescent="0.2">
      <c r="A796" s="412">
        <f t="shared" si="47"/>
        <v>3421</v>
      </c>
      <c r="B796" s="132" t="s">
        <v>888</v>
      </c>
      <c r="C796" s="20"/>
      <c r="D796" s="6">
        <f>VLOOKUP(F796,Baupläne!$A$2:$I$2011,9,FALSE)</f>
        <v>13</v>
      </c>
      <c r="E796" s="7" t="s">
        <v>781</v>
      </c>
      <c r="F796" s="8">
        <v>2421</v>
      </c>
      <c r="G796" s="1">
        <f>VLOOKUP(F796,Baupläne!$A$2:$I$2011,8,FALSE)</f>
        <v>62</v>
      </c>
      <c r="H796" s="6">
        <v>2</v>
      </c>
      <c r="I796" s="6">
        <v>35</v>
      </c>
      <c r="J796" s="3">
        <v>100</v>
      </c>
      <c r="K796" s="57">
        <v>1000</v>
      </c>
      <c r="L796" s="178">
        <v>1</v>
      </c>
      <c r="N796" s="59">
        <f>VLOOKUP(F796,Baupläne!$B$2:$X$1019,23,FALSE)</f>
        <v>8200</v>
      </c>
    </row>
    <row r="797" spans="1:32" x14ac:dyDescent="0.2">
      <c r="A797" s="412">
        <f t="shared" si="47"/>
        <v>3422</v>
      </c>
      <c r="B797" s="132" t="s">
        <v>889</v>
      </c>
      <c r="C797" s="20"/>
      <c r="D797" s="6">
        <f>VLOOKUP(F797,Baupläne!$A$2:$I$2011,9,FALSE)</f>
        <v>13</v>
      </c>
      <c r="E797" s="7" t="s">
        <v>781</v>
      </c>
      <c r="F797" s="8">
        <v>2422</v>
      </c>
      <c r="G797" s="1">
        <f>VLOOKUP(F797,Baupläne!$A$2:$I$2011,8,FALSE)</f>
        <v>62</v>
      </c>
      <c r="H797" s="6">
        <v>2</v>
      </c>
      <c r="I797" s="6">
        <v>35</v>
      </c>
      <c r="J797" s="3">
        <v>100</v>
      </c>
      <c r="K797" s="57">
        <v>1000</v>
      </c>
      <c r="L797" s="178">
        <v>1</v>
      </c>
      <c r="N797" s="59">
        <f>VLOOKUP(F797,Baupläne!$B$2:$X$1019,23,FALSE)</f>
        <v>11200</v>
      </c>
    </row>
    <row r="798" spans="1:32" x14ac:dyDescent="0.2">
      <c r="A798" s="412">
        <f t="shared" si="47"/>
        <v>3423</v>
      </c>
      <c r="B798" s="132" t="s">
        <v>890</v>
      </c>
      <c r="C798" s="20"/>
      <c r="D798" s="6">
        <f>VLOOKUP(F798,Baupläne!$A$2:$I$2011,9,FALSE)</f>
        <v>14</v>
      </c>
      <c r="E798" s="7" t="s">
        <v>781</v>
      </c>
      <c r="F798" s="8">
        <v>2423</v>
      </c>
      <c r="G798" s="1">
        <f>VLOOKUP(F798,Baupläne!$A$2:$I$2011,8,FALSE)</f>
        <v>62</v>
      </c>
      <c r="H798" s="6">
        <v>2</v>
      </c>
      <c r="I798" s="6">
        <v>35</v>
      </c>
      <c r="J798" s="3">
        <v>100</v>
      </c>
      <c r="K798" s="57">
        <v>1000</v>
      </c>
      <c r="L798" s="178">
        <v>1</v>
      </c>
      <c r="N798" s="59">
        <f>VLOOKUP(F798,Baupläne!$B$2:$X$1019,23,FALSE)</f>
        <v>7300</v>
      </c>
    </row>
    <row r="799" spans="1:32" x14ac:dyDescent="0.2">
      <c r="A799" s="412">
        <f t="shared" si="47"/>
        <v>3424</v>
      </c>
      <c r="B799" s="132" t="s">
        <v>891</v>
      </c>
      <c r="C799" s="20"/>
      <c r="D799" s="6">
        <f>VLOOKUP(F799,Baupläne!$A$2:$I$2011,9,FALSE)</f>
        <v>14</v>
      </c>
      <c r="E799" s="7" t="s">
        <v>781</v>
      </c>
      <c r="F799" s="8">
        <v>2424</v>
      </c>
      <c r="G799" s="1">
        <f>VLOOKUP(F799,Baupläne!$A$2:$I$2011,8,FALSE)</f>
        <v>62</v>
      </c>
      <c r="H799" s="6">
        <v>2</v>
      </c>
      <c r="I799" s="6">
        <v>35</v>
      </c>
      <c r="J799" s="3">
        <v>100</v>
      </c>
      <c r="K799" s="57">
        <v>1000</v>
      </c>
      <c r="L799" s="178">
        <v>1</v>
      </c>
      <c r="N799" s="59">
        <f>VLOOKUP(F799,Baupläne!$B$2:$X$1019,23,FALSE)</f>
        <v>9100</v>
      </c>
    </row>
    <row r="800" spans="1:32" x14ac:dyDescent="0.2">
      <c r="A800" s="412">
        <f t="shared" si="47"/>
        <v>3425</v>
      </c>
      <c r="B800" s="413" t="s">
        <v>892</v>
      </c>
      <c r="C800" s="20"/>
      <c r="D800" s="6">
        <f>VLOOKUP(F800,Baupläne!$A$2:$I$2011,9,FALSE)</f>
        <v>14</v>
      </c>
      <c r="E800" s="7" t="s">
        <v>781</v>
      </c>
      <c r="F800" s="8">
        <v>2425</v>
      </c>
      <c r="G800" s="1">
        <f>VLOOKUP(F800,Baupläne!$A$2:$I$2011,8,FALSE)</f>
        <v>62</v>
      </c>
      <c r="H800" s="6">
        <v>2</v>
      </c>
      <c r="I800" s="6">
        <v>35</v>
      </c>
      <c r="J800" s="3">
        <v>100</v>
      </c>
      <c r="K800" s="57">
        <v>1000</v>
      </c>
      <c r="L800" s="178">
        <v>1</v>
      </c>
      <c r="N800" s="59">
        <f>VLOOKUP(F800,Baupläne!$B$2:$X$1019,23,FALSE)</f>
        <v>7300</v>
      </c>
    </row>
    <row r="801" spans="1:32" x14ac:dyDescent="0.2">
      <c r="A801" s="412">
        <f t="shared" si="47"/>
        <v>3431</v>
      </c>
      <c r="B801" s="132" t="s">
        <v>893</v>
      </c>
      <c r="C801" s="20"/>
      <c r="D801" s="6">
        <f>VLOOKUP(F801,Baupläne!$A$2:$I$2011,9,FALSE)</f>
        <v>18</v>
      </c>
      <c r="E801" s="7" t="s">
        <v>781</v>
      </c>
      <c r="F801" s="8">
        <v>2431</v>
      </c>
      <c r="G801" s="1">
        <f>VLOOKUP(F801,Baupläne!$A$2:$I$2011,8,FALSE)</f>
        <v>62</v>
      </c>
      <c r="H801" s="6">
        <v>2</v>
      </c>
      <c r="I801" s="6">
        <v>35</v>
      </c>
      <c r="J801" s="3">
        <v>100</v>
      </c>
      <c r="K801" s="57">
        <v>1000</v>
      </c>
      <c r="L801" s="178">
        <v>1</v>
      </c>
      <c r="N801" s="59">
        <f>VLOOKUP(F801,Baupläne!$B$2:$X$1019,23,FALSE)</f>
        <v>15900</v>
      </c>
    </row>
    <row r="802" spans="1:32" x14ac:dyDescent="0.2">
      <c r="A802" s="412">
        <f t="shared" si="47"/>
        <v>3432</v>
      </c>
      <c r="B802" s="132" t="s">
        <v>894</v>
      </c>
      <c r="C802" s="20"/>
      <c r="D802" s="6">
        <f>VLOOKUP(F802,Baupläne!$A$2:$I$2011,9,FALSE)</f>
        <v>18</v>
      </c>
      <c r="E802" s="7" t="s">
        <v>781</v>
      </c>
      <c r="F802" s="8">
        <v>2432</v>
      </c>
      <c r="G802" s="1">
        <f>VLOOKUP(F802,Baupläne!$A$2:$I$2011,8,FALSE)</f>
        <v>62</v>
      </c>
      <c r="H802" s="6">
        <v>2</v>
      </c>
      <c r="I802" s="6">
        <v>35</v>
      </c>
      <c r="J802" s="3">
        <v>100</v>
      </c>
      <c r="K802" s="57">
        <v>1000</v>
      </c>
      <c r="L802" s="178">
        <v>1</v>
      </c>
      <c r="N802" s="59">
        <f>VLOOKUP(F802,Baupläne!$B$2:$X$1019,23,FALSE)</f>
        <v>22100</v>
      </c>
    </row>
    <row r="803" spans="1:32" x14ac:dyDescent="0.2">
      <c r="A803" s="412">
        <f t="shared" si="47"/>
        <v>3433</v>
      </c>
      <c r="B803" s="132" t="s">
        <v>895</v>
      </c>
      <c r="C803" s="20"/>
      <c r="D803" s="6">
        <f>VLOOKUP(F803,Baupläne!$A$2:$I$2011,9,FALSE)</f>
        <v>19</v>
      </c>
      <c r="E803" s="7" t="s">
        <v>781</v>
      </c>
      <c r="F803" s="8">
        <v>2433</v>
      </c>
      <c r="G803" s="1">
        <f>VLOOKUP(F803,Baupläne!$A$2:$I$2011,8,FALSE)</f>
        <v>62</v>
      </c>
      <c r="H803" s="6">
        <v>2</v>
      </c>
      <c r="I803" s="6">
        <v>35</v>
      </c>
      <c r="J803" s="3">
        <v>100</v>
      </c>
      <c r="K803" s="57">
        <v>1000</v>
      </c>
      <c r="L803" s="178">
        <v>1</v>
      </c>
      <c r="N803" s="59">
        <f>VLOOKUP(F803,Baupläne!$B$2:$X$1019,23,FALSE)</f>
        <v>14200</v>
      </c>
    </row>
    <row r="804" spans="1:32" x14ac:dyDescent="0.2">
      <c r="A804" s="412">
        <f t="shared" si="47"/>
        <v>3434</v>
      </c>
      <c r="B804" s="132" t="s">
        <v>896</v>
      </c>
      <c r="C804" s="20"/>
      <c r="D804" s="6">
        <f>VLOOKUP(F804,Baupläne!$A$2:$I$2011,9,FALSE)</f>
        <v>19</v>
      </c>
      <c r="E804" s="7" t="s">
        <v>781</v>
      </c>
      <c r="F804" s="8">
        <v>2434</v>
      </c>
      <c r="G804" s="1">
        <f>VLOOKUP(F804,Baupläne!$A$2:$I$2011,8,FALSE)</f>
        <v>62</v>
      </c>
      <c r="H804" s="6">
        <v>2</v>
      </c>
      <c r="I804" s="6">
        <v>35</v>
      </c>
      <c r="J804" s="3">
        <v>100</v>
      </c>
      <c r="K804" s="57">
        <v>1000</v>
      </c>
      <c r="L804" s="178">
        <v>1</v>
      </c>
      <c r="N804" s="59">
        <f>VLOOKUP(F804,Baupläne!$B$2:$X$1019,23,FALSE)</f>
        <v>17700</v>
      </c>
    </row>
    <row r="805" spans="1:32" x14ac:dyDescent="0.2">
      <c r="A805" s="412">
        <f t="shared" si="47"/>
        <v>3435</v>
      </c>
      <c r="B805" s="413" t="s">
        <v>897</v>
      </c>
      <c r="C805" s="20"/>
      <c r="D805" s="6">
        <f>VLOOKUP(F805,Baupläne!$A$2:$I$2011,9,FALSE)</f>
        <v>19</v>
      </c>
      <c r="E805" s="7" t="s">
        <v>781</v>
      </c>
      <c r="F805" s="8">
        <v>2435</v>
      </c>
      <c r="G805" s="1">
        <f>VLOOKUP(F805,Baupläne!$A$2:$I$2011,8,FALSE)</f>
        <v>62</v>
      </c>
      <c r="H805" s="6">
        <v>2</v>
      </c>
      <c r="I805" s="6">
        <v>35</v>
      </c>
      <c r="J805" s="3">
        <v>100</v>
      </c>
      <c r="K805" s="57">
        <v>1000</v>
      </c>
      <c r="L805" s="178">
        <v>1</v>
      </c>
      <c r="N805" s="59">
        <f>VLOOKUP(F805,Baupläne!$B$2:$X$1019,23,FALSE)</f>
        <v>14200</v>
      </c>
    </row>
    <row r="806" spans="1:32" x14ac:dyDescent="0.2">
      <c r="A806" s="412">
        <f t="shared" ref="A806:A846" si="48">F806+1000</f>
        <v>3441</v>
      </c>
      <c r="B806" s="132" t="s">
        <v>898</v>
      </c>
      <c r="C806" s="20"/>
      <c r="D806" s="6">
        <f>VLOOKUP(F806,Baupläne!$A$2:$I$2011,9,FALSE)</f>
        <v>23</v>
      </c>
      <c r="E806" s="7" t="s">
        <v>781</v>
      </c>
      <c r="F806" s="8">
        <v>2441</v>
      </c>
      <c r="G806" s="1">
        <f>VLOOKUP(F806,Baupläne!$A$2:$I$2011,8,FALSE)</f>
        <v>62</v>
      </c>
      <c r="H806" s="6">
        <v>2</v>
      </c>
      <c r="I806" s="6">
        <v>35</v>
      </c>
      <c r="J806" s="3">
        <v>100</v>
      </c>
      <c r="K806" s="57">
        <v>1000</v>
      </c>
      <c r="L806" s="178">
        <v>1</v>
      </c>
      <c r="N806" s="59">
        <f>VLOOKUP(F806,Baupläne!$B$2:$X$1019,23,FALSE)</f>
        <v>29900</v>
      </c>
    </row>
    <row r="807" spans="1:32" x14ac:dyDescent="0.2">
      <c r="A807" s="412">
        <f t="shared" si="48"/>
        <v>3442</v>
      </c>
      <c r="B807" s="132" t="s">
        <v>899</v>
      </c>
      <c r="D807" s="6">
        <f>VLOOKUP(F807,Baupläne!$A$2:$I$2011,9,FALSE)</f>
        <v>23</v>
      </c>
      <c r="E807" s="7" t="s">
        <v>781</v>
      </c>
      <c r="F807" s="8">
        <v>2442</v>
      </c>
      <c r="G807" s="1">
        <f>VLOOKUP(F807,Baupläne!$A$2:$I$2011,8,FALSE)</f>
        <v>62</v>
      </c>
      <c r="H807" s="6">
        <v>2</v>
      </c>
      <c r="I807" s="6">
        <v>35</v>
      </c>
      <c r="J807" s="3">
        <v>100</v>
      </c>
      <c r="K807" s="57">
        <v>1000</v>
      </c>
      <c r="L807" s="178">
        <v>1</v>
      </c>
      <c r="N807" s="59">
        <f>VLOOKUP(F807,Baupläne!$B$2:$X$1019,23,FALSE)</f>
        <v>42300</v>
      </c>
    </row>
    <row r="808" spans="1:32" x14ac:dyDescent="0.2">
      <c r="A808" s="412">
        <f t="shared" si="48"/>
        <v>3443</v>
      </c>
      <c r="B808" s="132" t="s">
        <v>900</v>
      </c>
      <c r="D808" s="6">
        <f>VLOOKUP(F808,Baupläne!$A$2:$I$2011,9,FALSE)</f>
        <v>24</v>
      </c>
      <c r="E808" s="7" t="s">
        <v>781</v>
      </c>
      <c r="F808" s="8">
        <v>2443</v>
      </c>
      <c r="G808" s="1">
        <f>VLOOKUP(F808,Baupläne!$A$2:$I$2011,8,FALSE)</f>
        <v>62</v>
      </c>
      <c r="H808" s="6">
        <v>2</v>
      </c>
      <c r="I808" s="6">
        <v>35</v>
      </c>
      <c r="J808" s="3">
        <v>100</v>
      </c>
      <c r="K808" s="57">
        <v>1000</v>
      </c>
      <c r="L808" s="178">
        <v>1</v>
      </c>
      <c r="N808" s="59">
        <f>VLOOKUP(F808,Baupläne!$B$2:$X$1019,23,FALSE)</f>
        <v>26500</v>
      </c>
    </row>
    <row r="809" spans="1:32" x14ac:dyDescent="0.2">
      <c r="A809" s="412">
        <f t="shared" si="48"/>
        <v>3444</v>
      </c>
      <c r="B809" s="132" t="s">
        <v>901</v>
      </c>
      <c r="D809" s="6">
        <f>VLOOKUP(F809,Baupläne!$A$2:$I$2011,9,FALSE)</f>
        <v>24</v>
      </c>
      <c r="E809" s="7" t="s">
        <v>781</v>
      </c>
      <c r="F809" s="8">
        <v>2444</v>
      </c>
      <c r="G809" s="1">
        <f>VLOOKUP(F809,Baupläne!$A$2:$I$2011,8,FALSE)</f>
        <v>62</v>
      </c>
      <c r="H809" s="6">
        <v>2</v>
      </c>
      <c r="I809" s="6">
        <v>35</v>
      </c>
      <c r="J809" s="3">
        <v>100</v>
      </c>
      <c r="K809" s="57">
        <v>1000</v>
      </c>
      <c r="L809" s="178">
        <v>1</v>
      </c>
      <c r="N809" s="59">
        <f>VLOOKUP(F809,Baupläne!$B$2:$X$1019,23,FALSE)</f>
        <v>33600</v>
      </c>
    </row>
    <row r="810" spans="1:32" x14ac:dyDescent="0.2">
      <c r="A810" s="412">
        <f t="shared" si="48"/>
        <v>3445</v>
      </c>
      <c r="B810" s="413" t="s">
        <v>902</v>
      </c>
      <c r="D810" s="6">
        <f>VLOOKUP(F810,Baupläne!$A$2:$I$2011,9,FALSE)</f>
        <v>24</v>
      </c>
      <c r="E810" s="7" t="s">
        <v>781</v>
      </c>
      <c r="F810" s="8">
        <v>2445</v>
      </c>
      <c r="G810" s="1">
        <f>VLOOKUP(F810,Baupläne!$A$2:$I$2011,8,FALSE)</f>
        <v>62</v>
      </c>
      <c r="H810" s="6">
        <v>2</v>
      </c>
      <c r="I810" s="6">
        <v>35</v>
      </c>
      <c r="J810" s="3">
        <v>100</v>
      </c>
      <c r="K810" s="57">
        <v>1000</v>
      </c>
      <c r="L810" s="178">
        <v>1</v>
      </c>
      <c r="N810" s="59">
        <f>VLOOKUP(F810,Baupläne!$B$2:$X$1019,23,FALSE)</f>
        <v>26500</v>
      </c>
    </row>
    <row r="811" spans="1:32" x14ac:dyDescent="0.2">
      <c r="A811" s="399"/>
      <c r="B811" s="400"/>
      <c r="C811" s="193"/>
      <c r="D811" s="194"/>
      <c r="E811" s="195"/>
      <c r="F811" s="196"/>
      <c r="G811" s="193"/>
      <c r="H811" s="194"/>
      <c r="I811" s="194"/>
      <c r="J811" s="193"/>
      <c r="K811" s="198"/>
      <c r="L811" s="194"/>
      <c r="M811" s="199"/>
      <c r="N811" s="401"/>
      <c r="O811" s="402"/>
      <c r="P811" s="403"/>
      <c r="Q811" s="404"/>
      <c r="R811" s="405"/>
      <c r="S811" s="404"/>
      <c r="T811" s="406"/>
      <c r="U811" s="404"/>
      <c r="V811" s="404"/>
      <c r="W811" s="407"/>
      <c r="X811" s="408"/>
      <c r="Y811" s="409"/>
      <c r="Z811" s="403"/>
      <c r="AA811" s="405"/>
      <c r="AB811" s="405"/>
      <c r="AC811" s="410"/>
      <c r="AD811" s="410"/>
      <c r="AE811" s="410"/>
      <c r="AF811" s="411"/>
    </row>
    <row r="812" spans="1:32" x14ac:dyDescent="0.2">
      <c r="A812" s="412">
        <f t="shared" si="48"/>
        <v>3501</v>
      </c>
      <c r="B812" s="132" t="s">
        <v>903</v>
      </c>
      <c r="D812" s="6">
        <f>VLOOKUP(F812,Baupläne!$A$2:$I$2011,9,FALSE)</f>
        <v>3</v>
      </c>
      <c r="E812" s="7" t="s">
        <v>781</v>
      </c>
      <c r="F812" s="8">
        <v>2501</v>
      </c>
      <c r="G812" s="1">
        <f>VLOOKUP(F812,Baupläne!$A$2:$I$2011,8,FALSE)</f>
        <v>61</v>
      </c>
      <c r="H812" s="6">
        <v>2</v>
      </c>
      <c r="I812" s="6">
        <v>35</v>
      </c>
      <c r="J812" s="3">
        <v>100</v>
      </c>
      <c r="K812" s="57">
        <v>1000</v>
      </c>
      <c r="L812" s="178">
        <v>1</v>
      </c>
      <c r="N812" s="59">
        <f>VLOOKUP(F812,Baupläne!$B$2:$X$1019,23,FALSE)</f>
        <v>2500</v>
      </c>
    </row>
    <row r="813" spans="1:32" x14ac:dyDescent="0.2">
      <c r="A813" s="412">
        <f t="shared" si="48"/>
        <v>3502</v>
      </c>
      <c r="B813" s="132" t="s">
        <v>904</v>
      </c>
      <c r="D813" s="6">
        <f>VLOOKUP(F813,Baupläne!$A$2:$I$2011,9,FALSE)</f>
        <v>8</v>
      </c>
      <c r="E813" s="7" t="s">
        <v>781</v>
      </c>
      <c r="F813" s="8">
        <v>2502</v>
      </c>
      <c r="G813" s="1">
        <f>VLOOKUP(F813,Baupläne!$A$2:$I$2011,8,FALSE)</f>
        <v>61</v>
      </c>
      <c r="H813" s="6">
        <v>2</v>
      </c>
      <c r="I813" s="6">
        <v>35</v>
      </c>
      <c r="J813" s="3">
        <v>100</v>
      </c>
      <c r="K813" s="57">
        <v>1000</v>
      </c>
      <c r="L813" s="178">
        <v>1</v>
      </c>
      <c r="N813" s="59">
        <f>VLOOKUP(F813,Baupläne!$B$2:$X$1019,23,FALSE)</f>
        <v>5100</v>
      </c>
    </row>
    <row r="814" spans="1:32" x14ac:dyDescent="0.2">
      <c r="A814" s="412">
        <f t="shared" si="48"/>
        <v>3503</v>
      </c>
      <c r="B814" s="132" t="s">
        <v>905</v>
      </c>
      <c r="D814" s="6">
        <f>VLOOKUP(F814,Baupläne!$A$2:$I$2011,9,FALSE)</f>
        <v>13</v>
      </c>
      <c r="E814" s="7" t="s">
        <v>781</v>
      </c>
      <c r="F814" s="8">
        <v>2503</v>
      </c>
      <c r="G814" s="1">
        <f>VLOOKUP(F814,Baupläne!$A$2:$I$2011,8,FALSE)</f>
        <v>61</v>
      </c>
      <c r="H814" s="6">
        <v>2</v>
      </c>
      <c r="I814" s="6">
        <v>35</v>
      </c>
      <c r="J814" s="3">
        <v>100</v>
      </c>
      <c r="K814" s="57">
        <v>1000</v>
      </c>
      <c r="L814" s="178">
        <v>1</v>
      </c>
      <c r="N814" s="59">
        <f>VLOOKUP(F814,Baupläne!$B$2:$X$1019,23,FALSE)</f>
        <v>10200</v>
      </c>
    </row>
    <row r="815" spans="1:32" x14ac:dyDescent="0.2">
      <c r="A815" s="412">
        <f t="shared" si="48"/>
        <v>3504</v>
      </c>
      <c r="B815" s="132" t="s">
        <v>906</v>
      </c>
      <c r="D815" s="6">
        <f>VLOOKUP(F815,Baupläne!$A$2:$I$2011,9,FALSE)</f>
        <v>18</v>
      </c>
      <c r="E815" s="7" t="s">
        <v>781</v>
      </c>
      <c r="F815" s="8">
        <v>2504</v>
      </c>
      <c r="G815" s="1">
        <f>VLOOKUP(F815,Baupläne!$A$2:$I$2011,8,FALSE)</f>
        <v>61</v>
      </c>
      <c r="H815" s="6">
        <v>2</v>
      </c>
      <c r="I815" s="6">
        <v>35</v>
      </c>
      <c r="J815" s="3">
        <v>100</v>
      </c>
      <c r="K815" s="57">
        <v>1000</v>
      </c>
      <c r="L815" s="178">
        <v>1</v>
      </c>
      <c r="N815" s="59">
        <f>VLOOKUP(F815,Baupläne!$B$2:$X$1019,23,FALSE)</f>
        <v>19400</v>
      </c>
    </row>
    <row r="816" spans="1:32" x14ac:dyDescent="0.2">
      <c r="A816" s="412">
        <f t="shared" si="48"/>
        <v>3505</v>
      </c>
      <c r="B816" s="132" t="s">
        <v>907</v>
      </c>
      <c r="D816" s="6">
        <f>VLOOKUP(F816,Baupläne!$A$2:$I$2011,9,FALSE)</f>
        <v>23</v>
      </c>
      <c r="E816" s="7" t="s">
        <v>781</v>
      </c>
      <c r="F816" s="8">
        <v>2505</v>
      </c>
      <c r="G816" s="1">
        <f>VLOOKUP(F816,Baupläne!$A$2:$I$2011,8,FALSE)</f>
        <v>61</v>
      </c>
      <c r="H816" s="6">
        <v>2</v>
      </c>
      <c r="I816" s="6">
        <v>35</v>
      </c>
      <c r="J816" s="3">
        <v>100</v>
      </c>
      <c r="K816" s="57">
        <v>1000</v>
      </c>
      <c r="L816" s="178">
        <v>1</v>
      </c>
      <c r="N816" s="59">
        <f>VLOOKUP(F816,Baupläne!$B$2:$X$1019,23,FALSE)</f>
        <v>34900</v>
      </c>
    </row>
    <row r="817" spans="1:32" x14ac:dyDescent="0.2">
      <c r="A817" s="399"/>
      <c r="B817" s="400"/>
      <c r="C817" s="193"/>
      <c r="D817" s="194"/>
      <c r="E817" s="195"/>
      <c r="F817" s="196"/>
      <c r="G817" s="193"/>
      <c r="H817" s="194"/>
      <c r="I817" s="194"/>
      <c r="J817" s="193"/>
      <c r="K817" s="198"/>
      <c r="L817" s="194"/>
      <c r="M817" s="199"/>
      <c r="N817" s="401"/>
      <c r="O817" s="402"/>
      <c r="P817" s="403"/>
      <c r="Q817" s="404"/>
      <c r="R817" s="405"/>
      <c r="S817" s="404"/>
      <c r="T817" s="406"/>
      <c r="U817" s="404"/>
      <c r="V817" s="404"/>
      <c r="W817" s="407"/>
      <c r="X817" s="408"/>
      <c r="Y817" s="409"/>
      <c r="Z817" s="403"/>
      <c r="AA817" s="405"/>
      <c r="AB817" s="405"/>
      <c r="AC817" s="410"/>
      <c r="AD817" s="410"/>
      <c r="AE817" s="410"/>
      <c r="AF817" s="411"/>
    </row>
    <row r="818" spans="1:32" x14ac:dyDescent="0.2">
      <c r="A818" s="412">
        <f t="shared" si="48"/>
        <v>3511</v>
      </c>
      <c r="B818" s="132" t="s">
        <v>908</v>
      </c>
      <c r="D818" s="6">
        <f>VLOOKUP(F818,Baupläne!$A$2:$I$2011,9,FALSE)</f>
        <v>4</v>
      </c>
      <c r="E818" s="7" t="s">
        <v>781</v>
      </c>
      <c r="F818" s="8">
        <v>2511</v>
      </c>
      <c r="G818" s="1">
        <f>VLOOKUP(F818,Baupläne!$A$2:$I$2011,8,FALSE)</f>
        <v>62</v>
      </c>
      <c r="H818" s="6">
        <v>2</v>
      </c>
      <c r="I818" s="6">
        <v>35</v>
      </c>
      <c r="J818" s="3">
        <v>100</v>
      </c>
      <c r="K818" s="57">
        <v>1000</v>
      </c>
      <c r="L818" s="178">
        <v>1</v>
      </c>
      <c r="N818" s="59">
        <f>VLOOKUP(F818,Baupläne!$B$2:$X$1019,23,FALSE)</f>
        <v>3100</v>
      </c>
    </row>
    <row r="819" spans="1:32" x14ac:dyDescent="0.2">
      <c r="A819" s="412">
        <f t="shared" si="48"/>
        <v>3512</v>
      </c>
      <c r="B819" s="132" t="s">
        <v>909</v>
      </c>
      <c r="D819" s="6">
        <f>VLOOKUP(F819,Baupläne!$A$2:$I$2011,9,FALSE)</f>
        <v>9</v>
      </c>
      <c r="E819" s="7" t="s">
        <v>781</v>
      </c>
      <c r="F819" s="8">
        <v>2512</v>
      </c>
      <c r="G819" s="1">
        <f>VLOOKUP(F819,Baupläne!$A$2:$I$2011,8,FALSE)</f>
        <v>62</v>
      </c>
      <c r="H819" s="6">
        <v>2</v>
      </c>
      <c r="I819" s="6">
        <v>35</v>
      </c>
      <c r="J819" s="3">
        <v>100</v>
      </c>
      <c r="K819" s="57">
        <v>1000</v>
      </c>
      <c r="L819" s="178">
        <v>1</v>
      </c>
      <c r="N819" s="59">
        <f>VLOOKUP(F819,Baupläne!$B$2:$X$1019,23,FALSE)</f>
        <v>6200</v>
      </c>
    </row>
    <row r="820" spans="1:32" x14ac:dyDescent="0.2">
      <c r="A820" s="412">
        <f t="shared" si="48"/>
        <v>3513</v>
      </c>
      <c r="B820" s="132" t="s">
        <v>910</v>
      </c>
      <c r="D820" s="6">
        <f>VLOOKUP(F820,Baupläne!$A$2:$I$2011,9,FALSE)</f>
        <v>14</v>
      </c>
      <c r="E820" s="7" t="s">
        <v>781</v>
      </c>
      <c r="F820" s="8">
        <v>2513</v>
      </c>
      <c r="G820" s="1">
        <f>VLOOKUP(F820,Baupläne!$A$2:$I$2011,8,FALSE)</f>
        <v>62</v>
      </c>
      <c r="H820" s="6">
        <v>2</v>
      </c>
      <c r="I820" s="6">
        <v>35</v>
      </c>
      <c r="J820" s="3">
        <v>100</v>
      </c>
      <c r="K820" s="57">
        <v>1000</v>
      </c>
      <c r="L820" s="178">
        <v>1</v>
      </c>
      <c r="N820" s="59">
        <f>VLOOKUP(F820,Baupläne!$B$2:$X$1019,23,FALSE)</f>
        <v>12500</v>
      </c>
    </row>
    <row r="821" spans="1:32" x14ac:dyDescent="0.2">
      <c r="A821" s="412">
        <f t="shared" si="48"/>
        <v>3514</v>
      </c>
      <c r="B821" s="132" t="s">
        <v>911</v>
      </c>
      <c r="D821" s="6">
        <f>VLOOKUP(F821,Baupläne!$A$2:$I$2011,9,FALSE)</f>
        <v>19</v>
      </c>
      <c r="E821" s="7" t="s">
        <v>781</v>
      </c>
      <c r="F821" s="8">
        <v>2514</v>
      </c>
      <c r="G821" s="1">
        <f>VLOOKUP(F821,Baupläne!$A$2:$I$2011,8,FALSE)</f>
        <v>62</v>
      </c>
      <c r="H821" s="6">
        <v>2</v>
      </c>
      <c r="I821" s="6">
        <v>35</v>
      </c>
      <c r="J821" s="3">
        <v>100</v>
      </c>
      <c r="K821" s="57">
        <v>1000</v>
      </c>
      <c r="L821" s="178">
        <v>1</v>
      </c>
      <c r="N821" s="59">
        <f>VLOOKUP(F821,Baupläne!$B$2:$X$1019,23,FALSE)</f>
        <v>24100</v>
      </c>
    </row>
    <row r="822" spans="1:32" x14ac:dyDescent="0.2">
      <c r="A822" s="412">
        <f t="shared" si="48"/>
        <v>3515</v>
      </c>
      <c r="B822" s="132" t="s">
        <v>912</v>
      </c>
      <c r="D822" s="6">
        <f>VLOOKUP(F822,Baupläne!$A$2:$I$2011,9,FALSE)</f>
        <v>24</v>
      </c>
      <c r="E822" s="7" t="s">
        <v>781</v>
      </c>
      <c r="F822" s="8">
        <v>2515</v>
      </c>
      <c r="G822" s="1">
        <f>VLOOKUP(F822,Baupläne!$A$2:$I$2011,8,FALSE)</f>
        <v>62</v>
      </c>
      <c r="H822" s="6">
        <v>2</v>
      </c>
      <c r="I822" s="6">
        <v>35</v>
      </c>
      <c r="J822" s="3">
        <v>100</v>
      </c>
      <c r="K822" s="57">
        <v>1000</v>
      </c>
      <c r="L822" s="178">
        <v>1</v>
      </c>
      <c r="N822" s="59">
        <f>VLOOKUP(F822,Baupläne!$B$2:$X$1019,23,FALSE)</f>
        <v>44400</v>
      </c>
    </row>
    <row r="823" spans="1:32" x14ac:dyDescent="0.2">
      <c r="A823" s="399"/>
      <c r="B823" s="400"/>
      <c r="C823" s="193"/>
      <c r="D823" s="194"/>
      <c r="E823" s="195"/>
      <c r="F823" s="196"/>
      <c r="G823" s="193"/>
      <c r="H823" s="194"/>
      <c r="I823" s="194"/>
      <c r="J823" s="193"/>
      <c r="K823" s="198"/>
      <c r="L823" s="194"/>
      <c r="M823" s="199"/>
      <c r="N823" s="401"/>
      <c r="O823" s="402"/>
      <c r="P823" s="403"/>
      <c r="Q823" s="404"/>
      <c r="R823" s="405"/>
      <c r="S823" s="404"/>
      <c r="T823" s="406"/>
      <c r="U823" s="404"/>
      <c r="V823" s="404"/>
      <c r="W823" s="407"/>
      <c r="X823" s="408"/>
      <c r="Y823" s="409"/>
      <c r="Z823" s="403"/>
      <c r="AA823" s="405"/>
      <c r="AB823" s="405"/>
      <c r="AC823" s="410"/>
      <c r="AD823" s="410"/>
      <c r="AE823" s="410"/>
      <c r="AF823" s="411"/>
    </row>
    <row r="824" spans="1:32" x14ac:dyDescent="0.2">
      <c r="A824" s="412">
        <f t="shared" si="48"/>
        <v>3601</v>
      </c>
      <c r="B824" s="132" t="s">
        <v>913</v>
      </c>
      <c r="D824" s="6">
        <f>VLOOKUP(F824,Baupläne!$A$2:$I$2011,9,FALSE)</f>
        <v>3</v>
      </c>
      <c r="E824" s="7" t="s">
        <v>781</v>
      </c>
      <c r="F824" s="8">
        <v>2601</v>
      </c>
      <c r="G824" s="1">
        <f>VLOOKUP(F824,Baupläne!$A$2:$I$2011,8,FALSE)</f>
        <v>63</v>
      </c>
      <c r="H824" s="6">
        <v>2</v>
      </c>
      <c r="I824" s="6">
        <v>35</v>
      </c>
      <c r="J824" s="3">
        <v>100</v>
      </c>
      <c r="K824" s="57">
        <v>1000</v>
      </c>
      <c r="L824" s="178">
        <v>1</v>
      </c>
      <c r="N824" s="59">
        <f>VLOOKUP(F824,Baupläne!$B$2:$X$1019,23,FALSE)</f>
        <v>5500</v>
      </c>
    </row>
    <row r="825" spans="1:32" x14ac:dyDescent="0.2">
      <c r="A825" s="412">
        <f t="shared" si="48"/>
        <v>3602</v>
      </c>
      <c r="B825" s="132" t="s">
        <v>914</v>
      </c>
      <c r="D825" s="6">
        <f>VLOOKUP(F825,Baupläne!$A$2:$I$2011,9,FALSE)</f>
        <v>8</v>
      </c>
      <c r="E825" s="7" t="s">
        <v>781</v>
      </c>
      <c r="F825" s="8">
        <v>2602</v>
      </c>
      <c r="G825" s="1">
        <f>VLOOKUP(F825,Baupläne!$A$2:$I$2011,8,FALSE)</f>
        <v>63</v>
      </c>
      <c r="H825" s="6">
        <v>2</v>
      </c>
      <c r="I825" s="6">
        <v>35</v>
      </c>
      <c r="J825" s="3">
        <v>100</v>
      </c>
      <c r="K825" s="57">
        <v>1000</v>
      </c>
      <c r="L825" s="178">
        <v>1</v>
      </c>
      <c r="N825" s="59">
        <f>VLOOKUP(F825,Baupläne!$B$2:$X$1019,23,FALSE)</f>
        <v>11100</v>
      </c>
    </row>
    <row r="826" spans="1:32" x14ac:dyDescent="0.2">
      <c r="A826" s="412">
        <f t="shared" si="48"/>
        <v>3603</v>
      </c>
      <c r="B826" s="132" t="s">
        <v>915</v>
      </c>
      <c r="D826" s="6">
        <f>VLOOKUP(F826,Baupläne!$A$2:$I$2011,9,FALSE)</f>
        <v>13</v>
      </c>
      <c r="E826" s="7" t="s">
        <v>781</v>
      </c>
      <c r="F826" s="8">
        <v>2603</v>
      </c>
      <c r="G826" s="1">
        <f>VLOOKUP(F826,Baupläne!$A$2:$I$2011,8,FALSE)</f>
        <v>63</v>
      </c>
      <c r="H826" s="6">
        <v>2</v>
      </c>
      <c r="I826" s="6">
        <v>35</v>
      </c>
      <c r="J826" s="3">
        <v>100</v>
      </c>
      <c r="K826" s="57">
        <v>1000</v>
      </c>
      <c r="L826" s="178">
        <v>1</v>
      </c>
      <c r="N826" s="59">
        <f>VLOOKUP(F826,Baupläne!$B$2:$X$1019,23,FALSE)</f>
        <v>22300</v>
      </c>
    </row>
    <row r="827" spans="1:32" x14ac:dyDescent="0.2">
      <c r="A827" s="412">
        <f t="shared" si="48"/>
        <v>3604</v>
      </c>
      <c r="B827" s="132" t="s">
        <v>916</v>
      </c>
      <c r="D827" s="6">
        <f>VLOOKUP(F827,Baupläne!$A$2:$I$2011,9,FALSE)</f>
        <v>18</v>
      </c>
      <c r="E827" s="7" t="s">
        <v>781</v>
      </c>
      <c r="F827" s="8">
        <v>2604</v>
      </c>
      <c r="G827" s="1">
        <f>VLOOKUP(F827,Baupläne!$A$2:$I$2011,8,FALSE)</f>
        <v>63</v>
      </c>
      <c r="H827" s="6">
        <v>2</v>
      </c>
      <c r="I827" s="6">
        <v>35</v>
      </c>
      <c r="J827" s="3">
        <v>100</v>
      </c>
      <c r="K827" s="57">
        <v>1000</v>
      </c>
      <c r="L827" s="178">
        <v>1</v>
      </c>
      <c r="N827" s="59">
        <f>VLOOKUP(F827,Baupläne!$B$2:$X$1019,23,FALSE)</f>
        <v>42300</v>
      </c>
    </row>
    <row r="828" spans="1:32" x14ac:dyDescent="0.2">
      <c r="A828" s="412">
        <f t="shared" si="48"/>
        <v>3605</v>
      </c>
      <c r="B828" s="132" t="s">
        <v>917</v>
      </c>
      <c r="D828" s="6">
        <f>VLOOKUP(F828,Baupläne!$A$2:$I$2011,9,FALSE)</f>
        <v>24</v>
      </c>
      <c r="E828" s="7" t="s">
        <v>781</v>
      </c>
      <c r="F828" s="8">
        <v>2605</v>
      </c>
      <c r="G828" s="1">
        <f>VLOOKUP(F828,Baupläne!$A$2:$I$2011,8,FALSE)</f>
        <v>63</v>
      </c>
      <c r="H828" s="6">
        <v>2</v>
      </c>
      <c r="I828" s="6">
        <v>35</v>
      </c>
      <c r="J828" s="3">
        <v>100</v>
      </c>
      <c r="K828" s="57">
        <v>1000</v>
      </c>
      <c r="L828" s="178">
        <v>1</v>
      </c>
      <c r="N828" s="59">
        <f>VLOOKUP(F828,Baupläne!$B$2:$X$1019,23,FALSE)</f>
        <v>82300</v>
      </c>
    </row>
    <row r="829" spans="1:32" x14ac:dyDescent="0.2">
      <c r="A829" s="399"/>
      <c r="B829" s="400"/>
      <c r="C829" s="193"/>
      <c r="D829" s="194"/>
      <c r="E829" s="195"/>
      <c r="F829" s="196"/>
      <c r="G829" s="193"/>
      <c r="H829" s="194"/>
      <c r="I829" s="194"/>
      <c r="J829" s="193"/>
      <c r="K829" s="198"/>
      <c r="L829" s="194"/>
      <c r="M829" s="199"/>
      <c r="N829" s="401"/>
      <c r="O829" s="402"/>
      <c r="P829" s="403"/>
      <c r="Q829" s="404"/>
      <c r="R829" s="405"/>
      <c r="S829" s="404"/>
      <c r="T829" s="406"/>
      <c r="U829" s="404"/>
      <c r="V829" s="404"/>
      <c r="W829" s="407"/>
      <c r="X829" s="408"/>
      <c r="Y829" s="409"/>
      <c r="Z829" s="403"/>
      <c r="AA829" s="405"/>
      <c r="AB829" s="405"/>
      <c r="AC829" s="410"/>
      <c r="AD829" s="410"/>
      <c r="AE829" s="410"/>
      <c r="AF829" s="411"/>
    </row>
    <row r="830" spans="1:32" x14ac:dyDescent="0.2">
      <c r="A830" s="412">
        <f t="shared" si="48"/>
        <v>3611</v>
      </c>
      <c r="B830" s="132" t="s">
        <v>918</v>
      </c>
      <c r="D830" s="6">
        <f>VLOOKUP(F830,Baupläne!$A$2:$I$2011,9,FALSE)</f>
        <v>3</v>
      </c>
      <c r="E830" s="7" t="s">
        <v>781</v>
      </c>
      <c r="F830" s="8">
        <v>2611</v>
      </c>
      <c r="G830" s="1">
        <f>VLOOKUP(F830,Baupläne!$A$2:$I$2011,8,FALSE)</f>
        <v>63</v>
      </c>
      <c r="H830" s="6">
        <v>2</v>
      </c>
      <c r="I830" s="6">
        <v>35</v>
      </c>
      <c r="J830" s="3">
        <v>100</v>
      </c>
      <c r="K830" s="57">
        <v>1000</v>
      </c>
      <c r="L830" s="178">
        <v>1</v>
      </c>
      <c r="N830" s="59">
        <f>VLOOKUP(F830,Baupläne!$B$2:$X$1019,23,FALSE)</f>
        <v>5500</v>
      </c>
    </row>
    <row r="831" spans="1:32" x14ac:dyDescent="0.2">
      <c r="A831" s="412">
        <f t="shared" si="48"/>
        <v>3612</v>
      </c>
      <c r="B831" s="132" t="s">
        <v>919</v>
      </c>
      <c r="D831" s="6">
        <f>VLOOKUP(F831,Baupläne!$A$2:$I$2011,9,FALSE)</f>
        <v>8</v>
      </c>
      <c r="E831" s="7" t="s">
        <v>781</v>
      </c>
      <c r="F831" s="8">
        <v>2612</v>
      </c>
      <c r="G831" s="1">
        <f>VLOOKUP(F831,Baupläne!$A$2:$I$2011,8,FALSE)</f>
        <v>63</v>
      </c>
      <c r="H831" s="6">
        <v>2</v>
      </c>
      <c r="I831" s="6">
        <v>35</v>
      </c>
      <c r="J831" s="3">
        <v>100</v>
      </c>
      <c r="K831" s="57">
        <v>1000</v>
      </c>
      <c r="L831" s="178">
        <v>1</v>
      </c>
      <c r="N831" s="59">
        <f>VLOOKUP(F831,Baupläne!$B$2:$X$1019,23,FALSE)</f>
        <v>11100</v>
      </c>
    </row>
    <row r="832" spans="1:32" x14ac:dyDescent="0.2">
      <c r="A832" s="412">
        <f t="shared" si="48"/>
        <v>3613</v>
      </c>
      <c r="B832" s="132" t="s">
        <v>920</v>
      </c>
      <c r="D832" s="6">
        <f>VLOOKUP(F832,Baupläne!$A$2:$I$2011,9,FALSE)</f>
        <v>13</v>
      </c>
      <c r="E832" s="7" t="s">
        <v>781</v>
      </c>
      <c r="F832" s="8">
        <v>2613</v>
      </c>
      <c r="G832" s="1">
        <f>VLOOKUP(F832,Baupläne!$A$2:$I$2011,8,FALSE)</f>
        <v>63</v>
      </c>
      <c r="H832" s="6">
        <v>2</v>
      </c>
      <c r="I832" s="6">
        <v>35</v>
      </c>
      <c r="J832" s="3">
        <v>100</v>
      </c>
      <c r="K832" s="57">
        <v>1000</v>
      </c>
      <c r="L832" s="178">
        <v>1</v>
      </c>
      <c r="N832" s="59">
        <f>VLOOKUP(F832,Baupläne!$B$2:$X$1019,23,FALSE)</f>
        <v>22300</v>
      </c>
    </row>
    <row r="833" spans="1:32" x14ac:dyDescent="0.2">
      <c r="A833" s="412">
        <f t="shared" si="48"/>
        <v>3614</v>
      </c>
      <c r="B833" s="132" t="s">
        <v>921</v>
      </c>
      <c r="D833" s="6">
        <f>VLOOKUP(F833,Baupläne!$A$2:$I$2011,9,FALSE)</f>
        <v>18</v>
      </c>
      <c r="E833" s="7" t="s">
        <v>781</v>
      </c>
      <c r="F833" s="8">
        <v>2614</v>
      </c>
      <c r="G833" s="1">
        <f>VLOOKUP(F833,Baupläne!$A$2:$I$2011,8,FALSE)</f>
        <v>63</v>
      </c>
      <c r="H833" s="6">
        <v>2</v>
      </c>
      <c r="I833" s="6">
        <v>35</v>
      </c>
      <c r="J833" s="3">
        <v>100</v>
      </c>
      <c r="K833" s="57">
        <v>1000</v>
      </c>
      <c r="L833" s="178">
        <v>1</v>
      </c>
      <c r="N833" s="59">
        <f>VLOOKUP(F833,Baupläne!$B$2:$X$1019,23,FALSE)</f>
        <v>42300</v>
      </c>
    </row>
    <row r="834" spans="1:32" x14ac:dyDescent="0.2">
      <c r="A834" s="412">
        <f t="shared" si="48"/>
        <v>3615</v>
      </c>
      <c r="B834" s="132" t="s">
        <v>922</v>
      </c>
      <c r="D834" s="6">
        <f>VLOOKUP(F834,Baupläne!$A$2:$I$2011,9,FALSE)</f>
        <v>24</v>
      </c>
      <c r="E834" s="7" t="s">
        <v>781</v>
      </c>
      <c r="F834" s="8">
        <v>2615</v>
      </c>
      <c r="G834" s="1">
        <f>VLOOKUP(F834,Baupläne!$A$2:$I$2011,8,FALSE)</f>
        <v>63</v>
      </c>
      <c r="H834" s="6">
        <v>2</v>
      </c>
      <c r="I834" s="6">
        <v>35</v>
      </c>
      <c r="J834" s="3">
        <v>100</v>
      </c>
      <c r="K834" s="57">
        <v>1000</v>
      </c>
      <c r="L834" s="178">
        <v>1</v>
      </c>
      <c r="N834" s="59">
        <f>VLOOKUP(F834,Baupläne!$B$2:$X$1019,23,FALSE)</f>
        <v>82300</v>
      </c>
    </row>
    <row r="835" spans="1:32" x14ac:dyDescent="0.2">
      <c r="A835" s="399"/>
      <c r="B835" s="400"/>
      <c r="C835" s="193"/>
      <c r="D835" s="194"/>
      <c r="E835" s="195"/>
      <c r="F835" s="196"/>
      <c r="G835" s="193"/>
      <c r="H835" s="194"/>
      <c r="I835" s="194"/>
      <c r="J835" s="193"/>
      <c r="K835" s="198"/>
      <c r="L835" s="194"/>
      <c r="M835" s="199"/>
      <c r="N835" s="401"/>
      <c r="O835" s="402"/>
      <c r="P835" s="403"/>
      <c r="Q835" s="404"/>
      <c r="R835" s="405"/>
      <c r="S835" s="404"/>
      <c r="T835" s="406"/>
      <c r="U835" s="404"/>
      <c r="V835" s="404"/>
      <c r="W835" s="407"/>
      <c r="X835" s="408"/>
      <c r="Y835" s="409"/>
      <c r="Z835" s="403"/>
      <c r="AA835" s="405"/>
      <c r="AB835" s="405"/>
      <c r="AC835" s="410"/>
      <c r="AD835" s="410"/>
      <c r="AE835" s="410"/>
      <c r="AF835" s="411"/>
    </row>
    <row r="836" spans="1:32" x14ac:dyDescent="0.2">
      <c r="A836" s="412">
        <f t="shared" si="48"/>
        <v>3621</v>
      </c>
      <c r="B836" s="132" t="s">
        <v>923</v>
      </c>
      <c r="D836" s="6">
        <f>VLOOKUP(F836,Baupläne!$A$2:$I$2011,9,FALSE)</f>
        <v>3</v>
      </c>
      <c r="E836" s="7" t="s">
        <v>781</v>
      </c>
      <c r="F836" s="8">
        <v>2621</v>
      </c>
      <c r="G836" s="1">
        <f>VLOOKUP(F836,Baupläne!$A$2:$I$2011,8,FALSE)</f>
        <v>63</v>
      </c>
      <c r="H836" s="6">
        <v>2</v>
      </c>
      <c r="I836" s="6">
        <v>35</v>
      </c>
      <c r="J836" s="3">
        <v>100</v>
      </c>
      <c r="K836" s="57">
        <v>1000</v>
      </c>
      <c r="L836" s="178">
        <v>1</v>
      </c>
      <c r="N836" s="59">
        <f>VLOOKUP(F836,Baupläne!$B$2:$X$1019,23,FALSE)</f>
        <v>5500</v>
      </c>
    </row>
    <row r="837" spans="1:32" x14ac:dyDescent="0.2">
      <c r="A837" s="412">
        <f t="shared" si="48"/>
        <v>3622</v>
      </c>
      <c r="B837" s="132" t="s">
        <v>924</v>
      </c>
      <c r="D837" s="6">
        <f>VLOOKUP(F837,Baupläne!$A$2:$I$2011,9,FALSE)</f>
        <v>8</v>
      </c>
      <c r="E837" s="7" t="s">
        <v>781</v>
      </c>
      <c r="F837" s="8">
        <v>2622</v>
      </c>
      <c r="G837" s="1">
        <f>VLOOKUP(F837,Baupläne!$A$2:$I$2011,8,FALSE)</f>
        <v>63</v>
      </c>
      <c r="H837" s="6">
        <v>2</v>
      </c>
      <c r="I837" s="6">
        <v>35</v>
      </c>
      <c r="J837" s="3">
        <v>100</v>
      </c>
      <c r="K837" s="57">
        <v>1000</v>
      </c>
      <c r="L837" s="178">
        <v>1</v>
      </c>
      <c r="N837" s="59">
        <f>VLOOKUP(F837,Baupläne!$B$2:$X$1019,23,FALSE)</f>
        <v>11100</v>
      </c>
    </row>
    <row r="838" spans="1:32" x14ac:dyDescent="0.2">
      <c r="A838" s="412">
        <f t="shared" si="48"/>
        <v>3623</v>
      </c>
      <c r="B838" s="132" t="s">
        <v>925</v>
      </c>
      <c r="D838" s="6">
        <f>VLOOKUP(F838,Baupläne!$A$2:$I$2011,9,FALSE)</f>
        <v>13</v>
      </c>
      <c r="E838" s="7" t="s">
        <v>781</v>
      </c>
      <c r="F838" s="8">
        <v>2623</v>
      </c>
      <c r="G838" s="1">
        <f>VLOOKUP(F838,Baupläne!$A$2:$I$2011,8,FALSE)</f>
        <v>63</v>
      </c>
      <c r="H838" s="6">
        <v>2</v>
      </c>
      <c r="I838" s="6">
        <v>35</v>
      </c>
      <c r="J838" s="3">
        <v>100</v>
      </c>
      <c r="K838" s="57">
        <v>1000</v>
      </c>
      <c r="L838" s="178">
        <v>1</v>
      </c>
      <c r="N838" s="59">
        <f>VLOOKUP(F838,Baupläne!$B$2:$X$1019,23,FALSE)</f>
        <v>22300</v>
      </c>
    </row>
    <row r="839" spans="1:32" x14ac:dyDescent="0.2">
      <c r="A839" s="412">
        <f t="shared" si="48"/>
        <v>3624</v>
      </c>
      <c r="B839" s="132" t="s">
        <v>926</v>
      </c>
      <c r="D839" s="6">
        <f>VLOOKUP(F839,Baupläne!$A$2:$I$2011,9,FALSE)</f>
        <v>18</v>
      </c>
      <c r="E839" s="7" t="s">
        <v>781</v>
      </c>
      <c r="F839" s="8">
        <v>2624</v>
      </c>
      <c r="G839" s="1">
        <f>VLOOKUP(F839,Baupläne!$A$2:$I$2011,8,FALSE)</f>
        <v>63</v>
      </c>
      <c r="H839" s="6">
        <v>2</v>
      </c>
      <c r="I839" s="6">
        <v>35</v>
      </c>
      <c r="J839" s="3">
        <v>100</v>
      </c>
      <c r="K839" s="57">
        <v>1000</v>
      </c>
      <c r="L839" s="178">
        <v>1</v>
      </c>
      <c r="N839" s="59">
        <f>VLOOKUP(F839,Baupläne!$B$2:$X$1019,23,FALSE)</f>
        <v>42300</v>
      </c>
    </row>
    <row r="840" spans="1:32" x14ac:dyDescent="0.2">
      <c r="A840" s="412">
        <f t="shared" si="48"/>
        <v>3625</v>
      </c>
      <c r="B840" s="132" t="s">
        <v>927</v>
      </c>
      <c r="D840" s="6">
        <f>VLOOKUP(F840,Baupläne!$A$2:$I$2011,9,FALSE)</f>
        <v>24</v>
      </c>
      <c r="E840" s="7" t="s">
        <v>781</v>
      </c>
      <c r="F840" s="8">
        <v>2625</v>
      </c>
      <c r="G840" s="1">
        <f>VLOOKUP(F840,Baupläne!$A$2:$I$2011,8,FALSE)</f>
        <v>63</v>
      </c>
      <c r="H840" s="6">
        <v>2</v>
      </c>
      <c r="I840" s="6">
        <v>35</v>
      </c>
      <c r="J840" s="3">
        <v>100</v>
      </c>
      <c r="K840" s="57">
        <v>1000</v>
      </c>
      <c r="L840" s="178">
        <v>1</v>
      </c>
      <c r="N840" s="59">
        <f>VLOOKUP(F840,Baupläne!$B$2:$X$1019,23,FALSE)</f>
        <v>82300</v>
      </c>
    </row>
    <row r="841" spans="1:32" x14ac:dyDescent="0.2">
      <c r="A841" s="399"/>
      <c r="B841" s="400"/>
      <c r="C841" s="193"/>
      <c r="D841" s="194"/>
      <c r="E841" s="195"/>
      <c r="F841" s="196"/>
      <c r="G841" s="193"/>
      <c r="H841" s="194"/>
      <c r="I841" s="194"/>
      <c r="J841" s="193"/>
      <c r="K841" s="198"/>
      <c r="L841" s="194"/>
      <c r="M841" s="199"/>
      <c r="N841" s="401"/>
      <c r="O841" s="402"/>
      <c r="P841" s="403"/>
      <c r="Q841" s="404"/>
      <c r="R841" s="405"/>
      <c r="S841" s="404"/>
      <c r="T841" s="406"/>
      <c r="U841" s="404"/>
      <c r="V841" s="404"/>
      <c r="W841" s="407"/>
      <c r="X841" s="408"/>
      <c r="Y841" s="409"/>
      <c r="Z841" s="403"/>
      <c r="AA841" s="405"/>
      <c r="AB841" s="405"/>
      <c r="AC841" s="410"/>
      <c r="AD841" s="410"/>
      <c r="AE841" s="410"/>
      <c r="AF841" s="411"/>
    </row>
    <row r="842" spans="1:32" x14ac:dyDescent="0.2">
      <c r="A842" s="412">
        <f t="shared" si="48"/>
        <v>3631</v>
      </c>
      <c r="B842" s="132" t="s">
        <v>928</v>
      </c>
      <c r="D842" s="6">
        <f>VLOOKUP(F842,Baupläne!$A$2:$I$2011,9,FALSE)</f>
        <v>3</v>
      </c>
      <c r="E842" s="7" t="s">
        <v>781</v>
      </c>
      <c r="F842" s="8">
        <v>2631</v>
      </c>
      <c r="G842" s="1">
        <f>VLOOKUP(F842,Baupläne!$A$2:$I$2011,8,FALSE)</f>
        <v>63</v>
      </c>
      <c r="H842" s="6">
        <v>2</v>
      </c>
      <c r="I842" s="6">
        <v>35</v>
      </c>
      <c r="J842" s="3">
        <v>100</v>
      </c>
      <c r="K842" s="57">
        <v>1000</v>
      </c>
      <c r="L842" s="178">
        <v>1</v>
      </c>
      <c r="N842" s="59">
        <f>VLOOKUP(F842,Baupläne!$B$2:$X$1019,23,FALSE)</f>
        <v>5500</v>
      </c>
    </row>
    <row r="843" spans="1:32" x14ac:dyDescent="0.2">
      <c r="A843" s="412">
        <f t="shared" si="48"/>
        <v>3632</v>
      </c>
      <c r="B843" s="132" t="s">
        <v>929</v>
      </c>
      <c r="D843" s="6">
        <f>VLOOKUP(F843,Baupläne!$A$2:$I$2011,9,FALSE)</f>
        <v>8</v>
      </c>
      <c r="E843" s="7" t="s">
        <v>781</v>
      </c>
      <c r="F843" s="8">
        <v>2632</v>
      </c>
      <c r="G843" s="1">
        <f>VLOOKUP(F843,Baupläne!$A$2:$I$2011,8,FALSE)</f>
        <v>63</v>
      </c>
      <c r="H843" s="6">
        <v>2</v>
      </c>
      <c r="I843" s="6">
        <v>35</v>
      </c>
      <c r="J843" s="3">
        <v>100</v>
      </c>
      <c r="K843" s="57">
        <v>1000</v>
      </c>
      <c r="L843" s="178">
        <v>1</v>
      </c>
      <c r="N843" s="59">
        <f>VLOOKUP(F843,Baupläne!$B$2:$X$1019,23,FALSE)</f>
        <v>11100</v>
      </c>
    </row>
    <row r="844" spans="1:32" x14ac:dyDescent="0.2">
      <c r="A844" s="412">
        <f t="shared" si="48"/>
        <v>3633</v>
      </c>
      <c r="B844" s="132" t="s">
        <v>930</v>
      </c>
      <c r="D844" s="6">
        <f>VLOOKUP(F844,Baupläne!$A$2:$I$2011,9,FALSE)</f>
        <v>13</v>
      </c>
      <c r="E844" s="7" t="s">
        <v>781</v>
      </c>
      <c r="F844" s="8">
        <v>2633</v>
      </c>
      <c r="G844" s="1">
        <f>VLOOKUP(F844,Baupläne!$A$2:$I$2011,8,FALSE)</f>
        <v>63</v>
      </c>
      <c r="H844" s="6">
        <v>2</v>
      </c>
      <c r="I844" s="6">
        <v>35</v>
      </c>
      <c r="J844" s="3">
        <v>100</v>
      </c>
      <c r="K844" s="57">
        <v>1000</v>
      </c>
      <c r="L844" s="178">
        <v>1</v>
      </c>
      <c r="N844" s="59">
        <f>VLOOKUP(F844,Baupläne!$B$2:$X$1019,23,FALSE)</f>
        <v>22300</v>
      </c>
    </row>
    <row r="845" spans="1:32" x14ac:dyDescent="0.2">
      <c r="A845" s="412">
        <f t="shared" si="48"/>
        <v>3634</v>
      </c>
      <c r="B845" s="132" t="s">
        <v>931</v>
      </c>
      <c r="D845" s="6">
        <f>VLOOKUP(F845,Baupläne!$A$2:$I$2011,9,FALSE)</f>
        <v>18</v>
      </c>
      <c r="E845" s="7" t="s">
        <v>781</v>
      </c>
      <c r="F845" s="8">
        <v>2634</v>
      </c>
      <c r="G845" s="1">
        <f>VLOOKUP(F845,Baupläne!$A$2:$I$2011,8,FALSE)</f>
        <v>63</v>
      </c>
      <c r="H845" s="6">
        <v>2</v>
      </c>
      <c r="I845" s="6">
        <v>35</v>
      </c>
      <c r="J845" s="3">
        <v>100</v>
      </c>
      <c r="K845" s="57">
        <v>1000</v>
      </c>
      <c r="L845" s="178">
        <v>1</v>
      </c>
      <c r="N845" s="59">
        <f>VLOOKUP(F845,Baupläne!$B$2:$X$1019,23,FALSE)</f>
        <v>42300</v>
      </c>
    </row>
    <row r="846" spans="1:32" x14ac:dyDescent="0.2">
      <c r="A846" s="412">
        <f t="shared" si="48"/>
        <v>3635</v>
      </c>
      <c r="B846" s="132" t="s">
        <v>932</v>
      </c>
      <c r="D846" s="6">
        <f>VLOOKUP(F846,Baupläne!$A$2:$I$2011,9,FALSE)</f>
        <v>24</v>
      </c>
      <c r="E846" s="7" t="s">
        <v>781</v>
      </c>
      <c r="F846" s="8">
        <v>2635</v>
      </c>
      <c r="G846" s="1">
        <f>VLOOKUP(F846,Baupläne!$A$2:$I$2011,8,FALSE)</f>
        <v>63</v>
      </c>
      <c r="H846" s="6">
        <v>2</v>
      </c>
      <c r="I846" s="6">
        <v>35</v>
      </c>
      <c r="J846" s="3">
        <v>100</v>
      </c>
      <c r="K846" s="57">
        <v>1000</v>
      </c>
      <c r="L846" s="178">
        <v>1</v>
      </c>
      <c r="N846" s="59">
        <f>VLOOKUP(F846,Baupläne!$B$2:$X$1019,23,FALSE)</f>
        <v>82300</v>
      </c>
    </row>
    <row r="847" spans="1:32" x14ac:dyDescent="0.2">
      <c r="A847" s="794"/>
      <c r="B847" s="812" t="s">
        <v>1266</v>
      </c>
      <c r="C847" s="795"/>
      <c r="D847" s="796"/>
      <c r="E847" s="797"/>
      <c r="F847" s="798"/>
      <c r="G847" s="795"/>
      <c r="H847" s="796"/>
      <c r="I847" s="796"/>
      <c r="J847" s="795"/>
      <c r="K847" s="799"/>
      <c r="L847" s="796"/>
      <c r="M847" s="800"/>
      <c r="N847" s="801"/>
      <c r="O847" s="802"/>
      <c r="P847" s="803"/>
      <c r="Q847" s="804"/>
      <c r="R847" s="805"/>
      <c r="S847" s="804"/>
      <c r="T847" s="806"/>
      <c r="U847" s="804"/>
      <c r="V847" s="804"/>
      <c r="W847" s="807"/>
      <c r="X847" s="808"/>
      <c r="Y847" s="809"/>
      <c r="Z847" s="803"/>
      <c r="AA847" s="805"/>
      <c r="AB847" s="805"/>
      <c r="AC847" s="810"/>
      <c r="AD847" s="810"/>
      <c r="AE847" s="810"/>
      <c r="AF847" s="811"/>
    </row>
    <row r="848" spans="1:32" x14ac:dyDescent="0.2">
      <c r="A848" s="5">
        <v>4001</v>
      </c>
      <c r="B848" s="170" t="s">
        <v>1267</v>
      </c>
      <c r="E848" s="7" t="s">
        <v>1266</v>
      </c>
      <c r="K848" s="174">
        <v>0</v>
      </c>
      <c r="L848" s="6">
        <v>1</v>
      </c>
    </row>
    <row r="849" spans="1:32" x14ac:dyDescent="0.2">
      <c r="A849" s="794"/>
      <c r="B849" s="812" t="s">
        <v>1278</v>
      </c>
      <c r="C849" s="795"/>
      <c r="D849" s="796"/>
      <c r="E849" s="797"/>
      <c r="F849" s="798"/>
      <c r="G849" s="795"/>
      <c r="H849" s="796"/>
      <c r="I849" s="796"/>
      <c r="J849" s="795"/>
      <c r="K849" s="799"/>
      <c r="L849" s="796"/>
      <c r="M849" s="800"/>
      <c r="N849" s="801"/>
      <c r="O849" s="802"/>
      <c r="P849" s="803"/>
      <c r="Q849" s="804"/>
      <c r="R849" s="805"/>
      <c r="S849" s="804"/>
      <c r="T849" s="806"/>
      <c r="U849" s="804"/>
      <c r="V849" s="804"/>
      <c r="W849" s="807"/>
      <c r="X849" s="808"/>
      <c r="Y849" s="809"/>
      <c r="Z849" s="803"/>
      <c r="AA849" s="805"/>
      <c r="AB849" s="805"/>
      <c r="AC849" s="810"/>
      <c r="AD849" s="810"/>
      <c r="AE849" s="810"/>
      <c r="AF849" s="811"/>
    </row>
    <row r="850" spans="1:32" x14ac:dyDescent="0.2">
      <c r="A850" s="5">
        <v>4101</v>
      </c>
      <c r="B850" s="170" t="s">
        <v>1267</v>
      </c>
      <c r="E850" s="55" t="s">
        <v>195</v>
      </c>
      <c r="G850" s="1">
        <v>0</v>
      </c>
      <c r="H850" s="6">
        <v>1</v>
      </c>
      <c r="I850" s="6">
        <v>11</v>
      </c>
      <c r="J850" s="1">
        <v>100</v>
      </c>
      <c r="K850" s="9">
        <v>1000</v>
      </c>
      <c r="N850" s="11">
        <v>0</v>
      </c>
    </row>
    <row r="851" spans="1:32" x14ac:dyDescent="0.2">
      <c r="A851" s="5">
        <v>4102</v>
      </c>
      <c r="B851" s="170" t="s">
        <v>1268</v>
      </c>
      <c r="E851" s="55" t="s">
        <v>195</v>
      </c>
      <c r="G851" s="1">
        <v>0</v>
      </c>
      <c r="H851" s="6">
        <v>1</v>
      </c>
      <c r="I851" s="6">
        <v>11</v>
      </c>
      <c r="J851" s="1">
        <v>100</v>
      </c>
      <c r="K851" s="9">
        <v>1000</v>
      </c>
      <c r="N851" s="11">
        <v>0</v>
      </c>
    </row>
    <row r="852" spans="1:32" x14ac:dyDescent="0.2">
      <c r="A852" s="5">
        <v>4103</v>
      </c>
      <c r="B852" s="1" t="s">
        <v>1269</v>
      </c>
      <c r="E852" s="55" t="s">
        <v>195</v>
      </c>
      <c r="G852" s="1">
        <v>0</v>
      </c>
      <c r="H852" s="6">
        <v>1</v>
      </c>
      <c r="I852" s="6">
        <v>11</v>
      </c>
      <c r="J852" s="1">
        <v>100</v>
      </c>
      <c r="K852" s="9">
        <v>1000</v>
      </c>
      <c r="N852" s="11">
        <v>0</v>
      </c>
    </row>
    <row r="853" spans="1:32" x14ac:dyDescent="0.2">
      <c r="A853" s="5">
        <v>4104</v>
      </c>
      <c r="B853" s="1" t="s">
        <v>1270</v>
      </c>
      <c r="E853" s="55" t="s">
        <v>195</v>
      </c>
      <c r="G853" s="1">
        <v>0</v>
      </c>
      <c r="H853" s="6">
        <v>1</v>
      </c>
      <c r="I853" s="6">
        <v>11</v>
      </c>
      <c r="J853" s="1">
        <v>100</v>
      </c>
      <c r="K853" s="9">
        <v>1000</v>
      </c>
      <c r="N853" s="11">
        <v>0</v>
      </c>
    </row>
    <row r="854" spans="1:32" x14ac:dyDescent="0.2">
      <c r="A854" s="5">
        <v>4105</v>
      </c>
      <c r="B854" s="1" t="s">
        <v>1271</v>
      </c>
      <c r="E854" s="55" t="s">
        <v>195</v>
      </c>
      <c r="G854" s="1">
        <v>0</v>
      </c>
      <c r="H854" s="6">
        <v>1</v>
      </c>
      <c r="I854" s="6">
        <v>11</v>
      </c>
      <c r="J854" s="1">
        <v>100</v>
      </c>
      <c r="K854" s="9">
        <v>1000</v>
      </c>
      <c r="N854" s="11">
        <v>0</v>
      </c>
    </row>
    <row r="855" spans="1:32" x14ac:dyDescent="0.2">
      <c r="A855" s="5">
        <v>4106</v>
      </c>
      <c r="B855" s="1" t="s">
        <v>1272</v>
      </c>
      <c r="E855" s="55" t="s">
        <v>195</v>
      </c>
      <c r="G855" s="1">
        <v>0</v>
      </c>
      <c r="H855" s="6">
        <v>1</v>
      </c>
      <c r="I855" s="6">
        <v>11</v>
      </c>
      <c r="J855" s="1">
        <v>100</v>
      </c>
      <c r="K855" s="9">
        <v>1000</v>
      </c>
      <c r="N855" s="11">
        <v>0</v>
      </c>
    </row>
    <row r="856" spans="1:32" x14ac:dyDescent="0.2">
      <c r="A856" s="5">
        <v>4107</v>
      </c>
      <c r="B856" s="1" t="s">
        <v>1273</v>
      </c>
      <c r="E856" s="55" t="s">
        <v>195</v>
      </c>
      <c r="G856" s="1">
        <v>0</v>
      </c>
      <c r="H856" s="6">
        <v>1</v>
      </c>
      <c r="I856" s="6">
        <v>12</v>
      </c>
      <c r="J856" s="1">
        <v>100</v>
      </c>
      <c r="K856" s="9">
        <v>1000</v>
      </c>
      <c r="N856" s="11">
        <v>0</v>
      </c>
    </row>
    <row r="857" spans="1:32" x14ac:dyDescent="0.2">
      <c r="A857" s="5">
        <v>4108</v>
      </c>
      <c r="B857" s="1" t="s">
        <v>1274</v>
      </c>
      <c r="E857" s="55" t="s">
        <v>195</v>
      </c>
      <c r="G857" s="1">
        <v>0</v>
      </c>
      <c r="H857" s="6">
        <v>1</v>
      </c>
      <c r="I857" s="6">
        <v>12</v>
      </c>
      <c r="J857" s="1">
        <v>100</v>
      </c>
      <c r="K857" s="9">
        <v>1000</v>
      </c>
      <c r="N857" s="11">
        <v>0</v>
      </c>
    </row>
    <row r="858" spans="1:32" x14ac:dyDescent="0.2">
      <c r="A858" s="5">
        <v>4109</v>
      </c>
      <c r="B858" s="1" t="s">
        <v>1275</v>
      </c>
      <c r="E858" s="55" t="s">
        <v>195</v>
      </c>
      <c r="G858" s="1">
        <v>0</v>
      </c>
      <c r="H858" s="6">
        <v>1</v>
      </c>
      <c r="I858" s="6">
        <v>12</v>
      </c>
      <c r="J858" s="1">
        <v>100</v>
      </c>
      <c r="K858" s="9">
        <v>1000</v>
      </c>
      <c r="N858" s="11">
        <v>0</v>
      </c>
    </row>
    <row r="859" spans="1:32" x14ac:dyDescent="0.2">
      <c r="A859" s="5">
        <v>4110</v>
      </c>
      <c r="B859" s="1" t="s">
        <v>1276</v>
      </c>
      <c r="E859" s="55" t="s">
        <v>195</v>
      </c>
      <c r="G859" s="1">
        <v>0</v>
      </c>
      <c r="H859" s="6">
        <v>1</v>
      </c>
      <c r="I859" s="6">
        <v>12</v>
      </c>
      <c r="J859" s="1">
        <v>100</v>
      </c>
      <c r="K859" s="9">
        <v>1000</v>
      </c>
      <c r="N859" s="11">
        <v>0</v>
      </c>
    </row>
    <row r="860" spans="1:32" x14ac:dyDescent="0.2">
      <c r="A860" s="5">
        <v>4111</v>
      </c>
      <c r="B860" s="1" t="s">
        <v>1277</v>
      </c>
      <c r="E860" s="55" t="s">
        <v>195</v>
      </c>
      <c r="G860" s="1">
        <v>0</v>
      </c>
      <c r="H860" s="6">
        <v>1</v>
      </c>
      <c r="I860" s="6">
        <v>12</v>
      </c>
      <c r="J860" s="1">
        <v>100</v>
      </c>
      <c r="K860" s="9">
        <v>1000</v>
      </c>
      <c r="N860" s="11">
        <v>0</v>
      </c>
    </row>
    <row r="861" spans="1:32" x14ac:dyDescent="0.2">
      <c r="A861" s="5">
        <v>4112</v>
      </c>
      <c r="B861" s="1" t="s">
        <v>1279</v>
      </c>
      <c r="E861" s="55" t="s">
        <v>195</v>
      </c>
      <c r="G861" s="1">
        <v>0</v>
      </c>
      <c r="H861" s="6">
        <v>1</v>
      </c>
      <c r="I861" s="6">
        <v>13</v>
      </c>
      <c r="J861" s="1">
        <v>100</v>
      </c>
      <c r="K861" s="9">
        <v>1000</v>
      </c>
      <c r="N861" s="11">
        <v>0</v>
      </c>
    </row>
    <row r="862" spans="1:32" x14ac:dyDescent="0.2">
      <c r="A862" s="5">
        <v>4113</v>
      </c>
      <c r="B862" s="1" t="s">
        <v>1280</v>
      </c>
      <c r="E862" s="55" t="s">
        <v>195</v>
      </c>
      <c r="G862" s="1">
        <v>0</v>
      </c>
      <c r="H862" s="6">
        <v>1</v>
      </c>
      <c r="I862" s="6">
        <v>13</v>
      </c>
      <c r="J862" s="1">
        <v>100</v>
      </c>
      <c r="K862" s="9">
        <v>1000</v>
      </c>
      <c r="N862" s="11">
        <v>0</v>
      </c>
    </row>
    <row r="863" spans="1:32" x14ac:dyDescent="0.2">
      <c r="A863" s="5">
        <v>4114</v>
      </c>
      <c r="B863" s="1" t="s">
        <v>1281</v>
      </c>
      <c r="E863" s="55" t="s">
        <v>195</v>
      </c>
      <c r="G863" s="1">
        <v>0</v>
      </c>
      <c r="H863" s="6">
        <v>1</v>
      </c>
      <c r="I863" s="6">
        <v>13</v>
      </c>
      <c r="J863" s="1">
        <v>100</v>
      </c>
      <c r="K863" s="9">
        <v>1000</v>
      </c>
      <c r="N863" s="11">
        <v>0</v>
      </c>
    </row>
    <row r="864" spans="1:32" x14ac:dyDescent="0.2">
      <c r="A864" s="5">
        <v>4115</v>
      </c>
      <c r="B864" s="1" t="s">
        <v>1282</v>
      </c>
      <c r="E864" s="55" t="s">
        <v>195</v>
      </c>
      <c r="G864" s="1">
        <v>0</v>
      </c>
      <c r="H864" s="6">
        <v>1</v>
      </c>
      <c r="I864" s="6">
        <v>13</v>
      </c>
      <c r="J864" s="1">
        <v>100</v>
      </c>
      <c r="K864" s="9">
        <v>1000</v>
      </c>
      <c r="N864" s="11">
        <v>0</v>
      </c>
    </row>
    <row r="865" spans="1:22" x14ac:dyDescent="0.2">
      <c r="A865" s="5">
        <v>4116</v>
      </c>
      <c r="B865" s="1" t="s">
        <v>1283</v>
      </c>
      <c r="E865" s="55" t="s">
        <v>195</v>
      </c>
      <c r="G865" s="1">
        <v>0</v>
      </c>
      <c r="H865" s="6">
        <v>1</v>
      </c>
      <c r="I865" s="6">
        <v>13</v>
      </c>
      <c r="J865" s="1">
        <v>100</v>
      </c>
      <c r="K865" s="9">
        <v>1000</v>
      </c>
      <c r="N865" s="11">
        <v>0</v>
      </c>
    </row>
    <row r="866" spans="1:22" x14ac:dyDescent="0.2">
      <c r="A866" s="5">
        <v>4117</v>
      </c>
      <c r="B866" s="1" t="s">
        <v>1284</v>
      </c>
      <c r="E866" s="55" t="s">
        <v>195</v>
      </c>
      <c r="G866" s="1">
        <v>0</v>
      </c>
      <c r="H866" s="6">
        <v>1</v>
      </c>
      <c r="I866" s="6">
        <v>14</v>
      </c>
      <c r="J866" s="1">
        <v>100</v>
      </c>
      <c r="K866" s="9">
        <v>1000</v>
      </c>
      <c r="N866" s="11">
        <v>0</v>
      </c>
    </row>
    <row r="867" spans="1:22" x14ac:dyDescent="0.2">
      <c r="A867" s="5">
        <v>4118</v>
      </c>
      <c r="B867" s="1" t="s">
        <v>1285</v>
      </c>
      <c r="E867" s="55" t="s">
        <v>195</v>
      </c>
      <c r="G867" s="1">
        <v>0</v>
      </c>
      <c r="H867" s="6">
        <v>1</v>
      </c>
      <c r="I867" s="6">
        <v>14</v>
      </c>
      <c r="J867" s="1">
        <v>100</v>
      </c>
      <c r="K867" s="9">
        <v>1000</v>
      </c>
      <c r="N867" s="11">
        <v>0</v>
      </c>
    </row>
    <row r="868" spans="1:22" x14ac:dyDescent="0.2">
      <c r="A868" s="5">
        <v>4119</v>
      </c>
      <c r="B868" s="1" t="s">
        <v>1286</v>
      </c>
      <c r="E868" s="55" t="s">
        <v>195</v>
      </c>
      <c r="G868" s="1">
        <v>0</v>
      </c>
      <c r="H868" s="6">
        <v>1</v>
      </c>
      <c r="I868" s="6">
        <v>14</v>
      </c>
      <c r="J868" s="1">
        <v>100</v>
      </c>
      <c r="K868" s="9">
        <v>1000</v>
      </c>
      <c r="N868" s="11">
        <v>0</v>
      </c>
    </row>
    <row r="869" spans="1:22" x14ac:dyDescent="0.2">
      <c r="A869" s="5">
        <v>4120</v>
      </c>
      <c r="B869" s="1" t="s">
        <v>1287</v>
      </c>
      <c r="E869" s="55" t="s">
        <v>195</v>
      </c>
      <c r="G869" s="1">
        <v>0</v>
      </c>
      <c r="H869" s="6">
        <v>1</v>
      </c>
      <c r="I869" s="6">
        <v>14</v>
      </c>
      <c r="J869" s="1">
        <v>100</v>
      </c>
      <c r="K869" s="9">
        <v>1000</v>
      </c>
      <c r="N869" s="11">
        <v>0</v>
      </c>
    </row>
    <row r="870" spans="1:22" x14ac:dyDescent="0.2">
      <c r="A870" s="5">
        <v>4121</v>
      </c>
      <c r="B870" s="1" t="s">
        <v>1288</v>
      </c>
      <c r="E870" s="55" t="s">
        <v>195</v>
      </c>
      <c r="G870" s="1">
        <v>0</v>
      </c>
      <c r="H870" s="6">
        <v>1</v>
      </c>
      <c r="I870" s="6">
        <v>15</v>
      </c>
      <c r="J870" s="1">
        <v>100</v>
      </c>
      <c r="K870" s="9">
        <v>1000</v>
      </c>
      <c r="N870" s="11">
        <v>0</v>
      </c>
    </row>
    <row r="871" spans="1:22" x14ac:dyDescent="0.2">
      <c r="A871" s="5">
        <v>4122</v>
      </c>
      <c r="B871" s="1" t="s">
        <v>1289</v>
      </c>
      <c r="E871" s="55" t="s">
        <v>195</v>
      </c>
      <c r="G871" s="1">
        <v>0</v>
      </c>
      <c r="H871" s="6">
        <v>1</v>
      </c>
      <c r="I871" s="6">
        <v>15</v>
      </c>
      <c r="J871" s="1">
        <v>100</v>
      </c>
      <c r="K871" s="9">
        <v>1000</v>
      </c>
      <c r="N871" s="11">
        <v>0</v>
      </c>
    </row>
    <row r="872" spans="1:22" x14ac:dyDescent="0.2">
      <c r="A872" s="5">
        <v>4123</v>
      </c>
      <c r="B872" s="1" t="s">
        <v>1290</v>
      </c>
      <c r="E872" s="55" t="s">
        <v>195</v>
      </c>
      <c r="G872" s="1">
        <v>0</v>
      </c>
      <c r="H872" s="6">
        <v>1</v>
      </c>
      <c r="I872" s="6">
        <v>15</v>
      </c>
      <c r="J872" s="1">
        <v>100</v>
      </c>
      <c r="K872" s="9">
        <v>1000</v>
      </c>
      <c r="N872" s="11">
        <v>0</v>
      </c>
    </row>
    <row r="873" spans="1:22" x14ac:dyDescent="0.2">
      <c r="A873" s="5">
        <v>4124</v>
      </c>
      <c r="B873" s="1" t="s">
        <v>1291</v>
      </c>
      <c r="E873" s="55" t="s">
        <v>195</v>
      </c>
      <c r="G873" s="1">
        <v>0</v>
      </c>
      <c r="H873" s="6">
        <v>1</v>
      </c>
      <c r="I873" s="6">
        <v>15</v>
      </c>
      <c r="J873" s="1">
        <v>100</v>
      </c>
      <c r="K873" s="9">
        <v>1000</v>
      </c>
      <c r="N873" s="11">
        <v>0</v>
      </c>
    </row>
    <row r="874" spans="1:22" x14ac:dyDescent="0.2">
      <c r="A874" s="5">
        <v>4125</v>
      </c>
      <c r="B874" s="1" t="s">
        <v>1292</v>
      </c>
      <c r="E874" s="55" t="s">
        <v>195</v>
      </c>
      <c r="G874" s="1">
        <v>0</v>
      </c>
      <c r="H874" s="6">
        <v>1</v>
      </c>
      <c r="I874" s="6">
        <v>15</v>
      </c>
      <c r="J874" s="1">
        <v>100</v>
      </c>
      <c r="K874" s="9">
        <v>1000</v>
      </c>
      <c r="N874" s="11">
        <v>0</v>
      </c>
    </row>
    <row r="875" spans="1:22" x14ac:dyDescent="0.2">
      <c r="A875" s="5">
        <v>4126</v>
      </c>
      <c r="B875" s="1" t="s">
        <v>1293</v>
      </c>
      <c r="E875" s="7" t="s">
        <v>259</v>
      </c>
      <c r="G875" s="1">
        <v>0</v>
      </c>
      <c r="H875" s="6">
        <v>1</v>
      </c>
      <c r="I875" s="6">
        <v>1</v>
      </c>
      <c r="J875" s="1">
        <v>100</v>
      </c>
      <c r="K875" s="9">
        <v>1000</v>
      </c>
      <c r="N875" s="11">
        <v>0</v>
      </c>
      <c r="O875" s="12">
        <v>3</v>
      </c>
      <c r="P875" s="290">
        <v>1</v>
      </c>
      <c r="Q875" s="220">
        <f>VLOOKUP(D875+1,Berechnungen!$A$3:$J$27,O875+5,FALSE)*P875*0.8</f>
        <v>12.265637426900582</v>
      </c>
      <c r="R875" s="292">
        <f t="shared" ref="R875:R884" si="49">$R$205</f>
        <v>0.2</v>
      </c>
      <c r="S875" s="14">
        <f t="shared" ref="S875:S884" si="50">ROUND(Q875-Q875*R875,0)</f>
        <v>10</v>
      </c>
      <c r="T875" s="16">
        <f t="shared" ref="T875:T884" si="51">ROUND(Q875+Q875*R875,0)</f>
        <v>15</v>
      </c>
      <c r="U875" s="14">
        <f t="shared" ref="U875:U884" si="52">O875*S875</f>
        <v>30</v>
      </c>
      <c r="V875" s="14">
        <f t="shared" ref="V875:V884" si="53">O875*T875</f>
        <v>45</v>
      </c>
    </row>
    <row r="876" spans="1:22" x14ac:dyDescent="0.2">
      <c r="A876" s="5">
        <v>4127</v>
      </c>
      <c r="B876" s="1" t="s">
        <v>1294</v>
      </c>
      <c r="E876" s="7" t="s">
        <v>265</v>
      </c>
      <c r="G876" s="1">
        <v>0</v>
      </c>
      <c r="H876" s="6">
        <v>1</v>
      </c>
      <c r="I876" s="6">
        <v>1</v>
      </c>
      <c r="J876" s="1">
        <v>100</v>
      </c>
      <c r="K876" s="9">
        <v>1000</v>
      </c>
      <c r="N876" s="11">
        <v>0</v>
      </c>
      <c r="O876" s="12">
        <v>2</v>
      </c>
      <c r="P876" s="290">
        <v>1.2</v>
      </c>
      <c r="Q876" s="220">
        <f>VLOOKUP(D876+1,Berechnungen!$A$3:$J$27,O876+5,FALSE)*P876*0.8</f>
        <v>26.704729824561397</v>
      </c>
      <c r="R876" s="292">
        <f t="shared" si="49"/>
        <v>0.2</v>
      </c>
      <c r="S876" s="14">
        <f t="shared" si="50"/>
        <v>21</v>
      </c>
      <c r="T876" s="16">
        <f t="shared" si="51"/>
        <v>32</v>
      </c>
      <c r="U876" s="14">
        <f t="shared" si="52"/>
        <v>42</v>
      </c>
      <c r="V876" s="14">
        <f t="shared" si="53"/>
        <v>64</v>
      </c>
    </row>
    <row r="877" spans="1:22" x14ac:dyDescent="0.2">
      <c r="A877" s="5">
        <v>4128</v>
      </c>
      <c r="B877" s="1" t="s">
        <v>1295</v>
      </c>
      <c r="E877" s="7" t="s">
        <v>259</v>
      </c>
      <c r="G877" s="1">
        <v>0</v>
      </c>
      <c r="H877" s="6">
        <v>1</v>
      </c>
      <c r="I877" s="6">
        <v>1</v>
      </c>
      <c r="J877" s="1">
        <v>100</v>
      </c>
      <c r="K877" s="9">
        <v>1000</v>
      </c>
      <c r="N877" s="11">
        <v>0</v>
      </c>
      <c r="O877" s="12">
        <v>3</v>
      </c>
      <c r="P877" s="290">
        <v>1</v>
      </c>
      <c r="Q877" s="220">
        <f>VLOOKUP(D877+1,Berechnungen!$A$3:$J$27,O877+5,FALSE)*P877*0.8</f>
        <v>12.265637426900582</v>
      </c>
      <c r="R877" s="292">
        <f t="shared" si="49"/>
        <v>0.2</v>
      </c>
      <c r="S877" s="14">
        <f t="shared" si="50"/>
        <v>10</v>
      </c>
      <c r="T877" s="16">
        <f t="shared" si="51"/>
        <v>15</v>
      </c>
      <c r="U877" s="14">
        <f t="shared" si="52"/>
        <v>30</v>
      </c>
      <c r="V877" s="14">
        <f t="shared" si="53"/>
        <v>45</v>
      </c>
    </row>
    <row r="878" spans="1:22" x14ac:dyDescent="0.2">
      <c r="A878" s="5">
        <v>4129</v>
      </c>
      <c r="B878" s="1" t="s">
        <v>1296</v>
      </c>
      <c r="E878" s="7" t="s">
        <v>263</v>
      </c>
      <c r="G878" s="1">
        <v>0</v>
      </c>
      <c r="H878" s="6">
        <v>1</v>
      </c>
      <c r="I878" s="6">
        <v>1</v>
      </c>
      <c r="J878" s="1">
        <v>100</v>
      </c>
      <c r="K878" s="9">
        <v>1000</v>
      </c>
      <c r="N878" s="11">
        <v>0</v>
      </c>
      <c r="O878" s="12">
        <v>3</v>
      </c>
      <c r="P878" s="290">
        <v>1</v>
      </c>
      <c r="Q878" s="220">
        <f>VLOOKUP(D878+1,Berechnungen!$A$3:$J$27,O878+5,FALSE)*P878*0.8</f>
        <v>12.265637426900582</v>
      </c>
      <c r="R878" s="292">
        <f t="shared" si="49"/>
        <v>0.2</v>
      </c>
      <c r="S878" s="14">
        <f t="shared" si="50"/>
        <v>10</v>
      </c>
      <c r="T878" s="16">
        <f t="shared" si="51"/>
        <v>15</v>
      </c>
      <c r="U878" s="14">
        <f t="shared" si="52"/>
        <v>30</v>
      </c>
      <c r="V878" s="14">
        <f t="shared" si="53"/>
        <v>45</v>
      </c>
    </row>
    <row r="879" spans="1:22" x14ac:dyDescent="0.2">
      <c r="A879" s="5">
        <v>4130</v>
      </c>
      <c r="B879" s="1" t="s">
        <v>1297</v>
      </c>
      <c r="E879" s="3" t="s">
        <v>267</v>
      </c>
      <c r="G879" s="1">
        <v>0</v>
      </c>
      <c r="H879" s="6">
        <v>1</v>
      </c>
      <c r="I879" s="6">
        <v>4</v>
      </c>
      <c r="J879" s="1">
        <v>100</v>
      </c>
      <c r="K879" s="9">
        <v>1000</v>
      </c>
      <c r="N879" s="11">
        <v>0</v>
      </c>
      <c r="O879" s="12">
        <v>3</v>
      </c>
      <c r="P879" s="290">
        <v>1</v>
      </c>
      <c r="Q879" s="220">
        <f>VLOOKUP(D879+1,Berechnungen!$A$3:$J$27,O879+5,FALSE)*P879*0.8</f>
        <v>12.265637426900582</v>
      </c>
      <c r="R879" s="292">
        <f t="shared" si="49"/>
        <v>0.2</v>
      </c>
      <c r="S879" s="14">
        <f t="shared" si="50"/>
        <v>10</v>
      </c>
      <c r="T879" s="16">
        <f t="shared" si="51"/>
        <v>15</v>
      </c>
      <c r="U879" s="14">
        <f t="shared" si="52"/>
        <v>30</v>
      </c>
      <c r="V879" s="14">
        <f t="shared" si="53"/>
        <v>45</v>
      </c>
    </row>
    <row r="880" spans="1:22" x14ac:dyDescent="0.2">
      <c r="A880" s="5">
        <v>4131</v>
      </c>
      <c r="B880" s="1" t="s">
        <v>1298</v>
      </c>
      <c r="E880" s="3" t="s">
        <v>398</v>
      </c>
      <c r="G880" s="1">
        <v>0</v>
      </c>
      <c r="H880" s="6">
        <v>1</v>
      </c>
      <c r="I880" s="6">
        <v>2</v>
      </c>
      <c r="J880" s="1">
        <v>100</v>
      </c>
      <c r="K880" s="9">
        <v>1000</v>
      </c>
      <c r="N880" s="11">
        <v>0</v>
      </c>
      <c r="O880" s="12">
        <v>2</v>
      </c>
      <c r="P880" s="290">
        <v>1.2</v>
      </c>
      <c r="Q880" s="220">
        <f>VLOOKUP(D880+1,Berechnungen!$A$3:$J$27,O880+5,FALSE)*P880*0.8</f>
        <v>26.704729824561397</v>
      </c>
      <c r="R880" s="292">
        <f t="shared" si="49"/>
        <v>0.2</v>
      </c>
      <c r="S880" s="14">
        <f t="shared" si="50"/>
        <v>21</v>
      </c>
      <c r="T880" s="16">
        <f t="shared" si="51"/>
        <v>32</v>
      </c>
      <c r="U880" s="14">
        <f t="shared" si="52"/>
        <v>42</v>
      </c>
      <c r="V880" s="14">
        <f t="shared" si="53"/>
        <v>64</v>
      </c>
    </row>
    <row r="881" spans="1:32" x14ac:dyDescent="0.2">
      <c r="A881" s="5">
        <v>4132</v>
      </c>
      <c r="B881" s="1" t="s">
        <v>1299</v>
      </c>
      <c r="E881" s="3" t="s">
        <v>259</v>
      </c>
      <c r="G881" s="1">
        <v>0</v>
      </c>
      <c r="H881" s="6">
        <v>1</v>
      </c>
      <c r="I881" s="6">
        <v>1</v>
      </c>
      <c r="J881" s="1">
        <v>100</v>
      </c>
      <c r="K881" s="9">
        <v>1000</v>
      </c>
      <c r="N881" s="11">
        <v>0</v>
      </c>
      <c r="O881" s="12">
        <v>3</v>
      </c>
      <c r="P881" s="290">
        <v>1</v>
      </c>
      <c r="Q881" s="220">
        <f>VLOOKUP(D881+1,Berechnungen!$A$3:$J$27,O881+5,FALSE)*P881*0.8</f>
        <v>12.265637426900582</v>
      </c>
      <c r="R881" s="292">
        <f t="shared" si="49"/>
        <v>0.2</v>
      </c>
      <c r="S881" s="14">
        <f t="shared" si="50"/>
        <v>10</v>
      </c>
      <c r="T881" s="16">
        <f t="shared" si="51"/>
        <v>15</v>
      </c>
      <c r="U881" s="14">
        <f t="shared" si="52"/>
        <v>30</v>
      </c>
      <c r="V881" s="14">
        <f t="shared" si="53"/>
        <v>45</v>
      </c>
    </row>
    <row r="882" spans="1:32" x14ac:dyDescent="0.2">
      <c r="A882" s="5">
        <v>4133</v>
      </c>
      <c r="B882" s="1" t="s">
        <v>1300</v>
      </c>
      <c r="E882" s="3" t="s">
        <v>368</v>
      </c>
      <c r="G882" s="1">
        <v>0</v>
      </c>
      <c r="H882" s="6">
        <v>1</v>
      </c>
      <c r="I882" s="6">
        <v>2</v>
      </c>
      <c r="J882" s="1">
        <v>100</v>
      </c>
      <c r="K882" s="9">
        <v>1000</v>
      </c>
      <c r="N882" s="11">
        <v>0</v>
      </c>
      <c r="O882" s="12">
        <v>2</v>
      </c>
      <c r="P882" s="290">
        <v>1.2</v>
      </c>
      <c r="Q882" s="220">
        <f>VLOOKUP(D882+1,Berechnungen!$A$3:$J$27,O882+5,FALSE)*P882*0.8</f>
        <v>26.704729824561397</v>
      </c>
      <c r="R882" s="292">
        <f t="shared" si="49"/>
        <v>0.2</v>
      </c>
      <c r="S882" s="14">
        <f t="shared" si="50"/>
        <v>21</v>
      </c>
      <c r="T882" s="16">
        <f t="shared" si="51"/>
        <v>32</v>
      </c>
      <c r="U882" s="14">
        <f t="shared" si="52"/>
        <v>42</v>
      </c>
      <c r="V882" s="14">
        <f t="shared" si="53"/>
        <v>64</v>
      </c>
    </row>
    <row r="883" spans="1:32" x14ac:dyDescent="0.2">
      <c r="A883" s="5">
        <v>4134</v>
      </c>
      <c r="B883" s="1" t="s">
        <v>1301</v>
      </c>
      <c r="E883" s="3" t="s">
        <v>398</v>
      </c>
      <c r="G883" s="1">
        <v>0</v>
      </c>
      <c r="H883" s="6">
        <v>1</v>
      </c>
      <c r="I883" s="6">
        <v>4</v>
      </c>
      <c r="J883" s="1">
        <v>100</v>
      </c>
      <c r="K883" s="9">
        <v>1000</v>
      </c>
      <c r="N883" s="11">
        <v>0</v>
      </c>
      <c r="O883" s="12">
        <v>2</v>
      </c>
      <c r="P883" s="290">
        <v>1.2</v>
      </c>
      <c r="Q883" s="220">
        <f>VLOOKUP(D883+1,Berechnungen!$A$3:$J$27,O883+5,FALSE)*P883*0.8</f>
        <v>26.704729824561397</v>
      </c>
      <c r="R883" s="292">
        <f t="shared" si="49"/>
        <v>0.2</v>
      </c>
      <c r="S883" s="14">
        <f t="shared" si="50"/>
        <v>21</v>
      </c>
      <c r="T883" s="16">
        <f t="shared" si="51"/>
        <v>32</v>
      </c>
      <c r="U883" s="14">
        <f t="shared" si="52"/>
        <v>42</v>
      </c>
      <c r="V883" s="14">
        <f t="shared" si="53"/>
        <v>64</v>
      </c>
    </row>
    <row r="884" spans="1:32" x14ac:dyDescent="0.2">
      <c r="A884" s="5">
        <v>4135</v>
      </c>
      <c r="B884" s="1" t="s">
        <v>1302</v>
      </c>
      <c r="E884" s="3" t="s">
        <v>257</v>
      </c>
      <c r="G884" s="1">
        <v>0</v>
      </c>
      <c r="H884" s="6">
        <v>1</v>
      </c>
      <c r="I884" s="6">
        <v>1</v>
      </c>
      <c r="J884" s="1">
        <v>100</v>
      </c>
      <c r="K884" s="9">
        <v>1000</v>
      </c>
      <c r="N884" s="11">
        <v>0</v>
      </c>
      <c r="O884" s="12">
        <v>3</v>
      </c>
      <c r="P884" s="290">
        <v>1</v>
      </c>
      <c r="Q884" s="220">
        <f>VLOOKUP(D884+1,Berechnungen!$A$3:$J$27,O884+5,FALSE)*P884*0.8</f>
        <v>12.265637426900582</v>
      </c>
      <c r="R884" s="292">
        <f t="shared" si="49"/>
        <v>0.2</v>
      </c>
      <c r="S884" s="14">
        <f t="shared" si="50"/>
        <v>10</v>
      </c>
      <c r="T884" s="16">
        <f t="shared" si="51"/>
        <v>15</v>
      </c>
      <c r="U884" s="14">
        <f t="shared" si="52"/>
        <v>30</v>
      </c>
      <c r="V884" s="14">
        <f t="shared" si="53"/>
        <v>45</v>
      </c>
    </row>
    <row r="885" spans="1:32" x14ac:dyDescent="0.2">
      <c r="A885" s="5">
        <v>4136</v>
      </c>
      <c r="B885" s="1" t="s">
        <v>1303</v>
      </c>
      <c r="C885" s="1" t="s">
        <v>308</v>
      </c>
      <c r="D885" s="6">
        <v>25</v>
      </c>
      <c r="E885" s="7" t="s">
        <v>324</v>
      </c>
      <c r="G885" s="1">
        <v>1</v>
      </c>
      <c r="H885" s="6">
        <v>1</v>
      </c>
      <c r="I885" s="6">
        <v>2</v>
      </c>
      <c r="J885" s="1">
        <v>100</v>
      </c>
      <c r="K885" s="9">
        <v>3500</v>
      </c>
      <c r="N885" s="59">
        <v>0</v>
      </c>
      <c r="O885" s="309">
        <f>$O$205</f>
        <v>3</v>
      </c>
      <c r="P885" s="290">
        <f>$P$205</f>
        <v>1.4</v>
      </c>
      <c r="Q885" s="291">
        <v>107</v>
      </c>
      <c r="R885" s="292">
        <f>$R$205</f>
        <v>0.2</v>
      </c>
      <c r="S885" s="14">
        <f>ROUND(Q885-Q885*R885,0)</f>
        <v>86</v>
      </c>
      <c r="T885" s="16">
        <f>ROUND(Q885+Q885*R885,0)</f>
        <v>128</v>
      </c>
      <c r="U885" s="14">
        <f>O885*S885</f>
        <v>258</v>
      </c>
      <c r="V885" s="14">
        <f>O885*T885</f>
        <v>384</v>
      </c>
      <c r="W885" s="222"/>
      <c r="X885" s="62"/>
      <c r="Y885" s="63"/>
      <c r="Z885" s="168"/>
      <c r="AA885" s="223"/>
      <c r="AB885" s="223"/>
      <c r="AC885" s="3"/>
      <c r="AD885" s="3"/>
      <c r="AE885" s="1"/>
      <c r="AF885" s="224"/>
    </row>
    <row r="886" spans="1:32" x14ac:dyDescent="0.2">
      <c r="A886" s="5">
        <v>4137</v>
      </c>
      <c r="B886" s="1" t="s">
        <v>1304</v>
      </c>
      <c r="E886" s="7" t="s">
        <v>277</v>
      </c>
      <c r="F886" s="219"/>
      <c r="G886" s="3">
        <v>0</v>
      </c>
      <c r="H886" s="54">
        <v>1</v>
      </c>
      <c r="I886" s="54">
        <v>4</v>
      </c>
      <c r="J886" s="3">
        <v>100</v>
      </c>
      <c r="K886" s="57">
        <v>1000</v>
      </c>
      <c r="L886" s="54"/>
      <c r="M886" s="58"/>
      <c r="N886" s="135"/>
      <c r="O886" s="142"/>
      <c r="P886" s="290"/>
      <c r="Q886" s="220"/>
      <c r="R886" s="292"/>
      <c r="W886" s="222"/>
      <c r="X886" s="62"/>
      <c r="Y886" s="63"/>
      <c r="Z886" s="168"/>
      <c r="AA886" s="223"/>
      <c r="AB886" s="223"/>
      <c r="AC886" s="3"/>
      <c r="AD886" s="3"/>
      <c r="AE886" s="1"/>
      <c r="AF886" s="224"/>
    </row>
    <row r="887" spans="1:32" x14ac:dyDescent="0.2">
      <c r="A887" s="5">
        <v>4138</v>
      </c>
      <c r="B887" t="s">
        <v>1327</v>
      </c>
      <c r="E887" s="55" t="s">
        <v>195</v>
      </c>
      <c r="G887" s="1">
        <v>0</v>
      </c>
      <c r="H887" s="6">
        <v>1</v>
      </c>
      <c r="I887" s="6">
        <v>11</v>
      </c>
      <c r="J887" s="1">
        <v>100</v>
      </c>
      <c r="K887" s="9">
        <v>1000</v>
      </c>
      <c r="N887" s="11">
        <v>0</v>
      </c>
    </row>
    <row r="888" spans="1:32" x14ac:dyDescent="0.2">
      <c r="A888" s="5">
        <v>4139</v>
      </c>
      <c r="B888" t="s">
        <v>1328</v>
      </c>
      <c r="E888" s="55" t="s">
        <v>195</v>
      </c>
      <c r="G888" s="1">
        <v>0</v>
      </c>
      <c r="H888" s="6">
        <v>1</v>
      </c>
      <c r="I888" s="6">
        <v>12</v>
      </c>
      <c r="J888" s="1">
        <v>100</v>
      </c>
      <c r="K888" s="9">
        <v>1000</v>
      </c>
      <c r="N888" s="11">
        <v>0</v>
      </c>
    </row>
    <row r="889" spans="1:32" x14ac:dyDescent="0.2">
      <c r="A889" s="5">
        <v>4140</v>
      </c>
      <c r="B889" t="s">
        <v>1329</v>
      </c>
      <c r="E889" s="55" t="s">
        <v>195</v>
      </c>
      <c r="G889" s="1">
        <v>0</v>
      </c>
      <c r="H889" s="6">
        <v>1</v>
      </c>
      <c r="I889" s="6">
        <v>15</v>
      </c>
      <c r="J889" s="1">
        <v>100</v>
      </c>
      <c r="K889" s="9">
        <v>1000</v>
      </c>
      <c r="N889" s="11">
        <v>0</v>
      </c>
    </row>
    <row r="890" spans="1:32" x14ac:dyDescent="0.2">
      <c r="E890" s="55"/>
      <c r="F890" s="219"/>
      <c r="G890" s="3"/>
      <c r="H890" s="54"/>
      <c r="I890" s="54"/>
      <c r="J890" s="3"/>
      <c r="K890" s="57"/>
      <c r="L890" s="54"/>
      <c r="M890" s="58"/>
      <c r="N890" s="135"/>
      <c r="O890" s="142"/>
      <c r="P890" s="129"/>
      <c r="Q890" s="220"/>
      <c r="R890" s="221"/>
      <c r="U890" s="3"/>
      <c r="V890" s="134"/>
      <c r="W890" s="222"/>
      <c r="X890" s="62"/>
      <c r="Y890" s="63"/>
      <c r="Z890" s="168"/>
      <c r="AA890" s="223"/>
      <c r="AB890" s="223"/>
      <c r="AC890" s="3"/>
      <c r="AD890" s="3"/>
      <c r="AE890" s="1"/>
      <c r="AF890" s="224"/>
    </row>
    <row r="891" spans="1:32" x14ac:dyDescent="0.2">
      <c r="E891" s="55"/>
      <c r="F891" s="219"/>
      <c r="G891" s="3"/>
      <c r="H891" s="54"/>
      <c r="I891" s="54"/>
      <c r="J891" s="3"/>
      <c r="K891" s="57"/>
      <c r="L891" s="54"/>
      <c r="M891" s="58"/>
      <c r="N891" s="135"/>
      <c r="O891" s="142"/>
      <c r="P891" s="129"/>
      <c r="Q891" s="220"/>
      <c r="R891" s="221"/>
      <c r="U891" s="3"/>
      <c r="V891" s="134"/>
      <c r="W891" s="222"/>
      <c r="X891" s="62"/>
      <c r="Y891" s="63"/>
      <c r="Z891" s="168"/>
      <c r="AA891" s="223"/>
      <c r="AB891" s="223"/>
      <c r="AC891" s="3"/>
      <c r="AD891" s="3"/>
      <c r="AE891" s="1"/>
      <c r="AF891" s="224"/>
    </row>
    <row r="892" spans="1:32" x14ac:dyDescent="0.2">
      <c r="E892" s="55"/>
      <c r="F892" s="219"/>
      <c r="G892" s="3"/>
      <c r="H892" s="54"/>
      <c r="I892" s="54"/>
      <c r="J892" s="3"/>
      <c r="K892" s="57"/>
      <c r="L892" s="54"/>
      <c r="M892" s="58"/>
      <c r="N892" s="135"/>
      <c r="O892" s="3"/>
      <c r="P892" s="3"/>
      <c r="Q892" s="3"/>
      <c r="R892" s="223"/>
      <c r="S892" s="3"/>
      <c r="T892" s="60"/>
      <c r="U892" s="3"/>
      <c r="V892" s="134"/>
      <c r="W892" s="61"/>
      <c r="X892" s="62"/>
      <c r="Y892" s="63"/>
      <c r="Z892" s="168"/>
      <c r="AA892" s="223"/>
      <c r="AB892" s="223"/>
      <c r="AC892" s="3"/>
      <c r="AD892" s="3"/>
      <c r="AE892" s="3"/>
      <c r="AF892" s="223"/>
    </row>
    <row r="893" spans="1:32" x14ac:dyDescent="0.2">
      <c r="E893" s="55"/>
      <c r="F893" s="219"/>
      <c r="G893" s="3"/>
      <c r="H893" s="54"/>
      <c r="I893" s="54"/>
      <c r="J893" s="3"/>
      <c r="K893" s="57"/>
      <c r="L893" s="54"/>
      <c r="M893" s="58"/>
      <c r="N893" s="135"/>
      <c r="O893" s="3"/>
      <c r="P893" s="3"/>
      <c r="Q893" s="3"/>
      <c r="R893" s="223"/>
      <c r="S893" s="3"/>
      <c r="T893" s="60"/>
      <c r="U893" s="3"/>
      <c r="V893" s="134"/>
      <c r="W893" s="61"/>
      <c r="X893" s="62"/>
      <c r="Y893" s="63"/>
      <c r="Z893" s="168"/>
      <c r="AA893" s="223"/>
      <c r="AB893" s="223"/>
      <c r="AC893" s="3"/>
      <c r="AD893" s="3"/>
      <c r="AE893" s="3"/>
      <c r="AF893" s="223"/>
    </row>
    <row r="894" spans="1:32" x14ac:dyDescent="0.2">
      <c r="E894" s="55"/>
      <c r="F894" s="219"/>
      <c r="G894" s="3"/>
      <c r="H894" s="54"/>
      <c r="I894" s="54"/>
      <c r="J894" s="3"/>
      <c r="K894" s="57"/>
      <c r="L894" s="54"/>
      <c r="M894" s="58"/>
      <c r="N894" s="135"/>
      <c r="O894" s="3"/>
      <c r="P894" s="3"/>
      <c r="Q894" s="3"/>
      <c r="R894" s="223"/>
      <c r="S894" s="3"/>
      <c r="T894" s="60"/>
      <c r="U894" s="3"/>
      <c r="V894" s="134"/>
      <c r="W894" s="61"/>
      <c r="X894" s="62"/>
      <c r="Y894" s="63"/>
      <c r="Z894" s="168"/>
      <c r="AA894" s="223"/>
      <c r="AB894" s="223"/>
      <c r="AC894" s="3"/>
      <c r="AD894" s="3"/>
      <c r="AE894" s="3"/>
      <c r="AF894" s="223"/>
    </row>
    <row r="895" spans="1:32" x14ac:dyDescent="0.2">
      <c r="E895" s="55"/>
      <c r="F895" s="219"/>
      <c r="G895" s="3"/>
      <c r="H895" s="54"/>
      <c r="I895" s="54"/>
      <c r="J895" s="3"/>
      <c r="K895" s="57"/>
      <c r="L895" s="54"/>
      <c r="M895" s="58"/>
      <c r="N895" s="135"/>
      <c r="O895" s="3"/>
      <c r="P895" s="3"/>
      <c r="Q895" s="3"/>
      <c r="R895" s="223"/>
      <c r="S895" s="3"/>
      <c r="T895" s="60"/>
      <c r="U895" s="3"/>
      <c r="V895" s="134"/>
      <c r="W895" s="61"/>
      <c r="X895" s="62"/>
      <c r="Y895" s="63"/>
      <c r="Z895" s="168"/>
      <c r="AA895" s="223"/>
      <c r="AB895" s="223"/>
      <c r="AC895" s="3"/>
      <c r="AD895" s="3"/>
      <c r="AE895" s="3"/>
      <c r="AF895" s="223"/>
    </row>
    <row r="896" spans="1:32" x14ac:dyDescent="0.2">
      <c r="E896" s="55"/>
      <c r="F896" s="219"/>
      <c r="G896" s="3"/>
      <c r="H896" s="54"/>
      <c r="I896" s="54"/>
      <c r="J896" s="3"/>
      <c r="K896" s="57"/>
      <c r="L896" s="54"/>
      <c r="M896" s="58"/>
      <c r="N896" s="135"/>
      <c r="O896" s="3"/>
      <c r="P896" s="3"/>
      <c r="Q896" s="3"/>
      <c r="R896" s="223"/>
      <c r="S896" s="3"/>
      <c r="T896" s="60"/>
      <c r="U896" s="3"/>
      <c r="V896" s="1"/>
      <c r="W896" s="225"/>
      <c r="X896" s="62"/>
      <c r="Y896" s="63"/>
      <c r="Z896" s="168"/>
      <c r="AA896" s="223"/>
      <c r="AB896" s="223"/>
      <c r="AC896" s="3"/>
      <c r="AD896" s="3"/>
      <c r="AE896" s="3"/>
      <c r="AF896" s="223"/>
    </row>
    <row r="897" spans="5:32" x14ac:dyDescent="0.2">
      <c r="E897" s="55"/>
      <c r="F897" s="219"/>
      <c r="G897" s="3"/>
      <c r="H897" s="54"/>
      <c r="I897" s="54"/>
      <c r="J897" s="3"/>
      <c r="K897" s="57"/>
      <c r="L897" s="54"/>
      <c r="M897" s="58"/>
      <c r="N897" s="135"/>
      <c r="O897" s="3"/>
      <c r="P897" s="3"/>
      <c r="Q897" s="3"/>
      <c r="R897" s="223"/>
      <c r="S897" s="3"/>
      <c r="T897" s="60"/>
      <c r="U897" s="3"/>
      <c r="V897" s="1"/>
      <c r="W897" s="225"/>
      <c r="X897" s="62"/>
      <c r="Y897" s="63"/>
      <c r="Z897" s="168"/>
      <c r="AA897" s="223"/>
      <c r="AB897" s="223"/>
      <c r="AC897" s="3"/>
      <c r="AD897" s="3"/>
      <c r="AE897" s="3"/>
      <c r="AF897" s="223"/>
    </row>
    <row r="898" spans="5:32" x14ac:dyDescent="0.2">
      <c r="E898" s="55"/>
      <c r="F898" s="219"/>
      <c r="G898" s="3"/>
      <c r="H898" s="54"/>
      <c r="I898" s="54"/>
      <c r="J898" s="3"/>
      <c r="K898" s="57"/>
      <c r="L898" s="54"/>
      <c r="M898" s="58"/>
      <c r="N898" s="135"/>
      <c r="O898" s="3"/>
      <c r="P898" s="3"/>
      <c r="Q898" s="3"/>
      <c r="R898" s="223"/>
      <c r="S898" s="3"/>
      <c r="T898" s="60"/>
      <c r="U898" s="3"/>
      <c r="V898" s="1"/>
      <c r="W898" s="225"/>
      <c r="X898" s="62"/>
      <c r="Y898" s="63"/>
      <c r="Z898" s="168"/>
      <c r="AA898" s="60"/>
      <c r="AB898" s="60"/>
      <c r="AC898" s="1"/>
      <c r="AD898" s="1"/>
      <c r="AE898" s="3"/>
      <c r="AF898" s="223"/>
    </row>
    <row r="899" spans="5:32" x14ac:dyDescent="0.2">
      <c r="E899" s="55"/>
      <c r="F899" s="219"/>
      <c r="G899" s="3"/>
      <c r="H899" s="54"/>
      <c r="I899" s="54"/>
      <c r="J899" s="3"/>
      <c r="K899" s="57"/>
      <c r="L899" s="54"/>
      <c r="M899" s="58"/>
      <c r="N899" s="135"/>
      <c r="O899" s="3"/>
      <c r="P899" s="3"/>
      <c r="Q899" s="3"/>
      <c r="R899" s="223"/>
      <c r="S899" s="3"/>
      <c r="T899" s="60"/>
      <c r="U899" s="3"/>
      <c r="V899" s="1"/>
      <c r="W899" s="225"/>
      <c r="X899" s="62"/>
      <c r="Y899" s="63"/>
      <c r="Z899" s="168"/>
      <c r="AA899" s="60"/>
      <c r="AB899" s="60"/>
      <c r="AC899" s="1"/>
      <c r="AD899" s="1"/>
      <c r="AE899" s="3"/>
      <c r="AF899" s="223"/>
    </row>
    <row r="900" spans="5:32" x14ac:dyDescent="0.2">
      <c r="E900" s="55"/>
      <c r="F900" s="219"/>
      <c r="G900" s="3"/>
      <c r="H900" s="54"/>
      <c r="I900" s="54"/>
      <c r="J900" s="3"/>
      <c r="K900" s="57"/>
      <c r="L900" s="54"/>
      <c r="M900" s="58"/>
      <c r="N900" s="135"/>
      <c r="O900" s="3"/>
      <c r="P900" s="3"/>
      <c r="Q900" s="3"/>
      <c r="R900" s="223"/>
      <c r="S900" s="3"/>
      <c r="T900" s="60"/>
      <c r="U900" s="3"/>
      <c r="V900" s="1"/>
      <c r="W900" s="225"/>
      <c r="X900" s="62"/>
      <c r="Y900" s="63"/>
      <c r="Z900" s="168"/>
      <c r="AA900" s="60"/>
      <c r="AB900" s="60"/>
      <c r="AC900" s="1"/>
      <c r="AD900" s="1"/>
      <c r="AE900" s="3"/>
      <c r="AF900" s="223"/>
    </row>
    <row r="901" spans="5:32" x14ac:dyDescent="0.2">
      <c r="E901" s="55"/>
      <c r="F901" s="219"/>
      <c r="G901" s="3"/>
      <c r="H901" s="54"/>
      <c r="I901" s="54"/>
      <c r="J901" s="3"/>
      <c r="K901" s="57"/>
      <c r="L901" s="54"/>
      <c r="M901" s="58"/>
      <c r="N901" s="135"/>
      <c r="O901" s="3"/>
      <c r="P901" s="3"/>
      <c r="Q901" s="3"/>
      <c r="R901" s="223"/>
      <c r="S901" s="3"/>
      <c r="T901" s="60"/>
      <c r="U901" s="3"/>
      <c r="V901" s="1"/>
      <c r="W901" s="225"/>
      <c r="X901" s="62"/>
      <c r="Y901" s="63"/>
      <c r="Z901" s="168"/>
      <c r="AA901" s="60"/>
      <c r="AB901" s="60"/>
      <c r="AC901" s="1"/>
      <c r="AD901" s="1"/>
      <c r="AE901" s="3"/>
      <c r="AF901" s="223"/>
    </row>
  </sheetData>
  <pageMargins left="0.78749999999999998" right="0.78749999999999998" top="0.78749999999999998" bottom="0.78749999999999998" header="0.51180555555555551" footer="0.51180555555555551"/>
  <pageSetup paperSize="9"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O579"/>
  <sheetViews>
    <sheetView zoomScaleNormal="100" workbookViewId="0">
      <pane xSplit="3" ySplit="1" topLeftCell="D95" activePane="bottomRight" state="frozen"/>
      <selection activeCell="W49" sqref="W49"/>
      <selection pane="topRight" activeCell="W49" sqref="W49"/>
      <selection pane="bottomLeft" activeCell="W49" sqref="W49"/>
      <selection pane="bottomRight" activeCell="E63" sqref="E63"/>
    </sheetView>
  </sheetViews>
  <sheetFormatPr baseColWidth="10" defaultColWidth="9" defaultRowHeight="12.75" outlineLevelRow="1" x14ac:dyDescent="0.2"/>
  <cols>
    <col min="1" max="1" width="7" style="5" customWidth="1"/>
    <col min="2" max="2" width="7" style="412" customWidth="1"/>
    <col min="3" max="3" width="18" style="13" customWidth="1"/>
    <col min="4" max="4" width="5.85546875" style="12" customWidth="1"/>
    <col min="5" max="5" width="5.85546875" style="414" customWidth="1"/>
    <col min="6" max="6" width="8" style="415" customWidth="1"/>
    <col min="7" max="7" width="8" style="6" customWidth="1"/>
    <col min="8" max="8" width="5.85546875" style="416" customWidth="1"/>
    <col min="9" max="9" width="5.85546875" style="6" customWidth="1"/>
    <col min="10" max="10" width="6.85546875" style="417" customWidth="1"/>
    <col min="11" max="11" width="4.5703125" style="416" customWidth="1"/>
    <col min="12" max="12" width="15" style="1" customWidth="1"/>
    <col min="13" max="13" width="4.42578125" style="87" customWidth="1"/>
    <col min="14" max="14" width="13.5703125" style="1" customWidth="1"/>
    <col min="15" max="15" width="4.5703125" style="6" customWidth="1"/>
    <col min="16" max="16" width="11.28515625" style="1" customWidth="1"/>
    <col min="17" max="17" width="4.42578125" style="6" customWidth="1"/>
    <col min="18" max="18" width="9.7109375" style="1" customWidth="1"/>
    <col min="19" max="19" width="5" style="418" customWidth="1"/>
    <col min="20" max="20" width="9.7109375" style="418" customWidth="1"/>
    <col min="21" max="21" width="5.85546875" style="417" customWidth="1"/>
    <col min="22" max="22" width="7.5703125" style="419" customWidth="1"/>
    <col min="23" max="23" width="6.5703125" style="420" customWidth="1"/>
    <col min="24" max="24" width="8.7109375" style="421" customWidth="1"/>
    <col min="25" max="25" width="7.140625" style="422" customWidth="1"/>
    <col min="26" max="26" width="4.5703125" style="423" customWidth="1"/>
    <col min="27" max="28" width="4.42578125" style="142" customWidth="1"/>
    <col min="29" max="29" width="4.7109375" style="142" customWidth="1"/>
    <col min="30" max="30" width="5.140625" style="142" customWidth="1"/>
    <col min="31" max="31" width="7.85546875" style="424" customWidth="1"/>
    <col min="32" max="32" width="6.5703125" style="425" customWidth="1"/>
    <col min="33" max="33" width="9" style="424"/>
    <col min="34" max="34" width="8.7109375" style="128" customWidth="1"/>
    <col min="35" max="35" width="9" style="1"/>
    <col min="36" max="36" width="8.5703125" style="426" customWidth="1"/>
    <col min="37" max="37" width="9" style="427"/>
    <col min="38" max="38" width="9" style="428"/>
    <col min="39" max="16384" width="9" style="1"/>
  </cols>
  <sheetData>
    <row r="1" spans="1:38" s="3" customFormat="1" ht="114.75" customHeight="1" x14ac:dyDescent="0.2">
      <c r="A1" s="27" t="s">
        <v>933</v>
      </c>
      <c r="B1" s="429" t="s">
        <v>73</v>
      </c>
      <c r="C1" s="430" t="s">
        <v>74</v>
      </c>
      <c r="D1" s="430" t="s">
        <v>934</v>
      </c>
      <c r="E1" s="431" t="s">
        <v>935</v>
      </c>
      <c r="F1" s="23" t="s">
        <v>936</v>
      </c>
      <c r="G1" s="23" t="s">
        <v>937</v>
      </c>
      <c r="H1" s="431" t="s">
        <v>938</v>
      </c>
      <c r="I1" s="23" t="s">
        <v>939</v>
      </c>
      <c r="J1" s="429" t="s">
        <v>940</v>
      </c>
      <c r="K1" s="431"/>
      <c r="L1" s="23" t="s">
        <v>941</v>
      </c>
      <c r="M1" s="432"/>
      <c r="N1" s="29" t="s">
        <v>942</v>
      </c>
      <c r="O1" s="23"/>
      <c r="P1" s="29" t="s">
        <v>943</v>
      </c>
      <c r="Q1" s="23"/>
      <c r="R1" s="29" t="s">
        <v>944</v>
      </c>
      <c r="S1" s="433"/>
      <c r="T1" s="29" t="s">
        <v>945</v>
      </c>
      <c r="U1" s="434" t="s">
        <v>946</v>
      </c>
      <c r="V1" s="31" t="s">
        <v>86</v>
      </c>
      <c r="W1" s="435" t="s">
        <v>947</v>
      </c>
      <c r="X1" s="436" t="s">
        <v>948</v>
      </c>
      <c r="Y1" s="437" t="s">
        <v>949</v>
      </c>
      <c r="Z1" s="862" t="s">
        <v>950</v>
      </c>
      <c r="AA1" s="862"/>
      <c r="AB1" s="862"/>
      <c r="AC1" s="862"/>
      <c r="AD1" s="438"/>
      <c r="AE1" s="439" t="s">
        <v>951</v>
      </c>
      <c r="AF1" s="440" t="s">
        <v>952</v>
      </c>
      <c r="AG1" s="440" t="s">
        <v>953</v>
      </c>
      <c r="AH1" s="441" t="s">
        <v>954</v>
      </c>
      <c r="AI1" s="29" t="s">
        <v>955</v>
      </c>
      <c r="AJ1" s="442" t="s">
        <v>956</v>
      </c>
      <c r="AK1" s="443" t="s">
        <v>957</v>
      </c>
      <c r="AL1" s="444" t="s">
        <v>958</v>
      </c>
    </row>
    <row r="2" spans="1:38" s="3" customFormat="1" x14ac:dyDescent="0.2">
      <c r="A2" s="445"/>
      <c r="B2" s="446"/>
      <c r="C2" s="447"/>
      <c r="D2" s="448"/>
      <c r="E2" s="449"/>
      <c r="F2" s="450"/>
      <c r="G2" s="64"/>
      <c r="H2" s="451"/>
      <c r="I2" s="64"/>
      <c r="J2" s="452"/>
      <c r="K2" s="863"/>
      <c r="L2" s="863"/>
      <c r="M2" s="863"/>
      <c r="N2" s="863"/>
      <c r="O2" s="863"/>
      <c r="P2" s="863"/>
      <c r="Q2" s="863"/>
      <c r="R2" s="863"/>
      <c r="S2" s="453"/>
      <c r="T2" s="453"/>
      <c r="U2" s="454"/>
      <c r="V2" s="455"/>
      <c r="W2" s="456"/>
      <c r="X2" s="457"/>
      <c r="Y2" s="458"/>
      <c r="Z2" s="459"/>
      <c r="AA2" s="460"/>
      <c r="AB2" s="460"/>
      <c r="AC2" s="460"/>
      <c r="AD2" s="461"/>
      <c r="AE2" s="462"/>
      <c r="AF2" s="463"/>
      <c r="AG2" s="464"/>
      <c r="AH2" s="464"/>
      <c r="AI2" s="465"/>
      <c r="AJ2" s="466"/>
      <c r="AK2" s="456"/>
      <c r="AL2" s="467"/>
    </row>
    <row r="3" spans="1:38" s="3" customFormat="1" outlineLevel="1" x14ac:dyDescent="0.2">
      <c r="A3" s="53">
        <v>6</v>
      </c>
      <c r="B3" s="218">
        <v>6</v>
      </c>
      <c r="C3" s="132" t="str">
        <f>VLOOKUP(B3,Gegenstände!$A$2:$B$2026,2,FALSE)</f>
        <v>Kupferbarren</v>
      </c>
      <c r="D3" s="133">
        <f>VLOOKUP(B3,Gegenstände!$A2:$D721,4,FALSE)</f>
        <v>0</v>
      </c>
      <c r="E3" s="468">
        <v>22</v>
      </c>
      <c r="F3" s="134">
        <v>60</v>
      </c>
      <c r="G3" s="54">
        <v>1</v>
      </c>
      <c r="H3" s="469">
        <v>53</v>
      </c>
      <c r="I3" s="54">
        <v>0</v>
      </c>
      <c r="J3" s="470">
        <v>5</v>
      </c>
      <c r="K3" s="469">
        <v>5</v>
      </c>
      <c r="L3" s="3" t="s">
        <v>105</v>
      </c>
      <c r="M3" s="85">
        <v>1</v>
      </c>
      <c r="N3" s="83" t="s">
        <v>32</v>
      </c>
      <c r="O3" s="85"/>
      <c r="Q3" s="54"/>
      <c r="S3" s="170"/>
      <c r="T3" s="170"/>
      <c r="U3" s="471">
        <f>VLOOKUP(IF(D3&gt;0,D3,1),Preise!$A$3:$C$27,3)</f>
        <v>1</v>
      </c>
      <c r="V3" s="138">
        <v>60</v>
      </c>
      <c r="W3" s="131"/>
      <c r="X3" s="472">
        <f>V3</f>
        <v>60</v>
      </c>
      <c r="Y3" s="473">
        <f>X3*IF(J3&gt;0,J3,1)</f>
        <v>300</v>
      </c>
      <c r="Z3" s="474">
        <f>IF(ISERROR(VLOOKUP(L3,Gegenstände!$B$2:$N$2026,13,FALSE)),0,VLOOKUP(L3,Gegenstände!$B$2:$N$2026,13,FALSE))</f>
        <v>20</v>
      </c>
      <c r="AA3" s="142">
        <f>IF(ISERROR(VLOOKUP(N3,Gegenstände!$B$2:$N$2026,13,FALSE)),0,VLOOKUP(N3,Gegenstände!$B$2:$N$2026,13,FALSE))</f>
        <v>100</v>
      </c>
      <c r="AB3" s="142">
        <f>IF(ISERROR(VLOOKUP(P3,Gegenstände!$B$2:$N$2026,13,FALSE)),0,VLOOKUP(P3,Gegenstände!$B$2:$N$2026,13,FALSE))</f>
        <v>0</v>
      </c>
      <c r="AC3" s="142">
        <f>IF(ISERROR(VLOOKUP(R3,Gegenstände!$B$2:$N$2026,13,FALSE)),0,VLOOKUP(R3,Gegenstände!$B$2:$N$2026,13,FALSE))</f>
        <v>0</v>
      </c>
      <c r="AD3" s="142"/>
      <c r="AE3" s="475">
        <f>IF(ISERROR(K3*Z3),"",K3*Z3)</f>
        <v>100</v>
      </c>
      <c r="AF3" s="476">
        <f>IF(ISERROR(M3*AA3+O3*AB3+Q3*AC3),"",M3*AA3+O3*AB3+Q3*AC3)</f>
        <v>100</v>
      </c>
      <c r="AG3" s="128">
        <f>AE3/Y3</f>
        <v>0.33333333333333331</v>
      </c>
      <c r="AH3" s="128">
        <f>AF3/Y3</f>
        <v>0.33333333333333331</v>
      </c>
      <c r="AI3" s="129">
        <f>(AE3+AF3)/Y3</f>
        <v>0.66666666666666663</v>
      </c>
      <c r="AJ3" s="426">
        <f>Y3-(AE3+AF3)</f>
        <v>100</v>
      </c>
      <c r="AK3" s="131">
        <f>(AJ3*60)/F3</f>
        <v>100</v>
      </c>
      <c r="AL3" s="477">
        <f>AK3/VLOOKUP(IF(I3&gt;0,I3,1),Preise!$A$3:$B$27,2,FALSE)</f>
        <v>100</v>
      </c>
    </row>
    <row r="4" spans="1:38" s="3" customFormat="1" outlineLevel="1" x14ac:dyDescent="0.2">
      <c r="A4" s="53">
        <v>7</v>
      </c>
      <c r="B4" s="218">
        <v>7</v>
      </c>
      <c r="C4" s="132" t="str">
        <f>VLOOKUP(B4,Gegenstände!$A$2:$B$2026,2,FALSE)</f>
        <v>Eisenbarren</v>
      </c>
      <c r="D4" s="133">
        <f>VLOOKUP(B4,Gegenstände!$A3:$D722,4,FALSE)</f>
        <v>5</v>
      </c>
      <c r="E4" s="468">
        <v>22</v>
      </c>
      <c r="F4" s="134">
        <v>60</v>
      </c>
      <c r="G4" s="54">
        <v>2</v>
      </c>
      <c r="H4" s="469">
        <v>53</v>
      </c>
      <c r="I4" s="54">
        <v>5</v>
      </c>
      <c r="J4" s="470">
        <v>5</v>
      </c>
      <c r="K4" s="469">
        <v>5</v>
      </c>
      <c r="L4" s="3" t="s">
        <v>108</v>
      </c>
      <c r="M4" s="85">
        <v>2</v>
      </c>
      <c r="N4" s="83" t="s">
        <v>32</v>
      </c>
      <c r="O4" s="85"/>
      <c r="Q4" s="54"/>
      <c r="S4" s="170"/>
      <c r="T4" s="170"/>
      <c r="U4" s="471">
        <f>VLOOKUP(IF(D4&gt;0,D4,1),Preise!$A$3:$C$27,3)</f>
        <v>1.7490062499999994</v>
      </c>
      <c r="V4" s="138">
        <v>120</v>
      </c>
      <c r="W4" s="131"/>
      <c r="X4" s="472">
        <f>V4</f>
        <v>120</v>
      </c>
      <c r="Y4" s="473">
        <f>X4*IF(J4&gt;0,J4,1)</f>
        <v>600</v>
      </c>
      <c r="Z4" s="474">
        <f>IF(ISERROR(VLOOKUP(L4,Gegenstände!$B$2:$N$2026,13,FALSE)),0,VLOOKUP(L4,Gegenstände!$B$2:$N$2026,13,FALSE))</f>
        <v>40</v>
      </c>
      <c r="AA4" s="142">
        <f>IF(ISERROR(VLOOKUP(N4,Gegenstände!$B$2:$N$2026,13,FALSE)),0,VLOOKUP(N4,Gegenstände!$B$2:$N$2026,13,FALSE))</f>
        <v>100</v>
      </c>
      <c r="AB4" s="142">
        <f>IF(ISERROR(VLOOKUP(P4,Gegenstände!$B$2:$N$2026,13,FALSE)),0,VLOOKUP(P4,Gegenstände!$B$2:$N$2026,13,FALSE))</f>
        <v>0</v>
      </c>
      <c r="AC4" s="142">
        <f>IF(ISERROR(VLOOKUP(R4,Gegenstände!$B$2:$N$2026,13,FALSE)),0,VLOOKUP(R4,Gegenstände!$B$2:$N$2026,13,FALSE))</f>
        <v>0</v>
      </c>
      <c r="AD4" s="142"/>
      <c r="AE4" s="475">
        <f>IF(ISERROR(K4*Z4),"",K4*Z4)</f>
        <v>200</v>
      </c>
      <c r="AF4" s="476">
        <f>IF(ISERROR(M4*AA4+O4*AB4+Q4*AC4),"",M4*AA4+O4*AB4+Q4*AC4)</f>
        <v>200</v>
      </c>
      <c r="AG4" s="128">
        <f t="shared" ref="AG4:AG103" si="0">AE4/Y4</f>
        <v>0.33333333333333331</v>
      </c>
      <c r="AH4" s="128">
        <f t="shared" ref="AH4:AH103" si="1">AF4/Y4</f>
        <v>0.33333333333333331</v>
      </c>
      <c r="AI4" s="129">
        <f t="shared" ref="AI4:AI103" si="2">(AE4+AF4)/Y4</f>
        <v>0.66666666666666663</v>
      </c>
      <c r="AJ4" s="426">
        <f>Y4-(AE4+AF4)</f>
        <v>200</v>
      </c>
      <c r="AK4" s="131">
        <f>(AJ4*60)/F4</f>
        <v>200</v>
      </c>
      <c r="AL4" s="477">
        <f>AK4/VLOOKUP(IF(I4&gt;0,I4,1),Preise!$A$3:$B$27,2,FALSE)</f>
        <v>111.11111111111113</v>
      </c>
    </row>
    <row r="5" spans="1:38" s="3" customFormat="1" outlineLevel="1" x14ac:dyDescent="0.2">
      <c r="A5" s="53">
        <v>8</v>
      </c>
      <c r="B5" s="218">
        <v>8</v>
      </c>
      <c r="C5" s="132" t="str">
        <f>VLOOKUP(B5,Gegenstände!$A$2:$B$2026,2,FALSE)</f>
        <v>Sorandilbarren</v>
      </c>
      <c r="D5" s="133">
        <f>VLOOKUP(B5,Gegenstände!$A4:$D723,4,FALSE)</f>
        <v>10</v>
      </c>
      <c r="E5" s="468">
        <v>22</v>
      </c>
      <c r="F5" s="134">
        <v>60</v>
      </c>
      <c r="G5" s="54">
        <v>3</v>
      </c>
      <c r="H5" s="469">
        <v>53</v>
      </c>
      <c r="I5" s="54">
        <v>10</v>
      </c>
      <c r="J5" s="470">
        <v>5</v>
      </c>
      <c r="K5" s="469">
        <v>5</v>
      </c>
      <c r="L5" s="3" t="s">
        <v>109</v>
      </c>
      <c r="M5" s="85">
        <v>2</v>
      </c>
      <c r="N5" s="83" t="s">
        <v>22</v>
      </c>
      <c r="O5" s="85"/>
      <c r="Q5" s="54"/>
      <c r="S5" s="170"/>
      <c r="T5" s="170"/>
      <c r="U5" s="471">
        <f>VLOOKUP(IF(D5&gt;0,D5,1),Preise!$A$3:$C$27,3)</f>
        <v>3.5178762919199196</v>
      </c>
      <c r="V5" s="138">
        <v>180</v>
      </c>
      <c r="W5" s="131"/>
      <c r="X5" s="472">
        <f>V5</f>
        <v>180</v>
      </c>
      <c r="Y5" s="473">
        <f>X5*IF(J5&gt;0,J5,1)</f>
        <v>900</v>
      </c>
      <c r="Z5" s="474">
        <f>IF(ISERROR(VLOOKUP(L5,Gegenstände!$B$2:$N$2026,13,FALSE)),0,VLOOKUP(L5,Gegenstände!$B$2:$N$2026,13,FALSE))</f>
        <v>60</v>
      </c>
      <c r="AA5" s="142">
        <f>IF(ISERROR(VLOOKUP(N5,Gegenstände!$B$2:$N$2026,13,FALSE)),0,VLOOKUP(N5,Gegenstände!$B$2:$N$2026,13,FALSE))</f>
        <v>150</v>
      </c>
      <c r="AB5" s="142">
        <f>IF(ISERROR(VLOOKUP(P5,Gegenstände!$B$2:$N$2026,13,FALSE)),0,VLOOKUP(P5,Gegenstände!$B$2:$N$2026,13,FALSE))</f>
        <v>0</v>
      </c>
      <c r="AC5" s="142">
        <f>IF(ISERROR(VLOOKUP(R5,Gegenstände!$B$2:$N$2026,13,FALSE)),0,VLOOKUP(R5,Gegenstände!$B$2:$N$2026,13,FALSE))</f>
        <v>0</v>
      </c>
      <c r="AD5" s="142"/>
      <c r="AE5" s="475">
        <f>IF(ISERROR(K5*Z5),"",K5*Z5)</f>
        <v>300</v>
      </c>
      <c r="AF5" s="476">
        <f>IF(ISERROR(M5*AA5+O5*AB5+Q5*AC5),"",M5*AA5+O5*AB5+Q5*AC5)</f>
        <v>300</v>
      </c>
      <c r="AG5" s="128">
        <f t="shared" si="0"/>
        <v>0.33333333333333331</v>
      </c>
      <c r="AH5" s="128">
        <f t="shared" si="1"/>
        <v>0.33333333333333331</v>
      </c>
      <c r="AI5" s="129">
        <f t="shared" si="2"/>
        <v>0.66666666666666663</v>
      </c>
      <c r="AJ5" s="426">
        <f>Y5-(AE5+AF5)</f>
        <v>300</v>
      </c>
      <c r="AK5" s="131">
        <f>(AJ5*60)/F5</f>
        <v>300</v>
      </c>
      <c r="AL5" s="477">
        <f>AK5/VLOOKUP(IF(I5&gt;0,I5,1),Preise!$A$3:$B$27,2,FALSE)</f>
        <v>107.14285714285714</v>
      </c>
    </row>
    <row r="6" spans="1:38" s="3" customFormat="1" outlineLevel="1" x14ac:dyDescent="0.2">
      <c r="A6" s="53">
        <v>9</v>
      </c>
      <c r="B6" s="218">
        <v>9</v>
      </c>
      <c r="C6" s="132" t="str">
        <f>VLOOKUP(B6,Gegenstände!$A$2:$B$2026,2,FALSE)</f>
        <v>Adamantbarren</v>
      </c>
      <c r="D6" s="133">
        <f>VLOOKUP(B6,Gegenstände!$A5:$D724,4,FALSE)</f>
        <v>15</v>
      </c>
      <c r="E6" s="468">
        <v>22</v>
      </c>
      <c r="F6" s="134">
        <v>60</v>
      </c>
      <c r="G6" s="54">
        <v>4</v>
      </c>
      <c r="H6" s="469">
        <v>53</v>
      </c>
      <c r="I6" s="54">
        <v>15</v>
      </c>
      <c r="J6" s="470">
        <v>5</v>
      </c>
      <c r="K6" s="469">
        <v>5</v>
      </c>
      <c r="L6" s="3" t="s">
        <v>110</v>
      </c>
      <c r="M6" s="85">
        <v>3</v>
      </c>
      <c r="N6" s="83" t="s">
        <v>22</v>
      </c>
      <c r="O6" s="85"/>
      <c r="Q6" s="54"/>
      <c r="S6" s="170"/>
      <c r="T6" s="170"/>
      <c r="U6" s="471">
        <f>VLOOKUP(IF(D6&gt;0,D6,1),Preise!$A$3:$C$27,3)</f>
        <v>7.0757057644889763</v>
      </c>
      <c r="V6" s="138">
        <v>270</v>
      </c>
      <c r="W6" s="131"/>
      <c r="X6" s="472">
        <f>V6</f>
        <v>270</v>
      </c>
      <c r="Y6" s="473">
        <f>X6*IF(J6&gt;0,J6,1)</f>
        <v>1350</v>
      </c>
      <c r="Z6" s="474">
        <f>IF(ISERROR(VLOOKUP(L6,Gegenstände!$B$2:$N$2026,13,FALSE)),0,VLOOKUP(L6,Gegenstände!$B$2:$N$2026,13,FALSE))</f>
        <v>90</v>
      </c>
      <c r="AA6" s="142">
        <f>IF(ISERROR(VLOOKUP(N6,Gegenstände!$B$2:$N$2026,13,FALSE)),0,VLOOKUP(N6,Gegenstände!$B$2:$N$2026,13,FALSE))</f>
        <v>150</v>
      </c>
      <c r="AB6" s="142">
        <f>IF(ISERROR(VLOOKUP(P6,Gegenstände!$B$2:$N$2026,13,FALSE)),0,VLOOKUP(P6,Gegenstände!$B$2:$N$2026,13,FALSE))</f>
        <v>0</v>
      </c>
      <c r="AC6" s="142">
        <f>IF(ISERROR(VLOOKUP(R6,Gegenstände!$B$2:$N$2026,13,FALSE)),0,VLOOKUP(R6,Gegenstände!$B$2:$N$2026,13,FALSE))</f>
        <v>0</v>
      </c>
      <c r="AD6" s="142"/>
      <c r="AE6" s="475">
        <f>IF(ISERROR(K6*Z6),"",K6*Z6)</f>
        <v>450</v>
      </c>
      <c r="AF6" s="476">
        <f>IF(ISERROR(M6*AA6+O6*AB6+Q6*AC6),"",M6*AA6+O6*AB6+Q6*AC6)</f>
        <v>450</v>
      </c>
      <c r="AG6" s="128">
        <f t="shared" si="0"/>
        <v>0.33333333333333331</v>
      </c>
      <c r="AH6" s="128">
        <f t="shared" si="1"/>
        <v>0.33333333333333331</v>
      </c>
      <c r="AI6" s="129">
        <f t="shared" si="2"/>
        <v>0.66666666666666663</v>
      </c>
      <c r="AJ6" s="426">
        <f>Y6-(AE6+AF6)</f>
        <v>450</v>
      </c>
      <c r="AK6" s="131">
        <f>(AJ6*60)/F6</f>
        <v>450</v>
      </c>
      <c r="AL6" s="477">
        <f>AK6/VLOOKUP(IF(I6&gt;0,I6,1),Preise!$A$3:$B$27,2,FALSE)</f>
        <v>118.42105263157892</v>
      </c>
    </row>
    <row r="7" spans="1:38" s="3" customFormat="1" outlineLevel="1" x14ac:dyDescent="0.2">
      <c r="A7" s="53">
        <v>10</v>
      </c>
      <c r="B7" s="218">
        <v>10</v>
      </c>
      <c r="C7" s="132" t="str">
        <f>VLOOKUP(B7,Gegenstände!$A$2:$B$2026,2,FALSE)</f>
        <v>Mithrilbarren</v>
      </c>
      <c r="D7" s="133">
        <f>VLOOKUP(B7,Gegenstände!$A6:$D725,4,FALSE)</f>
        <v>20</v>
      </c>
      <c r="E7" s="468">
        <v>22</v>
      </c>
      <c r="F7" s="134">
        <v>60</v>
      </c>
      <c r="G7" s="54">
        <v>5</v>
      </c>
      <c r="H7" s="469">
        <v>53</v>
      </c>
      <c r="I7" s="54">
        <v>20</v>
      </c>
      <c r="J7" s="470">
        <v>5</v>
      </c>
      <c r="K7" s="469">
        <v>5</v>
      </c>
      <c r="L7" s="3" t="s">
        <v>111</v>
      </c>
      <c r="M7" s="85">
        <v>4</v>
      </c>
      <c r="N7" s="83" t="s">
        <v>22</v>
      </c>
      <c r="O7" s="85"/>
      <c r="Q7" s="54"/>
      <c r="S7" s="170"/>
      <c r="T7" s="170"/>
      <c r="U7" s="471">
        <f>VLOOKUP(IF(D7&gt;0,D7,1),Preise!$A$3:$C$27,3)</f>
        <v>14.231771646040078</v>
      </c>
      <c r="V7" s="138">
        <v>360</v>
      </c>
      <c r="W7" s="131"/>
      <c r="X7" s="472">
        <f>V7</f>
        <v>360</v>
      </c>
      <c r="Y7" s="473">
        <f>X7*IF(J7&gt;0,J7,1)</f>
        <v>1800</v>
      </c>
      <c r="Z7" s="474">
        <f>IF(ISERROR(VLOOKUP(L7,Gegenstände!$B$2:$N$2026,13,FALSE)),0,VLOOKUP(L7,Gegenstände!$B$2:$N$2026,13,FALSE))</f>
        <v>120</v>
      </c>
      <c r="AA7" s="142">
        <f>IF(ISERROR(VLOOKUP(N7,Gegenstände!$B$2:$N$2026,13,FALSE)),0,VLOOKUP(N7,Gegenstände!$B$2:$N$2026,13,FALSE))</f>
        <v>150</v>
      </c>
      <c r="AB7" s="142">
        <f>IF(ISERROR(VLOOKUP(P7,Gegenstände!$B$2:$N$2026,13,FALSE)),0,VLOOKUP(P7,Gegenstände!$B$2:$N$2026,13,FALSE))</f>
        <v>0</v>
      </c>
      <c r="AC7" s="142">
        <f>IF(ISERROR(VLOOKUP(R7,Gegenstände!$B$2:$N$2026,13,FALSE)),0,VLOOKUP(R7,Gegenstände!$B$2:$N$2026,13,FALSE))</f>
        <v>0</v>
      </c>
      <c r="AD7" s="142"/>
      <c r="AE7" s="475">
        <f>IF(ISERROR(K7*Z7),"",K7*Z7)</f>
        <v>600</v>
      </c>
      <c r="AF7" s="476">
        <f>IF(ISERROR(M7*AA7+O7*AB7+Q7*AC7),"",M7*AA7+O7*AB7+Q7*AC7)</f>
        <v>600</v>
      </c>
      <c r="AG7" s="128">
        <f t="shared" si="0"/>
        <v>0.33333333333333331</v>
      </c>
      <c r="AH7" s="128">
        <f t="shared" si="1"/>
        <v>0.33333333333333331</v>
      </c>
      <c r="AI7" s="129">
        <f t="shared" si="2"/>
        <v>0.66666666666666663</v>
      </c>
      <c r="AJ7" s="426">
        <f>Y7-(AE7+AF7)</f>
        <v>600</v>
      </c>
      <c r="AK7" s="131">
        <f>(AJ7*60)/F7</f>
        <v>600</v>
      </c>
      <c r="AL7" s="477">
        <f>AK7/VLOOKUP(IF(I7&gt;0,I7,1),Preise!$A$3:$B$27,2,FALSE)</f>
        <v>124.99999999999996</v>
      </c>
    </row>
    <row r="8" spans="1:38" s="3" customFormat="1" x14ac:dyDescent="0.2">
      <c r="A8" s="445"/>
      <c r="B8" s="446"/>
      <c r="C8" s="478"/>
      <c r="D8" s="479"/>
      <c r="E8" s="480"/>
      <c r="F8" s="481"/>
      <c r="G8" s="482"/>
      <c r="H8" s="483"/>
      <c r="I8" s="64"/>
      <c r="J8" s="452"/>
      <c r="K8" s="864"/>
      <c r="L8" s="864"/>
      <c r="M8" s="864"/>
      <c r="N8" s="864"/>
      <c r="O8" s="864"/>
      <c r="P8" s="864"/>
      <c r="Q8" s="864"/>
      <c r="R8" s="864"/>
      <c r="S8" s="484"/>
      <c r="T8" s="484"/>
      <c r="U8" s="454"/>
      <c r="V8" s="455"/>
      <c r="W8" s="456"/>
      <c r="X8" s="485"/>
      <c r="Y8" s="458"/>
      <c r="Z8" s="459"/>
      <c r="AA8" s="460"/>
      <c r="AB8" s="460"/>
      <c r="AC8" s="460"/>
      <c r="AD8" s="460"/>
      <c r="AE8" s="486"/>
      <c r="AF8" s="463"/>
      <c r="AG8" s="464"/>
      <c r="AH8" s="464"/>
      <c r="AI8" s="465"/>
      <c r="AJ8" s="466"/>
      <c r="AK8" s="456"/>
      <c r="AL8" s="467"/>
    </row>
    <row r="9" spans="1:38" s="3" customFormat="1" outlineLevel="1" x14ac:dyDescent="0.2">
      <c r="A9" s="53">
        <v>16</v>
      </c>
      <c r="B9" s="218">
        <v>16</v>
      </c>
      <c r="C9" s="132" t="str">
        <f>VLOOKUP(B9,Gegenstände!$A$2:$B$2026,2,FALSE)</f>
        <v>Kalkziegel</v>
      </c>
      <c r="D9" s="133">
        <f>VLOOKUP(B9,Gegenstände!$A8:$D727,4,FALSE)</f>
        <v>0</v>
      </c>
      <c r="E9" s="468">
        <v>21</v>
      </c>
      <c r="F9" s="134">
        <v>60</v>
      </c>
      <c r="G9" s="54">
        <v>1</v>
      </c>
      <c r="H9" s="469">
        <v>52</v>
      </c>
      <c r="I9" s="54">
        <v>0</v>
      </c>
      <c r="J9" s="470">
        <v>5</v>
      </c>
      <c r="K9" s="469">
        <v>5</v>
      </c>
      <c r="L9" s="3" t="s">
        <v>119</v>
      </c>
      <c r="M9" s="85">
        <v>1</v>
      </c>
      <c r="N9" s="83" t="s">
        <v>32</v>
      </c>
      <c r="O9" s="85"/>
      <c r="Q9" s="54"/>
      <c r="S9" s="170"/>
      <c r="T9" s="170"/>
      <c r="U9" s="471">
        <f>VLOOKUP(IF(D9&gt;0,D9,1),Preise!$A$3:$C$27,3)</f>
        <v>1</v>
      </c>
      <c r="V9" s="138">
        <v>60</v>
      </c>
      <c r="W9" s="131"/>
      <c r="X9" s="472">
        <f>V9</f>
        <v>60</v>
      </c>
      <c r="Y9" s="473">
        <f>X9*IF(J9&gt;0,J9,1)</f>
        <v>300</v>
      </c>
      <c r="Z9" s="474">
        <f>IF(ISERROR(VLOOKUP(L9,Gegenstände!$B$2:$N$2026,13,FALSE)),0,VLOOKUP(L9,Gegenstände!$B$2:$N$2026,13,FALSE))</f>
        <v>20</v>
      </c>
      <c r="AA9" s="142">
        <f>IF(ISERROR(VLOOKUP(N9,Gegenstände!$B$2:$N$2026,13,FALSE)),0,VLOOKUP(N9,Gegenstände!$B$2:$N$2026,13,FALSE))</f>
        <v>100</v>
      </c>
      <c r="AB9" s="142">
        <f>IF(ISERROR(VLOOKUP(P9,Gegenstände!$B$2:$N$2026,13,FALSE)),0,VLOOKUP(P9,Gegenstände!$B$2:$N$2026,13,FALSE))</f>
        <v>0</v>
      </c>
      <c r="AC9" s="142">
        <f>IF(ISERROR(VLOOKUP(R9,Gegenstände!$B$2:$N$2026,13,FALSE)),0,VLOOKUP(R9,Gegenstände!$B$2:$N$2026,13,FALSE))</f>
        <v>0</v>
      </c>
      <c r="AD9" s="142"/>
      <c r="AE9" s="475">
        <f>IF(ISERROR(K9*Z9),"",K9*Z9)</f>
        <v>100</v>
      </c>
      <c r="AF9" s="476">
        <f>IF(ISERROR(M9*AA9+O9*AB9+Q9*AC9),"",M9*AA9+O9*AB9+Q9*AC9)</f>
        <v>100</v>
      </c>
      <c r="AG9" s="128">
        <f t="shared" si="0"/>
        <v>0.33333333333333331</v>
      </c>
      <c r="AH9" s="128">
        <f t="shared" si="1"/>
        <v>0.33333333333333331</v>
      </c>
      <c r="AI9" s="129">
        <f t="shared" si="2"/>
        <v>0.66666666666666663</v>
      </c>
      <c r="AJ9" s="426">
        <f>Y9-(AE9+AF9)</f>
        <v>100</v>
      </c>
      <c r="AK9" s="131">
        <f>(AJ9*60)/F9</f>
        <v>100</v>
      </c>
      <c r="AL9" s="477">
        <f>AK9/VLOOKUP(IF(I9&gt;0,I9,1),Preise!$A$3:$B$27,2,FALSE)</f>
        <v>100</v>
      </c>
    </row>
    <row r="10" spans="1:38" s="3" customFormat="1" outlineLevel="1" x14ac:dyDescent="0.2">
      <c r="A10" s="53">
        <v>17</v>
      </c>
      <c r="B10" s="218">
        <v>17</v>
      </c>
      <c r="C10" s="132" t="str">
        <f>VLOOKUP(B10,Gegenstände!$A$2:$B$2026,2,FALSE)</f>
        <v>Sandziegel</v>
      </c>
      <c r="D10" s="133">
        <f>VLOOKUP(B10,Gegenstände!$A9:$D728,4,FALSE)</f>
        <v>5</v>
      </c>
      <c r="E10" s="468">
        <v>21</v>
      </c>
      <c r="F10" s="134">
        <v>60</v>
      </c>
      <c r="G10" s="54">
        <v>2</v>
      </c>
      <c r="H10" s="469">
        <v>52</v>
      </c>
      <c r="I10" s="54">
        <v>5</v>
      </c>
      <c r="J10" s="470">
        <v>5</v>
      </c>
      <c r="K10" s="469">
        <v>5</v>
      </c>
      <c r="L10" s="3" t="s">
        <v>121</v>
      </c>
      <c r="M10" s="85">
        <v>2</v>
      </c>
      <c r="N10" s="83" t="s">
        <v>32</v>
      </c>
      <c r="O10" s="85"/>
      <c r="Q10" s="54"/>
      <c r="S10" s="170"/>
      <c r="T10" s="170"/>
      <c r="U10" s="471">
        <f>VLOOKUP(IF(D10&gt;0,D10,1),Preise!$A$3:$C$27,3)</f>
        <v>1.7490062499999994</v>
      </c>
      <c r="V10" s="138">
        <v>120</v>
      </c>
      <c r="W10" s="131"/>
      <c r="X10" s="472">
        <f>V10</f>
        <v>120</v>
      </c>
      <c r="Y10" s="473">
        <f>X10*IF(J10&gt;0,J10,1)</f>
        <v>600</v>
      </c>
      <c r="Z10" s="474">
        <f>IF(ISERROR(VLOOKUP(L10,Gegenstände!$B$2:$N$2026,13,FALSE)),0,VLOOKUP(L10,Gegenstände!$B$2:$N$2026,13,FALSE))</f>
        <v>40</v>
      </c>
      <c r="AA10" s="142">
        <f>IF(ISERROR(VLOOKUP(N10,Gegenstände!$B$2:$N$2026,13,FALSE)),0,VLOOKUP(N10,Gegenstände!$B$2:$N$2026,13,FALSE))</f>
        <v>100</v>
      </c>
      <c r="AB10" s="142">
        <f>IF(ISERROR(VLOOKUP(P10,Gegenstände!$B$2:$N$2026,13,FALSE)),0,VLOOKUP(P10,Gegenstände!$B$2:$N$2026,13,FALSE))</f>
        <v>0</v>
      </c>
      <c r="AC10" s="142">
        <f>IF(ISERROR(VLOOKUP(R10,Gegenstände!$B$2:$N$2026,13,FALSE)),0,VLOOKUP(R10,Gegenstände!$B$2:$N$2026,13,FALSE))</f>
        <v>0</v>
      </c>
      <c r="AD10" s="142"/>
      <c r="AE10" s="475">
        <f>IF(ISERROR(K10*Z10),"",K10*Z10)</f>
        <v>200</v>
      </c>
      <c r="AF10" s="476">
        <f>IF(ISERROR(M10*AA10+O10*AB10+Q10*AC10),"",M10*AA10+O10*AB10+Q10*AC10)</f>
        <v>200</v>
      </c>
      <c r="AG10" s="128">
        <f t="shared" si="0"/>
        <v>0.33333333333333331</v>
      </c>
      <c r="AH10" s="128">
        <f t="shared" si="1"/>
        <v>0.33333333333333331</v>
      </c>
      <c r="AI10" s="129">
        <f t="shared" si="2"/>
        <v>0.66666666666666663</v>
      </c>
      <c r="AJ10" s="426">
        <f>Y10-(AE10+AF10)</f>
        <v>200</v>
      </c>
      <c r="AK10" s="131">
        <f>(AJ10*60)/F10</f>
        <v>200</v>
      </c>
      <c r="AL10" s="477">
        <f>AK10/VLOOKUP(IF(I10&gt;0,I10,1),Preise!$A$3:$B$27,2,FALSE)</f>
        <v>111.11111111111113</v>
      </c>
    </row>
    <row r="11" spans="1:38" s="3" customFormat="1" outlineLevel="1" x14ac:dyDescent="0.2">
      <c r="A11" s="53">
        <v>18</v>
      </c>
      <c r="B11" s="218">
        <v>18</v>
      </c>
      <c r="C11" s="132" t="str">
        <f>VLOOKUP(B11,Gegenstände!$A$2:$B$2026,2,FALSE)</f>
        <v>Schieferziegel</v>
      </c>
      <c r="D11" s="133">
        <f>VLOOKUP(B11,Gegenstände!$A10:$D729,4,FALSE)</f>
        <v>10</v>
      </c>
      <c r="E11" s="468">
        <v>21</v>
      </c>
      <c r="F11" s="134">
        <v>60</v>
      </c>
      <c r="G11" s="54">
        <v>3</v>
      </c>
      <c r="H11" s="469">
        <v>52</v>
      </c>
      <c r="I11" s="54">
        <v>10</v>
      </c>
      <c r="J11" s="470">
        <v>5</v>
      </c>
      <c r="K11" s="469">
        <v>5</v>
      </c>
      <c r="L11" s="3" t="s">
        <v>122</v>
      </c>
      <c r="M11" s="85">
        <v>2</v>
      </c>
      <c r="N11" s="83" t="s">
        <v>22</v>
      </c>
      <c r="O11" s="85"/>
      <c r="Q11" s="54"/>
      <c r="S11" s="170"/>
      <c r="T11" s="170"/>
      <c r="U11" s="471">
        <f>VLOOKUP(IF(D11&gt;0,D11,1),Preise!$A$3:$C$27,3)</f>
        <v>3.5178762919199196</v>
      </c>
      <c r="V11" s="138">
        <v>180</v>
      </c>
      <c r="W11" s="131"/>
      <c r="X11" s="472">
        <f>V11</f>
        <v>180</v>
      </c>
      <c r="Y11" s="473">
        <f>X11*IF(J11&gt;0,J11,1)</f>
        <v>900</v>
      </c>
      <c r="Z11" s="474">
        <f>IF(ISERROR(VLOOKUP(L11,Gegenstände!$B$2:$N$2026,13,FALSE)),0,VLOOKUP(L11,Gegenstände!$B$2:$N$2026,13,FALSE))</f>
        <v>60</v>
      </c>
      <c r="AA11" s="142">
        <f>IF(ISERROR(VLOOKUP(N11,Gegenstände!$B$2:$N$2026,13,FALSE)),0,VLOOKUP(N11,Gegenstände!$B$2:$N$2026,13,FALSE))</f>
        <v>150</v>
      </c>
      <c r="AB11" s="142">
        <f>IF(ISERROR(VLOOKUP(P11,Gegenstände!$B$2:$N$2026,13,FALSE)),0,VLOOKUP(P11,Gegenstände!$B$2:$N$2026,13,FALSE))</f>
        <v>0</v>
      </c>
      <c r="AC11" s="142">
        <f>IF(ISERROR(VLOOKUP(R11,Gegenstände!$B$2:$N$2026,13,FALSE)),0,VLOOKUP(R11,Gegenstände!$B$2:$N$2026,13,FALSE))</f>
        <v>0</v>
      </c>
      <c r="AD11" s="142"/>
      <c r="AE11" s="475">
        <f>IF(ISERROR(K11*Z11),"",K11*Z11)</f>
        <v>300</v>
      </c>
      <c r="AF11" s="476">
        <f>IF(ISERROR(M11*AA11+O11*AB11+Q11*AC11),"",M11*AA11+O11*AB11+Q11*AC11)</f>
        <v>300</v>
      </c>
      <c r="AG11" s="128">
        <f t="shared" si="0"/>
        <v>0.33333333333333331</v>
      </c>
      <c r="AH11" s="128">
        <f t="shared" si="1"/>
        <v>0.33333333333333331</v>
      </c>
      <c r="AI11" s="129">
        <f t="shared" si="2"/>
        <v>0.66666666666666663</v>
      </c>
      <c r="AJ11" s="426">
        <f>Y11-(AE11+AF11)</f>
        <v>300</v>
      </c>
      <c r="AK11" s="131">
        <f>(AJ11*60)/F11</f>
        <v>300</v>
      </c>
      <c r="AL11" s="477">
        <f>AK11/VLOOKUP(IF(I11&gt;0,I11,1),Preise!$A$3:$B$27,2,FALSE)</f>
        <v>107.14285714285714</v>
      </c>
    </row>
    <row r="12" spans="1:38" s="3" customFormat="1" outlineLevel="1" x14ac:dyDescent="0.2">
      <c r="A12" s="53">
        <v>19</v>
      </c>
      <c r="B12" s="218">
        <v>19</v>
      </c>
      <c r="C12" s="132" t="str">
        <f>VLOOKUP(B12,Gegenstände!$A$2:$B$2026,2,FALSE)</f>
        <v>Granitziegel</v>
      </c>
      <c r="D12" s="133">
        <f>VLOOKUP(B12,Gegenstände!$A11:$D730,4,FALSE)</f>
        <v>15</v>
      </c>
      <c r="E12" s="468">
        <v>21</v>
      </c>
      <c r="F12" s="134">
        <v>60</v>
      </c>
      <c r="G12" s="54">
        <v>4</v>
      </c>
      <c r="H12" s="469">
        <v>52</v>
      </c>
      <c r="I12" s="54">
        <v>15</v>
      </c>
      <c r="J12" s="470">
        <v>5</v>
      </c>
      <c r="K12" s="469">
        <v>5</v>
      </c>
      <c r="L12" s="3" t="s">
        <v>123</v>
      </c>
      <c r="M12" s="85">
        <v>3</v>
      </c>
      <c r="N12" s="83" t="s">
        <v>22</v>
      </c>
      <c r="O12" s="85"/>
      <c r="Q12" s="54"/>
      <c r="S12" s="170"/>
      <c r="T12" s="170"/>
      <c r="U12" s="471">
        <f>VLOOKUP(IF(D12&gt;0,D12,1),Preise!$A$3:$C$27,3)</f>
        <v>7.0757057644889763</v>
      </c>
      <c r="V12" s="138">
        <v>270</v>
      </c>
      <c r="W12" s="131"/>
      <c r="X12" s="472">
        <f>V12</f>
        <v>270</v>
      </c>
      <c r="Y12" s="473">
        <f>X12*IF(J12&gt;0,J12,1)</f>
        <v>1350</v>
      </c>
      <c r="Z12" s="474">
        <f>IF(ISERROR(VLOOKUP(L12,Gegenstände!$B$2:$N$2026,13,FALSE)),0,VLOOKUP(L12,Gegenstände!$B$2:$N$2026,13,FALSE))</f>
        <v>90</v>
      </c>
      <c r="AA12" s="142">
        <f>IF(ISERROR(VLOOKUP(N12,Gegenstände!$B$2:$N$2026,13,FALSE)),0,VLOOKUP(N12,Gegenstände!$B$2:$N$2026,13,FALSE))</f>
        <v>150</v>
      </c>
      <c r="AB12" s="142">
        <f>IF(ISERROR(VLOOKUP(P12,Gegenstände!$B$2:$N$2026,13,FALSE)),0,VLOOKUP(P12,Gegenstände!$B$2:$N$2026,13,FALSE))</f>
        <v>0</v>
      </c>
      <c r="AC12" s="142">
        <f>IF(ISERROR(VLOOKUP(R12,Gegenstände!$B$2:$N$2026,13,FALSE)),0,VLOOKUP(R12,Gegenstände!$B$2:$N$2026,13,FALSE))</f>
        <v>0</v>
      </c>
      <c r="AD12" s="142"/>
      <c r="AE12" s="475">
        <f>IF(ISERROR(K12*Z12),"",K12*Z12)</f>
        <v>450</v>
      </c>
      <c r="AF12" s="476">
        <f>IF(ISERROR(M12*AA12+O12*AB12+Q12*AC12),"",M12*AA12+O12*AB12+Q12*AC12)</f>
        <v>450</v>
      </c>
      <c r="AG12" s="128">
        <f t="shared" si="0"/>
        <v>0.33333333333333331</v>
      </c>
      <c r="AH12" s="128">
        <f t="shared" si="1"/>
        <v>0.33333333333333331</v>
      </c>
      <c r="AI12" s="129">
        <f t="shared" si="2"/>
        <v>0.66666666666666663</v>
      </c>
      <c r="AJ12" s="426">
        <f>Y12-(AE12+AF12)</f>
        <v>450</v>
      </c>
      <c r="AK12" s="131">
        <f>(AJ12*60)/F12</f>
        <v>450</v>
      </c>
      <c r="AL12" s="477">
        <f>AK12/VLOOKUP(IF(I12&gt;0,I12,1),Preise!$A$3:$B$27,2,FALSE)</f>
        <v>118.42105263157892</v>
      </c>
    </row>
    <row r="13" spans="1:38" s="3" customFormat="1" outlineLevel="1" x14ac:dyDescent="0.2">
      <c r="A13" s="53">
        <v>20</v>
      </c>
      <c r="B13" s="218">
        <v>20</v>
      </c>
      <c r="C13" s="132" t="str">
        <f>VLOOKUP(B13,Gegenstände!$A$2:$B$2026,2,FALSE)</f>
        <v>Marmorziegel</v>
      </c>
      <c r="D13" s="133">
        <f>VLOOKUP(B13,Gegenstände!$A12:$D731,4,FALSE)</f>
        <v>20</v>
      </c>
      <c r="E13" s="468">
        <v>21</v>
      </c>
      <c r="F13" s="134">
        <v>60</v>
      </c>
      <c r="G13" s="54">
        <v>5</v>
      </c>
      <c r="H13" s="469">
        <v>52</v>
      </c>
      <c r="I13" s="54">
        <v>20</v>
      </c>
      <c r="J13" s="470">
        <v>5</v>
      </c>
      <c r="K13" s="469">
        <v>5</v>
      </c>
      <c r="L13" s="3" t="s">
        <v>124</v>
      </c>
      <c r="M13" s="85">
        <v>4</v>
      </c>
      <c r="N13" s="83" t="s">
        <v>22</v>
      </c>
      <c r="O13" s="85"/>
      <c r="Q13" s="54"/>
      <c r="S13" s="170"/>
      <c r="T13" s="170"/>
      <c r="U13" s="471">
        <f>VLOOKUP(IF(D13&gt;0,D13,1),Preise!$A$3:$C$27,3)</f>
        <v>14.231771646040078</v>
      </c>
      <c r="V13" s="138">
        <v>360</v>
      </c>
      <c r="W13" s="131"/>
      <c r="X13" s="472">
        <f>V13</f>
        <v>360</v>
      </c>
      <c r="Y13" s="473">
        <f>X13*IF(J13&gt;0,J13,1)</f>
        <v>1800</v>
      </c>
      <c r="Z13" s="474">
        <f>IF(ISERROR(VLOOKUP(L13,Gegenstände!$B$2:$N$2026,13,FALSE)),0,VLOOKUP(L13,Gegenstände!$B$2:$N$2026,13,FALSE))</f>
        <v>120</v>
      </c>
      <c r="AA13" s="142">
        <f>IF(ISERROR(VLOOKUP(N13,Gegenstände!$B$2:$N$2026,13,FALSE)),0,VLOOKUP(N13,Gegenstände!$B$2:$N$2026,13,FALSE))</f>
        <v>150</v>
      </c>
      <c r="AB13" s="142">
        <f>IF(ISERROR(VLOOKUP(P13,Gegenstände!$B$2:$N$2026,13,FALSE)),0,VLOOKUP(P13,Gegenstände!$B$2:$N$2026,13,FALSE))</f>
        <v>0</v>
      </c>
      <c r="AC13" s="142">
        <f>IF(ISERROR(VLOOKUP(R13,Gegenstände!$B$2:$N$2026,13,FALSE)),0,VLOOKUP(R13,Gegenstände!$B$2:$N$2026,13,FALSE))</f>
        <v>0</v>
      </c>
      <c r="AD13" s="142"/>
      <c r="AE13" s="475">
        <f>IF(ISERROR(K13*Z13),"",K13*Z13)</f>
        <v>600</v>
      </c>
      <c r="AF13" s="476">
        <f>IF(ISERROR(M13*AA13+O13*AB13+Q13*AC13),"",M13*AA13+O13*AB13+Q13*AC13)</f>
        <v>600</v>
      </c>
      <c r="AG13" s="128">
        <f t="shared" si="0"/>
        <v>0.33333333333333331</v>
      </c>
      <c r="AH13" s="128">
        <f t="shared" si="1"/>
        <v>0.33333333333333331</v>
      </c>
      <c r="AI13" s="129">
        <f t="shared" si="2"/>
        <v>0.66666666666666663</v>
      </c>
      <c r="AJ13" s="426">
        <f>Y13-(AE13+AF13)</f>
        <v>600</v>
      </c>
      <c r="AK13" s="131">
        <f>(AJ13*60)/F13</f>
        <v>600</v>
      </c>
      <c r="AL13" s="477">
        <f>AK13/VLOOKUP(IF(I13&gt;0,I13,1),Preise!$A$3:$B$27,2,FALSE)</f>
        <v>124.99999999999996</v>
      </c>
    </row>
    <row r="14" spans="1:38" s="3" customFormat="1" x14ac:dyDescent="0.2">
      <c r="A14" s="445"/>
      <c r="B14" s="446"/>
      <c r="C14" s="478"/>
      <c r="D14" s="479"/>
      <c r="E14" s="480"/>
      <c r="F14" s="481"/>
      <c r="G14" s="482"/>
      <c r="H14" s="483"/>
      <c r="I14" s="64"/>
      <c r="J14" s="452"/>
      <c r="K14" s="863"/>
      <c r="L14" s="863"/>
      <c r="M14" s="863"/>
      <c r="N14" s="863"/>
      <c r="O14" s="863"/>
      <c r="P14" s="863"/>
      <c r="Q14" s="863"/>
      <c r="R14" s="863"/>
      <c r="S14" s="453"/>
      <c r="T14" s="453"/>
      <c r="U14" s="454"/>
      <c r="V14" s="455"/>
      <c r="W14" s="456"/>
      <c r="X14" s="485"/>
      <c r="Y14" s="458"/>
      <c r="Z14" s="459"/>
      <c r="AA14" s="460"/>
      <c r="AB14" s="460"/>
      <c r="AC14" s="460"/>
      <c r="AD14" s="460"/>
      <c r="AE14" s="486"/>
      <c r="AF14" s="463"/>
      <c r="AG14" s="464"/>
      <c r="AH14" s="464"/>
      <c r="AI14" s="465"/>
      <c r="AJ14" s="466"/>
      <c r="AK14" s="456"/>
      <c r="AL14" s="467"/>
    </row>
    <row r="15" spans="1:38" s="3" customFormat="1" outlineLevel="1" x14ac:dyDescent="0.2">
      <c r="A15" s="53">
        <v>26</v>
      </c>
      <c r="B15" s="218">
        <v>26</v>
      </c>
      <c r="C15" s="132" t="str">
        <f>VLOOKUP(B15,Gegenstände!$A$2:$B$2026,2,FALSE)</f>
        <v>Buchenbretter</v>
      </c>
      <c r="D15" s="133">
        <f>VLOOKUP(B15,Gegenstände!$A14:$D733,4,FALSE)</f>
        <v>0</v>
      </c>
      <c r="E15" s="468">
        <v>20</v>
      </c>
      <c r="F15" s="134">
        <v>60</v>
      </c>
      <c r="G15" s="54">
        <v>1</v>
      </c>
      <c r="H15" s="469">
        <v>51</v>
      </c>
      <c r="I15" s="54">
        <v>0</v>
      </c>
      <c r="J15" s="470">
        <v>5</v>
      </c>
      <c r="K15" s="469">
        <v>5</v>
      </c>
      <c r="L15" s="3" t="s">
        <v>132</v>
      </c>
      <c r="M15" s="85">
        <v>1</v>
      </c>
      <c r="N15" s="83" t="s">
        <v>188</v>
      </c>
      <c r="O15" s="85"/>
      <c r="Q15" s="54"/>
      <c r="S15" s="170"/>
      <c r="T15" s="170"/>
      <c r="U15" s="471">
        <f>VLOOKUP(IF(D15&gt;0,D15,1),Preise!$A$3:$C$27,3)</f>
        <v>1</v>
      </c>
      <c r="V15" s="138">
        <v>60</v>
      </c>
      <c r="W15" s="131"/>
      <c r="X15" s="472">
        <f>V15</f>
        <v>60</v>
      </c>
      <c r="Y15" s="473">
        <f>X15*IF(J15&gt;0,J15,1)</f>
        <v>300</v>
      </c>
      <c r="Z15" s="474">
        <f>IF(ISERROR(VLOOKUP(L15,Gegenstände!$B$2:$N$2026,13,FALSE)),0,VLOOKUP(L15,Gegenstände!$B$2:$N$2026,13,FALSE))</f>
        <v>20</v>
      </c>
      <c r="AA15" s="142">
        <f>IF(ISERROR(VLOOKUP(N15,Gegenstände!$B$2:$N$2026,13,FALSE)),0,VLOOKUP(N15,Gegenstände!$B$2:$N$2026,13,FALSE))</f>
        <v>100</v>
      </c>
      <c r="AB15" s="142">
        <f>IF(ISERROR(VLOOKUP(P15,Gegenstände!$B$2:$N$2026,13,FALSE)),0,VLOOKUP(P15,Gegenstände!$B$2:$N$2026,13,FALSE))</f>
        <v>0</v>
      </c>
      <c r="AC15" s="142">
        <f>IF(ISERROR(VLOOKUP(R15,Gegenstände!$B$2:$N$2026,13,FALSE)),0,VLOOKUP(R15,Gegenstände!$B$2:$N$2026,13,FALSE))</f>
        <v>0</v>
      </c>
      <c r="AD15" s="142"/>
      <c r="AE15" s="475">
        <f>IF(ISERROR(K15*Z15),"",K15*Z15)</f>
        <v>100</v>
      </c>
      <c r="AF15" s="476">
        <f>IF(ISERROR(M15*AA15+O15*AB15+Q15*AC15),"",M15*AA15+O15*AB15+Q15*AC15)</f>
        <v>100</v>
      </c>
      <c r="AG15" s="128">
        <f t="shared" si="0"/>
        <v>0.33333333333333331</v>
      </c>
      <c r="AH15" s="128">
        <f t="shared" si="1"/>
        <v>0.33333333333333331</v>
      </c>
      <c r="AI15" s="129">
        <f t="shared" si="2"/>
        <v>0.66666666666666663</v>
      </c>
      <c r="AJ15" s="426">
        <f>Y15-(AE15+AF15)</f>
        <v>100</v>
      </c>
      <c r="AK15" s="131">
        <f>(AJ15*60)/F15</f>
        <v>100</v>
      </c>
      <c r="AL15" s="477">
        <f>AK15/VLOOKUP(IF(I15&gt;0,I15,1),Preise!$A$3:$B$27,2,FALSE)</f>
        <v>100</v>
      </c>
    </row>
    <row r="16" spans="1:38" s="3" customFormat="1" outlineLevel="1" x14ac:dyDescent="0.2">
      <c r="A16" s="53">
        <v>27</v>
      </c>
      <c r="B16" s="218">
        <v>27</v>
      </c>
      <c r="C16" s="132" t="str">
        <f>VLOOKUP(B16,Gegenstände!$A$2:$B$2026,2,FALSE)</f>
        <v>Birkenbretter</v>
      </c>
      <c r="D16" s="133">
        <f>VLOOKUP(B16,Gegenstände!$A15:$D734,4,FALSE)</f>
        <v>5</v>
      </c>
      <c r="E16" s="468">
        <v>20</v>
      </c>
      <c r="F16" s="134">
        <v>60</v>
      </c>
      <c r="G16" s="54">
        <v>2</v>
      </c>
      <c r="H16" s="469">
        <v>51</v>
      </c>
      <c r="I16" s="54">
        <v>5</v>
      </c>
      <c r="J16" s="470">
        <v>5</v>
      </c>
      <c r="K16" s="469">
        <v>5</v>
      </c>
      <c r="L16" s="3" t="s">
        <v>134</v>
      </c>
      <c r="M16" s="85">
        <v>2</v>
      </c>
      <c r="N16" s="83" t="s">
        <v>188</v>
      </c>
      <c r="O16" s="85"/>
      <c r="Q16" s="54"/>
      <c r="S16" s="170"/>
      <c r="T16" s="170"/>
      <c r="U16" s="471">
        <f>VLOOKUP(IF(D16&gt;0,D16,1),Preise!$A$3:$C$27,3)</f>
        <v>1.7490062499999994</v>
      </c>
      <c r="V16" s="138">
        <v>120</v>
      </c>
      <c r="W16" s="131"/>
      <c r="X16" s="472">
        <f>V16</f>
        <v>120</v>
      </c>
      <c r="Y16" s="473">
        <f>X16*IF(J16&gt;0,J16,1)</f>
        <v>600</v>
      </c>
      <c r="Z16" s="474">
        <f>IF(ISERROR(VLOOKUP(L16,Gegenstände!$B$2:$N$2026,13,FALSE)),0,VLOOKUP(L16,Gegenstände!$B$2:$N$2026,13,FALSE))</f>
        <v>40</v>
      </c>
      <c r="AA16" s="142">
        <f>IF(ISERROR(VLOOKUP(N16,Gegenstände!$B$2:$N$2026,13,FALSE)),0,VLOOKUP(N16,Gegenstände!$B$2:$N$2026,13,FALSE))</f>
        <v>100</v>
      </c>
      <c r="AB16" s="142">
        <f>IF(ISERROR(VLOOKUP(P16,Gegenstände!$B$2:$N$2026,13,FALSE)),0,VLOOKUP(P16,Gegenstände!$B$2:$N$2026,13,FALSE))</f>
        <v>0</v>
      </c>
      <c r="AC16" s="142">
        <f>IF(ISERROR(VLOOKUP(R16,Gegenstände!$B$2:$N$2026,13,FALSE)),0,VLOOKUP(R16,Gegenstände!$B$2:$N$2026,13,FALSE))</f>
        <v>0</v>
      </c>
      <c r="AD16" s="142"/>
      <c r="AE16" s="475">
        <f>IF(ISERROR(K16*Z16),"",K16*Z16)</f>
        <v>200</v>
      </c>
      <c r="AF16" s="476">
        <f>IF(ISERROR(M16*AA16+O16*AB16+Q16*AC16),"",M16*AA16+O16*AB16+Q16*AC16)</f>
        <v>200</v>
      </c>
      <c r="AG16" s="128">
        <f t="shared" si="0"/>
        <v>0.33333333333333331</v>
      </c>
      <c r="AH16" s="128">
        <f t="shared" si="1"/>
        <v>0.33333333333333331</v>
      </c>
      <c r="AI16" s="129">
        <f t="shared" si="2"/>
        <v>0.66666666666666663</v>
      </c>
      <c r="AJ16" s="426">
        <f>Y16-(AE16+AF16)</f>
        <v>200</v>
      </c>
      <c r="AK16" s="131">
        <f>(AJ16*60)/F16</f>
        <v>200</v>
      </c>
      <c r="AL16" s="477">
        <f>AK16/VLOOKUP(IF(I16&gt;0,I16,1),Preise!$A$3:$B$27,2,FALSE)</f>
        <v>111.11111111111113</v>
      </c>
    </row>
    <row r="17" spans="1:38" s="3" customFormat="1" outlineLevel="1" x14ac:dyDescent="0.2">
      <c r="A17" s="53">
        <v>28</v>
      </c>
      <c r="B17" s="218">
        <v>28</v>
      </c>
      <c r="C17" s="132" t="str">
        <f>VLOOKUP(B17,Gegenstände!$A$2:$B$2026,2,FALSE)</f>
        <v>Eichenbretter</v>
      </c>
      <c r="D17" s="133">
        <f>VLOOKUP(B17,Gegenstände!$A16:$D735,4,FALSE)</f>
        <v>10</v>
      </c>
      <c r="E17" s="468">
        <v>20</v>
      </c>
      <c r="F17" s="134">
        <v>60</v>
      </c>
      <c r="G17" s="54">
        <v>3</v>
      </c>
      <c r="H17" s="469">
        <v>51</v>
      </c>
      <c r="I17" s="54">
        <v>10</v>
      </c>
      <c r="J17" s="470">
        <v>5</v>
      </c>
      <c r="K17" s="469">
        <v>5</v>
      </c>
      <c r="L17" s="3" t="s">
        <v>135</v>
      </c>
      <c r="M17" s="85">
        <v>2</v>
      </c>
      <c r="N17" s="83" t="s">
        <v>189</v>
      </c>
      <c r="O17" s="85"/>
      <c r="Q17" s="54"/>
      <c r="S17" s="170"/>
      <c r="T17" s="170"/>
      <c r="U17" s="471">
        <f>VLOOKUP(IF(D17&gt;0,D17,1),Preise!$A$3:$C$27,3)</f>
        <v>3.5178762919199196</v>
      </c>
      <c r="V17" s="138">
        <v>180</v>
      </c>
      <c r="W17" s="131"/>
      <c r="X17" s="472">
        <f>V17</f>
        <v>180</v>
      </c>
      <c r="Y17" s="473">
        <f>X17*IF(J17&gt;0,J17,1)</f>
        <v>900</v>
      </c>
      <c r="Z17" s="474">
        <f>IF(ISERROR(VLOOKUP(L17,Gegenstände!$B$2:$N$2026,13,FALSE)),0,VLOOKUP(L17,Gegenstände!$B$2:$N$2026,13,FALSE))</f>
        <v>60</v>
      </c>
      <c r="AA17" s="142">
        <f>IF(ISERROR(VLOOKUP(N17,Gegenstände!$B$2:$N$2026,13,FALSE)),0,VLOOKUP(N17,Gegenstände!$B$2:$N$2026,13,FALSE))</f>
        <v>150</v>
      </c>
      <c r="AB17" s="142">
        <f>IF(ISERROR(VLOOKUP(P17,Gegenstände!$B$2:$N$2026,13,FALSE)),0,VLOOKUP(P17,Gegenstände!$B$2:$N$2026,13,FALSE))</f>
        <v>0</v>
      </c>
      <c r="AC17" s="142">
        <f>IF(ISERROR(VLOOKUP(R17,Gegenstände!$B$2:$N$2026,13,FALSE)),0,VLOOKUP(R17,Gegenstände!$B$2:$N$2026,13,FALSE))</f>
        <v>0</v>
      </c>
      <c r="AD17" s="142"/>
      <c r="AE17" s="475">
        <f>IF(ISERROR(K17*Z17),"",K17*Z17)</f>
        <v>300</v>
      </c>
      <c r="AF17" s="476">
        <f>IF(ISERROR(M17*AA17+O17*AB17+Q17*AC17),"",M17*AA17+O17*AB17+Q17*AC17)</f>
        <v>300</v>
      </c>
      <c r="AG17" s="128">
        <f t="shared" si="0"/>
        <v>0.33333333333333331</v>
      </c>
      <c r="AH17" s="128">
        <f t="shared" si="1"/>
        <v>0.33333333333333331</v>
      </c>
      <c r="AI17" s="129">
        <f t="shared" si="2"/>
        <v>0.66666666666666663</v>
      </c>
      <c r="AJ17" s="426">
        <f>Y17-(AE17+AF17)</f>
        <v>300</v>
      </c>
      <c r="AK17" s="131">
        <f>(AJ17*60)/F17</f>
        <v>300</v>
      </c>
      <c r="AL17" s="477">
        <f>AK17/VLOOKUP(IF(I17&gt;0,I17,1),Preise!$A$3:$B$27,2,FALSE)</f>
        <v>107.14285714285714</v>
      </c>
    </row>
    <row r="18" spans="1:38" s="3" customFormat="1" outlineLevel="1" x14ac:dyDescent="0.2">
      <c r="A18" s="53">
        <v>29</v>
      </c>
      <c r="B18" s="218">
        <v>29</v>
      </c>
      <c r="C18" s="132" t="str">
        <f>VLOOKUP(B18,Gegenstände!$A$2:$B$2026,2,FALSE)</f>
        <v>Eschenbretter</v>
      </c>
      <c r="D18" s="133">
        <f>VLOOKUP(B18,Gegenstände!$A17:$D736,4,FALSE)</f>
        <v>15</v>
      </c>
      <c r="E18" s="468">
        <v>20</v>
      </c>
      <c r="F18" s="134">
        <v>60</v>
      </c>
      <c r="G18" s="54">
        <v>4</v>
      </c>
      <c r="H18" s="469">
        <v>51</v>
      </c>
      <c r="I18" s="54">
        <v>15</v>
      </c>
      <c r="J18" s="470">
        <v>5</v>
      </c>
      <c r="K18" s="469">
        <v>5</v>
      </c>
      <c r="L18" s="3" t="s">
        <v>136</v>
      </c>
      <c r="M18" s="85">
        <v>3</v>
      </c>
      <c r="N18" s="83" t="s">
        <v>189</v>
      </c>
      <c r="O18" s="85"/>
      <c r="Q18" s="54"/>
      <c r="S18" s="170"/>
      <c r="T18" s="170"/>
      <c r="U18" s="471">
        <f>VLOOKUP(IF(D18&gt;0,D18,1),Preise!$A$3:$C$27,3)</f>
        <v>7.0757057644889763</v>
      </c>
      <c r="V18" s="138">
        <v>270</v>
      </c>
      <c r="W18" s="131"/>
      <c r="X18" s="472">
        <f>V18</f>
        <v>270</v>
      </c>
      <c r="Y18" s="473">
        <f>X18*IF(J18&gt;0,J18,1)</f>
        <v>1350</v>
      </c>
      <c r="Z18" s="474">
        <f>IF(ISERROR(VLOOKUP(L18,Gegenstände!$B$2:$N$2026,13,FALSE)),0,VLOOKUP(L18,Gegenstände!$B$2:$N$2026,13,FALSE))</f>
        <v>90</v>
      </c>
      <c r="AA18" s="142">
        <f>IF(ISERROR(VLOOKUP(N18,Gegenstände!$B$2:$N$2026,13,FALSE)),0,VLOOKUP(N18,Gegenstände!$B$2:$N$2026,13,FALSE))</f>
        <v>150</v>
      </c>
      <c r="AB18" s="142">
        <f>IF(ISERROR(VLOOKUP(P18,Gegenstände!$B$2:$N$2026,13,FALSE)),0,VLOOKUP(P18,Gegenstände!$B$2:$N$2026,13,FALSE))</f>
        <v>0</v>
      </c>
      <c r="AC18" s="142">
        <f>IF(ISERROR(VLOOKUP(R18,Gegenstände!$B$2:$N$2026,13,FALSE)),0,VLOOKUP(R18,Gegenstände!$B$2:$N$2026,13,FALSE))</f>
        <v>0</v>
      </c>
      <c r="AD18" s="142"/>
      <c r="AE18" s="475">
        <f>IF(ISERROR(K18*Z18),"",K18*Z18)</f>
        <v>450</v>
      </c>
      <c r="AF18" s="476">
        <f>IF(ISERROR(M18*AA18+O18*AB18+Q18*AC18),"",M18*AA18+O18*AB18+Q18*AC18)</f>
        <v>450</v>
      </c>
      <c r="AG18" s="128">
        <f t="shared" si="0"/>
        <v>0.33333333333333331</v>
      </c>
      <c r="AH18" s="128">
        <f t="shared" si="1"/>
        <v>0.33333333333333331</v>
      </c>
      <c r="AI18" s="129">
        <f t="shared" si="2"/>
        <v>0.66666666666666663</v>
      </c>
      <c r="AJ18" s="426">
        <f>Y18-(AE18+AF18)</f>
        <v>450</v>
      </c>
      <c r="AK18" s="131">
        <f>(AJ18*60)/F18</f>
        <v>450</v>
      </c>
      <c r="AL18" s="477">
        <f>AK18/VLOOKUP(IF(I18&gt;0,I18,1),Preise!$A$3:$B$27,2,FALSE)</f>
        <v>118.42105263157892</v>
      </c>
    </row>
    <row r="19" spans="1:38" s="3" customFormat="1" outlineLevel="1" x14ac:dyDescent="0.2">
      <c r="A19" s="53">
        <v>30</v>
      </c>
      <c r="B19" s="218">
        <v>30</v>
      </c>
      <c r="C19" s="132" t="str">
        <f>VLOOKUP(B19,Gegenstände!$A$2:$B$2026,2,FALSE)</f>
        <v>Eibenbretter</v>
      </c>
      <c r="D19" s="133">
        <f>VLOOKUP(B19,Gegenstände!$A18:$D737,4,FALSE)</f>
        <v>20</v>
      </c>
      <c r="E19" s="468">
        <v>20</v>
      </c>
      <c r="F19" s="134">
        <v>60</v>
      </c>
      <c r="G19" s="54">
        <v>5</v>
      </c>
      <c r="H19" s="469">
        <v>51</v>
      </c>
      <c r="I19" s="54">
        <v>20</v>
      </c>
      <c r="J19" s="470">
        <v>5</v>
      </c>
      <c r="K19" s="469">
        <v>5</v>
      </c>
      <c r="L19" s="3" t="s">
        <v>137</v>
      </c>
      <c r="M19" s="85">
        <v>4</v>
      </c>
      <c r="N19" s="83" t="s">
        <v>189</v>
      </c>
      <c r="O19" s="85"/>
      <c r="Q19" s="54"/>
      <c r="S19" s="170"/>
      <c r="T19" s="170"/>
      <c r="U19" s="471">
        <f>VLOOKUP(IF(D19&gt;0,D19,1),Preise!$A$3:$C$27,3)</f>
        <v>14.231771646040078</v>
      </c>
      <c r="V19" s="138">
        <v>360</v>
      </c>
      <c r="W19" s="131"/>
      <c r="X19" s="472">
        <f>V19</f>
        <v>360</v>
      </c>
      <c r="Y19" s="473">
        <f>X19*IF(J19&gt;0,J19,1)</f>
        <v>1800</v>
      </c>
      <c r="Z19" s="474">
        <f>IF(ISERROR(VLOOKUP(L19,Gegenstände!$B$2:$N$2026,13,FALSE)),0,VLOOKUP(L19,Gegenstände!$B$2:$N$2026,13,FALSE))</f>
        <v>120</v>
      </c>
      <c r="AA19" s="142">
        <f>IF(ISERROR(VLOOKUP(N19,Gegenstände!$B$2:$N$2026,13,FALSE)),0,VLOOKUP(N19,Gegenstände!$B$2:$N$2026,13,FALSE))</f>
        <v>150</v>
      </c>
      <c r="AB19" s="142">
        <f>IF(ISERROR(VLOOKUP(P19,Gegenstände!$B$2:$N$2026,13,FALSE)),0,VLOOKUP(P19,Gegenstände!$B$2:$N$2026,13,FALSE))</f>
        <v>0</v>
      </c>
      <c r="AC19" s="142">
        <f>IF(ISERROR(VLOOKUP(R19,Gegenstände!$B$2:$N$2026,13,FALSE)),0,VLOOKUP(R19,Gegenstände!$B$2:$N$2026,13,FALSE))</f>
        <v>0</v>
      </c>
      <c r="AD19" s="142"/>
      <c r="AE19" s="475">
        <f>IF(ISERROR(K19*Z19),"",K19*Z19)</f>
        <v>600</v>
      </c>
      <c r="AF19" s="476">
        <f>IF(ISERROR(M19*AA19+O19*AB19+Q19*AC19),"",M19*AA19+O19*AB19+Q19*AC19)</f>
        <v>600</v>
      </c>
      <c r="AG19" s="128">
        <f t="shared" si="0"/>
        <v>0.33333333333333331</v>
      </c>
      <c r="AH19" s="128">
        <f t="shared" si="1"/>
        <v>0.33333333333333331</v>
      </c>
      <c r="AI19" s="129">
        <f t="shared" si="2"/>
        <v>0.66666666666666663</v>
      </c>
      <c r="AJ19" s="426">
        <f>Y19-(AE19+AF19)</f>
        <v>600</v>
      </c>
      <c r="AK19" s="131">
        <f>(AJ19*60)/F19</f>
        <v>600</v>
      </c>
      <c r="AL19" s="477">
        <f>AK19/VLOOKUP(IF(I19&gt;0,I19,1),Preise!$A$3:$B$27,2,FALSE)</f>
        <v>124.99999999999996</v>
      </c>
    </row>
    <row r="20" spans="1:38" s="3" customFormat="1" x14ac:dyDescent="0.2">
      <c r="A20" s="445"/>
      <c r="B20" s="446"/>
      <c r="C20" s="478"/>
      <c r="D20" s="479"/>
      <c r="E20" s="480"/>
      <c r="F20" s="481"/>
      <c r="G20" s="482"/>
      <c r="H20" s="483"/>
      <c r="I20" s="64"/>
      <c r="J20" s="452"/>
      <c r="K20" s="863"/>
      <c r="L20" s="863"/>
      <c r="M20" s="863"/>
      <c r="N20" s="863"/>
      <c r="O20" s="863"/>
      <c r="P20" s="863"/>
      <c r="Q20" s="863"/>
      <c r="R20" s="863"/>
      <c r="S20" s="453"/>
      <c r="T20" s="453"/>
      <c r="U20" s="454"/>
      <c r="V20" s="455"/>
      <c r="W20" s="456"/>
      <c r="X20" s="485"/>
      <c r="Y20" s="458"/>
      <c r="Z20" s="459"/>
      <c r="AA20" s="460"/>
      <c r="AB20" s="460"/>
      <c r="AC20" s="460"/>
      <c r="AD20" s="460"/>
      <c r="AE20" s="486"/>
      <c r="AF20" s="463"/>
      <c r="AG20" s="464"/>
      <c r="AH20" s="464"/>
      <c r="AI20" s="465"/>
      <c r="AJ20" s="466"/>
      <c r="AK20" s="456"/>
      <c r="AL20" s="467"/>
    </row>
    <row r="21" spans="1:38" s="3" customFormat="1" outlineLevel="1" x14ac:dyDescent="0.2">
      <c r="A21" s="53">
        <v>36</v>
      </c>
      <c r="B21" s="218">
        <v>36</v>
      </c>
      <c r="C21" s="132" t="str">
        <f>VLOOKUP(B21,Gegenstände!$A$2:$B$2026,2,FALSE)</f>
        <v>Leinentuch</v>
      </c>
      <c r="D21" s="133">
        <f>VLOOKUP(B21,Gegenstände!$A20:$D739,4,FALSE)</f>
        <v>0</v>
      </c>
      <c r="E21" s="468">
        <v>24</v>
      </c>
      <c r="F21" s="134">
        <v>60</v>
      </c>
      <c r="G21" s="54">
        <v>1</v>
      </c>
      <c r="H21" s="469">
        <v>54</v>
      </c>
      <c r="I21" s="54">
        <v>0</v>
      </c>
      <c r="J21" s="470">
        <v>5</v>
      </c>
      <c r="K21" s="469">
        <v>5</v>
      </c>
      <c r="L21" s="3" t="s">
        <v>144</v>
      </c>
      <c r="M21" s="85">
        <v>1</v>
      </c>
      <c r="N21" s="83" t="s">
        <v>190</v>
      </c>
      <c r="O21" s="85"/>
      <c r="Q21" s="54"/>
      <c r="S21" s="170"/>
      <c r="T21" s="170"/>
      <c r="U21" s="471">
        <f>VLOOKUP(IF(D21&gt;0,D21,1),Preise!$A$3:$C$27,3)</f>
        <v>1</v>
      </c>
      <c r="V21" s="138">
        <v>60</v>
      </c>
      <c r="W21" s="131"/>
      <c r="X21" s="472">
        <f>V21</f>
        <v>60</v>
      </c>
      <c r="Y21" s="473">
        <f>X21*IF(J21&gt;0,J21,1)</f>
        <v>300</v>
      </c>
      <c r="Z21" s="474">
        <f>IF(ISERROR(VLOOKUP(L21,Gegenstände!$B$2:$N$2026,13,FALSE)),0,VLOOKUP(L21,Gegenstände!$B$2:$N$2026,13,FALSE))</f>
        <v>20</v>
      </c>
      <c r="AA21" s="142">
        <f>IF(ISERROR(VLOOKUP(N21,Gegenstände!$B$2:$N$2026,13,FALSE)),0,VLOOKUP(N21,Gegenstände!$B$2:$N$2026,13,FALSE))</f>
        <v>100</v>
      </c>
      <c r="AB21" s="142">
        <f>IF(ISERROR(VLOOKUP(P21,Gegenstände!$B$2:$N$2026,13,FALSE)),0,VLOOKUP(P21,Gegenstände!$B$2:$N$2026,13,FALSE))</f>
        <v>0</v>
      </c>
      <c r="AC21" s="142">
        <f>IF(ISERROR(VLOOKUP(R21,Gegenstände!$B$2:$N$2026,13,FALSE)),0,VLOOKUP(R21,Gegenstände!$B$2:$N$2026,13,FALSE))</f>
        <v>0</v>
      </c>
      <c r="AD21" s="142"/>
      <c r="AE21" s="475">
        <f>IF(ISERROR(K21*Z21),"",K21*Z21)</f>
        <v>100</v>
      </c>
      <c r="AF21" s="476">
        <f>IF(ISERROR(M21*AA21+O21*AB21+Q21*AC21),"",M21*AA21+O21*AB21+Q21*AC21)</f>
        <v>100</v>
      </c>
      <c r="AG21" s="128">
        <f t="shared" si="0"/>
        <v>0.33333333333333331</v>
      </c>
      <c r="AH21" s="128">
        <f t="shared" si="1"/>
        <v>0.33333333333333331</v>
      </c>
      <c r="AI21" s="129">
        <f t="shared" si="2"/>
        <v>0.66666666666666663</v>
      </c>
      <c r="AJ21" s="426">
        <f>Y21-(AE21+AF21)</f>
        <v>100</v>
      </c>
      <c r="AK21" s="131">
        <f>(AJ21*60)/F21</f>
        <v>100</v>
      </c>
      <c r="AL21" s="477">
        <f>AK21/VLOOKUP(IF(I21&gt;0,I21,1),Preise!$A$3:$B$27,2,FALSE)</f>
        <v>100</v>
      </c>
    </row>
    <row r="22" spans="1:38" s="3" customFormat="1" outlineLevel="1" x14ac:dyDescent="0.2">
      <c r="A22" s="53">
        <v>37</v>
      </c>
      <c r="B22" s="218">
        <v>37</v>
      </c>
      <c r="C22" s="132" t="str">
        <f>VLOOKUP(B22,Gegenstände!$A$2:$B$2026,2,FALSE)</f>
        <v>Wolltuch</v>
      </c>
      <c r="D22" s="133">
        <f>VLOOKUP(B22,Gegenstände!$A21:$D740,4,FALSE)</f>
        <v>5</v>
      </c>
      <c r="E22" s="468">
        <v>24</v>
      </c>
      <c r="F22" s="134">
        <v>60</v>
      </c>
      <c r="G22" s="54">
        <v>2</v>
      </c>
      <c r="H22" s="469">
        <v>54</v>
      </c>
      <c r="I22" s="54">
        <v>5</v>
      </c>
      <c r="J22" s="470">
        <v>5</v>
      </c>
      <c r="K22" s="54">
        <v>5</v>
      </c>
      <c r="L22" s="3" t="s">
        <v>146</v>
      </c>
      <c r="M22" s="85">
        <v>2</v>
      </c>
      <c r="N22" s="83" t="s">
        <v>190</v>
      </c>
      <c r="O22" s="85"/>
      <c r="Q22" s="54"/>
      <c r="S22" s="170"/>
      <c r="T22" s="170"/>
      <c r="U22" s="471">
        <f>VLOOKUP(IF(D22&gt;0,D22,1),Preise!$A$3:$C$27,3)</f>
        <v>1.7490062499999994</v>
      </c>
      <c r="V22" s="138">
        <v>120</v>
      </c>
      <c r="W22" s="131"/>
      <c r="X22" s="472">
        <f>V22</f>
        <v>120</v>
      </c>
      <c r="Y22" s="473">
        <f>X22*IF(J22&gt;0,J22,1)</f>
        <v>600</v>
      </c>
      <c r="Z22" s="474">
        <f>IF(ISERROR(VLOOKUP(L22,Gegenstände!$B$2:$N$2026,13,FALSE)),0,VLOOKUP(L22,Gegenstände!$B$2:$N$2026,13,FALSE))</f>
        <v>40</v>
      </c>
      <c r="AA22" s="142">
        <f>IF(ISERROR(VLOOKUP(N22,Gegenstände!$B$2:$N$2026,13,FALSE)),0,VLOOKUP(N22,Gegenstände!$B$2:$N$2026,13,FALSE))</f>
        <v>100</v>
      </c>
      <c r="AB22" s="142">
        <f>IF(ISERROR(VLOOKUP(P22,Gegenstände!$B$2:$N$2026,13,FALSE)),0,VLOOKUP(P22,Gegenstände!$B$2:$N$2026,13,FALSE))</f>
        <v>0</v>
      </c>
      <c r="AC22" s="142">
        <f>IF(ISERROR(VLOOKUP(R22,Gegenstände!$B$2:$N$2026,13,FALSE)),0,VLOOKUP(R22,Gegenstände!$B$2:$N$2026,13,FALSE))</f>
        <v>0</v>
      </c>
      <c r="AD22" s="142"/>
      <c r="AE22" s="475">
        <f>IF(ISERROR(K22*Z22),"",K22*Z22)</f>
        <v>200</v>
      </c>
      <c r="AF22" s="476">
        <f>IF(ISERROR(M22*AA22+O22*AB22+Q22*AC22),"",M22*AA22+O22*AB22+Q22*AC22)</f>
        <v>200</v>
      </c>
      <c r="AG22" s="128">
        <f t="shared" si="0"/>
        <v>0.33333333333333331</v>
      </c>
      <c r="AH22" s="128">
        <f t="shared" si="1"/>
        <v>0.33333333333333331</v>
      </c>
      <c r="AI22" s="129">
        <f t="shared" si="2"/>
        <v>0.66666666666666663</v>
      </c>
      <c r="AJ22" s="426">
        <f>Y22-(AE22+AF22)</f>
        <v>200</v>
      </c>
      <c r="AK22" s="131">
        <f>(AJ22*60)/F22</f>
        <v>200</v>
      </c>
      <c r="AL22" s="477">
        <f>AK22/VLOOKUP(IF(I22&gt;0,I22,1),Preise!$A$3:$B$27,2,FALSE)</f>
        <v>111.11111111111113</v>
      </c>
    </row>
    <row r="23" spans="1:38" s="3" customFormat="1" outlineLevel="1" x14ac:dyDescent="0.2">
      <c r="A23" s="53">
        <v>38</v>
      </c>
      <c r="B23" s="218">
        <v>38</v>
      </c>
      <c r="C23" s="132" t="str">
        <f>VLOOKUP(B23,Gegenstände!$A$2:$B$2026,2,FALSE)</f>
        <v>Baumwolltuch</v>
      </c>
      <c r="D23" s="133">
        <f>VLOOKUP(B23,Gegenstände!$A22:$D741,4,FALSE)</f>
        <v>10</v>
      </c>
      <c r="E23" s="468">
        <v>24</v>
      </c>
      <c r="F23" s="134">
        <v>60</v>
      </c>
      <c r="G23" s="54">
        <v>3</v>
      </c>
      <c r="H23" s="469">
        <v>54</v>
      </c>
      <c r="I23" s="54">
        <v>10</v>
      </c>
      <c r="J23" s="470">
        <v>5</v>
      </c>
      <c r="K23" s="54">
        <v>5</v>
      </c>
      <c r="L23" s="3" t="s">
        <v>147</v>
      </c>
      <c r="M23" s="85">
        <v>2</v>
      </c>
      <c r="N23" s="83" t="s">
        <v>192</v>
      </c>
      <c r="O23" s="85"/>
      <c r="Q23" s="54"/>
      <c r="S23" s="170"/>
      <c r="T23" s="170"/>
      <c r="U23" s="471">
        <f>VLOOKUP(IF(D23&gt;0,D23,1),Preise!$A$3:$C$27,3)</f>
        <v>3.5178762919199196</v>
      </c>
      <c r="V23" s="138">
        <v>180</v>
      </c>
      <c r="W23" s="131"/>
      <c r="X23" s="472">
        <f>V23</f>
        <v>180</v>
      </c>
      <c r="Y23" s="473">
        <f>X23*IF(J23&gt;0,J23,1)</f>
        <v>900</v>
      </c>
      <c r="Z23" s="474">
        <f>IF(ISERROR(VLOOKUP(L23,Gegenstände!$B$2:$N$2026,13,FALSE)),0,VLOOKUP(L23,Gegenstände!$B$2:$N$2026,13,FALSE))</f>
        <v>60</v>
      </c>
      <c r="AA23" s="142">
        <f>IF(ISERROR(VLOOKUP(N23,Gegenstände!$B$2:$N$2026,13,FALSE)),0,VLOOKUP(N23,Gegenstände!$B$2:$N$2026,13,FALSE))</f>
        <v>150</v>
      </c>
      <c r="AB23" s="142">
        <f>IF(ISERROR(VLOOKUP(P23,Gegenstände!$B$2:$N$2026,13,FALSE)),0,VLOOKUP(P23,Gegenstände!$B$2:$N$2026,13,FALSE))</f>
        <v>0</v>
      </c>
      <c r="AC23" s="142">
        <f>IF(ISERROR(VLOOKUP(R23,Gegenstände!$B$2:$N$2026,13,FALSE)),0,VLOOKUP(R23,Gegenstände!$B$2:$N$2026,13,FALSE))</f>
        <v>0</v>
      </c>
      <c r="AD23" s="142"/>
      <c r="AE23" s="475">
        <f>IF(ISERROR(K23*Z23),"",K23*Z23)</f>
        <v>300</v>
      </c>
      <c r="AF23" s="476">
        <f>IF(ISERROR(M23*AA23+O23*AB23+Q23*AC23),"",M23*AA23+O23*AB23+Q23*AC23)</f>
        <v>300</v>
      </c>
      <c r="AG23" s="128">
        <f t="shared" si="0"/>
        <v>0.33333333333333331</v>
      </c>
      <c r="AH23" s="128">
        <f t="shared" si="1"/>
        <v>0.33333333333333331</v>
      </c>
      <c r="AI23" s="129">
        <f t="shared" si="2"/>
        <v>0.66666666666666663</v>
      </c>
      <c r="AJ23" s="426">
        <f>Y23-(AE23+AF23)</f>
        <v>300</v>
      </c>
      <c r="AK23" s="131">
        <f>(AJ23*60)/F23</f>
        <v>300</v>
      </c>
      <c r="AL23" s="477">
        <f>AK23/VLOOKUP(IF(I23&gt;0,I23,1),Preise!$A$3:$B$27,2,FALSE)</f>
        <v>107.14285714285714</v>
      </c>
    </row>
    <row r="24" spans="1:38" s="3" customFormat="1" outlineLevel="1" x14ac:dyDescent="0.2">
      <c r="A24" s="53">
        <v>39</v>
      </c>
      <c r="B24" s="218">
        <v>39</v>
      </c>
      <c r="C24" s="132" t="str">
        <f>VLOOKUP(B24,Gegenstände!$A$2:$B$2026,2,FALSE)</f>
        <v>Seidentuch</v>
      </c>
      <c r="D24" s="133">
        <f>VLOOKUP(B24,Gegenstände!$A23:$D742,4,FALSE)</f>
        <v>15</v>
      </c>
      <c r="E24" s="468">
        <v>24</v>
      </c>
      <c r="F24" s="134">
        <v>60</v>
      </c>
      <c r="G24" s="54">
        <v>4</v>
      </c>
      <c r="H24" s="469">
        <v>54</v>
      </c>
      <c r="I24" s="54">
        <v>15</v>
      </c>
      <c r="J24" s="470">
        <v>5</v>
      </c>
      <c r="K24" s="54">
        <v>5</v>
      </c>
      <c r="L24" s="3" t="s">
        <v>148</v>
      </c>
      <c r="M24" s="85">
        <v>3</v>
      </c>
      <c r="N24" s="83" t="s">
        <v>192</v>
      </c>
      <c r="O24" s="85"/>
      <c r="Q24" s="54"/>
      <c r="S24" s="170"/>
      <c r="T24" s="170"/>
      <c r="U24" s="471">
        <f>VLOOKUP(IF(D24&gt;0,D24,1),Preise!$A$3:$C$27,3)</f>
        <v>7.0757057644889763</v>
      </c>
      <c r="V24" s="138">
        <v>270</v>
      </c>
      <c r="W24" s="131"/>
      <c r="X24" s="472">
        <f>V24</f>
        <v>270</v>
      </c>
      <c r="Y24" s="473">
        <f>X24*IF(J24&gt;0,J24,1)</f>
        <v>1350</v>
      </c>
      <c r="Z24" s="474">
        <f>IF(ISERROR(VLOOKUP(L24,Gegenstände!$B$2:$N$2026,13,FALSE)),0,VLOOKUP(L24,Gegenstände!$B$2:$N$2026,13,FALSE))</f>
        <v>90</v>
      </c>
      <c r="AA24" s="142">
        <f>IF(ISERROR(VLOOKUP(N24,Gegenstände!$B$2:$N$2026,13,FALSE)),0,VLOOKUP(N24,Gegenstände!$B$2:$N$2026,13,FALSE))</f>
        <v>150</v>
      </c>
      <c r="AB24" s="142">
        <f>IF(ISERROR(VLOOKUP(P24,Gegenstände!$B$2:$N$2026,13,FALSE)),0,VLOOKUP(P24,Gegenstände!$B$2:$N$2026,13,FALSE))</f>
        <v>0</v>
      </c>
      <c r="AC24" s="142">
        <f>IF(ISERROR(VLOOKUP(R24,Gegenstände!$B$2:$N$2026,13,FALSE)),0,VLOOKUP(R24,Gegenstände!$B$2:$N$2026,13,FALSE))</f>
        <v>0</v>
      </c>
      <c r="AD24" s="142"/>
      <c r="AE24" s="475">
        <f>IF(ISERROR(K24*Z24),"",K24*Z24)</f>
        <v>450</v>
      </c>
      <c r="AF24" s="476">
        <f>IF(ISERROR(M24*AA24+O24*AB24+Q24*AC24),"",M24*AA24+O24*AB24+Q24*AC24)</f>
        <v>450</v>
      </c>
      <c r="AG24" s="128">
        <f t="shared" si="0"/>
        <v>0.33333333333333331</v>
      </c>
      <c r="AH24" s="128">
        <f t="shared" si="1"/>
        <v>0.33333333333333331</v>
      </c>
      <c r="AI24" s="129">
        <f t="shared" si="2"/>
        <v>0.66666666666666663</v>
      </c>
      <c r="AJ24" s="426">
        <f>Y24-(AE24+AF24)</f>
        <v>450</v>
      </c>
      <c r="AK24" s="131">
        <f>(AJ24*60)/F24</f>
        <v>450</v>
      </c>
      <c r="AL24" s="477">
        <f>AK24/VLOOKUP(IF(I24&gt;0,I24,1),Preise!$A$3:$B$27,2,FALSE)</f>
        <v>118.42105263157892</v>
      </c>
    </row>
    <row r="25" spans="1:38" s="3" customFormat="1" outlineLevel="1" x14ac:dyDescent="0.2">
      <c r="A25" s="53">
        <v>40</v>
      </c>
      <c r="B25" s="218">
        <v>40</v>
      </c>
      <c r="C25" s="132" t="str">
        <f>VLOOKUP(B25,Gegenstände!$A$2:$B$2026,2,FALSE)</f>
        <v>Äthertuch</v>
      </c>
      <c r="D25" s="133">
        <f>VLOOKUP(B25,Gegenstände!$A24:$D743,4,FALSE)</f>
        <v>20</v>
      </c>
      <c r="E25" s="468">
        <v>24</v>
      </c>
      <c r="F25" s="134">
        <v>60</v>
      </c>
      <c r="G25" s="54">
        <v>5</v>
      </c>
      <c r="H25" s="469">
        <v>54</v>
      </c>
      <c r="I25" s="54">
        <v>20</v>
      </c>
      <c r="J25" s="470">
        <v>5</v>
      </c>
      <c r="K25" s="54">
        <v>5</v>
      </c>
      <c r="L25" s="3" t="s">
        <v>149</v>
      </c>
      <c r="M25" s="85">
        <v>4</v>
      </c>
      <c r="N25" s="83" t="s">
        <v>192</v>
      </c>
      <c r="O25" s="85"/>
      <c r="Q25" s="54"/>
      <c r="S25" s="170"/>
      <c r="T25" s="170"/>
      <c r="U25" s="471">
        <f>VLOOKUP(IF(D25&gt;0,D25,1),Preise!$A$3:$C$27,3)</f>
        <v>14.231771646040078</v>
      </c>
      <c r="V25" s="138">
        <v>360</v>
      </c>
      <c r="W25" s="131"/>
      <c r="X25" s="472">
        <f>V25</f>
        <v>360</v>
      </c>
      <c r="Y25" s="473">
        <f>X25*IF(J25&gt;0,J25,1)</f>
        <v>1800</v>
      </c>
      <c r="Z25" s="474">
        <f>IF(ISERROR(VLOOKUP(L25,Gegenstände!$B$2:$N$2026,13,FALSE)),0,VLOOKUP(L25,Gegenstände!$B$2:$N$2026,13,FALSE))</f>
        <v>120</v>
      </c>
      <c r="AA25" s="142">
        <f>IF(ISERROR(VLOOKUP(N25,Gegenstände!$B$2:$N$2026,13,FALSE)),0,VLOOKUP(N25,Gegenstände!$B$2:$N$2026,13,FALSE))</f>
        <v>150</v>
      </c>
      <c r="AB25" s="142">
        <f>IF(ISERROR(VLOOKUP(P25,Gegenstände!$B$2:$N$2026,13,FALSE)),0,VLOOKUP(P25,Gegenstände!$B$2:$N$2026,13,FALSE))</f>
        <v>0</v>
      </c>
      <c r="AC25" s="142">
        <f>IF(ISERROR(VLOOKUP(R25,Gegenstände!$B$2:$N$2026,13,FALSE)),0,VLOOKUP(R25,Gegenstände!$B$2:$N$2026,13,FALSE))</f>
        <v>0</v>
      </c>
      <c r="AD25" s="142"/>
      <c r="AE25" s="475">
        <f>IF(ISERROR(K25*Z25),"",K25*Z25)</f>
        <v>600</v>
      </c>
      <c r="AF25" s="476">
        <f>IF(ISERROR(M25*AA25+O25*AB25+Q25*AC25),"",M25*AA25+O25*AB25+Q25*AC25)</f>
        <v>600</v>
      </c>
      <c r="AG25" s="128">
        <f t="shared" si="0"/>
        <v>0.33333333333333331</v>
      </c>
      <c r="AH25" s="128">
        <f t="shared" si="1"/>
        <v>0.33333333333333331</v>
      </c>
      <c r="AI25" s="129">
        <f t="shared" si="2"/>
        <v>0.66666666666666663</v>
      </c>
      <c r="AJ25" s="426">
        <f>Y25-(AE25+AF25)</f>
        <v>600</v>
      </c>
      <c r="AK25" s="131">
        <f>(AJ25*60)/F25</f>
        <v>600</v>
      </c>
      <c r="AL25" s="477">
        <f>AK25/VLOOKUP(IF(I25&gt;0,I25,1),Preise!$A$3:$B$27,2,FALSE)</f>
        <v>124.99999999999996</v>
      </c>
    </row>
    <row r="26" spans="1:38" s="3" customFormat="1" x14ac:dyDescent="0.2">
      <c r="A26" s="445"/>
      <c r="B26" s="446"/>
      <c r="C26" s="478"/>
      <c r="D26" s="479"/>
      <c r="E26" s="480"/>
      <c r="F26" s="481"/>
      <c r="G26" s="482"/>
      <c r="H26" s="483"/>
      <c r="I26" s="64"/>
      <c r="J26" s="452"/>
      <c r="K26" s="865"/>
      <c r="L26" s="865"/>
      <c r="M26" s="865"/>
      <c r="N26" s="865"/>
      <c r="O26" s="865"/>
      <c r="P26" s="865"/>
      <c r="Q26" s="865"/>
      <c r="R26" s="865"/>
      <c r="S26" s="484"/>
      <c r="T26" s="484"/>
      <c r="U26" s="454"/>
      <c r="V26" s="455"/>
      <c r="W26" s="456"/>
      <c r="X26" s="485"/>
      <c r="Y26" s="458"/>
      <c r="Z26" s="459"/>
      <c r="AA26" s="460"/>
      <c r="AB26" s="460"/>
      <c r="AC26" s="460"/>
      <c r="AD26" s="460"/>
      <c r="AE26" s="486"/>
      <c r="AF26" s="463"/>
      <c r="AG26" s="464"/>
      <c r="AH26" s="464"/>
      <c r="AI26" s="465"/>
      <c r="AJ26" s="466"/>
      <c r="AK26" s="456"/>
      <c r="AL26" s="467"/>
    </row>
    <row r="27" spans="1:38" s="3" customFormat="1" outlineLevel="1" x14ac:dyDescent="0.2">
      <c r="A27" s="53">
        <v>46</v>
      </c>
      <c r="B27" s="218">
        <v>46</v>
      </c>
      <c r="C27" s="132" t="str">
        <f>VLOOKUP(B27,Gegenstände!$A$2:$B$2026,2,FALSE)</f>
        <v>Weichleder</v>
      </c>
      <c r="D27" s="133">
        <f>VLOOKUP(B27,Gegenstände!$A26:$D745,4,FALSE)</f>
        <v>0</v>
      </c>
      <c r="E27" s="468">
        <v>23</v>
      </c>
      <c r="F27" s="134">
        <v>60</v>
      </c>
      <c r="G27" s="54">
        <v>1</v>
      </c>
      <c r="H27" s="469">
        <v>54</v>
      </c>
      <c r="I27" s="54">
        <v>0</v>
      </c>
      <c r="J27" s="470">
        <v>5</v>
      </c>
      <c r="K27" s="54">
        <v>5</v>
      </c>
      <c r="L27" s="3" t="s">
        <v>157</v>
      </c>
      <c r="M27" s="85">
        <v>1</v>
      </c>
      <c r="N27" s="83" t="s">
        <v>210</v>
      </c>
      <c r="O27" s="85"/>
      <c r="Q27" s="54"/>
      <c r="S27" s="170"/>
      <c r="T27" s="170"/>
      <c r="U27" s="471">
        <f>VLOOKUP(IF(D27&gt;0,D27,1),Preise!$A$3:$C$27,3)</f>
        <v>1</v>
      </c>
      <c r="V27" s="138">
        <v>60</v>
      </c>
      <c r="W27" s="131"/>
      <c r="X27" s="472">
        <f>V27</f>
        <v>60</v>
      </c>
      <c r="Y27" s="473">
        <f>X27*IF(J27&gt;0,J27,1)</f>
        <v>300</v>
      </c>
      <c r="Z27" s="474">
        <f>IF(ISERROR(VLOOKUP(L27,Gegenstände!$B$2:$N$2026,13,FALSE)),0,VLOOKUP(L27,Gegenstände!$B$2:$N$2026,13,FALSE))</f>
        <v>20</v>
      </c>
      <c r="AA27" s="142">
        <f>IF(ISERROR(VLOOKUP(N27,Gegenstände!$B$2:$N$2026,13,FALSE)),0,VLOOKUP(N27,Gegenstände!$B$2:$N$2026,13,FALSE))</f>
        <v>100</v>
      </c>
      <c r="AB27" s="142">
        <f>IF(ISERROR(VLOOKUP(P27,Gegenstände!$B$2:$N$2026,13,FALSE)),0,VLOOKUP(P27,Gegenstände!$B$2:$N$2026,13,FALSE))</f>
        <v>0</v>
      </c>
      <c r="AC27" s="142">
        <f>IF(ISERROR(VLOOKUP(R27,Gegenstände!$B$2:$N$2026,13,FALSE)),0,VLOOKUP(R27,Gegenstände!$B$2:$N$2026,13,FALSE))</f>
        <v>0</v>
      </c>
      <c r="AD27" s="142"/>
      <c r="AE27" s="475">
        <f>IF(ISERROR(K27*Z27),"",K27*Z27)</f>
        <v>100</v>
      </c>
      <c r="AF27" s="476">
        <f>IF(ISERROR(M27*AA27+O27*AB27+Q27*AC27),"",M27*AA27+O27*AB27+Q27*AC27)</f>
        <v>100</v>
      </c>
      <c r="AG27" s="128">
        <f t="shared" si="0"/>
        <v>0.33333333333333331</v>
      </c>
      <c r="AH27" s="128">
        <f t="shared" si="1"/>
        <v>0.33333333333333331</v>
      </c>
      <c r="AI27" s="129">
        <f t="shared" si="2"/>
        <v>0.66666666666666663</v>
      </c>
      <c r="AJ27" s="426">
        <f>Y27-(AE27+AF27)</f>
        <v>100</v>
      </c>
      <c r="AK27" s="131">
        <f>(AJ27*60)/F27</f>
        <v>100</v>
      </c>
      <c r="AL27" s="477">
        <f>AK27/VLOOKUP(IF(I27&gt;0,I27,1),Preise!$A$3:$B$27,2,FALSE)</f>
        <v>100</v>
      </c>
    </row>
    <row r="28" spans="1:38" s="3" customFormat="1" outlineLevel="1" x14ac:dyDescent="0.2">
      <c r="A28" s="53">
        <v>47</v>
      </c>
      <c r="B28" s="218">
        <v>47</v>
      </c>
      <c r="C28" s="132" t="str">
        <f>VLOOKUP(B28,Gegenstände!$A$2:$B$2026,2,FALSE)</f>
        <v>Leder</v>
      </c>
      <c r="D28" s="133">
        <f>VLOOKUP(B28,Gegenstände!$A27:$D746,4,FALSE)</f>
        <v>5</v>
      </c>
      <c r="E28" s="468">
        <v>23</v>
      </c>
      <c r="F28" s="134">
        <v>60</v>
      </c>
      <c r="G28" s="54">
        <v>2</v>
      </c>
      <c r="H28" s="469">
        <v>54</v>
      </c>
      <c r="I28" s="54">
        <v>5</v>
      </c>
      <c r="J28" s="470">
        <v>5</v>
      </c>
      <c r="K28" s="54">
        <v>5</v>
      </c>
      <c r="L28" s="3" t="s">
        <v>158</v>
      </c>
      <c r="M28" s="85">
        <v>2</v>
      </c>
      <c r="N28" s="83" t="s">
        <v>210</v>
      </c>
      <c r="O28" s="85"/>
      <c r="Q28" s="54"/>
      <c r="S28" s="170"/>
      <c r="T28" s="170"/>
      <c r="U28" s="471">
        <f>VLOOKUP(IF(D28&gt;0,D28,1),Preise!$A$3:$C$27,3)</f>
        <v>1.7490062499999994</v>
      </c>
      <c r="V28" s="138">
        <v>120</v>
      </c>
      <c r="W28" s="131"/>
      <c r="X28" s="472">
        <f>V28</f>
        <v>120</v>
      </c>
      <c r="Y28" s="473">
        <f>X28*IF(J28&gt;0,J28,1)</f>
        <v>600</v>
      </c>
      <c r="Z28" s="474">
        <f>IF(ISERROR(VLOOKUP(L28,Gegenstände!$B$2:$N$2026,13,FALSE)),0,VLOOKUP(L28,Gegenstände!$B$2:$N$2026,13,FALSE))</f>
        <v>40</v>
      </c>
      <c r="AA28" s="142">
        <f>IF(ISERROR(VLOOKUP(N28,Gegenstände!$B$2:$N$2026,13,FALSE)),0,VLOOKUP(N28,Gegenstände!$B$2:$N$2026,13,FALSE))</f>
        <v>100</v>
      </c>
      <c r="AB28" s="142">
        <f>IF(ISERROR(VLOOKUP(P28,Gegenstände!$B$2:$N$2026,13,FALSE)),0,VLOOKUP(P28,Gegenstände!$B$2:$N$2026,13,FALSE))</f>
        <v>0</v>
      </c>
      <c r="AC28" s="142">
        <f>IF(ISERROR(VLOOKUP(R28,Gegenstände!$B$2:$N$2026,13,FALSE)),0,VLOOKUP(R28,Gegenstände!$B$2:$N$2026,13,FALSE))</f>
        <v>0</v>
      </c>
      <c r="AD28" s="142"/>
      <c r="AE28" s="475">
        <f>IF(ISERROR(K28*Z28),"",K28*Z28)</f>
        <v>200</v>
      </c>
      <c r="AF28" s="476">
        <f>IF(ISERROR(M28*AA28+O28*AB28+Q28*AC28),"",M28*AA28+O28*AB28+Q28*AC28)</f>
        <v>200</v>
      </c>
      <c r="AG28" s="128">
        <f t="shared" si="0"/>
        <v>0.33333333333333331</v>
      </c>
      <c r="AH28" s="128">
        <f t="shared" si="1"/>
        <v>0.33333333333333331</v>
      </c>
      <c r="AI28" s="129">
        <f t="shared" si="2"/>
        <v>0.66666666666666663</v>
      </c>
      <c r="AJ28" s="426">
        <f>Y28-(AE28+AF28)</f>
        <v>200</v>
      </c>
      <c r="AK28" s="131">
        <f>(AJ28*60)/F28</f>
        <v>200</v>
      </c>
      <c r="AL28" s="477">
        <f>AK28/VLOOKUP(IF(I28&gt;0,I28,1),Preise!$A$3:$B$27,2,FALSE)</f>
        <v>111.11111111111113</v>
      </c>
    </row>
    <row r="29" spans="1:38" s="3" customFormat="1" outlineLevel="1" x14ac:dyDescent="0.2">
      <c r="A29" s="53">
        <v>48</v>
      </c>
      <c r="B29" s="218">
        <v>48</v>
      </c>
      <c r="C29" s="132" t="str">
        <f>VLOOKUP(B29,Gegenstände!$A$2:$B$2026,2,FALSE)</f>
        <v>Hartleder</v>
      </c>
      <c r="D29" s="133">
        <f>VLOOKUP(B29,Gegenstände!$A28:$D747,4,FALSE)</f>
        <v>10</v>
      </c>
      <c r="E29" s="468">
        <v>23</v>
      </c>
      <c r="F29" s="134">
        <v>60</v>
      </c>
      <c r="G29" s="54">
        <v>3</v>
      </c>
      <c r="H29" s="469">
        <v>54</v>
      </c>
      <c r="I29" s="54">
        <v>10</v>
      </c>
      <c r="J29" s="470">
        <v>5</v>
      </c>
      <c r="K29" s="54">
        <v>5</v>
      </c>
      <c r="L29" s="3" t="s">
        <v>159</v>
      </c>
      <c r="M29" s="85">
        <v>2</v>
      </c>
      <c r="N29" s="83" t="s">
        <v>212</v>
      </c>
      <c r="O29" s="85"/>
      <c r="Q29" s="54"/>
      <c r="S29" s="170"/>
      <c r="T29" s="170"/>
      <c r="U29" s="471">
        <f>VLOOKUP(IF(D29&gt;0,D29,1),Preise!$A$3:$C$27,3)</f>
        <v>3.5178762919199196</v>
      </c>
      <c r="V29" s="138">
        <v>180</v>
      </c>
      <c r="W29" s="131"/>
      <c r="X29" s="472">
        <f>V29</f>
        <v>180</v>
      </c>
      <c r="Y29" s="473">
        <f>X29*IF(J29&gt;0,J29,1)</f>
        <v>900</v>
      </c>
      <c r="Z29" s="474">
        <f>IF(ISERROR(VLOOKUP(L29,Gegenstände!$B$2:$N$2026,13,FALSE)),0,VLOOKUP(L29,Gegenstände!$B$2:$N$2026,13,FALSE))</f>
        <v>60</v>
      </c>
      <c r="AA29" s="142">
        <f>IF(ISERROR(VLOOKUP(N29,Gegenstände!$B$2:$N$2026,13,FALSE)),0,VLOOKUP(N29,Gegenstände!$B$2:$N$2026,13,FALSE))</f>
        <v>150</v>
      </c>
      <c r="AB29" s="142">
        <f>IF(ISERROR(VLOOKUP(P29,Gegenstände!$B$2:$N$2026,13,FALSE)),0,VLOOKUP(P29,Gegenstände!$B$2:$N$2026,13,FALSE))</f>
        <v>0</v>
      </c>
      <c r="AC29" s="142">
        <f>IF(ISERROR(VLOOKUP(R29,Gegenstände!$B$2:$N$2026,13,FALSE)),0,VLOOKUP(R29,Gegenstände!$B$2:$N$2026,13,FALSE))</f>
        <v>0</v>
      </c>
      <c r="AD29" s="142"/>
      <c r="AE29" s="475">
        <f>IF(ISERROR(K29*Z29),"",K29*Z29)</f>
        <v>300</v>
      </c>
      <c r="AF29" s="476">
        <f>IF(ISERROR(M29*AA29+O29*AB29+Q29*AC29),"",M29*AA29+O29*AB29+Q29*AC29)</f>
        <v>300</v>
      </c>
      <c r="AG29" s="128">
        <f t="shared" si="0"/>
        <v>0.33333333333333331</v>
      </c>
      <c r="AH29" s="128">
        <f t="shared" si="1"/>
        <v>0.33333333333333331</v>
      </c>
      <c r="AI29" s="129">
        <f t="shared" si="2"/>
        <v>0.66666666666666663</v>
      </c>
      <c r="AJ29" s="426">
        <f>Y29-(AE29+AF29)</f>
        <v>300</v>
      </c>
      <c r="AK29" s="131">
        <f>(AJ29*60)/F29</f>
        <v>300</v>
      </c>
      <c r="AL29" s="477">
        <f>AK29/VLOOKUP(IF(I29&gt;0,I29,1),Preise!$A$3:$B$27,2,FALSE)</f>
        <v>107.14285714285714</v>
      </c>
    </row>
    <row r="30" spans="1:38" s="3" customFormat="1" outlineLevel="1" x14ac:dyDescent="0.2">
      <c r="A30" s="53">
        <v>49</v>
      </c>
      <c r="B30" s="218">
        <v>49</v>
      </c>
      <c r="C30" s="132" t="str">
        <f>VLOOKUP(B30,Gegenstände!$A$2:$B$2026,2,FALSE)</f>
        <v>Riesenleder</v>
      </c>
      <c r="D30" s="133">
        <f>VLOOKUP(B30,Gegenstände!$A29:$D748,4,FALSE)</f>
        <v>15</v>
      </c>
      <c r="E30" s="468">
        <v>23</v>
      </c>
      <c r="F30" s="134">
        <v>60</v>
      </c>
      <c r="G30" s="54">
        <v>4</v>
      </c>
      <c r="H30" s="469">
        <v>54</v>
      </c>
      <c r="I30" s="54">
        <v>15</v>
      </c>
      <c r="J30" s="470">
        <v>5</v>
      </c>
      <c r="K30" s="54">
        <v>5</v>
      </c>
      <c r="L30" s="3" t="s">
        <v>160</v>
      </c>
      <c r="M30" s="85">
        <v>3</v>
      </c>
      <c r="N30" s="83" t="s">
        <v>212</v>
      </c>
      <c r="O30" s="85"/>
      <c r="Q30" s="54"/>
      <c r="S30" s="170"/>
      <c r="T30" s="170"/>
      <c r="U30" s="471">
        <f>VLOOKUP(IF(D30&gt;0,D30,1),Preise!$A$3:$C$27,3)</f>
        <v>7.0757057644889763</v>
      </c>
      <c r="V30" s="138">
        <v>270</v>
      </c>
      <c r="W30" s="131"/>
      <c r="X30" s="472">
        <f>V30</f>
        <v>270</v>
      </c>
      <c r="Y30" s="473">
        <f>X30*IF(J30&gt;0,J30,1)</f>
        <v>1350</v>
      </c>
      <c r="Z30" s="474">
        <f>IF(ISERROR(VLOOKUP(L30,Gegenstände!$B$2:$N$2026,13,FALSE)),0,VLOOKUP(L30,Gegenstände!$B$2:$N$2026,13,FALSE))</f>
        <v>90</v>
      </c>
      <c r="AA30" s="142">
        <f>IF(ISERROR(VLOOKUP(N30,Gegenstände!$B$2:$N$2026,13,FALSE)),0,VLOOKUP(N30,Gegenstände!$B$2:$N$2026,13,FALSE))</f>
        <v>150</v>
      </c>
      <c r="AB30" s="142">
        <f>IF(ISERROR(VLOOKUP(P30,Gegenstände!$B$2:$N$2026,13,FALSE)),0,VLOOKUP(P30,Gegenstände!$B$2:$N$2026,13,FALSE))</f>
        <v>0</v>
      </c>
      <c r="AC30" s="142">
        <f>IF(ISERROR(VLOOKUP(R30,Gegenstände!$B$2:$N$2026,13,FALSE)),0,VLOOKUP(R30,Gegenstände!$B$2:$N$2026,13,FALSE))</f>
        <v>0</v>
      </c>
      <c r="AD30" s="142"/>
      <c r="AE30" s="475">
        <f>IF(ISERROR(K30*Z30),"",K30*Z30)</f>
        <v>450</v>
      </c>
      <c r="AF30" s="476">
        <f>IF(ISERROR(M30*AA30+O30*AB30+Q30*AC30),"",M30*AA30+O30*AB30+Q30*AC30)</f>
        <v>450</v>
      </c>
      <c r="AG30" s="128">
        <f t="shared" si="0"/>
        <v>0.33333333333333331</v>
      </c>
      <c r="AH30" s="128">
        <f t="shared" si="1"/>
        <v>0.33333333333333331</v>
      </c>
      <c r="AI30" s="129">
        <f t="shared" si="2"/>
        <v>0.66666666666666663</v>
      </c>
      <c r="AJ30" s="426">
        <f>Y30-(AE30+AF30)</f>
        <v>450</v>
      </c>
      <c r="AK30" s="131">
        <f>(AJ30*60)/F30</f>
        <v>450</v>
      </c>
      <c r="AL30" s="477">
        <f>AK30/VLOOKUP(IF(I30&gt;0,I30,1),Preise!$A$3:$B$27,2,FALSE)</f>
        <v>118.42105263157892</v>
      </c>
    </row>
    <row r="31" spans="1:38" s="3" customFormat="1" outlineLevel="1" x14ac:dyDescent="0.2">
      <c r="A31" s="53">
        <v>50</v>
      </c>
      <c r="B31" s="218">
        <v>50</v>
      </c>
      <c r="C31" s="132" t="str">
        <f>VLOOKUP(B31,Gegenstände!$A$2:$B$2026,2,FALSE)</f>
        <v>Drachenleder</v>
      </c>
      <c r="D31" s="133">
        <f>VLOOKUP(B31,Gegenstände!$A30:$D749,4,FALSE)</f>
        <v>20</v>
      </c>
      <c r="E31" s="468">
        <v>23</v>
      </c>
      <c r="F31" s="134">
        <v>60</v>
      </c>
      <c r="G31" s="54">
        <v>5</v>
      </c>
      <c r="H31" s="469">
        <v>54</v>
      </c>
      <c r="I31" s="54">
        <v>20</v>
      </c>
      <c r="J31" s="470">
        <v>5</v>
      </c>
      <c r="K31" s="54">
        <v>5</v>
      </c>
      <c r="L31" s="3" t="s">
        <v>161</v>
      </c>
      <c r="M31" s="85">
        <v>4</v>
      </c>
      <c r="N31" s="83" t="s">
        <v>212</v>
      </c>
      <c r="O31" s="85"/>
      <c r="Q31" s="54"/>
      <c r="S31" s="170"/>
      <c r="T31" s="170"/>
      <c r="U31" s="471">
        <f>VLOOKUP(IF(D31&gt;0,D31,1),Preise!$A$3:$C$27,3)</f>
        <v>14.231771646040078</v>
      </c>
      <c r="V31" s="138">
        <v>360</v>
      </c>
      <c r="W31" s="131"/>
      <c r="X31" s="472">
        <f>V31</f>
        <v>360</v>
      </c>
      <c r="Y31" s="473">
        <f>X31*IF(J31&gt;0,J31,1)</f>
        <v>1800</v>
      </c>
      <c r="Z31" s="474">
        <f>IF(ISERROR(VLOOKUP(L31,Gegenstände!$B$2:$N$2026,13,FALSE)),0,VLOOKUP(L31,Gegenstände!$B$2:$N$2026,13,FALSE))</f>
        <v>120</v>
      </c>
      <c r="AA31" s="142">
        <f>IF(ISERROR(VLOOKUP(N31,Gegenstände!$B$2:$N$2026,13,FALSE)),0,VLOOKUP(N31,Gegenstände!$B$2:$N$2026,13,FALSE))</f>
        <v>150</v>
      </c>
      <c r="AB31" s="142">
        <f>IF(ISERROR(VLOOKUP(P31,Gegenstände!$B$2:$N$2026,13,FALSE)),0,VLOOKUP(P31,Gegenstände!$B$2:$N$2026,13,FALSE))</f>
        <v>0</v>
      </c>
      <c r="AC31" s="142">
        <f>IF(ISERROR(VLOOKUP(R31,Gegenstände!$B$2:$N$2026,13,FALSE)),0,VLOOKUP(R31,Gegenstände!$B$2:$N$2026,13,FALSE))</f>
        <v>0</v>
      </c>
      <c r="AD31" s="142"/>
      <c r="AE31" s="475">
        <f>IF(ISERROR(K31*Z31),"",K31*Z31)</f>
        <v>600</v>
      </c>
      <c r="AF31" s="476">
        <f>IF(ISERROR(M31*AA31+O31*AB31+Q31*AC31),"",M31*AA31+O31*AB31+Q31*AC31)</f>
        <v>600</v>
      </c>
      <c r="AG31" s="128">
        <f t="shared" si="0"/>
        <v>0.33333333333333331</v>
      </c>
      <c r="AH31" s="128">
        <f t="shared" si="1"/>
        <v>0.33333333333333331</v>
      </c>
      <c r="AI31" s="129">
        <f t="shared" si="2"/>
        <v>0.66666666666666663</v>
      </c>
      <c r="AJ31" s="426">
        <f>Y31-(AE31+AF31)</f>
        <v>600</v>
      </c>
      <c r="AK31" s="131">
        <f>(AJ31*60)/F31</f>
        <v>600</v>
      </c>
      <c r="AL31" s="477">
        <f>AK31/VLOOKUP(IF(I31&gt;0,I31,1),Preise!$A$3:$B$27,2,FALSE)</f>
        <v>124.99999999999996</v>
      </c>
    </row>
    <row r="32" spans="1:38" s="3" customFormat="1" outlineLevel="1" x14ac:dyDescent="0.2">
      <c r="A32" s="104"/>
      <c r="B32" s="487"/>
      <c r="C32" s="106"/>
      <c r="D32" s="107"/>
      <c r="E32" s="488"/>
      <c r="F32" s="110"/>
      <c r="G32" s="111"/>
      <c r="H32" s="489"/>
      <c r="I32" s="111"/>
      <c r="J32" s="490"/>
      <c r="K32" s="111"/>
      <c r="L32" s="117"/>
      <c r="M32" s="116"/>
      <c r="N32" s="115"/>
      <c r="O32" s="116"/>
      <c r="P32" s="117"/>
      <c r="Q32" s="111"/>
      <c r="R32" s="117"/>
      <c r="S32" s="491"/>
      <c r="T32" s="491"/>
      <c r="U32" s="492"/>
      <c r="V32" s="119"/>
      <c r="W32" s="120"/>
      <c r="X32" s="493"/>
      <c r="Y32" s="494"/>
      <c r="Z32" s="495"/>
      <c r="AA32" s="124"/>
      <c r="AB32" s="124"/>
      <c r="AC32" s="124"/>
      <c r="AD32" s="124"/>
      <c r="AE32" s="126"/>
      <c r="AF32" s="496"/>
      <c r="AG32" s="497"/>
      <c r="AH32" s="497"/>
      <c r="AI32" s="498"/>
      <c r="AJ32" s="499"/>
      <c r="AK32" s="120"/>
      <c r="AL32" s="500"/>
    </row>
    <row r="33" spans="1:38" s="3" customFormat="1" outlineLevel="1" x14ac:dyDescent="0.2">
      <c r="A33" s="53">
        <v>201</v>
      </c>
      <c r="B33" s="218">
        <v>201</v>
      </c>
      <c r="C33" s="132" t="str">
        <f>VLOOKUP(B33,Gegenstände!$A$2:$B$2026,2,FALSE)</f>
        <v>Kalk-Mauerstück</v>
      </c>
      <c r="D33" s="133">
        <v>1</v>
      </c>
      <c r="E33" s="468">
        <v>35</v>
      </c>
      <c r="F33" s="134">
        <v>180</v>
      </c>
      <c r="G33" s="54">
        <v>1</v>
      </c>
      <c r="H33" s="469">
        <v>55</v>
      </c>
      <c r="I33" s="54">
        <v>0</v>
      </c>
      <c r="J33" s="470">
        <v>1</v>
      </c>
      <c r="K33" s="54">
        <v>8</v>
      </c>
      <c r="L33" s="3" t="s">
        <v>126</v>
      </c>
      <c r="M33" s="54">
        <v>6</v>
      </c>
      <c r="N33" s="3" t="s">
        <v>139</v>
      </c>
      <c r="O33" s="85">
        <v>11</v>
      </c>
      <c r="P33" s="83" t="s">
        <v>213</v>
      </c>
      <c r="Q33" s="85"/>
      <c r="R33" s="83"/>
      <c r="S33" s="170"/>
      <c r="T33" s="170"/>
      <c r="U33" s="471">
        <f>VLOOKUP(IF(D33&gt;0,D33,1),Preise!$A$3:$C$27,3)</f>
        <v>1</v>
      </c>
      <c r="V33" s="138">
        <v>2600</v>
      </c>
      <c r="W33" s="131"/>
      <c r="X33" s="472">
        <f>V33</f>
        <v>2600</v>
      </c>
      <c r="Y33" s="473">
        <f>X33*IF(J33&gt;0,J33,1)</f>
        <v>2600</v>
      </c>
      <c r="Z33" s="474">
        <f>IF(ISERROR(VLOOKUP(L33,Gegenstände!$B$2:$N$2026,13,FALSE)),0,VLOOKUP(L33,Gegenstände!$B$2:$N$2026,13,FALSE))</f>
        <v>60</v>
      </c>
      <c r="AA33" s="142">
        <f>IF(ISERROR(VLOOKUP(N33,Gegenstände!$B$2:$N$2026,13,FALSE)),0,VLOOKUP(N33,Gegenstände!$B$2:$N$2026,13,FALSE))</f>
        <v>60</v>
      </c>
      <c r="AB33" s="142">
        <f>IF(ISERROR(VLOOKUP(P33,Gegenstände!$B$2:$N$2026,13,FALSE)),0,VLOOKUP(P33,Gegenstände!$B$2:$N$2026,13,FALSE))</f>
        <v>80</v>
      </c>
      <c r="AC33" s="142">
        <f>IF(ISERROR(VLOOKUP(R33,Gegenstände!$B$2:$N$2026,13,FALSE)),0,VLOOKUP(R33,Gegenstände!$B$2:$N$2026,13,FALSE))</f>
        <v>0</v>
      </c>
      <c r="AD33" s="142"/>
      <c r="AE33" s="475">
        <f>(K33*Z33)+(M33*AA33)</f>
        <v>840</v>
      </c>
      <c r="AF33" s="476">
        <f>O33*AB33+Q33*AC33</f>
        <v>880</v>
      </c>
      <c r="AG33" s="128">
        <f>AE33/Y33</f>
        <v>0.32307692307692309</v>
      </c>
      <c r="AH33" s="128">
        <f>AF33/Y33</f>
        <v>0.33846153846153848</v>
      </c>
      <c r="AI33" s="129">
        <f>(AE33+AF33)/Y33</f>
        <v>0.66153846153846152</v>
      </c>
      <c r="AJ33" s="426">
        <f>Y33-(AE33+AF33)</f>
        <v>880</v>
      </c>
      <c r="AK33" s="131">
        <f>(AJ33*60)/F33</f>
        <v>293.33333333333331</v>
      </c>
      <c r="AL33" s="477">
        <f>AK33/VLOOKUP(IF(I33&gt;0,I33,1),Preise!$A$3:$B$27,2,FALSE)</f>
        <v>293.33333333333331</v>
      </c>
    </row>
    <row r="34" spans="1:38" s="3" customFormat="1" outlineLevel="1" x14ac:dyDescent="0.2">
      <c r="A34" s="53">
        <v>202</v>
      </c>
      <c r="B34" s="218">
        <v>202</v>
      </c>
      <c r="C34" s="132" t="str">
        <f>VLOOKUP(B34,Gegenstände!$A$2:$B$2026,2,FALSE)</f>
        <v>Kalk-Bodenplatte</v>
      </c>
      <c r="D34" s="133">
        <v>1</v>
      </c>
      <c r="E34" s="468">
        <v>35</v>
      </c>
      <c r="F34" s="134">
        <v>150</v>
      </c>
      <c r="G34" s="54">
        <v>1</v>
      </c>
      <c r="H34" s="469">
        <v>55</v>
      </c>
      <c r="I34" s="54">
        <v>0</v>
      </c>
      <c r="J34" s="470">
        <v>1</v>
      </c>
      <c r="K34" s="54">
        <v>12</v>
      </c>
      <c r="L34" s="3" t="s">
        <v>126</v>
      </c>
      <c r="M34" s="54"/>
      <c r="N34" s="83"/>
      <c r="O34" s="85">
        <v>9</v>
      </c>
      <c r="P34" s="83" t="s">
        <v>213</v>
      </c>
      <c r="Q34" s="85"/>
      <c r="R34" s="83"/>
      <c r="S34" s="170"/>
      <c r="T34" s="170"/>
      <c r="U34" s="471">
        <f>VLOOKUP(IF(D34&gt;0,D34,1),Preise!$A$3:$C$27,3)</f>
        <v>1</v>
      </c>
      <c r="V34" s="138">
        <v>2200</v>
      </c>
      <c r="W34" s="131"/>
      <c r="X34" s="472">
        <f>V34</f>
        <v>2200</v>
      </c>
      <c r="Y34" s="473">
        <f>X34*IF(J34&gt;0,J34,1)</f>
        <v>2200</v>
      </c>
      <c r="Z34" s="474">
        <f>IF(ISERROR(VLOOKUP(L34,Gegenstände!$B$2:$N$2026,13,FALSE)),0,VLOOKUP(L34,Gegenstände!$B$2:$N$2026,13,FALSE))</f>
        <v>60</v>
      </c>
      <c r="AA34" s="142">
        <f>IF(ISERROR(VLOOKUP(N34,Gegenstände!$B$2:$N$2026,13,FALSE)),0,VLOOKUP(N34,Gegenstände!$B$2:$N$2026,13,FALSE))</f>
        <v>0</v>
      </c>
      <c r="AB34" s="142">
        <f>IF(ISERROR(VLOOKUP(P34,Gegenstände!$B$2:$N$2026,13,FALSE)),0,VLOOKUP(P34,Gegenstände!$B$2:$N$2026,13,FALSE))</f>
        <v>80</v>
      </c>
      <c r="AC34" s="142">
        <f>IF(ISERROR(VLOOKUP(R34,Gegenstände!$B$2:$N$2026,13,FALSE)),0,VLOOKUP(R34,Gegenstände!$B$2:$N$2026,13,FALSE))</f>
        <v>0</v>
      </c>
      <c r="AD34" s="142"/>
      <c r="AE34" s="475">
        <f>(K34*Z34)+(M34*AA34)</f>
        <v>720</v>
      </c>
      <c r="AF34" s="476">
        <f>O34*AB34+Q34*AC34</f>
        <v>720</v>
      </c>
      <c r="AG34" s="128">
        <f>AE34/Y34</f>
        <v>0.32727272727272727</v>
      </c>
      <c r="AH34" s="128">
        <f>AF34/Y34</f>
        <v>0.32727272727272727</v>
      </c>
      <c r="AI34" s="129">
        <f>(AE34+AF34)/Y34</f>
        <v>0.65454545454545454</v>
      </c>
      <c r="AJ34" s="426">
        <f>Y34-(AE34+AF34)</f>
        <v>760</v>
      </c>
      <c r="AK34" s="131">
        <f>(AJ34*60)/F34</f>
        <v>304</v>
      </c>
      <c r="AL34" s="477">
        <f>AK34/VLOOKUP(IF(I34&gt;0,I34,1),Preise!$A$3:$B$27,2,FALSE)</f>
        <v>304</v>
      </c>
    </row>
    <row r="35" spans="1:38" s="3" customFormat="1" outlineLevel="1" x14ac:dyDescent="0.2">
      <c r="A35" s="53">
        <v>203</v>
      </c>
      <c r="B35" s="218">
        <v>203</v>
      </c>
      <c r="C35" s="132" t="str">
        <f>VLOOKUP(B35,Gegenstände!$A$2:$B$2026,2,FALSE)</f>
        <v>Buchen-Dachkonstrukt</v>
      </c>
      <c r="D35" s="133">
        <v>1</v>
      </c>
      <c r="E35" s="468">
        <v>35</v>
      </c>
      <c r="F35" s="134">
        <v>210</v>
      </c>
      <c r="G35" s="54">
        <v>1</v>
      </c>
      <c r="H35" s="469">
        <v>55</v>
      </c>
      <c r="I35" s="54">
        <v>0</v>
      </c>
      <c r="J35" s="470">
        <v>1</v>
      </c>
      <c r="K35" s="54">
        <v>4</v>
      </c>
      <c r="L35" s="3" t="s">
        <v>126</v>
      </c>
      <c r="M35" s="54">
        <v>14</v>
      </c>
      <c r="N35" s="3" t="s">
        <v>139</v>
      </c>
      <c r="O35" s="85">
        <v>11</v>
      </c>
      <c r="P35" s="83" t="s">
        <v>188</v>
      </c>
      <c r="Q35" s="85"/>
      <c r="R35" s="83"/>
      <c r="S35" s="170"/>
      <c r="T35" s="170"/>
      <c r="U35" s="471">
        <f>VLOOKUP(IF(D35&gt;0,D35,1),Preise!$A$3:$C$27,3)</f>
        <v>1</v>
      </c>
      <c r="V35" s="138">
        <v>3200</v>
      </c>
      <c r="W35" s="131"/>
      <c r="X35" s="472">
        <f>V35</f>
        <v>3200</v>
      </c>
      <c r="Y35" s="473">
        <f>X35*IF(J35&gt;0,J35,1)</f>
        <v>3200</v>
      </c>
      <c r="Z35" s="474">
        <f>IF(ISERROR(VLOOKUP(L35,Gegenstände!$B$2:$N$2026,13,FALSE)),0,VLOOKUP(L35,Gegenstände!$B$2:$N$2026,13,FALSE))</f>
        <v>60</v>
      </c>
      <c r="AA35" s="142">
        <f>IF(ISERROR(VLOOKUP(N35,Gegenstände!$B$2:$N$2026,13,FALSE)),0,VLOOKUP(N35,Gegenstände!$B$2:$N$2026,13,FALSE))</f>
        <v>60</v>
      </c>
      <c r="AB35" s="142">
        <f>IF(ISERROR(VLOOKUP(P35,Gegenstände!$B$2:$N$2026,13,FALSE)),0,VLOOKUP(P35,Gegenstände!$B$2:$N$2026,13,FALSE))</f>
        <v>100</v>
      </c>
      <c r="AC35" s="142">
        <f>IF(ISERROR(VLOOKUP(R35,Gegenstände!$B$2:$N$2026,13,FALSE)),0,VLOOKUP(R35,Gegenstände!$B$2:$N$2026,13,FALSE))</f>
        <v>0</v>
      </c>
      <c r="AD35" s="142"/>
      <c r="AE35" s="475">
        <f>(K35*Z35)+(M35*AA35)</f>
        <v>1080</v>
      </c>
      <c r="AF35" s="476">
        <f>O35*AB35+Q35*AC35</f>
        <v>1100</v>
      </c>
      <c r="AG35" s="128">
        <f>AE35/Y35</f>
        <v>0.33750000000000002</v>
      </c>
      <c r="AH35" s="128">
        <f>AF35/Y35</f>
        <v>0.34375</v>
      </c>
      <c r="AI35" s="129">
        <f>(AE35+AF35)/Y35</f>
        <v>0.68125000000000002</v>
      </c>
      <c r="AJ35" s="426">
        <f>Y35-(AE35+AF35)</f>
        <v>1020</v>
      </c>
      <c r="AK35" s="131">
        <f>(AJ35*60)/F35</f>
        <v>291.42857142857144</v>
      </c>
      <c r="AL35" s="477">
        <f>AK35/VLOOKUP(IF(I35&gt;0,I35,1),Preise!$A$3:$B$27,2,FALSE)</f>
        <v>291.42857142857144</v>
      </c>
    </row>
    <row r="36" spans="1:38" s="3" customFormat="1" outlineLevel="1" x14ac:dyDescent="0.2">
      <c r="A36" s="53">
        <v>204</v>
      </c>
      <c r="B36" s="218">
        <v>204</v>
      </c>
      <c r="C36" s="132" t="str">
        <f>VLOOKUP(B36,Gegenstände!$A$2:$B$2026,2,FALSE)</f>
        <v>Buchen-Stützbalken</v>
      </c>
      <c r="D36" s="133">
        <v>1</v>
      </c>
      <c r="E36" s="468">
        <v>35</v>
      </c>
      <c r="F36" s="134">
        <v>210</v>
      </c>
      <c r="G36" s="54">
        <v>1</v>
      </c>
      <c r="H36" s="469">
        <v>55</v>
      </c>
      <c r="I36" s="54">
        <v>0</v>
      </c>
      <c r="J36" s="470">
        <v>1</v>
      </c>
      <c r="K36" s="54"/>
      <c r="M36" s="54">
        <v>10</v>
      </c>
      <c r="N36" s="3" t="s">
        <v>139</v>
      </c>
      <c r="O36" s="85">
        <v>6</v>
      </c>
      <c r="P36" s="83" t="s">
        <v>188</v>
      </c>
      <c r="Q36" s="85"/>
      <c r="R36" s="83"/>
      <c r="S36" s="170"/>
      <c r="T36" s="170"/>
      <c r="U36" s="471">
        <f>VLOOKUP(IF(D36&gt;0,D36,1),Preise!$A$3:$C$27,3)</f>
        <v>1</v>
      </c>
      <c r="V36" s="138">
        <v>1800</v>
      </c>
      <c r="W36" s="131"/>
      <c r="X36" s="472">
        <f>V36</f>
        <v>1800</v>
      </c>
      <c r="Y36" s="473">
        <f>X36*IF(J36&gt;0,J36,1)</f>
        <v>1800</v>
      </c>
      <c r="Z36" s="474">
        <f>IF(ISERROR(VLOOKUP(L36,Gegenstände!$B$2:$N$2026,13,FALSE)),0,VLOOKUP(L36,Gegenstände!$B$2:$N$2026,13,FALSE))</f>
        <v>0</v>
      </c>
      <c r="AA36" s="142">
        <f>IF(ISERROR(VLOOKUP(N36,Gegenstände!$B$2:$N$2026,13,FALSE)),0,VLOOKUP(N36,Gegenstände!$B$2:$N$2026,13,FALSE))</f>
        <v>60</v>
      </c>
      <c r="AB36" s="142">
        <f>IF(ISERROR(VLOOKUP(P36,Gegenstände!$B$2:$N$2026,13,FALSE)),0,VLOOKUP(P36,Gegenstände!$B$2:$N$2026,13,FALSE))</f>
        <v>100</v>
      </c>
      <c r="AC36" s="142">
        <f>IF(ISERROR(VLOOKUP(R36,Gegenstände!$B$2:$N$2026,13,FALSE)),0,VLOOKUP(R36,Gegenstände!$B$2:$N$2026,13,FALSE))</f>
        <v>0</v>
      </c>
      <c r="AD36" s="142"/>
      <c r="AE36" s="475">
        <f>(K36*Z36)+(M36*AA36)</f>
        <v>600</v>
      </c>
      <c r="AF36" s="476">
        <f>O36*AB36+Q36*AC36</f>
        <v>600</v>
      </c>
      <c r="AG36" s="128">
        <f>AE36/Y36</f>
        <v>0.33333333333333331</v>
      </c>
      <c r="AH36" s="128">
        <f>AF36/Y36</f>
        <v>0.33333333333333331</v>
      </c>
      <c r="AI36" s="129">
        <f>(AE36+AF36)/Y36</f>
        <v>0.66666666666666663</v>
      </c>
      <c r="AJ36" s="426">
        <f>Y36-(AE36+AF36)</f>
        <v>600</v>
      </c>
      <c r="AK36" s="131">
        <f>(AJ36*60)/F36</f>
        <v>171.42857142857142</v>
      </c>
      <c r="AL36" s="477">
        <f>AK36/VLOOKUP(IF(I36&gt;0,I36,1),Preise!$A$3:$B$27,2,FALSE)</f>
        <v>171.42857142857142</v>
      </c>
    </row>
    <row r="37" spans="1:38" s="3" customFormat="1" outlineLevel="1" x14ac:dyDescent="0.2">
      <c r="A37" s="104"/>
      <c r="B37" s="487"/>
      <c r="C37" s="106"/>
      <c r="D37" s="107"/>
      <c r="E37" s="488"/>
      <c r="F37" s="110"/>
      <c r="G37" s="111"/>
      <c r="H37" s="489"/>
      <c r="I37" s="111"/>
      <c r="J37" s="490"/>
      <c r="K37" s="111"/>
      <c r="L37" s="117"/>
      <c r="M37" s="116"/>
      <c r="N37" s="115"/>
      <c r="O37" s="116"/>
      <c r="P37" s="117"/>
      <c r="Q37" s="111"/>
      <c r="R37" s="117"/>
      <c r="S37" s="491"/>
      <c r="T37" s="491"/>
      <c r="U37" s="492"/>
      <c r="V37" s="119"/>
      <c r="W37" s="120"/>
      <c r="X37" s="493"/>
      <c r="Y37" s="494"/>
      <c r="Z37" s="495"/>
      <c r="AA37" s="124"/>
      <c r="AB37" s="124"/>
      <c r="AC37" s="124"/>
      <c r="AD37" s="124"/>
      <c r="AE37" s="126"/>
      <c r="AF37" s="496"/>
      <c r="AG37" s="497"/>
      <c r="AH37" s="497"/>
      <c r="AI37" s="498"/>
      <c r="AJ37" s="499"/>
      <c r="AK37" s="120"/>
      <c r="AL37" s="500"/>
    </row>
    <row r="38" spans="1:38" s="3" customFormat="1" outlineLevel="1" x14ac:dyDescent="0.2">
      <c r="A38" s="53">
        <v>211</v>
      </c>
      <c r="B38" s="218">
        <v>211</v>
      </c>
      <c r="C38" s="132" t="str">
        <f>VLOOKUP(B38,Gegenstände!$A$2:$B$2026,2,FALSE)</f>
        <v>Sand-Mauerstück</v>
      </c>
      <c r="D38" s="133">
        <v>6</v>
      </c>
      <c r="E38" s="468">
        <v>35</v>
      </c>
      <c r="F38" s="134">
        <v>180</v>
      </c>
      <c r="G38" s="54">
        <v>2</v>
      </c>
      <c r="H38" s="469">
        <v>55</v>
      </c>
      <c r="I38" s="54">
        <v>5</v>
      </c>
      <c r="J38" s="470">
        <v>1</v>
      </c>
      <c r="K38" s="54">
        <v>8</v>
      </c>
      <c r="L38" s="3" t="s">
        <v>127</v>
      </c>
      <c r="M38" s="54">
        <v>6</v>
      </c>
      <c r="N38" s="3" t="s">
        <v>140</v>
      </c>
      <c r="O38" s="85">
        <v>22</v>
      </c>
      <c r="P38" s="83" t="s">
        <v>213</v>
      </c>
      <c r="Q38" s="85"/>
      <c r="R38" s="83"/>
      <c r="S38" s="170"/>
      <c r="T38" s="170"/>
      <c r="U38" s="471">
        <f>VLOOKUP(IF(D38&gt;0,D38,1),Preise!$A$3:$C$27,3)</f>
        <v>2.0113571874999994</v>
      </c>
      <c r="V38" s="138">
        <v>5200</v>
      </c>
      <c r="W38" s="131"/>
      <c r="X38" s="472">
        <f>V38</f>
        <v>5200</v>
      </c>
      <c r="Y38" s="473">
        <f>X38*IF(J38&gt;0,J38,1)</f>
        <v>5200</v>
      </c>
      <c r="Z38" s="474">
        <f>IF(ISERROR(VLOOKUP(L38,Gegenstände!$B$2:$N$2026,13,FALSE)),0,VLOOKUP(L38,Gegenstände!$B$2:$N$2026,13,FALSE))</f>
        <v>120</v>
      </c>
      <c r="AA38" s="142">
        <f>IF(ISERROR(VLOOKUP(N38,Gegenstände!$B$2:$N$2026,13,FALSE)),0,VLOOKUP(N38,Gegenstände!$B$2:$N$2026,13,FALSE))</f>
        <v>120</v>
      </c>
      <c r="AB38" s="142">
        <f>IF(ISERROR(VLOOKUP(P38,Gegenstände!$B$2:$N$2026,13,FALSE)),0,VLOOKUP(P38,Gegenstände!$B$2:$N$2026,13,FALSE))</f>
        <v>80</v>
      </c>
      <c r="AC38" s="142">
        <f>IF(ISERROR(VLOOKUP(R38,Gegenstände!$B$2:$N$2026,13,FALSE)),0,VLOOKUP(R38,Gegenstände!$B$2:$N$2026,13,FALSE))</f>
        <v>0</v>
      </c>
      <c r="AD38" s="142"/>
      <c r="AE38" s="475">
        <f>(K38*Z38)+(M38*AA38)</f>
        <v>1680</v>
      </c>
      <c r="AF38" s="476">
        <f>O38*AB38+Q38*AC38</f>
        <v>1760</v>
      </c>
      <c r="AG38" s="128">
        <f>AE38/Y38</f>
        <v>0.32307692307692309</v>
      </c>
      <c r="AH38" s="128">
        <f>AF38/Y38</f>
        <v>0.33846153846153848</v>
      </c>
      <c r="AI38" s="129">
        <f>(AE38+AF38)/Y38</f>
        <v>0.66153846153846152</v>
      </c>
      <c r="AJ38" s="426">
        <f>Y38-(AE38+AF38)</f>
        <v>1760</v>
      </c>
      <c r="AK38" s="131">
        <f>(AJ38*60)/F38</f>
        <v>586.66666666666663</v>
      </c>
      <c r="AL38" s="477">
        <f>AK38/VLOOKUP(IF(I38&gt;0,I38,1),Preise!$A$3:$B$27,2,FALSE)</f>
        <v>325.92592592592592</v>
      </c>
    </row>
    <row r="39" spans="1:38" s="3" customFormat="1" outlineLevel="1" x14ac:dyDescent="0.2">
      <c r="A39" s="53">
        <v>212</v>
      </c>
      <c r="B39" s="218">
        <v>212</v>
      </c>
      <c r="C39" s="132" t="str">
        <f>VLOOKUP(B39,Gegenstände!$A$2:$B$2026,2,FALSE)</f>
        <v>Sand-Bodenplatte</v>
      </c>
      <c r="D39" s="133">
        <v>6</v>
      </c>
      <c r="E39" s="468">
        <v>35</v>
      </c>
      <c r="F39" s="134">
        <v>150</v>
      </c>
      <c r="G39" s="54">
        <v>2</v>
      </c>
      <c r="H39" s="469">
        <v>55</v>
      </c>
      <c r="I39" s="54">
        <v>5</v>
      </c>
      <c r="J39" s="470">
        <v>1</v>
      </c>
      <c r="K39" s="54">
        <v>12</v>
      </c>
      <c r="L39" s="3" t="s">
        <v>127</v>
      </c>
      <c r="M39" s="54"/>
      <c r="N39" s="83"/>
      <c r="O39" s="85">
        <v>18</v>
      </c>
      <c r="P39" s="83" t="s">
        <v>213</v>
      </c>
      <c r="Q39" s="85"/>
      <c r="R39" s="83"/>
      <c r="S39" s="170"/>
      <c r="T39" s="170"/>
      <c r="U39" s="471">
        <f>VLOOKUP(IF(D39&gt;0,D39,1),Preise!$A$3:$C$27,3)</f>
        <v>2.0113571874999994</v>
      </c>
      <c r="V39" s="138">
        <v>4400</v>
      </c>
      <c r="W39" s="131"/>
      <c r="X39" s="472">
        <f>V39</f>
        <v>4400</v>
      </c>
      <c r="Y39" s="473">
        <f>X39*IF(J39&gt;0,J39,1)</f>
        <v>4400</v>
      </c>
      <c r="Z39" s="474">
        <f>IF(ISERROR(VLOOKUP(L39,Gegenstände!$B$2:$N$2026,13,FALSE)),0,VLOOKUP(L39,Gegenstände!$B$2:$N$2026,13,FALSE))</f>
        <v>120</v>
      </c>
      <c r="AA39" s="142">
        <f>IF(ISERROR(VLOOKUP(N39,Gegenstände!$B$2:$N$2026,13,FALSE)),0,VLOOKUP(N39,Gegenstände!$B$2:$N$2026,13,FALSE))</f>
        <v>0</v>
      </c>
      <c r="AB39" s="142">
        <f>IF(ISERROR(VLOOKUP(P39,Gegenstände!$B$2:$N$2026,13,FALSE)),0,VLOOKUP(P39,Gegenstände!$B$2:$N$2026,13,FALSE))</f>
        <v>80</v>
      </c>
      <c r="AC39" s="142">
        <f>IF(ISERROR(VLOOKUP(R39,Gegenstände!$B$2:$N$2026,13,FALSE)),0,VLOOKUP(R39,Gegenstände!$B$2:$N$2026,13,FALSE))</f>
        <v>0</v>
      </c>
      <c r="AD39" s="142"/>
      <c r="AE39" s="475">
        <f>(K39*Z39)+(M39*AA39)</f>
        <v>1440</v>
      </c>
      <c r="AF39" s="476">
        <f>O39*AB39+Q39*AC39</f>
        <v>1440</v>
      </c>
      <c r="AG39" s="128">
        <f>AE39/Y39</f>
        <v>0.32727272727272727</v>
      </c>
      <c r="AH39" s="128">
        <f>AF39/Y39</f>
        <v>0.32727272727272727</v>
      </c>
      <c r="AI39" s="129">
        <f>(AE39+AF39)/Y39</f>
        <v>0.65454545454545454</v>
      </c>
      <c r="AJ39" s="426">
        <f>Y39-(AE39+AF39)</f>
        <v>1520</v>
      </c>
      <c r="AK39" s="131">
        <f>(AJ39*60)/F39</f>
        <v>608</v>
      </c>
      <c r="AL39" s="477">
        <f>AK39/VLOOKUP(IF(I39&gt;0,I39,1),Preise!$A$3:$B$27,2,FALSE)</f>
        <v>337.77777777777783</v>
      </c>
    </row>
    <row r="40" spans="1:38" s="3" customFormat="1" outlineLevel="1" x14ac:dyDescent="0.2">
      <c r="A40" s="53">
        <v>213</v>
      </c>
      <c r="B40" s="218">
        <v>213</v>
      </c>
      <c r="C40" s="132" t="str">
        <f>VLOOKUP(B40,Gegenstände!$A$2:$B$2026,2,FALSE)</f>
        <v>Birken-Dachkonstrukt</v>
      </c>
      <c r="D40" s="133">
        <v>6</v>
      </c>
      <c r="E40" s="468">
        <v>35</v>
      </c>
      <c r="F40" s="134">
        <v>210</v>
      </c>
      <c r="G40" s="54">
        <v>2</v>
      </c>
      <c r="H40" s="469">
        <v>55</v>
      </c>
      <c r="I40" s="54">
        <v>5</v>
      </c>
      <c r="J40" s="470">
        <v>1</v>
      </c>
      <c r="K40" s="54">
        <v>4</v>
      </c>
      <c r="L40" s="3" t="s">
        <v>127</v>
      </c>
      <c r="M40" s="54">
        <v>14</v>
      </c>
      <c r="N40" s="3" t="s">
        <v>140</v>
      </c>
      <c r="O40" s="85">
        <v>22</v>
      </c>
      <c r="P40" s="83" t="s">
        <v>188</v>
      </c>
      <c r="Q40" s="85"/>
      <c r="R40" s="83"/>
      <c r="S40" s="170"/>
      <c r="T40" s="170"/>
      <c r="U40" s="471">
        <f>VLOOKUP(IF(D40&gt;0,D40,1),Preise!$A$3:$C$27,3)</f>
        <v>2.0113571874999994</v>
      </c>
      <c r="V40" s="138">
        <v>6400</v>
      </c>
      <c r="W40" s="131"/>
      <c r="X40" s="472">
        <f>V40</f>
        <v>6400</v>
      </c>
      <c r="Y40" s="473">
        <f>X40*IF(J40&gt;0,J40,1)</f>
        <v>6400</v>
      </c>
      <c r="Z40" s="474">
        <f>IF(ISERROR(VLOOKUP(L40,Gegenstände!$B$2:$N$2026,13,FALSE)),0,VLOOKUP(L40,Gegenstände!$B$2:$N$2026,13,FALSE))</f>
        <v>120</v>
      </c>
      <c r="AA40" s="142">
        <f>IF(ISERROR(VLOOKUP(N40,Gegenstände!$B$2:$N$2026,13,FALSE)),0,VLOOKUP(N40,Gegenstände!$B$2:$N$2026,13,FALSE))</f>
        <v>120</v>
      </c>
      <c r="AB40" s="142">
        <f>IF(ISERROR(VLOOKUP(P40,Gegenstände!$B$2:$N$2026,13,FALSE)),0,VLOOKUP(P40,Gegenstände!$B$2:$N$2026,13,FALSE))</f>
        <v>100</v>
      </c>
      <c r="AC40" s="142">
        <f>IF(ISERROR(VLOOKUP(R40,Gegenstände!$B$2:$N$2026,13,FALSE)),0,VLOOKUP(R40,Gegenstände!$B$2:$N$2026,13,FALSE))</f>
        <v>0</v>
      </c>
      <c r="AD40" s="142"/>
      <c r="AE40" s="475">
        <f>(K40*Z40)+(M40*AA40)</f>
        <v>2160</v>
      </c>
      <c r="AF40" s="476">
        <f>O40*AB40+Q40*AC40</f>
        <v>2200</v>
      </c>
      <c r="AG40" s="128">
        <f>AE40/Y40</f>
        <v>0.33750000000000002</v>
      </c>
      <c r="AH40" s="128">
        <f>AF40/Y40</f>
        <v>0.34375</v>
      </c>
      <c r="AI40" s="129">
        <f>(AE40+AF40)/Y40</f>
        <v>0.68125000000000002</v>
      </c>
      <c r="AJ40" s="426">
        <f>Y40-(AE40+AF40)</f>
        <v>2040</v>
      </c>
      <c r="AK40" s="131">
        <f>(AJ40*60)/F40</f>
        <v>582.85714285714289</v>
      </c>
      <c r="AL40" s="477">
        <f>AK40/VLOOKUP(IF(I40&gt;0,I40,1),Preise!$A$3:$B$27,2,FALSE)</f>
        <v>323.80952380952385</v>
      </c>
    </row>
    <row r="41" spans="1:38" s="3" customFormat="1" outlineLevel="1" x14ac:dyDescent="0.2">
      <c r="A41" s="53">
        <v>214</v>
      </c>
      <c r="B41" s="218">
        <v>214</v>
      </c>
      <c r="C41" s="132" t="str">
        <f>VLOOKUP(B41,Gegenstände!$A$2:$B$2026,2,FALSE)</f>
        <v>Birken-Stützbalken</v>
      </c>
      <c r="D41" s="133">
        <v>6</v>
      </c>
      <c r="E41" s="468">
        <v>35</v>
      </c>
      <c r="F41" s="134">
        <v>210</v>
      </c>
      <c r="G41" s="54">
        <v>2</v>
      </c>
      <c r="H41" s="469">
        <v>55</v>
      </c>
      <c r="I41" s="54">
        <v>5</v>
      </c>
      <c r="J41" s="470">
        <v>1</v>
      </c>
      <c r="K41" s="54"/>
      <c r="M41" s="54">
        <v>10</v>
      </c>
      <c r="N41" s="3" t="s">
        <v>140</v>
      </c>
      <c r="O41" s="85">
        <v>12</v>
      </c>
      <c r="P41" s="83" t="s">
        <v>188</v>
      </c>
      <c r="Q41" s="85"/>
      <c r="R41" s="83"/>
      <c r="S41" s="170"/>
      <c r="T41" s="170"/>
      <c r="U41" s="471">
        <f>VLOOKUP(IF(D41&gt;0,D41,1),Preise!$A$3:$C$27,3)</f>
        <v>2.0113571874999994</v>
      </c>
      <c r="V41" s="138">
        <v>3600</v>
      </c>
      <c r="W41" s="131"/>
      <c r="X41" s="472">
        <f>V41</f>
        <v>3600</v>
      </c>
      <c r="Y41" s="473">
        <f>X41*IF(J41&gt;0,J41,1)</f>
        <v>3600</v>
      </c>
      <c r="Z41" s="474">
        <f>IF(ISERROR(VLOOKUP(L41,Gegenstände!$B$2:$N$2026,13,FALSE)),0,VLOOKUP(L41,Gegenstände!$B$2:$N$2026,13,FALSE))</f>
        <v>0</v>
      </c>
      <c r="AA41" s="142">
        <f>IF(ISERROR(VLOOKUP(N41,Gegenstände!$B$2:$N$2026,13,FALSE)),0,VLOOKUP(N41,Gegenstände!$B$2:$N$2026,13,FALSE))</f>
        <v>120</v>
      </c>
      <c r="AB41" s="142">
        <f>IF(ISERROR(VLOOKUP(P41,Gegenstände!$B$2:$N$2026,13,FALSE)),0,VLOOKUP(P41,Gegenstände!$B$2:$N$2026,13,FALSE))</f>
        <v>100</v>
      </c>
      <c r="AC41" s="142">
        <f>IF(ISERROR(VLOOKUP(R41,Gegenstände!$B$2:$N$2026,13,FALSE)),0,VLOOKUP(R41,Gegenstände!$B$2:$N$2026,13,FALSE))</f>
        <v>0</v>
      </c>
      <c r="AD41" s="142"/>
      <c r="AE41" s="475">
        <f>(K41*Z41)+(M41*AA41)</f>
        <v>1200</v>
      </c>
      <c r="AF41" s="476">
        <f>O41*AB41+Q41*AC41</f>
        <v>1200</v>
      </c>
      <c r="AG41" s="128">
        <f>AE41/Y41</f>
        <v>0.33333333333333331</v>
      </c>
      <c r="AH41" s="128">
        <f>AF41/Y41</f>
        <v>0.33333333333333331</v>
      </c>
      <c r="AI41" s="129">
        <f>(AE41+AF41)/Y41</f>
        <v>0.66666666666666663</v>
      </c>
      <c r="AJ41" s="426">
        <f>Y41-(AE41+AF41)</f>
        <v>1200</v>
      </c>
      <c r="AK41" s="131">
        <f>(AJ41*60)/F41</f>
        <v>342.85714285714283</v>
      </c>
      <c r="AL41" s="477">
        <f>AK41/VLOOKUP(IF(I41&gt;0,I41,1),Preise!$A$3:$B$27,2,FALSE)</f>
        <v>190.47619047619048</v>
      </c>
    </row>
    <row r="42" spans="1:38" s="3" customFormat="1" outlineLevel="1" x14ac:dyDescent="0.2">
      <c r="A42" s="104"/>
      <c r="B42" s="487"/>
      <c r="C42" s="106"/>
      <c r="D42" s="107"/>
      <c r="E42" s="488"/>
      <c r="F42" s="110"/>
      <c r="G42" s="111"/>
      <c r="H42" s="489"/>
      <c r="I42" s="111"/>
      <c r="J42" s="490"/>
      <c r="K42" s="111"/>
      <c r="L42" s="117"/>
      <c r="M42" s="116"/>
      <c r="N42" s="115"/>
      <c r="O42" s="116"/>
      <c r="P42" s="117"/>
      <c r="Q42" s="111"/>
      <c r="R42" s="117"/>
      <c r="S42" s="491"/>
      <c r="T42" s="491"/>
      <c r="U42" s="492"/>
      <c r="V42" s="119"/>
      <c r="W42" s="120"/>
      <c r="X42" s="493"/>
      <c r="Y42" s="494"/>
      <c r="Z42" s="495"/>
      <c r="AA42" s="124"/>
      <c r="AB42" s="124"/>
      <c r="AC42" s="124"/>
      <c r="AD42" s="124"/>
      <c r="AE42" s="126"/>
      <c r="AF42" s="496"/>
      <c r="AG42" s="497"/>
      <c r="AH42" s="497"/>
      <c r="AI42" s="498"/>
      <c r="AJ42" s="499"/>
      <c r="AK42" s="120"/>
      <c r="AL42" s="500"/>
    </row>
    <row r="43" spans="1:38" s="3" customFormat="1" outlineLevel="1" x14ac:dyDescent="0.2">
      <c r="A43" s="53">
        <v>221</v>
      </c>
      <c r="B43" s="218">
        <v>221</v>
      </c>
      <c r="C43" s="132" t="str">
        <f>VLOOKUP(B43,Gegenstände!$A$2:$B$2026,2,FALSE)</f>
        <v>Schiefer-Mauerstück</v>
      </c>
      <c r="D43" s="133">
        <v>11</v>
      </c>
      <c r="E43" s="468">
        <v>35</v>
      </c>
      <c r="F43" s="134">
        <v>180</v>
      </c>
      <c r="G43" s="54">
        <v>3</v>
      </c>
      <c r="H43" s="469">
        <v>55</v>
      </c>
      <c r="I43" s="54">
        <v>10</v>
      </c>
      <c r="J43" s="470">
        <v>1</v>
      </c>
      <c r="K43" s="54">
        <v>12</v>
      </c>
      <c r="L43" s="3" t="s">
        <v>128</v>
      </c>
      <c r="M43" s="54">
        <v>7</v>
      </c>
      <c r="N43" s="3" t="s">
        <v>141</v>
      </c>
      <c r="O43" s="85">
        <v>19</v>
      </c>
      <c r="P43" s="83" t="s">
        <v>215</v>
      </c>
      <c r="Q43" s="85"/>
      <c r="R43" s="83"/>
      <c r="S43" s="170"/>
      <c r="T43" s="170"/>
      <c r="U43" s="471">
        <f>VLOOKUP(IF(D43&gt;0,D43,1),Preise!$A$3:$C$27,3)</f>
        <v>4.0455577357079076</v>
      </c>
      <c r="V43" s="138">
        <v>10400</v>
      </c>
      <c r="W43" s="131"/>
      <c r="X43" s="472">
        <f>V43</f>
        <v>10400</v>
      </c>
      <c r="Y43" s="473">
        <f>X43*IF(J43&gt;0,J43,1)</f>
        <v>10400</v>
      </c>
      <c r="Z43" s="474">
        <f>IF(ISERROR(VLOOKUP(L43,Gegenstände!$B$2:$N$2026,13,FALSE)),0,VLOOKUP(L43,Gegenstände!$B$2:$N$2026,13,FALSE))</f>
        <v>180</v>
      </c>
      <c r="AA43" s="142">
        <f>IF(ISERROR(VLOOKUP(N43,Gegenstände!$B$2:$N$2026,13,FALSE)),0,VLOOKUP(N43,Gegenstände!$B$2:$N$2026,13,FALSE))</f>
        <v>180</v>
      </c>
      <c r="AB43" s="142">
        <f>IF(ISERROR(VLOOKUP(P43,Gegenstände!$B$2:$N$2026,13,FALSE)),0,VLOOKUP(P43,Gegenstände!$B$2:$N$2026,13,FALSE))</f>
        <v>180</v>
      </c>
      <c r="AC43" s="142">
        <f>IF(ISERROR(VLOOKUP(R43,Gegenstände!$B$2:$N$2026,13,FALSE)),0,VLOOKUP(R43,Gegenstände!$B$2:$N$2026,13,FALSE))</f>
        <v>0</v>
      </c>
      <c r="AD43" s="142"/>
      <c r="AE43" s="475">
        <f>(K43*Z43)+(M43*AA43)</f>
        <v>3420</v>
      </c>
      <c r="AF43" s="476">
        <f>O43*AB43+Q43*AC43</f>
        <v>3420</v>
      </c>
      <c r="AG43" s="128">
        <f>AE43/Y43</f>
        <v>0.32884615384615384</v>
      </c>
      <c r="AH43" s="128">
        <f>AF43/Y43</f>
        <v>0.32884615384615384</v>
      </c>
      <c r="AI43" s="129">
        <f>(AE43+AF43)/Y43</f>
        <v>0.65769230769230769</v>
      </c>
      <c r="AJ43" s="426">
        <f>Y43-(AE43+AF43)</f>
        <v>3560</v>
      </c>
      <c r="AK43" s="131">
        <f>(AJ43*60)/F43</f>
        <v>1186.6666666666667</v>
      </c>
      <c r="AL43" s="477">
        <f>AK43/VLOOKUP(IF(I43&gt;0,I43,1),Preise!$A$3:$B$27,2,FALSE)</f>
        <v>423.8095238095238</v>
      </c>
    </row>
    <row r="44" spans="1:38" s="3" customFormat="1" outlineLevel="1" x14ac:dyDescent="0.2">
      <c r="A44" s="53">
        <v>222</v>
      </c>
      <c r="B44" s="218">
        <v>222</v>
      </c>
      <c r="C44" s="132" t="str">
        <f>VLOOKUP(B44,Gegenstände!$A$2:$B$2026,2,FALSE)</f>
        <v>Schiefer-Bodenplatte</v>
      </c>
      <c r="D44" s="133">
        <v>11</v>
      </c>
      <c r="E44" s="468">
        <v>35</v>
      </c>
      <c r="F44" s="134">
        <v>150</v>
      </c>
      <c r="G44" s="54">
        <v>3</v>
      </c>
      <c r="H44" s="469">
        <v>55</v>
      </c>
      <c r="I44" s="54">
        <v>10</v>
      </c>
      <c r="J44" s="470">
        <v>1</v>
      </c>
      <c r="K44" s="54">
        <v>16</v>
      </c>
      <c r="L44" s="3" t="s">
        <v>128</v>
      </c>
      <c r="M44" s="54"/>
      <c r="N44" s="83"/>
      <c r="O44" s="85">
        <v>16</v>
      </c>
      <c r="P44" s="83" t="s">
        <v>215</v>
      </c>
      <c r="Q44" s="85"/>
      <c r="R44" s="83"/>
      <c r="S44" s="170"/>
      <c r="T44" s="170"/>
      <c r="U44" s="471">
        <f>VLOOKUP(IF(D44&gt;0,D44,1),Preise!$A$3:$C$27,3)</f>
        <v>4.0455577357079076</v>
      </c>
      <c r="V44" s="138">
        <v>8800</v>
      </c>
      <c r="W44" s="131"/>
      <c r="X44" s="472">
        <f>V44</f>
        <v>8800</v>
      </c>
      <c r="Y44" s="473">
        <f>X44*IF(J44&gt;0,J44,1)</f>
        <v>8800</v>
      </c>
      <c r="Z44" s="474">
        <f>IF(ISERROR(VLOOKUP(L44,Gegenstände!$B$2:$N$2026,13,FALSE)),0,VLOOKUP(L44,Gegenstände!$B$2:$N$2026,13,FALSE))</f>
        <v>180</v>
      </c>
      <c r="AA44" s="142">
        <f>IF(ISERROR(VLOOKUP(N44,Gegenstände!$B$2:$N$2026,13,FALSE)),0,VLOOKUP(N44,Gegenstände!$B$2:$N$2026,13,FALSE))</f>
        <v>0</v>
      </c>
      <c r="AB44" s="142">
        <f>IF(ISERROR(VLOOKUP(P44,Gegenstände!$B$2:$N$2026,13,FALSE)),0,VLOOKUP(P44,Gegenstände!$B$2:$N$2026,13,FALSE))</f>
        <v>180</v>
      </c>
      <c r="AC44" s="142">
        <f>IF(ISERROR(VLOOKUP(R44,Gegenstände!$B$2:$N$2026,13,FALSE)),0,VLOOKUP(R44,Gegenstände!$B$2:$N$2026,13,FALSE))</f>
        <v>0</v>
      </c>
      <c r="AD44" s="142"/>
      <c r="AE44" s="475">
        <f>(K44*Z44)+(M44*AA44)</f>
        <v>2880</v>
      </c>
      <c r="AF44" s="476">
        <f>O44*AB44+Q44*AC44</f>
        <v>2880</v>
      </c>
      <c r="AG44" s="128">
        <f>AE44/Y44</f>
        <v>0.32727272727272727</v>
      </c>
      <c r="AH44" s="128">
        <f>AF44/Y44</f>
        <v>0.32727272727272727</v>
      </c>
      <c r="AI44" s="129">
        <f>(AE44+AF44)/Y44</f>
        <v>0.65454545454545454</v>
      </c>
      <c r="AJ44" s="426">
        <f>Y44-(AE44+AF44)</f>
        <v>3040</v>
      </c>
      <c r="AK44" s="131">
        <f>(AJ44*60)/F44</f>
        <v>1216</v>
      </c>
      <c r="AL44" s="477">
        <f>AK44/VLOOKUP(IF(I44&gt;0,I44,1),Preise!$A$3:$B$27,2,FALSE)</f>
        <v>434.28571428571422</v>
      </c>
    </row>
    <row r="45" spans="1:38" s="3" customFormat="1" outlineLevel="1" x14ac:dyDescent="0.2">
      <c r="A45" s="53">
        <v>223</v>
      </c>
      <c r="B45" s="218">
        <v>223</v>
      </c>
      <c r="C45" s="132" t="str">
        <f>VLOOKUP(B45,Gegenstände!$A$2:$B$2026,2,FALSE)</f>
        <v>Eichen-Dachkonstrukt</v>
      </c>
      <c r="D45" s="133">
        <v>11</v>
      </c>
      <c r="E45" s="468">
        <v>35</v>
      </c>
      <c r="F45" s="134">
        <v>210</v>
      </c>
      <c r="G45" s="54">
        <v>3</v>
      </c>
      <c r="H45" s="469">
        <v>55</v>
      </c>
      <c r="I45" s="54">
        <v>10</v>
      </c>
      <c r="J45" s="470">
        <v>1</v>
      </c>
      <c r="K45" s="54">
        <v>6</v>
      </c>
      <c r="L45" s="3" t="s">
        <v>128</v>
      </c>
      <c r="M45" s="54">
        <v>17</v>
      </c>
      <c r="N45" s="3" t="s">
        <v>141</v>
      </c>
      <c r="O45" s="85">
        <v>28</v>
      </c>
      <c r="P45" s="83" t="s">
        <v>189</v>
      </c>
      <c r="Q45" s="85"/>
      <c r="R45" s="83"/>
      <c r="S45" s="170"/>
      <c r="T45" s="170"/>
      <c r="U45" s="471">
        <f>VLOOKUP(IF(D45&gt;0,D45,1),Preise!$A$3:$C$27,3)</f>
        <v>4.0455577357079076</v>
      </c>
      <c r="V45" s="138">
        <v>12800</v>
      </c>
      <c r="W45" s="131"/>
      <c r="X45" s="472">
        <f>V45</f>
        <v>12800</v>
      </c>
      <c r="Y45" s="473">
        <f>X45*IF(J45&gt;0,J45,1)</f>
        <v>12800</v>
      </c>
      <c r="Z45" s="474">
        <f>IF(ISERROR(VLOOKUP(L45,Gegenstände!$B$2:$N$2026,13,FALSE)),0,VLOOKUP(L45,Gegenstände!$B$2:$N$2026,13,FALSE))</f>
        <v>180</v>
      </c>
      <c r="AA45" s="142">
        <f>IF(ISERROR(VLOOKUP(N45,Gegenstände!$B$2:$N$2026,13,FALSE)),0,VLOOKUP(N45,Gegenstände!$B$2:$N$2026,13,FALSE))</f>
        <v>180</v>
      </c>
      <c r="AB45" s="142">
        <f>IF(ISERROR(VLOOKUP(P45,Gegenstände!$B$2:$N$2026,13,FALSE)),0,VLOOKUP(P45,Gegenstände!$B$2:$N$2026,13,FALSE))</f>
        <v>150</v>
      </c>
      <c r="AC45" s="142">
        <f>IF(ISERROR(VLOOKUP(R45,Gegenstände!$B$2:$N$2026,13,FALSE)),0,VLOOKUP(R45,Gegenstände!$B$2:$N$2026,13,FALSE))</f>
        <v>0</v>
      </c>
      <c r="AD45" s="142"/>
      <c r="AE45" s="475">
        <f>(K45*Z45)+(M45*AA45)</f>
        <v>4140</v>
      </c>
      <c r="AF45" s="476">
        <f>O45*AB45+Q45*AC45</f>
        <v>4200</v>
      </c>
      <c r="AG45" s="128">
        <f>AE45/Y45</f>
        <v>0.32343749999999999</v>
      </c>
      <c r="AH45" s="128">
        <f>AF45/Y45</f>
        <v>0.328125</v>
      </c>
      <c r="AI45" s="129">
        <f>(AE45+AF45)/Y45</f>
        <v>0.65156250000000004</v>
      </c>
      <c r="AJ45" s="426">
        <f>Y45-(AE45+AF45)</f>
        <v>4460</v>
      </c>
      <c r="AK45" s="131">
        <f>(AJ45*60)/F45</f>
        <v>1274.2857142857142</v>
      </c>
      <c r="AL45" s="477">
        <f>AK45/VLOOKUP(IF(I45&gt;0,I45,1),Preise!$A$3:$B$27,2,FALSE)</f>
        <v>455.10204081632645</v>
      </c>
    </row>
    <row r="46" spans="1:38" s="3" customFormat="1" outlineLevel="1" x14ac:dyDescent="0.2">
      <c r="A46" s="53">
        <v>224</v>
      </c>
      <c r="B46" s="218">
        <v>224</v>
      </c>
      <c r="C46" s="132" t="str">
        <f>VLOOKUP(B46,Gegenstände!$A$2:$B$2026,2,FALSE)</f>
        <v>Eichen-Stützbalken</v>
      </c>
      <c r="D46" s="133">
        <v>11</v>
      </c>
      <c r="E46" s="468">
        <v>35</v>
      </c>
      <c r="F46" s="134">
        <v>210</v>
      </c>
      <c r="G46" s="54">
        <v>3</v>
      </c>
      <c r="H46" s="469">
        <v>55</v>
      </c>
      <c r="I46" s="54">
        <v>10</v>
      </c>
      <c r="J46" s="470">
        <v>1</v>
      </c>
      <c r="K46" s="54"/>
      <c r="M46" s="54">
        <v>13</v>
      </c>
      <c r="N46" s="3" t="s">
        <v>141</v>
      </c>
      <c r="O46" s="85">
        <v>16</v>
      </c>
      <c r="P46" s="83" t="s">
        <v>189</v>
      </c>
      <c r="Q46" s="85"/>
      <c r="R46" s="83"/>
      <c r="S46" s="170"/>
      <c r="T46" s="170"/>
      <c r="U46" s="471">
        <f>VLOOKUP(IF(D46&gt;0,D46,1),Preise!$A$3:$C$27,3)</f>
        <v>4.0455577357079076</v>
      </c>
      <c r="V46" s="138">
        <v>7200</v>
      </c>
      <c r="W46" s="131"/>
      <c r="X46" s="472">
        <f>V46</f>
        <v>7200</v>
      </c>
      <c r="Y46" s="473">
        <f>X46*IF(J46&gt;0,J46,1)</f>
        <v>7200</v>
      </c>
      <c r="Z46" s="474">
        <f>IF(ISERROR(VLOOKUP(L46,Gegenstände!$B$2:$N$2026,13,FALSE)),0,VLOOKUP(L46,Gegenstände!$B$2:$N$2026,13,FALSE))</f>
        <v>0</v>
      </c>
      <c r="AA46" s="142">
        <f>IF(ISERROR(VLOOKUP(N46,Gegenstände!$B$2:$N$2026,13,FALSE)),0,VLOOKUP(N46,Gegenstände!$B$2:$N$2026,13,FALSE))</f>
        <v>180</v>
      </c>
      <c r="AB46" s="142">
        <f>IF(ISERROR(VLOOKUP(P46,Gegenstände!$B$2:$N$2026,13,FALSE)),0,VLOOKUP(P46,Gegenstände!$B$2:$N$2026,13,FALSE))</f>
        <v>150</v>
      </c>
      <c r="AC46" s="142">
        <f>IF(ISERROR(VLOOKUP(R46,Gegenstände!$B$2:$N$2026,13,FALSE)),0,VLOOKUP(R46,Gegenstände!$B$2:$N$2026,13,FALSE))</f>
        <v>0</v>
      </c>
      <c r="AD46" s="142"/>
      <c r="AE46" s="475">
        <f>(K46*Z46)+(M46*AA46)</f>
        <v>2340</v>
      </c>
      <c r="AF46" s="476">
        <f>O46*AB46+Q46*AC46</f>
        <v>2400</v>
      </c>
      <c r="AG46" s="128">
        <f>AE46/Y46</f>
        <v>0.32500000000000001</v>
      </c>
      <c r="AH46" s="128">
        <f>AF46/Y46</f>
        <v>0.33333333333333331</v>
      </c>
      <c r="AI46" s="129">
        <f>(AE46+AF46)/Y46</f>
        <v>0.65833333333333333</v>
      </c>
      <c r="AJ46" s="426">
        <f>Y46-(AE46+AF46)</f>
        <v>2460</v>
      </c>
      <c r="AK46" s="131">
        <f>(AJ46*60)/F46</f>
        <v>702.85714285714289</v>
      </c>
      <c r="AL46" s="477">
        <f>AK46/VLOOKUP(IF(I46&gt;0,I46,1),Preise!$A$3:$B$27,2,FALSE)</f>
        <v>251.0204081632653</v>
      </c>
    </row>
    <row r="47" spans="1:38" s="3" customFormat="1" outlineLevel="1" x14ac:dyDescent="0.2">
      <c r="A47" s="104"/>
      <c r="B47" s="487"/>
      <c r="C47" s="106"/>
      <c r="D47" s="107"/>
      <c r="E47" s="488"/>
      <c r="F47" s="110"/>
      <c r="G47" s="111"/>
      <c r="H47" s="489"/>
      <c r="I47" s="111"/>
      <c r="J47" s="490"/>
      <c r="K47" s="111"/>
      <c r="L47" s="117"/>
      <c r="M47" s="116"/>
      <c r="N47" s="115"/>
      <c r="O47" s="116"/>
      <c r="P47" s="117"/>
      <c r="Q47" s="111"/>
      <c r="R47" s="117"/>
      <c r="S47" s="491"/>
      <c r="T47" s="491"/>
      <c r="U47" s="492"/>
      <c r="V47" s="119"/>
      <c r="W47" s="120"/>
      <c r="X47" s="493"/>
      <c r="Y47" s="494"/>
      <c r="Z47" s="495"/>
      <c r="AA47" s="124"/>
      <c r="AB47" s="124"/>
      <c r="AC47" s="124"/>
      <c r="AD47" s="124"/>
      <c r="AE47" s="126"/>
      <c r="AF47" s="496"/>
      <c r="AG47" s="497"/>
      <c r="AH47" s="497"/>
      <c r="AI47" s="498"/>
      <c r="AJ47" s="499"/>
      <c r="AK47" s="120"/>
      <c r="AL47" s="500"/>
    </row>
    <row r="48" spans="1:38" s="3" customFormat="1" outlineLevel="1" x14ac:dyDescent="0.2">
      <c r="A48" s="53">
        <v>231</v>
      </c>
      <c r="B48" s="218">
        <v>231</v>
      </c>
      <c r="C48" s="132" t="str">
        <f>VLOOKUP(B48,Gegenstände!$A$2:$B$2026,2,FALSE)</f>
        <v>Granit-Mauerstück</v>
      </c>
      <c r="D48" s="133">
        <v>16</v>
      </c>
      <c r="E48" s="468">
        <v>35</v>
      </c>
      <c r="F48" s="134">
        <v>180</v>
      </c>
      <c r="G48" s="54">
        <v>4</v>
      </c>
      <c r="H48" s="469">
        <v>55</v>
      </c>
      <c r="I48" s="54">
        <v>15</v>
      </c>
      <c r="J48" s="470">
        <v>1</v>
      </c>
      <c r="K48" s="54">
        <v>15</v>
      </c>
      <c r="L48" s="3" t="s">
        <v>129</v>
      </c>
      <c r="M48" s="54">
        <v>10</v>
      </c>
      <c r="N48" s="3" t="s">
        <v>142</v>
      </c>
      <c r="O48" s="85">
        <v>38</v>
      </c>
      <c r="P48" s="83" t="s">
        <v>215</v>
      </c>
      <c r="Q48" s="85"/>
      <c r="R48" s="83"/>
      <c r="S48" s="170"/>
      <c r="T48" s="170"/>
      <c r="U48" s="471">
        <f>VLOOKUP(IF(D48&gt;0,D48,1),Preise!$A$3:$C$27,3)</f>
        <v>8.1370616291623215</v>
      </c>
      <c r="V48" s="138">
        <v>20800</v>
      </c>
      <c r="W48" s="131"/>
      <c r="X48" s="472">
        <f>V48</f>
        <v>20800</v>
      </c>
      <c r="Y48" s="473">
        <f>X48*IF(J48&gt;0,J48,1)</f>
        <v>20800</v>
      </c>
      <c r="Z48" s="474">
        <f>IF(ISERROR(VLOOKUP(L48,Gegenstände!$B$2:$N$2026,13,FALSE)),0,VLOOKUP(L48,Gegenstände!$B$2:$N$2026,13,FALSE))</f>
        <v>270</v>
      </c>
      <c r="AA48" s="142">
        <f>IF(ISERROR(VLOOKUP(N48,Gegenstände!$B$2:$N$2026,13,FALSE)),0,VLOOKUP(N48,Gegenstände!$B$2:$N$2026,13,FALSE))</f>
        <v>270</v>
      </c>
      <c r="AB48" s="142">
        <f>IF(ISERROR(VLOOKUP(P48,Gegenstände!$B$2:$N$2026,13,FALSE)),0,VLOOKUP(P48,Gegenstände!$B$2:$N$2026,13,FALSE))</f>
        <v>180</v>
      </c>
      <c r="AC48" s="142">
        <f>IF(ISERROR(VLOOKUP(R48,Gegenstände!$B$2:$N$2026,13,FALSE)),0,VLOOKUP(R48,Gegenstände!$B$2:$N$2026,13,FALSE))</f>
        <v>0</v>
      </c>
      <c r="AD48" s="142"/>
      <c r="AE48" s="475">
        <f>(K48*Z48)+(M48*AA48)</f>
        <v>6750</v>
      </c>
      <c r="AF48" s="476">
        <f>O48*AB48+Q48*AC48</f>
        <v>6840</v>
      </c>
      <c r="AG48" s="128">
        <f>AE48/Y48</f>
        <v>0.32451923076923078</v>
      </c>
      <c r="AH48" s="128">
        <f>AF48/Y48</f>
        <v>0.32884615384615384</v>
      </c>
      <c r="AI48" s="129">
        <f>(AE48+AF48)/Y48</f>
        <v>0.65336538461538463</v>
      </c>
      <c r="AJ48" s="426">
        <f>Y48-(AE48+AF48)</f>
        <v>7210</v>
      </c>
      <c r="AK48" s="131">
        <f>(AJ48*60)/F48</f>
        <v>2403.3333333333335</v>
      </c>
      <c r="AL48" s="477">
        <f>AK48/VLOOKUP(IF(I48&gt;0,I48,1),Preise!$A$3:$B$27,2,FALSE)</f>
        <v>632.45614035087704</v>
      </c>
    </row>
    <row r="49" spans="1:38" s="3" customFormat="1" outlineLevel="1" x14ac:dyDescent="0.2">
      <c r="A49" s="53">
        <v>232</v>
      </c>
      <c r="B49" s="218">
        <v>232</v>
      </c>
      <c r="C49" s="132" t="str">
        <f>VLOOKUP(B49,Gegenstände!$A$2:$B$2026,2,FALSE)</f>
        <v>Granit-Bodenplatte</v>
      </c>
      <c r="D49" s="133">
        <v>16</v>
      </c>
      <c r="E49" s="468">
        <v>35</v>
      </c>
      <c r="F49" s="134">
        <v>150</v>
      </c>
      <c r="G49" s="54">
        <v>4</v>
      </c>
      <c r="H49" s="469">
        <v>55</v>
      </c>
      <c r="I49" s="54">
        <v>15</v>
      </c>
      <c r="J49" s="470">
        <v>1</v>
      </c>
      <c r="K49" s="54">
        <v>21</v>
      </c>
      <c r="L49" s="3" t="s">
        <v>129</v>
      </c>
      <c r="M49" s="54"/>
      <c r="N49" s="83"/>
      <c r="O49" s="85">
        <v>32</v>
      </c>
      <c r="P49" s="83" t="s">
        <v>215</v>
      </c>
      <c r="Q49" s="85"/>
      <c r="R49" s="83"/>
      <c r="S49" s="170"/>
      <c r="T49" s="170"/>
      <c r="U49" s="471">
        <f>VLOOKUP(IF(D49&gt;0,D49,1),Preise!$A$3:$C$27,3)</f>
        <v>8.1370616291623215</v>
      </c>
      <c r="V49" s="138">
        <v>17600</v>
      </c>
      <c r="W49" s="131"/>
      <c r="X49" s="472">
        <f>V49</f>
        <v>17600</v>
      </c>
      <c r="Y49" s="473">
        <f>X49*IF(J49&gt;0,J49,1)</f>
        <v>17600</v>
      </c>
      <c r="Z49" s="474">
        <f>IF(ISERROR(VLOOKUP(L49,Gegenstände!$B$2:$N$2026,13,FALSE)),0,VLOOKUP(L49,Gegenstände!$B$2:$N$2026,13,FALSE))</f>
        <v>270</v>
      </c>
      <c r="AA49" s="142">
        <f>IF(ISERROR(VLOOKUP(N49,Gegenstände!$B$2:$N$2026,13,FALSE)),0,VLOOKUP(N49,Gegenstände!$B$2:$N$2026,13,FALSE))</f>
        <v>0</v>
      </c>
      <c r="AB49" s="142">
        <f>IF(ISERROR(VLOOKUP(P49,Gegenstände!$B$2:$N$2026,13,FALSE)),0,VLOOKUP(P49,Gegenstände!$B$2:$N$2026,13,FALSE))</f>
        <v>180</v>
      </c>
      <c r="AC49" s="142">
        <f>IF(ISERROR(VLOOKUP(R49,Gegenstände!$B$2:$N$2026,13,FALSE)),0,VLOOKUP(R49,Gegenstände!$B$2:$N$2026,13,FALSE))</f>
        <v>0</v>
      </c>
      <c r="AD49" s="142"/>
      <c r="AE49" s="475">
        <f>(K49*Z49)+(M49*AA49)</f>
        <v>5670</v>
      </c>
      <c r="AF49" s="476">
        <f>O49*AB49+Q49*AC49</f>
        <v>5760</v>
      </c>
      <c r="AG49" s="128">
        <f>AE49/Y49</f>
        <v>0.32215909090909089</v>
      </c>
      <c r="AH49" s="128">
        <f>AF49/Y49</f>
        <v>0.32727272727272727</v>
      </c>
      <c r="AI49" s="129">
        <f>(AE49+AF49)/Y49</f>
        <v>0.64943181818181817</v>
      </c>
      <c r="AJ49" s="426">
        <f>Y49-(AE49+AF49)</f>
        <v>6170</v>
      </c>
      <c r="AK49" s="131">
        <f>(AJ49*60)/F49</f>
        <v>2468</v>
      </c>
      <c r="AL49" s="477">
        <f>AK49/VLOOKUP(IF(I49&gt;0,I49,1),Preise!$A$3:$B$27,2,FALSE)</f>
        <v>649.47368421052613</v>
      </c>
    </row>
    <row r="50" spans="1:38" s="3" customFormat="1" outlineLevel="1" x14ac:dyDescent="0.2">
      <c r="A50" s="53">
        <v>233</v>
      </c>
      <c r="B50" s="218">
        <v>233</v>
      </c>
      <c r="C50" s="132" t="str">
        <f>VLOOKUP(B50,Gegenstände!$A$2:$B$2026,2,FALSE)</f>
        <v>Eschen-Dachkonstrukt</v>
      </c>
      <c r="D50" s="133">
        <v>16</v>
      </c>
      <c r="E50" s="468">
        <v>35</v>
      </c>
      <c r="F50" s="134">
        <v>210</v>
      </c>
      <c r="G50" s="54">
        <v>4</v>
      </c>
      <c r="H50" s="469">
        <v>55</v>
      </c>
      <c r="I50" s="54">
        <v>15</v>
      </c>
      <c r="J50" s="470">
        <v>1</v>
      </c>
      <c r="K50" s="54">
        <v>8</v>
      </c>
      <c r="L50" s="3" t="s">
        <v>129</v>
      </c>
      <c r="M50" s="54">
        <v>22</v>
      </c>
      <c r="N50" s="3" t="s">
        <v>142</v>
      </c>
      <c r="O50" s="85">
        <v>56</v>
      </c>
      <c r="P50" s="83" t="s">
        <v>189</v>
      </c>
      <c r="Q50" s="85"/>
      <c r="R50" s="83"/>
      <c r="S50" s="170"/>
      <c r="T50" s="170"/>
      <c r="U50" s="471">
        <f>VLOOKUP(IF(D50&gt;0,D50,1),Preise!$A$3:$C$27,3)</f>
        <v>8.1370616291623215</v>
      </c>
      <c r="V50" s="138">
        <v>25600</v>
      </c>
      <c r="W50" s="131"/>
      <c r="X50" s="472">
        <f>V50</f>
        <v>25600</v>
      </c>
      <c r="Y50" s="473">
        <f>X50*IF(J50&gt;0,J50,1)</f>
        <v>25600</v>
      </c>
      <c r="Z50" s="474">
        <f>IF(ISERROR(VLOOKUP(L50,Gegenstände!$B$2:$N$2026,13,FALSE)),0,VLOOKUP(L50,Gegenstände!$B$2:$N$2026,13,FALSE))</f>
        <v>270</v>
      </c>
      <c r="AA50" s="142">
        <f>IF(ISERROR(VLOOKUP(N50,Gegenstände!$B$2:$N$2026,13,FALSE)),0,VLOOKUP(N50,Gegenstände!$B$2:$N$2026,13,FALSE))</f>
        <v>270</v>
      </c>
      <c r="AB50" s="142">
        <f>IF(ISERROR(VLOOKUP(P50,Gegenstände!$B$2:$N$2026,13,FALSE)),0,VLOOKUP(P50,Gegenstände!$B$2:$N$2026,13,FALSE))</f>
        <v>150</v>
      </c>
      <c r="AC50" s="142">
        <f>IF(ISERROR(VLOOKUP(R50,Gegenstände!$B$2:$N$2026,13,FALSE)),0,VLOOKUP(R50,Gegenstände!$B$2:$N$2026,13,FALSE))</f>
        <v>0</v>
      </c>
      <c r="AD50" s="142"/>
      <c r="AE50" s="475">
        <f>(K50*Z50)+(M50*AA50)</f>
        <v>8100</v>
      </c>
      <c r="AF50" s="476">
        <f>O50*AB50+Q50*AC50</f>
        <v>8400</v>
      </c>
      <c r="AG50" s="128">
        <f>AE50/Y50</f>
        <v>0.31640625</v>
      </c>
      <c r="AH50" s="128">
        <f>AF50/Y50</f>
        <v>0.328125</v>
      </c>
      <c r="AI50" s="129">
        <f>(AE50+AF50)/Y50</f>
        <v>0.64453125</v>
      </c>
      <c r="AJ50" s="426">
        <f>Y50-(AE50+AF50)</f>
        <v>9100</v>
      </c>
      <c r="AK50" s="131">
        <f>(AJ50*60)/F50</f>
        <v>2600</v>
      </c>
      <c r="AL50" s="477">
        <f>AK50/VLOOKUP(IF(I50&gt;0,I50,1),Preise!$A$3:$B$27,2,FALSE)</f>
        <v>684.21052631578925</v>
      </c>
    </row>
    <row r="51" spans="1:38" s="3" customFormat="1" outlineLevel="1" x14ac:dyDescent="0.2">
      <c r="A51" s="53">
        <v>234</v>
      </c>
      <c r="B51" s="218">
        <v>234</v>
      </c>
      <c r="C51" s="132" t="str">
        <f>VLOOKUP(B51,Gegenstände!$A$2:$B$2026,2,FALSE)</f>
        <v>Eschen-Stützbalken</v>
      </c>
      <c r="D51" s="133">
        <v>16</v>
      </c>
      <c r="E51" s="468">
        <v>35</v>
      </c>
      <c r="F51" s="134">
        <v>210</v>
      </c>
      <c r="G51" s="54">
        <v>4</v>
      </c>
      <c r="H51" s="469">
        <v>55</v>
      </c>
      <c r="I51" s="54">
        <v>15</v>
      </c>
      <c r="J51" s="470">
        <v>1</v>
      </c>
      <c r="K51" s="54"/>
      <c r="M51" s="54">
        <v>17</v>
      </c>
      <c r="N51" s="3" t="s">
        <v>142</v>
      </c>
      <c r="O51" s="85">
        <v>32</v>
      </c>
      <c r="P51" s="83" t="s">
        <v>189</v>
      </c>
      <c r="Q51" s="85"/>
      <c r="R51" s="83"/>
      <c r="S51" s="170"/>
      <c r="T51" s="170"/>
      <c r="U51" s="471">
        <f>VLOOKUP(IF(D51&gt;0,D51,1),Preise!$A$3:$C$27,3)</f>
        <v>8.1370616291623215</v>
      </c>
      <c r="V51" s="138">
        <v>14400</v>
      </c>
      <c r="W51" s="131"/>
      <c r="X51" s="472">
        <f>V51</f>
        <v>14400</v>
      </c>
      <c r="Y51" s="473">
        <f>X51*IF(J51&gt;0,J51,1)</f>
        <v>14400</v>
      </c>
      <c r="Z51" s="474">
        <f>IF(ISERROR(VLOOKUP(L51,Gegenstände!$B$2:$N$2026,13,FALSE)),0,VLOOKUP(L51,Gegenstände!$B$2:$N$2026,13,FALSE))</f>
        <v>0</v>
      </c>
      <c r="AA51" s="142">
        <f>IF(ISERROR(VLOOKUP(N51,Gegenstände!$B$2:$N$2026,13,FALSE)),0,VLOOKUP(N51,Gegenstände!$B$2:$N$2026,13,FALSE))</f>
        <v>270</v>
      </c>
      <c r="AB51" s="142">
        <f>IF(ISERROR(VLOOKUP(P51,Gegenstände!$B$2:$N$2026,13,FALSE)),0,VLOOKUP(P51,Gegenstände!$B$2:$N$2026,13,FALSE))</f>
        <v>150</v>
      </c>
      <c r="AC51" s="142">
        <f>IF(ISERROR(VLOOKUP(R51,Gegenstände!$B$2:$N$2026,13,FALSE)),0,VLOOKUP(R51,Gegenstände!$B$2:$N$2026,13,FALSE))</f>
        <v>0</v>
      </c>
      <c r="AD51" s="142"/>
      <c r="AE51" s="475">
        <f>(K51*Z51)+(M51*AA51)</f>
        <v>4590</v>
      </c>
      <c r="AF51" s="476">
        <f>O51*AB51+Q51*AC51</f>
        <v>4800</v>
      </c>
      <c r="AG51" s="128">
        <f>AE51/Y51</f>
        <v>0.31874999999999998</v>
      </c>
      <c r="AH51" s="128">
        <f>AF51/Y51</f>
        <v>0.33333333333333331</v>
      </c>
      <c r="AI51" s="129">
        <f>(AE51+AF51)/Y51</f>
        <v>0.65208333333333335</v>
      </c>
      <c r="AJ51" s="426">
        <f>Y51-(AE51+AF51)</f>
        <v>5010</v>
      </c>
      <c r="AK51" s="131">
        <f>(AJ51*60)/F51</f>
        <v>1431.4285714285713</v>
      </c>
      <c r="AL51" s="477">
        <f>AK51/VLOOKUP(IF(I51&gt;0,I51,1),Preise!$A$3:$B$27,2,FALSE)</f>
        <v>376.69172932330815</v>
      </c>
    </row>
    <row r="52" spans="1:38" s="3" customFormat="1" outlineLevel="1" x14ac:dyDescent="0.2">
      <c r="A52" s="104"/>
      <c r="B52" s="487"/>
      <c r="C52" s="106"/>
      <c r="D52" s="107"/>
      <c r="E52" s="488"/>
      <c r="F52" s="110"/>
      <c r="G52" s="111"/>
      <c r="H52" s="489"/>
      <c r="I52" s="111"/>
      <c r="J52" s="490"/>
      <c r="K52" s="111"/>
      <c r="L52" s="117"/>
      <c r="M52" s="116"/>
      <c r="N52" s="115"/>
      <c r="O52" s="116"/>
      <c r="P52" s="117"/>
      <c r="Q52" s="111"/>
      <c r="R52" s="117"/>
      <c r="S52" s="491"/>
      <c r="T52" s="491"/>
      <c r="U52" s="492"/>
      <c r="V52" s="119"/>
      <c r="W52" s="120"/>
      <c r="X52" s="493"/>
      <c r="Y52" s="494"/>
      <c r="Z52" s="495"/>
      <c r="AA52" s="124"/>
      <c r="AB52" s="124"/>
      <c r="AC52" s="124"/>
      <c r="AD52" s="124"/>
      <c r="AE52" s="126"/>
      <c r="AF52" s="496"/>
      <c r="AG52" s="497"/>
      <c r="AH52" s="497"/>
      <c r="AI52" s="498"/>
      <c r="AJ52" s="499"/>
      <c r="AK52" s="120"/>
      <c r="AL52" s="500"/>
    </row>
    <row r="53" spans="1:38" s="3" customFormat="1" outlineLevel="1" x14ac:dyDescent="0.2">
      <c r="A53" s="53">
        <v>241</v>
      </c>
      <c r="B53" s="218">
        <v>241</v>
      </c>
      <c r="C53" s="132" t="str">
        <f>VLOOKUP(B53,Gegenstände!$A$2:$B$2026,2,FALSE)</f>
        <v>Marmor-Mauerstück</v>
      </c>
      <c r="D53" s="133">
        <v>21</v>
      </c>
      <c r="E53" s="468">
        <v>35</v>
      </c>
      <c r="F53" s="134">
        <v>180</v>
      </c>
      <c r="G53" s="54">
        <v>5</v>
      </c>
      <c r="H53" s="469">
        <v>55</v>
      </c>
      <c r="I53" s="54">
        <v>20</v>
      </c>
      <c r="J53" s="470">
        <v>1</v>
      </c>
      <c r="K53" s="54">
        <v>25</v>
      </c>
      <c r="L53" s="3" t="s">
        <v>130</v>
      </c>
      <c r="M53" s="54">
        <v>12</v>
      </c>
      <c r="N53" s="3" t="s">
        <v>143</v>
      </c>
      <c r="O53" s="85">
        <v>75</v>
      </c>
      <c r="P53" s="83" t="s">
        <v>215</v>
      </c>
      <c r="Q53" s="85"/>
      <c r="R53" s="83"/>
      <c r="S53" s="170"/>
      <c r="T53" s="170"/>
      <c r="U53" s="471">
        <f>VLOOKUP(IF(D53&gt;0,D53,1),Preise!$A$3:$C$27,3)</f>
        <v>16.366537392946089</v>
      </c>
      <c r="V53" s="138">
        <v>41600</v>
      </c>
      <c r="W53" s="131"/>
      <c r="X53" s="472">
        <f>V53</f>
        <v>41600</v>
      </c>
      <c r="Y53" s="473">
        <f>X53*IF(J53&gt;0,J53,1)</f>
        <v>41600</v>
      </c>
      <c r="Z53" s="474">
        <f>IF(ISERROR(VLOOKUP(L53,Gegenstände!$B$2:$N$2026,13,FALSE)),0,VLOOKUP(L53,Gegenstände!$B$2:$N$2026,13,FALSE))</f>
        <v>360</v>
      </c>
      <c r="AA53" s="142">
        <f>IF(ISERROR(VLOOKUP(N53,Gegenstände!$B$2:$N$2026,13,FALSE)),0,VLOOKUP(N53,Gegenstände!$B$2:$N$2026,13,FALSE))</f>
        <v>360</v>
      </c>
      <c r="AB53" s="142">
        <f>IF(ISERROR(VLOOKUP(P53,Gegenstände!$B$2:$N$2026,13,FALSE)),0,VLOOKUP(P53,Gegenstände!$B$2:$N$2026,13,FALSE))</f>
        <v>180</v>
      </c>
      <c r="AC53" s="142">
        <f>IF(ISERROR(VLOOKUP(R53,Gegenstände!$B$2:$N$2026,13,FALSE)),0,VLOOKUP(R53,Gegenstände!$B$2:$N$2026,13,FALSE))</f>
        <v>0</v>
      </c>
      <c r="AD53" s="142"/>
      <c r="AE53" s="475">
        <f>(K53*Z53)+(M53*AA53)</f>
        <v>13320</v>
      </c>
      <c r="AF53" s="476">
        <f>O53*AB53+Q53*AC53</f>
        <v>13500</v>
      </c>
      <c r="AG53" s="128">
        <f>AE53/Y53</f>
        <v>0.32019230769230766</v>
      </c>
      <c r="AH53" s="128">
        <f>AF53/Y53</f>
        <v>0.32451923076923078</v>
      </c>
      <c r="AI53" s="129">
        <f>(AE53+AF53)/Y53</f>
        <v>0.6447115384615385</v>
      </c>
      <c r="AJ53" s="426">
        <f>Y53-(AE53+AF53)</f>
        <v>14780</v>
      </c>
      <c r="AK53" s="131">
        <f>(AJ53*60)/F53</f>
        <v>4926.666666666667</v>
      </c>
      <c r="AL53" s="477">
        <f>AK53/VLOOKUP(IF(I53&gt;0,I53,1),Preise!$A$3:$B$27,2,FALSE)</f>
        <v>1026.3888888888887</v>
      </c>
    </row>
    <row r="54" spans="1:38" s="3" customFormat="1" outlineLevel="1" x14ac:dyDescent="0.2">
      <c r="A54" s="53">
        <v>242</v>
      </c>
      <c r="B54" s="218">
        <v>242</v>
      </c>
      <c r="C54" s="132" t="str">
        <f>VLOOKUP(B54,Gegenstände!$A$2:$B$2026,2,FALSE)</f>
        <v>Marmor-Bodenplatte</v>
      </c>
      <c r="D54" s="133">
        <v>21</v>
      </c>
      <c r="E54" s="468">
        <v>35</v>
      </c>
      <c r="F54" s="134">
        <v>150</v>
      </c>
      <c r="G54" s="54">
        <v>5</v>
      </c>
      <c r="H54" s="469">
        <v>55</v>
      </c>
      <c r="I54" s="54">
        <v>20</v>
      </c>
      <c r="J54" s="470">
        <v>1</v>
      </c>
      <c r="K54" s="54">
        <v>32</v>
      </c>
      <c r="L54" s="3" t="s">
        <v>130</v>
      </c>
      <c r="M54" s="54"/>
      <c r="N54" s="83"/>
      <c r="O54" s="85">
        <v>65</v>
      </c>
      <c r="P54" s="83" t="s">
        <v>215</v>
      </c>
      <c r="Q54" s="85"/>
      <c r="R54" s="83"/>
      <c r="S54" s="170"/>
      <c r="T54" s="170"/>
      <c r="U54" s="471">
        <f>VLOOKUP(IF(D54&gt;0,D54,1),Preise!$A$3:$C$27,3)</f>
        <v>16.366537392946089</v>
      </c>
      <c r="V54" s="138">
        <v>35200</v>
      </c>
      <c r="W54" s="131"/>
      <c r="X54" s="472">
        <f>V54</f>
        <v>35200</v>
      </c>
      <c r="Y54" s="473">
        <f>X54*IF(J54&gt;0,J54,1)</f>
        <v>35200</v>
      </c>
      <c r="Z54" s="474">
        <f>IF(ISERROR(VLOOKUP(L54,Gegenstände!$B$2:$N$2026,13,FALSE)),0,VLOOKUP(L54,Gegenstände!$B$2:$N$2026,13,FALSE))</f>
        <v>360</v>
      </c>
      <c r="AA54" s="142">
        <f>IF(ISERROR(VLOOKUP(N54,Gegenstände!$B$2:$N$2026,13,FALSE)),0,VLOOKUP(N54,Gegenstände!$B$2:$N$2026,13,FALSE))</f>
        <v>0</v>
      </c>
      <c r="AB54" s="142">
        <f>IF(ISERROR(VLOOKUP(P54,Gegenstände!$B$2:$N$2026,13,FALSE)),0,VLOOKUP(P54,Gegenstände!$B$2:$N$2026,13,FALSE))</f>
        <v>180</v>
      </c>
      <c r="AC54" s="142">
        <f>IF(ISERROR(VLOOKUP(R54,Gegenstände!$B$2:$N$2026,13,FALSE)),0,VLOOKUP(R54,Gegenstände!$B$2:$N$2026,13,FALSE))</f>
        <v>0</v>
      </c>
      <c r="AD54" s="142"/>
      <c r="AE54" s="475">
        <f>(K54*Z54)+(M54*AA54)</f>
        <v>11520</v>
      </c>
      <c r="AF54" s="476">
        <f>O54*AB54+Q54*AC54</f>
        <v>11700</v>
      </c>
      <c r="AG54" s="128">
        <f>AE54/Y54</f>
        <v>0.32727272727272727</v>
      </c>
      <c r="AH54" s="128">
        <f>AF54/Y54</f>
        <v>0.33238636363636365</v>
      </c>
      <c r="AI54" s="129">
        <f>(AE54+AF54)/Y54</f>
        <v>0.65965909090909092</v>
      </c>
      <c r="AJ54" s="426">
        <f>Y54-(AE54+AF54)</f>
        <v>11980</v>
      </c>
      <c r="AK54" s="131">
        <f>(AJ54*60)/F54</f>
        <v>4792</v>
      </c>
      <c r="AL54" s="477">
        <f>AK54/VLOOKUP(IF(I54&gt;0,I54,1),Preise!$A$3:$B$27,2,FALSE)</f>
        <v>998.33333333333303</v>
      </c>
    </row>
    <row r="55" spans="1:38" s="3" customFormat="1" outlineLevel="1" x14ac:dyDescent="0.2">
      <c r="A55" s="53">
        <v>243</v>
      </c>
      <c r="B55" s="218">
        <v>243</v>
      </c>
      <c r="C55" s="132" t="str">
        <f>VLOOKUP(B55,Gegenstände!$A$2:$B$2026,2,FALSE)</f>
        <v>Eiben-Dachkonstrukt</v>
      </c>
      <c r="D55" s="133">
        <v>21</v>
      </c>
      <c r="E55" s="468">
        <v>35</v>
      </c>
      <c r="F55" s="134">
        <v>210</v>
      </c>
      <c r="G55" s="54">
        <v>5</v>
      </c>
      <c r="H55" s="469">
        <v>55</v>
      </c>
      <c r="I55" s="54">
        <v>20</v>
      </c>
      <c r="J55" s="470">
        <v>1</v>
      </c>
      <c r="K55" s="54">
        <v>12</v>
      </c>
      <c r="L55" s="3" t="s">
        <v>130</v>
      </c>
      <c r="M55" s="54">
        <v>34</v>
      </c>
      <c r="N55" s="3" t="s">
        <v>143</v>
      </c>
      <c r="O55" s="85">
        <v>110</v>
      </c>
      <c r="P55" s="83" t="s">
        <v>189</v>
      </c>
      <c r="Q55" s="85"/>
      <c r="R55" s="83"/>
      <c r="S55" s="170"/>
      <c r="T55" s="170"/>
      <c r="U55" s="471">
        <f>VLOOKUP(IF(D55&gt;0,D55,1),Preise!$A$3:$C$27,3)</f>
        <v>16.366537392946089</v>
      </c>
      <c r="V55" s="138">
        <v>51200</v>
      </c>
      <c r="W55" s="131"/>
      <c r="X55" s="472">
        <f>V55</f>
        <v>51200</v>
      </c>
      <c r="Y55" s="473">
        <f>X55*IF(J55&gt;0,J55,1)</f>
        <v>51200</v>
      </c>
      <c r="Z55" s="474">
        <f>IF(ISERROR(VLOOKUP(L55,Gegenstände!$B$2:$N$2026,13,FALSE)),0,VLOOKUP(L55,Gegenstände!$B$2:$N$2026,13,FALSE))</f>
        <v>360</v>
      </c>
      <c r="AA55" s="142">
        <f>IF(ISERROR(VLOOKUP(N55,Gegenstände!$B$2:$N$2026,13,FALSE)),0,VLOOKUP(N55,Gegenstände!$B$2:$N$2026,13,FALSE))</f>
        <v>360</v>
      </c>
      <c r="AB55" s="142">
        <f>IF(ISERROR(VLOOKUP(P55,Gegenstände!$B$2:$N$2026,13,FALSE)),0,VLOOKUP(P55,Gegenstände!$B$2:$N$2026,13,FALSE))</f>
        <v>150</v>
      </c>
      <c r="AC55" s="142">
        <f>IF(ISERROR(VLOOKUP(R55,Gegenstände!$B$2:$N$2026,13,FALSE)),0,VLOOKUP(R55,Gegenstände!$B$2:$N$2026,13,FALSE))</f>
        <v>0</v>
      </c>
      <c r="AD55" s="142"/>
      <c r="AE55" s="475">
        <f>(K55*Z55)+(M55*AA55)</f>
        <v>16560</v>
      </c>
      <c r="AF55" s="476">
        <f>O55*AB55+Q55*AC55</f>
        <v>16500</v>
      </c>
      <c r="AG55" s="128">
        <f>AE55/Y55</f>
        <v>0.32343749999999999</v>
      </c>
      <c r="AH55" s="128">
        <f>AF55/Y55</f>
        <v>0.322265625</v>
      </c>
      <c r="AI55" s="129">
        <f>(AE55+AF55)/Y55</f>
        <v>0.64570312500000004</v>
      </c>
      <c r="AJ55" s="426">
        <f>Y55-(AE55+AF55)</f>
        <v>18140</v>
      </c>
      <c r="AK55" s="131">
        <f>(AJ55*60)/F55</f>
        <v>5182.8571428571431</v>
      </c>
      <c r="AL55" s="477">
        <f>AK55/VLOOKUP(IF(I55&gt;0,I55,1),Preise!$A$3:$B$27,2,FALSE)</f>
        <v>1079.7619047619044</v>
      </c>
    </row>
    <row r="56" spans="1:38" s="3" customFormat="1" outlineLevel="1" x14ac:dyDescent="0.2">
      <c r="A56" s="53">
        <v>244</v>
      </c>
      <c r="B56" s="218">
        <v>244</v>
      </c>
      <c r="C56" s="132" t="str">
        <f>VLOOKUP(B56,Gegenstände!$A$2:$B$2026,2,FALSE)</f>
        <v>Eiben-Stützbalken</v>
      </c>
      <c r="D56" s="133">
        <v>21</v>
      </c>
      <c r="E56" s="468">
        <v>35</v>
      </c>
      <c r="F56" s="134">
        <v>210</v>
      </c>
      <c r="G56" s="54">
        <v>5</v>
      </c>
      <c r="H56" s="469">
        <v>55</v>
      </c>
      <c r="I56" s="54">
        <v>20</v>
      </c>
      <c r="J56" s="470">
        <v>1</v>
      </c>
      <c r="K56" s="54"/>
      <c r="M56" s="54">
        <v>26</v>
      </c>
      <c r="N56" s="3" t="s">
        <v>143</v>
      </c>
      <c r="O56" s="85">
        <v>62</v>
      </c>
      <c r="P56" s="83" t="s">
        <v>189</v>
      </c>
      <c r="Q56" s="85"/>
      <c r="R56" s="83"/>
      <c r="S56" s="170"/>
      <c r="T56" s="170"/>
      <c r="U56" s="471">
        <f>VLOOKUP(IF(D56&gt;0,D56,1),Preise!$A$3:$C$27,3)</f>
        <v>16.366537392946089</v>
      </c>
      <c r="V56" s="138">
        <v>28800</v>
      </c>
      <c r="W56" s="131"/>
      <c r="X56" s="472">
        <f>V56</f>
        <v>28800</v>
      </c>
      <c r="Y56" s="473">
        <f>X56*IF(J56&gt;0,J56,1)</f>
        <v>28800</v>
      </c>
      <c r="Z56" s="474">
        <f>IF(ISERROR(VLOOKUP(L56,Gegenstände!$B$2:$N$2026,13,FALSE)),0,VLOOKUP(L56,Gegenstände!$B$2:$N$2026,13,FALSE))</f>
        <v>0</v>
      </c>
      <c r="AA56" s="142">
        <f>IF(ISERROR(VLOOKUP(N56,Gegenstände!$B$2:$N$2026,13,FALSE)),0,VLOOKUP(N56,Gegenstände!$B$2:$N$2026,13,FALSE))</f>
        <v>360</v>
      </c>
      <c r="AB56" s="142">
        <f>IF(ISERROR(VLOOKUP(P56,Gegenstände!$B$2:$N$2026,13,FALSE)),0,VLOOKUP(P56,Gegenstände!$B$2:$N$2026,13,FALSE))</f>
        <v>150</v>
      </c>
      <c r="AC56" s="142">
        <f>IF(ISERROR(VLOOKUP(R56,Gegenstände!$B$2:$N$2026,13,FALSE)),0,VLOOKUP(R56,Gegenstände!$B$2:$N$2026,13,FALSE))</f>
        <v>0</v>
      </c>
      <c r="AD56" s="142"/>
      <c r="AE56" s="475">
        <f>(K56*Z56)+(M56*AA56)</f>
        <v>9360</v>
      </c>
      <c r="AF56" s="476">
        <f>O56*AB56+Q56*AC56</f>
        <v>9300</v>
      </c>
      <c r="AG56" s="128">
        <f>AE56/Y56</f>
        <v>0.32500000000000001</v>
      </c>
      <c r="AH56" s="128">
        <f>AF56/Y56</f>
        <v>0.32291666666666669</v>
      </c>
      <c r="AI56" s="129">
        <f>(AE56+AF56)/Y56</f>
        <v>0.6479166666666667</v>
      </c>
      <c r="AJ56" s="426">
        <f>Y56-(AE56+AF56)</f>
        <v>10140</v>
      </c>
      <c r="AK56" s="131">
        <f>(AJ56*60)/F56</f>
        <v>2897.1428571428573</v>
      </c>
      <c r="AL56" s="477">
        <f>AK56/VLOOKUP(IF(I56&gt;0,I56,1),Preise!$A$3:$B$27,2,FALSE)</f>
        <v>603.57142857142844</v>
      </c>
    </row>
    <row r="57" spans="1:38" s="3" customFormat="1" outlineLevel="1" x14ac:dyDescent="0.2">
      <c r="A57" s="830"/>
      <c r="B57" s="831"/>
      <c r="C57" s="832"/>
      <c r="D57" s="833"/>
      <c r="E57" s="834"/>
      <c r="F57" s="835"/>
      <c r="G57" s="836"/>
      <c r="H57" s="837"/>
      <c r="I57" s="836"/>
      <c r="J57" s="838"/>
      <c r="K57" s="836"/>
      <c r="L57" s="829"/>
      <c r="M57" s="836"/>
      <c r="N57" s="829"/>
      <c r="O57" s="839"/>
      <c r="P57" s="840"/>
      <c r="Q57" s="839"/>
      <c r="R57" s="840"/>
      <c r="S57" s="841"/>
      <c r="T57" s="841"/>
      <c r="U57" s="842"/>
      <c r="V57" s="843"/>
      <c r="W57" s="844"/>
      <c r="X57" s="845"/>
      <c r="Y57" s="846"/>
      <c r="Z57" s="847"/>
      <c r="AA57" s="848"/>
      <c r="AB57" s="848"/>
      <c r="AC57" s="848"/>
      <c r="AD57" s="848"/>
      <c r="AE57" s="849"/>
      <c r="AF57" s="850"/>
      <c r="AG57" s="851"/>
      <c r="AH57" s="851"/>
      <c r="AI57" s="852"/>
      <c r="AJ57" s="853"/>
      <c r="AK57" s="844"/>
      <c r="AL57" s="854"/>
    </row>
    <row r="58" spans="1:38" s="3" customFormat="1" outlineLevel="1" x14ac:dyDescent="0.2">
      <c r="A58" s="53">
        <v>401</v>
      </c>
      <c r="B58" s="53">
        <v>401</v>
      </c>
      <c r="C58" s="132" t="str">
        <f>VLOOKUP(B58,Gegenstände!$A$2:$B$2026,2,FALSE)</f>
        <v>Sprengstoff I</v>
      </c>
      <c r="D58" s="133">
        <f>VLOOKUP(B58,Gegenstände!$A21:$D740,4,FALSE)</f>
        <v>0</v>
      </c>
      <c r="E58" s="468">
        <v>34</v>
      </c>
      <c r="F58" s="134">
        <v>300</v>
      </c>
      <c r="G58" s="54"/>
      <c r="H58" s="469">
        <v>16</v>
      </c>
      <c r="I58" s="54">
        <v>0</v>
      </c>
      <c r="J58" s="470">
        <v>1</v>
      </c>
      <c r="K58" s="6">
        <v>32</v>
      </c>
      <c r="L58" s="3" t="s">
        <v>169</v>
      </c>
      <c r="M58" s="85">
        <v>6</v>
      </c>
      <c r="N58" s="83" t="s">
        <v>32</v>
      </c>
      <c r="O58" s="87"/>
      <c r="P58" s="83"/>
      <c r="Q58" s="170"/>
      <c r="R58" s="170"/>
      <c r="S58" s="170"/>
      <c r="T58" s="170"/>
      <c r="U58" s="471">
        <f>VLOOKUP(IF(D58&gt;0,D58,1),Preise!$A$3:$C$27,3)</f>
        <v>1</v>
      </c>
      <c r="V58" s="855">
        <v>2000</v>
      </c>
      <c r="W58" s="131"/>
      <c r="X58" s="472">
        <f>ROUND(V58,0)</f>
        <v>2000</v>
      </c>
      <c r="Y58" s="473">
        <f>X58*IF(J58&gt;0,J58,1)</f>
        <v>2000</v>
      </c>
      <c r="Z58" s="474">
        <f>IF(ISERROR(VLOOKUP(L58,Gegenstände!$B$2:$N$2026,13,FALSE)),0,VLOOKUP(L58,Gegenstände!$B$2:$N$2026,13,FALSE))</f>
        <v>20</v>
      </c>
      <c r="AA58" s="142">
        <f>IF(ISERROR(VLOOKUP(N58,Gegenstände!$B$2:$N$2026,13,FALSE)),0,VLOOKUP(N58,Gegenstände!$B$2:$N$2026,13,FALSE))</f>
        <v>100</v>
      </c>
      <c r="AB58" s="142">
        <f>IF(ISERROR(VLOOKUP(P58,Gegenstände!$B$2:$N$2026,13,FALSE)),0,VLOOKUP(P58,Gegenstände!$B$2:$N$2026,13,FALSE))</f>
        <v>0</v>
      </c>
      <c r="AC58" s="142">
        <f>IF(ISERROR(VLOOKUP(R58,Gegenstände!$B$2:$N$2026,13,FALSE)),0,VLOOKUP(R58,Gegenstände!$B$2:$N$2026,13,FALSE))</f>
        <v>0</v>
      </c>
      <c r="AD58" s="142"/>
      <c r="AE58" s="475">
        <f>IF(ISERROR(K58*Z58),"",K58*Z58)</f>
        <v>640</v>
      </c>
      <c r="AF58" s="476">
        <f>IF(ISERROR(M58*AA58+O58*AB58+Q58*AC58),"",M58*AA58+O58*AB58+Q58*AC58)</f>
        <v>600</v>
      </c>
      <c r="AG58" s="128">
        <f>AE58/Y58</f>
        <v>0.32</v>
      </c>
      <c r="AH58" s="128">
        <f>AF58/Y58</f>
        <v>0.3</v>
      </c>
      <c r="AI58" s="129">
        <f>(AE58+AF58)/Y58</f>
        <v>0.62</v>
      </c>
      <c r="AJ58" s="426">
        <f>Y58-(AE58+AF58)</f>
        <v>760</v>
      </c>
      <c r="AK58" s="131">
        <f>(AJ58*60)/F58</f>
        <v>152</v>
      </c>
      <c r="AL58" s="477">
        <f>AK58/VLOOKUP(IF(I58&gt;0,I58,1),Preise!$A$3:$B$27,2,FALSE)</f>
        <v>152</v>
      </c>
    </row>
    <row r="59" spans="1:38" s="3" customFormat="1" outlineLevel="1" x14ac:dyDescent="0.2">
      <c r="A59" s="53">
        <v>402</v>
      </c>
      <c r="B59" s="53">
        <v>402</v>
      </c>
      <c r="C59" s="132" t="str">
        <f>VLOOKUP(B59,Gegenstände!$A$2:$B$2026,2,FALSE)</f>
        <v>Sprengstoff II</v>
      </c>
      <c r="D59" s="133">
        <f>VLOOKUP(B59,Gegenstände!$A22:$D741,4,FALSE)</f>
        <v>5</v>
      </c>
      <c r="E59" s="468">
        <v>34</v>
      </c>
      <c r="F59" s="134">
        <v>300</v>
      </c>
      <c r="G59" s="54"/>
      <c r="H59" s="469">
        <v>16</v>
      </c>
      <c r="I59" s="54">
        <v>5</v>
      </c>
      <c r="J59" s="470">
        <v>1</v>
      </c>
      <c r="K59" s="6">
        <v>40</v>
      </c>
      <c r="L59" s="3" t="s">
        <v>171</v>
      </c>
      <c r="M59" s="85">
        <v>16</v>
      </c>
      <c r="N59" s="83" t="s">
        <v>32</v>
      </c>
      <c r="O59" s="85"/>
      <c r="P59" s="1"/>
      <c r="Q59" s="6"/>
      <c r="R59" s="1"/>
      <c r="S59" s="6"/>
      <c r="T59" s="1"/>
      <c r="U59" s="471">
        <f>VLOOKUP(D59,Preise!$A$3:$C$27,3)</f>
        <v>1.7490062499999994</v>
      </c>
      <c r="V59" s="855">
        <v>5000</v>
      </c>
      <c r="W59" s="131"/>
      <c r="X59" s="472">
        <f t="shared" ref="X59:X67" si="3">ROUND(V59,0)</f>
        <v>5000</v>
      </c>
      <c r="Y59" s="473">
        <f t="shared" ref="Y59:Y67" si="4">X59*IF(J59&gt;0,J59,1)</f>
        <v>5000</v>
      </c>
      <c r="Z59" s="474">
        <f>IF(ISERROR(VLOOKUP(L59,Gegenstände!$B$2:$N$2026,13,FALSE)),0,VLOOKUP(L59,Gegenstände!$B$2:$N$2026,13,FALSE))</f>
        <v>40</v>
      </c>
      <c r="AA59" s="142">
        <f>IF(ISERROR(VLOOKUP(N59,Gegenstände!$B$2:$N$2026,13,FALSE)),0,VLOOKUP(N59,Gegenstände!$B$2:$N$2026,13,FALSE))</f>
        <v>100</v>
      </c>
      <c r="AB59" s="142">
        <f>IF(ISERROR(VLOOKUP(P59,Gegenstände!$B$2:$N$2026,13,FALSE)),0,VLOOKUP(P59,Gegenstände!$B$2:$N$2026,13,FALSE))</f>
        <v>0</v>
      </c>
      <c r="AC59" s="142">
        <f>IF(ISERROR(VLOOKUP(R59,Gegenstände!$B$2:$N$2026,13,FALSE)),0,VLOOKUP(R59,Gegenstände!$B$2:$N$2026,13,FALSE))</f>
        <v>0</v>
      </c>
      <c r="AD59" s="142"/>
      <c r="AE59" s="475">
        <f>IF(ISERROR(K59*Z59),"",K59*Z59)</f>
        <v>1600</v>
      </c>
      <c r="AF59" s="476">
        <f t="shared" ref="AF59:AF67" si="5">IF(ISERROR(M59*AA59+O59*AB59+Q59*AC59),"",M59*AA59+O59*AB59+Q59*AC59)</f>
        <v>1600</v>
      </c>
      <c r="AG59" s="128">
        <f t="shared" ref="AG59:AG67" si="6">AE59/Y59</f>
        <v>0.32</v>
      </c>
      <c r="AH59" s="128">
        <f t="shared" ref="AH59:AH67" si="7">AF59/Y59</f>
        <v>0.32</v>
      </c>
      <c r="AI59" s="129">
        <f>(AE59+AF59)/Y59</f>
        <v>0.64</v>
      </c>
      <c r="AJ59" s="426">
        <f t="shared" ref="AJ59:AJ67" si="8">Y59-(AE59+AF59)</f>
        <v>1800</v>
      </c>
      <c r="AK59" s="131">
        <f t="shared" ref="AK59:AK67" si="9">(AJ59*60)/F59</f>
        <v>360</v>
      </c>
      <c r="AL59" s="477">
        <f>AK59/VLOOKUP(IF(I59&gt;0,I59,1),Preise!$A$3:$B$27,2,FALSE)</f>
        <v>200.00000000000003</v>
      </c>
    </row>
    <row r="60" spans="1:38" s="3" customFormat="1" outlineLevel="1" x14ac:dyDescent="0.2">
      <c r="A60" s="53">
        <v>403</v>
      </c>
      <c r="B60" s="53">
        <v>403</v>
      </c>
      <c r="C60" s="132" t="str">
        <f>VLOOKUP(B60,Gegenstände!$A$2:$B$2026,2,FALSE)</f>
        <v>Sprengstoff III</v>
      </c>
      <c r="D60" s="133">
        <f>VLOOKUP(B60,Gegenstände!$A23:$D742,4,FALSE)</f>
        <v>10</v>
      </c>
      <c r="E60" s="468">
        <v>34</v>
      </c>
      <c r="F60" s="134">
        <v>300</v>
      </c>
      <c r="G60" s="54"/>
      <c r="H60" s="469">
        <v>16</v>
      </c>
      <c r="I60" s="54">
        <v>10</v>
      </c>
      <c r="J60" s="470">
        <v>1</v>
      </c>
      <c r="K60" s="6">
        <v>55</v>
      </c>
      <c r="L60" s="3" t="s">
        <v>172</v>
      </c>
      <c r="M60" s="85">
        <v>25</v>
      </c>
      <c r="N60" s="83" t="s">
        <v>32</v>
      </c>
      <c r="O60" s="85">
        <v>4</v>
      </c>
      <c r="P60" s="84" t="s">
        <v>204</v>
      </c>
      <c r="Q60" s="87"/>
      <c r="R60" s="84"/>
      <c r="S60" s="87"/>
      <c r="T60" s="84"/>
      <c r="U60" s="471">
        <f>VLOOKUP(D60,Preise!$A$3:$C$27,3)</f>
        <v>3.5178762919199196</v>
      </c>
      <c r="V60" s="855">
        <v>10000</v>
      </c>
      <c r="W60" s="131"/>
      <c r="X60" s="472">
        <f t="shared" si="3"/>
        <v>10000</v>
      </c>
      <c r="Y60" s="473">
        <f t="shared" si="4"/>
        <v>10000</v>
      </c>
      <c r="Z60" s="474">
        <f>IF(ISERROR(VLOOKUP(L60,Gegenstände!$B$2:$N$2026,13,FALSE)),0,VLOOKUP(L60,Gegenstände!$B$2:$N$2026,13,FALSE))</f>
        <v>60</v>
      </c>
      <c r="AA60" s="142">
        <f>IF(ISERROR(VLOOKUP(N60,Gegenstände!$B$2:$N$2026,13,FALSE)),0,VLOOKUP(N60,Gegenstände!$B$2:$N$2026,13,FALSE))</f>
        <v>100</v>
      </c>
      <c r="AB60" s="142">
        <f>IF(ISERROR(VLOOKUP(P60,Gegenstände!$B$2:$N$2026,13,FALSE)),0,VLOOKUP(P60,Gegenstände!$B$2:$N$2026,13,FALSE))</f>
        <v>200</v>
      </c>
      <c r="AC60" s="142">
        <f>IF(ISERROR(VLOOKUP(R60,Gegenstände!$B$2:$N$2026,13,FALSE)),0,VLOOKUP(R60,Gegenstände!$B$2:$N$2026,13,FALSE))</f>
        <v>0</v>
      </c>
      <c r="AD60" s="142"/>
      <c r="AE60" s="475">
        <f t="shared" ref="AE60:AE67" si="10">IF(ISERROR(K60*Z60),"",K60*Z60)</f>
        <v>3300</v>
      </c>
      <c r="AF60" s="476">
        <f t="shared" si="5"/>
        <v>3300</v>
      </c>
      <c r="AG60" s="128">
        <f t="shared" si="6"/>
        <v>0.33</v>
      </c>
      <c r="AH60" s="128">
        <f t="shared" si="7"/>
        <v>0.33</v>
      </c>
      <c r="AI60" s="129">
        <f t="shared" ref="AI60:AI67" si="11">(AE60+AF60)/Y60</f>
        <v>0.66</v>
      </c>
      <c r="AJ60" s="426">
        <f t="shared" si="8"/>
        <v>3400</v>
      </c>
      <c r="AK60" s="131">
        <f t="shared" si="9"/>
        <v>680</v>
      </c>
      <c r="AL60" s="477">
        <f>AK60/VLOOKUP(IF(I60&gt;0,I60,1),Preise!$A$3:$B$27,2,FALSE)</f>
        <v>242.85714285714283</v>
      </c>
    </row>
    <row r="61" spans="1:38" s="3" customFormat="1" outlineLevel="1" x14ac:dyDescent="0.2">
      <c r="A61" s="53">
        <v>404</v>
      </c>
      <c r="B61" s="53">
        <v>404</v>
      </c>
      <c r="C61" s="132" t="str">
        <f>VLOOKUP(B61,Gegenstände!$A$2:$B$2026,2,FALSE)</f>
        <v>Sprengstoff IV</v>
      </c>
      <c r="D61" s="133">
        <f>VLOOKUP(B61,Gegenstände!$A24:$D743,4,FALSE)</f>
        <v>15</v>
      </c>
      <c r="E61" s="468">
        <v>34</v>
      </c>
      <c r="F61" s="134">
        <v>300</v>
      </c>
      <c r="G61" s="54"/>
      <c r="H61" s="469">
        <v>16</v>
      </c>
      <c r="I61" s="54">
        <v>15</v>
      </c>
      <c r="J61" s="470">
        <v>1</v>
      </c>
      <c r="K61" s="6">
        <v>92</v>
      </c>
      <c r="L61" s="3" t="s">
        <v>173</v>
      </c>
      <c r="M61" s="85">
        <v>52</v>
      </c>
      <c r="N61" s="83" t="s">
        <v>32</v>
      </c>
      <c r="O61" s="85">
        <v>15</v>
      </c>
      <c r="P61" s="84" t="s">
        <v>204</v>
      </c>
      <c r="Q61" s="87"/>
      <c r="R61" s="84"/>
      <c r="S61" s="87"/>
      <c r="T61" s="84"/>
      <c r="U61" s="471">
        <f>VLOOKUP(D61,Preise!$A$3:$C$27,3)</f>
        <v>7.0757057644889763</v>
      </c>
      <c r="V61" s="855">
        <v>25000</v>
      </c>
      <c r="W61" s="131"/>
      <c r="X61" s="472">
        <f t="shared" si="3"/>
        <v>25000</v>
      </c>
      <c r="Y61" s="473">
        <f t="shared" si="4"/>
        <v>25000</v>
      </c>
      <c r="Z61" s="474">
        <f>IF(ISERROR(VLOOKUP(L61,Gegenstände!$B$2:$N$2026,13,FALSE)),0,VLOOKUP(L61,Gegenstände!$B$2:$N$2026,13,FALSE))</f>
        <v>90</v>
      </c>
      <c r="AA61" s="142">
        <f>IF(ISERROR(VLOOKUP(N61,Gegenstände!$B$2:$N$2026,13,FALSE)),0,VLOOKUP(N61,Gegenstände!$B$2:$N$2026,13,FALSE))</f>
        <v>100</v>
      </c>
      <c r="AB61" s="142">
        <f>IF(ISERROR(VLOOKUP(P61,Gegenstände!$B$2:$N$2026,13,FALSE)),0,VLOOKUP(P61,Gegenstände!$B$2:$N$2026,13,FALSE))</f>
        <v>200</v>
      </c>
      <c r="AC61" s="142">
        <f>IF(ISERROR(VLOOKUP(R61,Gegenstände!$B$2:$N$2026,13,FALSE)),0,VLOOKUP(R61,Gegenstände!$B$2:$N$2026,13,FALSE))</f>
        <v>0</v>
      </c>
      <c r="AD61" s="142"/>
      <c r="AE61" s="475">
        <f t="shared" si="10"/>
        <v>8280</v>
      </c>
      <c r="AF61" s="476">
        <f t="shared" si="5"/>
        <v>8200</v>
      </c>
      <c r="AG61" s="128">
        <f t="shared" si="6"/>
        <v>0.33119999999999999</v>
      </c>
      <c r="AH61" s="128">
        <f t="shared" si="7"/>
        <v>0.32800000000000001</v>
      </c>
      <c r="AI61" s="129">
        <f t="shared" si="11"/>
        <v>0.65920000000000001</v>
      </c>
      <c r="AJ61" s="426">
        <f t="shared" si="8"/>
        <v>8520</v>
      </c>
      <c r="AK61" s="131">
        <f t="shared" si="9"/>
        <v>1704</v>
      </c>
      <c r="AL61" s="477">
        <f>AK61/VLOOKUP(IF(I61&gt;0,I61,1),Preise!$A$3:$B$27,2,FALSE)</f>
        <v>448.42105263157879</v>
      </c>
    </row>
    <row r="62" spans="1:38" s="3" customFormat="1" outlineLevel="1" x14ac:dyDescent="0.2">
      <c r="A62" s="53">
        <v>405</v>
      </c>
      <c r="B62" s="53">
        <v>405</v>
      </c>
      <c r="C62" s="132" t="str">
        <f>VLOOKUP(B62,Gegenstände!$A$2:$B$2026,2,FALSE)</f>
        <v>Sprengstoff V</v>
      </c>
      <c r="D62" s="133">
        <f>VLOOKUP(B62,Gegenstände!$A25:$D744,4,FALSE)</f>
        <v>20</v>
      </c>
      <c r="E62" s="468">
        <v>34</v>
      </c>
      <c r="F62" s="134">
        <v>300</v>
      </c>
      <c r="G62" s="54"/>
      <c r="H62" s="469">
        <v>16</v>
      </c>
      <c r="I62" s="54">
        <v>20</v>
      </c>
      <c r="J62" s="470">
        <v>1</v>
      </c>
      <c r="K62" s="6">
        <v>136</v>
      </c>
      <c r="L62" s="3" t="s">
        <v>174</v>
      </c>
      <c r="M62" s="85">
        <v>72</v>
      </c>
      <c r="N62" s="83" t="s">
        <v>32</v>
      </c>
      <c r="O62" s="85">
        <v>21</v>
      </c>
      <c r="P62" s="84" t="s">
        <v>204</v>
      </c>
      <c r="Q62" s="87">
        <v>10</v>
      </c>
      <c r="R62" s="83" t="s">
        <v>205</v>
      </c>
      <c r="S62" s="87"/>
      <c r="T62" s="83"/>
      <c r="U62" s="471">
        <f>VLOOKUP(D62,Preise!$A$3:$C$27,3)</f>
        <v>14.231771646040078</v>
      </c>
      <c r="V62" s="855">
        <v>50000</v>
      </c>
      <c r="W62" s="131"/>
      <c r="X62" s="472">
        <f t="shared" si="3"/>
        <v>50000</v>
      </c>
      <c r="Y62" s="473">
        <f t="shared" si="4"/>
        <v>50000</v>
      </c>
      <c r="Z62" s="474">
        <f>IF(ISERROR(VLOOKUP(L62,Gegenstände!$B$2:$N$2026,13,FALSE)),0,VLOOKUP(L62,Gegenstände!$B$2:$N$2026,13,FALSE))</f>
        <v>120</v>
      </c>
      <c r="AA62" s="142">
        <f>IF(ISERROR(VLOOKUP(N62,Gegenstände!$B$2:$N$2026,13,FALSE)),0,VLOOKUP(N62,Gegenstände!$B$2:$N$2026,13,FALSE))</f>
        <v>100</v>
      </c>
      <c r="AB62" s="142">
        <f>IF(ISERROR(VLOOKUP(P62,Gegenstände!$B$2:$N$2026,13,FALSE)),0,VLOOKUP(P62,Gegenstände!$B$2:$N$2026,13,FALSE))</f>
        <v>200</v>
      </c>
      <c r="AC62" s="142">
        <f>IF(ISERROR(VLOOKUP(R62,Gegenstände!$B$2:$N$2026,13,FALSE)),0,VLOOKUP(R62,Gegenstände!$B$2:$N$2026,13,FALSE))</f>
        <v>500</v>
      </c>
      <c r="AD62" s="142"/>
      <c r="AE62" s="475">
        <f t="shared" si="10"/>
        <v>16320</v>
      </c>
      <c r="AF62" s="476">
        <f t="shared" si="5"/>
        <v>16400</v>
      </c>
      <c r="AG62" s="128">
        <f t="shared" si="6"/>
        <v>0.32640000000000002</v>
      </c>
      <c r="AH62" s="128">
        <f t="shared" si="7"/>
        <v>0.32800000000000001</v>
      </c>
      <c r="AI62" s="129">
        <f t="shared" si="11"/>
        <v>0.65439999999999998</v>
      </c>
      <c r="AJ62" s="426">
        <f t="shared" si="8"/>
        <v>17280</v>
      </c>
      <c r="AK62" s="131">
        <f t="shared" si="9"/>
        <v>3456</v>
      </c>
      <c r="AL62" s="477">
        <f>AK62/VLOOKUP(IF(I62&gt;0,I62,1),Preise!$A$3:$B$27,2,FALSE)</f>
        <v>719.99999999999977</v>
      </c>
    </row>
    <row r="63" spans="1:38" s="3" customFormat="1" outlineLevel="1" x14ac:dyDescent="0.2">
      <c r="A63" s="53">
        <v>411</v>
      </c>
      <c r="B63" s="53">
        <v>411</v>
      </c>
      <c r="C63" s="132" t="str">
        <f>VLOOKUP(B63,Gegenstände!$A$2:$B$2026,2,FALSE)</f>
        <v>Dietrich I</v>
      </c>
      <c r="D63" s="133">
        <f>VLOOKUP(B63,Gegenstände!$A26:$D745,4,FALSE)</f>
        <v>0</v>
      </c>
      <c r="E63" s="468">
        <v>32</v>
      </c>
      <c r="F63" s="134">
        <v>300</v>
      </c>
      <c r="G63" s="54"/>
      <c r="H63" s="469">
        <v>15</v>
      </c>
      <c r="I63" s="54">
        <v>0</v>
      </c>
      <c r="J63" s="470">
        <v>1</v>
      </c>
      <c r="K63" s="54">
        <v>11</v>
      </c>
      <c r="L63" s="1" t="s">
        <v>113</v>
      </c>
      <c r="M63" s="85">
        <v>8</v>
      </c>
      <c r="N63" s="83" t="s">
        <v>176</v>
      </c>
      <c r="O63" s="85"/>
      <c r="P63" s="83"/>
      <c r="Q63" s="170"/>
      <c r="R63" s="170"/>
      <c r="S63" s="170"/>
      <c r="T63" s="170"/>
      <c r="U63" s="471">
        <f>VLOOKUP(IF(D63&gt;0,D63,1),Preise!$A$3:$C$27,3)</f>
        <v>1</v>
      </c>
      <c r="V63" s="855">
        <v>2000</v>
      </c>
      <c r="W63" s="131"/>
      <c r="X63" s="472">
        <f t="shared" si="3"/>
        <v>2000</v>
      </c>
      <c r="Y63" s="473">
        <f t="shared" si="4"/>
        <v>2000</v>
      </c>
      <c r="Z63" s="474">
        <f>IF(ISERROR(VLOOKUP(L63,Gegenstände!$B$2:$N$2026,13,FALSE)),0,VLOOKUP(L63,Gegenstände!$B$2:$N$2026,13,FALSE))</f>
        <v>60</v>
      </c>
      <c r="AA63" s="142">
        <f>IF(ISERROR(VLOOKUP(N63,Gegenstände!$B$2:$N$2026,13,FALSE)),0,VLOOKUP(N63,Gegenstände!$B$2:$N$2026,13,FALSE))</f>
        <v>80</v>
      </c>
      <c r="AB63" s="142">
        <f>IF(ISERROR(VLOOKUP(P63,Gegenstände!$B$2:$N$2026,13,FALSE)),0,VLOOKUP(P63,Gegenstände!$B$2:$N$2026,13,FALSE))</f>
        <v>0</v>
      </c>
      <c r="AC63" s="142">
        <f>IF(ISERROR(VLOOKUP(R63,Gegenstände!$B$2:$N$2026,13,FALSE)),0,VLOOKUP(R63,Gegenstände!$B$2:$N$2026,13,FALSE))</f>
        <v>0</v>
      </c>
      <c r="AD63" s="142"/>
      <c r="AE63" s="475">
        <f t="shared" si="10"/>
        <v>660</v>
      </c>
      <c r="AF63" s="476">
        <f t="shared" si="5"/>
        <v>640</v>
      </c>
      <c r="AG63" s="128">
        <f t="shared" si="6"/>
        <v>0.33</v>
      </c>
      <c r="AH63" s="128">
        <f t="shared" si="7"/>
        <v>0.32</v>
      </c>
      <c r="AI63" s="129">
        <f t="shared" si="11"/>
        <v>0.65</v>
      </c>
      <c r="AJ63" s="426">
        <f t="shared" si="8"/>
        <v>700</v>
      </c>
      <c r="AK63" s="131">
        <f t="shared" si="9"/>
        <v>140</v>
      </c>
      <c r="AL63" s="477">
        <f>AK63/VLOOKUP(IF(I63&gt;0,I63,1),Preise!$A$3:$B$27,2,FALSE)</f>
        <v>140</v>
      </c>
    </row>
    <row r="64" spans="1:38" s="3" customFormat="1" outlineLevel="1" x14ac:dyDescent="0.2">
      <c r="A64" s="53">
        <v>412</v>
      </c>
      <c r="B64" s="53">
        <v>412</v>
      </c>
      <c r="C64" s="132" t="str">
        <f>VLOOKUP(B64,Gegenstände!$A$2:$B$2026,2,FALSE)</f>
        <v>Dietrich II</v>
      </c>
      <c r="D64" s="133">
        <f>VLOOKUP(B64,Gegenstände!$A27:$D746,4,FALSE)</f>
        <v>5</v>
      </c>
      <c r="E64" s="468">
        <v>32</v>
      </c>
      <c r="F64" s="134">
        <v>300</v>
      </c>
      <c r="G64" s="54"/>
      <c r="H64" s="469">
        <v>15</v>
      </c>
      <c r="I64" s="54">
        <v>5</v>
      </c>
      <c r="J64" s="470">
        <v>1</v>
      </c>
      <c r="K64" s="54">
        <v>14</v>
      </c>
      <c r="L64" s="1" t="s">
        <v>114</v>
      </c>
      <c r="M64" s="85">
        <v>20</v>
      </c>
      <c r="N64" s="83" t="s">
        <v>176</v>
      </c>
      <c r="O64" s="85"/>
      <c r="P64" s="83"/>
      <c r="Q64" s="170"/>
      <c r="R64" s="170"/>
      <c r="S64" s="170"/>
      <c r="T64" s="170"/>
      <c r="U64" s="471">
        <f>VLOOKUP(D64,Preise!$A$3:$C$27,3)</f>
        <v>1.7490062499999994</v>
      </c>
      <c r="V64" s="855">
        <v>5000</v>
      </c>
      <c r="W64" s="131"/>
      <c r="X64" s="472">
        <f t="shared" si="3"/>
        <v>5000</v>
      </c>
      <c r="Y64" s="473">
        <f t="shared" si="4"/>
        <v>5000</v>
      </c>
      <c r="Z64" s="474">
        <f>IF(ISERROR(VLOOKUP(L64,Gegenstände!$B$2:$N$2026,13,FALSE)),0,VLOOKUP(L64,Gegenstände!$B$2:$N$2026,13,FALSE))</f>
        <v>120</v>
      </c>
      <c r="AA64" s="142">
        <f>IF(ISERROR(VLOOKUP(N64,Gegenstände!$B$2:$N$2026,13,FALSE)),0,VLOOKUP(N64,Gegenstände!$B$2:$N$2026,13,FALSE))</f>
        <v>80</v>
      </c>
      <c r="AB64" s="142">
        <f>IF(ISERROR(VLOOKUP(P64,Gegenstände!$B$2:$N$2026,13,FALSE)),0,VLOOKUP(P64,Gegenstände!$B$2:$N$2026,13,FALSE))</f>
        <v>0</v>
      </c>
      <c r="AC64" s="142">
        <f>IF(ISERROR(VLOOKUP(R64,Gegenstände!$B$2:$N$2026,13,FALSE)),0,VLOOKUP(R64,Gegenstände!$B$2:$N$2026,13,FALSE))</f>
        <v>0</v>
      </c>
      <c r="AD64" s="142"/>
      <c r="AE64" s="475">
        <f t="shared" si="10"/>
        <v>1680</v>
      </c>
      <c r="AF64" s="476">
        <f t="shared" si="5"/>
        <v>1600</v>
      </c>
      <c r="AG64" s="128">
        <f t="shared" si="6"/>
        <v>0.33600000000000002</v>
      </c>
      <c r="AH64" s="128">
        <f t="shared" si="7"/>
        <v>0.32</v>
      </c>
      <c r="AI64" s="129">
        <f t="shared" si="11"/>
        <v>0.65600000000000003</v>
      </c>
      <c r="AJ64" s="426">
        <f t="shared" si="8"/>
        <v>1720</v>
      </c>
      <c r="AK64" s="131">
        <f t="shared" si="9"/>
        <v>344</v>
      </c>
      <c r="AL64" s="477">
        <f>AK64/VLOOKUP(IF(I64&gt;0,I64,1),Preise!$A$3:$B$27,2,FALSE)</f>
        <v>191.11111111111114</v>
      </c>
    </row>
    <row r="65" spans="1:41" s="3" customFormat="1" outlineLevel="1" x14ac:dyDescent="0.2">
      <c r="A65" s="53">
        <v>413</v>
      </c>
      <c r="B65" s="53">
        <v>413</v>
      </c>
      <c r="C65" s="132" t="str">
        <f>VLOOKUP(B65,Gegenstände!$A$2:$B$2026,2,FALSE)</f>
        <v>Dietrich III</v>
      </c>
      <c r="D65" s="133">
        <f>VLOOKUP(B65,Gegenstände!$A28:$D747,4,FALSE)</f>
        <v>10</v>
      </c>
      <c r="E65" s="468">
        <v>32</v>
      </c>
      <c r="F65" s="134">
        <v>300</v>
      </c>
      <c r="G65" s="54"/>
      <c r="H65" s="469">
        <v>15</v>
      </c>
      <c r="I65" s="54">
        <v>10</v>
      </c>
      <c r="J65" s="470">
        <v>1</v>
      </c>
      <c r="K65" s="54">
        <v>18</v>
      </c>
      <c r="L65" s="1" t="s">
        <v>115</v>
      </c>
      <c r="M65" s="85">
        <v>30</v>
      </c>
      <c r="N65" s="83" t="s">
        <v>176</v>
      </c>
      <c r="O65" s="85">
        <v>5</v>
      </c>
      <c r="P65" s="83" t="s">
        <v>179</v>
      </c>
      <c r="Q65" s="170"/>
      <c r="R65" s="170"/>
      <c r="S65" s="170"/>
      <c r="T65" s="170"/>
      <c r="U65" s="471">
        <f>VLOOKUP(D65,Preise!$A$3:$C$27,3)</f>
        <v>3.5178762919199196</v>
      </c>
      <c r="V65" s="855">
        <v>10000</v>
      </c>
      <c r="W65" s="131"/>
      <c r="X65" s="472">
        <f t="shared" si="3"/>
        <v>10000</v>
      </c>
      <c r="Y65" s="473">
        <f t="shared" si="4"/>
        <v>10000</v>
      </c>
      <c r="Z65" s="474">
        <f>IF(ISERROR(VLOOKUP(L65,Gegenstände!$B$2:$N$2026,13,FALSE)),0,VLOOKUP(L65,Gegenstände!$B$2:$N$2026,13,FALSE))</f>
        <v>180</v>
      </c>
      <c r="AA65" s="142">
        <f>IF(ISERROR(VLOOKUP(N65,Gegenstände!$B$2:$N$2026,13,FALSE)),0,VLOOKUP(N65,Gegenstände!$B$2:$N$2026,13,FALSE))</f>
        <v>80</v>
      </c>
      <c r="AB65" s="142">
        <f>IF(ISERROR(VLOOKUP(P65,Gegenstände!$B$2:$N$2026,13,FALSE)),0,VLOOKUP(P65,Gegenstände!$B$2:$N$2026,13,FALSE))</f>
        <v>200</v>
      </c>
      <c r="AC65" s="142">
        <f>IF(ISERROR(VLOOKUP(R65,Gegenstände!$B$2:$N$2026,13,FALSE)),0,VLOOKUP(R65,Gegenstände!$B$2:$N$2026,13,FALSE))</f>
        <v>0</v>
      </c>
      <c r="AD65" s="142"/>
      <c r="AE65" s="475">
        <f t="shared" si="10"/>
        <v>3240</v>
      </c>
      <c r="AF65" s="476">
        <f t="shared" si="5"/>
        <v>3400</v>
      </c>
      <c r="AG65" s="128">
        <f t="shared" si="6"/>
        <v>0.32400000000000001</v>
      </c>
      <c r="AH65" s="128">
        <f t="shared" si="7"/>
        <v>0.34</v>
      </c>
      <c r="AI65" s="129">
        <f t="shared" si="11"/>
        <v>0.66400000000000003</v>
      </c>
      <c r="AJ65" s="426">
        <f t="shared" si="8"/>
        <v>3360</v>
      </c>
      <c r="AK65" s="131">
        <f t="shared" si="9"/>
        <v>672</v>
      </c>
      <c r="AL65" s="477">
        <f>AK65/VLOOKUP(IF(I65&gt;0,I65,1),Preise!$A$3:$B$27,2,FALSE)</f>
        <v>239.99999999999997</v>
      </c>
    </row>
    <row r="66" spans="1:41" s="3" customFormat="1" outlineLevel="1" x14ac:dyDescent="0.2">
      <c r="A66" s="53">
        <v>414</v>
      </c>
      <c r="B66" s="53">
        <v>414</v>
      </c>
      <c r="C66" s="132" t="str">
        <f>VLOOKUP(B66,Gegenstände!$A$2:$B$2026,2,FALSE)</f>
        <v>Dietrich IV</v>
      </c>
      <c r="D66" s="133">
        <f>VLOOKUP(B66,Gegenstände!$A29:$D748,4,FALSE)</f>
        <v>15</v>
      </c>
      <c r="E66" s="468">
        <v>32</v>
      </c>
      <c r="F66" s="134">
        <v>300</v>
      </c>
      <c r="G66" s="54"/>
      <c r="H66" s="469">
        <v>15</v>
      </c>
      <c r="I66" s="54">
        <v>15</v>
      </c>
      <c r="J66" s="470">
        <v>1</v>
      </c>
      <c r="K66" s="54">
        <v>31</v>
      </c>
      <c r="L66" s="1" t="s">
        <v>116</v>
      </c>
      <c r="M66" s="85">
        <v>62</v>
      </c>
      <c r="N66" s="83" t="s">
        <v>176</v>
      </c>
      <c r="O66" s="85">
        <v>16</v>
      </c>
      <c r="P66" s="83" t="s">
        <v>179</v>
      </c>
      <c r="Q66" s="170"/>
      <c r="R66" s="170"/>
      <c r="S66" s="170"/>
      <c r="T66" s="170"/>
      <c r="U66" s="471">
        <f>VLOOKUP(D66,Preise!$A$3:$C$27,3)</f>
        <v>7.0757057644889763</v>
      </c>
      <c r="V66" s="855">
        <v>25000</v>
      </c>
      <c r="W66" s="131"/>
      <c r="X66" s="472">
        <f t="shared" si="3"/>
        <v>25000</v>
      </c>
      <c r="Y66" s="473">
        <f t="shared" si="4"/>
        <v>25000</v>
      </c>
      <c r="Z66" s="474">
        <f>IF(ISERROR(VLOOKUP(L66,Gegenstände!$B$2:$N$2026,13,FALSE)),0,VLOOKUP(L66,Gegenstände!$B$2:$N$2026,13,FALSE))</f>
        <v>270</v>
      </c>
      <c r="AA66" s="142">
        <f>IF(ISERROR(VLOOKUP(N66,Gegenstände!$B$2:$N$2026,13,FALSE)),0,VLOOKUP(N66,Gegenstände!$B$2:$N$2026,13,FALSE))</f>
        <v>80</v>
      </c>
      <c r="AB66" s="142">
        <f>IF(ISERROR(VLOOKUP(P66,Gegenstände!$B$2:$N$2026,13,FALSE)),0,VLOOKUP(P66,Gegenstände!$B$2:$N$2026,13,FALSE))</f>
        <v>200</v>
      </c>
      <c r="AC66" s="142">
        <f>IF(ISERROR(VLOOKUP(R66,Gegenstände!$B$2:$N$2026,13,FALSE)),0,VLOOKUP(R66,Gegenstände!$B$2:$N$2026,13,FALSE))</f>
        <v>0</v>
      </c>
      <c r="AD66" s="142"/>
      <c r="AE66" s="475">
        <f t="shared" si="10"/>
        <v>8370</v>
      </c>
      <c r="AF66" s="476">
        <f t="shared" si="5"/>
        <v>8160</v>
      </c>
      <c r="AG66" s="128">
        <f t="shared" si="6"/>
        <v>0.33479999999999999</v>
      </c>
      <c r="AH66" s="128">
        <f t="shared" si="7"/>
        <v>0.32640000000000002</v>
      </c>
      <c r="AI66" s="129">
        <f t="shared" si="11"/>
        <v>0.66120000000000001</v>
      </c>
      <c r="AJ66" s="426">
        <f t="shared" si="8"/>
        <v>8470</v>
      </c>
      <c r="AK66" s="131">
        <f t="shared" si="9"/>
        <v>1694</v>
      </c>
      <c r="AL66" s="477">
        <f>AK66/VLOOKUP(IF(I66&gt;0,I66,1),Preise!$A$3:$B$27,2,FALSE)</f>
        <v>445.78947368421041</v>
      </c>
    </row>
    <row r="67" spans="1:41" s="3" customFormat="1" outlineLevel="1" x14ac:dyDescent="0.2">
      <c r="A67" s="53">
        <v>415</v>
      </c>
      <c r="B67" s="53">
        <v>415</v>
      </c>
      <c r="C67" s="132" t="str">
        <f>VLOOKUP(B67,Gegenstände!$A$2:$B$2026,2,FALSE)</f>
        <v>Dietrich V</v>
      </c>
      <c r="D67" s="133">
        <f>VLOOKUP(B67,Gegenstände!$A30:$D749,4,FALSE)</f>
        <v>20</v>
      </c>
      <c r="E67" s="468">
        <v>32</v>
      </c>
      <c r="F67" s="134">
        <v>300</v>
      </c>
      <c r="G67" s="54"/>
      <c r="H67" s="469">
        <v>15</v>
      </c>
      <c r="I67" s="54">
        <v>20</v>
      </c>
      <c r="J67" s="470">
        <v>1</v>
      </c>
      <c r="K67" s="54">
        <v>46</v>
      </c>
      <c r="L67" s="1" t="s">
        <v>117</v>
      </c>
      <c r="M67" s="85">
        <v>72</v>
      </c>
      <c r="N67" s="83" t="s">
        <v>176</v>
      </c>
      <c r="O67" s="85">
        <v>24</v>
      </c>
      <c r="P67" s="83" t="s">
        <v>179</v>
      </c>
      <c r="Q67" s="170">
        <v>12</v>
      </c>
      <c r="R67" s="83" t="s">
        <v>181</v>
      </c>
      <c r="S67" s="170"/>
      <c r="T67" s="83"/>
      <c r="U67" s="471">
        <f>VLOOKUP(D67,Preise!$A$3:$C$27,3)</f>
        <v>14.231771646040078</v>
      </c>
      <c r="V67" s="855">
        <v>50000</v>
      </c>
      <c r="W67" s="131"/>
      <c r="X67" s="472">
        <f t="shared" si="3"/>
        <v>50000</v>
      </c>
      <c r="Y67" s="473">
        <f t="shared" si="4"/>
        <v>50000</v>
      </c>
      <c r="Z67" s="474">
        <f>IF(ISERROR(VLOOKUP(L67,Gegenstände!$B$2:$N$2026,13,FALSE)),0,VLOOKUP(L67,Gegenstände!$B$2:$N$2026,13,FALSE))</f>
        <v>360</v>
      </c>
      <c r="AA67" s="142">
        <f>IF(ISERROR(VLOOKUP(N67,Gegenstände!$B$2:$N$2026,13,FALSE)),0,VLOOKUP(N67,Gegenstände!$B$2:$N$2026,13,FALSE))</f>
        <v>80</v>
      </c>
      <c r="AB67" s="142">
        <f>IF(ISERROR(VLOOKUP(P67,Gegenstände!$B$2:$N$2026,13,FALSE)),0,VLOOKUP(P67,Gegenstände!$B$2:$N$2026,13,FALSE))</f>
        <v>200</v>
      </c>
      <c r="AC67" s="142">
        <f>IF(ISERROR(VLOOKUP(R67,Gegenstände!$B$2:$N$2026,13,FALSE)),0,VLOOKUP(R67,Gegenstände!$B$2:$N$2026,13,FALSE))</f>
        <v>500</v>
      </c>
      <c r="AD67" s="142"/>
      <c r="AE67" s="475">
        <f t="shared" si="10"/>
        <v>16560</v>
      </c>
      <c r="AF67" s="476">
        <f t="shared" si="5"/>
        <v>16560</v>
      </c>
      <c r="AG67" s="128">
        <f t="shared" si="6"/>
        <v>0.33119999999999999</v>
      </c>
      <c r="AH67" s="128">
        <f t="shared" si="7"/>
        <v>0.33119999999999999</v>
      </c>
      <c r="AI67" s="129">
        <f t="shared" si="11"/>
        <v>0.66239999999999999</v>
      </c>
      <c r="AJ67" s="426">
        <f t="shared" si="8"/>
        <v>16880</v>
      </c>
      <c r="AK67" s="131">
        <f t="shared" si="9"/>
        <v>3376</v>
      </c>
      <c r="AL67" s="477">
        <f>AK67/VLOOKUP(IF(I67&gt;0,I67,1),Preise!$A$3:$B$27,2,FALSE)</f>
        <v>703.33333333333314</v>
      </c>
    </row>
    <row r="68" spans="1:41" s="3" customFormat="1" x14ac:dyDescent="0.2">
      <c r="A68" s="501"/>
      <c r="B68" s="502"/>
      <c r="C68" s="264"/>
      <c r="D68" s="503"/>
      <c r="E68" s="504"/>
      <c r="F68" s="505"/>
      <c r="G68" s="240"/>
      <c r="H68" s="506"/>
      <c r="I68" s="240"/>
      <c r="J68" s="507"/>
      <c r="K68" s="861"/>
      <c r="L68" s="861"/>
      <c r="M68" s="861"/>
      <c r="N68" s="861"/>
      <c r="O68" s="861"/>
      <c r="P68" s="861"/>
      <c r="Q68" s="861"/>
      <c r="R68" s="861"/>
      <c r="S68" s="508"/>
      <c r="T68" s="508"/>
      <c r="U68" s="509"/>
      <c r="V68" s="510">
        <v>3</v>
      </c>
      <c r="W68" s="511"/>
      <c r="X68" s="512"/>
      <c r="Y68" s="513"/>
      <c r="Z68" s="514"/>
      <c r="AA68" s="515"/>
      <c r="AB68" s="515"/>
      <c r="AC68" s="515"/>
      <c r="AD68" s="515"/>
      <c r="AE68" s="516"/>
      <c r="AF68" s="517"/>
      <c r="AG68" s="518"/>
      <c r="AH68" s="518"/>
      <c r="AI68" s="519"/>
      <c r="AJ68" s="520"/>
      <c r="AK68" s="521"/>
      <c r="AL68" s="522"/>
    </row>
    <row r="69" spans="1:41" s="3" customFormat="1" outlineLevel="1" x14ac:dyDescent="0.2">
      <c r="A69" s="5">
        <v>1001</v>
      </c>
      <c r="B69" s="412">
        <v>1001</v>
      </c>
      <c r="C69" s="132" t="str">
        <f>VLOOKUP(B69,Gegenstände!$A$2:$B$2026,2,FALSE)</f>
        <v>Pfeile</v>
      </c>
      <c r="D69" s="133">
        <f>VLOOKUP(B69,Gegenstände!$A32:$D751,4,FALSE)</f>
        <v>1</v>
      </c>
      <c r="E69" s="468">
        <v>32</v>
      </c>
      <c r="F69" s="134">
        <v>120</v>
      </c>
      <c r="G69" s="54">
        <v>1</v>
      </c>
      <c r="H69" s="469">
        <v>64</v>
      </c>
      <c r="I69" s="6">
        <v>0</v>
      </c>
      <c r="J69" s="417">
        <v>135</v>
      </c>
      <c r="K69" s="6">
        <v>6</v>
      </c>
      <c r="L69" s="1" t="s">
        <v>132</v>
      </c>
      <c r="M69" s="87">
        <v>5</v>
      </c>
      <c r="N69" s="83" t="s">
        <v>206</v>
      </c>
      <c r="O69" s="85"/>
      <c r="P69" s="1"/>
      <c r="Q69" s="6"/>
      <c r="R69" s="1"/>
      <c r="S69" s="418"/>
      <c r="T69" s="418"/>
      <c r="U69" s="471">
        <f>VLOOKUP(D69,Preise!$A$3:$C$27,3)</f>
        <v>1</v>
      </c>
      <c r="V69" s="523">
        <f>U69*$V$68</f>
        <v>3</v>
      </c>
      <c r="W69" s="131"/>
      <c r="X69" s="472">
        <f>ROUND(V69,0)</f>
        <v>3</v>
      </c>
      <c r="Y69" s="473">
        <f>X69*IF(J69&gt;0,J69,1)</f>
        <v>405</v>
      </c>
      <c r="Z69" s="474">
        <f>IF(ISERROR(VLOOKUP(L69,Gegenstände!$B$2:$N$2026,13,FALSE)),0,VLOOKUP(L69,Gegenstände!$B$2:$N$2026,13,FALSE))</f>
        <v>20</v>
      </c>
      <c r="AA69" s="142">
        <f>IF(ISERROR(VLOOKUP(N69,Gegenstände!$B$2:$N$2026,13,FALSE)),0,VLOOKUP(N69,Gegenstände!$B$2:$N$2026,13,FALSE))</f>
        <v>25</v>
      </c>
      <c r="AB69" s="142">
        <f>IF(ISERROR(VLOOKUP(P69,Gegenstände!$B$2:$N$2026,13,FALSE)),0,VLOOKUP(P69,Gegenstände!$B$2:$N$2026,13,FALSE))</f>
        <v>0</v>
      </c>
      <c r="AC69" s="142">
        <f>IF(ISERROR(VLOOKUP(R69,Gegenstände!$B$2:$N$2026,13,FALSE)),0,VLOOKUP(R69,Gegenstände!$B$2:$N$2026,13,FALSE))</f>
        <v>0</v>
      </c>
      <c r="AD69" s="142"/>
      <c r="AE69" s="475">
        <f>IF(ISERROR(K69*Z69),"",K69*Z69)</f>
        <v>120</v>
      </c>
      <c r="AF69" s="476">
        <f>IF(ISERROR(M69*AA69+O69*AB69+Q69*AC69),"",M69*AA69+O69*AB69+Q69*AC69)</f>
        <v>125</v>
      </c>
      <c r="AG69" s="128">
        <f t="shared" si="0"/>
        <v>0.29629629629629628</v>
      </c>
      <c r="AH69" s="128">
        <f t="shared" si="1"/>
        <v>0.30864197530864196</v>
      </c>
      <c r="AI69" s="129">
        <f t="shared" si="2"/>
        <v>0.60493827160493829</v>
      </c>
      <c r="AJ69" s="426">
        <f>Y69-(AE69+AF69)</f>
        <v>160</v>
      </c>
      <c r="AK69" s="131">
        <f>(AJ69*60)/F69</f>
        <v>80</v>
      </c>
      <c r="AL69" s="477">
        <f>AK69/VLOOKUP(IF(I69&gt;0,I69,1),Preise!$A$3:$B$27,2,FALSE)</f>
        <v>80</v>
      </c>
      <c r="AM69" s="3">
        <f>VLOOKUP(B69,Gegenstände!A:AF,11)</f>
        <v>30</v>
      </c>
      <c r="AN69" s="3">
        <f>IF(ISERROR(VLOOKUP(L69,Gegenstände!$B$2:$N$2026,10,FALSE)),0,VLOOKUP(L69,Gegenstände!$B$2:$N$2026,10,FALSE))*K69+IF(ISERROR(VLOOKUP(N69,Gegenstände!$B$2:$N$2026,10,FALSE)),0,VLOOKUP(N69,Gegenstände!$B$2:$N$2026,10,FALSE))*M69+IF(ISERROR(VLOOKUP(P69,Gegenstände!$B$2:$N$2026,10,FALSE)),0,VLOOKUP(P69,Gegenstände!$B$2:$N$2026,10,FALSE))*O69+IF(ISERROR(VLOOKUP(R69,Gegenstände!$B$2:$N$2026,10,FALSE)),0,VLOOKUP(R69,Gegenstände!$B$2:$N$2026,10,FALSE))*Q69+IF(ISERROR(VLOOKUP(T69,Gegenstände!$B$2:$N$2026,10,FALSE)),0,VLOOKUP(T69,Gegenstände!$B$2:$N$2026,10,FALSE))*S69</f>
        <v>2900</v>
      </c>
      <c r="AO69" s="3">
        <f>ROUND(AN69/J69/5,0)*5</f>
        <v>20</v>
      </c>
    </row>
    <row r="70" spans="1:41" s="3" customFormat="1" outlineLevel="1" x14ac:dyDescent="0.2">
      <c r="A70" s="5">
        <v>1002</v>
      </c>
      <c r="B70" s="412">
        <v>1002</v>
      </c>
      <c r="C70" s="132" t="str">
        <f>VLOOKUP(B70,Gegenstände!$A$2:$B$2026,2,FALSE)</f>
        <v>Jagdpfeile</v>
      </c>
      <c r="D70" s="133">
        <f>VLOOKUP(B70,Gegenstände!$A33:$D752,4,FALSE)</f>
        <v>6</v>
      </c>
      <c r="E70" s="468">
        <v>32</v>
      </c>
      <c r="F70" s="134">
        <v>120</v>
      </c>
      <c r="G70" s="54">
        <v>2</v>
      </c>
      <c r="H70" s="469">
        <v>64</v>
      </c>
      <c r="I70" s="6">
        <v>5</v>
      </c>
      <c r="J70" s="417">
        <v>135</v>
      </c>
      <c r="K70" s="6">
        <v>6</v>
      </c>
      <c r="L70" s="1" t="s">
        <v>134</v>
      </c>
      <c r="M70" s="87">
        <v>10</v>
      </c>
      <c r="N70" s="83" t="s">
        <v>206</v>
      </c>
      <c r="O70" s="85"/>
      <c r="P70" s="1"/>
      <c r="Q70" s="6"/>
      <c r="R70" s="1"/>
      <c r="S70" s="418"/>
      <c r="T70" s="418"/>
      <c r="U70" s="471">
        <f>VLOOKUP(D70,Preise!$A$3:$C$27,3)</f>
        <v>2.0113571874999994</v>
      </c>
      <c r="V70" s="523">
        <f>U70*$V$68</f>
        <v>6.0340715624999977</v>
      </c>
      <c r="W70" s="131"/>
      <c r="X70" s="472">
        <f>ROUND(V70,0)</f>
        <v>6</v>
      </c>
      <c r="Y70" s="473">
        <f>X70*IF(J70&gt;0,J70,1)</f>
        <v>810</v>
      </c>
      <c r="Z70" s="474">
        <f>IF(ISERROR(VLOOKUP(L70,Gegenstände!$B$2:$N$2026,13,FALSE)),0,VLOOKUP(L70,Gegenstände!$B$2:$N$2026,13,FALSE))</f>
        <v>40</v>
      </c>
      <c r="AA70" s="142">
        <f>IF(ISERROR(VLOOKUP(N70,Gegenstände!$B$2:$N$2026,13,FALSE)),0,VLOOKUP(N70,Gegenstände!$B$2:$N$2026,13,FALSE))</f>
        <v>25</v>
      </c>
      <c r="AB70" s="142">
        <f>IF(ISERROR(VLOOKUP(P70,Gegenstände!$B$2:$N$2026,13,FALSE)),0,VLOOKUP(P70,Gegenstände!$B$2:$N$2026,13,FALSE))</f>
        <v>0</v>
      </c>
      <c r="AC70" s="142">
        <f>IF(ISERROR(VLOOKUP(R70,Gegenstände!$B$2:$N$2026,13,FALSE)),0,VLOOKUP(R70,Gegenstände!$B$2:$N$2026,13,FALSE))</f>
        <v>0</v>
      </c>
      <c r="AD70" s="142"/>
      <c r="AE70" s="475">
        <f>IF(ISERROR(K70*Z70),"",K70*Z70)</f>
        <v>240</v>
      </c>
      <c r="AF70" s="476">
        <f>IF(ISERROR(M70*AA70+O70*AB70+Q70*AC70),"",M70*AA70+O70*AB70+Q70*AC70)</f>
        <v>250</v>
      </c>
      <c r="AG70" s="128">
        <f t="shared" si="0"/>
        <v>0.29629629629629628</v>
      </c>
      <c r="AH70" s="128">
        <f t="shared" si="1"/>
        <v>0.30864197530864196</v>
      </c>
      <c r="AI70" s="129">
        <f t="shared" si="2"/>
        <v>0.60493827160493829</v>
      </c>
      <c r="AJ70" s="426">
        <f>Y70-(AE70+AF70)</f>
        <v>320</v>
      </c>
      <c r="AK70" s="131">
        <f>(AJ70*60)/F70</f>
        <v>160</v>
      </c>
      <c r="AL70" s="477">
        <f>AK70/VLOOKUP(IF(I70&gt;0,I70,1),Preise!$A$3:$B$27,2,FALSE)</f>
        <v>88.8888888888889</v>
      </c>
      <c r="AM70" s="3">
        <f>VLOOKUP(B70,Gegenstände!A:AF,11)</f>
        <v>30</v>
      </c>
      <c r="AN70" s="3">
        <f>IF(ISERROR(VLOOKUP(L70,Gegenstände!$B$2:$N$2026,10,FALSE)),0,VLOOKUP(L70,Gegenstände!$B$2:$N$2026,10,FALSE))*K70+IF(ISERROR(VLOOKUP(N70,Gegenstände!$B$2:$N$2026,10,FALSE)),0,VLOOKUP(N70,Gegenstände!$B$2:$N$2026,10,FALSE))*M70+IF(ISERROR(VLOOKUP(P70,Gegenstände!$B$2:$N$2026,10,FALSE)),0,VLOOKUP(P70,Gegenstände!$B$2:$N$2026,10,FALSE))*O70+IF(ISERROR(VLOOKUP(R70,Gegenstände!$B$2:$N$2026,10,FALSE)),0,VLOOKUP(R70,Gegenstände!$B$2:$N$2026,10,FALSE))*Q70+IF(ISERROR(VLOOKUP(T70,Gegenstände!$B$2:$N$2026,10,FALSE)),0,VLOOKUP(T70,Gegenstände!$B$2:$N$2026,10,FALSE))*S70</f>
        <v>3400</v>
      </c>
      <c r="AO70" s="3">
        <f t="shared" ref="AO70:AO85" si="12">ROUND(AN70/J70/5,0)*5</f>
        <v>25</v>
      </c>
    </row>
    <row r="71" spans="1:41" s="3" customFormat="1" outlineLevel="1" x14ac:dyDescent="0.2">
      <c r="A71" s="5">
        <v>1003</v>
      </c>
      <c r="B71" s="412">
        <v>1003</v>
      </c>
      <c r="C71" s="132" t="str">
        <f>VLOOKUP(B71,Gegenstände!$A$2:$B$2026,2,FALSE)</f>
        <v>Kriegspfeile</v>
      </c>
      <c r="D71" s="133">
        <f>VLOOKUP(B71,Gegenstände!$A34:$D753,4,FALSE)</f>
        <v>11</v>
      </c>
      <c r="E71" s="468">
        <v>32</v>
      </c>
      <c r="F71" s="134">
        <v>120</v>
      </c>
      <c r="G71" s="54">
        <v>3</v>
      </c>
      <c r="H71" s="469">
        <v>64</v>
      </c>
      <c r="I71" s="6">
        <v>10</v>
      </c>
      <c r="J71" s="417">
        <v>135</v>
      </c>
      <c r="K71" s="6">
        <v>8</v>
      </c>
      <c r="L71" s="1" t="s">
        <v>135</v>
      </c>
      <c r="M71" s="87">
        <v>7</v>
      </c>
      <c r="N71" s="83" t="s">
        <v>206</v>
      </c>
      <c r="O71" s="85">
        <v>2</v>
      </c>
      <c r="P71" s="83" t="s">
        <v>208</v>
      </c>
      <c r="Q71" s="85"/>
      <c r="R71" s="1"/>
      <c r="S71" s="418"/>
      <c r="T71" s="418"/>
      <c r="U71" s="471">
        <f>VLOOKUP(D71,Preise!$A$3:$C$27,3)</f>
        <v>4.0455577357079076</v>
      </c>
      <c r="V71" s="523">
        <f>U71*$V$68</f>
        <v>12.136673207123723</v>
      </c>
      <c r="W71" s="131"/>
      <c r="X71" s="472">
        <f>ROUND(V71,0)</f>
        <v>12</v>
      </c>
      <c r="Y71" s="473">
        <f>X71*IF(J71&gt;0,J71,1)</f>
        <v>1620</v>
      </c>
      <c r="Z71" s="474">
        <f>IF(ISERROR(VLOOKUP(L71,Gegenstände!$B$2:$N$2026,13,FALSE)),0,VLOOKUP(L71,Gegenstände!$B$2:$N$2026,13,FALSE))</f>
        <v>60</v>
      </c>
      <c r="AA71" s="142">
        <f>IF(ISERROR(VLOOKUP(N71,Gegenstände!$B$2:$N$2026,13,FALSE)),0,VLOOKUP(N71,Gegenstände!$B$2:$N$2026,13,FALSE))</f>
        <v>25</v>
      </c>
      <c r="AB71" s="142">
        <f>IF(ISERROR(VLOOKUP(P71,Gegenstände!$B$2:$N$2026,13,FALSE)),0,VLOOKUP(P71,Gegenstände!$B$2:$N$2026,13,FALSE))</f>
        <v>150</v>
      </c>
      <c r="AC71" s="142">
        <f>IF(ISERROR(VLOOKUP(R71,Gegenstände!$B$2:$N$2026,13,FALSE)),0,VLOOKUP(R71,Gegenstände!$B$2:$N$2026,13,FALSE))</f>
        <v>0</v>
      </c>
      <c r="AD71" s="142"/>
      <c r="AE71" s="475">
        <f>IF(ISERROR(K71*Z71),"",K71*Z71)</f>
        <v>480</v>
      </c>
      <c r="AF71" s="476">
        <f>IF(ISERROR(M71*AA71+O71*AB71+Q71*AC71),"",M71*AA71+O71*AB71+Q71*AC71)</f>
        <v>475</v>
      </c>
      <c r="AG71" s="128">
        <f t="shared" si="0"/>
        <v>0.29629629629629628</v>
      </c>
      <c r="AH71" s="128">
        <f t="shared" si="1"/>
        <v>0.2932098765432099</v>
      </c>
      <c r="AI71" s="129">
        <f t="shared" si="2"/>
        <v>0.58950617283950613</v>
      </c>
      <c r="AJ71" s="426">
        <f>Y71-(AE71+AF71)</f>
        <v>665</v>
      </c>
      <c r="AK71" s="131">
        <f>(AJ71*60)/F71</f>
        <v>332.5</v>
      </c>
      <c r="AL71" s="477">
        <f>AK71/VLOOKUP(IF(I71&gt;0,I71,1),Preise!$A$3:$B$27,2,FALSE)</f>
        <v>118.74999999999999</v>
      </c>
      <c r="AM71" s="3">
        <f>VLOOKUP(B71,Gegenstände!A:AF,11)</f>
        <v>30</v>
      </c>
      <c r="AN71" s="3">
        <f>IF(ISERROR(VLOOKUP(L71,Gegenstände!$B$2:$N$2026,10,FALSE)),0,VLOOKUP(L71,Gegenstände!$B$2:$N$2026,10,FALSE))*K71+IF(ISERROR(VLOOKUP(N71,Gegenstände!$B$2:$N$2026,10,FALSE)),0,VLOOKUP(N71,Gegenstände!$B$2:$N$2026,10,FALSE))*M71+IF(ISERROR(VLOOKUP(P71,Gegenstände!$B$2:$N$2026,10,FALSE)),0,VLOOKUP(P71,Gegenstände!$B$2:$N$2026,10,FALSE))*O71+IF(ISERROR(VLOOKUP(R71,Gegenstände!$B$2:$N$2026,10,FALSE)),0,VLOOKUP(R71,Gegenstände!$B$2:$N$2026,10,FALSE))*Q71+IF(ISERROR(VLOOKUP(T71,Gegenstände!$B$2:$N$2026,10,FALSE)),0,VLOOKUP(T71,Gegenstände!$B$2:$N$2026,10,FALSE))*S71</f>
        <v>4100</v>
      </c>
      <c r="AO71" s="3">
        <f t="shared" si="12"/>
        <v>30</v>
      </c>
    </row>
    <row r="72" spans="1:41" s="3" customFormat="1" outlineLevel="1" x14ac:dyDescent="0.2">
      <c r="A72" s="5">
        <v>1004</v>
      </c>
      <c r="B72" s="412">
        <v>1004</v>
      </c>
      <c r="C72" s="132" t="str">
        <f>VLOOKUP(B72,Gegenstände!$A$2:$B$2026,2,FALSE)</f>
        <v>Götterstich</v>
      </c>
      <c r="D72" s="133">
        <f>VLOOKUP(B72,Gegenstände!$A35:$D754,4,FALSE)</f>
        <v>16</v>
      </c>
      <c r="E72" s="468">
        <v>32</v>
      </c>
      <c r="F72" s="134">
        <v>120</v>
      </c>
      <c r="G72" s="54">
        <v>4</v>
      </c>
      <c r="H72" s="469">
        <v>64</v>
      </c>
      <c r="I72" s="6">
        <v>15</v>
      </c>
      <c r="J72" s="417">
        <v>135</v>
      </c>
      <c r="K72" s="6">
        <v>11</v>
      </c>
      <c r="L72" s="1" t="s">
        <v>136</v>
      </c>
      <c r="M72" s="87">
        <v>10</v>
      </c>
      <c r="N72" s="83" t="s">
        <v>206</v>
      </c>
      <c r="O72" s="85">
        <v>5</v>
      </c>
      <c r="P72" s="83" t="s">
        <v>208</v>
      </c>
      <c r="Q72" s="85"/>
      <c r="R72" s="1"/>
      <c r="S72" s="418"/>
      <c r="T72" s="418"/>
      <c r="U72" s="471">
        <f>VLOOKUP(D72,Preise!$A$3:$C$27,3)</f>
        <v>8.1370616291623215</v>
      </c>
      <c r="V72" s="523">
        <f>U72*$V$68</f>
        <v>24.411184887486964</v>
      </c>
      <c r="W72" s="131"/>
      <c r="X72" s="472">
        <f>ROUND(V72,0)</f>
        <v>24</v>
      </c>
      <c r="Y72" s="473">
        <f>X72*IF(J72&gt;0,J72,1)</f>
        <v>3240</v>
      </c>
      <c r="Z72" s="474">
        <f>IF(ISERROR(VLOOKUP(L72,Gegenstände!$B$2:$N$2026,13,FALSE)),0,VLOOKUP(L72,Gegenstände!$B$2:$N$2026,13,FALSE))</f>
        <v>90</v>
      </c>
      <c r="AA72" s="142">
        <f>IF(ISERROR(VLOOKUP(N72,Gegenstände!$B$2:$N$2026,13,FALSE)),0,VLOOKUP(N72,Gegenstände!$B$2:$N$2026,13,FALSE))</f>
        <v>25</v>
      </c>
      <c r="AB72" s="142">
        <f>IF(ISERROR(VLOOKUP(P72,Gegenstände!$B$2:$N$2026,13,FALSE)),0,VLOOKUP(P72,Gegenstände!$B$2:$N$2026,13,FALSE))</f>
        <v>150</v>
      </c>
      <c r="AC72" s="142">
        <f>IF(ISERROR(VLOOKUP(R72,Gegenstände!$B$2:$N$2026,13,FALSE)),0,VLOOKUP(R72,Gegenstände!$B$2:$N$2026,13,FALSE))</f>
        <v>0</v>
      </c>
      <c r="AD72" s="142"/>
      <c r="AE72" s="475">
        <f>IF(ISERROR(K72*Z72),"",K72*Z72)</f>
        <v>990</v>
      </c>
      <c r="AF72" s="476">
        <f>IF(ISERROR(M72*AA72+O72*AB72+Q72*AC72),"",M72*AA72+O72*AB72+Q72*AC72)</f>
        <v>1000</v>
      </c>
      <c r="AG72" s="128">
        <f t="shared" si="0"/>
        <v>0.30555555555555558</v>
      </c>
      <c r="AH72" s="128">
        <f t="shared" si="1"/>
        <v>0.30864197530864196</v>
      </c>
      <c r="AI72" s="129">
        <f t="shared" si="2"/>
        <v>0.61419753086419748</v>
      </c>
      <c r="AJ72" s="426">
        <f>Y72-(AE72+AF72)</f>
        <v>1250</v>
      </c>
      <c r="AK72" s="131">
        <f>(AJ72*60)/F72</f>
        <v>625</v>
      </c>
      <c r="AL72" s="477">
        <f>AK72/VLOOKUP(IF(I72&gt;0,I72,1),Preise!$A$3:$B$27,2,FALSE)</f>
        <v>164.47368421052627</v>
      </c>
      <c r="AM72" s="3">
        <f>VLOOKUP(B72,Gegenstände!A:AF,11)</f>
        <v>30</v>
      </c>
      <c r="AN72" s="3">
        <f>IF(ISERROR(VLOOKUP(L72,Gegenstände!$B$2:$N$2026,10,FALSE)),0,VLOOKUP(L72,Gegenstände!$B$2:$N$2026,10,FALSE))*K72+IF(ISERROR(VLOOKUP(N72,Gegenstände!$B$2:$N$2026,10,FALSE)),0,VLOOKUP(N72,Gegenstände!$B$2:$N$2026,10,FALSE))*M72+IF(ISERROR(VLOOKUP(P72,Gegenstände!$B$2:$N$2026,10,FALSE)),0,VLOOKUP(P72,Gegenstände!$B$2:$N$2026,10,FALSE))*O72+IF(ISERROR(VLOOKUP(R72,Gegenstände!$B$2:$N$2026,10,FALSE)),0,VLOOKUP(R72,Gegenstände!$B$2:$N$2026,10,FALSE))*Q72+IF(ISERROR(VLOOKUP(T72,Gegenstände!$B$2:$N$2026,10,FALSE)),0,VLOOKUP(T72,Gegenstände!$B$2:$N$2026,10,FALSE))*S72</f>
        <v>5900</v>
      </c>
      <c r="AO72" s="3">
        <f t="shared" si="12"/>
        <v>45</v>
      </c>
    </row>
    <row r="73" spans="1:41" s="3" customFormat="1" outlineLevel="1" x14ac:dyDescent="0.2">
      <c r="A73" s="5">
        <v>1005</v>
      </c>
      <c r="B73" s="412">
        <v>1005</v>
      </c>
      <c r="C73" s="132" t="str">
        <f>VLOOKUP(B73,Gegenstände!$A$2:$B$2026,2,FALSE)</f>
        <v>Panzerbrecher</v>
      </c>
      <c r="D73" s="133">
        <f>VLOOKUP(B73,Gegenstände!$A36:$D755,4,FALSE)</f>
        <v>21</v>
      </c>
      <c r="E73" s="468">
        <v>32</v>
      </c>
      <c r="F73" s="134">
        <v>120</v>
      </c>
      <c r="G73" s="54">
        <v>5</v>
      </c>
      <c r="H73" s="469">
        <v>64</v>
      </c>
      <c r="I73" s="6">
        <v>20</v>
      </c>
      <c r="J73" s="417">
        <v>135</v>
      </c>
      <c r="K73" s="6">
        <v>16</v>
      </c>
      <c r="L73" s="1" t="s">
        <v>137</v>
      </c>
      <c r="M73" s="87">
        <v>9</v>
      </c>
      <c r="N73" s="83" t="s">
        <v>206</v>
      </c>
      <c r="O73" s="85">
        <v>8</v>
      </c>
      <c r="P73" s="83" t="s">
        <v>208</v>
      </c>
      <c r="Q73" s="85">
        <v>1</v>
      </c>
      <c r="R73" s="83" t="s">
        <v>209</v>
      </c>
      <c r="S73" s="170"/>
      <c r="T73" s="170"/>
      <c r="U73" s="471">
        <f>VLOOKUP(D73,Preise!$A$3:$C$27,3)</f>
        <v>16.366537392946089</v>
      </c>
      <c r="V73" s="523">
        <f>U73*$V$68</f>
        <v>49.099612178838271</v>
      </c>
      <c r="W73" s="131"/>
      <c r="X73" s="472">
        <f>ROUND(V73,0)</f>
        <v>49</v>
      </c>
      <c r="Y73" s="473">
        <f>X73*IF(J73&gt;0,J73,1)</f>
        <v>6615</v>
      </c>
      <c r="Z73" s="474">
        <f>IF(ISERROR(VLOOKUP(L73,Gegenstände!$B$2:$N$2026,13,FALSE)),0,VLOOKUP(L73,Gegenstände!$B$2:$N$2026,13,FALSE))</f>
        <v>120</v>
      </c>
      <c r="AA73" s="142">
        <f>IF(ISERROR(VLOOKUP(N73,Gegenstände!$B$2:$N$2026,13,FALSE)),0,VLOOKUP(N73,Gegenstände!$B$2:$N$2026,13,FALSE))</f>
        <v>25</v>
      </c>
      <c r="AB73" s="142">
        <f>IF(ISERROR(VLOOKUP(P73,Gegenstände!$B$2:$N$2026,13,FALSE)),0,VLOOKUP(P73,Gegenstände!$B$2:$N$2026,13,FALSE))</f>
        <v>150</v>
      </c>
      <c r="AC73" s="142">
        <f>IF(ISERROR(VLOOKUP(R73,Gegenstände!$B$2:$N$2026,13,FALSE)),0,VLOOKUP(R73,Gegenstände!$B$2:$N$2026,13,FALSE))</f>
        <v>500</v>
      </c>
      <c r="AD73" s="142"/>
      <c r="AE73" s="475">
        <f>IF(ISERROR(K73*Z73),"",K73*Z73)</f>
        <v>1920</v>
      </c>
      <c r="AF73" s="476">
        <f>IF(ISERROR(M73*AA73+O73*AB73+Q73*AC73),"",M73*AA73+O73*AB73+Q73*AC73)</f>
        <v>1925</v>
      </c>
      <c r="AG73" s="128">
        <f t="shared" si="0"/>
        <v>0.29024943310657597</v>
      </c>
      <c r="AH73" s="128">
        <f t="shared" si="1"/>
        <v>0.29100529100529099</v>
      </c>
      <c r="AI73" s="129">
        <f t="shared" si="2"/>
        <v>0.58125472411186696</v>
      </c>
      <c r="AJ73" s="426">
        <f>Y73-(AE73+AF73)</f>
        <v>2770</v>
      </c>
      <c r="AK73" s="131">
        <f>(AJ73*60)/F73</f>
        <v>1385</v>
      </c>
      <c r="AL73" s="477">
        <f>AK73/VLOOKUP(IF(I73&gt;0,I73,1),Preise!$A$3:$B$27,2,FALSE)</f>
        <v>288.54166666666657</v>
      </c>
      <c r="AM73" s="3">
        <f>VLOOKUP(B73,Gegenstände!A:AF,11)</f>
        <v>30</v>
      </c>
      <c r="AN73" s="3">
        <f>IF(ISERROR(VLOOKUP(L73,Gegenstände!$B$2:$N$2026,10,FALSE)),0,VLOOKUP(L73,Gegenstände!$B$2:$N$2026,10,FALSE))*K73+IF(ISERROR(VLOOKUP(N73,Gegenstände!$B$2:$N$2026,10,FALSE)),0,VLOOKUP(N73,Gegenstände!$B$2:$N$2026,10,FALSE))*M73+IF(ISERROR(VLOOKUP(P73,Gegenstände!$B$2:$N$2026,10,FALSE)),0,VLOOKUP(P73,Gegenstände!$B$2:$N$2026,10,FALSE))*O73+IF(ISERROR(VLOOKUP(R73,Gegenstände!$B$2:$N$2026,10,FALSE)),0,VLOOKUP(R73,Gegenstände!$B$2:$N$2026,10,FALSE))*Q73+IF(ISERROR(VLOOKUP(T73,Gegenstände!$B$2:$N$2026,10,FALSE)),0,VLOOKUP(T73,Gegenstände!$B$2:$N$2026,10,FALSE))*S73</f>
        <v>8200</v>
      </c>
      <c r="AO73" s="3">
        <f t="shared" si="12"/>
        <v>60</v>
      </c>
    </row>
    <row r="74" spans="1:41" s="3" customFormat="1" x14ac:dyDescent="0.2">
      <c r="A74" s="501"/>
      <c r="B74" s="502"/>
      <c r="C74" s="264"/>
      <c r="D74" s="503"/>
      <c r="E74" s="504"/>
      <c r="F74" s="505"/>
      <c r="G74" s="240"/>
      <c r="H74" s="506"/>
      <c r="I74" s="240"/>
      <c r="J74" s="507"/>
      <c r="K74" s="861"/>
      <c r="L74" s="861"/>
      <c r="M74" s="861"/>
      <c r="N74" s="861"/>
      <c r="O74" s="861"/>
      <c r="P74" s="861"/>
      <c r="Q74" s="861"/>
      <c r="R74" s="861"/>
      <c r="S74" s="508"/>
      <c r="T74" s="508"/>
      <c r="U74" s="524"/>
      <c r="V74" s="510">
        <v>8</v>
      </c>
      <c r="W74" s="511"/>
      <c r="X74" s="512"/>
      <c r="Y74" s="513"/>
      <c r="Z74" s="514"/>
      <c r="AA74" s="515"/>
      <c r="AB74" s="515"/>
      <c r="AC74" s="515"/>
      <c r="AD74" s="515"/>
      <c r="AE74" s="516"/>
      <c r="AF74" s="517"/>
      <c r="AG74" s="518"/>
      <c r="AH74" s="518"/>
      <c r="AI74" s="519"/>
      <c r="AJ74" s="520"/>
      <c r="AK74" s="521"/>
      <c r="AL74" s="522"/>
    </row>
    <row r="75" spans="1:41" s="3" customFormat="1" ht="11.25" customHeight="1" outlineLevel="1" x14ac:dyDescent="0.2">
      <c r="A75" s="5">
        <v>1011</v>
      </c>
      <c r="B75" s="412">
        <v>1011</v>
      </c>
      <c r="C75" s="132" t="str">
        <f>VLOOKUP(B75,Gegenstände!$A$2:$B$2026,2,FALSE)</f>
        <v>Bolzen</v>
      </c>
      <c r="D75" s="133">
        <f>VLOOKUP(B75,Gegenstände!$A38:$D757,4,FALSE)</f>
        <v>1</v>
      </c>
      <c r="E75" s="468">
        <v>32</v>
      </c>
      <c r="F75" s="134">
        <v>120</v>
      </c>
      <c r="G75" s="54">
        <v>1</v>
      </c>
      <c r="H75" s="469">
        <v>65</v>
      </c>
      <c r="I75" s="6">
        <v>0</v>
      </c>
      <c r="J75" s="417">
        <v>50</v>
      </c>
      <c r="K75" s="6">
        <v>6</v>
      </c>
      <c r="L75" s="1" t="s">
        <v>132</v>
      </c>
      <c r="M75" s="87">
        <v>5</v>
      </c>
      <c r="N75" s="83" t="s">
        <v>206</v>
      </c>
      <c r="O75" s="85"/>
      <c r="P75" s="1"/>
      <c r="Q75" s="6"/>
      <c r="R75" s="1"/>
      <c r="S75" s="418"/>
      <c r="T75" s="418"/>
      <c r="U75" s="471">
        <f>VLOOKUP(D75,Preise!$A$3:$C$27,3)</f>
        <v>1</v>
      </c>
      <c r="V75" s="523">
        <f>U75*$V$74</f>
        <v>8</v>
      </c>
      <c r="W75" s="131"/>
      <c r="X75" s="472">
        <f>ROUND(V75,0)</f>
        <v>8</v>
      </c>
      <c r="Y75" s="473">
        <f>X75*IF(J75&gt;0,J75,1)</f>
        <v>400</v>
      </c>
      <c r="Z75" s="474">
        <f>IF(ISERROR(VLOOKUP(L75,Gegenstände!$B$2:$N$2026,13,FALSE)),0,VLOOKUP(L75,Gegenstände!$B$2:$N$2026,13,FALSE))</f>
        <v>20</v>
      </c>
      <c r="AA75" s="142">
        <f>IF(ISERROR(VLOOKUP(N75,Gegenstände!$B$2:$N$2026,13,FALSE)),0,VLOOKUP(N75,Gegenstände!$B$2:$N$2026,13,FALSE))</f>
        <v>25</v>
      </c>
      <c r="AB75" s="142">
        <f>IF(ISERROR(VLOOKUP(P75,Gegenstände!$B$2:$N$2026,13,FALSE)),0,VLOOKUP(P75,Gegenstände!$B$2:$N$2026,13,FALSE))</f>
        <v>0</v>
      </c>
      <c r="AC75" s="142">
        <f>IF(ISERROR(VLOOKUP(R75,Gegenstände!$B$2:$N$2026,13,FALSE)),0,VLOOKUP(R75,Gegenstände!$B$2:$N$2026,13,FALSE))</f>
        <v>0</v>
      </c>
      <c r="AD75" s="142"/>
      <c r="AE75" s="475">
        <f>IF(ISERROR(K75*Z75),"",K75*Z75)</f>
        <v>120</v>
      </c>
      <c r="AF75" s="476">
        <f>IF(ISERROR(M75*AA75+O75*AB75+Q75*AC75),"",M75*AA75+O75*AB75+Q75*AC75)</f>
        <v>125</v>
      </c>
      <c r="AG75" s="128">
        <f t="shared" si="0"/>
        <v>0.3</v>
      </c>
      <c r="AH75" s="128">
        <f t="shared" si="1"/>
        <v>0.3125</v>
      </c>
      <c r="AI75" s="129">
        <f t="shared" si="2"/>
        <v>0.61250000000000004</v>
      </c>
      <c r="AJ75" s="426">
        <f>Y75-(AE75+AF75)</f>
        <v>155</v>
      </c>
      <c r="AK75" s="131">
        <f t="shared" ref="AK75:AK136" si="13">(AJ75*60)/F75</f>
        <v>77.5</v>
      </c>
      <c r="AL75" s="477">
        <f>AK75/VLOOKUP(IF(I75&gt;0,I75,1),Preise!$A$3:$B$27,2,FALSE)</f>
        <v>77.5</v>
      </c>
      <c r="AM75" s="3">
        <f>VLOOKUP(B75,Gegenstände!A:AF,11)</f>
        <v>80</v>
      </c>
      <c r="AN75" s="3">
        <f>IF(ISERROR(VLOOKUP(L75,Gegenstände!$B$2:$N$2026,10,FALSE)),0,VLOOKUP(L75,Gegenstände!$B$2:$N$2026,10,FALSE))*K75+IF(ISERROR(VLOOKUP(N75,Gegenstände!$B$2:$N$2026,10,FALSE)),0,VLOOKUP(N75,Gegenstände!$B$2:$N$2026,10,FALSE))*M75+IF(ISERROR(VLOOKUP(P75,Gegenstände!$B$2:$N$2026,10,FALSE)),0,VLOOKUP(P75,Gegenstände!$B$2:$N$2026,10,FALSE))*O75+IF(ISERROR(VLOOKUP(R75,Gegenstände!$B$2:$N$2026,10,FALSE)),0,VLOOKUP(R75,Gegenstände!$B$2:$N$2026,10,FALSE))*Q75+IF(ISERROR(VLOOKUP(T75,Gegenstände!$B$2:$N$2026,10,FALSE)),0,VLOOKUP(T75,Gegenstände!$B$2:$N$2026,10,FALSE))*S75</f>
        <v>2900</v>
      </c>
      <c r="AO75" s="3">
        <f t="shared" si="12"/>
        <v>60</v>
      </c>
    </row>
    <row r="76" spans="1:41" s="3" customFormat="1" outlineLevel="1" x14ac:dyDescent="0.2">
      <c r="A76" s="5">
        <v>1012</v>
      </c>
      <c r="B76" s="412">
        <v>1012</v>
      </c>
      <c r="C76" s="132" t="str">
        <f>VLOOKUP(B76,Gegenstände!$A$2:$B$2026,2,FALSE)</f>
        <v>Jagdbolzen</v>
      </c>
      <c r="D76" s="133">
        <f>VLOOKUP(B76,Gegenstände!$A39:$D758,4,FALSE)</f>
        <v>6</v>
      </c>
      <c r="E76" s="468">
        <v>32</v>
      </c>
      <c r="F76" s="134">
        <v>120</v>
      </c>
      <c r="G76" s="54">
        <v>2</v>
      </c>
      <c r="H76" s="469">
        <v>65</v>
      </c>
      <c r="I76" s="6">
        <v>5</v>
      </c>
      <c r="J76" s="417">
        <v>50</v>
      </c>
      <c r="K76" s="6">
        <v>6</v>
      </c>
      <c r="L76" s="1" t="s">
        <v>134</v>
      </c>
      <c r="M76" s="87">
        <v>10</v>
      </c>
      <c r="N76" s="83" t="s">
        <v>206</v>
      </c>
      <c r="O76" s="85"/>
      <c r="P76" s="1"/>
      <c r="Q76" s="6"/>
      <c r="R76" s="1"/>
      <c r="S76" s="418"/>
      <c r="T76" s="418"/>
      <c r="U76" s="471">
        <f>VLOOKUP(D76,Preise!$A$3:$C$27,3)</f>
        <v>2.0113571874999994</v>
      </c>
      <c r="V76" s="523">
        <f>U76*$V$74</f>
        <v>16.090857499999995</v>
      </c>
      <c r="W76" s="131"/>
      <c r="X76" s="472">
        <f t="shared" ref="X76:X85" si="14">ROUND(V76,0)</f>
        <v>16</v>
      </c>
      <c r="Y76" s="473">
        <f>X76*IF(J76&gt;0,J76,1)</f>
        <v>800</v>
      </c>
      <c r="Z76" s="474">
        <f>IF(ISERROR(VLOOKUP(L76,Gegenstände!$B$2:$N$2026,13,FALSE)),0,VLOOKUP(L76,Gegenstände!$B$2:$N$2026,13,FALSE))</f>
        <v>40</v>
      </c>
      <c r="AA76" s="142">
        <f>IF(ISERROR(VLOOKUP(N76,Gegenstände!$B$2:$N$2026,13,FALSE)),0,VLOOKUP(N76,Gegenstände!$B$2:$N$2026,13,FALSE))</f>
        <v>25</v>
      </c>
      <c r="AB76" s="142">
        <f>IF(ISERROR(VLOOKUP(P76,Gegenstände!$B$2:$N$2026,13,FALSE)),0,VLOOKUP(P76,Gegenstände!$B$2:$N$2026,13,FALSE))</f>
        <v>0</v>
      </c>
      <c r="AC76" s="142">
        <f>IF(ISERROR(VLOOKUP(R76,Gegenstände!$B$2:$N$2026,13,FALSE)),0,VLOOKUP(R76,Gegenstände!$B$2:$N$2026,13,FALSE))</f>
        <v>0</v>
      </c>
      <c r="AD76" s="142"/>
      <c r="AE76" s="475">
        <f>IF(ISERROR(K76*Z76),"",K76*Z76)</f>
        <v>240</v>
      </c>
      <c r="AF76" s="476">
        <f>IF(ISERROR(M76*AA76+O76*AB76+Q76*AC76),"",M76*AA76+O76*AB76+Q76*AC76)</f>
        <v>250</v>
      </c>
      <c r="AG76" s="128">
        <f t="shared" si="0"/>
        <v>0.3</v>
      </c>
      <c r="AH76" s="128">
        <f t="shared" si="1"/>
        <v>0.3125</v>
      </c>
      <c r="AI76" s="129">
        <f t="shared" si="2"/>
        <v>0.61250000000000004</v>
      </c>
      <c r="AJ76" s="426">
        <f>Y76-(AE76+AF76)</f>
        <v>310</v>
      </c>
      <c r="AK76" s="131">
        <f t="shared" si="13"/>
        <v>155</v>
      </c>
      <c r="AL76" s="477">
        <f>AK76/VLOOKUP(IF(I76&gt;0,I76,1),Preise!$A$3:$B$27,2,FALSE)</f>
        <v>86.111111111111114</v>
      </c>
      <c r="AM76" s="3">
        <f>VLOOKUP(B76,Gegenstände!A:AF,11)</f>
        <v>80</v>
      </c>
      <c r="AN76" s="3">
        <f>IF(ISERROR(VLOOKUP(L76,Gegenstände!$B$2:$N$2026,10,FALSE)),0,VLOOKUP(L76,Gegenstände!$B$2:$N$2026,10,FALSE))*K76+IF(ISERROR(VLOOKUP(N76,Gegenstände!$B$2:$N$2026,10,FALSE)),0,VLOOKUP(N76,Gegenstände!$B$2:$N$2026,10,FALSE))*M76+IF(ISERROR(VLOOKUP(P76,Gegenstände!$B$2:$N$2026,10,FALSE)),0,VLOOKUP(P76,Gegenstände!$B$2:$N$2026,10,FALSE))*O76+IF(ISERROR(VLOOKUP(R76,Gegenstände!$B$2:$N$2026,10,FALSE)),0,VLOOKUP(R76,Gegenstände!$B$2:$N$2026,10,FALSE))*Q76+IF(ISERROR(VLOOKUP(T76,Gegenstände!$B$2:$N$2026,10,FALSE)),0,VLOOKUP(T76,Gegenstände!$B$2:$N$2026,10,FALSE))*S76</f>
        <v>3400</v>
      </c>
      <c r="AO76" s="3">
        <f t="shared" si="12"/>
        <v>70</v>
      </c>
    </row>
    <row r="77" spans="1:41" s="3" customFormat="1" outlineLevel="1" x14ac:dyDescent="0.2">
      <c r="A77" s="5">
        <v>1013</v>
      </c>
      <c r="B77" s="412">
        <v>1013</v>
      </c>
      <c r="C77" s="132" t="str">
        <f>VLOOKUP(B77,Gegenstände!$A$2:$B$2026,2,FALSE)</f>
        <v>Kriegsbolzen</v>
      </c>
      <c r="D77" s="133">
        <f>VLOOKUP(B77,Gegenstände!$A40:$D759,4,FALSE)</f>
        <v>11</v>
      </c>
      <c r="E77" s="468">
        <v>32</v>
      </c>
      <c r="F77" s="134">
        <v>120</v>
      </c>
      <c r="G77" s="54">
        <v>3</v>
      </c>
      <c r="H77" s="469">
        <v>65</v>
      </c>
      <c r="I77" s="6">
        <v>10</v>
      </c>
      <c r="J77" s="417">
        <v>50</v>
      </c>
      <c r="K77" s="6">
        <v>8</v>
      </c>
      <c r="L77" s="1" t="s">
        <v>135</v>
      </c>
      <c r="M77" s="87">
        <v>7</v>
      </c>
      <c r="N77" s="83" t="s">
        <v>206</v>
      </c>
      <c r="O77" s="85">
        <v>2</v>
      </c>
      <c r="P77" s="83" t="s">
        <v>208</v>
      </c>
      <c r="Q77" s="85"/>
      <c r="R77" s="1"/>
      <c r="S77" s="418"/>
      <c r="T77" s="418"/>
      <c r="U77" s="471">
        <f>VLOOKUP(D77,Preise!$A$3:$C$27,3)</f>
        <v>4.0455577357079076</v>
      </c>
      <c r="V77" s="523">
        <f>U77*$V$74</f>
        <v>32.36446188566326</v>
      </c>
      <c r="W77" s="131"/>
      <c r="X77" s="472">
        <f t="shared" si="14"/>
        <v>32</v>
      </c>
      <c r="Y77" s="473">
        <f>X77*IF(J77&gt;0,J77,1)</f>
        <v>1600</v>
      </c>
      <c r="Z77" s="474">
        <f>IF(ISERROR(VLOOKUP(L77,Gegenstände!$B$2:$N$2026,13,FALSE)),0,VLOOKUP(L77,Gegenstände!$B$2:$N$2026,13,FALSE))</f>
        <v>60</v>
      </c>
      <c r="AA77" s="142">
        <f>IF(ISERROR(VLOOKUP(N77,Gegenstände!$B$2:$N$2026,13,FALSE)),0,VLOOKUP(N77,Gegenstände!$B$2:$N$2026,13,FALSE))</f>
        <v>25</v>
      </c>
      <c r="AB77" s="142">
        <f>IF(ISERROR(VLOOKUP(P77,Gegenstände!$B$2:$N$2026,13,FALSE)),0,VLOOKUP(P77,Gegenstände!$B$2:$N$2026,13,FALSE))</f>
        <v>150</v>
      </c>
      <c r="AC77" s="142">
        <f>IF(ISERROR(VLOOKUP(R77,Gegenstände!$B$2:$N$2026,13,FALSE)),0,VLOOKUP(R77,Gegenstände!$B$2:$N$2026,13,FALSE))</f>
        <v>0</v>
      </c>
      <c r="AD77" s="142"/>
      <c r="AE77" s="475">
        <f>IF(ISERROR(K77*Z77),"",K77*Z77)</f>
        <v>480</v>
      </c>
      <c r="AF77" s="476">
        <f>IF(ISERROR(M77*AA77+O77*AB77+Q77*AC77),"",M77*AA77+O77*AB77+Q77*AC77)</f>
        <v>475</v>
      </c>
      <c r="AG77" s="128">
        <f t="shared" si="0"/>
        <v>0.3</v>
      </c>
      <c r="AH77" s="128">
        <f t="shared" si="1"/>
        <v>0.296875</v>
      </c>
      <c r="AI77" s="129">
        <f t="shared" si="2"/>
        <v>0.59687500000000004</v>
      </c>
      <c r="AJ77" s="426">
        <f>Y77-(AE77+AF77)</f>
        <v>645</v>
      </c>
      <c r="AK77" s="131">
        <f t="shared" si="13"/>
        <v>322.5</v>
      </c>
      <c r="AL77" s="477">
        <f>AK77/VLOOKUP(IF(I77&gt;0,I77,1),Preise!$A$3:$B$27,2,FALSE)</f>
        <v>115.17857142857142</v>
      </c>
      <c r="AM77" s="3">
        <f>VLOOKUP(B77,Gegenstände!A:AF,11)</f>
        <v>80</v>
      </c>
      <c r="AN77" s="3">
        <f>IF(ISERROR(VLOOKUP(L77,Gegenstände!$B$2:$N$2026,10,FALSE)),0,VLOOKUP(L77,Gegenstände!$B$2:$N$2026,10,FALSE))*K77+IF(ISERROR(VLOOKUP(N77,Gegenstände!$B$2:$N$2026,10,FALSE)),0,VLOOKUP(N77,Gegenstände!$B$2:$N$2026,10,FALSE))*M77+IF(ISERROR(VLOOKUP(P77,Gegenstände!$B$2:$N$2026,10,FALSE)),0,VLOOKUP(P77,Gegenstände!$B$2:$N$2026,10,FALSE))*O77+IF(ISERROR(VLOOKUP(R77,Gegenstände!$B$2:$N$2026,10,FALSE)),0,VLOOKUP(R77,Gegenstände!$B$2:$N$2026,10,FALSE))*Q77+IF(ISERROR(VLOOKUP(T77,Gegenstände!$B$2:$N$2026,10,FALSE)),0,VLOOKUP(T77,Gegenstände!$B$2:$N$2026,10,FALSE))*S77</f>
        <v>4100</v>
      </c>
      <c r="AO77" s="3">
        <f t="shared" si="12"/>
        <v>80</v>
      </c>
    </row>
    <row r="78" spans="1:41" s="3" customFormat="1" outlineLevel="1" x14ac:dyDescent="0.2">
      <c r="A78" s="5">
        <v>1014</v>
      </c>
      <c r="B78" s="412">
        <v>1014</v>
      </c>
      <c r="C78" s="132" t="str">
        <f>VLOOKUP(B78,Gegenstände!$A$2:$B$2026,2,FALSE)</f>
        <v>Dämonendorn</v>
      </c>
      <c r="D78" s="133">
        <f>VLOOKUP(B78,Gegenstände!$A41:$D760,4,FALSE)</f>
        <v>16</v>
      </c>
      <c r="E78" s="468">
        <v>32</v>
      </c>
      <c r="F78" s="134">
        <v>120</v>
      </c>
      <c r="G78" s="54">
        <v>4</v>
      </c>
      <c r="H78" s="469">
        <v>65</v>
      </c>
      <c r="I78" s="6">
        <v>15</v>
      </c>
      <c r="J78" s="417">
        <v>50</v>
      </c>
      <c r="K78" s="6">
        <v>11</v>
      </c>
      <c r="L78" s="1" t="s">
        <v>136</v>
      </c>
      <c r="M78" s="87">
        <v>10</v>
      </c>
      <c r="N78" s="83" t="s">
        <v>206</v>
      </c>
      <c r="O78" s="85">
        <v>5</v>
      </c>
      <c r="P78" s="83" t="s">
        <v>208</v>
      </c>
      <c r="Q78" s="85"/>
      <c r="R78" s="1"/>
      <c r="S78" s="418"/>
      <c r="T78" s="418"/>
      <c r="U78" s="471">
        <f>VLOOKUP(D78,Preise!$A$3:$C$27,3)</f>
        <v>8.1370616291623215</v>
      </c>
      <c r="V78" s="523">
        <f>U78*$V$74</f>
        <v>65.096493033298572</v>
      </c>
      <c r="W78" s="131"/>
      <c r="X78" s="472">
        <f t="shared" si="14"/>
        <v>65</v>
      </c>
      <c r="Y78" s="473">
        <f>X78*IF(J78&gt;0,J78,1)</f>
        <v>3250</v>
      </c>
      <c r="Z78" s="474">
        <f>IF(ISERROR(VLOOKUP(L78,Gegenstände!$B$2:$N$2026,13,FALSE)),0,VLOOKUP(L78,Gegenstände!$B$2:$N$2026,13,FALSE))</f>
        <v>90</v>
      </c>
      <c r="AA78" s="142">
        <f>IF(ISERROR(VLOOKUP(N78,Gegenstände!$B$2:$N$2026,13,FALSE)),0,VLOOKUP(N78,Gegenstände!$B$2:$N$2026,13,FALSE))</f>
        <v>25</v>
      </c>
      <c r="AB78" s="142">
        <f>IF(ISERROR(VLOOKUP(P78,Gegenstände!$B$2:$N$2026,13,FALSE)),0,VLOOKUP(P78,Gegenstände!$B$2:$N$2026,13,FALSE))</f>
        <v>150</v>
      </c>
      <c r="AC78" s="142">
        <f>IF(ISERROR(VLOOKUP(R78,Gegenstände!$B$2:$N$2026,13,FALSE)),0,VLOOKUP(R78,Gegenstände!$B$2:$N$2026,13,FALSE))</f>
        <v>0</v>
      </c>
      <c r="AD78" s="142"/>
      <c r="AE78" s="475">
        <f>IF(ISERROR(K78*Z78),"",K78*Z78)</f>
        <v>990</v>
      </c>
      <c r="AF78" s="476">
        <f>IF(ISERROR(M78*AA78+O78*AB78+Q78*AC78),"",M78*AA78+O78*AB78+Q78*AC78)</f>
        <v>1000</v>
      </c>
      <c r="AG78" s="128">
        <f t="shared" si="0"/>
        <v>0.30461538461538462</v>
      </c>
      <c r="AH78" s="128">
        <f t="shared" si="1"/>
        <v>0.30769230769230771</v>
      </c>
      <c r="AI78" s="129">
        <f t="shared" si="2"/>
        <v>0.61230769230769233</v>
      </c>
      <c r="AJ78" s="426">
        <f>Y78-(AE78+AF78)</f>
        <v>1260</v>
      </c>
      <c r="AK78" s="131">
        <f t="shared" si="13"/>
        <v>630</v>
      </c>
      <c r="AL78" s="477">
        <f>AK78/VLOOKUP(IF(I78&gt;0,I78,1),Preise!$A$3:$B$27,2,FALSE)</f>
        <v>165.78947368421046</v>
      </c>
      <c r="AM78" s="3">
        <f>VLOOKUP(B78,Gegenstände!A:AF,11)</f>
        <v>80</v>
      </c>
      <c r="AN78" s="3">
        <f>IF(ISERROR(VLOOKUP(L78,Gegenstände!$B$2:$N$2026,10,FALSE)),0,VLOOKUP(L78,Gegenstände!$B$2:$N$2026,10,FALSE))*K78+IF(ISERROR(VLOOKUP(N78,Gegenstände!$B$2:$N$2026,10,FALSE)),0,VLOOKUP(N78,Gegenstände!$B$2:$N$2026,10,FALSE))*M78+IF(ISERROR(VLOOKUP(P78,Gegenstände!$B$2:$N$2026,10,FALSE)),0,VLOOKUP(P78,Gegenstände!$B$2:$N$2026,10,FALSE))*O78+IF(ISERROR(VLOOKUP(R78,Gegenstände!$B$2:$N$2026,10,FALSE)),0,VLOOKUP(R78,Gegenstände!$B$2:$N$2026,10,FALSE))*Q78+IF(ISERROR(VLOOKUP(T78,Gegenstände!$B$2:$N$2026,10,FALSE)),0,VLOOKUP(T78,Gegenstände!$B$2:$N$2026,10,FALSE))*S78</f>
        <v>5900</v>
      </c>
      <c r="AO78" s="3">
        <f t="shared" si="12"/>
        <v>120</v>
      </c>
    </row>
    <row r="79" spans="1:41" s="3" customFormat="1" outlineLevel="1" x14ac:dyDescent="0.2">
      <c r="A79" s="5">
        <v>1015</v>
      </c>
      <c r="B79" s="412">
        <v>1015</v>
      </c>
      <c r="C79" s="132" t="str">
        <f>VLOOKUP(B79,Gegenstände!$A$2:$B$2026,2,FALSE)</f>
        <v>Steinbrecher</v>
      </c>
      <c r="D79" s="133">
        <f>VLOOKUP(B79,Gegenstände!$A42:$D761,4,FALSE)</f>
        <v>21</v>
      </c>
      <c r="E79" s="468">
        <v>32</v>
      </c>
      <c r="F79" s="134">
        <v>120</v>
      </c>
      <c r="G79" s="54">
        <v>5</v>
      </c>
      <c r="H79" s="469">
        <v>65</v>
      </c>
      <c r="I79" s="6">
        <v>20</v>
      </c>
      <c r="J79" s="417">
        <v>50</v>
      </c>
      <c r="K79" s="6">
        <v>16</v>
      </c>
      <c r="L79" s="1" t="s">
        <v>137</v>
      </c>
      <c r="M79" s="87">
        <v>9</v>
      </c>
      <c r="N79" s="83" t="s">
        <v>206</v>
      </c>
      <c r="O79" s="85">
        <v>8</v>
      </c>
      <c r="P79" s="83" t="s">
        <v>208</v>
      </c>
      <c r="Q79" s="85">
        <v>1</v>
      </c>
      <c r="R79" s="83" t="s">
        <v>209</v>
      </c>
      <c r="S79" s="170"/>
      <c r="T79" s="170"/>
      <c r="U79" s="471">
        <f>VLOOKUP(D79,Preise!$A$3:$C$27,3)</f>
        <v>16.366537392946089</v>
      </c>
      <c r="V79" s="523">
        <f>U79*$V$74</f>
        <v>130.93229914356871</v>
      </c>
      <c r="W79" s="131"/>
      <c r="X79" s="472">
        <f t="shared" si="14"/>
        <v>131</v>
      </c>
      <c r="Y79" s="473">
        <f>X79*IF(J79&gt;0,J79,1)</f>
        <v>6550</v>
      </c>
      <c r="Z79" s="474">
        <f>IF(ISERROR(VLOOKUP(L79,Gegenstände!$B$2:$N$2026,13,FALSE)),0,VLOOKUP(L79,Gegenstände!$B$2:$N$2026,13,FALSE))</f>
        <v>120</v>
      </c>
      <c r="AA79" s="142">
        <f>IF(ISERROR(VLOOKUP(N79,Gegenstände!$B$2:$N$2026,13,FALSE)),0,VLOOKUP(N79,Gegenstände!$B$2:$N$2026,13,FALSE))</f>
        <v>25</v>
      </c>
      <c r="AB79" s="142">
        <f>IF(ISERROR(VLOOKUP(P79,Gegenstände!$B$2:$N$2026,13,FALSE)),0,VLOOKUP(P79,Gegenstände!$B$2:$N$2026,13,FALSE))</f>
        <v>150</v>
      </c>
      <c r="AC79" s="142">
        <f>IF(ISERROR(VLOOKUP(R79,Gegenstände!$B$2:$N$2026,13,FALSE)),0,VLOOKUP(R79,Gegenstände!$B$2:$N$2026,13,FALSE))</f>
        <v>500</v>
      </c>
      <c r="AD79" s="142"/>
      <c r="AE79" s="475">
        <f>IF(ISERROR(K79*Z79),"",K79*Z79)</f>
        <v>1920</v>
      </c>
      <c r="AF79" s="476">
        <f>IF(ISERROR(M79*AA79+O79*AB79+Q79*AC79),"",M79*AA79+O79*AB79+Q79*AC79)</f>
        <v>1925</v>
      </c>
      <c r="AG79" s="128">
        <f t="shared" si="0"/>
        <v>0.29312977099236642</v>
      </c>
      <c r="AH79" s="128">
        <f t="shared" si="1"/>
        <v>0.29389312977099236</v>
      </c>
      <c r="AI79" s="129">
        <f t="shared" si="2"/>
        <v>0.58702290076335872</v>
      </c>
      <c r="AJ79" s="426">
        <f>Y79-(AE79+AF79)</f>
        <v>2705</v>
      </c>
      <c r="AK79" s="131">
        <f t="shared" si="13"/>
        <v>1352.5</v>
      </c>
      <c r="AL79" s="477">
        <f>AK79/VLOOKUP(IF(I79&gt;0,I79,1),Preise!$A$3:$B$27,2,FALSE)</f>
        <v>281.77083333333326</v>
      </c>
      <c r="AM79" s="3">
        <f>VLOOKUP(B79,Gegenstände!A:AF,11)</f>
        <v>80</v>
      </c>
      <c r="AN79" s="3">
        <f>IF(ISERROR(VLOOKUP(L79,Gegenstände!$B$2:$N$2026,10,FALSE)),0,VLOOKUP(L79,Gegenstände!$B$2:$N$2026,10,FALSE))*K79+IF(ISERROR(VLOOKUP(N79,Gegenstände!$B$2:$N$2026,10,FALSE)),0,VLOOKUP(N79,Gegenstände!$B$2:$N$2026,10,FALSE))*M79+IF(ISERROR(VLOOKUP(P79,Gegenstände!$B$2:$N$2026,10,FALSE)),0,VLOOKUP(P79,Gegenstände!$B$2:$N$2026,10,FALSE))*O79+IF(ISERROR(VLOOKUP(R79,Gegenstände!$B$2:$N$2026,10,FALSE)),0,VLOOKUP(R79,Gegenstände!$B$2:$N$2026,10,FALSE))*Q79+IF(ISERROR(VLOOKUP(T79,Gegenstände!$B$2:$N$2026,10,FALSE)),0,VLOOKUP(T79,Gegenstände!$B$2:$N$2026,10,FALSE))*S79</f>
        <v>8200</v>
      </c>
      <c r="AO79" s="3">
        <f t="shared" si="12"/>
        <v>165</v>
      </c>
    </row>
    <row r="80" spans="1:41" s="3" customFormat="1" x14ac:dyDescent="0.2">
      <c r="A80" s="501"/>
      <c r="B80" s="502"/>
      <c r="C80" s="264"/>
      <c r="D80" s="503"/>
      <c r="E80" s="504"/>
      <c r="F80" s="505"/>
      <c r="G80" s="240"/>
      <c r="H80" s="506"/>
      <c r="I80" s="240"/>
      <c r="J80" s="507"/>
      <c r="K80" s="861"/>
      <c r="L80" s="861"/>
      <c r="M80" s="861"/>
      <c r="N80" s="861"/>
      <c r="O80" s="861"/>
      <c r="P80" s="861"/>
      <c r="Q80" s="861"/>
      <c r="R80" s="861"/>
      <c r="S80" s="508"/>
      <c r="T80" s="508"/>
      <c r="U80" s="524"/>
      <c r="V80" s="510">
        <v>4</v>
      </c>
      <c r="W80" s="511"/>
      <c r="X80" s="512"/>
      <c r="Y80" s="513"/>
      <c r="Z80" s="514"/>
      <c r="AA80" s="515"/>
      <c r="AB80" s="515"/>
      <c r="AC80" s="515"/>
      <c r="AD80" s="515"/>
      <c r="AE80" s="516"/>
      <c r="AF80" s="517"/>
      <c r="AG80" s="518"/>
      <c r="AH80" s="518"/>
      <c r="AI80" s="519"/>
      <c r="AJ80" s="520"/>
      <c r="AK80" s="521"/>
      <c r="AL80" s="522"/>
    </row>
    <row r="81" spans="1:41" s="3" customFormat="1" outlineLevel="1" x14ac:dyDescent="0.2">
      <c r="A81" s="5">
        <v>1021</v>
      </c>
      <c r="B81" s="412">
        <v>1021</v>
      </c>
      <c r="C81" s="132" t="str">
        <f>VLOOKUP(B81,Gegenstände!$A$2:$B$2026,2,FALSE)</f>
        <v>Magieessenz</v>
      </c>
      <c r="D81" s="133">
        <f>VLOOKUP(B81,Gegenstände!$A44:$D763,4,FALSE)</f>
        <v>1</v>
      </c>
      <c r="E81" s="468">
        <v>34</v>
      </c>
      <c r="F81" s="134">
        <v>120</v>
      </c>
      <c r="G81" s="54">
        <v>1</v>
      </c>
      <c r="H81" s="469">
        <v>67</v>
      </c>
      <c r="I81" s="6">
        <v>0</v>
      </c>
      <c r="J81" s="417">
        <v>100</v>
      </c>
      <c r="K81" s="6">
        <v>6</v>
      </c>
      <c r="L81" s="3" t="s">
        <v>169</v>
      </c>
      <c r="M81" s="85">
        <v>2</v>
      </c>
      <c r="N81" s="83" t="s">
        <v>202</v>
      </c>
      <c r="O81" s="85"/>
      <c r="P81" s="1"/>
      <c r="Q81" s="6"/>
      <c r="R81" s="1"/>
      <c r="S81" s="418"/>
      <c r="T81" s="418"/>
      <c r="U81" s="471">
        <f>VLOOKUP(D81,Preise!$A$3:$C$27,3)</f>
        <v>1</v>
      </c>
      <c r="V81" s="523">
        <f>U81*$V$80</f>
        <v>4</v>
      </c>
      <c r="W81" s="131"/>
      <c r="X81" s="472">
        <f t="shared" si="14"/>
        <v>4</v>
      </c>
      <c r="Y81" s="473">
        <f>X81*IF(J81&gt;0,J81,1)</f>
        <v>400</v>
      </c>
      <c r="Z81" s="474">
        <f>IF(ISERROR(VLOOKUP(L81,Gegenstände!$B$2:$N$2026,13,FALSE)),0,VLOOKUP(L81,Gegenstände!$B$2:$N$2026,13,FALSE))</f>
        <v>20</v>
      </c>
      <c r="AA81" s="142">
        <f>IF(ISERROR(VLOOKUP(N81,Gegenstände!$B$2:$N$2026,13,FALSE)),0,VLOOKUP(N81,Gegenstände!$B$2:$N$2026,13,FALSE))</f>
        <v>60</v>
      </c>
      <c r="AB81" s="142">
        <f>IF(ISERROR(VLOOKUP(P81,Gegenstände!$B$2:$N$2026,13,FALSE)),0,VLOOKUP(P81,Gegenstände!$B$2:$N$2026,13,FALSE))</f>
        <v>0</v>
      </c>
      <c r="AC81" s="142">
        <f>IF(ISERROR(VLOOKUP(R81,Gegenstände!$B$2:$N$2026,13,FALSE)),0,VLOOKUP(R81,Gegenstände!$B$2:$N$2026,13,FALSE))</f>
        <v>0</v>
      </c>
      <c r="AD81" s="142"/>
      <c r="AE81" s="475">
        <f>IF(ISERROR(K81*Z81),"",K81*Z81)</f>
        <v>120</v>
      </c>
      <c r="AF81" s="476">
        <f>IF(ISERROR(M81*AA81+O81*AB81+Q81*AC81),"",M81*AA81+O81*AB81+Q81*AC81)</f>
        <v>120</v>
      </c>
      <c r="AG81" s="128">
        <f t="shared" si="0"/>
        <v>0.3</v>
      </c>
      <c r="AH81" s="128">
        <f t="shared" si="1"/>
        <v>0.3</v>
      </c>
      <c r="AI81" s="129">
        <f t="shared" si="2"/>
        <v>0.6</v>
      </c>
      <c r="AJ81" s="426">
        <f>Y81-(AE81+AF81)</f>
        <v>160</v>
      </c>
      <c r="AK81" s="131">
        <f t="shared" si="13"/>
        <v>80</v>
      </c>
      <c r="AL81" s="477">
        <f>AK81/VLOOKUP(IF(I81&gt;0,I81,1),Preise!$A$3:$B$27,2,FALSE)</f>
        <v>80</v>
      </c>
      <c r="AM81" s="3">
        <f>VLOOKUP(B81,Gegenstände!A:AF,11)</f>
        <v>30</v>
      </c>
      <c r="AN81" s="3">
        <f>IF(ISERROR(VLOOKUP(L81,Gegenstände!$B$2:$N$2026,10,FALSE)),0,VLOOKUP(L81,Gegenstände!$B$2:$N$2026,10,FALSE))*K81+IF(ISERROR(VLOOKUP(N81,Gegenstände!$B$2:$N$2026,10,FALSE)),0,VLOOKUP(N81,Gegenstände!$B$2:$N$2026,10,FALSE))*M81+IF(ISERROR(VLOOKUP(P81,Gegenstände!$B$2:$N$2026,10,FALSE)),0,VLOOKUP(P81,Gegenstände!$B$2:$N$2026,10,FALSE))*O81+IF(ISERROR(VLOOKUP(R81,Gegenstände!$B$2:$N$2026,10,FALSE)),0,VLOOKUP(R81,Gegenstände!$B$2:$N$2026,10,FALSE))*Q81+IF(ISERROR(VLOOKUP(T81,Gegenstände!$B$2:$N$2026,10,FALSE)),0,VLOOKUP(T81,Gegenstände!$B$2:$N$2026,10,FALSE))*S81</f>
        <v>800</v>
      </c>
      <c r="AO81" s="3">
        <f t="shared" si="12"/>
        <v>10</v>
      </c>
    </row>
    <row r="82" spans="1:41" s="3" customFormat="1" outlineLevel="1" x14ac:dyDescent="0.2">
      <c r="A82" s="5">
        <v>1022</v>
      </c>
      <c r="B82" s="412">
        <v>1022</v>
      </c>
      <c r="C82" s="132" t="str">
        <f>VLOOKUP(B82,Gegenstände!$A$2:$B$2026,2,FALSE)</f>
        <v>Todesessenz</v>
      </c>
      <c r="D82" s="133">
        <f>VLOOKUP(B82,Gegenstände!$A45:$D764,4,FALSE)</f>
        <v>6</v>
      </c>
      <c r="E82" s="468">
        <v>34</v>
      </c>
      <c r="F82" s="134">
        <v>120</v>
      </c>
      <c r="G82" s="54">
        <v>2</v>
      </c>
      <c r="H82" s="469">
        <v>67</v>
      </c>
      <c r="I82" s="6">
        <v>5</v>
      </c>
      <c r="J82" s="417">
        <v>100</v>
      </c>
      <c r="K82" s="6">
        <v>6</v>
      </c>
      <c r="L82" s="3" t="s">
        <v>171</v>
      </c>
      <c r="M82" s="85">
        <v>4</v>
      </c>
      <c r="N82" s="83" t="s">
        <v>202</v>
      </c>
      <c r="O82" s="85"/>
      <c r="P82" s="1"/>
      <c r="Q82" s="6"/>
      <c r="R82" s="1"/>
      <c r="S82" s="418"/>
      <c r="T82" s="418"/>
      <c r="U82" s="471">
        <f>VLOOKUP(D82,Preise!$A$3:$C$27,3)</f>
        <v>2.0113571874999994</v>
      </c>
      <c r="V82" s="523">
        <f>U82*$V$80</f>
        <v>8.0454287499999975</v>
      </c>
      <c r="W82" s="131"/>
      <c r="X82" s="472">
        <f t="shared" si="14"/>
        <v>8</v>
      </c>
      <c r="Y82" s="473">
        <f>X82*IF(J82&gt;0,J82,1)</f>
        <v>800</v>
      </c>
      <c r="Z82" s="474">
        <f>IF(ISERROR(VLOOKUP(L82,Gegenstände!$B$2:$N$2026,13,FALSE)),0,VLOOKUP(L82,Gegenstände!$B$2:$N$2026,13,FALSE))</f>
        <v>40</v>
      </c>
      <c r="AA82" s="142">
        <f>IF(ISERROR(VLOOKUP(N82,Gegenstände!$B$2:$N$2026,13,FALSE)),0,VLOOKUP(N82,Gegenstände!$B$2:$N$2026,13,FALSE))</f>
        <v>60</v>
      </c>
      <c r="AB82" s="142">
        <f>IF(ISERROR(VLOOKUP(P82,Gegenstände!$B$2:$N$2026,13,FALSE)),0,VLOOKUP(P82,Gegenstände!$B$2:$N$2026,13,FALSE))</f>
        <v>0</v>
      </c>
      <c r="AC82" s="142">
        <f>IF(ISERROR(VLOOKUP(R82,Gegenstände!$B$2:$N$2026,13,FALSE)),0,VLOOKUP(R82,Gegenstände!$B$2:$N$2026,13,FALSE))</f>
        <v>0</v>
      </c>
      <c r="AD82" s="142"/>
      <c r="AE82" s="475">
        <f>IF(ISERROR(K82*Z82),"",K82*Z82)</f>
        <v>240</v>
      </c>
      <c r="AF82" s="476">
        <f>IF(ISERROR(M82*AA82+O82*AB82+Q82*AC82),"",M82*AA82+O82*AB82+Q82*AC82)</f>
        <v>240</v>
      </c>
      <c r="AG82" s="128">
        <f t="shared" si="0"/>
        <v>0.3</v>
      </c>
      <c r="AH82" s="128">
        <f t="shared" si="1"/>
        <v>0.3</v>
      </c>
      <c r="AI82" s="129">
        <f t="shared" si="2"/>
        <v>0.6</v>
      </c>
      <c r="AJ82" s="426">
        <f>Y82-(AE82+AF82)</f>
        <v>320</v>
      </c>
      <c r="AK82" s="131">
        <f t="shared" si="13"/>
        <v>160</v>
      </c>
      <c r="AL82" s="477">
        <f>AK82/VLOOKUP(IF(I82&gt;0,I82,1),Preise!$A$3:$B$27,2,FALSE)</f>
        <v>88.8888888888889</v>
      </c>
      <c r="AM82" s="3">
        <f>VLOOKUP(B82,Gegenstände!A:AF,11)</f>
        <v>30</v>
      </c>
      <c r="AN82" s="3">
        <f>IF(ISERROR(VLOOKUP(L82,Gegenstände!$B$2:$N$2026,10,FALSE)),0,VLOOKUP(L82,Gegenstände!$B$2:$N$2026,10,FALSE))*K82+IF(ISERROR(VLOOKUP(N82,Gegenstände!$B$2:$N$2026,10,FALSE)),0,VLOOKUP(N82,Gegenstände!$B$2:$N$2026,10,FALSE))*M82+IF(ISERROR(VLOOKUP(P82,Gegenstände!$B$2:$N$2026,10,FALSE)),0,VLOOKUP(P82,Gegenstände!$B$2:$N$2026,10,FALSE))*O82+IF(ISERROR(VLOOKUP(R82,Gegenstände!$B$2:$N$2026,10,FALSE)),0,VLOOKUP(R82,Gegenstände!$B$2:$N$2026,10,FALSE))*Q82+IF(ISERROR(VLOOKUP(T82,Gegenstände!$B$2:$N$2026,10,FALSE)),0,VLOOKUP(T82,Gegenstände!$B$2:$N$2026,10,FALSE))*S82</f>
        <v>1000</v>
      </c>
      <c r="AO82" s="3">
        <f t="shared" si="12"/>
        <v>10</v>
      </c>
    </row>
    <row r="83" spans="1:41" s="3" customFormat="1" outlineLevel="1" x14ac:dyDescent="0.2">
      <c r="A83" s="5">
        <v>1023</v>
      </c>
      <c r="B83" s="412">
        <v>1023</v>
      </c>
      <c r="C83" s="132" t="str">
        <f>VLOOKUP(B83,Gegenstände!$A$2:$B$2026,2,FALSE)</f>
        <v>Schattenessenz</v>
      </c>
      <c r="D83" s="133">
        <f>VLOOKUP(B83,Gegenstände!$A46:$D765,4,FALSE)</f>
        <v>11</v>
      </c>
      <c r="E83" s="468">
        <v>34</v>
      </c>
      <c r="F83" s="134">
        <v>120</v>
      </c>
      <c r="G83" s="54">
        <v>3</v>
      </c>
      <c r="H83" s="469">
        <v>67</v>
      </c>
      <c r="I83" s="6">
        <v>10</v>
      </c>
      <c r="J83" s="417">
        <v>100</v>
      </c>
      <c r="K83" s="6">
        <v>8</v>
      </c>
      <c r="L83" s="3" t="s">
        <v>172</v>
      </c>
      <c r="M83" s="85">
        <v>5</v>
      </c>
      <c r="N83" s="83" t="s">
        <v>202</v>
      </c>
      <c r="O83" s="85">
        <v>1</v>
      </c>
      <c r="P83" s="84" t="s">
        <v>204</v>
      </c>
      <c r="Q83" s="87"/>
      <c r="R83" s="84"/>
      <c r="S83" s="418"/>
      <c r="T83" s="418"/>
      <c r="U83" s="471">
        <f>VLOOKUP(D83,Preise!$A$3:$C$27,3)</f>
        <v>4.0455577357079076</v>
      </c>
      <c r="V83" s="523">
        <f>U83*$V$80</f>
        <v>16.18223094283163</v>
      </c>
      <c r="W83" s="131"/>
      <c r="X83" s="472">
        <f t="shared" si="14"/>
        <v>16</v>
      </c>
      <c r="Y83" s="473">
        <f>X83*IF(J83&gt;0,J83,1)</f>
        <v>1600</v>
      </c>
      <c r="Z83" s="474">
        <f>IF(ISERROR(VLOOKUP(L83,Gegenstände!$B$2:$N$2026,13,FALSE)),0,VLOOKUP(L83,Gegenstände!$B$2:$N$2026,13,FALSE))</f>
        <v>60</v>
      </c>
      <c r="AA83" s="142">
        <f>IF(ISERROR(VLOOKUP(N83,Gegenstände!$B$2:$N$2026,13,FALSE)),0,VLOOKUP(N83,Gegenstände!$B$2:$N$2026,13,FALSE))</f>
        <v>60</v>
      </c>
      <c r="AB83" s="142">
        <f>IF(ISERROR(VLOOKUP(P83,Gegenstände!$B$2:$N$2026,13,FALSE)),0,VLOOKUP(P83,Gegenstände!$B$2:$N$2026,13,FALSE))</f>
        <v>200</v>
      </c>
      <c r="AC83" s="142">
        <f>IF(ISERROR(VLOOKUP(R83,Gegenstände!$B$2:$N$2026,13,FALSE)),0,VLOOKUP(R83,Gegenstände!$B$2:$N$2026,13,FALSE))</f>
        <v>0</v>
      </c>
      <c r="AD83" s="142"/>
      <c r="AE83" s="475">
        <f>IF(ISERROR(K83*Z83),"",K83*Z83)</f>
        <v>480</v>
      </c>
      <c r="AF83" s="476">
        <f>IF(ISERROR(M83*AA83+O83*AB83+Q83*AC83),"",M83*AA83+O83*AB83+Q83*AC83)</f>
        <v>500</v>
      </c>
      <c r="AG83" s="128">
        <f t="shared" si="0"/>
        <v>0.3</v>
      </c>
      <c r="AH83" s="128">
        <f t="shared" si="1"/>
        <v>0.3125</v>
      </c>
      <c r="AI83" s="129">
        <f t="shared" si="2"/>
        <v>0.61250000000000004</v>
      </c>
      <c r="AJ83" s="426">
        <f>Y83-(AE83+AF83)</f>
        <v>620</v>
      </c>
      <c r="AK83" s="131">
        <f t="shared" si="13"/>
        <v>310</v>
      </c>
      <c r="AL83" s="477">
        <f>AK83/VLOOKUP(IF(I83&gt;0,I83,1),Preise!$A$3:$B$27,2,FALSE)</f>
        <v>110.71428571428571</v>
      </c>
      <c r="AM83" s="3">
        <f>VLOOKUP(B83,Gegenstände!A:AF,11)</f>
        <v>30</v>
      </c>
      <c r="AN83" s="3">
        <f>IF(ISERROR(VLOOKUP(L83,Gegenstände!$B$2:$N$2026,10,FALSE)),0,VLOOKUP(L83,Gegenstände!$B$2:$N$2026,10,FALSE))*K83+IF(ISERROR(VLOOKUP(N83,Gegenstände!$B$2:$N$2026,10,FALSE)),0,VLOOKUP(N83,Gegenstände!$B$2:$N$2026,10,FALSE))*M83+IF(ISERROR(VLOOKUP(P83,Gegenstände!$B$2:$N$2026,10,FALSE)),0,VLOOKUP(P83,Gegenstände!$B$2:$N$2026,10,FALSE))*O83+IF(ISERROR(VLOOKUP(R83,Gegenstände!$B$2:$N$2026,10,FALSE)),0,VLOOKUP(R83,Gegenstände!$B$2:$N$2026,10,FALSE))*Q83+IF(ISERROR(VLOOKUP(T83,Gegenstände!$B$2:$N$2026,10,FALSE)),0,VLOOKUP(T83,Gegenstände!$B$2:$N$2026,10,FALSE))*S83</f>
        <v>1400</v>
      </c>
      <c r="AO83" s="3">
        <f t="shared" si="12"/>
        <v>15</v>
      </c>
    </row>
    <row r="84" spans="1:41" s="3" customFormat="1" outlineLevel="1" x14ac:dyDescent="0.2">
      <c r="A84" s="5">
        <v>1024</v>
      </c>
      <c r="B84" s="412">
        <v>1024</v>
      </c>
      <c r="C84" s="132" t="str">
        <f>VLOOKUP(B84,Gegenstände!$A$2:$B$2026,2,FALSE)</f>
        <v>Mondessenz</v>
      </c>
      <c r="D84" s="133">
        <f>VLOOKUP(B84,Gegenstände!$A47:$D766,4,FALSE)</f>
        <v>16</v>
      </c>
      <c r="E84" s="468">
        <v>34</v>
      </c>
      <c r="F84" s="134">
        <v>120</v>
      </c>
      <c r="G84" s="54">
        <v>4</v>
      </c>
      <c r="H84" s="469">
        <v>67</v>
      </c>
      <c r="I84" s="6">
        <v>15</v>
      </c>
      <c r="J84" s="417">
        <v>100</v>
      </c>
      <c r="K84" s="6">
        <v>11</v>
      </c>
      <c r="L84" s="3" t="s">
        <v>173</v>
      </c>
      <c r="M84" s="85">
        <v>7</v>
      </c>
      <c r="N84" s="83" t="s">
        <v>202</v>
      </c>
      <c r="O84" s="85">
        <v>3</v>
      </c>
      <c r="P84" s="84" t="s">
        <v>204</v>
      </c>
      <c r="Q84" s="87"/>
      <c r="R84" s="84"/>
      <c r="S84" s="418"/>
      <c r="T84" s="418"/>
      <c r="U84" s="471">
        <f>VLOOKUP(D84,Preise!$A$3:$C$27,3)</f>
        <v>8.1370616291623215</v>
      </c>
      <c r="V84" s="523">
        <f>U84*$V$80</f>
        <v>32.548246516649286</v>
      </c>
      <c r="W84" s="131"/>
      <c r="X84" s="472">
        <f t="shared" si="14"/>
        <v>33</v>
      </c>
      <c r="Y84" s="473">
        <f>X84*IF(J84&gt;0,J84,1)</f>
        <v>3300</v>
      </c>
      <c r="Z84" s="474">
        <f>IF(ISERROR(VLOOKUP(L84,Gegenstände!$B$2:$N$2026,13,FALSE)),0,VLOOKUP(L84,Gegenstände!$B$2:$N$2026,13,FALSE))</f>
        <v>90</v>
      </c>
      <c r="AA84" s="142">
        <f>IF(ISERROR(VLOOKUP(N84,Gegenstände!$B$2:$N$2026,13,FALSE)),0,VLOOKUP(N84,Gegenstände!$B$2:$N$2026,13,FALSE))</f>
        <v>60</v>
      </c>
      <c r="AB84" s="142">
        <f>IF(ISERROR(VLOOKUP(P84,Gegenstände!$B$2:$N$2026,13,FALSE)),0,VLOOKUP(P84,Gegenstände!$B$2:$N$2026,13,FALSE))</f>
        <v>200</v>
      </c>
      <c r="AC84" s="142">
        <f>IF(ISERROR(VLOOKUP(R84,Gegenstände!$B$2:$N$2026,13,FALSE)),0,VLOOKUP(R84,Gegenstände!$B$2:$N$2026,13,FALSE))</f>
        <v>0</v>
      </c>
      <c r="AD84" s="142"/>
      <c r="AE84" s="475">
        <f>IF(ISERROR(K84*Z84),"",K84*Z84)</f>
        <v>990</v>
      </c>
      <c r="AF84" s="476">
        <f>IF(ISERROR(M84*AA84+O84*AB84+Q84*AC84),"",M84*AA84+O84*AB84+Q84*AC84)</f>
        <v>1020</v>
      </c>
      <c r="AG84" s="128">
        <f t="shared" si="0"/>
        <v>0.3</v>
      </c>
      <c r="AH84" s="128">
        <f t="shared" si="1"/>
        <v>0.30909090909090908</v>
      </c>
      <c r="AI84" s="129">
        <f t="shared" si="2"/>
        <v>0.60909090909090913</v>
      </c>
      <c r="AJ84" s="426">
        <f>Y84-(AE84+AF84)</f>
        <v>1290</v>
      </c>
      <c r="AK84" s="131">
        <f t="shared" si="13"/>
        <v>645</v>
      </c>
      <c r="AL84" s="477">
        <f>AK84/VLOOKUP(IF(I84&gt;0,I84,1),Preise!$A$3:$B$27,2,FALSE)</f>
        <v>169.73684210526309</v>
      </c>
      <c r="AM84" s="3">
        <f>VLOOKUP(B84,Gegenstände!A:AF,11)</f>
        <v>30</v>
      </c>
      <c r="AN84" s="3">
        <f>IF(ISERROR(VLOOKUP(L84,Gegenstände!$B$2:$N$2026,10,FALSE)),0,VLOOKUP(L84,Gegenstände!$B$2:$N$2026,10,FALSE))*K84+IF(ISERROR(VLOOKUP(N84,Gegenstände!$B$2:$N$2026,10,FALSE)),0,VLOOKUP(N84,Gegenstände!$B$2:$N$2026,10,FALSE))*M84+IF(ISERROR(VLOOKUP(P84,Gegenstände!$B$2:$N$2026,10,FALSE)),0,VLOOKUP(P84,Gegenstände!$B$2:$N$2026,10,FALSE))*O84+IF(ISERROR(VLOOKUP(R84,Gegenstände!$B$2:$N$2026,10,FALSE)),0,VLOOKUP(R84,Gegenstände!$B$2:$N$2026,10,FALSE))*Q84+IF(ISERROR(VLOOKUP(T84,Gegenstände!$B$2:$N$2026,10,FALSE)),0,VLOOKUP(T84,Gegenstände!$B$2:$N$2026,10,FALSE))*S84</f>
        <v>2100</v>
      </c>
      <c r="AO84" s="3">
        <f t="shared" si="12"/>
        <v>20</v>
      </c>
    </row>
    <row r="85" spans="1:41" s="3" customFormat="1" outlineLevel="1" x14ac:dyDescent="0.2">
      <c r="A85" s="5">
        <v>1025</v>
      </c>
      <c r="B85" s="412">
        <v>1025</v>
      </c>
      <c r="C85" s="132" t="str">
        <f>VLOOKUP(B85,Gegenstände!$A$2:$B$2026,2,FALSE)</f>
        <v>Sternenessenz</v>
      </c>
      <c r="D85" s="133">
        <f>VLOOKUP(B85,Gegenstände!$A48:$D767,4,FALSE)</f>
        <v>21</v>
      </c>
      <c r="E85" s="468">
        <v>34</v>
      </c>
      <c r="F85" s="134">
        <v>120</v>
      </c>
      <c r="G85" s="54">
        <v>5</v>
      </c>
      <c r="H85" s="469">
        <v>67</v>
      </c>
      <c r="I85" s="6">
        <v>20</v>
      </c>
      <c r="J85" s="417">
        <v>100</v>
      </c>
      <c r="K85" s="6">
        <v>16</v>
      </c>
      <c r="L85" s="3" t="s">
        <v>174</v>
      </c>
      <c r="M85" s="85">
        <v>8</v>
      </c>
      <c r="N85" s="83" t="s">
        <v>202</v>
      </c>
      <c r="O85" s="85">
        <v>5</v>
      </c>
      <c r="P85" s="84" t="s">
        <v>204</v>
      </c>
      <c r="Q85" s="87">
        <v>1</v>
      </c>
      <c r="R85" s="83" t="s">
        <v>205</v>
      </c>
      <c r="S85" s="170"/>
      <c r="T85" s="170"/>
      <c r="U85" s="471">
        <f>VLOOKUP(D85,Preise!$A$3:$C$27,3)</f>
        <v>16.366537392946089</v>
      </c>
      <c r="V85" s="523">
        <f>U85*$V$80</f>
        <v>65.466149571784356</v>
      </c>
      <c r="W85" s="131"/>
      <c r="X85" s="472">
        <f t="shared" si="14"/>
        <v>65</v>
      </c>
      <c r="Y85" s="473">
        <f>X85*IF(J85&gt;0,J85,1)</f>
        <v>6500</v>
      </c>
      <c r="Z85" s="474">
        <f>IF(ISERROR(VLOOKUP(L85,Gegenstände!$B$2:$N$2026,13,FALSE)),0,VLOOKUP(L85,Gegenstände!$B$2:$N$2026,13,FALSE))</f>
        <v>120</v>
      </c>
      <c r="AA85" s="142">
        <f>IF(ISERROR(VLOOKUP(N85,Gegenstände!$B$2:$N$2026,13,FALSE)),0,VLOOKUP(N85,Gegenstände!$B$2:$N$2026,13,FALSE))</f>
        <v>60</v>
      </c>
      <c r="AB85" s="142">
        <f>IF(ISERROR(VLOOKUP(P85,Gegenstände!$B$2:$N$2026,13,FALSE)),0,VLOOKUP(P85,Gegenstände!$B$2:$N$2026,13,FALSE))</f>
        <v>200</v>
      </c>
      <c r="AC85" s="142">
        <f>IF(ISERROR(VLOOKUP(R85,Gegenstände!$B$2:$N$2026,13,FALSE)),0,VLOOKUP(R85,Gegenstände!$B$2:$N$2026,13,FALSE))</f>
        <v>500</v>
      </c>
      <c r="AD85" s="142"/>
      <c r="AE85" s="475">
        <f>IF(ISERROR(K85*Z85),"",K85*Z85)</f>
        <v>1920</v>
      </c>
      <c r="AF85" s="476">
        <f>IF(ISERROR(M85*AA85+O85*AB85+Q85*AC85),"",M85*AA85+O85*AB85+Q85*AC85)</f>
        <v>1980</v>
      </c>
      <c r="AG85" s="128">
        <f t="shared" si="0"/>
        <v>0.29538461538461541</v>
      </c>
      <c r="AH85" s="128">
        <f t="shared" si="1"/>
        <v>0.30461538461538462</v>
      </c>
      <c r="AI85" s="129">
        <f t="shared" si="2"/>
        <v>0.6</v>
      </c>
      <c r="AJ85" s="426">
        <f>Y85-(AE85+AF85)</f>
        <v>2600</v>
      </c>
      <c r="AK85" s="131">
        <f t="shared" si="13"/>
        <v>1300</v>
      </c>
      <c r="AL85" s="477">
        <f>AK85/VLOOKUP(IF(I85&gt;0,I85,1),Preise!$A$3:$B$27,2,FALSE)</f>
        <v>270.83333333333326</v>
      </c>
      <c r="AM85" s="3">
        <f>VLOOKUP(B85,Gegenstände!A:AF,11)</f>
        <v>30</v>
      </c>
      <c r="AN85" s="3">
        <f>IF(ISERROR(VLOOKUP(L85,Gegenstände!$B$2:$N$2026,10,FALSE)),0,VLOOKUP(L85,Gegenstände!$B$2:$N$2026,10,FALSE))*K85+IF(ISERROR(VLOOKUP(N85,Gegenstände!$B$2:$N$2026,10,FALSE)),0,VLOOKUP(N85,Gegenstände!$B$2:$N$2026,10,FALSE))*M85+IF(ISERROR(VLOOKUP(P85,Gegenstände!$B$2:$N$2026,10,FALSE)),0,VLOOKUP(P85,Gegenstände!$B$2:$N$2026,10,FALSE))*O85+IF(ISERROR(VLOOKUP(R85,Gegenstände!$B$2:$N$2026,10,FALSE)),0,VLOOKUP(R85,Gegenstände!$B$2:$N$2026,10,FALSE))*Q85+IF(ISERROR(VLOOKUP(T85,Gegenstände!$B$2:$N$2026,10,FALSE)),0,VLOOKUP(T85,Gegenstände!$B$2:$N$2026,10,FALSE))*S85</f>
        <v>3000</v>
      </c>
      <c r="AO85" s="3">
        <f t="shared" si="12"/>
        <v>30</v>
      </c>
    </row>
    <row r="86" spans="1:41" s="3" customFormat="1" x14ac:dyDescent="0.2">
      <c r="A86" s="525"/>
      <c r="B86" s="526"/>
      <c r="C86" s="286"/>
      <c r="D86" s="396"/>
      <c r="E86" s="527"/>
      <c r="F86" s="528"/>
      <c r="G86" s="322"/>
      <c r="H86" s="529"/>
      <c r="I86" s="530"/>
      <c r="J86" s="531"/>
      <c r="K86" s="530"/>
      <c r="L86" s="532"/>
      <c r="M86" s="533"/>
      <c r="N86" s="532"/>
      <c r="O86" s="530"/>
      <c r="P86" s="532"/>
      <c r="Q86" s="530"/>
      <c r="R86" s="532"/>
      <c r="S86" s="534"/>
      <c r="T86" s="535"/>
      <c r="U86" s="536"/>
      <c r="V86" s="537">
        <v>1200</v>
      </c>
      <c r="W86" s="538"/>
      <c r="X86" s="539"/>
      <c r="Y86" s="540"/>
      <c r="Z86" s="541"/>
      <c r="AA86" s="542"/>
      <c r="AB86" s="542"/>
      <c r="AC86" s="542"/>
      <c r="AD86" s="542"/>
      <c r="AE86" s="543"/>
      <c r="AF86" s="544"/>
      <c r="AG86" s="545"/>
      <c r="AH86" s="545"/>
      <c r="AI86" s="546"/>
      <c r="AJ86" s="547"/>
      <c r="AK86" s="548"/>
      <c r="AL86" s="549"/>
    </row>
    <row r="87" spans="1:41" s="3" customFormat="1" outlineLevel="1" x14ac:dyDescent="0.2">
      <c r="A87" s="5">
        <v>1101</v>
      </c>
      <c r="B87" s="412">
        <v>1101</v>
      </c>
      <c r="C87" s="132" t="str">
        <f>VLOOKUP(B87,Gegenstände!$A50:$B769,2,FALSE)</f>
        <v>Kurzschwert</v>
      </c>
      <c r="D87" s="133">
        <f>VLOOKUP(B87,Gegenstände!$A50:$D769,4,FALSE)</f>
        <v>1</v>
      </c>
      <c r="E87" s="468">
        <v>30</v>
      </c>
      <c r="F87" s="134">
        <v>420</v>
      </c>
      <c r="G87" s="54">
        <v>1</v>
      </c>
      <c r="H87" s="469">
        <v>56</v>
      </c>
      <c r="I87" s="6">
        <v>0</v>
      </c>
      <c r="J87" s="417"/>
      <c r="K87" s="6">
        <v>7</v>
      </c>
      <c r="L87" s="1" t="s">
        <v>113</v>
      </c>
      <c r="M87" s="87">
        <v>5</v>
      </c>
      <c r="N87" s="83" t="s">
        <v>176</v>
      </c>
      <c r="O87" s="85"/>
      <c r="P87" s="1"/>
      <c r="Q87" s="6"/>
      <c r="R87" s="1"/>
      <c r="S87" s="418"/>
      <c r="T87" s="418"/>
      <c r="U87" s="471">
        <f>VLOOKUP(D87,Preise!$A$3:$C$27,3)</f>
        <v>1</v>
      </c>
      <c r="V87" s="523">
        <f t="shared" ref="V87:V96" si="15">U87*$V$86</f>
        <v>1200</v>
      </c>
      <c r="W87" s="131"/>
      <c r="X87" s="472">
        <f t="shared" ref="X87:X96" si="16">ROUND((V87/100),0)*100</f>
        <v>1200</v>
      </c>
      <c r="Y87" s="473">
        <f t="shared" ref="Y87:Y96" si="17">X87*IF(J87&gt;0,J87,1)</f>
        <v>1200</v>
      </c>
      <c r="Z87" s="474">
        <f>IF(ISERROR(VLOOKUP(L87,Gegenstände!$B$2:$N$2026,13,FALSE)),0,VLOOKUP(L87,Gegenstände!$B$2:$N$2026,13,FALSE))</f>
        <v>60</v>
      </c>
      <c r="AA87" s="142">
        <f>IF(ISERROR(VLOOKUP(N87,Gegenstände!$B$2:$N$2026,13,FALSE)),0,VLOOKUP(N87,Gegenstände!$B$2:$N$2026,13,FALSE))</f>
        <v>80</v>
      </c>
      <c r="AB87" s="142">
        <f>IF(ISERROR(VLOOKUP(P87,Gegenstände!$B$2:$N$2026,13,FALSE)),0,VLOOKUP(P87,Gegenstände!$B$2:$N$2026,13,FALSE))</f>
        <v>0</v>
      </c>
      <c r="AC87" s="142">
        <f>IF(ISERROR(VLOOKUP(R87,Gegenstände!$B$2:$N$2026,13,FALSE)),0,VLOOKUP(R87,Gegenstände!$B$2:$N$2026,13,FALSE))</f>
        <v>0</v>
      </c>
      <c r="AD87" s="142"/>
      <c r="AE87" s="475">
        <f t="shared" ref="AE87:AE96" si="18">IF(ISERROR(K87*Z87),"",K87*Z87)</f>
        <v>420</v>
      </c>
      <c r="AF87" s="476">
        <f t="shared" ref="AF87:AF96" si="19">IF(ISERROR(M87*AA87+O87*AB87+Q87*AC87),"",M87*AA87+O87*AB87+Q87*AC87)</f>
        <v>400</v>
      </c>
      <c r="AG87" s="128">
        <f t="shared" si="0"/>
        <v>0.35</v>
      </c>
      <c r="AH87" s="128">
        <f t="shared" si="1"/>
        <v>0.33333333333333331</v>
      </c>
      <c r="AI87" s="129">
        <f t="shared" si="2"/>
        <v>0.68333333333333335</v>
      </c>
      <c r="AJ87" s="426">
        <f t="shared" ref="AJ87:AJ96" si="20">Y87-(AE87+AF87)</f>
        <v>380</v>
      </c>
      <c r="AK87" s="131">
        <f t="shared" si="13"/>
        <v>54.285714285714285</v>
      </c>
      <c r="AL87" s="477">
        <f>AK87/VLOOKUP(IF(I87&gt;0,I87,1),Preise!$A$3:$B$27,2,FALSE)</f>
        <v>54.285714285714285</v>
      </c>
      <c r="AM87" s="3">
        <f>VLOOKUP(B87,Gegenstände!A:AF,11)</f>
        <v>2000</v>
      </c>
      <c r="AN87" s="3">
        <f>IF(ISERROR(VLOOKUP(L87,Gegenstände!$B$2:$N$2026,10,FALSE)),0,VLOOKUP(L87,Gegenstände!$B$2:$N$2026,10,FALSE))*K87+IF(ISERROR(VLOOKUP(N87,Gegenstände!$B$2:$N$2026,10,FALSE)),0,VLOOKUP(N87,Gegenstände!$B$2:$N$2026,10,FALSE))*M87+IF(ISERROR(VLOOKUP(P87,Gegenstände!$B$2:$N$2026,10,FALSE)),0,VLOOKUP(P87,Gegenstände!$B$2:$N$2026,10,FALSE))*O87+IF(ISERROR(VLOOKUP(R87,Gegenstände!$B$2:$N$2026,10,FALSE)),0,VLOOKUP(R87,Gegenstände!$B$2:$N$2026,10,FALSE))*Q87+IF(ISERROR(VLOOKUP(T87,Gegenstände!$B$2:$N$2026,10,FALSE)),0,VLOOKUP(T87,Gegenstände!$B$2:$N$2026,10,FALSE))*S87</f>
        <v>1900</v>
      </c>
      <c r="AO87" s="3">
        <f>ROUND(AN87*(1-D87%)/100,0)*100</f>
        <v>1900</v>
      </c>
    </row>
    <row r="88" spans="1:41" s="3" customFormat="1" outlineLevel="1" x14ac:dyDescent="0.2">
      <c r="A88" s="5">
        <v>1102</v>
      </c>
      <c r="B88" s="412">
        <v>1102</v>
      </c>
      <c r="C88" s="132" t="str">
        <f>VLOOKUP(B88,Gegenstände!$A51:$B770,2,FALSE)</f>
        <v>Schwert</v>
      </c>
      <c r="D88" s="133">
        <f>VLOOKUP(B88,Gegenstände!$A51:$D770,4,FALSE)</f>
        <v>4</v>
      </c>
      <c r="E88" s="468">
        <v>30</v>
      </c>
      <c r="F88" s="134">
        <v>420</v>
      </c>
      <c r="G88" s="54">
        <v>1</v>
      </c>
      <c r="H88" s="469">
        <v>56</v>
      </c>
      <c r="I88" s="6">
        <v>3</v>
      </c>
      <c r="J88" s="417"/>
      <c r="K88" s="6">
        <v>10</v>
      </c>
      <c r="L88" s="1" t="s">
        <v>113</v>
      </c>
      <c r="M88" s="87">
        <v>7</v>
      </c>
      <c r="N88" s="83" t="s">
        <v>176</v>
      </c>
      <c r="O88" s="85"/>
      <c r="P88" s="1"/>
      <c r="Q88" s="6"/>
      <c r="R88" s="1"/>
      <c r="S88" s="418"/>
      <c r="T88" s="418"/>
      <c r="U88" s="471">
        <f>VLOOKUP(D88,Preise!$A$3:$C$27,3)</f>
        <v>1.5208749999999995</v>
      </c>
      <c r="V88" s="523">
        <f t="shared" si="15"/>
        <v>1825.0499999999995</v>
      </c>
      <c r="W88" s="131"/>
      <c r="X88" s="472">
        <f t="shared" si="16"/>
        <v>1800</v>
      </c>
      <c r="Y88" s="473">
        <f t="shared" si="17"/>
        <v>1800</v>
      </c>
      <c r="Z88" s="474">
        <f>IF(ISERROR(VLOOKUP(L88,Gegenstände!$B$2:$N$2026,13,FALSE)),0,VLOOKUP(L88,Gegenstände!$B$2:$N$2026,13,FALSE))</f>
        <v>60</v>
      </c>
      <c r="AA88" s="142">
        <f>IF(ISERROR(VLOOKUP(N88,Gegenstände!$B$2:$N$2026,13,FALSE)),0,VLOOKUP(N88,Gegenstände!$B$2:$N$2026,13,FALSE))</f>
        <v>80</v>
      </c>
      <c r="AB88" s="142">
        <f>IF(ISERROR(VLOOKUP(P88,Gegenstände!$B$2:$N$2026,13,FALSE)),0,VLOOKUP(P88,Gegenstände!$B$2:$N$2026,13,FALSE))</f>
        <v>0</v>
      </c>
      <c r="AC88" s="142">
        <f>IF(ISERROR(VLOOKUP(R88,Gegenstände!$B$2:$N$2026,13,FALSE)),0,VLOOKUP(R88,Gegenstände!$B$2:$N$2026,13,FALSE))</f>
        <v>0</v>
      </c>
      <c r="AD88" s="142"/>
      <c r="AE88" s="475">
        <f t="shared" si="18"/>
        <v>600</v>
      </c>
      <c r="AF88" s="476">
        <f t="shared" si="19"/>
        <v>560</v>
      </c>
      <c r="AG88" s="128">
        <f t="shared" si="0"/>
        <v>0.33333333333333331</v>
      </c>
      <c r="AH88" s="128">
        <f t="shared" si="1"/>
        <v>0.31111111111111112</v>
      </c>
      <c r="AI88" s="129">
        <f t="shared" si="2"/>
        <v>0.64444444444444449</v>
      </c>
      <c r="AJ88" s="426">
        <f t="shared" si="20"/>
        <v>640</v>
      </c>
      <c r="AK88" s="131">
        <f t="shared" si="13"/>
        <v>91.428571428571431</v>
      </c>
      <c r="AL88" s="477">
        <f>AK88/VLOOKUP(IF(I88&gt;0,I88,1),Preise!$A$3:$B$27,2,FALSE)</f>
        <v>65.306122448979593</v>
      </c>
      <c r="AM88" s="3">
        <f>VLOOKUP(B88,Gegenstände!A:AF,11)</f>
        <v>2200</v>
      </c>
      <c r="AN88" s="3">
        <f>IF(ISERROR(VLOOKUP(L88,Gegenstände!$B$2:$N$2026,10,FALSE)),0,VLOOKUP(L88,Gegenstände!$B$2:$N$2026,10,FALSE))*K88+IF(ISERROR(VLOOKUP(N88,Gegenstände!$B$2:$N$2026,10,FALSE)),0,VLOOKUP(N88,Gegenstände!$B$2:$N$2026,10,FALSE))*M88+IF(ISERROR(VLOOKUP(P88,Gegenstände!$B$2:$N$2026,10,FALSE)),0,VLOOKUP(P88,Gegenstände!$B$2:$N$2026,10,FALSE))*O88+IF(ISERROR(VLOOKUP(R88,Gegenstände!$B$2:$N$2026,10,FALSE)),0,VLOOKUP(R88,Gegenstände!$B$2:$N$2026,10,FALSE))*Q88+IF(ISERROR(VLOOKUP(T88,Gegenstände!$B$2:$N$2026,10,FALSE)),0,VLOOKUP(T88,Gegenstände!$B$2:$N$2026,10,FALSE))*S88</f>
        <v>2700</v>
      </c>
      <c r="AO88" s="3">
        <f t="shared" ref="AO88:AO96" si="21">ROUND(AN88*(1-D88%)/100,0)*100</f>
        <v>2600</v>
      </c>
    </row>
    <row r="89" spans="1:41" s="3" customFormat="1" outlineLevel="1" x14ac:dyDescent="0.2">
      <c r="A89" s="5">
        <v>1103</v>
      </c>
      <c r="B89" s="412">
        <v>1103</v>
      </c>
      <c r="C89" s="132" t="str">
        <f>VLOOKUP(B89,Gegenstände!$A52:$B771,2,FALSE)</f>
        <v>Breitschwert</v>
      </c>
      <c r="D89" s="133">
        <f>VLOOKUP(B89,Gegenstände!$A52:$D771,4,FALSE)</f>
        <v>6</v>
      </c>
      <c r="E89" s="468">
        <v>30</v>
      </c>
      <c r="F89" s="134">
        <v>420</v>
      </c>
      <c r="G89" s="54">
        <v>2</v>
      </c>
      <c r="H89" s="469">
        <v>56</v>
      </c>
      <c r="I89" s="6">
        <v>5</v>
      </c>
      <c r="J89" s="417"/>
      <c r="K89" s="6">
        <v>7</v>
      </c>
      <c r="L89" s="1" t="s">
        <v>114</v>
      </c>
      <c r="M89" s="87">
        <v>10</v>
      </c>
      <c r="N89" s="83" t="s">
        <v>176</v>
      </c>
      <c r="O89" s="85"/>
      <c r="P89" s="1"/>
      <c r="Q89" s="6"/>
      <c r="R89" s="1"/>
      <c r="S89" s="418"/>
      <c r="T89" s="418"/>
      <c r="U89" s="471">
        <f>VLOOKUP(D89,Preise!$A$3:$C$27,3)</f>
        <v>2.0113571874999994</v>
      </c>
      <c r="V89" s="523">
        <f t="shared" si="15"/>
        <v>2413.6286249999994</v>
      </c>
      <c r="W89" s="131"/>
      <c r="X89" s="472">
        <f t="shared" si="16"/>
        <v>2400</v>
      </c>
      <c r="Y89" s="473">
        <f t="shared" si="17"/>
        <v>2400</v>
      </c>
      <c r="Z89" s="474">
        <f>IF(ISERROR(VLOOKUP(L89,Gegenstände!$B$2:$N$2026,13,FALSE)),0,VLOOKUP(L89,Gegenstände!$B$2:$N$2026,13,FALSE))</f>
        <v>120</v>
      </c>
      <c r="AA89" s="142">
        <f>IF(ISERROR(VLOOKUP(N89,Gegenstände!$B$2:$N$2026,13,FALSE)),0,VLOOKUP(N89,Gegenstände!$B$2:$N$2026,13,FALSE))</f>
        <v>80</v>
      </c>
      <c r="AB89" s="142">
        <f>IF(ISERROR(VLOOKUP(P89,Gegenstände!$B$2:$N$2026,13,FALSE)),0,VLOOKUP(P89,Gegenstände!$B$2:$N$2026,13,FALSE))</f>
        <v>0</v>
      </c>
      <c r="AC89" s="142">
        <f>IF(ISERROR(VLOOKUP(R89,Gegenstände!$B$2:$N$2026,13,FALSE)),0,VLOOKUP(R89,Gegenstände!$B$2:$N$2026,13,FALSE))</f>
        <v>0</v>
      </c>
      <c r="AD89" s="142"/>
      <c r="AE89" s="475">
        <f t="shared" si="18"/>
        <v>840</v>
      </c>
      <c r="AF89" s="476">
        <f t="shared" si="19"/>
        <v>800</v>
      </c>
      <c r="AG89" s="128">
        <f t="shared" si="0"/>
        <v>0.35</v>
      </c>
      <c r="AH89" s="128">
        <f t="shared" si="1"/>
        <v>0.33333333333333331</v>
      </c>
      <c r="AI89" s="129">
        <f t="shared" si="2"/>
        <v>0.68333333333333335</v>
      </c>
      <c r="AJ89" s="426">
        <f t="shared" si="20"/>
        <v>760</v>
      </c>
      <c r="AK89" s="131">
        <f t="shared" si="13"/>
        <v>108.57142857142857</v>
      </c>
      <c r="AL89" s="477">
        <f>AK89/VLOOKUP(IF(I89&gt;0,I89,1),Preise!$A$3:$B$27,2,FALSE)</f>
        <v>60.317460317460323</v>
      </c>
      <c r="AM89" s="3">
        <f>VLOOKUP(B89,Gegenstände!A:AF,11)</f>
        <v>2600</v>
      </c>
      <c r="AN89" s="3">
        <f>IF(ISERROR(VLOOKUP(L89,Gegenstände!$B$2:$N$2026,10,FALSE)),0,VLOOKUP(L89,Gegenstände!$B$2:$N$2026,10,FALSE))*K89+IF(ISERROR(VLOOKUP(N89,Gegenstände!$B$2:$N$2026,10,FALSE)),0,VLOOKUP(N89,Gegenstände!$B$2:$N$2026,10,FALSE))*M89+IF(ISERROR(VLOOKUP(P89,Gegenstände!$B$2:$N$2026,10,FALSE)),0,VLOOKUP(P89,Gegenstände!$B$2:$N$2026,10,FALSE))*O89+IF(ISERROR(VLOOKUP(R89,Gegenstände!$B$2:$N$2026,10,FALSE)),0,VLOOKUP(R89,Gegenstände!$B$2:$N$2026,10,FALSE))*Q89+IF(ISERROR(VLOOKUP(T89,Gegenstände!$B$2:$N$2026,10,FALSE)),0,VLOOKUP(T89,Gegenstände!$B$2:$N$2026,10,FALSE))*S89</f>
        <v>2400</v>
      </c>
      <c r="AO89" s="3">
        <f t="shared" si="21"/>
        <v>2300</v>
      </c>
    </row>
    <row r="90" spans="1:41" s="3" customFormat="1" outlineLevel="1" x14ac:dyDescent="0.2">
      <c r="A90" s="5">
        <v>1104</v>
      </c>
      <c r="B90" s="412">
        <v>1104</v>
      </c>
      <c r="C90" s="132" t="str">
        <f>VLOOKUP(B90,Gegenstände!$A53:$B772,2,FALSE)</f>
        <v>Säbel</v>
      </c>
      <c r="D90" s="133">
        <f>VLOOKUP(B90,Gegenstände!$A53:$D772,4,FALSE)</f>
        <v>9</v>
      </c>
      <c r="E90" s="468">
        <v>30</v>
      </c>
      <c r="F90" s="134">
        <v>420</v>
      </c>
      <c r="G90" s="54">
        <v>2</v>
      </c>
      <c r="H90" s="469">
        <v>56</v>
      </c>
      <c r="I90" s="6">
        <v>8</v>
      </c>
      <c r="J90" s="417"/>
      <c r="K90" s="6">
        <v>10</v>
      </c>
      <c r="L90" s="1" t="s">
        <v>114</v>
      </c>
      <c r="M90" s="87">
        <v>15</v>
      </c>
      <c r="N90" s="83" t="s">
        <v>176</v>
      </c>
      <c r="O90" s="85"/>
      <c r="P90" s="1"/>
      <c r="Q90" s="6"/>
      <c r="R90" s="1"/>
      <c r="S90" s="418"/>
      <c r="T90" s="418"/>
      <c r="U90" s="471">
        <f>VLOOKUP(D90,Preise!$A$3:$C$27,3)</f>
        <v>3.0590228625390607</v>
      </c>
      <c r="V90" s="523">
        <f t="shared" si="15"/>
        <v>3670.8274350468728</v>
      </c>
      <c r="W90" s="131"/>
      <c r="X90" s="472">
        <f t="shared" si="16"/>
        <v>3700</v>
      </c>
      <c r="Y90" s="473">
        <f t="shared" si="17"/>
        <v>3700</v>
      </c>
      <c r="Z90" s="474">
        <f>IF(ISERROR(VLOOKUP(L90,Gegenstände!$B$2:$N$2026,13,FALSE)),0,VLOOKUP(L90,Gegenstände!$B$2:$N$2026,13,FALSE))</f>
        <v>120</v>
      </c>
      <c r="AA90" s="142">
        <f>IF(ISERROR(VLOOKUP(N90,Gegenstände!$B$2:$N$2026,13,FALSE)),0,VLOOKUP(N90,Gegenstände!$B$2:$N$2026,13,FALSE))</f>
        <v>80</v>
      </c>
      <c r="AB90" s="142">
        <f>IF(ISERROR(VLOOKUP(P90,Gegenstände!$B$2:$N$2026,13,FALSE)),0,VLOOKUP(P90,Gegenstände!$B$2:$N$2026,13,FALSE))</f>
        <v>0</v>
      </c>
      <c r="AC90" s="142">
        <f>IF(ISERROR(VLOOKUP(R90,Gegenstände!$B$2:$N$2026,13,FALSE)),0,VLOOKUP(R90,Gegenstände!$B$2:$N$2026,13,FALSE))</f>
        <v>0</v>
      </c>
      <c r="AD90" s="142"/>
      <c r="AE90" s="475">
        <f t="shared" si="18"/>
        <v>1200</v>
      </c>
      <c r="AF90" s="476">
        <f t="shared" si="19"/>
        <v>1200</v>
      </c>
      <c r="AG90" s="128">
        <f t="shared" si="0"/>
        <v>0.32432432432432434</v>
      </c>
      <c r="AH90" s="128">
        <f t="shared" si="1"/>
        <v>0.32432432432432434</v>
      </c>
      <c r="AI90" s="129">
        <f t="shared" si="2"/>
        <v>0.64864864864864868</v>
      </c>
      <c r="AJ90" s="426">
        <f t="shared" si="20"/>
        <v>1300</v>
      </c>
      <c r="AK90" s="131">
        <f t="shared" si="13"/>
        <v>185.71428571428572</v>
      </c>
      <c r="AL90" s="477">
        <f>AK90/VLOOKUP(IF(I90&gt;0,I90,1),Preise!$A$3:$B$27,2,FALSE)</f>
        <v>77.380952380952394</v>
      </c>
      <c r="AM90" s="3">
        <f>VLOOKUP(B90,Gegenstände!A:AF,11)</f>
        <v>2100</v>
      </c>
      <c r="AN90" s="3">
        <f>IF(ISERROR(VLOOKUP(L90,Gegenstände!$B$2:$N$2026,10,FALSE)),0,VLOOKUP(L90,Gegenstände!$B$2:$N$2026,10,FALSE))*K90+IF(ISERROR(VLOOKUP(N90,Gegenstände!$B$2:$N$2026,10,FALSE)),0,VLOOKUP(N90,Gegenstände!$B$2:$N$2026,10,FALSE))*M90+IF(ISERROR(VLOOKUP(P90,Gegenstände!$B$2:$N$2026,10,FALSE)),0,VLOOKUP(P90,Gegenstände!$B$2:$N$2026,10,FALSE))*O90+IF(ISERROR(VLOOKUP(R90,Gegenstände!$B$2:$N$2026,10,FALSE)),0,VLOOKUP(R90,Gegenstände!$B$2:$N$2026,10,FALSE))*Q90+IF(ISERROR(VLOOKUP(T90,Gegenstände!$B$2:$N$2026,10,FALSE)),0,VLOOKUP(T90,Gegenstände!$B$2:$N$2026,10,FALSE))*S90</f>
        <v>3500</v>
      </c>
      <c r="AO90" s="3">
        <f t="shared" si="21"/>
        <v>3200</v>
      </c>
    </row>
    <row r="91" spans="1:41" s="3" customFormat="1" outlineLevel="1" x14ac:dyDescent="0.2">
      <c r="A91" s="5">
        <v>1105</v>
      </c>
      <c r="B91" s="412">
        <v>1105</v>
      </c>
      <c r="C91" s="132" t="str">
        <f>VLOOKUP(B91,Gegenstände!$A54:$B773,2,FALSE)</f>
        <v>Krummsäbel</v>
      </c>
      <c r="D91" s="133">
        <f>VLOOKUP(B91,Gegenstände!$A54:$D773,4,FALSE)</f>
        <v>11</v>
      </c>
      <c r="E91" s="468">
        <v>30</v>
      </c>
      <c r="F91" s="134">
        <v>420</v>
      </c>
      <c r="G91" s="54">
        <v>3</v>
      </c>
      <c r="H91" s="469">
        <v>56</v>
      </c>
      <c r="I91" s="6">
        <v>10</v>
      </c>
      <c r="J91" s="417"/>
      <c r="K91" s="6">
        <v>9</v>
      </c>
      <c r="L91" s="1" t="s">
        <v>115</v>
      </c>
      <c r="M91" s="87">
        <v>5</v>
      </c>
      <c r="N91" s="83" t="s">
        <v>176</v>
      </c>
      <c r="O91" s="85">
        <v>6</v>
      </c>
      <c r="P91" s="83" t="s">
        <v>179</v>
      </c>
      <c r="Q91" s="85"/>
      <c r="R91" s="1"/>
      <c r="S91" s="418"/>
      <c r="T91" s="418"/>
      <c r="U91" s="471">
        <f>VLOOKUP(D91,Preise!$A$3:$C$27,3)</f>
        <v>4.0455577357079076</v>
      </c>
      <c r="V91" s="523">
        <f t="shared" si="15"/>
        <v>4854.6692828494888</v>
      </c>
      <c r="W91" s="131"/>
      <c r="X91" s="472">
        <f t="shared" si="16"/>
        <v>4900</v>
      </c>
      <c r="Y91" s="473">
        <f t="shared" si="17"/>
        <v>4900</v>
      </c>
      <c r="Z91" s="474">
        <f>IF(ISERROR(VLOOKUP(L91,Gegenstände!$B$2:$N$2026,13,FALSE)),0,VLOOKUP(L91,Gegenstände!$B$2:$N$2026,13,FALSE))</f>
        <v>180</v>
      </c>
      <c r="AA91" s="142">
        <f>IF(ISERROR(VLOOKUP(N91,Gegenstände!$B$2:$N$2026,13,FALSE)),0,VLOOKUP(N91,Gegenstände!$B$2:$N$2026,13,FALSE))</f>
        <v>80</v>
      </c>
      <c r="AB91" s="142">
        <f>IF(ISERROR(VLOOKUP(P91,Gegenstände!$B$2:$N$2026,13,FALSE)),0,VLOOKUP(P91,Gegenstände!$B$2:$N$2026,13,FALSE))</f>
        <v>200</v>
      </c>
      <c r="AC91" s="142">
        <f>IF(ISERROR(VLOOKUP(R91,Gegenstände!$B$2:$N$2026,13,FALSE)),0,VLOOKUP(R91,Gegenstände!$B$2:$N$2026,13,FALSE))</f>
        <v>0</v>
      </c>
      <c r="AD91" s="142"/>
      <c r="AE91" s="475">
        <f t="shared" si="18"/>
        <v>1620</v>
      </c>
      <c r="AF91" s="476">
        <f t="shared" si="19"/>
        <v>1600</v>
      </c>
      <c r="AG91" s="128">
        <f t="shared" si="0"/>
        <v>0.33061224489795921</v>
      </c>
      <c r="AH91" s="128">
        <f t="shared" si="1"/>
        <v>0.32653061224489793</v>
      </c>
      <c r="AI91" s="129">
        <f t="shared" si="2"/>
        <v>0.65714285714285714</v>
      </c>
      <c r="AJ91" s="426">
        <f t="shared" si="20"/>
        <v>1680</v>
      </c>
      <c r="AK91" s="131">
        <f t="shared" si="13"/>
        <v>240</v>
      </c>
      <c r="AL91" s="477">
        <f>AK91/VLOOKUP(IF(I91&gt;0,I91,1),Preise!$A$3:$B$27,2,FALSE)</f>
        <v>85.714285714285708</v>
      </c>
      <c r="AM91" s="3">
        <f>VLOOKUP(B91,Gegenstände!A:AF,11)</f>
        <v>2300</v>
      </c>
      <c r="AN91" s="3">
        <f>IF(ISERROR(VLOOKUP(L91,Gegenstände!$B$2:$N$2026,10,FALSE)),0,VLOOKUP(L91,Gegenstände!$B$2:$N$2026,10,FALSE))*K91+IF(ISERROR(VLOOKUP(N91,Gegenstände!$B$2:$N$2026,10,FALSE)),0,VLOOKUP(N91,Gegenstände!$B$2:$N$2026,10,FALSE))*M91+IF(ISERROR(VLOOKUP(P91,Gegenstände!$B$2:$N$2026,10,FALSE)),0,VLOOKUP(P91,Gegenstände!$B$2:$N$2026,10,FALSE))*O91+IF(ISERROR(VLOOKUP(R91,Gegenstände!$B$2:$N$2026,10,FALSE)),0,VLOOKUP(R91,Gegenstände!$B$2:$N$2026,10,FALSE))*Q91+IF(ISERROR(VLOOKUP(T91,Gegenstände!$B$2:$N$2026,10,FALSE)),0,VLOOKUP(T91,Gegenstände!$B$2:$N$2026,10,FALSE))*S91</f>
        <v>2900</v>
      </c>
      <c r="AO91" s="3">
        <f t="shared" si="21"/>
        <v>2600</v>
      </c>
    </row>
    <row r="92" spans="1:41" s="3" customFormat="1" outlineLevel="1" x14ac:dyDescent="0.2">
      <c r="A92" s="5">
        <v>1106</v>
      </c>
      <c r="B92" s="412">
        <v>1106</v>
      </c>
      <c r="C92" s="132" t="str">
        <f>VLOOKUP(B92,Gegenstände!$A55:$B774,2,FALSE)</f>
        <v>Langschwert</v>
      </c>
      <c r="D92" s="133">
        <f>VLOOKUP(B92,Gegenstände!$A55:$D774,4,FALSE)</f>
        <v>14</v>
      </c>
      <c r="E92" s="468">
        <v>30</v>
      </c>
      <c r="F92" s="134">
        <v>420</v>
      </c>
      <c r="G92" s="54">
        <v>3</v>
      </c>
      <c r="H92" s="469">
        <v>56</v>
      </c>
      <c r="I92" s="6">
        <v>13</v>
      </c>
      <c r="J92" s="417"/>
      <c r="K92" s="6">
        <v>14</v>
      </c>
      <c r="L92" s="1" t="s">
        <v>115</v>
      </c>
      <c r="M92" s="87">
        <v>3</v>
      </c>
      <c r="N92" s="83" t="s">
        <v>176</v>
      </c>
      <c r="O92" s="85">
        <v>11</v>
      </c>
      <c r="P92" s="83" t="s">
        <v>179</v>
      </c>
      <c r="Q92" s="85"/>
      <c r="R92" s="1"/>
      <c r="S92" s="418"/>
      <c r="T92" s="418"/>
      <c r="U92" s="471">
        <f>VLOOKUP(D92,Preise!$A$3:$C$27,3)</f>
        <v>6.1527876212947623</v>
      </c>
      <c r="V92" s="523">
        <f t="shared" si="15"/>
        <v>7383.3451455537152</v>
      </c>
      <c r="W92" s="131"/>
      <c r="X92" s="472">
        <f t="shared" si="16"/>
        <v>7400</v>
      </c>
      <c r="Y92" s="473">
        <f t="shared" si="17"/>
        <v>7400</v>
      </c>
      <c r="Z92" s="474">
        <f>IF(ISERROR(VLOOKUP(L92,Gegenstände!$B$2:$N$2026,13,FALSE)),0,VLOOKUP(L92,Gegenstände!$B$2:$N$2026,13,FALSE))</f>
        <v>180</v>
      </c>
      <c r="AA92" s="142">
        <f>IF(ISERROR(VLOOKUP(N92,Gegenstände!$B$2:$N$2026,13,FALSE)),0,VLOOKUP(N92,Gegenstände!$B$2:$N$2026,13,FALSE))</f>
        <v>80</v>
      </c>
      <c r="AB92" s="142">
        <f>IF(ISERROR(VLOOKUP(P92,Gegenstände!$B$2:$N$2026,13,FALSE)),0,VLOOKUP(P92,Gegenstände!$B$2:$N$2026,13,FALSE))</f>
        <v>200</v>
      </c>
      <c r="AC92" s="142">
        <f>IF(ISERROR(VLOOKUP(R92,Gegenstände!$B$2:$N$2026,13,FALSE)),0,VLOOKUP(R92,Gegenstände!$B$2:$N$2026,13,FALSE))</f>
        <v>0</v>
      </c>
      <c r="AD92" s="142"/>
      <c r="AE92" s="475">
        <f t="shared" si="18"/>
        <v>2520</v>
      </c>
      <c r="AF92" s="476">
        <f t="shared" si="19"/>
        <v>2440</v>
      </c>
      <c r="AG92" s="128">
        <f t="shared" si="0"/>
        <v>0.34054054054054056</v>
      </c>
      <c r="AH92" s="128">
        <f t="shared" si="1"/>
        <v>0.32972972972972975</v>
      </c>
      <c r="AI92" s="129">
        <f t="shared" si="2"/>
        <v>0.67027027027027031</v>
      </c>
      <c r="AJ92" s="426">
        <f t="shared" si="20"/>
        <v>2440</v>
      </c>
      <c r="AK92" s="131">
        <f t="shared" si="13"/>
        <v>348.57142857142856</v>
      </c>
      <c r="AL92" s="477">
        <f>AK92/VLOOKUP(IF(I92&gt;0,I92,1),Preise!$A$3:$B$27,2,FALSE)</f>
        <v>102.52100840336132</v>
      </c>
      <c r="AM92" s="3">
        <f>VLOOKUP(B92,Gegenstände!A:AF,11)</f>
        <v>2500</v>
      </c>
      <c r="AN92" s="3">
        <f>IF(ISERROR(VLOOKUP(L92,Gegenstände!$B$2:$N$2026,10,FALSE)),0,VLOOKUP(L92,Gegenstände!$B$2:$N$2026,10,FALSE))*K92+IF(ISERROR(VLOOKUP(N92,Gegenstände!$B$2:$N$2026,10,FALSE)),0,VLOOKUP(N92,Gegenstände!$B$2:$N$2026,10,FALSE))*M92+IF(ISERROR(VLOOKUP(P92,Gegenstände!$B$2:$N$2026,10,FALSE)),0,VLOOKUP(P92,Gegenstände!$B$2:$N$2026,10,FALSE))*O92+IF(ISERROR(VLOOKUP(R92,Gegenstände!$B$2:$N$2026,10,FALSE)),0,VLOOKUP(R92,Gegenstände!$B$2:$N$2026,10,FALSE))*Q92+IF(ISERROR(VLOOKUP(T92,Gegenstände!$B$2:$N$2026,10,FALSE)),0,VLOOKUP(T92,Gegenstände!$B$2:$N$2026,10,FALSE))*S92</f>
        <v>4200</v>
      </c>
      <c r="AO92" s="3">
        <f t="shared" si="21"/>
        <v>3600</v>
      </c>
    </row>
    <row r="93" spans="1:41" s="3" customFormat="1" outlineLevel="1" x14ac:dyDescent="0.2">
      <c r="A93" s="5">
        <v>1107</v>
      </c>
      <c r="B93" s="412">
        <v>1107</v>
      </c>
      <c r="C93" s="132" t="str">
        <f>VLOOKUP(B93,Gegenstände!$A56:$B775,2,FALSE)</f>
        <v>Krummschwert</v>
      </c>
      <c r="D93" s="133">
        <f>VLOOKUP(B93,Gegenstände!$A56:$D775,4,FALSE)</f>
        <v>16</v>
      </c>
      <c r="E93" s="468">
        <v>30</v>
      </c>
      <c r="F93" s="134">
        <v>420</v>
      </c>
      <c r="G93" s="54">
        <v>4</v>
      </c>
      <c r="H93" s="469">
        <v>56</v>
      </c>
      <c r="I93" s="6">
        <v>15</v>
      </c>
      <c r="J93" s="417"/>
      <c r="K93" s="6">
        <v>12</v>
      </c>
      <c r="L93" s="1" t="s">
        <v>116</v>
      </c>
      <c r="M93" s="87">
        <v>5</v>
      </c>
      <c r="N93" s="83" t="s">
        <v>176</v>
      </c>
      <c r="O93" s="85">
        <v>14</v>
      </c>
      <c r="P93" s="83" t="s">
        <v>179</v>
      </c>
      <c r="Q93" s="85"/>
      <c r="R93" s="1"/>
      <c r="S93" s="418"/>
      <c r="T93" s="418"/>
      <c r="U93" s="471">
        <f>VLOOKUP(D93,Preise!$A$3:$C$27,3)</f>
        <v>8.1370616291623215</v>
      </c>
      <c r="V93" s="523">
        <f t="shared" si="15"/>
        <v>9764.4739549947863</v>
      </c>
      <c r="W93" s="131"/>
      <c r="X93" s="472">
        <f t="shared" si="16"/>
        <v>9800</v>
      </c>
      <c r="Y93" s="473">
        <f t="shared" si="17"/>
        <v>9800</v>
      </c>
      <c r="Z93" s="474">
        <f>IF(ISERROR(VLOOKUP(L93,Gegenstände!$B$2:$N$2026,13,FALSE)),0,VLOOKUP(L93,Gegenstände!$B$2:$N$2026,13,FALSE))</f>
        <v>270</v>
      </c>
      <c r="AA93" s="142">
        <f>IF(ISERROR(VLOOKUP(N93,Gegenstände!$B$2:$N$2026,13,FALSE)),0,VLOOKUP(N93,Gegenstände!$B$2:$N$2026,13,FALSE))</f>
        <v>80</v>
      </c>
      <c r="AB93" s="142">
        <f>IF(ISERROR(VLOOKUP(P93,Gegenstände!$B$2:$N$2026,13,FALSE)),0,VLOOKUP(P93,Gegenstände!$B$2:$N$2026,13,FALSE))</f>
        <v>200</v>
      </c>
      <c r="AC93" s="142">
        <f>IF(ISERROR(VLOOKUP(R93,Gegenstände!$B$2:$N$2026,13,FALSE)),0,VLOOKUP(R93,Gegenstände!$B$2:$N$2026,13,FALSE))</f>
        <v>0</v>
      </c>
      <c r="AD93" s="142"/>
      <c r="AE93" s="475">
        <f t="shared" si="18"/>
        <v>3240</v>
      </c>
      <c r="AF93" s="476">
        <f t="shared" si="19"/>
        <v>3200</v>
      </c>
      <c r="AG93" s="128">
        <f t="shared" si="0"/>
        <v>0.33061224489795921</v>
      </c>
      <c r="AH93" s="128">
        <f t="shared" si="1"/>
        <v>0.32653061224489793</v>
      </c>
      <c r="AI93" s="129">
        <f t="shared" si="2"/>
        <v>0.65714285714285714</v>
      </c>
      <c r="AJ93" s="426">
        <f t="shared" si="20"/>
        <v>3360</v>
      </c>
      <c r="AK93" s="131">
        <f t="shared" si="13"/>
        <v>480</v>
      </c>
      <c r="AL93" s="477">
        <f>AK93/VLOOKUP(IF(I93&gt;0,I93,1),Preise!$A$3:$B$27,2,FALSE)</f>
        <v>126.31578947368418</v>
      </c>
      <c r="AM93" s="3">
        <f>VLOOKUP(B93,Gegenstände!A:AF,11)</f>
        <v>2400</v>
      </c>
      <c r="AN93" s="3">
        <f>IF(ISERROR(VLOOKUP(L93,Gegenstände!$B$2:$N$2026,10,FALSE)),0,VLOOKUP(L93,Gegenstände!$B$2:$N$2026,10,FALSE))*K93+IF(ISERROR(VLOOKUP(N93,Gegenstände!$B$2:$N$2026,10,FALSE)),0,VLOOKUP(N93,Gegenstände!$B$2:$N$2026,10,FALSE))*M93+IF(ISERROR(VLOOKUP(P93,Gegenstände!$B$2:$N$2026,10,FALSE)),0,VLOOKUP(P93,Gegenstände!$B$2:$N$2026,10,FALSE))*O93+IF(ISERROR(VLOOKUP(R93,Gegenstände!$B$2:$N$2026,10,FALSE)),0,VLOOKUP(R93,Gegenstände!$B$2:$N$2026,10,FALSE))*Q93+IF(ISERROR(VLOOKUP(T93,Gegenstände!$B$2:$N$2026,10,FALSE)),0,VLOOKUP(T93,Gegenstände!$B$2:$N$2026,10,FALSE))*S93</f>
        <v>4300</v>
      </c>
      <c r="AO93" s="3">
        <f t="shared" si="21"/>
        <v>3600</v>
      </c>
    </row>
    <row r="94" spans="1:41" s="3" customFormat="1" outlineLevel="1" x14ac:dyDescent="0.2">
      <c r="A94" s="5">
        <v>1108</v>
      </c>
      <c r="B94" s="412">
        <v>1108</v>
      </c>
      <c r="C94" s="132" t="str">
        <f>VLOOKUP(B94,Gegenstände!$A57:$B776,2,FALSE)</f>
        <v>Gladius</v>
      </c>
      <c r="D94" s="133">
        <f>VLOOKUP(B94,Gegenstände!$A57:$D776,4,FALSE)</f>
        <v>19</v>
      </c>
      <c r="E94" s="468">
        <v>30</v>
      </c>
      <c r="F94" s="134">
        <v>420</v>
      </c>
      <c r="G94" s="54">
        <v>4</v>
      </c>
      <c r="H94" s="469">
        <v>56</v>
      </c>
      <c r="I94" s="6">
        <v>18</v>
      </c>
      <c r="J94" s="417"/>
      <c r="K94" s="6">
        <v>18</v>
      </c>
      <c r="L94" s="1" t="s">
        <v>116</v>
      </c>
      <c r="M94" s="87">
        <v>6</v>
      </c>
      <c r="N94" s="83" t="s">
        <v>176</v>
      </c>
      <c r="O94" s="85">
        <v>22</v>
      </c>
      <c r="P94" s="83" t="s">
        <v>179</v>
      </c>
      <c r="Q94" s="85"/>
      <c r="R94" s="1"/>
      <c r="S94" s="418"/>
      <c r="T94" s="418"/>
      <c r="U94" s="471">
        <f>VLOOKUP(D94,Preise!$A$3:$C$27,3)</f>
        <v>12.375453605252243</v>
      </c>
      <c r="V94" s="523">
        <f t="shared" si="15"/>
        <v>14850.544326302692</v>
      </c>
      <c r="W94" s="131"/>
      <c r="X94" s="472">
        <f t="shared" si="16"/>
        <v>14900</v>
      </c>
      <c r="Y94" s="473">
        <f t="shared" si="17"/>
        <v>14900</v>
      </c>
      <c r="Z94" s="474">
        <f>IF(ISERROR(VLOOKUP(L94,Gegenstände!$B$2:$N$2026,13,FALSE)),0,VLOOKUP(L94,Gegenstände!$B$2:$N$2026,13,FALSE))</f>
        <v>270</v>
      </c>
      <c r="AA94" s="142">
        <f>IF(ISERROR(VLOOKUP(N94,Gegenstände!$B$2:$N$2026,13,FALSE)),0,VLOOKUP(N94,Gegenstände!$B$2:$N$2026,13,FALSE))</f>
        <v>80</v>
      </c>
      <c r="AB94" s="142">
        <f>IF(ISERROR(VLOOKUP(P94,Gegenstände!$B$2:$N$2026,13,FALSE)),0,VLOOKUP(P94,Gegenstände!$B$2:$N$2026,13,FALSE))</f>
        <v>200</v>
      </c>
      <c r="AC94" s="142">
        <f>IF(ISERROR(VLOOKUP(R94,Gegenstände!$B$2:$N$2026,13,FALSE)),0,VLOOKUP(R94,Gegenstände!$B$2:$N$2026,13,FALSE))</f>
        <v>0</v>
      </c>
      <c r="AD94" s="142"/>
      <c r="AE94" s="475">
        <f t="shared" si="18"/>
        <v>4860</v>
      </c>
      <c r="AF94" s="476">
        <f t="shared" si="19"/>
        <v>4880</v>
      </c>
      <c r="AG94" s="128">
        <f t="shared" si="0"/>
        <v>0.32617449664429532</v>
      </c>
      <c r="AH94" s="128">
        <f t="shared" si="1"/>
        <v>0.32751677852348993</v>
      </c>
      <c r="AI94" s="129">
        <f t="shared" si="2"/>
        <v>0.65369127516778525</v>
      </c>
      <c r="AJ94" s="426">
        <f t="shared" si="20"/>
        <v>5160</v>
      </c>
      <c r="AK94" s="131">
        <f t="shared" si="13"/>
        <v>737.14285714285711</v>
      </c>
      <c r="AL94" s="477">
        <f>AK94/VLOOKUP(IF(I94&gt;0,I94,1),Preise!$A$3:$B$27,2,FALSE)</f>
        <v>167.53246753246748</v>
      </c>
      <c r="AM94" s="3">
        <f>VLOOKUP(B94,Gegenstände!A:AF,11)</f>
        <v>2400</v>
      </c>
      <c r="AN94" s="3">
        <f>IF(ISERROR(VLOOKUP(L94,Gegenstände!$B$2:$N$2026,10,FALSE)),0,VLOOKUP(L94,Gegenstände!$B$2:$N$2026,10,FALSE))*K94+IF(ISERROR(VLOOKUP(N94,Gegenstände!$B$2:$N$2026,10,FALSE)),0,VLOOKUP(N94,Gegenstände!$B$2:$N$2026,10,FALSE))*M94+IF(ISERROR(VLOOKUP(P94,Gegenstände!$B$2:$N$2026,10,FALSE)),0,VLOOKUP(P94,Gegenstände!$B$2:$N$2026,10,FALSE))*O94+IF(ISERROR(VLOOKUP(R94,Gegenstände!$B$2:$N$2026,10,FALSE)),0,VLOOKUP(R94,Gegenstände!$B$2:$N$2026,10,FALSE))*Q94+IF(ISERROR(VLOOKUP(T94,Gegenstände!$B$2:$N$2026,10,FALSE)),0,VLOOKUP(T94,Gegenstände!$B$2:$N$2026,10,FALSE))*S94</f>
        <v>6400</v>
      </c>
      <c r="AO94" s="3">
        <f t="shared" si="21"/>
        <v>5200</v>
      </c>
    </row>
    <row r="95" spans="1:41" s="3" customFormat="1" outlineLevel="1" x14ac:dyDescent="0.2">
      <c r="A95" s="5">
        <v>1109</v>
      </c>
      <c r="B95" s="412">
        <v>1109</v>
      </c>
      <c r="C95" s="132" t="str">
        <f>VLOOKUP(B95,Gegenstände!$A58:$B777,2,FALSE)</f>
        <v>Schimmerklinge</v>
      </c>
      <c r="D95" s="133">
        <f>VLOOKUP(B95,Gegenstände!$A58:$D777,4,FALSE)</f>
        <v>22</v>
      </c>
      <c r="E95" s="468">
        <v>30</v>
      </c>
      <c r="F95" s="134">
        <v>420</v>
      </c>
      <c r="G95" s="54">
        <v>5</v>
      </c>
      <c r="H95" s="469">
        <v>56</v>
      </c>
      <c r="I95" s="6">
        <v>21</v>
      </c>
      <c r="J95" s="417"/>
      <c r="K95" s="6">
        <v>21</v>
      </c>
      <c r="L95" s="1" t="s">
        <v>117</v>
      </c>
      <c r="M95" s="87">
        <v>5</v>
      </c>
      <c r="N95" s="83" t="s">
        <v>176</v>
      </c>
      <c r="O95" s="85">
        <v>10</v>
      </c>
      <c r="P95" s="83" t="s">
        <v>179</v>
      </c>
      <c r="Q95" s="85">
        <v>10</v>
      </c>
      <c r="R95" s="83" t="s">
        <v>181</v>
      </c>
      <c r="S95" s="170"/>
      <c r="T95" s="170"/>
      <c r="U95" s="471">
        <f>VLOOKUP(D95,Preise!$A$3:$C$27,3)</f>
        <v>18.821518001888002</v>
      </c>
      <c r="V95" s="523">
        <f t="shared" si="15"/>
        <v>22585.821602265602</v>
      </c>
      <c r="W95" s="131"/>
      <c r="X95" s="472">
        <f t="shared" si="16"/>
        <v>22600</v>
      </c>
      <c r="Y95" s="473">
        <f t="shared" si="17"/>
        <v>22600</v>
      </c>
      <c r="Z95" s="474">
        <f>IF(ISERROR(VLOOKUP(L95,Gegenstände!$B$2:$N$2026,13,FALSE)),0,VLOOKUP(L95,Gegenstände!$B$2:$N$2026,13,FALSE))</f>
        <v>360</v>
      </c>
      <c r="AA95" s="142">
        <f>IF(ISERROR(VLOOKUP(N95,Gegenstände!$B$2:$N$2026,13,FALSE)),0,VLOOKUP(N95,Gegenstände!$B$2:$N$2026,13,FALSE))</f>
        <v>80</v>
      </c>
      <c r="AB95" s="142">
        <f>IF(ISERROR(VLOOKUP(P95,Gegenstände!$B$2:$N$2026,13,FALSE)),0,VLOOKUP(P95,Gegenstände!$B$2:$N$2026,13,FALSE))</f>
        <v>200</v>
      </c>
      <c r="AC95" s="142">
        <f>IF(ISERROR(VLOOKUP(R95,Gegenstände!$B$2:$N$2026,13,FALSE)),0,VLOOKUP(R95,Gegenstände!$B$2:$N$2026,13,FALSE))</f>
        <v>500</v>
      </c>
      <c r="AD95" s="142"/>
      <c r="AE95" s="475">
        <f t="shared" si="18"/>
        <v>7560</v>
      </c>
      <c r="AF95" s="476">
        <f t="shared" si="19"/>
        <v>7400</v>
      </c>
      <c r="AG95" s="128">
        <f t="shared" si="0"/>
        <v>0.3345132743362832</v>
      </c>
      <c r="AH95" s="128">
        <f t="shared" si="1"/>
        <v>0.32743362831858408</v>
      </c>
      <c r="AI95" s="129">
        <f t="shared" si="2"/>
        <v>0.66194690265486722</v>
      </c>
      <c r="AJ95" s="426">
        <f t="shared" si="20"/>
        <v>7640</v>
      </c>
      <c r="AK95" s="131">
        <f t="shared" si="13"/>
        <v>1091.4285714285713</v>
      </c>
      <c r="AL95" s="477">
        <f>AK95/VLOOKUP(IF(I95&gt;0,I95,1),Preise!$A$3:$B$27,2,FALSE)</f>
        <v>218.28571428571419</v>
      </c>
      <c r="AM95" s="3">
        <f>VLOOKUP(B95,Gegenstände!A:AF,11)</f>
        <v>2300</v>
      </c>
      <c r="AN95" s="3">
        <f>IF(ISERROR(VLOOKUP(L95,Gegenstände!$B$2:$N$2026,10,FALSE)),0,VLOOKUP(L95,Gegenstände!$B$2:$N$2026,10,FALSE))*K95+IF(ISERROR(VLOOKUP(N95,Gegenstände!$B$2:$N$2026,10,FALSE)),0,VLOOKUP(N95,Gegenstände!$B$2:$N$2026,10,FALSE))*M95+IF(ISERROR(VLOOKUP(P95,Gegenstände!$B$2:$N$2026,10,FALSE)),0,VLOOKUP(P95,Gegenstände!$B$2:$N$2026,10,FALSE))*O95+IF(ISERROR(VLOOKUP(R95,Gegenstände!$B$2:$N$2026,10,FALSE)),0,VLOOKUP(R95,Gegenstände!$B$2:$N$2026,10,FALSE))*Q95+IF(ISERROR(VLOOKUP(T95,Gegenstände!$B$2:$N$2026,10,FALSE)),0,VLOOKUP(T95,Gegenstände!$B$2:$N$2026,10,FALSE))*S95</f>
        <v>6700</v>
      </c>
      <c r="AO95" s="3">
        <f t="shared" si="21"/>
        <v>5200</v>
      </c>
    </row>
    <row r="96" spans="1:41" s="3" customFormat="1" outlineLevel="1" x14ac:dyDescent="0.2">
      <c r="A96" s="5">
        <v>1110</v>
      </c>
      <c r="B96" s="412">
        <v>1110</v>
      </c>
      <c r="C96" s="132" t="str">
        <f>VLOOKUP(B96,Gegenstände!$A59:$B778,2,FALSE)</f>
        <v>Lilienklinge</v>
      </c>
      <c r="D96" s="133">
        <f>VLOOKUP(B96,Gegenstände!$A59:$D778,4,FALSE)</f>
        <v>25</v>
      </c>
      <c r="E96" s="468">
        <v>30</v>
      </c>
      <c r="F96" s="134">
        <v>420</v>
      </c>
      <c r="G96" s="54">
        <v>5</v>
      </c>
      <c r="H96" s="469">
        <v>56</v>
      </c>
      <c r="I96" s="6">
        <v>24</v>
      </c>
      <c r="J96" s="417"/>
      <c r="K96" s="6">
        <v>32</v>
      </c>
      <c r="L96" s="1" t="s">
        <v>117</v>
      </c>
      <c r="M96" s="87">
        <v>6</v>
      </c>
      <c r="N96" s="83" t="s">
        <v>176</v>
      </c>
      <c r="O96" s="85">
        <v>14</v>
      </c>
      <c r="P96" s="83" t="s">
        <v>179</v>
      </c>
      <c r="Q96" s="85">
        <v>16</v>
      </c>
      <c r="R96" s="83" t="s">
        <v>181</v>
      </c>
      <c r="S96" s="170"/>
      <c r="T96" s="170"/>
      <c r="U96" s="471">
        <f>VLOOKUP(D96,Preise!$A$3:$C$27,3)</f>
        <v>28.625176191121408</v>
      </c>
      <c r="V96" s="523">
        <f t="shared" si="15"/>
        <v>34350.211429345691</v>
      </c>
      <c r="W96" s="131"/>
      <c r="X96" s="472">
        <f t="shared" si="16"/>
        <v>34400</v>
      </c>
      <c r="Y96" s="473">
        <f t="shared" si="17"/>
        <v>34400</v>
      </c>
      <c r="Z96" s="474">
        <f>IF(ISERROR(VLOOKUP(L96,Gegenstände!$B$2:$N$2026,13,FALSE)),0,VLOOKUP(L96,Gegenstände!$B$2:$N$2026,13,FALSE))</f>
        <v>360</v>
      </c>
      <c r="AA96" s="142">
        <f>IF(ISERROR(VLOOKUP(N96,Gegenstände!$B$2:$N$2026,13,FALSE)),0,VLOOKUP(N96,Gegenstände!$B$2:$N$2026,13,FALSE))</f>
        <v>80</v>
      </c>
      <c r="AB96" s="142">
        <f>IF(ISERROR(VLOOKUP(P96,Gegenstände!$B$2:$N$2026,13,FALSE)),0,VLOOKUP(P96,Gegenstände!$B$2:$N$2026,13,FALSE))</f>
        <v>200</v>
      </c>
      <c r="AC96" s="142">
        <f>IF(ISERROR(VLOOKUP(R96,Gegenstände!$B$2:$N$2026,13,FALSE)),0,VLOOKUP(R96,Gegenstände!$B$2:$N$2026,13,FALSE))</f>
        <v>500</v>
      </c>
      <c r="AD96" s="142"/>
      <c r="AE96" s="475">
        <f t="shared" si="18"/>
        <v>11520</v>
      </c>
      <c r="AF96" s="476">
        <f t="shared" si="19"/>
        <v>11280</v>
      </c>
      <c r="AG96" s="128">
        <f t="shared" si="0"/>
        <v>0.33488372093023255</v>
      </c>
      <c r="AH96" s="128">
        <f t="shared" si="1"/>
        <v>0.32790697674418606</v>
      </c>
      <c r="AI96" s="129">
        <f t="shared" si="2"/>
        <v>0.66279069767441856</v>
      </c>
      <c r="AJ96" s="426">
        <f t="shared" si="20"/>
        <v>11600</v>
      </c>
      <c r="AK96" s="131">
        <f t="shared" si="13"/>
        <v>1657.1428571428571</v>
      </c>
      <c r="AL96" s="477">
        <f>AK96/VLOOKUP(IF(I96&gt;0,I96,1),Preise!$A$3:$B$27,2,FALSE)</f>
        <v>295.91836734693862</v>
      </c>
      <c r="AM96" s="3">
        <f>VLOOKUP(B96,Gegenstände!A:AF,11)</f>
        <v>2300</v>
      </c>
      <c r="AN96" s="3">
        <f>IF(ISERROR(VLOOKUP(L96,Gegenstände!$B$2:$N$2026,10,FALSE)),0,VLOOKUP(L96,Gegenstände!$B$2:$N$2026,10,FALSE))*K96+IF(ISERROR(VLOOKUP(N96,Gegenstände!$B$2:$N$2026,10,FALSE)),0,VLOOKUP(N96,Gegenstände!$B$2:$N$2026,10,FALSE))*M96+IF(ISERROR(VLOOKUP(P96,Gegenstände!$B$2:$N$2026,10,FALSE)),0,VLOOKUP(P96,Gegenstände!$B$2:$N$2026,10,FALSE))*O96+IF(ISERROR(VLOOKUP(R96,Gegenstände!$B$2:$N$2026,10,FALSE)),0,VLOOKUP(R96,Gegenstände!$B$2:$N$2026,10,FALSE))*Q96+IF(ISERROR(VLOOKUP(T96,Gegenstände!$B$2:$N$2026,10,FALSE)),0,VLOOKUP(T96,Gegenstände!$B$2:$N$2026,10,FALSE))*S96</f>
        <v>10000</v>
      </c>
      <c r="AO96" s="3">
        <f t="shared" si="21"/>
        <v>7500</v>
      </c>
    </row>
    <row r="97" spans="1:38" s="3" customFormat="1" x14ac:dyDescent="0.2">
      <c r="A97" s="525"/>
      <c r="B97" s="526"/>
      <c r="C97" s="286"/>
      <c r="D97" s="396"/>
      <c r="E97" s="527"/>
      <c r="F97" s="528"/>
      <c r="G97" s="322"/>
      <c r="H97" s="529"/>
      <c r="I97" s="550"/>
      <c r="J97" s="531"/>
      <c r="K97" s="530"/>
      <c r="L97" s="532"/>
      <c r="M97" s="533"/>
      <c r="N97" s="532"/>
      <c r="O97" s="530"/>
      <c r="P97" s="532"/>
      <c r="Q97" s="530"/>
      <c r="R97" s="532"/>
      <c r="S97" s="534"/>
      <c r="T97" s="535"/>
      <c r="U97" s="536"/>
      <c r="V97" s="551">
        <v>2000</v>
      </c>
      <c r="W97" s="538"/>
      <c r="X97" s="539"/>
      <c r="Y97" s="540"/>
      <c r="Z97" s="541"/>
      <c r="AA97" s="542"/>
      <c r="AB97" s="542"/>
      <c r="AC97" s="542"/>
      <c r="AD97" s="542"/>
      <c r="AE97" s="543"/>
      <c r="AF97" s="544"/>
      <c r="AG97" s="545"/>
      <c r="AH97" s="545"/>
      <c r="AI97" s="546"/>
      <c r="AJ97" s="547"/>
      <c r="AK97" s="548"/>
      <c r="AL97" s="549"/>
    </row>
    <row r="98" spans="1:38" s="3" customFormat="1" outlineLevel="1" x14ac:dyDescent="0.2">
      <c r="A98" s="5">
        <v>1111</v>
      </c>
      <c r="B98" s="412">
        <v>1111</v>
      </c>
      <c r="C98" s="132" t="str">
        <f>VLOOKUP(B98,Gegenstände!$A61:$B780,2,FALSE)</f>
        <v>Bastardschwert</v>
      </c>
      <c r="D98" s="133">
        <f>VLOOKUP(B98,Gegenstände!$A61:$D780,4,FALSE)</f>
        <v>7</v>
      </c>
      <c r="E98" s="468">
        <v>30</v>
      </c>
      <c r="F98" s="134">
        <v>540</v>
      </c>
      <c r="G98" s="54">
        <v>2</v>
      </c>
      <c r="H98" s="469">
        <v>56</v>
      </c>
      <c r="I98" s="6">
        <v>6</v>
      </c>
      <c r="J98" s="417"/>
      <c r="K98" s="6">
        <v>13</v>
      </c>
      <c r="L98" s="1" t="s">
        <v>114</v>
      </c>
      <c r="M98" s="87">
        <v>19</v>
      </c>
      <c r="N98" s="83" t="s">
        <v>176</v>
      </c>
      <c r="O98" s="85"/>
      <c r="P98" s="1"/>
      <c r="Q98" s="6"/>
      <c r="R98" s="1"/>
      <c r="S98" s="418"/>
      <c r="T98" s="418"/>
      <c r="U98" s="471">
        <f>VLOOKUP(D98,Preise!$A$3:$C$27,3)</f>
        <v>2.3130607656249991</v>
      </c>
      <c r="V98" s="523">
        <f t="shared" ref="V98:V105" si="22">U98*$V$97</f>
        <v>4626.121531249998</v>
      </c>
      <c r="W98" s="131"/>
      <c r="X98" s="472">
        <f t="shared" ref="X98:X105" si="23">ROUND((V98/100),0)*100</f>
        <v>4600</v>
      </c>
      <c r="Y98" s="473">
        <f t="shared" ref="Y98:Y105" si="24">X98*IF(J98&gt;0,J98,1)</f>
        <v>4600</v>
      </c>
      <c r="Z98" s="474">
        <f>IF(ISERROR(VLOOKUP(L98,Gegenstände!$B$2:$N$2026,13,FALSE)),0,VLOOKUP(L98,Gegenstände!$B$2:$N$2026,13,FALSE))</f>
        <v>120</v>
      </c>
      <c r="AA98" s="142">
        <f>IF(ISERROR(VLOOKUP(N98,Gegenstände!$B$2:$N$2026,13,FALSE)),0,VLOOKUP(N98,Gegenstände!$B$2:$N$2026,13,FALSE))</f>
        <v>80</v>
      </c>
      <c r="AB98" s="142">
        <f>IF(ISERROR(VLOOKUP(P98,Gegenstände!$B$2:$N$2026,13,FALSE)),0,VLOOKUP(P98,Gegenstände!$B$2:$N$2026,13,FALSE))</f>
        <v>0</v>
      </c>
      <c r="AC98" s="142">
        <f>IF(ISERROR(VLOOKUP(R98,Gegenstände!$B$2:$N$2026,13,FALSE)),0,VLOOKUP(R98,Gegenstände!$B$2:$N$2026,13,FALSE))</f>
        <v>0</v>
      </c>
      <c r="AD98" s="142"/>
      <c r="AE98" s="475">
        <f t="shared" ref="AE98:AE105" si="25">IF(ISERROR(K98*Z98),"",K98*Z98)</f>
        <v>1560</v>
      </c>
      <c r="AF98" s="476">
        <f t="shared" ref="AF98:AF105" si="26">IF(ISERROR(M98*AA98+O98*AB98+Q98*AC98),"",M98*AA98+O98*AB98+Q98*AC98)</f>
        <v>1520</v>
      </c>
      <c r="AG98" s="128">
        <f t="shared" si="0"/>
        <v>0.33913043478260868</v>
      </c>
      <c r="AH98" s="128">
        <f t="shared" si="1"/>
        <v>0.33043478260869563</v>
      </c>
      <c r="AI98" s="129">
        <f t="shared" si="2"/>
        <v>0.66956521739130437</v>
      </c>
      <c r="AJ98" s="426">
        <f t="shared" ref="AJ98:AJ105" si="27">Y98-(AE98+AF98)</f>
        <v>1520</v>
      </c>
      <c r="AK98" s="131">
        <f t="shared" si="13"/>
        <v>168.88888888888889</v>
      </c>
      <c r="AL98" s="477">
        <f>AK98/VLOOKUP(IF(I98&gt;0,I98,1),Preise!$A$3:$B$27,2,FALSE)</f>
        <v>84.444444444444457</v>
      </c>
    </row>
    <row r="99" spans="1:38" s="3" customFormat="1" outlineLevel="1" x14ac:dyDescent="0.2">
      <c r="A99" s="5">
        <v>1112</v>
      </c>
      <c r="B99" s="412">
        <v>1112</v>
      </c>
      <c r="C99" s="132" t="str">
        <f>VLOOKUP(B99,Gegenstände!$A62:$B781,2,FALSE)</f>
        <v>Bidenhänder</v>
      </c>
      <c r="D99" s="133">
        <f>VLOOKUP(B99,Gegenstände!$A62:$D781,4,FALSE)</f>
        <v>10</v>
      </c>
      <c r="E99" s="468">
        <v>30</v>
      </c>
      <c r="F99" s="134">
        <v>540</v>
      </c>
      <c r="G99" s="54">
        <v>2</v>
      </c>
      <c r="H99" s="469">
        <v>56</v>
      </c>
      <c r="I99" s="6">
        <v>9</v>
      </c>
      <c r="J99" s="417"/>
      <c r="K99" s="6">
        <v>19</v>
      </c>
      <c r="L99" s="1" t="s">
        <v>114</v>
      </c>
      <c r="M99" s="87">
        <v>29</v>
      </c>
      <c r="N99" s="83" t="s">
        <v>176</v>
      </c>
      <c r="O99" s="85"/>
      <c r="P99" s="1"/>
      <c r="Q99" s="6"/>
      <c r="R99" s="1"/>
      <c r="S99" s="418"/>
      <c r="T99" s="418"/>
      <c r="U99" s="471">
        <f>VLOOKUP(D99,Preise!$A$3:$C$27,3)</f>
        <v>3.5178762919199196</v>
      </c>
      <c r="V99" s="523">
        <f t="shared" si="22"/>
        <v>7035.7525838398387</v>
      </c>
      <c r="W99" s="131"/>
      <c r="X99" s="472">
        <f t="shared" si="23"/>
        <v>7000</v>
      </c>
      <c r="Y99" s="473">
        <f t="shared" si="24"/>
        <v>7000</v>
      </c>
      <c r="Z99" s="474">
        <f>IF(ISERROR(VLOOKUP(L99,Gegenstände!$B$2:$N$2026,13,FALSE)),0,VLOOKUP(L99,Gegenstände!$B$2:$N$2026,13,FALSE))</f>
        <v>120</v>
      </c>
      <c r="AA99" s="142">
        <f>IF(ISERROR(VLOOKUP(N99,Gegenstände!$B$2:$N$2026,13,FALSE)),0,VLOOKUP(N99,Gegenstände!$B$2:$N$2026,13,FALSE))</f>
        <v>80</v>
      </c>
      <c r="AB99" s="142">
        <f>IF(ISERROR(VLOOKUP(P99,Gegenstände!$B$2:$N$2026,13,FALSE)),0,VLOOKUP(P99,Gegenstände!$B$2:$N$2026,13,FALSE))</f>
        <v>0</v>
      </c>
      <c r="AC99" s="142">
        <f>IF(ISERROR(VLOOKUP(R99,Gegenstände!$B$2:$N$2026,13,FALSE)),0,VLOOKUP(R99,Gegenstände!$B$2:$N$2026,13,FALSE))</f>
        <v>0</v>
      </c>
      <c r="AD99" s="142"/>
      <c r="AE99" s="475">
        <f t="shared" si="25"/>
        <v>2280</v>
      </c>
      <c r="AF99" s="476">
        <f t="shared" si="26"/>
        <v>2320</v>
      </c>
      <c r="AG99" s="128">
        <f t="shared" si="0"/>
        <v>0.32571428571428573</v>
      </c>
      <c r="AH99" s="128">
        <f t="shared" si="1"/>
        <v>0.33142857142857141</v>
      </c>
      <c r="AI99" s="129">
        <f t="shared" si="2"/>
        <v>0.65714285714285714</v>
      </c>
      <c r="AJ99" s="426">
        <f t="shared" si="27"/>
        <v>2400</v>
      </c>
      <c r="AK99" s="131">
        <f t="shared" si="13"/>
        <v>266.66666666666669</v>
      </c>
      <c r="AL99" s="477">
        <f>AK99/VLOOKUP(IF(I99&gt;0,I99,1),Preise!$A$3:$B$27,2,FALSE)</f>
        <v>102.56410256410257</v>
      </c>
    </row>
    <row r="100" spans="1:38" s="3" customFormat="1" outlineLevel="1" x14ac:dyDescent="0.2">
      <c r="A100" s="5">
        <v>1113</v>
      </c>
      <c r="B100" s="412">
        <v>1113</v>
      </c>
      <c r="C100" s="132" t="str">
        <f>VLOOKUP(B100,Gegenstände!$A63:$B782,2,FALSE)</f>
        <v>Schottenschwert</v>
      </c>
      <c r="D100" s="133">
        <f>VLOOKUP(B100,Gegenstände!$A63:$D782,4,FALSE)</f>
        <v>12</v>
      </c>
      <c r="E100" s="468">
        <v>30</v>
      </c>
      <c r="F100" s="134">
        <v>540</v>
      </c>
      <c r="G100" s="54">
        <v>3</v>
      </c>
      <c r="H100" s="469">
        <v>56</v>
      </c>
      <c r="I100" s="6">
        <v>11</v>
      </c>
      <c r="J100" s="417"/>
      <c r="K100" s="6">
        <v>17</v>
      </c>
      <c r="L100" s="1" t="s">
        <v>115</v>
      </c>
      <c r="M100" s="87">
        <v>3</v>
      </c>
      <c r="N100" s="83" t="s">
        <v>176</v>
      </c>
      <c r="O100" s="85">
        <v>14</v>
      </c>
      <c r="P100" s="83" t="s">
        <v>179</v>
      </c>
      <c r="Q100" s="85"/>
      <c r="R100" s="1"/>
      <c r="S100" s="418"/>
      <c r="T100" s="418"/>
      <c r="U100" s="471">
        <f>VLOOKUP(D100,Preise!$A$3:$C$27,3)</f>
        <v>4.6523913960640932</v>
      </c>
      <c r="V100" s="523">
        <f t="shared" si="22"/>
        <v>9304.782792128186</v>
      </c>
      <c r="W100" s="131"/>
      <c r="X100" s="472">
        <f t="shared" si="23"/>
        <v>9300</v>
      </c>
      <c r="Y100" s="473">
        <f t="shared" si="24"/>
        <v>9300</v>
      </c>
      <c r="Z100" s="474">
        <f>IF(ISERROR(VLOOKUP(L100,Gegenstände!$B$2:$N$2026,13,FALSE)),0,VLOOKUP(L100,Gegenstände!$B$2:$N$2026,13,FALSE))</f>
        <v>180</v>
      </c>
      <c r="AA100" s="142">
        <f>IF(ISERROR(VLOOKUP(N100,Gegenstände!$B$2:$N$2026,13,FALSE)),0,VLOOKUP(N100,Gegenstände!$B$2:$N$2026,13,FALSE))</f>
        <v>80</v>
      </c>
      <c r="AB100" s="142">
        <f>IF(ISERROR(VLOOKUP(P100,Gegenstände!$B$2:$N$2026,13,FALSE)),0,VLOOKUP(P100,Gegenstände!$B$2:$N$2026,13,FALSE))</f>
        <v>200</v>
      </c>
      <c r="AC100" s="142">
        <f>IF(ISERROR(VLOOKUP(R100,Gegenstände!$B$2:$N$2026,13,FALSE)),0,VLOOKUP(R100,Gegenstände!$B$2:$N$2026,13,FALSE))</f>
        <v>0</v>
      </c>
      <c r="AD100" s="142"/>
      <c r="AE100" s="475">
        <f t="shared" si="25"/>
        <v>3060</v>
      </c>
      <c r="AF100" s="476">
        <f t="shared" si="26"/>
        <v>3040</v>
      </c>
      <c r="AG100" s="128">
        <f t="shared" si="0"/>
        <v>0.32903225806451614</v>
      </c>
      <c r="AH100" s="128">
        <f t="shared" si="1"/>
        <v>0.32688172043010755</v>
      </c>
      <c r="AI100" s="129">
        <f t="shared" si="2"/>
        <v>0.65591397849462363</v>
      </c>
      <c r="AJ100" s="426">
        <f t="shared" si="27"/>
        <v>3200</v>
      </c>
      <c r="AK100" s="131">
        <f t="shared" si="13"/>
        <v>355.55555555555554</v>
      </c>
      <c r="AL100" s="477">
        <f>AK100/VLOOKUP(IF(I100&gt;0,I100,1),Preise!$A$3:$B$27,2,FALSE)</f>
        <v>118.51851851851849</v>
      </c>
    </row>
    <row r="101" spans="1:38" s="3" customFormat="1" outlineLevel="1" x14ac:dyDescent="0.2">
      <c r="A101" s="5">
        <v>1114</v>
      </c>
      <c r="B101" s="412">
        <v>1114</v>
      </c>
      <c r="C101" s="132" t="str">
        <f>VLOOKUP(B101,Gegenstände!$A64:$B783,2,FALSE)</f>
        <v>Flamberge</v>
      </c>
      <c r="D101" s="133">
        <f>VLOOKUP(B101,Gegenstände!$A64:$D783,4,FALSE)</f>
        <v>15</v>
      </c>
      <c r="E101" s="468">
        <v>30</v>
      </c>
      <c r="F101" s="134">
        <v>540</v>
      </c>
      <c r="G101" s="54">
        <v>3</v>
      </c>
      <c r="H101" s="469">
        <v>56</v>
      </c>
      <c r="I101" s="6">
        <v>14</v>
      </c>
      <c r="J101" s="417"/>
      <c r="K101" s="6">
        <v>26</v>
      </c>
      <c r="L101" s="1" t="s">
        <v>115</v>
      </c>
      <c r="M101" s="87">
        <v>6</v>
      </c>
      <c r="N101" s="83" t="s">
        <v>176</v>
      </c>
      <c r="O101" s="85">
        <v>21</v>
      </c>
      <c r="P101" s="83" t="s">
        <v>179</v>
      </c>
      <c r="Q101" s="85"/>
      <c r="R101" s="1"/>
      <c r="S101" s="418"/>
      <c r="T101" s="418"/>
      <c r="U101" s="471">
        <f>VLOOKUP(D101,Preise!$A$3:$C$27,3)</f>
        <v>7.0757057644889763</v>
      </c>
      <c r="V101" s="523">
        <f t="shared" si="22"/>
        <v>14151.411528977953</v>
      </c>
      <c r="W101" s="131"/>
      <c r="X101" s="472">
        <f t="shared" si="23"/>
        <v>14200</v>
      </c>
      <c r="Y101" s="473">
        <f t="shared" si="24"/>
        <v>14200</v>
      </c>
      <c r="Z101" s="474">
        <f>IF(ISERROR(VLOOKUP(L101,Gegenstände!$B$2:$N$2026,13,FALSE)),0,VLOOKUP(L101,Gegenstände!$B$2:$N$2026,13,FALSE))</f>
        <v>180</v>
      </c>
      <c r="AA101" s="142">
        <f>IF(ISERROR(VLOOKUP(N101,Gegenstände!$B$2:$N$2026,13,FALSE)),0,VLOOKUP(N101,Gegenstände!$B$2:$N$2026,13,FALSE))</f>
        <v>80</v>
      </c>
      <c r="AB101" s="142">
        <f>IF(ISERROR(VLOOKUP(P101,Gegenstände!$B$2:$N$2026,13,FALSE)),0,VLOOKUP(P101,Gegenstände!$B$2:$N$2026,13,FALSE))</f>
        <v>200</v>
      </c>
      <c r="AC101" s="142">
        <f>IF(ISERROR(VLOOKUP(R101,Gegenstände!$B$2:$N$2026,13,FALSE)),0,VLOOKUP(R101,Gegenstände!$B$2:$N$2026,13,FALSE))</f>
        <v>0</v>
      </c>
      <c r="AD101" s="142"/>
      <c r="AE101" s="475">
        <f t="shared" si="25"/>
        <v>4680</v>
      </c>
      <c r="AF101" s="476">
        <f t="shared" si="26"/>
        <v>4680</v>
      </c>
      <c r="AG101" s="128">
        <f t="shared" si="0"/>
        <v>0.3295774647887324</v>
      </c>
      <c r="AH101" s="128">
        <f t="shared" si="1"/>
        <v>0.3295774647887324</v>
      </c>
      <c r="AI101" s="129">
        <f t="shared" si="2"/>
        <v>0.6591549295774648</v>
      </c>
      <c r="AJ101" s="426">
        <f t="shared" si="27"/>
        <v>4840</v>
      </c>
      <c r="AK101" s="131">
        <f t="shared" si="13"/>
        <v>537.77777777777783</v>
      </c>
      <c r="AL101" s="477">
        <f>AK101/VLOOKUP(IF(I101&gt;0,I101,1),Preise!$A$3:$B$27,2,FALSE)</f>
        <v>149.38271604938268</v>
      </c>
    </row>
    <row r="102" spans="1:38" s="3" customFormat="1" outlineLevel="1" x14ac:dyDescent="0.2">
      <c r="A102" s="5">
        <v>1115</v>
      </c>
      <c r="B102" s="412">
        <v>1115</v>
      </c>
      <c r="C102" s="132" t="str">
        <f>VLOOKUP(B102,Gegenstände!$A65:$B784,2,FALSE)</f>
        <v>Prunkschwert</v>
      </c>
      <c r="D102" s="133">
        <f>VLOOKUP(B102,Gegenstände!$A65:$D784,4,FALSE)</f>
        <v>17</v>
      </c>
      <c r="E102" s="468">
        <v>30</v>
      </c>
      <c r="F102" s="134">
        <v>540</v>
      </c>
      <c r="G102" s="54">
        <v>4</v>
      </c>
      <c r="H102" s="469">
        <v>56</v>
      </c>
      <c r="I102" s="6">
        <v>16</v>
      </c>
      <c r="J102" s="417"/>
      <c r="K102" s="6">
        <v>23</v>
      </c>
      <c r="L102" s="1" t="s">
        <v>116</v>
      </c>
      <c r="M102" s="87">
        <v>8</v>
      </c>
      <c r="N102" s="83" t="s">
        <v>176</v>
      </c>
      <c r="O102" s="85">
        <v>28</v>
      </c>
      <c r="P102" s="83" t="s">
        <v>179</v>
      </c>
      <c r="Q102" s="85"/>
      <c r="R102" s="1"/>
      <c r="S102" s="418"/>
      <c r="T102" s="418"/>
      <c r="U102" s="471">
        <f>VLOOKUP(D102,Preise!$A$3:$C$27,3)</f>
        <v>9.3576208735366695</v>
      </c>
      <c r="V102" s="523">
        <f t="shared" si="22"/>
        <v>18715.241747073338</v>
      </c>
      <c r="W102" s="131"/>
      <c r="X102" s="472">
        <f t="shared" si="23"/>
        <v>18700</v>
      </c>
      <c r="Y102" s="473">
        <f t="shared" si="24"/>
        <v>18700</v>
      </c>
      <c r="Z102" s="474">
        <f>IF(ISERROR(VLOOKUP(L102,Gegenstände!$B$2:$N$2026,13,FALSE)),0,VLOOKUP(L102,Gegenstände!$B$2:$N$2026,13,FALSE))</f>
        <v>270</v>
      </c>
      <c r="AA102" s="142">
        <f>IF(ISERROR(VLOOKUP(N102,Gegenstände!$B$2:$N$2026,13,FALSE)),0,VLOOKUP(N102,Gegenstände!$B$2:$N$2026,13,FALSE))</f>
        <v>80</v>
      </c>
      <c r="AB102" s="142">
        <f>IF(ISERROR(VLOOKUP(P102,Gegenstände!$B$2:$N$2026,13,FALSE)),0,VLOOKUP(P102,Gegenstände!$B$2:$N$2026,13,FALSE))</f>
        <v>200</v>
      </c>
      <c r="AC102" s="142">
        <f>IF(ISERROR(VLOOKUP(R102,Gegenstände!$B$2:$N$2026,13,FALSE)),0,VLOOKUP(R102,Gegenstände!$B$2:$N$2026,13,FALSE))</f>
        <v>0</v>
      </c>
      <c r="AD102" s="142"/>
      <c r="AE102" s="475">
        <f t="shared" si="25"/>
        <v>6210</v>
      </c>
      <c r="AF102" s="476">
        <f t="shared" si="26"/>
        <v>6240</v>
      </c>
      <c r="AG102" s="128">
        <f t="shared" si="0"/>
        <v>0.33208556149732621</v>
      </c>
      <c r="AH102" s="128">
        <f t="shared" si="1"/>
        <v>0.3336898395721925</v>
      </c>
      <c r="AI102" s="129">
        <f t="shared" si="2"/>
        <v>0.66577540106951871</v>
      </c>
      <c r="AJ102" s="426">
        <f t="shared" si="27"/>
        <v>6250</v>
      </c>
      <c r="AK102" s="131">
        <f t="shared" si="13"/>
        <v>694.44444444444446</v>
      </c>
      <c r="AL102" s="477">
        <f>AK102/VLOOKUP(IF(I102&gt;0,I102,1),Preise!$A$3:$B$27,2,FALSE)</f>
        <v>173.61111111111109</v>
      </c>
    </row>
    <row r="103" spans="1:38" s="3" customFormat="1" outlineLevel="1" x14ac:dyDescent="0.2">
      <c r="A103" s="5">
        <v>1116</v>
      </c>
      <c r="B103" s="412">
        <v>1116</v>
      </c>
      <c r="C103" s="132" t="str">
        <f>VLOOKUP(B103,Gegenstände!$A66:$B785,2,FALSE)</f>
        <v>Elbenbann</v>
      </c>
      <c r="D103" s="133">
        <f>VLOOKUP(B103,Gegenstände!$A66:$D785,4,FALSE)</f>
        <v>20</v>
      </c>
      <c r="E103" s="468">
        <v>30</v>
      </c>
      <c r="F103" s="134">
        <v>540</v>
      </c>
      <c r="G103" s="54">
        <v>4</v>
      </c>
      <c r="H103" s="469">
        <v>56</v>
      </c>
      <c r="I103" s="6">
        <v>19</v>
      </c>
      <c r="J103" s="417"/>
      <c r="K103" s="6">
        <v>35</v>
      </c>
      <c r="L103" s="1" t="s">
        <v>116</v>
      </c>
      <c r="M103" s="87">
        <v>16</v>
      </c>
      <c r="N103" s="83" t="s">
        <v>176</v>
      </c>
      <c r="O103" s="85">
        <v>40</v>
      </c>
      <c r="P103" s="83" t="s">
        <v>179</v>
      </c>
      <c r="Q103" s="85"/>
      <c r="R103" s="1"/>
      <c r="S103" s="418"/>
      <c r="T103" s="418"/>
      <c r="U103" s="471">
        <f>VLOOKUP(D103,Preise!$A$3:$C$27,3)</f>
        <v>14.231771646040078</v>
      </c>
      <c r="V103" s="523">
        <f t="shared" si="22"/>
        <v>28463.543292080158</v>
      </c>
      <c r="W103" s="131"/>
      <c r="X103" s="472">
        <f t="shared" si="23"/>
        <v>28500</v>
      </c>
      <c r="Y103" s="473">
        <f t="shared" si="24"/>
        <v>28500</v>
      </c>
      <c r="Z103" s="474">
        <f>IF(ISERROR(VLOOKUP(L103,Gegenstände!$B$2:$N$2026,13,FALSE)),0,VLOOKUP(L103,Gegenstände!$B$2:$N$2026,13,FALSE))</f>
        <v>270</v>
      </c>
      <c r="AA103" s="142">
        <f>IF(ISERROR(VLOOKUP(N103,Gegenstände!$B$2:$N$2026,13,FALSE)),0,VLOOKUP(N103,Gegenstände!$B$2:$N$2026,13,FALSE))</f>
        <v>80</v>
      </c>
      <c r="AB103" s="142">
        <f>IF(ISERROR(VLOOKUP(P103,Gegenstände!$B$2:$N$2026,13,FALSE)),0,VLOOKUP(P103,Gegenstände!$B$2:$N$2026,13,FALSE))</f>
        <v>200</v>
      </c>
      <c r="AC103" s="142">
        <f>IF(ISERROR(VLOOKUP(R103,Gegenstände!$B$2:$N$2026,13,FALSE)),0,VLOOKUP(R103,Gegenstände!$B$2:$N$2026,13,FALSE))</f>
        <v>0</v>
      </c>
      <c r="AD103" s="142"/>
      <c r="AE103" s="475">
        <f t="shared" si="25"/>
        <v>9450</v>
      </c>
      <c r="AF103" s="476">
        <f t="shared" si="26"/>
        <v>9280</v>
      </c>
      <c r="AG103" s="128">
        <f t="shared" si="0"/>
        <v>0.33157894736842103</v>
      </c>
      <c r="AH103" s="128">
        <f t="shared" si="1"/>
        <v>0.3256140350877193</v>
      </c>
      <c r="AI103" s="129">
        <f t="shared" si="2"/>
        <v>0.65719298245614033</v>
      </c>
      <c r="AJ103" s="426">
        <f t="shared" si="27"/>
        <v>9770</v>
      </c>
      <c r="AK103" s="131">
        <f t="shared" si="13"/>
        <v>1085.5555555555557</v>
      </c>
      <c r="AL103" s="477">
        <f>AK103/VLOOKUP(IF(I103&gt;0,I103,1),Preise!$A$3:$B$27,2,FALSE)</f>
        <v>235.99033816425117</v>
      </c>
    </row>
    <row r="104" spans="1:38" s="3" customFormat="1" outlineLevel="1" x14ac:dyDescent="0.2">
      <c r="A104" s="5">
        <v>1117</v>
      </c>
      <c r="B104" s="412">
        <v>1117</v>
      </c>
      <c r="C104" s="132" t="str">
        <f>VLOOKUP(B104,Gegenstände!$A67:$B786,2,FALSE)</f>
        <v>Mondklinge</v>
      </c>
      <c r="D104" s="133">
        <f>VLOOKUP(B104,Gegenstände!$A67:$D786,4,FALSE)</f>
        <v>22</v>
      </c>
      <c r="E104" s="468">
        <v>30</v>
      </c>
      <c r="F104" s="134">
        <v>540</v>
      </c>
      <c r="G104" s="54">
        <v>5</v>
      </c>
      <c r="H104" s="469">
        <v>56</v>
      </c>
      <c r="I104" s="6">
        <v>21</v>
      </c>
      <c r="J104" s="417"/>
      <c r="K104" s="6">
        <v>34</v>
      </c>
      <c r="L104" s="1" t="s">
        <v>117</v>
      </c>
      <c r="M104" s="87">
        <v>5</v>
      </c>
      <c r="N104" s="83" t="s">
        <v>176</v>
      </c>
      <c r="O104" s="85">
        <v>10</v>
      </c>
      <c r="P104" s="83" t="s">
        <v>179</v>
      </c>
      <c r="Q104" s="85">
        <v>20</v>
      </c>
      <c r="R104" s="83" t="s">
        <v>181</v>
      </c>
      <c r="S104" s="170"/>
      <c r="T104" s="170"/>
      <c r="U104" s="471">
        <f>VLOOKUP(D104,Preise!$A$3:$C$27,3)</f>
        <v>18.821518001888002</v>
      </c>
      <c r="V104" s="523">
        <f t="shared" si="22"/>
        <v>37643.036003776004</v>
      </c>
      <c r="W104" s="131"/>
      <c r="X104" s="472">
        <f t="shared" si="23"/>
        <v>37600</v>
      </c>
      <c r="Y104" s="473">
        <f t="shared" si="24"/>
        <v>37600</v>
      </c>
      <c r="Z104" s="474">
        <f>IF(ISERROR(VLOOKUP(L104,Gegenstände!$B$2:$N$2026,13,FALSE)),0,VLOOKUP(L104,Gegenstände!$B$2:$N$2026,13,FALSE))</f>
        <v>360</v>
      </c>
      <c r="AA104" s="142">
        <f>IF(ISERROR(VLOOKUP(N104,Gegenstände!$B$2:$N$2026,13,FALSE)),0,VLOOKUP(N104,Gegenstände!$B$2:$N$2026,13,FALSE))</f>
        <v>80</v>
      </c>
      <c r="AB104" s="142">
        <f>IF(ISERROR(VLOOKUP(P104,Gegenstände!$B$2:$N$2026,13,FALSE)),0,VLOOKUP(P104,Gegenstände!$B$2:$N$2026,13,FALSE))</f>
        <v>200</v>
      </c>
      <c r="AC104" s="142">
        <f>IF(ISERROR(VLOOKUP(R104,Gegenstände!$B$2:$N$2026,13,FALSE)),0,VLOOKUP(R104,Gegenstände!$B$2:$N$2026,13,FALSE))</f>
        <v>500</v>
      </c>
      <c r="AD104" s="142"/>
      <c r="AE104" s="475">
        <f t="shared" si="25"/>
        <v>12240</v>
      </c>
      <c r="AF104" s="476">
        <f t="shared" si="26"/>
        <v>12400</v>
      </c>
      <c r="AG104" s="128">
        <f t="shared" ref="AG104:AG167" si="28">AE104/Y104</f>
        <v>0.32553191489361705</v>
      </c>
      <c r="AH104" s="128">
        <f t="shared" ref="AH104:AH167" si="29">AF104/Y104</f>
        <v>0.32978723404255317</v>
      </c>
      <c r="AI104" s="129">
        <f t="shared" ref="AI104:AI167" si="30">(AE104+AF104)/Y104</f>
        <v>0.65531914893617016</v>
      </c>
      <c r="AJ104" s="426">
        <f t="shared" si="27"/>
        <v>12960</v>
      </c>
      <c r="AK104" s="131">
        <f t="shared" si="13"/>
        <v>1440</v>
      </c>
      <c r="AL104" s="477">
        <f>AK104/VLOOKUP(IF(I104&gt;0,I104,1),Preise!$A$3:$B$27,2,FALSE)</f>
        <v>287.99999999999989</v>
      </c>
    </row>
    <row r="105" spans="1:38" s="3" customFormat="1" outlineLevel="1" x14ac:dyDescent="0.2">
      <c r="A105" s="5">
        <v>1118</v>
      </c>
      <c r="B105" s="412">
        <v>1118</v>
      </c>
      <c r="C105" s="132" t="str">
        <f>VLOOKUP(B105,Gegenstände!$A68:$B787,2,FALSE)</f>
        <v>Engelsklinge</v>
      </c>
      <c r="D105" s="133">
        <f>VLOOKUP(B105,Gegenstände!$A68:$D787,4,FALSE)</f>
        <v>25</v>
      </c>
      <c r="E105" s="468">
        <v>30</v>
      </c>
      <c r="F105" s="134">
        <v>540</v>
      </c>
      <c r="G105" s="54">
        <v>5</v>
      </c>
      <c r="H105" s="469">
        <v>56</v>
      </c>
      <c r="I105" s="6">
        <v>24</v>
      </c>
      <c r="J105" s="417"/>
      <c r="K105" s="6">
        <v>52</v>
      </c>
      <c r="L105" s="1" t="s">
        <v>117</v>
      </c>
      <c r="M105" s="87">
        <v>6</v>
      </c>
      <c r="N105" s="83" t="s">
        <v>176</v>
      </c>
      <c r="O105" s="85">
        <v>8</v>
      </c>
      <c r="P105" s="83" t="s">
        <v>179</v>
      </c>
      <c r="Q105" s="85">
        <v>34</v>
      </c>
      <c r="R105" s="83" t="s">
        <v>181</v>
      </c>
      <c r="S105" s="170"/>
      <c r="T105" s="170"/>
      <c r="U105" s="471">
        <f>VLOOKUP(D105,Preise!$A$3:$C$27,3)</f>
        <v>28.625176191121408</v>
      </c>
      <c r="V105" s="523">
        <f t="shared" si="22"/>
        <v>57250.352382242818</v>
      </c>
      <c r="W105" s="131"/>
      <c r="X105" s="472">
        <f t="shared" si="23"/>
        <v>57300</v>
      </c>
      <c r="Y105" s="473">
        <f t="shared" si="24"/>
        <v>57300</v>
      </c>
      <c r="Z105" s="474">
        <f>IF(ISERROR(VLOOKUP(L105,Gegenstände!$B$2:$N$2026,13,FALSE)),0,VLOOKUP(L105,Gegenstände!$B$2:$N$2026,13,FALSE))</f>
        <v>360</v>
      </c>
      <c r="AA105" s="142">
        <f>IF(ISERROR(VLOOKUP(N105,Gegenstände!$B$2:$N$2026,13,FALSE)),0,VLOOKUP(N105,Gegenstände!$B$2:$N$2026,13,FALSE))</f>
        <v>80</v>
      </c>
      <c r="AB105" s="142">
        <f>IF(ISERROR(VLOOKUP(P105,Gegenstände!$B$2:$N$2026,13,FALSE)),0,VLOOKUP(P105,Gegenstände!$B$2:$N$2026,13,FALSE))</f>
        <v>200</v>
      </c>
      <c r="AC105" s="142">
        <f>IF(ISERROR(VLOOKUP(R105,Gegenstände!$B$2:$N$2026,13,FALSE)),0,VLOOKUP(R105,Gegenstände!$B$2:$N$2026,13,FALSE))</f>
        <v>500</v>
      </c>
      <c r="AD105" s="142"/>
      <c r="AE105" s="475">
        <f t="shared" si="25"/>
        <v>18720</v>
      </c>
      <c r="AF105" s="476">
        <f t="shared" si="26"/>
        <v>19080</v>
      </c>
      <c r="AG105" s="128">
        <f t="shared" si="28"/>
        <v>0.32670157068062827</v>
      </c>
      <c r="AH105" s="128">
        <f t="shared" si="29"/>
        <v>0.33298429319371725</v>
      </c>
      <c r="AI105" s="129">
        <f t="shared" si="30"/>
        <v>0.65968586387434558</v>
      </c>
      <c r="AJ105" s="426">
        <f t="shared" si="27"/>
        <v>19500</v>
      </c>
      <c r="AK105" s="131">
        <f t="shared" si="13"/>
        <v>2166.6666666666665</v>
      </c>
      <c r="AL105" s="477">
        <f>AK105/VLOOKUP(IF(I105&gt;0,I105,1),Preise!$A$3:$B$27,2,FALSE)</f>
        <v>386.9047619047617</v>
      </c>
    </row>
    <row r="106" spans="1:38" s="3" customFormat="1" x14ac:dyDescent="0.2">
      <c r="A106" s="525"/>
      <c r="B106" s="526"/>
      <c r="C106" s="286"/>
      <c r="D106" s="396"/>
      <c r="E106" s="527"/>
      <c r="F106" s="528"/>
      <c r="G106" s="322"/>
      <c r="H106" s="529"/>
      <c r="I106" s="530"/>
      <c r="J106" s="531"/>
      <c r="K106" s="530"/>
      <c r="L106" s="532"/>
      <c r="M106" s="533"/>
      <c r="N106" s="532"/>
      <c r="O106" s="530"/>
      <c r="P106" s="532"/>
      <c r="Q106" s="530"/>
      <c r="R106" s="532"/>
      <c r="S106" s="534"/>
      <c r="T106" s="534"/>
      <c r="U106" s="536"/>
      <c r="V106" s="551">
        <v>1200</v>
      </c>
      <c r="W106" s="538"/>
      <c r="X106" s="539"/>
      <c r="Y106" s="540"/>
      <c r="Z106" s="541"/>
      <c r="AA106" s="542"/>
      <c r="AB106" s="542"/>
      <c r="AC106" s="542"/>
      <c r="AD106" s="542"/>
      <c r="AE106" s="543"/>
      <c r="AF106" s="544"/>
      <c r="AG106" s="545"/>
      <c r="AH106" s="545"/>
      <c r="AI106" s="546"/>
      <c r="AJ106" s="547"/>
      <c r="AK106" s="548"/>
      <c r="AL106" s="549"/>
    </row>
    <row r="107" spans="1:38" s="3" customFormat="1" outlineLevel="1" x14ac:dyDescent="0.2">
      <c r="A107" s="5">
        <v>1121</v>
      </c>
      <c r="B107" s="412">
        <v>1121</v>
      </c>
      <c r="C107" s="132" t="str">
        <f>VLOOKUP(B107,Gegenstände!$A70:$B789,2,FALSE)</f>
        <v>Messer</v>
      </c>
      <c r="D107" s="133">
        <f>VLOOKUP(B107,Gegenstände!$A70:$D789,4,FALSE)</f>
        <v>1</v>
      </c>
      <c r="E107" s="468">
        <v>30</v>
      </c>
      <c r="F107" s="134">
        <v>420</v>
      </c>
      <c r="G107" s="54">
        <v>1</v>
      </c>
      <c r="H107" s="469">
        <v>57</v>
      </c>
      <c r="I107" s="6">
        <v>0</v>
      </c>
      <c r="J107" s="417"/>
      <c r="K107" s="6">
        <v>7</v>
      </c>
      <c r="L107" s="1" t="s">
        <v>113</v>
      </c>
      <c r="M107" s="87">
        <v>5</v>
      </c>
      <c r="N107" s="83" t="s">
        <v>176</v>
      </c>
      <c r="O107" s="85"/>
      <c r="P107" s="1"/>
      <c r="Q107" s="6"/>
      <c r="R107" s="1"/>
      <c r="S107" s="418"/>
      <c r="T107" s="418"/>
      <c r="U107" s="471">
        <f>VLOOKUP(D107,Preise!$A$3:$C$27,3)</f>
        <v>1</v>
      </c>
      <c r="V107" s="523">
        <f t="shared" ref="V107:V116" si="31">U107*$V$106</f>
        <v>1200</v>
      </c>
      <c r="W107" s="131"/>
      <c r="X107" s="472">
        <f t="shared" ref="X107:X116" si="32">ROUND((V107/100),0)*100</f>
        <v>1200</v>
      </c>
      <c r="Y107" s="473">
        <f t="shared" ref="Y107:Y116" si="33">X107*IF(J107&gt;0,J107,1)</f>
        <v>1200</v>
      </c>
      <c r="Z107" s="474">
        <f>IF(ISERROR(VLOOKUP(L107,Gegenstände!$B$2:$N$2026,13,FALSE)),0,VLOOKUP(L107,Gegenstände!$B$2:$N$2026,13,FALSE))</f>
        <v>60</v>
      </c>
      <c r="AA107" s="142">
        <f>IF(ISERROR(VLOOKUP(N107,Gegenstände!$B$2:$N$2026,13,FALSE)),0,VLOOKUP(N107,Gegenstände!$B$2:$N$2026,13,FALSE))</f>
        <v>80</v>
      </c>
      <c r="AB107" s="142">
        <f>IF(ISERROR(VLOOKUP(P107,Gegenstände!$B$2:$N$2026,13,FALSE)),0,VLOOKUP(P107,Gegenstände!$B$2:$N$2026,13,FALSE))</f>
        <v>0</v>
      </c>
      <c r="AC107" s="142">
        <f>IF(ISERROR(VLOOKUP(R107,Gegenstände!$B$2:$N$2026,13,FALSE)),0,VLOOKUP(R107,Gegenstände!$B$2:$N$2026,13,FALSE))</f>
        <v>0</v>
      </c>
      <c r="AD107" s="142"/>
      <c r="AE107" s="475">
        <f t="shared" ref="AE107:AE116" si="34">IF(ISERROR(K107*Z107),"",K107*Z107)</f>
        <v>420</v>
      </c>
      <c r="AF107" s="476">
        <f t="shared" ref="AF107:AF116" si="35">IF(ISERROR(M107*AA107+O107*AB107+Q107*AC107),"",M107*AA107+O107*AB107+Q107*AC107)</f>
        <v>400</v>
      </c>
      <c r="AG107" s="128">
        <f t="shared" si="28"/>
        <v>0.35</v>
      </c>
      <c r="AH107" s="128">
        <f t="shared" si="29"/>
        <v>0.33333333333333331</v>
      </c>
      <c r="AI107" s="129">
        <f t="shared" si="30"/>
        <v>0.68333333333333335</v>
      </c>
      <c r="AJ107" s="426">
        <f t="shared" ref="AJ107:AJ116" si="36">Y107-(AE107+AF107)</f>
        <v>380</v>
      </c>
      <c r="AK107" s="131">
        <f t="shared" si="13"/>
        <v>54.285714285714285</v>
      </c>
      <c r="AL107" s="477">
        <f>AK107/VLOOKUP(IF(I107&gt;0,I107,1),Preise!$A$3:$B$27,2,FALSE)</f>
        <v>54.285714285714285</v>
      </c>
    </row>
    <row r="108" spans="1:38" s="3" customFormat="1" outlineLevel="1" x14ac:dyDescent="0.2">
      <c r="A108" s="5">
        <v>1122</v>
      </c>
      <c r="B108" s="412">
        <v>1122</v>
      </c>
      <c r="C108" s="132" t="str">
        <f>VLOOKUP(B108,Gegenstände!$A71:$B790,2,FALSE)</f>
        <v>Dolch</v>
      </c>
      <c r="D108" s="133">
        <f>VLOOKUP(B108,Gegenstände!$A71:$D790,4,FALSE)</f>
        <v>4</v>
      </c>
      <c r="E108" s="468">
        <v>30</v>
      </c>
      <c r="F108" s="134">
        <v>420</v>
      </c>
      <c r="G108" s="54">
        <v>1</v>
      </c>
      <c r="H108" s="469">
        <v>57</v>
      </c>
      <c r="I108" s="6">
        <v>3</v>
      </c>
      <c r="J108" s="417"/>
      <c r="K108" s="6">
        <v>10</v>
      </c>
      <c r="L108" s="1" t="s">
        <v>113</v>
      </c>
      <c r="M108" s="87">
        <v>7</v>
      </c>
      <c r="N108" s="83" t="s">
        <v>176</v>
      </c>
      <c r="O108" s="85"/>
      <c r="P108" s="1"/>
      <c r="Q108" s="6"/>
      <c r="R108" s="1"/>
      <c r="S108" s="418"/>
      <c r="T108" s="418"/>
      <c r="U108" s="471">
        <f>VLOOKUP(D108,Preise!$A$3:$C$27,3)</f>
        <v>1.5208749999999995</v>
      </c>
      <c r="V108" s="523">
        <f t="shared" si="31"/>
        <v>1825.0499999999995</v>
      </c>
      <c r="W108" s="131"/>
      <c r="X108" s="472">
        <f t="shared" si="32"/>
        <v>1800</v>
      </c>
      <c r="Y108" s="473">
        <f t="shared" si="33"/>
        <v>1800</v>
      </c>
      <c r="Z108" s="474">
        <f>IF(ISERROR(VLOOKUP(L108,Gegenstände!$B$2:$N$2026,13,FALSE)),0,VLOOKUP(L108,Gegenstände!$B$2:$N$2026,13,FALSE))</f>
        <v>60</v>
      </c>
      <c r="AA108" s="142">
        <f>IF(ISERROR(VLOOKUP(N108,Gegenstände!$B$2:$N$2026,13,FALSE)),0,VLOOKUP(N108,Gegenstände!$B$2:$N$2026,13,FALSE))</f>
        <v>80</v>
      </c>
      <c r="AB108" s="142">
        <f>IF(ISERROR(VLOOKUP(P108,Gegenstände!$B$2:$N$2026,13,FALSE)),0,VLOOKUP(P108,Gegenstände!$B$2:$N$2026,13,FALSE))</f>
        <v>0</v>
      </c>
      <c r="AC108" s="142">
        <f>IF(ISERROR(VLOOKUP(R108,Gegenstände!$B$2:$N$2026,13,FALSE)),0,VLOOKUP(R108,Gegenstände!$B$2:$N$2026,13,FALSE))</f>
        <v>0</v>
      </c>
      <c r="AD108" s="142"/>
      <c r="AE108" s="475">
        <f t="shared" si="34"/>
        <v>600</v>
      </c>
      <c r="AF108" s="476">
        <f t="shared" si="35"/>
        <v>560</v>
      </c>
      <c r="AG108" s="128">
        <f t="shared" si="28"/>
        <v>0.33333333333333331</v>
      </c>
      <c r="AH108" s="128">
        <f t="shared" si="29"/>
        <v>0.31111111111111112</v>
      </c>
      <c r="AI108" s="129">
        <f t="shared" si="30"/>
        <v>0.64444444444444449</v>
      </c>
      <c r="AJ108" s="426">
        <f t="shared" si="36"/>
        <v>640</v>
      </c>
      <c r="AK108" s="131">
        <f t="shared" si="13"/>
        <v>91.428571428571431</v>
      </c>
      <c r="AL108" s="477">
        <f>AK108/VLOOKUP(IF(I108&gt;0,I108,1),Preise!$A$3:$B$27,2,FALSE)</f>
        <v>65.306122448979593</v>
      </c>
    </row>
    <row r="109" spans="1:38" s="3" customFormat="1" outlineLevel="1" x14ac:dyDescent="0.2">
      <c r="A109" s="5">
        <v>1123</v>
      </c>
      <c r="B109" s="412">
        <v>1123</v>
      </c>
      <c r="C109" s="132" t="str">
        <f>VLOOKUP(B109,Gegenstände!$A72:$B791,2,FALSE)</f>
        <v>Stilett</v>
      </c>
      <c r="D109" s="133">
        <f>VLOOKUP(B109,Gegenstände!$A72:$D791,4,FALSE)</f>
        <v>6</v>
      </c>
      <c r="E109" s="468">
        <v>30</v>
      </c>
      <c r="F109" s="134">
        <v>420</v>
      </c>
      <c r="G109" s="54">
        <v>2</v>
      </c>
      <c r="H109" s="469">
        <v>57</v>
      </c>
      <c r="I109" s="6">
        <v>5</v>
      </c>
      <c r="J109" s="417"/>
      <c r="K109" s="6">
        <v>7</v>
      </c>
      <c r="L109" s="1" t="s">
        <v>114</v>
      </c>
      <c r="M109" s="87">
        <v>10</v>
      </c>
      <c r="N109" s="83" t="s">
        <v>176</v>
      </c>
      <c r="O109" s="85"/>
      <c r="P109" s="1"/>
      <c r="Q109" s="6"/>
      <c r="R109" s="1"/>
      <c r="S109" s="418"/>
      <c r="T109" s="418"/>
      <c r="U109" s="471">
        <f>VLOOKUP(D109,Preise!$A$3:$C$27,3)</f>
        <v>2.0113571874999994</v>
      </c>
      <c r="V109" s="523">
        <f t="shared" si="31"/>
        <v>2413.6286249999994</v>
      </c>
      <c r="W109" s="131"/>
      <c r="X109" s="472">
        <f t="shared" si="32"/>
        <v>2400</v>
      </c>
      <c r="Y109" s="473">
        <f t="shared" si="33"/>
        <v>2400</v>
      </c>
      <c r="Z109" s="474">
        <f>IF(ISERROR(VLOOKUP(L109,Gegenstände!$B$2:$N$2026,13,FALSE)),0,VLOOKUP(L109,Gegenstände!$B$2:$N$2026,13,FALSE))</f>
        <v>120</v>
      </c>
      <c r="AA109" s="142">
        <f>IF(ISERROR(VLOOKUP(N109,Gegenstände!$B$2:$N$2026,13,FALSE)),0,VLOOKUP(N109,Gegenstände!$B$2:$N$2026,13,FALSE))</f>
        <v>80</v>
      </c>
      <c r="AB109" s="142">
        <f>IF(ISERROR(VLOOKUP(P109,Gegenstände!$B$2:$N$2026,13,FALSE)),0,VLOOKUP(P109,Gegenstände!$B$2:$N$2026,13,FALSE))</f>
        <v>0</v>
      </c>
      <c r="AC109" s="142">
        <f>IF(ISERROR(VLOOKUP(R109,Gegenstände!$B$2:$N$2026,13,FALSE)),0,VLOOKUP(R109,Gegenstände!$B$2:$N$2026,13,FALSE))</f>
        <v>0</v>
      </c>
      <c r="AD109" s="142"/>
      <c r="AE109" s="475">
        <f t="shared" si="34"/>
        <v>840</v>
      </c>
      <c r="AF109" s="476">
        <f t="shared" si="35"/>
        <v>800</v>
      </c>
      <c r="AG109" s="128">
        <f t="shared" si="28"/>
        <v>0.35</v>
      </c>
      <c r="AH109" s="128">
        <f t="shared" si="29"/>
        <v>0.33333333333333331</v>
      </c>
      <c r="AI109" s="129">
        <f t="shared" si="30"/>
        <v>0.68333333333333335</v>
      </c>
      <c r="AJ109" s="426">
        <f t="shared" si="36"/>
        <v>760</v>
      </c>
      <c r="AK109" s="131">
        <f t="shared" si="13"/>
        <v>108.57142857142857</v>
      </c>
      <c r="AL109" s="477">
        <f>AK109/VLOOKUP(IF(I109&gt;0,I109,1),Preise!$A$3:$B$27,2,FALSE)</f>
        <v>60.317460317460323</v>
      </c>
    </row>
    <row r="110" spans="1:38" s="3" customFormat="1" outlineLevel="1" x14ac:dyDescent="0.2">
      <c r="A110" s="5">
        <v>1124</v>
      </c>
      <c r="B110" s="412">
        <v>1124</v>
      </c>
      <c r="C110" s="132" t="str">
        <f>VLOOKUP(B110,Gegenstände!$A73:$B792,2,FALSE)</f>
        <v>Ochsenzunge</v>
      </c>
      <c r="D110" s="133">
        <f>VLOOKUP(B110,Gegenstände!$A73:$D792,4,FALSE)</f>
        <v>9</v>
      </c>
      <c r="E110" s="468">
        <v>30</v>
      </c>
      <c r="F110" s="134">
        <v>420</v>
      </c>
      <c r="G110" s="54">
        <v>2</v>
      </c>
      <c r="H110" s="469">
        <v>57</v>
      </c>
      <c r="I110" s="6">
        <v>8</v>
      </c>
      <c r="J110" s="417"/>
      <c r="K110" s="6">
        <v>10</v>
      </c>
      <c r="L110" s="1" t="s">
        <v>114</v>
      </c>
      <c r="M110" s="87">
        <v>15</v>
      </c>
      <c r="N110" s="83" t="s">
        <v>176</v>
      </c>
      <c r="O110" s="85"/>
      <c r="P110" s="1"/>
      <c r="Q110" s="6"/>
      <c r="R110" s="1"/>
      <c r="S110" s="418"/>
      <c r="T110" s="418"/>
      <c r="U110" s="471">
        <f>VLOOKUP(D110,Preise!$A$3:$C$27,3)</f>
        <v>3.0590228625390607</v>
      </c>
      <c r="V110" s="523">
        <f t="shared" si="31"/>
        <v>3670.8274350468728</v>
      </c>
      <c r="W110" s="131"/>
      <c r="X110" s="472">
        <f t="shared" si="32"/>
        <v>3700</v>
      </c>
      <c r="Y110" s="473">
        <f t="shared" si="33"/>
        <v>3700</v>
      </c>
      <c r="Z110" s="474">
        <f>IF(ISERROR(VLOOKUP(L110,Gegenstände!$B$2:$N$2026,13,FALSE)),0,VLOOKUP(L110,Gegenstände!$B$2:$N$2026,13,FALSE))</f>
        <v>120</v>
      </c>
      <c r="AA110" s="142">
        <f>IF(ISERROR(VLOOKUP(N110,Gegenstände!$B$2:$N$2026,13,FALSE)),0,VLOOKUP(N110,Gegenstände!$B$2:$N$2026,13,FALSE))</f>
        <v>80</v>
      </c>
      <c r="AB110" s="142">
        <f>IF(ISERROR(VLOOKUP(P110,Gegenstände!$B$2:$N$2026,13,FALSE)),0,VLOOKUP(P110,Gegenstände!$B$2:$N$2026,13,FALSE))</f>
        <v>0</v>
      </c>
      <c r="AC110" s="142">
        <f>IF(ISERROR(VLOOKUP(R110,Gegenstände!$B$2:$N$2026,13,FALSE)),0,VLOOKUP(R110,Gegenstände!$B$2:$N$2026,13,FALSE))</f>
        <v>0</v>
      </c>
      <c r="AD110" s="142"/>
      <c r="AE110" s="475">
        <f t="shared" si="34"/>
        <v>1200</v>
      </c>
      <c r="AF110" s="476">
        <f t="shared" si="35"/>
        <v>1200</v>
      </c>
      <c r="AG110" s="128">
        <f t="shared" si="28"/>
        <v>0.32432432432432434</v>
      </c>
      <c r="AH110" s="128">
        <f t="shared" si="29"/>
        <v>0.32432432432432434</v>
      </c>
      <c r="AI110" s="129">
        <f t="shared" si="30"/>
        <v>0.64864864864864868</v>
      </c>
      <c r="AJ110" s="426">
        <f t="shared" si="36"/>
        <v>1300</v>
      </c>
      <c r="AK110" s="131">
        <f t="shared" si="13"/>
        <v>185.71428571428572</v>
      </c>
      <c r="AL110" s="477">
        <f>AK110/VLOOKUP(IF(I110&gt;0,I110,1),Preise!$A$3:$B$27,2,FALSE)</f>
        <v>77.380952380952394</v>
      </c>
    </row>
    <row r="111" spans="1:38" s="3" customFormat="1" outlineLevel="1" x14ac:dyDescent="0.2">
      <c r="A111" s="5">
        <v>1125</v>
      </c>
      <c r="B111" s="412">
        <v>1125</v>
      </c>
      <c r="C111" s="132" t="str">
        <f>VLOOKUP(B111,Gegenstände!$A74:$B793,2,FALSE)</f>
        <v>Entermesser</v>
      </c>
      <c r="D111" s="133">
        <f>VLOOKUP(B111,Gegenstände!$A74:$D793,4,FALSE)</f>
        <v>11</v>
      </c>
      <c r="E111" s="468">
        <v>30</v>
      </c>
      <c r="F111" s="134">
        <v>420</v>
      </c>
      <c r="G111" s="54">
        <v>3</v>
      </c>
      <c r="H111" s="469">
        <v>57</v>
      </c>
      <c r="I111" s="6">
        <v>10</v>
      </c>
      <c r="J111" s="417"/>
      <c r="K111" s="6">
        <v>9</v>
      </c>
      <c r="L111" s="1" t="s">
        <v>115</v>
      </c>
      <c r="M111" s="87">
        <v>5</v>
      </c>
      <c r="N111" s="83" t="s">
        <v>176</v>
      </c>
      <c r="O111" s="85">
        <v>6</v>
      </c>
      <c r="P111" s="83" t="s">
        <v>179</v>
      </c>
      <c r="Q111" s="85"/>
      <c r="R111" s="1"/>
      <c r="S111" s="418"/>
      <c r="T111" s="418"/>
      <c r="U111" s="471">
        <f>VLOOKUP(D111,Preise!$A$3:$C$27,3)</f>
        <v>4.0455577357079076</v>
      </c>
      <c r="V111" s="523">
        <f t="shared" si="31"/>
        <v>4854.6692828494888</v>
      </c>
      <c r="W111" s="131"/>
      <c r="X111" s="472">
        <f t="shared" si="32"/>
        <v>4900</v>
      </c>
      <c r="Y111" s="473">
        <f t="shared" si="33"/>
        <v>4900</v>
      </c>
      <c r="Z111" s="474">
        <f>IF(ISERROR(VLOOKUP(L111,Gegenstände!$B$2:$N$2026,13,FALSE)),0,VLOOKUP(L111,Gegenstände!$B$2:$N$2026,13,FALSE))</f>
        <v>180</v>
      </c>
      <c r="AA111" s="142">
        <f>IF(ISERROR(VLOOKUP(N111,Gegenstände!$B$2:$N$2026,13,FALSE)),0,VLOOKUP(N111,Gegenstände!$B$2:$N$2026,13,FALSE))</f>
        <v>80</v>
      </c>
      <c r="AB111" s="142">
        <f>IF(ISERROR(VLOOKUP(P111,Gegenstände!$B$2:$N$2026,13,FALSE)),0,VLOOKUP(P111,Gegenstände!$B$2:$N$2026,13,FALSE))</f>
        <v>200</v>
      </c>
      <c r="AC111" s="142">
        <f>IF(ISERROR(VLOOKUP(R111,Gegenstände!$B$2:$N$2026,13,FALSE)),0,VLOOKUP(R111,Gegenstände!$B$2:$N$2026,13,FALSE))</f>
        <v>0</v>
      </c>
      <c r="AD111" s="142"/>
      <c r="AE111" s="475">
        <f t="shared" si="34"/>
        <v>1620</v>
      </c>
      <c r="AF111" s="476">
        <f t="shared" si="35"/>
        <v>1600</v>
      </c>
      <c r="AG111" s="128">
        <f t="shared" si="28"/>
        <v>0.33061224489795921</v>
      </c>
      <c r="AH111" s="128">
        <f t="shared" si="29"/>
        <v>0.32653061224489793</v>
      </c>
      <c r="AI111" s="129">
        <f t="shared" si="30"/>
        <v>0.65714285714285714</v>
      </c>
      <c r="AJ111" s="426">
        <f t="shared" si="36"/>
        <v>1680</v>
      </c>
      <c r="AK111" s="131">
        <f t="shared" si="13"/>
        <v>240</v>
      </c>
      <c r="AL111" s="477">
        <f>AK111/VLOOKUP(IF(I111&gt;0,I111,1),Preise!$A$3:$B$27,2,FALSE)</f>
        <v>85.714285714285708</v>
      </c>
    </row>
    <row r="112" spans="1:38" s="3" customFormat="1" outlineLevel="1" x14ac:dyDescent="0.2">
      <c r="A112" s="5">
        <v>1126</v>
      </c>
      <c r="B112" s="412">
        <v>1126</v>
      </c>
      <c r="C112" s="132" t="str">
        <f>VLOOKUP(B112,Gegenstände!$A75:$B794,2,FALSE)</f>
        <v>Stoßdolch</v>
      </c>
      <c r="D112" s="133">
        <f>VLOOKUP(B112,Gegenstände!$A75:$D794,4,FALSE)</f>
        <v>14</v>
      </c>
      <c r="E112" s="468">
        <v>30</v>
      </c>
      <c r="F112" s="134">
        <v>420</v>
      </c>
      <c r="G112" s="54">
        <v>3</v>
      </c>
      <c r="H112" s="469">
        <v>57</v>
      </c>
      <c r="I112" s="6">
        <v>13</v>
      </c>
      <c r="J112" s="417"/>
      <c r="K112" s="6">
        <v>14</v>
      </c>
      <c r="L112" s="1" t="s">
        <v>115</v>
      </c>
      <c r="M112" s="87">
        <v>3</v>
      </c>
      <c r="N112" s="83" t="s">
        <v>176</v>
      </c>
      <c r="O112" s="85">
        <v>11</v>
      </c>
      <c r="P112" s="83" t="s">
        <v>179</v>
      </c>
      <c r="Q112" s="85"/>
      <c r="R112" s="1"/>
      <c r="S112" s="418"/>
      <c r="T112" s="418"/>
      <c r="U112" s="471">
        <f>VLOOKUP(D112,Preise!$A$3:$C$27,3)</f>
        <v>6.1527876212947623</v>
      </c>
      <c r="V112" s="523">
        <f t="shared" si="31"/>
        <v>7383.3451455537152</v>
      </c>
      <c r="W112" s="131"/>
      <c r="X112" s="472">
        <f t="shared" si="32"/>
        <v>7400</v>
      </c>
      <c r="Y112" s="473">
        <f t="shared" si="33"/>
        <v>7400</v>
      </c>
      <c r="Z112" s="474">
        <f>IF(ISERROR(VLOOKUP(L112,Gegenstände!$B$2:$N$2026,13,FALSE)),0,VLOOKUP(L112,Gegenstände!$B$2:$N$2026,13,FALSE))</f>
        <v>180</v>
      </c>
      <c r="AA112" s="142">
        <f>IF(ISERROR(VLOOKUP(N112,Gegenstände!$B$2:$N$2026,13,FALSE)),0,VLOOKUP(N112,Gegenstände!$B$2:$N$2026,13,FALSE))</f>
        <v>80</v>
      </c>
      <c r="AB112" s="142">
        <f>IF(ISERROR(VLOOKUP(P112,Gegenstände!$B$2:$N$2026,13,FALSE)),0,VLOOKUP(P112,Gegenstände!$B$2:$N$2026,13,FALSE))</f>
        <v>200</v>
      </c>
      <c r="AC112" s="142">
        <f>IF(ISERROR(VLOOKUP(R112,Gegenstände!$B$2:$N$2026,13,FALSE)),0,VLOOKUP(R112,Gegenstände!$B$2:$N$2026,13,FALSE))</f>
        <v>0</v>
      </c>
      <c r="AD112" s="142"/>
      <c r="AE112" s="475">
        <f t="shared" si="34"/>
        <v>2520</v>
      </c>
      <c r="AF112" s="476">
        <f t="shared" si="35"/>
        <v>2440</v>
      </c>
      <c r="AG112" s="128">
        <f t="shared" si="28"/>
        <v>0.34054054054054056</v>
      </c>
      <c r="AH112" s="128">
        <f t="shared" si="29"/>
        <v>0.32972972972972975</v>
      </c>
      <c r="AI112" s="129">
        <f t="shared" si="30"/>
        <v>0.67027027027027031</v>
      </c>
      <c r="AJ112" s="426">
        <f t="shared" si="36"/>
        <v>2440</v>
      </c>
      <c r="AK112" s="131">
        <f t="shared" si="13"/>
        <v>348.57142857142856</v>
      </c>
      <c r="AL112" s="477">
        <f>AK112/VLOOKUP(IF(I112&gt;0,I112,1),Preise!$A$3:$B$27,2,FALSE)</f>
        <v>102.52100840336132</v>
      </c>
    </row>
    <row r="113" spans="1:38" s="3" customFormat="1" outlineLevel="1" x14ac:dyDescent="0.2">
      <c r="A113" s="5">
        <v>1127</v>
      </c>
      <c r="B113" s="412">
        <v>1127</v>
      </c>
      <c r="C113" s="132" t="str">
        <f>VLOOKUP(B113,Gegenstände!$A76:$B795,2,FALSE)</f>
        <v>Schlangendolch</v>
      </c>
      <c r="D113" s="133">
        <f>VLOOKUP(B113,Gegenstände!$A76:$D795,4,FALSE)</f>
        <v>16</v>
      </c>
      <c r="E113" s="468">
        <v>30</v>
      </c>
      <c r="F113" s="134">
        <v>420</v>
      </c>
      <c r="G113" s="54">
        <v>4</v>
      </c>
      <c r="H113" s="469">
        <v>57</v>
      </c>
      <c r="I113" s="6">
        <v>15</v>
      </c>
      <c r="J113" s="417"/>
      <c r="K113" s="6">
        <v>12</v>
      </c>
      <c r="L113" s="1" t="s">
        <v>116</v>
      </c>
      <c r="M113" s="87">
        <v>5</v>
      </c>
      <c r="N113" s="83" t="s">
        <v>176</v>
      </c>
      <c r="O113" s="85">
        <v>14</v>
      </c>
      <c r="P113" s="83" t="s">
        <v>179</v>
      </c>
      <c r="Q113" s="85"/>
      <c r="R113" s="1"/>
      <c r="S113" s="418"/>
      <c r="T113" s="418"/>
      <c r="U113" s="471">
        <f>VLOOKUP(D113,Preise!$A$3:$C$27,3)</f>
        <v>8.1370616291623215</v>
      </c>
      <c r="V113" s="523">
        <f t="shared" si="31"/>
        <v>9764.4739549947863</v>
      </c>
      <c r="W113" s="131"/>
      <c r="X113" s="472">
        <f t="shared" si="32"/>
        <v>9800</v>
      </c>
      <c r="Y113" s="473">
        <f t="shared" si="33"/>
        <v>9800</v>
      </c>
      <c r="Z113" s="474">
        <f>IF(ISERROR(VLOOKUP(L113,Gegenstände!$B$2:$N$2026,13,FALSE)),0,VLOOKUP(L113,Gegenstände!$B$2:$N$2026,13,FALSE))</f>
        <v>270</v>
      </c>
      <c r="AA113" s="142">
        <f>IF(ISERROR(VLOOKUP(N113,Gegenstände!$B$2:$N$2026,13,FALSE)),0,VLOOKUP(N113,Gegenstände!$B$2:$N$2026,13,FALSE))</f>
        <v>80</v>
      </c>
      <c r="AB113" s="142">
        <f>IF(ISERROR(VLOOKUP(P113,Gegenstände!$B$2:$N$2026,13,FALSE)),0,VLOOKUP(P113,Gegenstände!$B$2:$N$2026,13,FALSE))</f>
        <v>200</v>
      </c>
      <c r="AC113" s="142">
        <f>IF(ISERROR(VLOOKUP(R113,Gegenstände!$B$2:$N$2026,13,FALSE)),0,VLOOKUP(R113,Gegenstände!$B$2:$N$2026,13,FALSE))</f>
        <v>0</v>
      </c>
      <c r="AD113" s="142"/>
      <c r="AE113" s="475">
        <f t="shared" si="34"/>
        <v>3240</v>
      </c>
      <c r="AF113" s="476">
        <f t="shared" si="35"/>
        <v>3200</v>
      </c>
      <c r="AG113" s="128">
        <f t="shared" si="28"/>
        <v>0.33061224489795921</v>
      </c>
      <c r="AH113" s="128">
        <f t="shared" si="29"/>
        <v>0.32653061224489793</v>
      </c>
      <c r="AI113" s="129">
        <f t="shared" si="30"/>
        <v>0.65714285714285714</v>
      </c>
      <c r="AJ113" s="426">
        <f t="shared" si="36"/>
        <v>3360</v>
      </c>
      <c r="AK113" s="131">
        <f t="shared" si="13"/>
        <v>480</v>
      </c>
      <c r="AL113" s="477">
        <f>AK113/VLOOKUP(IF(I113&gt;0,I113,1),Preise!$A$3:$B$27,2,FALSE)</f>
        <v>126.31578947368418</v>
      </c>
    </row>
    <row r="114" spans="1:38" s="3" customFormat="1" outlineLevel="1" x14ac:dyDescent="0.2">
      <c r="A114" s="5">
        <v>1128</v>
      </c>
      <c r="B114" s="412">
        <v>1128</v>
      </c>
      <c r="C114" s="132" t="str">
        <f>VLOOKUP(B114,Gegenstände!$A77:$B796,2,FALSE)</f>
        <v>Assassinenklinge</v>
      </c>
      <c r="D114" s="133">
        <f>VLOOKUP(B114,Gegenstände!$A77:$D796,4,FALSE)</f>
        <v>19</v>
      </c>
      <c r="E114" s="468">
        <v>30</v>
      </c>
      <c r="F114" s="134">
        <v>420</v>
      </c>
      <c r="G114" s="54">
        <v>4</v>
      </c>
      <c r="H114" s="469">
        <v>57</v>
      </c>
      <c r="I114" s="6">
        <v>18</v>
      </c>
      <c r="J114" s="417"/>
      <c r="K114" s="6">
        <v>18</v>
      </c>
      <c r="L114" s="1" t="s">
        <v>116</v>
      </c>
      <c r="M114" s="87">
        <v>6</v>
      </c>
      <c r="N114" s="83" t="s">
        <v>176</v>
      </c>
      <c r="O114" s="85">
        <v>22</v>
      </c>
      <c r="P114" s="83" t="s">
        <v>179</v>
      </c>
      <c r="Q114" s="85"/>
      <c r="R114" s="1"/>
      <c r="S114" s="418"/>
      <c r="T114" s="418"/>
      <c r="U114" s="471">
        <f>VLOOKUP(D114,Preise!$A$3:$C$27,3)</f>
        <v>12.375453605252243</v>
      </c>
      <c r="V114" s="523">
        <f t="shared" si="31"/>
        <v>14850.544326302692</v>
      </c>
      <c r="W114" s="131"/>
      <c r="X114" s="472">
        <f t="shared" si="32"/>
        <v>14900</v>
      </c>
      <c r="Y114" s="473">
        <f t="shared" si="33"/>
        <v>14900</v>
      </c>
      <c r="Z114" s="474">
        <f>IF(ISERROR(VLOOKUP(L114,Gegenstände!$B$2:$N$2026,13,FALSE)),0,VLOOKUP(L114,Gegenstände!$B$2:$N$2026,13,FALSE))</f>
        <v>270</v>
      </c>
      <c r="AA114" s="142">
        <f>IF(ISERROR(VLOOKUP(N114,Gegenstände!$B$2:$N$2026,13,FALSE)),0,VLOOKUP(N114,Gegenstände!$B$2:$N$2026,13,FALSE))</f>
        <v>80</v>
      </c>
      <c r="AB114" s="142">
        <f>IF(ISERROR(VLOOKUP(P114,Gegenstände!$B$2:$N$2026,13,FALSE)),0,VLOOKUP(P114,Gegenstände!$B$2:$N$2026,13,FALSE))</f>
        <v>200</v>
      </c>
      <c r="AC114" s="142">
        <f>IF(ISERROR(VLOOKUP(R114,Gegenstände!$B$2:$N$2026,13,FALSE)),0,VLOOKUP(R114,Gegenstände!$B$2:$N$2026,13,FALSE))</f>
        <v>0</v>
      </c>
      <c r="AD114" s="142"/>
      <c r="AE114" s="475">
        <f t="shared" si="34"/>
        <v>4860</v>
      </c>
      <c r="AF114" s="476">
        <f t="shared" si="35"/>
        <v>4880</v>
      </c>
      <c r="AG114" s="128">
        <f t="shared" si="28"/>
        <v>0.32617449664429532</v>
      </c>
      <c r="AH114" s="128">
        <f t="shared" si="29"/>
        <v>0.32751677852348993</v>
      </c>
      <c r="AI114" s="129">
        <f t="shared" si="30"/>
        <v>0.65369127516778525</v>
      </c>
      <c r="AJ114" s="426">
        <f t="shared" si="36"/>
        <v>5160</v>
      </c>
      <c r="AK114" s="131">
        <f t="shared" si="13"/>
        <v>737.14285714285711</v>
      </c>
      <c r="AL114" s="477">
        <f>AK114/VLOOKUP(IF(I114&gt;0,I114,1),Preise!$A$3:$B$27,2,FALSE)</f>
        <v>167.53246753246748</v>
      </c>
    </row>
    <row r="115" spans="1:38" s="3" customFormat="1" outlineLevel="1" x14ac:dyDescent="0.2">
      <c r="A115" s="5">
        <v>1129</v>
      </c>
      <c r="B115" s="412">
        <v>1129</v>
      </c>
      <c r="C115" s="132" t="str">
        <f>VLOOKUP(B115,Gegenstände!$A78:$B797,2,FALSE)</f>
        <v>Spitzdolch</v>
      </c>
      <c r="D115" s="133">
        <f>VLOOKUP(B115,Gegenstände!$A78:$D797,4,FALSE)</f>
        <v>22</v>
      </c>
      <c r="E115" s="468">
        <v>30</v>
      </c>
      <c r="F115" s="134">
        <v>420</v>
      </c>
      <c r="G115" s="54">
        <v>5</v>
      </c>
      <c r="H115" s="469">
        <v>57</v>
      </c>
      <c r="I115" s="6">
        <v>21</v>
      </c>
      <c r="J115" s="417"/>
      <c r="K115" s="6">
        <v>21</v>
      </c>
      <c r="L115" s="1" t="s">
        <v>117</v>
      </c>
      <c r="M115" s="87">
        <v>5</v>
      </c>
      <c r="N115" s="83" t="s">
        <v>176</v>
      </c>
      <c r="O115" s="85">
        <v>10</v>
      </c>
      <c r="P115" s="83" t="s">
        <v>179</v>
      </c>
      <c r="Q115" s="85">
        <v>10</v>
      </c>
      <c r="R115" s="83" t="s">
        <v>181</v>
      </c>
      <c r="S115" s="170"/>
      <c r="T115" s="170"/>
      <c r="U115" s="471">
        <f>VLOOKUP(D115,Preise!$A$3:$C$27,3)</f>
        <v>18.821518001888002</v>
      </c>
      <c r="V115" s="523">
        <f t="shared" si="31"/>
        <v>22585.821602265602</v>
      </c>
      <c r="W115" s="131"/>
      <c r="X115" s="472">
        <f t="shared" si="32"/>
        <v>22600</v>
      </c>
      <c r="Y115" s="473">
        <f t="shared" si="33"/>
        <v>22600</v>
      </c>
      <c r="Z115" s="474">
        <f>IF(ISERROR(VLOOKUP(L115,Gegenstände!$B$2:$N$2026,13,FALSE)),0,VLOOKUP(L115,Gegenstände!$B$2:$N$2026,13,FALSE))</f>
        <v>360</v>
      </c>
      <c r="AA115" s="142">
        <f>IF(ISERROR(VLOOKUP(N115,Gegenstände!$B$2:$N$2026,13,FALSE)),0,VLOOKUP(N115,Gegenstände!$B$2:$N$2026,13,FALSE))</f>
        <v>80</v>
      </c>
      <c r="AB115" s="142">
        <f>IF(ISERROR(VLOOKUP(P115,Gegenstände!$B$2:$N$2026,13,FALSE)),0,VLOOKUP(P115,Gegenstände!$B$2:$N$2026,13,FALSE))</f>
        <v>200</v>
      </c>
      <c r="AC115" s="142">
        <f>IF(ISERROR(VLOOKUP(R115,Gegenstände!$B$2:$N$2026,13,FALSE)),0,VLOOKUP(R115,Gegenstände!$B$2:$N$2026,13,FALSE))</f>
        <v>500</v>
      </c>
      <c r="AD115" s="142"/>
      <c r="AE115" s="475">
        <f t="shared" si="34"/>
        <v>7560</v>
      </c>
      <c r="AF115" s="476">
        <f t="shared" si="35"/>
        <v>7400</v>
      </c>
      <c r="AG115" s="128">
        <f t="shared" si="28"/>
        <v>0.3345132743362832</v>
      </c>
      <c r="AH115" s="128">
        <f t="shared" si="29"/>
        <v>0.32743362831858408</v>
      </c>
      <c r="AI115" s="129">
        <f t="shared" si="30"/>
        <v>0.66194690265486722</v>
      </c>
      <c r="AJ115" s="426">
        <f t="shared" si="36"/>
        <v>7640</v>
      </c>
      <c r="AK115" s="131">
        <f t="shared" si="13"/>
        <v>1091.4285714285713</v>
      </c>
      <c r="AL115" s="477">
        <f>AK115/VLOOKUP(IF(I115&gt;0,I115,1),Preise!$A$3:$B$27,2,FALSE)</f>
        <v>218.28571428571419</v>
      </c>
    </row>
    <row r="116" spans="1:38" s="3" customFormat="1" outlineLevel="1" x14ac:dyDescent="0.2">
      <c r="A116" s="5">
        <v>1130</v>
      </c>
      <c r="B116" s="412">
        <v>1130</v>
      </c>
      <c r="C116" s="132" t="str">
        <f>VLOOKUP(B116,Gegenstände!$A79:$B798,2,FALSE)</f>
        <v>Nebeldolch</v>
      </c>
      <c r="D116" s="133">
        <f>VLOOKUP(B116,Gegenstände!$A79:$D798,4,FALSE)</f>
        <v>25</v>
      </c>
      <c r="E116" s="468">
        <v>30</v>
      </c>
      <c r="F116" s="134">
        <v>420</v>
      </c>
      <c r="G116" s="54">
        <v>5</v>
      </c>
      <c r="H116" s="469">
        <v>57</v>
      </c>
      <c r="I116" s="6">
        <v>24</v>
      </c>
      <c r="J116" s="417"/>
      <c r="K116" s="6">
        <v>32</v>
      </c>
      <c r="L116" s="1" t="s">
        <v>117</v>
      </c>
      <c r="M116" s="87">
        <v>6</v>
      </c>
      <c r="N116" s="83" t="s">
        <v>176</v>
      </c>
      <c r="O116" s="85">
        <v>14</v>
      </c>
      <c r="P116" s="83" t="s">
        <v>179</v>
      </c>
      <c r="Q116" s="85">
        <v>16</v>
      </c>
      <c r="R116" s="83" t="s">
        <v>181</v>
      </c>
      <c r="S116" s="170"/>
      <c r="T116" s="170"/>
      <c r="U116" s="471">
        <f>VLOOKUP(D116,Preise!$A$3:$C$27,3)</f>
        <v>28.625176191121408</v>
      </c>
      <c r="V116" s="523">
        <f t="shared" si="31"/>
        <v>34350.211429345691</v>
      </c>
      <c r="W116" s="131"/>
      <c r="X116" s="472">
        <f t="shared" si="32"/>
        <v>34400</v>
      </c>
      <c r="Y116" s="473">
        <f t="shared" si="33"/>
        <v>34400</v>
      </c>
      <c r="Z116" s="474">
        <f>IF(ISERROR(VLOOKUP(L116,Gegenstände!$B$2:$N$2026,13,FALSE)),0,VLOOKUP(L116,Gegenstände!$B$2:$N$2026,13,FALSE))</f>
        <v>360</v>
      </c>
      <c r="AA116" s="142">
        <f>IF(ISERROR(VLOOKUP(N116,Gegenstände!$B$2:$N$2026,13,FALSE)),0,VLOOKUP(N116,Gegenstände!$B$2:$N$2026,13,FALSE))</f>
        <v>80</v>
      </c>
      <c r="AB116" s="142">
        <f>IF(ISERROR(VLOOKUP(P116,Gegenstände!$B$2:$N$2026,13,FALSE)),0,VLOOKUP(P116,Gegenstände!$B$2:$N$2026,13,FALSE))</f>
        <v>200</v>
      </c>
      <c r="AC116" s="142">
        <f>IF(ISERROR(VLOOKUP(R116,Gegenstände!$B$2:$N$2026,13,FALSE)),0,VLOOKUP(R116,Gegenstände!$B$2:$N$2026,13,FALSE))</f>
        <v>500</v>
      </c>
      <c r="AD116" s="142"/>
      <c r="AE116" s="475">
        <f t="shared" si="34"/>
        <v>11520</v>
      </c>
      <c r="AF116" s="476">
        <f t="shared" si="35"/>
        <v>11280</v>
      </c>
      <c r="AG116" s="128">
        <f t="shared" si="28"/>
        <v>0.33488372093023255</v>
      </c>
      <c r="AH116" s="128">
        <f t="shared" si="29"/>
        <v>0.32790697674418606</v>
      </c>
      <c r="AI116" s="129">
        <f t="shared" si="30"/>
        <v>0.66279069767441856</v>
      </c>
      <c r="AJ116" s="426">
        <f t="shared" si="36"/>
        <v>11600</v>
      </c>
      <c r="AK116" s="131">
        <f t="shared" si="13"/>
        <v>1657.1428571428571</v>
      </c>
      <c r="AL116" s="477">
        <f>AK116/VLOOKUP(IF(I116&gt;0,I116,1),Preise!$A$3:$B$27,2,FALSE)</f>
        <v>295.91836734693862</v>
      </c>
    </row>
    <row r="117" spans="1:38" s="3" customFormat="1" x14ac:dyDescent="0.2">
      <c r="A117" s="525"/>
      <c r="B117" s="526"/>
      <c r="C117" s="286"/>
      <c r="D117" s="396"/>
      <c r="E117" s="527"/>
      <c r="F117" s="528"/>
      <c r="G117" s="322"/>
      <c r="H117" s="529"/>
      <c r="I117" s="530"/>
      <c r="J117" s="531"/>
      <c r="K117" s="530"/>
      <c r="L117" s="532"/>
      <c r="M117" s="533"/>
      <c r="N117" s="532"/>
      <c r="O117" s="530"/>
      <c r="P117" s="532"/>
      <c r="Q117" s="530"/>
      <c r="R117" s="532"/>
      <c r="S117" s="534"/>
      <c r="T117" s="534"/>
      <c r="U117" s="536"/>
      <c r="V117" s="551">
        <v>1200</v>
      </c>
      <c r="W117" s="538"/>
      <c r="X117" s="539"/>
      <c r="Y117" s="540"/>
      <c r="Z117" s="541"/>
      <c r="AA117" s="542"/>
      <c r="AB117" s="542"/>
      <c r="AC117" s="542"/>
      <c r="AD117" s="542"/>
      <c r="AE117" s="543"/>
      <c r="AF117" s="544"/>
      <c r="AG117" s="545"/>
      <c r="AH117" s="545"/>
      <c r="AI117" s="546"/>
      <c r="AJ117" s="547"/>
      <c r="AK117" s="548"/>
      <c r="AL117" s="549"/>
    </row>
    <row r="118" spans="1:38" s="3" customFormat="1" outlineLevel="1" x14ac:dyDescent="0.2">
      <c r="A118" s="5">
        <v>1131</v>
      </c>
      <c r="B118" s="412">
        <v>1131</v>
      </c>
      <c r="C118" s="132" t="str">
        <f>VLOOKUP(B118,Gegenstände!$A81:$B800,2,FALSE)</f>
        <v>Axt</v>
      </c>
      <c r="D118" s="133">
        <f>VLOOKUP(B118,Gegenstände!$A81:$D800,4,FALSE)</f>
        <v>1</v>
      </c>
      <c r="E118" s="468">
        <v>30</v>
      </c>
      <c r="F118" s="134">
        <v>420</v>
      </c>
      <c r="G118" s="54">
        <v>1</v>
      </c>
      <c r="H118" s="469">
        <v>58</v>
      </c>
      <c r="I118" s="6">
        <v>0</v>
      </c>
      <c r="J118" s="417"/>
      <c r="K118" s="6">
        <v>7</v>
      </c>
      <c r="L118" s="1" t="s">
        <v>113</v>
      </c>
      <c r="M118" s="87">
        <v>5</v>
      </c>
      <c r="N118" s="83" t="s">
        <v>176</v>
      </c>
      <c r="O118" s="85"/>
      <c r="P118" s="1"/>
      <c r="Q118" s="6"/>
      <c r="R118" s="1"/>
      <c r="S118" s="418"/>
      <c r="T118" s="418"/>
      <c r="U118" s="471">
        <f>VLOOKUP(D118,Preise!$A$3:$C$27,3)</f>
        <v>1</v>
      </c>
      <c r="V118" s="523">
        <f t="shared" ref="V118:V127" si="37">U118*$V$117</f>
        <v>1200</v>
      </c>
      <c r="W118" s="131"/>
      <c r="X118" s="472">
        <f t="shared" ref="X118:X127" si="38">ROUND((V118/100),0)*100</f>
        <v>1200</v>
      </c>
      <c r="Y118" s="473">
        <f t="shared" ref="Y118:Y127" si="39">X118*IF(J118&gt;0,J118,1)</f>
        <v>1200</v>
      </c>
      <c r="Z118" s="474">
        <f>IF(ISERROR(VLOOKUP(L118,Gegenstände!$B$2:$N$2026,13,FALSE)),0,VLOOKUP(L118,Gegenstände!$B$2:$N$2026,13,FALSE))</f>
        <v>60</v>
      </c>
      <c r="AA118" s="142">
        <f>IF(ISERROR(VLOOKUP(N118,Gegenstände!$B$2:$N$2026,13,FALSE)),0,VLOOKUP(N118,Gegenstände!$B$2:$N$2026,13,FALSE))</f>
        <v>80</v>
      </c>
      <c r="AB118" s="142">
        <f>IF(ISERROR(VLOOKUP(P118,Gegenstände!$B$2:$N$2026,13,FALSE)),0,VLOOKUP(P118,Gegenstände!$B$2:$N$2026,13,FALSE))</f>
        <v>0</v>
      </c>
      <c r="AC118" s="142">
        <f>IF(ISERROR(VLOOKUP(R118,Gegenstände!$B$2:$N$2026,13,FALSE)),0,VLOOKUP(R118,Gegenstände!$B$2:$N$2026,13,FALSE))</f>
        <v>0</v>
      </c>
      <c r="AD118" s="142"/>
      <c r="AE118" s="475">
        <f t="shared" ref="AE118:AE127" si="40">IF(ISERROR(K118*Z118),"",K118*Z118)</f>
        <v>420</v>
      </c>
      <c r="AF118" s="476">
        <f t="shared" ref="AF118:AF127" si="41">IF(ISERROR(M118*AA118+O118*AB118+Q118*AC118),"",M118*AA118+O118*AB118+Q118*AC118)</f>
        <v>400</v>
      </c>
      <c r="AG118" s="128">
        <f t="shared" si="28"/>
        <v>0.35</v>
      </c>
      <c r="AH118" s="128">
        <f t="shared" si="29"/>
        <v>0.33333333333333331</v>
      </c>
      <c r="AI118" s="129">
        <f t="shared" si="30"/>
        <v>0.68333333333333335</v>
      </c>
      <c r="AJ118" s="426">
        <f t="shared" ref="AJ118:AJ127" si="42">Y118-(AE118+AF118)</f>
        <v>380</v>
      </c>
      <c r="AK118" s="131">
        <f t="shared" si="13"/>
        <v>54.285714285714285</v>
      </c>
      <c r="AL118" s="477">
        <f>AK118/VLOOKUP(IF(I118&gt;0,I118,1),Preise!$A$3:$B$27,2,FALSE)</f>
        <v>54.285714285714285</v>
      </c>
    </row>
    <row r="119" spans="1:38" s="3" customFormat="1" outlineLevel="1" x14ac:dyDescent="0.2">
      <c r="A119" s="5">
        <v>1132</v>
      </c>
      <c r="B119" s="412">
        <v>1132</v>
      </c>
      <c r="C119" s="132" t="str">
        <f>VLOOKUP(B119,Gegenstände!$A82:$B801,2,FALSE)</f>
        <v>Streitaxt</v>
      </c>
      <c r="D119" s="133">
        <f>VLOOKUP(B119,Gegenstände!$A82:$D801,4,FALSE)</f>
        <v>4</v>
      </c>
      <c r="E119" s="468">
        <v>30</v>
      </c>
      <c r="F119" s="134">
        <v>420</v>
      </c>
      <c r="G119" s="54">
        <v>1</v>
      </c>
      <c r="H119" s="469">
        <v>58</v>
      </c>
      <c r="I119" s="6">
        <v>3</v>
      </c>
      <c r="J119" s="417"/>
      <c r="K119" s="6">
        <v>10</v>
      </c>
      <c r="L119" s="1" t="s">
        <v>113</v>
      </c>
      <c r="M119" s="87">
        <v>7</v>
      </c>
      <c r="N119" s="83" t="s">
        <v>176</v>
      </c>
      <c r="O119" s="85"/>
      <c r="P119" s="1"/>
      <c r="Q119" s="6"/>
      <c r="R119" s="1"/>
      <c r="S119" s="418"/>
      <c r="T119" s="418"/>
      <c r="U119" s="471">
        <f>VLOOKUP(D119,Preise!$A$3:$C$27,3)</f>
        <v>1.5208749999999995</v>
      </c>
      <c r="V119" s="523">
        <f t="shared" si="37"/>
        <v>1825.0499999999995</v>
      </c>
      <c r="W119" s="131"/>
      <c r="X119" s="472">
        <f t="shared" si="38"/>
        <v>1800</v>
      </c>
      <c r="Y119" s="473">
        <f t="shared" si="39"/>
        <v>1800</v>
      </c>
      <c r="Z119" s="474">
        <f>IF(ISERROR(VLOOKUP(L119,Gegenstände!$B$2:$N$2026,13,FALSE)),0,VLOOKUP(L119,Gegenstände!$B$2:$N$2026,13,FALSE))</f>
        <v>60</v>
      </c>
      <c r="AA119" s="142">
        <f>IF(ISERROR(VLOOKUP(N119,Gegenstände!$B$2:$N$2026,13,FALSE)),0,VLOOKUP(N119,Gegenstände!$B$2:$N$2026,13,FALSE))</f>
        <v>80</v>
      </c>
      <c r="AB119" s="142">
        <f>IF(ISERROR(VLOOKUP(P119,Gegenstände!$B$2:$N$2026,13,FALSE)),0,VLOOKUP(P119,Gegenstände!$B$2:$N$2026,13,FALSE))</f>
        <v>0</v>
      </c>
      <c r="AC119" s="142">
        <f>IF(ISERROR(VLOOKUP(R119,Gegenstände!$B$2:$N$2026,13,FALSE)),0,VLOOKUP(R119,Gegenstände!$B$2:$N$2026,13,FALSE))</f>
        <v>0</v>
      </c>
      <c r="AD119" s="142"/>
      <c r="AE119" s="475">
        <f t="shared" si="40"/>
        <v>600</v>
      </c>
      <c r="AF119" s="476">
        <f t="shared" si="41"/>
        <v>560</v>
      </c>
      <c r="AG119" s="128">
        <f t="shared" si="28"/>
        <v>0.33333333333333331</v>
      </c>
      <c r="AH119" s="128">
        <f t="shared" si="29"/>
        <v>0.31111111111111112</v>
      </c>
      <c r="AI119" s="129">
        <f t="shared" si="30"/>
        <v>0.64444444444444449</v>
      </c>
      <c r="AJ119" s="426">
        <f t="shared" si="42"/>
        <v>640</v>
      </c>
      <c r="AK119" s="131">
        <f t="shared" si="13"/>
        <v>91.428571428571431</v>
      </c>
      <c r="AL119" s="477">
        <f>AK119/VLOOKUP(IF(I119&gt;0,I119,1),Preise!$A$3:$B$27,2,FALSE)</f>
        <v>65.306122448979593</v>
      </c>
    </row>
    <row r="120" spans="1:38" s="3" customFormat="1" outlineLevel="1" x14ac:dyDescent="0.2">
      <c r="A120" s="5">
        <v>1133</v>
      </c>
      <c r="B120" s="412">
        <v>1133</v>
      </c>
      <c r="C120" s="132" t="str">
        <f>VLOOKUP(B120,Gegenstände!$A83:$B802,2,FALSE)</f>
        <v>Holzfälleraxt</v>
      </c>
      <c r="D120" s="133">
        <f>VLOOKUP(B120,Gegenstände!$A83:$D802,4,FALSE)</f>
        <v>6</v>
      </c>
      <c r="E120" s="468">
        <v>30</v>
      </c>
      <c r="F120" s="134">
        <v>420</v>
      </c>
      <c r="G120" s="54">
        <v>2</v>
      </c>
      <c r="H120" s="469">
        <v>58</v>
      </c>
      <c r="I120" s="6">
        <v>5</v>
      </c>
      <c r="J120" s="417"/>
      <c r="K120" s="6">
        <v>7</v>
      </c>
      <c r="L120" s="1" t="s">
        <v>114</v>
      </c>
      <c r="M120" s="87">
        <v>10</v>
      </c>
      <c r="N120" s="83" t="s">
        <v>176</v>
      </c>
      <c r="O120" s="85"/>
      <c r="P120" s="1"/>
      <c r="Q120" s="6"/>
      <c r="R120" s="1"/>
      <c r="S120" s="418"/>
      <c r="T120" s="418"/>
      <c r="U120" s="471">
        <f>VLOOKUP(D120,Preise!$A$3:$C$27,3)</f>
        <v>2.0113571874999994</v>
      </c>
      <c r="V120" s="523">
        <f t="shared" si="37"/>
        <v>2413.6286249999994</v>
      </c>
      <c r="W120" s="131"/>
      <c r="X120" s="472">
        <f t="shared" si="38"/>
        <v>2400</v>
      </c>
      <c r="Y120" s="473">
        <f t="shared" si="39"/>
        <v>2400</v>
      </c>
      <c r="Z120" s="474">
        <f>IF(ISERROR(VLOOKUP(L120,Gegenstände!$B$2:$N$2026,13,FALSE)),0,VLOOKUP(L120,Gegenstände!$B$2:$N$2026,13,FALSE))</f>
        <v>120</v>
      </c>
      <c r="AA120" s="142">
        <f>IF(ISERROR(VLOOKUP(N120,Gegenstände!$B$2:$N$2026,13,FALSE)),0,VLOOKUP(N120,Gegenstände!$B$2:$N$2026,13,FALSE))</f>
        <v>80</v>
      </c>
      <c r="AB120" s="142">
        <f>IF(ISERROR(VLOOKUP(P120,Gegenstände!$B$2:$N$2026,13,FALSE)),0,VLOOKUP(P120,Gegenstände!$B$2:$N$2026,13,FALSE))</f>
        <v>0</v>
      </c>
      <c r="AC120" s="142">
        <f>IF(ISERROR(VLOOKUP(R120,Gegenstände!$B$2:$N$2026,13,FALSE)),0,VLOOKUP(R120,Gegenstände!$B$2:$N$2026,13,FALSE))</f>
        <v>0</v>
      </c>
      <c r="AD120" s="142"/>
      <c r="AE120" s="475">
        <f t="shared" si="40"/>
        <v>840</v>
      </c>
      <c r="AF120" s="476">
        <f t="shared" si="41"/>
        <v>800</v>
      </c>
      <c r="AG120" s="128">
        <f t="shared" si="28"/>
        <v>0.35</v>
      </c>
      <c r="AH120" s="128">
        <f t="shared" si="29"/>
        <v>0.33333333333333331</v>
      </c>
      <c r="AI120" s="129">
        <f t="shared" si="30"/>
        <v>0.68333333333333335</v>
      </c>
      <c r="AJ120" s="426">
        <f t="shared" si="42"/>
        <v>760</v>
      </c>
      <c r="AK120" s="131">
        <f t="shared" si="13"/>
        <v>108.57142857142857</v>
      </c>
      <c r="AL120" s="477">
        <f>AK120/VLOOKUP(IF(I120&gt;0,I120,1),Preise!$A$3:$B$27,2,FALSE)</f>
        <v>60.317460317460323</v>
      </c>
    </row>
    <row r="121" spans="1:38" s="3" customFormat="1" outlineLevel="1" x14ac:dyDescent="0.2">
      <c r="A121" s="5">
        <v>1134</v>
      </c>
      <c r="B121" s="412">
        <v>1134</v>
      </c>
      <c r="C121" s="132" t="str">
        <f>VLOOKUP(B121,Gegenstände!$A84:$B803,2,FALSE)</f>
        <v>Breitaxt</v>
      </c>
      <c r="D121" s="133">
        <f>VLOOKUP(B121,Gegenstände!$A84:$D803,4,FALSE)</f>
        <v>9</v>
      </c>
      <c r="E121" s="468">
        <v>30</v>
      </c>
      <c r="F121" s="134">
        <v>420</v>
      </c>
      <c r="G121" s="54">
        <v>2</v>
      </c>
      <c r="H121" s="469">
        <v>58</v>
      </c>
      <c r="I121" s="6">
        <v>8</v>
      </c>
      <c r="J121" s="417"/>
      <c r="K121" s="6">
        <v>10</v>
      </c>
      <c r="L121" s="1" t="s">
        <v>114</v>
      </c>
      <c r="M121" s="87">
        <v>15</v>
      </c>
      <c r="N121" s="83" t="s">
        <v>176</v>
      </c>
      <c r="O121" s="85"/>
      <c r="P121" s="1"/>
      <c r="Q121" s="6"/>
      <c r="R121" s="1"/>
      <c r="S121" s="418"/>
      <c r="T121" s="418"/>
      <c r="U121" s="471">
        <f>VLOOKUP(D121,Preise!$A$3:$C$27,3)</f>
        <v>3.0590228625390607</v>
      </c>
      <c r="V121" s="523">
        <f t="shared" si="37"/>
        <v>3670.8274350468728</v>
      </c>
      <c r="W121" s="131"/>
      <c r="X121" s="472">
        <f t="shared" si="38"/>
        <v>3700</v>
      </c>
      <c r="Y121" s="473">
        <f t="shared" si="39"/>
        <v>3700</v>
      </c>
      <c r="Z121" s="474">
        <f>IF(ISERROR(VLOOKUP(L121,Gegenstände!$B$2:$N$2026,13,FALSE)),0,VLOOKUP(L121,Gegenstände!$B$2:$N$2026,13,FALSE))</f>
        <v>120</v>
      </c>
      <c r="AA121" s="142">
        <f>IF(ISERROR(VLOOKUP(N121,Gegenstände!$B$2:$N$2026,13,FALSE)),0,VLOOKUP(N121,Gegenstände!$B$2:$N$2026,13,FALSE))</f>
        <v>80</v>
      </c>
      <c r="AB121" s="142">
        <f>IF(ISERROR(VLOOKUP(P121,Gegenstände!$B$2:$N$2026,13,FALSE)),0,VLOOKUP(P121,Gegenstände!$B$2:$N$2026,13,FALSE))</f>
        <v>0</v>
      </c>
      <c r="AC121" s="142">
        <f>IF(ISERROR(VLOOKUP(R121,Gegenstände!$B$2:$N$2026,13,FALSE)),0,VLOOKUP(R121,Gegenstände!$B$2:$N$2026,13,FALSE))</f>
        <v>0</v>
      </c>
      <c r="AD121" s="142"/>
      <c r="AE121" s="475">
        <f t="shared" si="40"/>
        <v>1200</v>
      </c>
      <c r="AF121" s="476">
        <f t="shared" si="41"/>
        <v>1200</v>
      </c>
      <c r="AG121" s="128">
        <f t="shared" si="28"/>
        <v>0.32432432432432434</v>
      </c>
      <c r="AH121" s="128">
        <f t="shared" si="29"/>
        <v>0.32432432432432434</v>
      </c>
      <c r="AI121" s="129">
        <f t="shared" si="30"/>
        <v>0.64864864864864868</v>
      </c>
      <c r="AJ121" s="426">
        <f t="shared" si="42"/>
        <v>1300</v>
      </c>
      <c r="AK121" s="131">
        <f t="shared" si="13"/>
        <v>185.71428571428572</v>
      </c>
      <c r="AL121" s="477">
        <f>AK121/VLOOKUP(IF(I121&gt;0,I121,1),Preise!$A$3:$B$27,2,FALSE)</f>
        <v>77.380952380952394</v>
      </c>
    </row>
    <row r="122" spans="1:38" s="3" customFormat="1" outlineLevel="1" x14ac:dyDescent="0.2">
      <c r="A122" s="5">
        <v>1135</v>
      </c>
      <c r="B122" s="412">
        <v>1135</v>
      </c>
      <c r="C122" s="132" t="str">
        <f>VLOOKUP(B122,Gegenstände!$A85:$B804,2,FALSE)</f>
        <v>Barbarenaxt</v>
      </c>
      <c r="D122" s="133">
        <f>VLOOKUP(B122,Gegenstände!$A85:$D804,4,FALSE)</f>
        <v>11</v>
      </c>
      <c r="E122" s="468">
        <v>30</v>
      </c>
      <c r="F122" s="134">
        <v>420</v>
      </c>
      <c r="G122" s="54">
        <v>3</v>
      </c>
      <c r="H122" s="469">
        <v>58</v>
      </c>
      <c r="I122" s="6">
        <v>10</v>
      </c>
      <c r="J122" s="417"/>
      <c r="K122" s="6">
        <v>9</v>
      </c>
      <c r="L122" s="1" t="s">
        <v>115</v>
      </c>
      <c r="M122" s="87">
        <v>5</v>
      </c>
      <c r="N122" s="83" t="s">
        <v>176</v>
      </c>
      <c r="O122" s="85">
        <v>6</v>
      </c>
      <c r="P122" s="83" t="s">
        <v>179</v>
      </c>
      <c r="Q122" s="85"/>
      <c r="R122" s="1"/>
      <c r="S122" s="418"/>
      <c r="T122" s="418"/>
      <c r="U122" s="471">
        <f>VLOOKUP(D122,Preise!$A$3:$C$27,3)</f>
        <v>4.0455577357079076</v>
      </c>
      <c r="V122" s="523">
        <f t="shared" si="37"/>
        <v>4854.6692828494888</v>
      </c>
      <c r="W122" s="131"/>
      <c r="X122" s="472">
        <f t="shared" si="38"/>
        <v>4900</v>
      </c>
      <c r="Y122" s="473">
        <f t="shared" si="39"/>
        <v>4900</v>
      </c>
      <c r="Z122" s="474">
        <f>IF(ISERROR(VLOOKUP(L122,Gegenstände!$B$2:$N$2026,13,FALSE)),0,VLOOKUP(L122,Gegenstände!$B$2:$N$2026,13,FALSE))</f>
        <v>180</v>
      </c>
      <c r="AA122" s="142">
        <f>IF(ISERROR(VLOOKUP(N122,Gegenstände!$B$2:$N$2026,13,FALSE)),0,VLOOKUP(N122,Gegenstände!$B$2:$N$2026,13,FALSE))</f>
        <v>80</v>
      </c>
      <c r="AB122" s="142">
        <f>IF(ISERROR(VLOOKUP(P122,Gegenstände!$B$2:$N$2026,13,FALSE)),0,VLOOKUP(P122,Gegenstände!$B$2:$N$2026,13,FALSE))</f>
        <v>200</v>
      </c>
      <c r="AC122" s="142">
        <f>IF(ISERROR(VLOOKUP(R122,Gegenstände!$B$2:$N$2026,13,FALSE)),0,VLOOKUP(R122,Gegenstände!$B$2:$N$2026,13,FALSE))</f>
        <v>0</v>
      </c>
      <c r="AD122" s="142"/>
      <c r="AE122" s="475">
        <f t="shared" si="40"/>
        <v>1620</v>
      </c>
      <c r="AF122" s="476">
        <f t="shared" si="41"/>
        <v>1600</v>
      </c>
      <c r="AG122" s="128">
        <f t="shared" si="28"/>
        <v>0.33061224489795921</v>
      </c>
      <c r="AH122" s="128">
        <f t="shared" si="29"/>
        <v>0.32653061224489793</v>
      </c>
      <c r="AI122" s="129">
        <f t="shared" si="30"/>
        <v>0.65714285714285714</v>
      </c>
      <c r="AJ122" s="426">
        <f t="shared" si="42"/>
        <v>1680</v>
      </c>
      <c r="AK122" s="131">
        <f t="shared" si="13"/>
        <v>240</v>
      </c>
      <c r="AL122" s="477">
        <f>AK122/VLOOKUP(IF(I122&gt;0,I122,1),Preise!$A$3:$B$27,2,FALSE)</f>
        <v>85.714285714285708</v>
      </c>
    </row>
    <row r="123" spans="1:38" s="3" customFormat="1" outlineLevel="1" x14ac:dyDescent="0.2">
      <c r="A123" s="5">
        <v>1136</v>
      </c>
      <c r="B123" s="412">
        <v>1136</v>
      </c>
      <c r="C123" s="132" t="str">
        <f>VLOOKUP(B123,Gegenstände!$A86:$B805,2,FALSE)</f>
        <v>Militärpicke</v>
      </c>
      <c r="D123" s="133">
        <f>VLOOKUP(B123,Gegenstände!$A86:$D805,4,FALSE)</f>
        <v>14</v>
      </c>
      <c r="E123" s="468">
        <v>30</v>
      </c>
      <c r="F123" s="134">
        <v>420</v>
      </c>
      <c r="G123" s="54">
        <v>3</v>
      </c>
      <c r="H123" s="469">
        <v>58</v>
      </c>
      <c r="I123" s="6">
        <v>13</v>
      </c>
      <c r="J123" s="417"/>
      <c r="K123" s="6">
        <v>14</v>
      </c>
      <c r="L123" s="1" t="s">
        <v>115</v>
      </c>
      <c r="M123" s="87">
        <v>3</v>
      </c>
      <c r="N123" s="83" t="s">
        <v>176</v>
      </c>
      <c r="O123" s="85">
        <v>11</v>
      </c>
      <c r="P123" s="83" t="s">
        <v>179</v>
      </c>
      <c r="Q123" s="85"/>
      <c r="R123" s="1"/>
      <c r="S123" s="418"/>
      <c r="T123" s="418"/>
      <c r="U123" s="471">
        <f>VLOOKUP(D123,Preise!$A$3:$C$27,3)</f>
        <v>6.1527876212947623</v>
      </c>
      <c r="V123" s="523">
        <f t="shared" si="37"/>
        <v>7383.3451455537152</v>
      </c>
      <c r="W123" s="131"/>
      <c r="X123" s="472">
        <f t="shared" si="38"/>
        <v>7400</v>
      </c>
      <c r="Y123" s="473">
        <f t="shared" si="39"/>
        <v>7400</v>
      </c>
      <c r="Z123" s="474">
        <f>IF(ISERROR(VLOOKUP(L123,Gegenstände!$B$2:$N$2026,13,FALSE)),0,VLOOKUP(L123,Gegenstände!$B$2:$N$2026,13,FALSE))</f>
        <v>180</v>
      </c>
      <c r="AA123" s="142">
        <f>IF(ISERROR(VLOOKUP(N123,Gegenstände!$B$2:$N$2026,13,FALSE)),0,VLOOKUP(N123,Gegenstände!$B$2:$N$2026,13,FALSE))</f>
        <v>80</v>
      </c>
      <c r="AB123" s="142">
        <f>IF(ISERROR(VLOOKUP(P123,Gegenstände!$B$2:$N$2026,13,FALSE)),0,VLOOKUP(P123,Gegenstände!$B$2:$N$2026,13,FALSE))</f>
        <v>200</v>
      </c>
      <c r="AC123" s="142">
        <f>IF(ISERROR(VLOOKUP(R123,Gegenstände!$B$2:$N$2026,13,FALSE)),0,VLOOKUP(R123,Gegenstände!$B$2:$N$2026,13,FALSE))</f>
        <v>0</v>
      </c>
      <c r="AD123" s="142"/>
      <c r="AE123" s="475">
        <f t="shared" si="40"/>
        <v>2520</v>
      </c>
      <c r="AF123" s="476">
        <f t="shared" si="41"/>
        <v>2440</v>
      </c>
      <c r="AG123" s="128">
        <f t="shared" si="28"/>
        <v>0.34054054054054056</v>
      </c>
      <c r="AH123" s="128">
        <f t="shared" si="29"/>
        <v>0.32972972972972975</v>
      </c>
      <c r="AI123" s="129">
        <f t="shared" si="30"/>
        <v>0.67027027027027031</v>
      </c>
      <c r="AJ123" s="426">
        <f t="shared" si="42"/>
        <v>2440</v>
      </c>
      <c r="AK123" s="131">
        <f t="shared" si="13"/>
        <v>348.57142857142856</v>
      </c>
      <c r="AL123" s="477">
        <f>AK123/VLOOKUP(IF(I123&gt;0,I123,1),Preise!$A$3:$B$27,2,FALSE)</f>
        <v>102.52100840336132</v>
      </c>
    </row>
    <row r="124" spans="1:38" s="3" customFormat="1" outlineLevel="1" x14ac:dyDescent="0.2">
      <c r="A124" s="5">
        <v>1137</v>
      </c>
      <c r="B124" s="412">
        <v>1137</v>
      </c>
      <c r="C124" s="132" t="str">
        <f>VLOOKUP(B124,Gegenstände!$A87:$B806,2,FALSE)</f>
        <v>Zwillingsaxt</v>
      </c>
      <c r="D124" s="133">
        <f>VLOOKUP(B124,Gegenstände!$A87:$D806,4,FALSE)</f>
        <v>16</v>
      </c>
      <c r="E124" s="468">
        <v>30</v>
      </c>
      <c r="F124" s="134">
        <v>420</v>
      </c>
      <c r="G124" s="54">
        <v>4</v>
      </c>
      <c r="H124" s="469">
        <v>58</v>
      </c>
      <c r="I124" s="6">
        <v>15</v>
      </c>
      <c r="J124" s="417"/>
      <c r="K124" s="6">
        <v>12</v>
      </c>
      <c r="L124" s="1" t="s">
        <v>116</v>
      </c>
      <c r="M124" s="87">
        <v>5</v>
      </c>
      <c r="N124" s="83" t="s">
        <v>176</v>
      </c>
      <c r="O124" s="85">
        <v>14</v>
      </c>
      <c r="P124" s="83" t="s">
        <v>179</v>
      </c>
      <c r="Q124" s="85"/>
      <c r="R124" s="1"/>
      <c r="S124" s="418"/>
      <c r="T124" s="418"/>
      <c r="U124" s="471">
        <f>VLOOKUP(D124,Preise!$A$3:$C$27,3)</f>
        <v>8.1370616291623215</v>
      </c>
      <c r="V124" s="523">
        <f t="shared" si="37"/>
        <v>9764.4739549947863</v>
      </c>
      <c r="W124" s="131"/>
      <c r="X124" s="472">
        <f t="shared" si="38"/>
        <v>9800</v>
      </c>
      <c r="Y124" s="473">
        <f t="shared" si="39"/>
        <v>9800</v>
      </c>
      <c r="Z124" s="474">
        <f>IF(ISERROR(VLOOKUP(L124,Gegenstände!$B$2:$N$2026,13,FALSE)),0,VLOOKUP(L124,Gegenstände!$B$2:$N$2026,13,FALSE))</f>
        <v>270</v>
      </c>
      <c r="AA124" s="142">
        <f>IF(ISERROR(VLOOKUP(N124,Gegenstände!$B$2:$N$2026,13,FALSE)),0,VLOOKUP(N124,Gegenstände!$B$2:$N$2026,13,FALSE))</f>
        <v>80</v>
      </c>
      <c r="AB124" s="142">
        <f>IF(ISERROR(VLOOKUP(P124,Gegenstände!$B$2:$N$2026,13,FALSE)),0,VLOOKUP(P124,Gegenstände!$B$2:$N$2026,13,FALSE))</f>
        <v>200</v>
      </c>
      <c r="AC124" s="142">
        <f>IF(ISERROR(VLOOKUP(R124,Gegenstände!$B$2:$N$2026,13,FALSE)),0,VLOOKUP(R124,Gegenstände!$B$2:$N$2026,13,FALSE))</f>
        <v>0</v>
      </c>
      <c r="AD124" s="142"/>
      <c r="AE124" s="475">
        <f t="shared" si="40"/>
        <v>3240</v>
      </c>
      <c r="AF124" s="476">
        <f t="shared" si="41"/>
        <v>3200</v>
      </c>
      <c r="AG124" s="128">
        <f t="shared" si="28"/>
        <v>0.33061224489795921</v>
      </c>
      <c r="AH124" s="128">
        <f t="shared" si="29"/>
        <v>0.32653061224489793</v>
      </c>
      <c r="AI124" s="129">
        <f t="shared" si="30"/>
        <v>0.65714285714285714</v>
      </c>
      <c r="AJ124" s="426">
        <f t="shared" si="42"/>
        <v>3360</v>
      </c>
      <c r="AK124" s="131">
        <f t="shared" si="13"/>
        <v>480</v>
      </c>
      <c r="AL124" s="477">
        <f>AK124/VLOOKUP(IF(I124&gt;0,I124,1),Preise!$A$3:$B$27,2,FALSE)</f>
        <v>126.31578947368418</v>
      </c>
    </row>
    <row r="125" spans="1:38" s="3" customFormat="1" outlineLevel="1" x14ac:dyDescent="0.2">
      <c r="A125" s="5">
        <v>1138</v>
      </c>
      <c r="B125" s="412">
        <v>1138</v>
      </c>
      <c r="C125" s="132" t="str">
        <f>VLOOKUP(B125,Gegenstände!$A88:$B807,2,FALSE)</f>
        <v>Kriegsbeil</v>
      </c>
      <c r="D125" s="133">
        <f>VLOOKUP(B125,Gegenstände!$A88:$D807,4,FALSE)</f>
        <v>19</v>
      </c>
      <c r="E125" s="468">
        <v>30</v>
      </c>
      <c r="F125" s="134">
        <v>420</v>
      </c>
      <c r="G125" s="54">
        <v>4</v>
      </c>
      <c r="H125" s="469">
        <v>58</v>
      </c>
      <c r="I125" s="6">
        <v>18</v>
      </c>
      <c r="J125" s="417"/>
      <c r="K125" s="6">
        <v>18</v>
      </c>
      <c r="L125" s="1" t="s">
        <v>116</v>
      </c>
      <c r="M125" s="87">
        <v>6</v>
      </c>
      <c r="N125" s="83" t="s">
        <v>176</v>
      </c>
      <c r="O125" s="85">
        <v>22</v>
      </c>
      <c r="P125" s="83" t="s">
        <v>179</v>
      </c>
      <c r="Q125" s="85"/>
      <c r="R125" s="1"/>
      <c r="S125" s="418"/>
      <c r="T125" s="418"/>
      <c r="U125" s="471">
        <f>VLOOKUP(D125,Preise!$A$3:$C$27,3)</f>
        <v>12.375453605252243</v>
      </c>
      <c r="V125" s="523">
        <f t="shared" si="37"/>
        <v>14850.544326302692</v>
      </c>
      <c r="W125" s="131"/>
      <c r="X125" s="472">
        <f t="shared" si="38"/>
        <v>14900</v>
      </c>
      <c r="Y125" s="473">
        <f t="shared" si="39"/>
        <v>14900</v>
      </c>
      <c r="Z125" s="474">
        <f>IF(ISERROR(VLOOKUP(L125,Gegenstände!$B$2:$N$2026,13,FALSE)),0,VLOOKUP(L125,Gegenstände!$B$2:$N$2026,13,FALSE))</f>
        <v>270</v>
      </c>
      <c r="AA125" s="142">
        <f>IF(ISERROR(VLOOKUP(N125,Gegenstände!$B$2:$N$2026,13,FALSE)),0,VLOOKUP(N125,Gegenstände!$B$2:$N$2026,13,FALSE))</f>
        <v>80</v>
      </c>
      <c r="AB125" s="142">
        <f>IF(ISERROR(VLOOKUP(P125,Gegenstände!$B$2:$N$2026,13,FALSE)),0,VLOOKUP(P125,Gegenstände!$B$2:$N$2026,13,FALSE))</f>
        <v>200</v>
      </c>
      <c r="AC125" s="142">
        <f>IF(ISERROR(VLOOKUP(R125,Gegenstände!$B$2:$N$2026,13,FALSE)),0,VLOOKUP(R125,Gegenstände!$B$2:$N$2026,13,FALSE))</f>
        <v>0</v>
      </c>
      <c r="AD125" s="142"/>
      <c r="AE125" s="475">
        <f t="shared" si="40"/>
        <v>4860</v>
      </c>
      <c r="AF125" s="476">
        <f t="shared" si="41"/>
        <v>4880</v>
      </c>
      <c r="AG125" s="128">
        <f t="shared" si="28"/>
        <v>0.32617449664429532</v>
      </c>
      <c r="AH125" s="128">
        <f t="shared" si="29"/>
        <v>0.32751677852348993</v>
      </c>
      <c r="AI125" s="129">
        <f t="shared" si="30"/>
        <v>0.65369127516778525</v>
      </c>
      <c r="AJ125" s="426">
        <f t="shared" si="42"/>
        <v>5160</v>
      </c>
      <c r="AK125" s="131">
        <f t="shared" si="13"/>
        <v>737.14285714285711</v>
      </c>
      <c r="AL125" s="477">
        <f>AK125/VLOOKUP(IF(I125&gt;0,I125,1),Preise!$A$3:$B$27,2,FALSE)</f>
        <v>167.53246753246748</v>
      </c>
    </row>
    <row r="126" spans="1:38" s="3" customFormat="1" outlineLevel="1" x14ac:dyDescent="0.2">
      <c r="A126" s="5">
        <v>1139</v>
      </c>
      <c r="B126" s="412">
        <v>1139</v>
      </c>
      <c r="C126" s="132" t="str">
        <f>VLOOKUP(B126,Gegenstände!$A89:$B808,2,FALSE)</f>
        <v>Tomahawk</v>
      </c>
      <c r="D126" s="133">
        <f>VLOOKUP(B126,Gegenstände!$A89:$D808,4,FALSE)</f>
        <v>22</v>
      </c>
      <c r="E126" s="468">
        <v>30</v>
      </c>
      <c r="F126" s="134">
        <v>420</v>
      </c>
      <c r="G126" s="54">
        <v>5</v>
      </c>
      <c r="H126" s="469">
        <v>58</v>
      </c>
      <c r="I126" s="6">
        <v>21</v>
      </c>
      <c r="J126" s="417"/>
      <c r="K126" s="6">
        <v>21</v>
      </c>
      <c r="L126" s="1" t="s">
        <v>117</v>
      </c>
      <c r="M126" s="87">
        <v>5</v>
      </c>
      <c r="N126" s="83" t="s">
        <v>176</v>
      </c>
      <c r="O126" s="85">
        <v>10</v>
      </c>
      <c r="P126" s="83" t="s">
        <v>179</v>
      </c>
      <c r="Q126" s="85">
        <v>10</v>
      </c>
      <c r="R126" s="83" t="s">
        <v>181</v>
      </c>
      <c r="S126" s="170"/>
      <c r="T126" s="170"/>
      <c r="U126" s="471">
        <f>VLOOKUP(D126,Preise!$A$3:$C$27,3)</f>
        <v>18.821518001888002</v>
      </c>
      <c r="V126" s="523">
        <f t="shared" si="37"/>
        <v>22585.821602265602</v>
      </c>
      <c r="W126" s="131"/>
      <c r="X126" s="472">
        <f t="shared" si="38"/>
        <v>22600</v>
      </c>
      <c r="Y126" s="473">
        <f t="shared" si="39"/>
        <v>22600</v>
      </c>
      <c r="Z126" s="474">
        <f>IF(ISERROR(VLOOKUP(L126,Gegenstände!$B$2:$N$2026,13,FALSE)),0,VLOOKUP(L126,Gegenstände!$B$2:$N$2026,13,FALSE))</f>
        <v>360</v>
      </c>
      <c r="AA126" s="142">
        <f>IF(ISERROR(VLOOKUP(N126,Gegenstände!$B$2:$N$2026,13,FALSE)),0,VLOOKUP(N126,Gegenstände!$B$2:$N$2026,13,FALSE))</f>
        <v>80</v>
      </c>
      <c r="AB126" s="142">
        <f>IF(ISERROR(VLOOKUP(P126,Gegenstände!$B$2:$N$2026,13,FALSE)),0,VLOOKUP(P126,Gegenstände!$B$2:$N$2026,13,FALSE))</f>
        <v>200</v>
      </c>
      <c r="AC126" s="142">
        <f>IF(ISERROR(VLOOKUP(R126,Gegenstände!$B$2:$N$2026,13,FALSE)),0,VLOOKUP(R126,Gegenstände!$B$2:$N$2026,13,FALSE))</f>
        <v>500</v>
      </c>
      <c r="AD126" s="142"/>
      <c r="AE126" s="475">
        <f t="shared" si="40"/>
        <v>7560</v>
      </c>
      <c r="AF126" s="476">
        <f t="shared" si="41"/>
        <v>7400</v>
      </c>
      <c r="AG126" s="128">
        <f t="shared" si="28"/>
        <v>0.3345132743362832</v>
      </c>
      <c r="AH126" s="128">
        <f t="shared" si="29"/>
        <v>0.32743362831858408</v>
      </c>
      <c r="AI126" s="129">
        <f t="shared" si="30"/>
        <v>0.66194690265486722</v>
      </c>
      <c r="AJ126" s="426">
        <f t="shared" si="42"/>
        <v>7640</v>
      </c>
      <c r="AK126" s="131">
        <f t="shared" si="13"/>
        <v>1091.4285714285713</v>
      </c>
      <c r="AL126" s="477">
        <f>AK126/VLOOKUP(IF(I126&gt;0,I126,1),Preise!$A$3:$B$27,2,FALSE)</f>
        <v>218.28571428571419</v>
      </c>
    </row>
    <row r="127" spans="1:38" s="3" customFormat="1" outlineLevel="1" x14ac:dyDescent="0.2">
      <c r="A127" s="5">
        <v>1140</v>
      </c>
      <c r="B127" s="412">
        <v>1140</v>
      </c>
      <c r="C127" s="132" t="str">
        <f>VLOOKUP(B127,Gegenstände!$A90:$B809,2,FALSE)</f>
        <v>Franziska</v>
      </c>
      <c r="D127" s="133">
        <f>VLOOKUP(B127,Gegenstände!$A90:$D809,4,FALSE)</f>
        <v>25</v>
      </c>
      <c r="E127" s="468">
        <v>30</v>
      </c>
      <c r="F127" s="134">
        <v>420</v>
      </c>
      <c r="G127" s="54">
        <v>5</v>
      </c>
      <c r="H127" s="469">
        <v>58</v>
      </c>
      <c r="I127" s="6">
        <v>24</v>
      </c>
      <c r="J127" s="417"/>
      <c r="K127" s="6">
        <v>32</v>
      </c>
      <c r="L127" s="1" t="s">
        <v>117</v>
      </c>
      <c r="M127" s="87">
        <v>6</v>
      </c>
      <c r="N127" s="83" t="s">
        <v>176</v>
      </c>
      <c r="O127" s="85">
        <v>14</v>
      </c>
      <c r="P127" s="83" t="s">
        <v>179</v>
      </c>
      <c r="Q127" s="85">
        <v>16</v>
      </c>
      <c r="R127" s="83" t="s">
        <v>181</v>
      </c>
      <c r="S127" s="170"/>
      <c r="T127" s="170"/>
      <c r="U127" s="471">
        <f>VLOOKUP(D127,Preise!$A$3:$C$27,3)</f>
        <v>28.625176191121408</v>
      </c>
      <c r="V127" s="523">
        <f t="shared" si="37"/>
        <v>34350.211429345691</v>
      </c>
      <c r="W127" s="131"/>
      <c r="X127" s="472">
        <f t="shared" si="38"/>
        <v>34400</v>
      </c>
      <c r="Y127" s="473">
        <f t="shared" si="39"/>
        <v>34400</v>
      </c>
      <c r="Z127" s="474">
        <f>IF(ISERROR(VLOOKUP(L127,Gegenstände!$B$2:$N$2026,13,FALSE)),0,VLOOKUP(L127,Gegenstände!$B$2:$N$2026,13,FALSE))</f>
        <v>360</v>
      </c>
      <c r="AA127" s="142">
        <f>IF(ISERROR(VLOOKUP(N127,Gegenstände!$B$2:$N$2026,13,FALSE)),0,VLOOKUP(N127,Gegenstände!$B$2:$N$2026,13,FALSE))</f>
        <v>80</v>
      </c>
      <c r="AB127" s="142">
        <f>IF(ISERROR(VLOOKUP(P127,Gegenstände!$B$2:$N$2026,13,FALSE)),0,VLOOKUP(P127,Gegenstände!$B$2:$N$2026,13,FALSE))</f>
        <v>200</v>
      </c>
      <c r="AC127" s="142">
        <f>IF(ISERROR(VLOOKUP(R127,Gegenstände!$B$2:$N$2026,13,FALSE)),0,VLOOKUP(R127,Gegenstände!$B$2:$N$2026,13,FALSE))</f>
        <v>500</v>
      </c>
      <c r="AD127" s="142"/>
      <c r="AE127" s="475">
        <f t="shared" si="40"/>
        <v>11520</v>
      </c>
      <c r="AF127" s="476">
        <f t="shared" si="41"/>
        <v>11280</v>
      </c>
      <c r="AG127" s="128">
        <f t="shared" si="28"/>
        <v>0.33488372093023255</v>
      </c>
      <c r="AH127" s="128">
        <f t="shared" si="29"/>
        <v>0.32790697674418606</v>
      </c>
      <c r="AI127" s="129">
        <f t="shared" si="30"/>
        <v>0.66279069767441856</v>
      </c>
      <c r="AJ127" s="426">
        <f t="shared" si="42"/>
        <v>11600</v>
      </c>
      <c r="AK127" s="131">
        <f t="shared" si="13"/>
        <v>1657.1428571428571</v>
      </c>
      <c r="AL127" s="477">
        <f>AK127/VLOOKUP(IF(I127&gt;0,I127,1),Preise!$A$3:$B$27,2,FALSE)</f>
        <v>295.91836734693862</v>
      </c>
    </row>
    <row r="128" spans="1:38" s="3" customFormat="1" x14ac:dyDescent="0.2">
      <c r="A128" s="525"/>
      <c r="B128" s="526"/>
      <c r="C128" s="286"/>
      <c r="D128" s="396"/>
      <c r="E128" s="527"/>
      <c r="F128" s="528"/>
      <c r="G128" s="322"/>
      <c r="H128" s="529"/>
      <c r="I128" s="530"/>
      <c r="J128" s="531"/>
      <c r="K128" s="530"/>
      <c r="L128" s="532"/>
      <c r="M128" s="533"/>
      <c r="N128" s="532"/>
      <c r="O128" s="530"/>
      <c r="P128" s="532"/>
      <c r="Q128" s="530"/>
      <c r="R128" s="532"/>
      <c r="S128" s="534"/>
      <c r="T128" s="535"/>
      <c r="U128" s="536"/>
      <c r="V128" s="551">
        <v>2000</v>
      </c>
      <c r="W128" s="538"/>
      <c r="X128" s="539"/>
      <c r="Y128" s="540"/>
      <c r="Z128" s="541"/>
      <c r="AA128" s="542"/>
      <c r="AB128" s="542"/>
      <c r="AC128" s="542"/>
      <c r="AD128" s="542"/>
      <c r="AE128" s="543"/>
      <c r="AF128" s="544"/>
      <c r="AG128" s="545"/>
      <c r="AH128" s="545"/>
      <c r="AI128" s="546"/>
      <c r="AJ128" s="547"/>
      <c r="AK128" s="548"/>
      <c r="AL128" s="549"/>
    </row>
    <row r="129" spans="1:38" s="3" customFormat="1" outlineLevel="1" x14ac:dyDescent="0.2">
      <c r="A129" s="5">
        <v>1141</v>
      </c>
      <c r="B129" s="412">
        <v>1141</v>
      </c>
      <c r="C129" s="132" t="str">
        <f>VLOOKUP(B129,Gegenstände!$A92:$B811,2,FALSE)</f>
        <v>Bidenaxt</v>
      </c>
      <c r="D129" s="133">
        <f>VLOOKUP(B129,Gegenstände!$A92:$D811,4,FALSE)</f>
        <v>7</v>
      </c>
      <c r="E129" s="468">
        <v>30</v>
      </c>
      <c r="F129" s="134">
        <v>540</v>
      </c>
      <c r="G129" s="54">
        <v>2</v>
      </c>
      <c r="H129" s="469">
        <v>58</v>
      </c>
      <c r="I129" s="6">
        <v>6</v>
      </c>
      <c r="J129" s="417"/>
      <c r="K129" s="6">
        <v>13</v>
      </c>
      <c r="L129" s="1" t="s">
        <v>114</v>
      </c>
      <c r="M129" s="87">
        <v>19</v>
      </c>
      <c r="N129" s="83" t="s">
        <v>176</v>
      </c>
      <c r="O129" s="85"/>
      <c r="P129" s="1"/>
      <c r="Q129" s="6"/>
      <c r="R129" s="1"/>
      <c r="S129" s="418"/>
      <c r="T129" s="418"/>
      <c r="U129" s="471">
        <f>VLOOKUP(D129,Preise!$A$3:$C$27,3)</f>
        <v>2.3130607656249991</v>
      </c>
      <c r="V129" s="523">
        <f t="shared" ref="V129:V136" si="43">U129*$V$128</f>
        <v>4626.121531249998</v>
      </c>
      <c r="W129" s="131"/>
      <c r="X129" s="472">
        <f t="shared" ref="X129:X136" si="44">ROUND((V129/100),0)*100</f>
        <v>4600</v>
      </c>
      <c r="Y129" s="473">
        <f t="shared" ref="Y129:Y136" si="45">X129*IF(J129&gt;0,J129,1)</f>
        <v>4600</v>
      </c>
      <c r="Z129" s="474">
        <f>IF(ISERROR(VLOOKUP(L129,Gegenstände!$B$2:$N$2026,13,FALSE)),0,VLOOKUP(L129,Gegenstände!$B$2:$N$2026,13,FALSE))</f>
        <v>120</v>
      </c>
      <c r="AA129" s="142">
        <f>IF(ISERROR(VLOOKUP(N129,Gegenstände!$B$2:$N$2026,13,FALSE)),0,VLOOKUP(N129,Gegenstände!$B$2:$N$2026,13,FALSE))</f>
        <v>80</v>
      </c>
      <c r="AB129" s="142">
        <f>IF(ISERROR(VLOOKUP(P129,Gegenstände!$B$2:$N$2026,13,FALSE)),0,VLOOKUP(P129,Gegenstände!$B$2:$N$2026,13,FALSE))</f>
        <v>0</v>
      </c>
      <c r="AC129" s="142">
        <f>IF(ISERROR(VLOOKUP(R129,Gegenstände!$B$2:$N$2026,13,FALSE)),0,VLOOKUP(R129,Gegenstände!$B$2:$N$2026,13,FALSE))</f>
        <v>0</v>
      </c>
      <c r="AD129" s="142"/>
      <c r="AE129" s="475">
        <f t="shared" ref="AE129:AE136" si="46">IF(ISERROR(K129*Z129),"",K129*Z129)</f>
        <v>1560</v>
      </c>
      <c r="AF129" s="476">
        <f t="shared" ref="AF129:AF136" si="47">IF(ISERROR(M129*AA129+O129*AB129+Q129*AC129),"",M129*AA129+O129*AB129+Q129*AC129)</f>
        <v>1520</v>
      </c>
      <c r="AG129" s="128">
        <f t="shared" si="28"/>
        <v>0.33913043478260868</v>
      </c>
      <c r="AH129" s="128">
        <f t="shared" si="29"/>
        <v>0.33043478260869563</v>
      </c>
      <c r="AI129" s="129">
        <f t="shared" si="30"/>
        <v>0.66956521739130437</v>
      </c>
      <c r="AJ129" s="426">
        <f t="shared" ref="AJ129:AJ136" si="48">Y129-(AE129+AF129)</f>
        <v>1520</v>
      </c>
      <c r="AK129" s="131">
        <f t="shared" si="13"/>
        <v>168.88888888888889</v>
      </c>
      <c r="AL129" s="477">
        <f>AK129/VLOOKUP(IF(I129&gt;0,I129,1),Preise!$A$3:$B$27,2,FALSE)</f>
        <v>84.444444444444457</v>
      </c>
    </row>
    <row r="130" spans="1:38" s="3" customFormat="1" outlineLevel="1" x14ac:dyDescent="0.2">
      <c r="A130" s="5">
        <v>1142</v>
      </c>
      <c r="B130" s="412">
        <v>1142</v>
      </c>
      <c r="C130" s="132" t="str">
        <f>VLOOKUP(B130,Gegenstände!$A93:$B812,2,FALSE)</f>
        <v>Felsenspalter</v>
      </c>
      <c r="D130" s="133">
        <f>VLOOKUP(B130,Gegenstände!$A93:$D812,4,FALSE)</f>
        <v>10</v>
      </c>
      <c r="E130" s="468">
        <v>30</v>
      </c>
      <c r="F130" s="134">
        <v>540</v>
      </c>
      <c r="G130" s="54">
        <v>2</v>
      </c>
      <c r="H130" s="469">
        <v>58</v>
      </c>
      <c r="I130" s="6">
        <v>9</v>
      </c>
      <c r="J130" s="417"/>
      <c r="K130" s="6">
        <v>19</v>
      </c>
      <c r="L130" s="1" t="s">
        <v>114</v>
      </c>
      <c r="M130" s="87">
        <v>29</v>
      </c>
      <c r="N130" s="83" t="s">
        <v>176</v>
      </c>
      <c r="O130" s="85"/>
      <c r="P130" s="1"/>
      <c r="Q130" s="6"/>
      <c r="R130" s="1"/>
      <c r="S130" s="418"/>
      <c r="T130" s="418"/>
      <c r="U130" s="471">
        <f>VLOOKUP(D130,Preise!$A$3:$C$27,3)</f>
        <v>3.5178762919199196</v>
      </c>
      <c r="V130" s="523">
        <f t="shared" si="43"/>
        <v>7035.7525838398387</v>
      </c>
      <c r="W130" s="131"/>
      <c r="X130" s="472">
        <f t="shared" si="44"/>
        <v>7000</v>
      </c>
      <c r="Y130" s="473">
        <f t="shared" si="45"/>
        <v>7000</v>
      </c>
      <c r="Z130" s="474">
        <f>IF(ISERROR(VLOOKUP(L130,Gegenstände!$B$2:$N$2026,13,FALSE)),0,VLOOKUP(L130,Gegenstände!$B$2:$N$2026,13,FALSE))</f>
        <v>120</v>
      </c>
      <c r="AA130" s="142">
        <f>IF(ISERROR(VLOOKUP(N130,Gegenstände!$B$2:$N$2026,13,FALSE)),0,VLOOKUP(N130,Gegenstände!$B$2:$N$2026,13,FALSE))</f>
        <v>80</v>
      </c>
      <c r="AB130" s="142">
        <f>IF(ISERROR(VLOOKUP(P130,Gegenstände!$B$2:$N$2026,13,FALSE)),0,VLOOKUP(P130,Gegenstände!$B$2:$N$2026,13,FALSE))</f>
        <v>0</v>
      </c>
      <c r="AC130" s="142">
        <f>IF(ISERROR(VLOOKUP(R130,Gegenstände!$B$2:$N$2026,13,FALSE)),0,VLOOKUP(R130,Gegenstände!$B$2:$N$2026,13,FALSE))</f>
        <v>0</v>
      </c>
      <c r="AD130" s="142"/>
      <c r="AE130" s="475">
        <f t="shared" si="46"/>
        <v>2280</v>
      </c>
      <c r="AF130" s="476">
        <f t="shared" si="47"/>
        <v>2320</v>
      </c>
      <c r="AG130" s="128">
        <f t="shared" si="28"/>
        <v>0.32571428571428573</v>
      </c>
      <c r="AH130" s="128">
        <f t="shared" si="29"/>
        <v>0.33142857142857141</v>
      </c>
      <c r="AI130" s="129">
        <f t="shared" si="30"/>
        <v>0.65714285714285714</v>
      </c>
      <c r="AJ130" s="426">
        <f t="shared" si="48"/>
        <v>2400</v>
      </c>
      <c r="AK130" s="131">
        <f t="shared" si="13"/>
        <v>266.66666666666669</v>
      </c>
      <c r="AL130" s="477">
        <f>AK130/VLOOKUP(IF(I130&gt;0,I130,1),Preise!$A$3:$B$27,2,FALSE)</f>
        <v>102.56410256410257</v>
      </c>
    </row>
    <row r="131" spans="1:38" s="3" customFormat="1" outlineLevel="1" x14ac:dyDescent="0.2">
      <c r="A131" s="5">
        <v>1143</v>
      </c>
      <c r="B131" s="412">
        <v>1143</v>
      </c>
      <c r="C131" s="132" t="str">
        <f>VLOOKUP(B131,Gegenstände!$A94:$B813,2,FALSE)</f>
        <v>Prunkaxt</v>
      </c>
      <c r="D131" s="133">
        <f>VLOOKUP(B131,Gegenstände!$A94:$D813,4,FALSE)</f>
        <v>12</v>
      </c>
      <c r="E131" s="468">
        <v>30</v>
      </c>
      <c r="F131" s="134">
        <v>540</v>
      </c>
      <c r="G131" s="54">
        <v>3</v>
      </c>
      <c r="H131" s="469">
        <v>58</v>
      </c>
      <c r="I131" s="6">
        <v>11</v>
      </c>
      <c r="J131" s="417"/>
      <c r="K131" s="6">
        <v>17</v>
      </c>
      <c r="L131" s="1" t="s">
        <v>115</v>
      </c>
      <c r="M131" s="87">
        <v>3</v>
      </c>
      <c r="N131" s="83" t="s">
        <v>176</v>
      </c>
      <c r="O131" s="85">
        <v>14</v>
      </c>
      <c r="P131" s="83" t="s">
        <v>179</v>
      </c>
      <c r="Q131" s="85"/>
      <c r="R131" s="1"/>
      <c r="S131" s="418"/>
      <c r="T131" s="418"/>
      <c r="U131" s="471">
        <f>VLOOKUP(D131,Preise!$A$3:$C$27,3)</f>
        <v>4.6523913960640932</v>
      </c>
      <c r="V131" s="523">
        <f t="shared" si="43"/>
        <v>9304.782792128186</v>
      </c>
      <c r="W131" s="131"/>
      <c r="X131" s="472">
        <f t="shared" si="44"/>
        <v>9300</v>
      </c>
      <c r="Y131" s="473">
        <f t="shared" si="45"/>
        <v>9300</v>
      </c>
      <c r="Z131" s="474">
        <f>IF(ISERROR(VLOOKUP(L131,Gegenstände!$B$2:$N$2026,13,FALSE)),0,VLOOKUP(L131,Gegenstände!$B$2:$N$2026,13,FALSE))</f>
        <v>180</v>
      </c>
      <c r="AA131" s="142">
        <f>IF(ISERROR(VLOOKUP(N131,Gegenstände!$B$2:$N$2026,13,FALSE)),0,VLOOKUP(N131,Gegenstände!$B$2:$N$2026,13,FALSE))</f>
        <v>80</v>
      </c>
      <c r="AB131" s="142">
        <f>IF(ISERROR(VLOOKUP(P131,Gegenstände!$B$2:$N$2026,13,FALSE)),0,VLOOKUP(P131,Gegenstände!$B$2:$N$2026,13,FALSE))</f>
        <v>200</v>
      </c>
      <c r="AC131" s="142">
        <f>IF(ISERROR(VLOOKUP(R131,Gegenstände!$B$2:$N$2026,13,FALSE)),0,VLOOKUP(R131,Gegenstände!$B$2:$N$2026,13,FALSE))</f>
        <v>0</v>
      </c>
      <c r="AD131" s="142"/>
      <c r="AE131" s="475">
        <f t="shared" si="46"/>
        <v>3060</v>
      </c>
      <c r="AF131" s="476">
        <f t="shared" si="47"/>
        <v>3040</v>
      </c>
      <c r="AG131" s="128">
        <f t="shared" si="28"/>
        <v>0.32903225806451614</v>
      </c>
      <c r="AH131" s="128">
        <f t="shared" si="29"/>
        <v>0.32688172043010755</v>
      </c>
      <c r="AI131" s="129">
        <f t="shared" si="30"/>
        <v>0.65591397849462363</v>
      </c>
      <c r="AJ131" s="426">
        <f t="shared" si="48"/>
        <v>3200</v>
      </c>
      <c r="AK131" s="131">
        <f t="shared" si="13"/>
        <v>355.55555555555554</v>
      </c>
      <c r="AL131" s="477">
        <f>AK131/VLOOKUP(IF(I131&gt;0,I131,1),Preise!$A$3:$B$27,2,FALSE)</f>
        <v>118.51851851851849</v>
      </c>
    </row>
    <row r="132" spans="1:38" s="3" customFormat="1" outlineLevel="1" x14ac:dyDescent="0.2">
      <c r="A132" s="5">
        <v>1144</v>
      </c>
      <c r="B132" s="412">
        <v>1144</v>
      </c>
      <c r="C132" s="132" t="str">
        <f>VLOOKUP(B132,Gegenstände!$A95:$B814,2,FALSE)</f>
        <v>Heldenaxt</v>
      </c>
      <c r="D132" s="133">
        <f>VLOOKUP(B132,Gegenstände!$A95:$D814,4,FALSE)</f>
        <v>15</v>
      </c>
      <c r="E132" s="468">
        <v>30</v>
      </c>
      <c r="F132" s="134">
        <v>540</v>
      </c>
      <c r="G132" s="54">
        <v>3</v>
      </c>
      <c r="H132" s="469">
        <v>58</v>
      </c>
      <c r="I132" s="6">
        <v>14</v>
      </c>
      <c r="J132" s="417"/>
      <c r="K132" s="6">
        <v>26</v>
      </c>
      <c r="L132" s="1" t="s">
        <v>115</v>
      </c>
      <c r="M132" s="87">
        <v>6</v>
      </c>
      <c r="N132" s="83" t="s">
        <v>176</v>
      </c>
      <c r="O132" s="85">
        <v>21</v>
      </c>
      <c r="P132" s="83" t="s">
        <v>179</v>
      </c>
      <c r="Q132" s="85"/>
      <c r="R132" s="1"/>
      <c r="S132" s="418"/>
      <c r="T132" s="418"/>
      <c r="U132" s="471">
        <f>VLOOKUP(D132,Preise!$A$3:$C$27,3)</f>
        <v>7.0757057644889763</v>
      </c>
      <c r="V132" s="523">
        <f t="shared" si="43"/>
        <v>14151.411528977953</v>
      </c>
      <c r="W132" s="131"/>
      <c r="X132" s="472">
        <f t="shared" si="44"/>
        <v>14200</v>
      </c>
      <c r="Y132" s="473">
        <f t="shared" si="45"/>
        <v>14200</v>
      </c>
      <c r="Z132" s="474">
        <f>IF(ISERROR(VLOOKUP(L132,Gegenstände!$B$2:$N$2026,13,FALSE)),0,VLOOKUP(L132,Gegenstände!$B$2:$N$2026,13,FALSE))</f>
        <v>180</v>
      </c>
      <c r="AA132" s="142">
        <f>IF(ISERROR(VLOOKUP(N132,Gegenstände!$B$2:$N$2026,13,FALSE)),0,VLOOKUP(N132,Gegenstände!$B$2:$N$2026,13,FALSE))</f>
        <v>80</v>
      </c>
      <c r="AB132" s="142">
        <f>IF(ISERROR(VLOOKUP(P132,Gegenstände!$B$2:$N$2026,13,FALSE)),0,VLOOKUP(P132,Gegenstände!$B$2:$N$2026,13,FALSE))</f>
        <v>200</v>
      </c>
      <c r="AC132" s="142">
        <f>IF(ISERROR(VLOOKUP(R132,Gegenstände!$B$2:$N$2026,13,FALSE)),0,VLOOKUP(R132,Gegenstände!$B$2:$N$2026,13,FALSE))</f>
        <v>0</v>
      </c>
      <c r="AD132" s="142"/>
      <c r="AE132" s="475">
        <f t="shared" si="46"/>
        <v>4680</v>
      </c>
      <c r="AF132" s="476">
        <f t="shared" si="47"/>
        <v>4680</v>
      </c>
      <c r="AG132" s="128">
        <f t="shared" si="28"/>
        <v>0.3295774647887324</v>
      </c>
      <c r="AH132" s="128">
        <f t="shared" si="29"/>
        <v>0.3295774647887324</v>
      </c>
      <c r="AI132" s="129">
        <f t="shared" si="30"/>
        <v>0.6591549295774648</v>
      </c>
      <c r="AJ132" s="426">
        <f t="shared" si="48"/>
        <v>4840</v>
      </c>
      <c r="AK132" s="131">
        <f t="shared" si="13"/>
        <v>537.77777777777783</v>
      </c>
      <c r="AL132" s="477">
        <f>AK132/VLOOKUP(IF(I132&gt;0,I132,1),Preise!$A$3:$B$27,2,FALSE)</f>
        <v>149.38271604938268</v>
      </c>
    </row>
    <row r="133" spans="1:38" s="3" customFormat="1" outlineLevel="1" x14ac:dyDescent="0.2">
      <c r="A133" s="5">
        <v>1145</v>
      </c>
      <c r="B133" s="412">
        <v>1145</v>
      </c>
      <c r="C133" s="132" t="str">
        <f>VLOOKUP(B133,Gegenstände!$A150:$B815,2,FALSE)</f>
        <v>Sonnensichel</v>
      </c>
      <c r="D133" s="133">
        <f>VLOOKUP(B133,Gegenstände!$A150:$D815,4,FALSE)</f>
        <v>17</v>
      </c>
      <c r="E133" s="468">
        <v>30</v>
      </c>
      <c r="F133" s="134">
        <v>540</v>
      </c>
      <c r="G133" s="54">
        <v>4</v>
      </c>
      <c r="H133" s="469">
        <v>58</v>
      </c>
      <c r="I133" s="6">
        <v>16</v>
      </c>
      <c r="J133" s="417"/>
      <c r="K133" s="6">
        <v>23</v>
      </c>
      <c r="L133" s="1" t="s">
        <v>116</v>
      </c>
      <c r="M133" s="87">
        <v>8</v>
      </c>
      <c r="N133" s="83" t="s">
        <v>176</v>
      </c>
      <c r="O133" s="85">
        <v>28</v>
      </c>
      <c r="P133" s="83" t="s">
        <v>179</v>
      </c>
      <c r="Q133" s="85"/>
      <c r="R133" s="1"/>
      <c r="S133" s="418"/>
      <c r="T133" s="418"/>
      <c r="U133" s="471">
        <f>VLOOKUP(D133,Preise!$A$3:$C$27,3)</f>
        <v>9.3576208735366695</v>
      </c>
      <c r="V133" s="523">
        <f t="shared" si="43"/>
        <v>18715.241747073338</v>
      </c>
      <c r="W133" s="131"/>
      <c r="X133" s="472">
        <f t="shared" si="44"/>
        <v>18700</v>
      </c>
      <c r="Y133" s="473">
        <f t="shared" si="45"/>
        <v>18700</v>
      </c>
      <c r="Z133" s="474">
        <f>IF(ISERROR(VLOOKUP(L133,Gegenstände!$B$2:$N$2026,13,FALSE)),0,VLOOKUP(L133,Gegenstände!$B$2:$N$2026,13,FALSE))</f>
        <v>270</v>
      </c>
      <c r="AA133" s="142">
        <f>IF(ISERROR(VLOOKUP(N133,Gegenstände!$B$2:$N$2026,13,FALSE)),0,VLOOKUP(N133,Gegenstände!$B$2:$N$2026,13,FALSE))</f>
        <v>80</v>
      </c>
      <c r="AB133" s="142">
        <f>IF(ISERROR(VLOOKUP(P133,Gegenstände!$B$2:$N$2026,13,FALSE)),0,VLOOKUP(P133,Gegenstände!$B$2:$N$2026,13,FALSE))</f>
        <v>200</v>
      </c>
      <c r="AC133" s="142">
        <f>IF(ISERROR(VLOOKUP(R133,Gegenstände!$B$2:$N$2026,13,FALSE)),0,VLOOKUP(R133,Gegenstände!$B$2:$N$2026,13,FALSE))</f>
        <v>0</v>
      </c>
      <c r="AD133" s="142"/>
      <c r="AE133" s="475">
        <f t="shared" si="46"/>
        <v>6210</v>
      </c>
      <c r="AF133" s="476">
        <f t="shared" si="47"/>
        <v>6240</v>
      </c>
      <c r="AG133" s="128">
        <f t="shared" si="28"/>
        <v>0.33208556149732621</v>
      </c>
      <c r="AH133" s="128">
        <f t="shared" si="29"/>
        <v>0.3336898395721925</v>
      </c>
      <c r="AI133" s="129">
        <f t="shared" si="30"/>
        <v>0.66577540106951871</v>
      </c>
      <c r="AJ133" s="426">
        <f t="shared" si="48"/>
        <v>6250</v>
      </c>
      <c r="AK133" s="131">
        <f t="shared" si="13"/>
        <v>694.44444444444446</v>
      </c>
      <c r="AL133" s="477">
        <f>AK133/VLOOKUP(IF(I133&gt;0,I133,1),Preise!$A$3:$B$27,2,FALSE)</f>
        <v>173.61111111111109</v>
      </c>
    </row>
    <row r="134" spans="1:38" s="3" customFormat="1" outlineLevel="1" x14ac:dyDescent="0.2">
      <c r="A134" s="5">
        <v>1146</v>
      </c>
      <c r="B134" s="412">
        <v>1146</v>
      </c>
      <c r="C134" s="132" t="str">
        <f>VLOOKUP(B134,Gegenstände!$A151:$B816,2,FALSE)</f>
        <v>Kampfschnitter</v>
      </c>
      <c r="D134" s="133">
        <f>VLOOKUP(B134,Gegenstände!$A151:$D816,4,FALSE)</f>
        <v>20</v>
      </c>
      <c r="E134" s="468">
        <v>30</v>
      </c>
      <c r="F134" s="134">
        <v>540</v>
      </c>
      <c r="G134" s="54">
        <v>4</v>
      </c>
      <c r="H134" s="469">
        <v>58</v>
      </c>
      <c r="I134" s="6">
        <v>19</v>
      </c>
      <c r="J134" s="417"/>
      <c r="K134" s="6">
        <v>35</v>
      </c>
      <c r="L134" s="1" t="s">
        <v>116</v>
      </c>
      <c r="M134" s="87">
        <v>16</v>
      </c>
      <c r="N134" s="83" t="s">
        <v>176</v>
      </c>
      <c r="O134" s="85">
        <v>40</v>
      </c>
      <c r="P134" s="83" t="s">
        <v>179</v>
      </c>
      <c r="Q134" s="85"/>
      <c r="R134" s="1"/>
      <c r="S134" s="418"/>
      <c r="T134" s="418"/>
      <c r="U134" s="471">
        <f>VLOOKUP(D134,Preise!$A$3:$C$27,3)</f>
        <v>14.231771646040078</v>
      </c>
      <c r="V134" s="523">
        <f t="shared" si="43"/>
        <v>28463.543292080158</v>
      </c>
      <c r="W134" s="131"/>
      <c r="X134" s="472">
        <f t="shared" si="44"/>
        <v>28500</v>
      </c>
      <c r="Y134" s="473">
        <f t="shared" si="45"/>
        <v>28500</v>
      </c>
      <c r="Z134" s="474">
        <f>IF(ISERROR(VLOOKUP(L134,Gegenstände!$B$2:$N$2026,13,FALSE)),0,VLOOKUP(L134,Gegenstände!$B$2:$N$2026,13,FALSE))</f>
        <v>270</v>
      </c>
      <c r="AA134" s="142">
        <f>IF(ISERROR(VLOOKUP(N134,Gegenstände!$B$2:$N$2026,13,FALSE)),0,VLOOKUP(N134,Gegenstände!$B$2:$N$2026,13,FALSE))</f>
        <v>80</v>
      </c>
      <c r="AB134" s="142">
        <f>IF(ISERROR(VLOOKUP(P134,Gegenstände!$B$2:$N$2026,13,FALSE)),0,VLOOKUP(P134,Gegenstände!$B$2:$N$2026,13,FALSE))</f>
        <v>200</v>
      </c>
      <c r="AC134" s="142">
        <f>IF(ISERROR(VLOOKUP(R134,Gegenstände!$B$2:$N$2026,13,FALSE)),0,VLOOKUP(R134,Gegenstände!$B$2:$N$2026,13,FALSE))</f>
        <v>0</v>
      </c>
      <c r="AD134" s="142"/>
      <c r="AE134" s="475">
        <f t="shared" si="46"/>
        <v>9450</v>
      </c>
      <c r="AF134" s="476">
        <f t="shared" si="47"/>
        <v>9280</v>
      </c>
      <c r="AG134" s="128">
        <f t="shared" si="28"/>
        <v>0.33157894736842103</v>
      </c>
      <c r="AH134" s="128">
        <f t="shared" si="29"/>
        <v>0.3256140350877193</v>
      </c>
      <c r="AI134" s="129">
        <f t="shared" si="30"/>
        <v>0.65719298245614033</v>
      </c>
      <c r="AJ134" s="426">
        <f t="shared" si="48"/>
        <v>9770</v>
      </c>
      <c r="AK134" s="131">
        <f t="shared" si="13"/>
        <v>1085.5555555555557</v>
      </c>
      <c r="AL134" s="477">
        <f>AK134/VLOOKUP(IF(I134&gt;0,I134,1),Preise!$A$3:$B$27,2,FALSE)</f>
        <v>235.99033816425117</v>
      </c>
    </row>
    <row r="135" spans="1:38" s="3" customFormat="1" outlineLevel="1" x14ac:dyDescent="0.2">
      <c r="A135" s="5">
        <v>1147</v>
      </c>
      <c r="B135" s="412">
        <v>1147</v>
      </c>
      <c r="C135" s="132" t="str">
        <f>VLOOKUP(B135,Gegenstände!$A152:$B817,2,FALSE)</f>
        <v>Berserkeraxt</v>
      </c>
      <c r="D135" s="133">
        <f>VLOOKUP(B135,Gegenstände!$A152:$D817,4,FALSE)</f>
        <v>22</v>
      </c>
      <c r="E135" s="468">
        <v>30</v>
      </c>
      <c r="F135" s="134">
        <v>540</v>
      </c>
      <c r="G135" s="54">
        <v>5</v>
      </c>
      <c r="H135" s="469">
        <v>58</v>
      </c>
      <c r="I135" s="6">
        <v>21</v>
      </c>
      <c r="J135" s="417"/>
      <c r="K135" s="6">
        <v>34</v>
      </c>
      <c r="L135" s="1" t="s">
        <v>117</v>
      </c>
      <c r="M135" s="87">
        <v>5</v>
      </c>
      <c r="N135" s="83" t="s">
        <v>176</v>
      </c>
      <c r="O135" s="85">
        <v>10</v>
      </c>
      <c r="P135" s="83" t="s">
        <v>179</v>
      </c>
      <c r="Q135" s="85">
        <v>20</v>
      </c>
      <c r="R135" s="83" t="s">
        <v>181</v>
      </c>
      <c r="S135" s="170"/>
      <c r="T135" s="170"/>
      <c r="U135" s="471">
        <f>VLOOKUP(D135,Preise!$A$3:$C$27,3)</f>
        <v>18.821518001888002</v>
      </c>
      <c r="V135" s="523">
        <f t="shared" si="43"/>
        <v>37643.036003776004</v>
      </c>
      <c r="W135" s="131"/>
      <c r="X135" s="472">
        <f t="shared" si="44"/>
        <v>37600</v>
      </c>
      <c r="Y135" s="473">
        <f t="shared" si="45"/>
        <v>37600</v>
      </c>
      <c r="Z135" s="474">
        <f>IF(ISERROR(VLOOKUP(L135,Gegenstände!$B$2:$N$2026,13,FALSE)),0,VLOOKUP(L135,Gegenstände!$B$2:$N$2026,13,FALSE))</f>
        <v>360</v>
      </c>
      <c r="AA135" s="142">
        <f>IF(ISERROR(VLOOKUP(N135,Gegenstände!$B$2:$N$2026,13,FALSE)),0,VLOOKUP(N135,Gegenstände!$B$2:$N$2026,13,FALSE))</f>
        <v>80</v>
      </c>
      <c r="AB135" s="142">
        <f>IF(ISERROR(VLOOKUP(P135,Gegenstände!$B$2:$N$2026,13,FALSE)),0,VLOOKUP(P135,Gegenstände!$B$2:$N$2026,13,FALSE))</f>
        <v>200</v>
      </c>
      <c r="AC135" s="142">
        <f>IF(ISERROR(VLOOKUP(R135,Gegenstände!$B$2:$N$2026,13,FALSE)),0,VLOOKUP(R135,Gegenstände!$B$2:$N$2026,13,FALSE))</f>
        <v>500</v>
      </c>
      <c r="AD135" s="142"/>
      <c r="AE135" s="475">
        <f t="shared" si="46"/>
        <v>12240</v>
      </c>
      <c r="AF135" s="476">
        <f t="shared" si="47"/>
        <v>12400</v>
      </c>
      <c r="AG135" s="128">
        <f t="shared" si="28"/>
        <v>0.32553191489361705</v>
      </c>
      <c r="AH135" s="128">
        <f t="shared" si="29"/>
        <v>0.32978723404255317</v>
      </c>
      <c r="AI135" s="129">
        <f t="shared" si="30"/>
        <v>0.65531914893617016</v>
      </c>
      <c r="AJ135" s="426">
        <f t="shared" si="48"/>
        <v>12960</v>
      </c>
      <c r="AK135" s="131">
        <f t="shared" si="13"/>
        <v>1440</v>
      </c>
      <c r="AL135" s="477">
        <f>AK135/VLOOKUP(IF(I135&gt;0,I135,1),Preise!$A$3:$B$27,2,FALSE)</f>
        <v>287.99999999999989</v>
      </c>
    </row>
    <row r="136" spans="1:38" s="3" customFormat="1" outlineLevel="1" x14ac:dyDescent="0.2">
      <c r="A136" s="5">
        <v>1148</v>
      </c>
      <c r="B136" s="412">
        <v>1148</v>
      </c>
      <c r="C136" s="132" t="str">
        <f>VLOOKUP(B136,Gegenstände!$A153:$B818,2,FALSE)</f>
        <v>Tyrannenaxt</v>
      </c>
      <c r="D136" s="133">
        <f>VLOOKUP(B136,Gegenstände!$A153:$D818,4,FALSE)</f>
        <v>25</v>
      </c>
      <c r="E136" s="468">
        <v>30</v>
      </c>
      <c r="F136" s="134">
        <v>540</v>
      </c>
      <c r="G136" s="54">
        <v>5</v>
      </c>
      <c r="H136" s="469">
        <v>58</v>
      </c>
      <c r="I136" s="6">
        <v>24</v>
      </c>
      <c r="J136" s="417"/>
      <c r="K136" s="6">
        <v>52</v>
      </c>
      <c r="L136" s="1" t="s">
        <v>117</v>
      </c>
      <c r="M136" s="87">
        <v>6</v>
      </c>
      <c r="N136" s="83" t="s">
        <v>176</v>
      </c>
      <c r="O136" s="85">
        <v>8</v>
      </c>
      <c r="P136" s="83" t="s">
        <v>179</v>
      </c>
      <c r="Q136" s="85">
        <v>34</v>
      </c>
      <c r="R136" s="83" t="s">
        <v>181</v>
      </c>
      <c r="S136" s="170"/>
      <c r="T136" s="170"/>
      <c r="U136" s="471">
        <f>VLOOKUP(D136,Preise!$A$3:$C$27,3)</f>
        <v>28.625176191121408</v>
      </c>
      <c r="V136" s="523">
        <f t="shared" si="43"/>
        <v>57250.352382242818</v>
      </c>
      <c r="W136" s="131"/>
      <c r="X136" s="472">
        <f t="shared" si="44"/>
        <v>57300</v>
      </c>
      <c r="Y136" s="473">
        <f t="shared" si="45"/>
        <v>57300</v>
      </c>
      <c r="Z136" s="474">
        <f>IF(ISERROR(VLOOKUP(L136,Gegenstände!$B$2:$N$2026,13,FALSE)),0,VLOOKUP(L136,Gegenstände!$B$2:$N$2026,13,FALSE))</f>
        <v>360</v>
      </c>
      <c r="AA136" s="142">
        <f>IF(ISERROR(VLOOKUP(N136,Gegenstände!$B$2:$N$2026,13,FALSE)),0,VLOOKUP(N136,Gegenstände!$B$2:$N$2026,13,FALSE))</f>
        <v>80</v>
      </c>
      <c r="AB136" s="142">
        <f>IF(ISERROR(VLOOKUP(P136,Gegenstände!$B$2:$N$2026,13,FALSE)),0,VLOOKUP(P136,Gegenstände!$B$2:$N$2026,13,FALSE))</f>
        <v>200</v>
      </c>
      <c r="AC136" s="142">
        <f>IF(ISERROR(VLOOKUP(R136,Gegenstände!$B$2:$N$2026,13,FALSE)),0,VLOOKUP(R136,Gegenstände!$B$2:$N$2026,13,FALSE))</f>
        <v>500</v>
      </c>
      <c r="AD136" s="142"/>
      <c r="AE136" s="475">
        <f t="shared" si="46"/>
        <v>18720</v>
      </c>
      <c r="AF136" s="476">
        <f t="shared" si="47"/>
        <v>19080</v>
      </c>
      <c r="AG136" s="128">
        <f t="shared" si="28"/>
        <v>0.32670157068062827</v>
      </c>
      <c r="AH136" s="128">
        <f t="shared" si="29"/>
        <v>0.33298429319371725</v>
      </c>
      <c r="AI136" s="129">
        <f t="shared" si="30"/>
        <v>0.65968586387434558</v>
      </c>
      <c r="AJ136" s="426">
        <f t="shared" si="48"/>
        <v>19500</v>
      </c>
      <c r="AK136" s="131">
        <f t="shared" si="13"/>
        <v>2166.6666666666665</v>
      </c>
      <c r="AL136" s="477">
        <f>AK136/VLOOKUP(IF(I136&gt;0,I136,1),Preise!$A$3:$B$27,2,FALSE)</f>
        <v>386.9047619047617</v>
      </c>
    </row>
    <row r="137" spans="1:38" s="3" customFormat="1" x14ac:dyDescent="0.2">
      <c r="A137" s="525"/>
      <c r="B137" s="526"/>
      <c r="C137" s="286"/>
      <c r="D137" s="396"/>
      <c r="E137" s="527"/>
      <c r="F137" s="528"/>
      <c r="G137" s="322"/>
      <c r="H137" s="529"/>
      <c r="I137" s="530"/>
      <c r="J137" s="531"/>
      <c r="K137" s="530"/>
      <c r="L137" s="532"/>
      <c r="M137" s="533"/>
      <c r="N137" s="532"/>
      <c r="O137" s="530"/>
      <c r="P137" s="532"/>
      <c r="Q137" s="530"/>
      <c r="R137" s="532"/>
      <c r="S137" s="534"/>
      <c r="T137" s="535"/>
      <c r="U137" s="536"/>
      <c r="V137" s="551">
        <v>1200</v>
      </c>
      <c r="W137" s="538"/>
      <c r="X137" s="539"/>
      <c r="Y137" s="540"/>
      <c r="Z137" s="541"/>
      <c r="AA137" s="542"/>
      <c r="AB137" s="542"/>
      <c r="AC137" s="542"/>
      <c r="AD137" s="542"/>
      <c r="AE137" s="543"/>
      <c r="AF137" s="544"/>
      <c r="AG137" s="545"/>
      <c r="AH137" s="545"/>
      <c r="AI137" s="546"/>
      <c r="AJ137" s="547"/>
      <c r="AK137" s="548"/>
      <c r="AL137" s="549"/>
    </row>
    <row r="138" spans="1:38" s="3" customFormat="1" outlineLevel="1" x14ac:dyDescent="0.2">
      <c r="A138" s="5">
        <v>1151</v>
      </c>
      <c r="B138" s="412">
        <v>1151</v>
      </c>
      <c r="C138" s="132" t="str">
        <f>VLOOKUP(B138,Gegenstände!$A155:$B820,2,FALSE)</f>
        <v>Knüppel</v>
      </c>
      <c r="D138" s="133">
        <f>VLOOKUP(B138,Gegenstände!$A155:$D820,4,FALSE)</f>
        <v>1</v>
      </c>
      <c r="E138" s="468">
        <v>30</v>
      </c>
      <c r="F138" s="134">
        <v>420</v>
      </c>
      <c r="G138" s="54">
        <v>1</v>
      </c>
      <c r="H138" s="469">
        <v>59</v>
      </c>
      <c r="I138" s="6">
        <v>0</v>
      </c>
      <c r="J138" s="417"/>
      <c r="K138" s="6">
        <v>7</v>
      </c>
      <c r="L138" s="1" t="s">
        <v>113</v>
      </c>
      <c r="M138" s="87">
        <v>5</v>
      </c>
      <c r="N138" s="83" t="s">
        <v>176</v>
      </c>
      <c r="O138" s="85"/>
      <c r="P138" s="1"/>
      <c r="Q138" s="6"/>
      <c r="R138" s="1"/>
      <c r="S138" s="418"/>
      <c r="T138" s="418"/>
      <c r="U138" s="471">
        <f>VLOOKUP(D138,Preise!$A$3:$C$27,3)</f>
        <v>1</v>
      </c>
      <c r="V138" s="523">
        <f t="shared" ref="V138:V147" si="49">U138*$V$137</f>
        <v>1200</v>
      </c>
      <c r="W138" s="131"/>
      <c r="X138" s="472">
        <f t="shared" ref="X138:X147" si="50">ROUND((V138/100),0)*100</f>
        <v>1200</v>
      </c>
      <c r="Y138" s="473">
        <f t="shared" ref="Y138:Y147" si="51">X138*IF(J138&gt;0,J138,1)</f>
        <v>1200</v>
      </c>
      <c r="Z138" s="474">
        <f>IF(ISERROR(VLOOKUP(L138,Gegenstände!$B$2:$N$2026,13,FALSE)),0,VLOOKUP(L138,Gegenstände!$B$2:$N$2026,13,FALSE))</f>
        <v>60</v>
      </c>
      <c r="AA138" s="142">
        <f>IF(ISERROR(VLOOKUP(N138,Gegenstände!$B$2:$N$2026,13,FALSE)),0,VLOOKUP(N138,Gegenstände!$B$2:$N$2026,13,FALSE))</f>
        <v>80</v>
      </c>
      <c r="AB138" s="142">
        <f>IF(ISERROR(VLOOKUP(P138,Gegenstände!$B$2:$N$2026,13,FALSE)),0,VLOOKUP(P138,Gegenstände!$B$2:$N$2026,13,FALSE))</f>
        <v>0</v>
      </c>
      <c r="AC138" s="142">
        <f>IF(ISERROR(VLOOKUP(R138,Gegenstände!$B$2:$N$2026,13,FALSE)),0,VLOOKUP(R138,Gegenstände!$B$2:$N$2026,13,FALSE))</f>
        <v>0</v>
      </c>
      <c r="AD138" s="142"/>
      <c r="AE138" s="475">
        <f t="shared" ref="AE138:AE147" si="52">IF(ISERROR(K138*Z138),"",K138*Z138)</f>
        <v>420</v>
      </c>
      <c r="AF138" s="476">
        <f t="shared" ref="AF138:AF147" si="53">IF(ISERROR(M138*AA138+O138*AB138+Q138*AC138),"",M138*AA138+O138*AB138+Q138*AC138)</f>
        <v>400</v>
      </c>
      <c r="AG138" s="128">
        <f t="shared" si="28"/>
        <v>0.35</v>
      </c>
      <c r="AH138" s="128">
        <f t="shared" si="29"/>
        <v>0.33333333333333331</v>
      </c>
      <c r="AI138" s="129">
        <f t="shared" si="30"/>
        <v>0.68333333333333335</v>
      </c>
      <c r="AJ138" s="426">
        <f t="shared" ref="AJ138:AJ147" si="54">Y138-(AE138+AF138)</f>
        <v>380</v>
      </c>
      <c r="AK138" s="131">
        <f t="shared" ref="AK138:AK201" si="55">(AJ138*60)/F138</f>
        <v>54.285714285714285</v>
      </c>
      <c r="AL138" s="477">
        <f>AK138/VLOOKUP(IF(I138&gt;0,I138,1),Preise!$A$3:$B$27,2,FALSE)</f>
        <v>54.285714285714285</v>
      </c>
    </row>
    <row r="139" spans="1:38" s="3" customFormat="1" outlineLevel="1" x14ac:dyDescent="0.2">
      <c r="A139" s="5">
        <v>1152</v>
      </c>
      <c r="B139" s="412">
        <v>1152</v>
      </c>
      <c r="C139" s="132" t="str">
        <f>VLOOKUP(B139,Gegenstände!$A156:$B821,2,FALSE)</f>
        <v>Hammer</v>
      </c>
      <c r="D139" s="133">
        <f>VLOOKUP(B139,Gegenstände!$A156:$D821,4,FALSE)</f>
        <v>4</v>
      </c>
      <c r="E139" s="468">
        <v>30</v>
      </c>
      <c r="F139" s="134">
        <v>420</v>
      </c>
      <c r="G139" s="54">
        <v>1</v>
      </c>
      <c r="H139" s="469">
        <v>59</v>
      </c>
      <c r="I139" s="6">
        <v>3</v>
      </c>
      <c r="J139" s="417"/>
      <c r="K139" s="6">
        <v>10</v>
      </c>
      <c r="L139" s="1" t="s">
        <v>113</v>
      </c>
      <c r="M139" s="87">
        <v>7</v>
      </c>
      <c r="N139" s="83" t="s">
        <v>176</v>
      </c>
      <c r="O139" s="85"/>
      <c r="P139" s="1"/>
      <c r="Q139" s="6"/>
      <c r="R139" s="1"/>
      <c r="S139" s="418"/>
      <c r="T139" s="418"/>
      <c r="U139" s="471">
        <f>VLOOKUP(D139,Preise!$A$3:$C$27,3)</f>
        <v>1.5208749999999995</v>
      </c>
      <c r="V139" s="523">
        <f t="shared" si="49"/>
        <v>1825.0499999999995</v>
      </c>
      <c r="W139" s="131"/>
      <c r="X139" s="472">
        <f t="shared" si="50"/>
        <v>1800</v>
      </c>
      <c r="Y139" s="473">
        <f t="shared" si="51"/>
        <v>1800</v>
      </c>
      <c r="Z139" s="474">
        <f>IF(ISERROR(VLOOKUP(L139,Gegenstände!$B$2:$N$2026,13,FALSE)),0,VLOOKUP(L139,Gegenstände!$B$2:$N$2026,13,FALSE))</f>
        <v>60</v>
      </c>
      <c r="AA139" s="142">
        <f>IF(ISERROR(VLOOKUP(N139,Gegenstände!$B$2:$N$2026,13,FALSE)),0,VLOOKUP(N139,Gegenstände!$B$2:$N$2026,13,FALSE))</f>
        <v>80</v>
      </c>
      <c r="AB139" s="142">
        <f>IF(ISERROR(VLOOKUP(P139,Gegenstände!$B$2:$N$2026,13,FALSE)),0,VLOOKUP(P139,Gegenstände!$B$2:$N$2026,13,FALSE))</f>
        <v>0</v>
      </c>
      <c r="AC139" s="142">
        <f>IF(ISERROR(VLOOKUP(R139,Gegenstände!$B$2:$N$2026,13,FALSE)),0,VLOOKUP(R139,Gegenstände!$B$2:$N$2026,13,FALSE))</f>
        <v>0</v>
      </c>
      <c r="AD139" s="142"/>
      <c r="AE139" s="475">
        <f t="shared" si="52"/>
        <v>600</v>
      </c>
      <c r="AF139" s="476">
        <f t="shared" si="53"/>
        <v>560</v>
      </c>
      <c r="AG139" s="128">
        <f t="shared" si="28"/>
        <v>0.33333333333333331</v>
      </c>
      <c r="AH139" s="128">
        <f t="shared" si="29"/>
        <v>0.31111111111111112</v>
      </c>
      <c r="AI139" s="129">
        <f t="shared" si="30"/>
        <v>0.64444444444444449</v>
      </c>
      <c r="AJ139" s="426">
        <f t="shared" si="54"/>
        <v>640</v>
      </c>
      <c r="AK139" s="131">
        <f t="shared" si="55"/>
        <v>91.428571428571431</v>
      </c>
      <c r="AL139" s="477">
        <f>AK139/VLOOKUP(IF(I139&gt;0,I139,1),Preise!$A$3:$B$27,2,FALSE)</f>
        <v>65.306122448979593</v>
      </c>
    </row>
    <row r="140" spans="1:38" s="3" customFormat="1" outlineLevel="1" x14ac:dyDescent="0.2">
      <c r="A140" s="5">
        <v>1153</v>
      </c>
      <c r="B140" s="412">
        <v>1153</v>
      </c>
      <c r="C140" s="132" t="str">
        <f>VLOOKUP(B140,Gegenstände!$A157:$B822,2,FALSE)</f>
        <v>Streitkolben</v>
      </c>
      <c r="D140" s="133">
        <f>VLOOKUP(B140,Gegenstände!$A157:$D822,4,FALSE)</f>
        <v>6</v>
      </c>
      <c r="E140" s="468">
        <v>30</v>
      </c>
      <c r="F140" s="134">
        <v>420</v>
      </c>
      <c r="G140" s="54">
        <v>2</v>
      </c>
      <c r="H140" s="469">
        <v>59</v>
      </c>
      <c r="I140" s="6">
        <v>5</v>
      </c>
      <c r="J140" s="417"/>
      <c r="K140" s="6">
        <v>7</v>
      </c>
      <c r="L140" s="1" t="s">
        <v>114</v>
      </c>
      <c r="M140" s="87">
        <v>10</v>
      </c>
      <c r="N140" s="83" t="s">
        <v>176</v>
      </c>
      <c r="O140" s="85"/>
      <c r="P140" s="1"/>
      <c r="Q140" s="6"/>
      <c r="R140" s="1"/>
      <c r="S140" s="418"/>
      <c r="T140" s="418"/>
      <c r="U140" s="471">
        <f>VLOOKUP(D140,Preise!$A$3:$C$27,3)</f>
        <v>2.0113571874999994</v>
      </c>
      <c r="V140" s="523">
        <f t="shared" si="49"/>
        <v>2413.6286249999994</v>
      </c>
      <c r="W140" s="131"/>
      <c r="X140" s="472">
        <f t="shared" si="50"/>
        <v>2400</v>
      </c>
      <c r="Y140" s="473">
        <f t="shared" si="51"/>
        <v>2400</v>
      </c>
      <c r="Z140" s="474">
        <f>IF(ISERROR(VLOOKUP(L140,Gegenstände!$B$2:$N$2026,13,FALSE)),0,VLOOKUP(L140,Gegenstände!$B$2:$N$2026,13,FALSE))</f>
        <v>120</v>
      </c>
      <c r="AA140" s="142">
        <f>IF(ISERROR(VLOOKUP(N140,Gegenstände!$B$2:$N$2026,13,FALSE)),0,VLOOKUP(N140,Gegenstände!$B$2:$N$2026,13,FALSE))</f>
        <v>80</v>
      </c>
      <c r="AB140" s="142">
        <f>IF(ISERROR(VLOOKUP(P140,Gegenstände!$B$2:$N$2026,13,FALSE)),0,VLOOKUP(P140,Gegenstände!$B$2:$N$2026,13,FALSE))</f>
        <v>0</v>
      </c>
      <c r="AC140" s="142">
        <f>IF(ISERROR(VLOOKUP(R140,Gegenstände!$B$2:$N$2026,13,FALSE)),0,VLOOKUP(R140,Gegenstände!$B$2:$N$2026,13,FALSE))</f>
        <v>0</v>
      </c>
      <c r="AD140" s="142"/>
      <c r="AE140" s="475">
        <f t="shared" si="52"/>
        <v>840</v>
      </c>
      <c r="AF140" s="476">
        <f t="shared" si="53"/>
        <v>800</v>
      </c>
      <c r="AG140" s="128">
        <f t="shared" si="28"/>
        <v>0.35</v>
      </c>
      <c r="AH140" s="128">
        <f t="shared" si="29"/>
        <v>0.33333333333333331</v>
      </c>
      <c r="AI140" s="129">
        <f t="shared" si="30"/>
        <v>0.68333333333333335</v>
      </c>
      <c r="AJ140" s="426">
        <f t="shared" si="54"/>
        <v>760</v>
      </c>
      <c r="AK140" s="131">
        <f t="shared" si="55"/>
        <v>108.57142857142857</v>
      </c>
      <c r="AL140" s="477">
        <f>AK140/VLOOKUP(IF(I140&gt;0,I140,1),Preise!$A$3:$B$27,2,FALSE)</f>
        <v>60.317460317460323</v>
      </c>
    </row>
    <row r="141" spans="1:38" s="3" customFormat="1" outlineLevel="1" x14ac:dyDescent="0.2">
      <c r="A141" s="5">
        <v>1154</v>
      </c>
      <c r="B141" s="412">
        <v>1154</v>
      </c>
      <c r="C141" s="132" t="str">
        <f>VLOOKUP(B141,Gegenstände!$A158:$B823,2,FALSE)</f>
        <v>Flegel</v>
      </c>
      <c r="D141" s="133">
        <f>VLOOKUP(B141,Gegenstände!$A158:$D823,4,FALSE)</f>
        <v>9</v>
      </c>
      <c r="E141" s="468">
        <v>30</v>
      </c>
      <c r="F141" s="134">
        <v>420</v>
      </c>
      <c r="G141" s="54">
        <v>2</v>
      </c>
      <c r="H141" s="469">
        <v>59</v>
      </c>
      <c r="I141" s="6">
        <v>8</v>
      </c>
      <c r="J141" s="417"/>
      <c r="K141" s="6">
        <v>10</v>
      </c>
      <c r="L141" s="1" t="s">
        <v>114</v>
      </c>
      <c r="M141" s="87">
        <v>15</v>
      </c>
      <c r="N141" s="83" t="s">
        <v>176</v>
      </c>
      <c r="O141" s="85"/>
      <c r="P141" s="1"/>
      <c r="Q141" s="6"/>
      <c r="R141" s="1"/>
      <c r="S141" s="418"/>
      <c r="T141" s="418"/>
      <c r="U141" s="471">
        <f>VLOOKUP(D141,Preise!$A$3:$C$27,3)</f>
        <v>3.0590228625390607</v>
      </c>
      <c r="V141" s="523">
        <f t="shared" si="49"/>
        <v>3670.8274350468728</v>
      </c>
      <c r="W141" s="131"/>
      <c r="X141" s="472">
        <f t="shared" si="50"/>
        <v>3700</v>
      </c>
      <c r="Y141" s="473">
        <f t="shared" si="51"/>
        <v>3700</v>
      </c>
      <c r="Z141" s="474">
        <f>IF(ISERROR(VLOOKUP(L141,Gegenstände!$B$2:$N$2026,13,FALSE)),0,VLOOKUP(L141,Gegenstände!$B$2:$N$2026,13,FALSE))</f>
        <v>120</v>
      </c>
      <c r="AA141" s="142">
        <f>IF(ISERROR(VLOOKUP(N141,Gegenstände!$B$2:$N$2026,13,FALSE)),0,VLOOKUP(N141,Gegenstände!$B$2:$N$2026,13,FALSE))</f>
        <v>80</v>
      </c>
      <c r="AB141" s="142">
        <f>IF(ISERROR(VLOOKUP(P141,Gegenstände!$B$2:$N$2026,13,FALSE)),0,VLOOKUP(P141,Gegenstände!$B$2:$N$2026,13,FALSE))</f>
        <v>0</v>
      </c>
      <c r="AC141" s="142">
        <f>IF(ISERROR(VLOOKUP(R141,Gegenstände!$B$2:$N$2026,13,FALSE)),0,VLOOKUP(R141,Gegenstände!$B$2:$N$2026,13,FALSE))</f>
        <v>0</v>
      </c>
      <c r="AD141" s="142"/>
      <c r="AE141" s="475">
        <f t="shared" si="52"/>
        <v>1200</v>
      </c>
      <c r="AF141" s="476">
        <f t="shared" si="53"/>
        <v>1200</v>
      </c>
      <c r="AG141" s="128">
        <f t="shared" si="28"/>
        <v>0.32432432432432434</v>
      </c>
      <c r="AH141" s="128">
        <f t="shared" si="29"/>
        <v>0.32432432432432434</v>
      </c>
      <c r="AI141" s="129">
        <f t="shared" si="30"/>
        <v>0.64864864864864868</v>
      </c>
      <c r="AJ141" s="426">
        <f t="shared" si="54"/>
        <v>1300</v>
      </c>
      <c r="AK141" s="131">
        <f t="shared" si="55"/>
        <v>185.71428571428572</v>
      </c>
      <c r="AL141" s="477">
        <f>AK141/VLOOKUP(IF(I141&gt;0,I141,1),Preise!$A$3:$B$27,2,FALSE)</f>
        <v>77.380952380952394</v>
      </c>
    </row>
    <row r="142" spans="1:38" s="3" customFormat="1" outlineLevel="1" x14ac:dyDescent="0.2">
      <c r="A142" s="5">
        <v>1155</v>
      </c>
      <c r="B142" s="412">
        <v>1155</v>
      </c>
      <c r="C142" s="132" t="str">
        <f>VLOOKUP(B142,Gegenstände!$A159:$B824,2,FALSE)</f>
        <v>Morgenstern</v>
      </c>
      <c r="D142" s="133">
        <f>VLOOKUP(B142,Gegenstände!$A159:$D824,4,FALSE)</f>
        <v>11</v>
      </c>
      <c r="E142" s="468">
        <v>30</v>
      </c>
      <c r="F142" s="134">
        <v>420</v>
      </c>
      <c r="G142" s="54">
        <v>3</v>
      </c>
      <c r="H142" s="469">
        <v>59</v>
      </c>
      <c r="I142" s="6">
        <v>10</v>
      </c>
      <c r="J142" s="417"/>
      <c r="K142" s="6">
        <v>9</v>
      </c>
      <c r="L142" s="1" t="s">
        <v>115</v>
      </c>
      <c r="M142" s="87">
        <v>5</v>
      </c>
      <c r="N142" s="83" t="s">
        <v>176</v>
      </c>
      <c r="O142" s="85">
        <v>6</v>
      </c>
      <c r="P142" s="83" t="s">
        <v>179</v>
      </c>
      <c r="Q142" s="85"/>
      <c r="R142" s="1"/>
      <c r="S142" s="418"/>
      <c r="T142" s="418"/>
      <c r="U142" s="471">
        <f>VLOOKUP(D142,Preise!$A$3:$C$27,3)</f>
        <v>4.0455577357079076</v>
      </c>
      <c r="V142" s="523">
        <f t="shared" si="49"/>
        <v>4854.6692828494888</v>
      </c>
      <c r="W142" s="131"/>
      <c r="X142" s="472">
        <f t="shared" si="50"/>
        <v>4900</v>
      </c>
      <c r="Y142" s="473">
        <f t="shared" si="51"/>
        <v>4900</v>
      </c>
      <c r="Z142" s="474">
        <f>IF(ISERROR(VLOOKUP(L142,Gegenstände!$B$2:$N$2026,13,FALSE)),0,VLOOKUP(L142,Gegenstände!$B$2:$N$2026,13,FALSE))</f>
        <v>180</v>
      </c>
      <c r="AA142" s="142">
        <f>IF(ISERROR(VLOOKUP(N142,Gegenstände!$B$2:$N$2026,13,FALSE)),0,VLOOKUP(N142,Gegenstände!$B$2:$N$2026,13,FALSE))</f>
        <v>80</v>
      </c>
      <c r="AB142" s="142">
        <f>IF(ISERROR(VLOOKUP(P142,Gegenstände!$B$2:$N$2026,13,FALSE)),0,VLOOKUP(P142,Gegenstände!$B$2:$N$2026,13,FALSE))</f>
        <v>200</v>
      </c>
      <c r="AC142" s="142">
        <f>IF(ISERROR(VLOOKUP(R142,Gegenstände!$B$2:$N$2026,13,FALSE)),0,VLOOKUP(R142,Gegenstände!$B$2:$N$2026,13,FALSE))</f>
        <v>0</v>
      </c>
      <c r="AD142" s="142"/>
      <c r="AE142" s="475">
        <f t="shared" si="52"/>
        <v>1620</v>
      </c>
      <c r="AF142" s="476">
        <f t="shared" si="53"/>
        <v>1600</v>
      </c>
      <c r="AG142" s="128">
        <f t="shared" si="28"/>
        <v>0.33061224489795921</v>
      </c>
      <c r="AH142" s="128">
        <f t="shared" si="29"/>
        <v>0.32653061224489793</v>
      </c>
      <c r="AI142" s="129">
        <f t="shared" si="30"/>
        <v>0.65714285714285714</v>
      </c>
      <c r="AJ142" s="426">
        <f t="shared" si="54"/>
        <v>1680</v>
      </c>
      <c r="AK142" s="131">
        <f t="shared" si="55"/>
        <v>240</v>
      </c>
      <c r="AL142" s="477">
        <f>AK142/VLOOKUP(IF(I142&gt;0,I142,1),Preise!$A$3:$B$27,2,FALSE)</f>
        <v>85.714285714285708</v>
      </c>
    </row>
    <row r="143" spans="1:38" s="3" customFormat="1" outlineLevel="1" x14ac:dyDescent="0.2">
      <c r="A143" s="5">
        <v>1156</v>
      </c>
      <c r="B143" s="412">
        <v>1156</v>
      </c>
      <c r="C143" s="132" t="str">
        <f>VLOOKUP(B143,Gegenstände!$A160:$B825,2,FALSE)</f>
        <v>Kriegskolben</v>
      </c>
      <c r="D143" s="133">
        <f>VLOOKUP(B143,Gegenstände!$A160:$D825,4,FALSE)</f>
        <v>14</v>
      </c>
      <c r="E143" s="468">
        <v>30</v>
      </c>
      <c r="F143" s="134">
        <v>420</v>
      </c>
      <c r="G143" s="54">
        <v>3</v>
      </c>
      <c r="H143" s="469">
        <v>59</v>
      </c>
      <c r="I143" s="6">
        <v>13</v>
      </c>
      <c r="J143" s="417"/>
      <c r="K143" s="6">
        <v>14</v>
      </c>
      <c r="L143" s="1" t="s">
        <v>115</v>
      </c>
      <c r="M143" s="87">
        <v>3</v>
      </c>
      <c r="N143" s="83" t="s">
        <v>176</v>
      </c>
      <c r="O143" s="85">
        <v>11</v>
      </c>
      <c r="P143" s="83" t="s">
        <v>179</v>
      </c>
      <c r="Q143" s="85"/>
      <c r="R143" s="1"/>
      <c r="S143" s="418"/>
      <c r="T143" s="418"/>
      <c r="U143" s="471">
        <f>VLOOKUP(D143,Preise!$A$3:$C$27,3)</f>
        <v>6.1527876212947623</v>
      </c>
      <c r="V143" s="523">
        <f t="shared" si="49"/>
        <v>7383.3451455537152</v>
      </c>
      <c r="W143" s="131"/>
      <c r="X143" s="472">
        <f t="shared" si="50"/>
        <v>7400</v>
      </c>
      <c r="Y143" s="473">
        <f t="shared" si="51"/>
        <v>7400</v>
      </c>
      <c r="Z143" s="474">
        <f>IF(ISERROR(VLOOKUP(L143,Gegenstände!$B$2:$N$2026,13,FALSE)),0,VLOOKUP(L143,Gegenstände!$B$2:$N$2026,13,FALSE))</f>
        <v>180</v>
      </c>
      <c r="AA143" s="142">
        <f>IF(ISERROR(VLOOKUP(N143,Gegenstände!$B$2:$N$2026,13,FALSE)),0,VLOOKUP(N143,Gegenstände!$B$2:$N$2026,13,FALSE))</f>
        <v>80</v>
      </c>
      <c r="AB143" s="142">
        <f>IF(ISERROR(VLOOKUP(P143,Gegenstände!$B$2:$N$2026,13,FALSE)),0,VLOOKUP(P143,Gegenstände!$B$2:$N$2026,13,FALSE))</f>
        <v>200</v>
      </c>
      <c r="AC143" s="142">
        <f>IF(ISERROR(VLOOKUP(R143,Gegenstände!$B$2:$N$2026,13,FALSE)),0,VLOOKUP(R143,Gegenstände!$B$2:$N$2026,13,FALSE))</f>
        <v>0</v>
      </c>
      <c r="AD143" s="142"/>
      <c r="AE143" s="475">
        <f t="shared" si="52"/>
        <v>2520</v>
      </c>
      <c r="AF143" s="476">
        <f t="shared" si="53"/>
        <v>2440</v>
      </c>
      <c r="AG143" s="128">
        <f t="shared" si="28"/>
        <v>0.34054054054054056</v>
      </c>
      <c r="AH143" s="128">
        <f t="shared" si="29"/>
        <v>0.32972972972972975</v>
      </c>
      <c r="AI143" s="129">
        <f t="shared" si="30"/>
        <v>0.67027027027027031</v>
      </c>
      <c r="AJ143" s="426">
        <f t="shared" si="54"/>
        <v>2440</v>
      </c>
      <c r="AK143" s="131">
        <f t="shared" si="55"/>
        <v>348.57142857142856</v>
      </c>
      <c r="AL143" s="477">
        <f>AK143/VLOOKUP(IF(I143&gt;0,I143,1),Preise!$A$3:$B$27,2,FALSE)</f>
        <v>102.52100840336132</v>
      </c>
    </row>
    <row r="144" spans="1:38" s="3" customFormat="1" outlineLevel="1" x14ac:dyDescent="0.2">
      <c r="A144" s="5">
        <v>1157</v>
      </c>
      <c r="B144" s="412">
        <v>1157</v>
      </c>
      <c r="C144" s="132" t="str">
        <f>VLOOKUP(B144,Gegenstände!$A161:$B826,2,FALSE)</f>
        <v>Ogerherde</v>
      </c>
      <c r="D144" s="133">
        <f>VLOOKUP(B144,Gegenstände!$A161:$D826,4,FALSE)</f>
        <v>16</v>
      </c>
      <c r="E144" s="468">
        <v>30</v>
      </c>
      <c r="F144" s="134">
        <v>420</v>
      </c>
      <c r="G144" s="54">
        <v>4</v>
      </c>
      <c r="H144" s="469">
        <v>59</v>
      </c>
      <c r="I144" s="6">
        <v>15</v>
      </c>
      <c r="J144" s="417"/>
      <c r="K144" s="6">
        <v>12</v>
      </c>
      <c r="L144" s="1" t="s">
        <v>116</v>
      </c>
      <c r="M144" s="87">
        <v>5</v>
      </c>
      <c r="N144" s="83" t="s">
        <v>176</v>
      </c>
      <c r="O144" s="85">
        <v>14</v>
      </c>
      <c r="P144" s="83" t="s">
        <v>179</v>
      </c>
      <c r="Q144" s="85"/>
      <c r="R144" s="1"/>
      <c r="S144" s="418"/>
      <c r="T144" s="418"/>
      <c r="U144" s="471">
        <f>VLOOKUP(D144,Preise!$A$3:$C$27,3)</f>
        <v>8.1370616291623215</v>
      </c>
      <c r="V144" s="523">
        <f t="shared" si="49"/>
        <v>9764.4739549947863</v>
      </c>
      <c r="W144" s="131"/>
      <c r="X144" s="472">
        <f t="shared" si="50"/>
        <v>9800</v>
      </c>
      <c r="Y144" s="473">
        <f t="shared" si="51"/>
        <v>9800</v>
      </c>
      <c r="Z144" s="474">
        <f>IF(ISERROR(VLOOKUP(L144,Gegenstände!$B$2:$N$2026,13,FALSE)),0,VLOOKUP(L144,Gegenstände!$B$2:$N$2026,13,FALSE))</f>
        <v>270</v>
      </c>
      <c r="AA144" s="142">
        <f>IF(ISERROR(VLOOKUP(N144,Gegenstände!$B$2:$N$2026,13,FALSE)),0,VLOOKUP(N144,Gegenstände!$B$2:$N$2026,13,FALSE))</f>
        <v>80</v>
      </c>
      <c r="AB144" s="142">
        <f>IF(ISERROR(VLOOKUP(P144,Gegenstände!$B$2:$N$2026,13,FALSE)),0,VLOOKUP(P144,Gegenstände!$B$2:$N$2026,13,FALSE))</f>
        <v>200</v>
      </c>
      <c r="AC144" s="142">
        <f>IF(ISERROR(VLOOKUP(R144,Gegenstände!$B$2:$N$2026,13,FALSE)),0,VLOOKUP(R144,Gegenstände!$B$2:$N$2026,13,FALSE))</f>
        <v>0</v>
      </c>
      <c r="AD144" s="142"/>
      <c r="AE144" s="475">
        <f t="shared" si="52"/>
        <v>3240</v>
      </c>
      <c r="AF144" s="476">
        <f t="shared" si="53"/>
        <v>3200</v>
      </c>
      <c r="AG144" s="128">
        <f t="shared" si="28"/>
        <v>0.33061224489795921</v>
      </c>
      <c r="AH144" s="128">
        <f t="shared" si="29"/>
        <v>0.32653061224489793</v>
      </c>
      <c r="AI144" s="129">
        <f t="shared" si="30"/>
        <v>0.65714285714285714</v>
      </c>
      <c r="AJ144" s="426">
        <f t="shared" si="54"/>
        <v>3360</v>
      </c>
      <c r="AK144" s="131">
        <f t="shared" si="55"/>
        <v>480</v>
      </c>
      <c r="AL144" s="477">
        <f>AK144/VLOOKUP(IF(I144&gt;0,I144,1),Preise!$A$3:$B$27,2,FALSE)</f>
        <v>126.31578947368418</v>
      </c>
    </row>
    <row r="145" spans="1:38" s="3" customFormat="1" outlineLevel="1" x14ac:dyDescent="0.2">
      <c r="A145" s="5">
        <v>1158</v>
      </c>
      <c r="B145" s="412">
        <v>1158</v>
      </c>
      <c r="C145" s="132" t="str">
        <f>VLOOKUP(B145,Gegenstände!$A162:$B827,2,FALSE)</f>
        <v>Kriegsknüppel</v>
      </c>
      <c r="D145" s="133">
        <f>VLOOKUP(B145,Gegenstände!$A162:$D827,4,FALSE)</f>
        <v>19</v>
      </c>
      <c r="E145" s="468">
        <v>30</v>
      </c>
      <c r="F145" s="134">
        <v>420</v>
      </c>
      <c r="G145" s="54">
        <v>4</v>
      </c>
      <c r="H145" s="469">
        <v>59</v>
      </c>
      <c r="I145" s="6">
        <v>18</v>
      </c>
      <c r="J145" s="417"/>
      <c r="K145" s="6">
        <v>18</v>
      </c>
      <c r="L145" s="1" t="s">
        <v>116</v>
      </c>
      <c r="M145" s="87">
        <v>6</v>
      </c>
      <c r="N145" s="83" t="s">
        <v>176</v>
      </c>
      <c r="O145" s="85">
        <v>22</v>
      </c>
      <c r="P145" s="83" t="s">
        <v>179</v>
      </c>
      <c r="Q145" s="85"/>
      <c r="R145" s="1"/>
      <c r="S145" s="418"/>
      <c r="T145" s="418"/>
      <c r="U145" s="471">
        <f>VLOOKUP(D145,Preise!$A$3:$C$27,3)</f>
        <v>12.375453605252243</v>
      </c>
      <c r="V145" s="523">
        <f t="shared" si="49"/>
        <v>14850.544326302692</v>
      </c>
      <c r="W145" s="131"/>
      <c r="X145" s="472">
        <f t="shared" si="50"/>
        <v>14900</v>
      </c>
      <c r="Y145" s="473">
        <f t="shared" si="51"/>
        <v>14900</v>
      </c>
      <c r="Z145" s="474">
        <f>IF(ISERROR(VLOOKUP(L145,Gegenstände!$B$2:$N$2026,13,FALSE)),0,VLOOKUP(L145,Gegenstände!$B$2:$N$2026,13,FALSE))</f>
        <v>270</v>
      </c>
      <c r="AA145" s="142">
        <f>IF(ISERROR(VLOOKUP(N145,Gegenstände!$B$2:$N$2026,13,FALSE)),0,VLOOKUP(N145,Gegenstände!$B$2:$N$2026,13,FALSE))</f>
        <v>80</v>
      </c>
      <c r="AB145" s="142">
        <f>IF(ISERROR(VLOOKUP(P145,Gegenstände!$B$2:$N$2026,13,FALSE)),0,VLOOKUP(P145,Gegenstände!$B$2:$N$2026,13,FALSE))</f>
        <v>200</v>
      </c>
      <c r="AC145" s="142">
        <f>IF(ISERROR(VLOOKUP(R145,Gegenstände!$B$2:$N$2026,13,FALSE)),0,VLOOKUP(R145,Gegenstände!$B$2:$N$2026,13,FALSE))</f>
        <v>0</v>
      </c>
      <c r="AD145" s="142"/>
      <c r="AE145" s="475">
        <f t="shared" si="52"/>
        <v>4860</v>
      </c>
      <c r="AF145" s="476">
        <f t="shared" si="53"/>
        <v>4880</v>
      </c>
      <c r="AG145" s="128">
        <f t="shared" si="28"/>
        <v>0.32617449664429532</v>
      </c>
      <c r="AH145" s="128">
        <f t="shared" si="29"/>
        <v>0.32751677852348993</v>
      </c>
      <c r="AI145" s="129">
        <f t="shared" si="30"/>
        <v>0.65369127516778525</v>
      </c>
      <c r="AJ145" s="426">
        <f t="shared" si="54"/>
        <v>5160</v>
      </c>
      <c r="AK145" s="131">
        <f t="shared" si="55"/>
        <v>737.14285714285711</v>
      </c>
      <c r="AL145" s="477">
        <f>AK145/VLOOKUP(IF(I145&gt;0,I145,1),Preise!$A$3:$B$27,2,FALSE)</f>
        <v>167.53246753246748</v>
      </c>
    </row>
    <row r="146" spans="1:38" s="3" customFormat="1" outlineLevel="1" x14ac:dyDescent="0.2">
      <c r="A146" s="5">
        <v>1159</v>
      </c>
      <c r="B146" s="412">
        <v>1159</v>
      </c>
      <c r="C146" s="132" t="str">
        <f>VLOOKUP(B146,Gegenstände!$A163:$B828,2,FALSE)</f>
        <v>Kriegszepter</v>
      </c>
      <c r="D146" s="133">
        <f>VLOOKUP(B146,Gegenstände!$A163:$D828,4,FALSE)</f>
        <v>22</v>
      </c>
      <c r="E146" s="468">
        <v>30</v>
      </c>
      <c r="F146" s="134">
        <v>420</v>
      </c>
      <c r="G146" s="54">
        <v>5</v>
      </c>
      <c r="H146" s="469">
        <v>59</v>
      </c>
      <c r="I146" s="6">
        <v>21</v>
      </c>
      <c r="J146" s="417"/>
      <c r="K146" s="6">
        <v>21</v>
      </c>
      <c r="L146" s="1" t="s">
        <v>117</v>
      </c>
      <c r="M146" s="87">
        <v>5</v>
      </c>
      <c r="N146" s="83" t="s">
        <v>176</v>
      </c>
      <c r="O146" s="85">
        <v>10</v>
      </c>
      <c r="P146" s="83" t="s">
        <v>179</v>
      </c>
      <c r="Q146" s="85">
        <v>10</v>
      </c>
      <c r="R146" s="83" t="s">
        <v>181</v>
      </c>
      <c r="S146" s="170"/>
      <c r="T146" s="170"/>
      <c r="U146" s="471">
        <f>VLOOKUP(D146,Preise!$A$3:$C$27,3)</f>
        <v>18.821518001888002</v>
      </c>
      <c r="V146" s="523">
        <f t="shared" si="49"/>
        <v>22585.821602265602</v>
      </c>
      <c r="W146" s="131"/>
      <c r="X146" s="472">
        <f t="shared" si="50"/>
        <v>22600</v>
      </c>
      <c r="Y146" s="473">
        <f t="shared" si="51"/>
        <v>22600</v>
      </c>
      <c r="Z146" s="474">
        <f>IF(ISERROR(VLOOKUP(L146,Gegenstände!$B$2:$N$2026,13,FALSE)),0,VLOOKUP(L146,Gegenstände!$B$2:$N$2026,13,FALSE))</f>
        <v>360</v>
      </c>
      <c r="AA146" s="142">
        <f>IF(ISERROR(VLOOKUP(N146,Gegenstände!$B$2:$N$2026,13,FALSE)),0,VLOOKUP(N146,Gegenstände!$B$2:$N$2026,13,FALSE))</f>
        <v>80</v>
      </c>
      <c r="AB146" s="142">
        <f>IF(ISERROR(VLOOKUP(P146,Gegenstände!$B$2:$N$2026,13,FALSE)),0,VLOOKUP(P146,Gegenstände!$B$2:$N$2026,13,FALSE))</f>
        <v>200</v>
      </c>
      <c r="AC146" s="142">
        <f>IF(ISERROR(VLOOKUP(R146,Gegenstände!$B$2:$N$2026,13,FALSE)),0,VLOOKUP(R146,Gegenstände!$B$2:$N$2026,13,FALSE))</f>
        <v>500</v>
      </c>
      <c r="AD146" s="142"/>
      <c r="AE146" s="475">
        <f t="shared" si="52"/>
        <v>7560</v>
      </c>
      <c r="AF146" s="476">
        <f t="shared" si="53"/>
        <v>7400</v>
      </c>
      <c r="AG146" s="128">
        <f t="shared" si="28"/>
        <v>0.3345132743362832</v>
      </c>
      <c r="AH146" s="128">
        <f t="shared" si="29"/>
        <v>0.32743362831858408</v>
      </c>
      <c r="AI146" s="129">
        <f t="shared" si="30"/>
        <v>0.66194690265486722</v>
      </c>
      <c r="AJ146" s="426">
        <f t="shared" si="54"/>
        <v>7640</v>
      </c>
      <c r="AK146" s="131">
        <f t="shared" si="55"/>
        <v>1091.4285714285713</v>
      </c>
      <c r="AL146" s="477">
        <f>AK146/VLOOKUP(IF(I146&gt;0,I146,1),Preise!$A$3:$B$27,2,FALSE)</f>
        <v>218.28571428571419</v>
      </c>
    </row>
    <row r="147" spans="1:38" s="3" customFormat="1" outlineLevel="1" x14ac:dyDescent="0.2">
      <c r="A147" s="5">
        <v>1160</v>
      </c>
      <c r="B147" s="412">
        <v>1160</v>
      </c>
      <c r="C147" s="132" t="str">
        <f>VLOOKUP(B147,Gegenstände!$A164:$B829,2,FALSE)</f>
        <v>Zackenstern</v>
      </c>
      <c r="D147" s="133">
        <f>VLOOKUP(B147,Gegenstände!$A164:$D829,4,FALSE)</f>
        <v>25</v>
      </c>
      <c r="E147" s="468">
        <v>30</v>
      </c>
      <c r="F147" s="134">
        <v>420</v>
      </c>
      <c r="G147" s="54">
        <v>5</v>
      </c>
      <c r="H147" s="469">
        <v>59</v>
      </c>
      <c r="I147" s="6">
        <v>24</v>
      </c>
      <c r="J147" s="417"/>
      <c r="K147" s="6">
        <v>32</v>
      </c>
      <c r="L147" s="1" t="s">
        <v>117</v>
      </c>
      <c r="M147" s="87">
        <v>6</v>
      </c>
      <c r="N147" s="83" t="s">
        <v>176</v>
      </c>
      <c r="O147" s="85">
        <v>14</v>
      </c>
      <c r="P147" s="83" t="s">
        <v>179</v>
      </c>
      <c r="Q147" s="85">
        <v>16</v>
      </c>
      <c r="R147" s="83" t="s">
        <v>181</v>
      </c>
      <c r="S147" s="170"/>
      <c r="T147" s="170"/>
      <c r="U147" s="471">
        <f>VLOOKUP(D147,Preise!$A$3:$C$27,3)</f>
        <v>28.625176191121408</v>
      </c>
      <c r="V147" s="523">
        <f t="shared" si="49"/>
        <v>34350.211429345691</v>
      </c>
      <c r="W147" s="131"/>
      <c r="X147" s="472">
        <f t="shared" si="50"/>
        <v>34400</v>
      </c>
      <c r="Y147" s="473">
        <f t="shared" si="51"/>
        <v>34400</v>
      </c>
      <c r="Z147" s="474">
        <f>IF(ISERROR(VLOOKUP(L147,Gegenstände!$B$2:$N$2026,13,FALSE)),0,VLOOKUP(L147,Gegenstände!$B$2:$N$2026,13,FALSE))</f>
        <v>360</v>
      </c>
      <c r="AA147" s="142">
        <f>IF(ISERROR(VLOOKUP(N147,Gegenstände!$B$2:$N$2026,13,FALSE)),0,VLOOKUP(N147,Gegenstände!$B$2:$N$2026,13,FALSE))</f>
        <v>80</v>
      </c>
      <c r="AB147" s="142">
        <f>IF(ISERROR(VLOOKUP(P147,Gegenstände!$B$2:$N$2026,13,FALSE)),0,VLOOKUP(P147,Gegenstände!$B$2:$N$2026,13,FALSE))</f>
        <v>200</v>
      </c>
      <c r="AC147" s="142">
        <f>IF(ISERROR(VLOOKUP(R147,Gegenstände!$B$2:$N$2026,13,FALSE)),0,VLOOKUP(R147,Gegenstände!$B$2:$N$2026,13,FALSE))</f>
        <v>500</v>
      </c>
      <c r="AD147" s="142"/>
      <c r="AE147" s="475">
        <f t="shared" si="52"/>
        <v>11520</v>
      </c>
      <c r="AF147" s="476">
        <f t="shared" si="53"/>
        <v>11280</v>
      </c>
      <c r="AG147" s="128">
        <f t="shared" si="28"/>
        <v>0.33488372093023255</v>
      </c>
      <c r="AH147" s="128">
        <f t="shared" si="29"/>
        <v>0.32790697674418606</v>
      </c>
      <c r="AI147" s="129">
        <f t="shared" si="30"/>
        <v>0.66279069767441856</v>
      </c>
      <c r="AJ147" s="426">
        <f t="shared" si="54"/>
        <v>11600</v>
      </c>
      <c r="AK147" s="131">
        <f t="shared" si="55"/>
        <v>1657.1428571428571</v>
      </c>
      <c r="AL147" s="477">
        <f>AK147/VLOOKUP(IF(I147&gt;0,I147,1),Preise!$A$3:$B$27,2,FALSE)</f>
        <v>295.91836734693862</v>
      </c>
    </row>
    <row r="148" spans="1:38" s="3" customFormat="1" x14ac:dyDescent="0.2">
      <c r="A148" s="525"/>
      <c r="B148" s="526"/>
      <c r="C148" s="286"/>
      <c r="D148" s="396"/>
      <c r="E148" s="527"/>
      <c r="F148" s="528"/>
      <c r="G148" s="322"/>
      <c r="H148" s="529"/>
      <c r="I148" s="530"/>
      <c r="J148" s="531"/>
      <c r="K148" s="530"/>
      <c r="L148" s="532"/>
      <c r="M148" s="533"/>
      <c r="N148" s="532"/>
      <c r="O148" s="530"/>
      <c r="P148" s="532"/>
      <c r="Q148" s="530"/>
      <c r="R148" s="532"/>
      <c r="S148" s="534"/>
      <c r="T148" s="535"/>
      <c r="U148" s="536"/>
      <c r="V148" s="551">
        <v>2000</v>
      </c>
      <c r="W148" s="538"/>
      <c r="X148" s="539"/>
      <c r="Y148" s="540"/>
      <c r="Z148" s="541"/>
      <c r="AA148" s="542"/>
      <c r="AB148" s="542"/>
      <c r="AC148" s="542"/>
      <c r="AD148" s="542"/>
      <c r="AE148" s="543"/>
      <c r="AF148" s="544"/>
      <c r="AG148" s="545"/>
      <c r="AH148" s="545"/>
      <c r="AI148" s="546"/>
      <c r="AJ148" s="547"/>
      <c r="AK148" s="548"/>
      <c r="AL148" s="549"/>
    </row>
    <row r="149" spans="1:38" s="3" customFormat="1" outlineLevel="1" x14ac:dyDescent="0.2">
      <c r="A149" s="5">
        <v>1161</v>
      </c>
      <c r="B149" s="412">
        <v>1161</v>
      </c>
      <c r="C149" s="132" t="str">
        <f>VLOOKUP(B149,Gegenstände!$A166:$B831,2,FALSE)</f>
        <v>Vorschlaghammer</v>
      </c>
      <c r="D149" s="133">
        <f>VLOOKUP(B149,Gegenstände!$A166:$D831,4,FALSE)</f>
        <v>7</v>
      </c>
      <c r="E149" s="468">
        <v>30</v>
      </c>
      <c r="F149" s="134">
        <v>540</v>
      </c>
      <c r="G149" s="54">
        <v>2</v>
      </c>
      <c r="H149" s="469">
        <v>59</v>
      </c>
      <c r="I149" s="6">
        <v>6</v>
      </c>
      <c r="J149" s="470"/>
      <c r="K149" s="6">
        <v>13</v>
      </c>
      <c r="L149" s="1" t="s">
        <v>114</v>
      </c>
      <c r="M149" s="87">
        <v>19</v>
      </c>
      <c r="N149" s="83" t="s">
        <v>176</v>
      </c>
      <c r="O149" s="85"/>
      <c r="P149" s="1"/>
      <c r="Q149" s="6"/>
      <c r="R149" s="1"/>
      <c r="S149" s="418"/>
      <c r="T149" s="418"/>
      <c r="U149" s="471">
        <f>VLOOKUP(D149,Preise!$A$3:$C$27,3)</f>
        <v>2.3130607656249991</v>
      </c>
      <c r="V149" s="523">
        <f t="shared" ref="V149:V156" si="56">U149*$V$148</f>
        <v>4626.121531249998</v>
      </c>
      <c r="W149" s="131"/>
      <c r="X149" s="472">
        <f t="shared" ref="X149:X156" si="57">ROUND((V149/100),0)*100</f>
        <v>4600</v>
      </c>
      <c r="Y149" s="473">
        <f t="shared" ref="Y149:Y156" si="58">X149*IF(J149&gt;0,J149,1)</f>
        <v>4600</v>
      </c>
      <c r="Z149" s="474">
        <f>IF(ISERROR(VLOOKUP(L149,Gegenstände!$B$2:$N$2026,13,FALSE)),0,VLOOKUP(L149,Gegenstände!$B$2:$N$2026,13,FALSE))</f>
        <v>120</v>
      </c>
      <c r="AA149" s="142">
        <f>IF(ISERROR(VLOOKUP(N149,Gegenstände!$B$2:$N$2026,13,FALSE)),0,VLOOKUP(N149,Gegenstände!$B$2:$N$2026,13,FALSE))</f>
        <v>80</v>
      </c>
      <c r="AB149" s="142">
        <f>IF(ISERROR(VLOOKUP(P149,Gegenstände!$B$2:$N$2026,13,FALSE)),0,VLOOKUP(P149,Gegenstände!$B$2:$N$2026,13,FALSE))</f>
        <v>0</v>
      </c>
      <c r="AC149" s="142">
        <f>IF(ISERROR(VLOOKUP(R149,Gegenstände!$B$2:$N$2026,13,FALSE)),0,VLOOKUP(R149,Gegenstände!$B$2:$N$2026,13,FALSE))</f>
        <v>0</v>
      </c>
      <c r="AD149" s="142"/>
      <c r="AE149" s="475">
        <f t="shared" ref="AE149:AE156" si="59">IF(ISERROR(K149*Z149),"",K149*Z149)</f>
        <v>1560</v>
      </c>
      <c r="AF149" s="476">
        <f t="shared" ref="AF149:AF156" si="60">IF(ISERROR(M149*AA149+O149*AB149+Q149*AC149),"",M149*AA149+O149*AB149+Q149*AC149)</f>
        <v>1520</v>
      </c>
      <c r="AG149" s="128">
        <f t="shared" si="28"/>
        <v>0.33913043478260868</v>
      </c>
      <c r="AH149" s="128">
        <f t="shared" si="29"/>
        <v>0.33043478260869563</v>
      </c>
      <c r="AI149" s="129">
        <f t="shared" si="30"/>
        <v>0.66956521739130437</v>
      </c>
      <c r="AJ149" s="426">
        <f t="shared" ref="AJ149:AJ156" si="61">Y149-(AE149+AF149)</f>
        <v>1520</v>
      </c>
      <c r="AK149" s="131">
        <f t="shared" si="55"/>
        <v>168.88888888888889</v>
      </c>
      <c r="AL149" s="477">
        <f>AK149/VLOOKUP(IF(I149&gt;0,I149,1),Preise!$A$3:$B$27,2,FALSE)</f>
        <v>84.444444444444457</v>
      </c>
    </row>
    <row r="150" spans="1:38" s="3" customFormat="1" outlineLevel="1" x14ac:dyDescent="0.2">
      <c r="A150" s="5">
        <v>1162</v>
      </c>
      <c r="B150" s="412">
        <v>1162</v>
      </c>
      <c r="C150" s="132" t="str">
        <f>VLOOKUP(B150,Gegenstände!$A167:$B832,2,FALSE)</f>
        <v>Eisenkeule</v>
      </c>
      <c r="D150" s="133">
        <f>VLOOKUP(B150,Gegenstände!$A167:$D832,4,FALSE)</f>
        <v>10</v>
      </c>
      <c r="E150" s="468">
        <v>30</v>
      </c>
      <c r="F150" s="134">
        <v>540</v>
      </c>
      <c r="G150" s="54">
        <v>2</v>
      </c>
      <c r="H150" s="469">
        <v>59</v>
      </c>
      <c r="I150" s="6">
        <v>9</v>
      </c>
      <c r="J150" s="417"/>
      <c r="K150" s="6">
        <v>19</v>
      </c>
      <c r="L150" s="1" t="s">
        <v>114</v>
      </c>
      <c r="M150" s="87">
        <v>29</v>
      </c>
      <c r="N150" s="83" t="s">
        <v>176</v>
      </c>
      <c r="O150" s="85"/>
      <c r="P150" s="1"/>
      <c r="Q150" s="6"/>
      <c r="R150" s="1"/>
      <c r="S150" s="418"/>
      <c r="T150" s="418"/>
      <c r="U150" s="471">
        <f>VLOOKUP(D150,Preise!$A$3:$C$27,3)</f>
        <v>3.5178762919199196</v>
      </c>
      <c r="V150" s="523">
        <f t="shared" si="56"/>
        <v>7035.7525838398387</v>
      </c>
      <c r="W150" s="131"/>
      <c r="X150" s="472">
        <f t="shared" si="57"/>
        <v>7000</v>
      </c>
      <c r="Y150" s="473">
        <f t="shared" si="58"/>
        <v>7000</v>
      </c>
      <c r="Z150" s="474">
        <f>IF(ISERROR(VLOOKUP(L150,Gegenstände!$B$2:$N$2026,13,FALSE)),0,VLOOKUP(L150,Gegenstände!$B$2:$N$2026,13,FALSE))</f>
        <v>120</v>
      </c>
      <c r="AA150" s="142">
        <f>IF(ISERROR(VLOOKUP(N150,Gegenstände!$B$2:$N$2026,13,FALSE)),0,VLOOKUP(N150,Gegenstände!$B$2:$N$2026,13,FALSE))</f>
        <v>80</v>
      </c>
      <c r="AB150" s="142">
        <f>IF(ISERROR(VLOOKUP(P150,Gegenstände!$B$2:$N$2026,13,FALSE)),0,VLOOKUP(P150,Gegenstände!$B$2:$N$2026,13,FALSE))</f>
        <v>0</v>
      </c>
      <c r="AC150" s="142">
        <f>IF(ISERROR(VLOOKUP(R150,Gegenstände!$B$2:$N$2026,13,FALSE)),0,VLOOKUP(R150,Gegenstände!$B$2:$N$2026,13,FALSE))</f>
        <v>0</v>
      </c>
      <c r="AD150" s="142"/>
      <c r="AE150" s="475">
        <f t="shared" si="59"/>
        <v>2280</v>
      </c>
      <c r="AF150" s="476">
        <f t="shared" si="60"/>
        <v>2320</v>
      </c>
      <c r="AG150" s="128">
        <f t="shared" si="28"/>
        <v>0.32571428571428573</v>
      </c>
      <c r="AH150" s="128">
        <f t="shared" si="29"/>
        <v>0.33142857142857141</v>
      </c>
      <c r="AI150" s="129">
        <f t="shared" si="30"/>
        <v>0.65714285714285714</v>
      </c>
      <c r="AJ150" s="426">
        <f t="shared" si="61"/>
        <v>2400</v>
      </c>
      <c r="AK150" s="131">
        <f t="shared" si="55"/>
        <v>266.66666666666669</v>
      </c>
      <c r="AL150" s="477">
        <f>AK150/VLOOKUP(IF(I150&gt;0,I150,1),Preise!$A$3:$B$27,2,FALSE)</f>
        <v>102.56410256410257</v>
      </c>
    </row>
    <row r="151" spans="1:38" s="3" customFormat="1" outlineLevel="1" x14ac:dyDescent="0.2">
      <c r="A151" s="5">
        <v>1163</v>
      </c>
      <c r="B151" s="412">
        <v>1163</v>
      </c>
      <c r="C151" s="132" t="str">
        <f>VLOOKUP(B151,Gegenstände!$A171:$B833,2,FALSE)</f>
        <v>Stachelkeule</v>
      </c>
      <c r="D151" s="133">
        <f>VLOOKUP(B151,Gegenstände!$A171:$D833,4,FALSE)</f>
        <v>12</v>
      </c>
      <c r="E151" s="468">
        <v>30</v>
      </c>
      <c r="F151" s="134">
        <v>540</v>
      </c>
      <c r="G151" s="54">
        <v>3</v>
      </c>
      <c r="H151" s="469">
        <v>59</v>
      </c>
      <c r="I151" s="6">
        <v>11</v>
      </c>
      <c r="J151" s="417"/>
      <c r="K151" s="6">
        <v>17</v>
      </c>
      <c r="L151" s="1" t="s">
        <v>115</v>
      </c>
      <c r="M151" s="87">
        <v>3</v>
      </c>
      <c r="N151" s="83" t="s">
        <v>176</v>
      </c>
      <c r="O151" s="85">
        <v>14</v>
      </c>
      <c r="P151" s="83" t="s">
        <v>179</v>
      </c>
      <c r="Q151" s="85"/>
      <c r="R151" s="1"/>
      <c r="S151" s="418"/>
      <c r="T151" s="418"/>
      <c r="U151" s="471">
        <f>VLOOKUP(D151,Preise!$A$3:$C$27,3)</f>
        <v>4.6523913960640932</v>
      </c>
      <c r="V151" s="523">
        <f t="shared" si="56"/>
        <v>9304.782792128186</v>
      </c>
      <c r="W151" s="131"/>
      <c r="X151" s="472">
        <f t="shared" si="57"/>
        <v>9300</v>
      </c>
      <c r="Y151" s="473">
        <f t="shared" si="58"/>
        <v>9300</v>
      </c>
      <c r="Z151" s="474">
        <f>IF(ISERROR(VLOOKUP(L151,Gegenstände!$B$2:$N$2026,13,FALSE)),0,VLOOKUP(L151,Gegenstände!$B$2:$N$2026,13,FALSE))</f>
        <v>180</v>
      </c>
      <c r="AA151" s="142">
        <f>IF(ISERROR(VLOOKUP(N151,Gegenstände!$B$2:$N$2026,13,FALSE)),0,VLOOKUP(N151,Gegenstände!$B$2:$N$2026,13,FALSE))</f>
        <v>80</v>
      </c>
      <c r="AB151" s="142">
        <f>IF(ISERROR(VLOOKUP(P151,Gegenstände!$B$2:$N$2026,13,FALSE)),0,VLOOKUP(P151,Gegenstände!$B$2:$N$2026,13,FALSE))</f>
        <v>200</v>
      </c>
      <c r="AC151" s="142">
        <f>IF(ISERROR(VLOOKUP(R151,Gegenstände!$B$2:$N$2026,13,FALSE)),0,VLOOKUP(R151,Gegenstände!$B$2:$N$2026,13,FALSE))</f>
        <v>0</v>
      </c>
      <c r="AD151" s="142"/>
      <c r="AE151" s="475">
        <f t="shared" si="59"/>
        <v>3060</v>
      </c>
      <c r="AF151" s="476">
        <f t="shared" si="60"/>
        <v>3040</v>
      </c>
      <c r="AG151" s="128">
        <f t="shared" si="28"/>
        <v>0.32903225806451614</v>
      </c>
      <c r="AH151" s="128">
        <f t="shared" si="29"/>
        <v>0.32688172043010755</v>
      </c>
      <c r="AI151" s="129">
        <f t="shared" si="30"/>
        <v>0.65591397849462363</v>
      </c>
      <c r="AJ151" s="426">
        <f t="shared" si="61"/>
        <v>3200</v>
      </c>
      <c r="AK151" s="131">
        <f t="shared" si="55"/>
        <v>355.55555555555554</v>
      </c>
      <c r="AL151" s="477">
        <f>AK151/VLOOKUP(IF(I151&gt;0,I151,1),Preise!$A$3:$B$27,2,FALSE)</f>
        <v>118.51851851851849</v>
      </c>
    </row>
    <row r="152" spans="1:38" s="3" customFormat="1" outlineLevel="1" x14ac:dyDescent="0.2">
      <c r="A152" s="5">
        <v>1164</v>
      </c>
      <c r="B152" s="412">
        <v>1164</v>
      </c>
      <c r="C152" s="132" t="str">
        <f>VLOOKUP(B152,Gegenstände!$A172:$B834,2,FALSE)</f>
        <v>Kriegshammer</v>
      </c>
      <c r="D152" s="133">
        <f>VLOOKUP(B152,Gegenstände!$A172:$D834,4,FALSE)</f>
        <v>15</v>
      </c>
      <c r="E152" s="468">
        <v>30</v>
      </c>
      <c r="F152" s="134">
        <v>540</v>
      </c>
      <c r="G152" s="54">
        <v>3</v>
      </c>
      <c r="H152" s="469">
        <v>59</v>
      </c>
      <c r="I152" s="6">
        <v>14</v>
      </c>
      <c r="J152" s="417"/>
      <c r="K152" s="6">
        <v>26</v>
      </c>
      <c r="L152" s="1" t="s">
        <v>115</v>
      </c>
      <c r="M152" s="87">
        <v>6</v>
      </c>
      <c r="N152" s="83" t="s">
        <v>176</v>
      </c>
      <c r="O152" s="85">
        <v>21</v>
      </c>
      <c r="P152" s="83" t="s">
        <v>179</v>
      </c>
      <c r="Q152" s="85"/>
      <c r="R152" s="1"/>
      <c r="S152" s="418"/>
      <c r="T152" s="418"/>
      <c r="U152" s="471">
        <f>VLOOKUP(D152,Preise!$A$3:$C$27,3)</f>
        <v>7.0757057644889763</v>
      </c>
      <c r="V152" s="523">
        <f t="shared" si="56"/>
        <v>14151.411528977953</v>
      </c>
      <c r="W152" s="131"/>
      <c r="X152" s="472">
        <f t="shared" si="57"/>
        <v>14200</v>
      </c>
      <c r="Y152" s="473">
        <f t="shared" si="58"/>
        <v>14200</v>
      </c>
      <c r="Z152" s="474">
        <f>IF(ISERROR(VLOOKUP(L152,Gegenstände!$B$2:$N$2026,13,FALSE)),0,VLOOKUP(L152,Gegenstände!$B$2:$N$2026,13,FALSE))</f>
        <v>180</v>
      </c>
      <c r="AA152" s="142">
        <f>IF(ISERROR(VLOOKUP(N152,Gegenstände!$B$2:$N$2026,13,FALSE)),0,VLOOKUP(N152,Gegenstände!$B$2:$N$2026,13,FALSE))</f>
        <v>80</v>
      </c>
      <c r="AB152" s="142">
        <f>IF(ISERROR(VLOOKUP(P152,Gegenstände!$B$2:$N$2026,13,FALSE)),0,VLOOKUP(P152,Gegenstände!$B$2:$N$2026,13,FALSE))</f>
        <v>200</v>
      </c>
      <c r="AC152" s="142">
        <f>IF(ISERROR(VLOOKUP(R152,Gegenstände!$B$2:$N$2026,13,FALSE)),0,VLOOKUP(R152,Gegenstände!$B$2:$N$2026,13,FALSE))</f>
        <v>0</v>
      </c>
      <c r="AD152" s="142"/>
      <c r="AE152" s="475">
        <f t="shared" si="59"/>
        <v>4680</v>
      </c>
      <c r="AF152" s="476">
        <f t="shared" si="60"/>
        <v>4680</v>
      </c>
      <c r="AG152" s="128">
        <f t="shared" si="28"/>
        <v>0.3295774647887324</v>
      </c>
      <c r="AH152" s="128">
        <f t="shared" si="29"/>
        <v>0.3295774647887324</v>
      </c>
      <c r="AI152" s="129">
        <f t="shared" si="30"/>
        <v>0.6591549295774648</v>
      </c>
      <c r="AJ152" s="426">
        <f t="shared" si="61"/>
        <v>4840</v>
      </c>
      <c r="AK152" s="131">
        <f t="shared" si="55"/>
        <v>537.77777777777783</v>
      </c>
      <c r="AL152" s="477">
        <f>AK152/VLOOKUP(IF(I152&gt;0,I152,1),Preise!$A$3:$B$27,2,FALSE)</f>
        <v>149.38271604938268</v>
      </c>
    </row>
    <row r="153" spans="1:38" s="3" customFormat="1" outlineLevel="1" x14ac:dyDescent="0.2">
      <c r="A153" s="5">
        <v>1165</v>
      </c>
      <c r="B153" s="412">
        <v>1165</v>
      </c>
      <c r="C153" s="132" t="str">
        <f>VLOOKUP(B153,Gegenstände!$A173:$B835,2,FALSE)</f>
        <v>Knochenbrecher</v>
      </c>
      <c r="D153" s="133">
        <f>VLOOKUP(B153,Gegenstände!$A173:$D835,4,FALSE)</f>
        <v>17</v>
      </c>
      <c r="E153" s="468">
        <v>30</v>
      </c>
      <c r="F153" s="134">
        <v>540</v>
      </c>
      <c r="G153" s="54">
        <v>4</v>
      </c>
      <c r="H153" s="469">
        <v>59</v>
      </c>
      <c r="I153" s="6">
        <v>16</v>
      </c>
      <c r="J153" s="417"/>
      <c r="K153" s="6">
        <v>23</v>
      </c>
      <c r="L153" s="1" t="s">
        <v>116</v>
      </c>
      <c r="M153" s="87">
        <v>8</v>
      </c>
      <c r="N153" s="83" t="s">
        <v>176</v>
      </c>
      <c r="O153" s="85">
        <v>28</v>
      </c>
      <c r="P153" s="83" t="s">
        <v>179</v>
      </c>
      <c r="Q153" s="85"/>
      <c r="R153" s="1"/>
      <c r="S153" s="418"/>
      <c r="T153" s="418"/>
      <c r="U153" s="471">
        <f>VLOOKUP(D153,Preise!$A$3:$C$27,3)</f>
        <v>9.3576208735366695</v>
      </c>
      <c r="V153" s="523">
        <f t="shared" si="56"/>
        <v>18715.241747073338</v>
      </c>
      <c r="W153" s="131"/>
      <c r="X153" s="472">
        <f t="shared" si="57"/>
        <v>18700</v>
      </c>
      <c r="Y153" s="473">
        <f t="shared" si="58"/>
        <v>18700</v>
      </c>
      <c r="Z153" s="474">
        <f>IF(ISERROR(VLOOKUP(L153,Gegenstände!$B$2:$N$2026,13,FALSE)),0,VLOOKUP(L153,Gegenstände!$B$2:$N$2026,13,FALSE))</f>
        <v>270</v>
      </c>
      <c r="AA153" s="142">
        <f>IF(ISERROR(VLOOKUP(N153,Gegenstände!$B$2:$N$2026,13,FALSE)),0,VLOOKUP(N153,Gegenstände!$B$2:$N$2026,13,FALSE))</f>
        <v>80</v>
      </c>
      <c r="AB153" s="142">
        <f>IF(ISERROR(VLOOKUP(P153,Gegenstände!$B$2:$N$2026,13,FALSE)),0,VLOOKUP(P153,Gegenstände!$B$2:$N$2026,13,FALSE))</f>
        <v>200</v>
      </c>
      <c r="AC153" s="142">
        <f>IF(ISERROR(VLOOKUP(R153,Gegenstände!$B$2:$N$2026,13,FALSE)),0,VLOOKUP(R153,Gegenstände!$B$2:$N$2026,13,FALSE))</f>
        <v>0</v>
      </c>
      <c r="AD153" s="142"/>
      <c r="AE153" s="475">
        <f t="shared" si="59"/>
        <v>6210</v>
      </c>
      <c r="AF153" s="476">
        <f t="shared" si="60"/>
        <v>6240</v>
      </c>
      <c r="AG153" s="128">
        <f t="shared" si="28"/>
        <v>0.33208556149732621</v>
      </c>
      <c r="AH153" s="128">
        <f t="shared" si="29"/>
        <v>0.3336898395721925</v>
      </c>
      <c r="AI153" s="129">
        <f t="shared" si="30"/>
        <v>0.66577540106951871</v>
      </c>
      <c r="AJ153" s="426">
        <f t="shared" si="61"/>
        <v>6250</v>
      </c>
      <c r="AK153" s="131">
        <f t="shared" si="55"/>
        <v>694.44444444444446</v>
      </c>
      <c r="AL153" s="477">
        <f>AK153/VLOOKUP(IF(I153&gt;0,I153,1),Preise!$A$3:$B$27,2,FALSE)</f>
        <v>173.61111111111109</v>
      </c>
    </row>
    <row r="154" spans="1:38" s="3" customFormat="1" outlineLevel="1" x14ac:dyDescent="0.2">
      <c r="A154" s="5">
        <v>1166</v>
      </c>
      <c r="B154" s="412">
        <v>1166</v>
      </c>
      <c r="C154" s="132" t="str">
        <f>VLOOKUP(B154,Gegenstände!$A174:$B836,2,FALSE)</f>
        <v>Kriegskeule</v>
      </c>
      <c r="D154" s="133">
        <f>VLOOKUP(B154,Gegenstände!$A174:$D836,4,FALSE)</f>
        <v>20</v>
      </c>
      <c r="E154" s="468">
        <v>30</v>
      </c>
      <c r="F154" s="134">
        <v>540</v>
      </c>
      <c r="G154" s="54">
        <v>4</v>
      </c>
      <c r="H154" s="469">
        <v>59</v>
      </c>
      <c r="I154" s="6">
        <v>19</v>
      </c>
      <c r="J154" s="417"/>
      <c r="K154" s="6">
        <v>35</v>
      </c>
      <c r="L154" s="1" t="s">
        <v>116</v>
      </c>
      <c r="M154" s="87">
        <v>16</v>
      </c>
      <c r="N154" s="83" t="s">
        <v>176</v>
      </c>
      <c r="O154" s="85">
        <v>40</v>
      </c>
      <c r="P154" s="83" t="s">
        <v>179</v>
      </c>
      <c r="Q154" s="85"/>
      <c r="R154" s="1"/>
      <c r="S154" s="418"/>
      <c r="T154" s="418"/>
      <c r="U154" s="471">
        <f>VLOOKUP(D154,Preise!$A$3:$C$27,3)</f>
        <v>14.231771646040078</v>
      </c>
      <c r="V154" s="523">
        <f t="shared" si="56"/>
        <v>28463.543292080158</v>
      </c>
      <c r="W154" s="131"/>
      <c r="X154" s="472">
        <f t="shared" si="57"/>
        <v>28500</v>
      </c>
      <c r="Y154" s="473">
        <f t="shared" si="58"/>
        <v>28500</v>
      </c>
      <c r="Z154" s="474">
        <f>IF(ISERROR(VLOOKUP(L154,Gegenstände!$B$2:$N$2026,13,FALSE)),0,VLOOKUP(L154,Gegenstände!$B$2:$N$2026,13,FALSE))</f>
        <v>270</v>
      </c>
      <c r="AA154" s="142">
        <f>IF(ISERROR(VLOOKUP(N154,Gegenstände!$B$2:$N$2026,13,FALSE)),0,VLOOKUP(N154,Gegenstände!$B$2:$N$2026,13,FALSE))</f>
        <v>80</v>
      </c>
      <c r="AB154" s="142">
        <f>IF(ISERROR(VLOOKUP(P154,Gegenstände!$B$2:$N$2026,13,FALSE)),0,VLOOKUP(P154,Gegenstände!$B$2:$N$2026,13,FALSE))</f>
        <v>200</v>
      </c>
      <c r="AC154" s="142">
        <f>IF(ISERROR(VLOOKUP(R154,Gegenstände!$B$2:$N$2026,13,FALSE)),0,VLOOKUP(R154,Gegenstände!$B$2:$N$2026,13,FALSE))</f>
        <v>0</v>
      </c>
      <c r="AD154" s="142"/>
      <c r="AE154" s="475">
        <f t="shared" si="59"/>
        <v>9450</v>
      </c>
      <c r="AF154" s="476">
        <f t="shared" si="60"/>
        <v>9280</v>
      </c>
      <c r="AG154" s="128">
        <f t="shared" si="28"/>
        <v>0.33157894736842103</v>
      </c>
      <c r="AH154" s="128">
        <f t="shared" si="29"/>
        <v>0.3256140350877193</v>
      </c>
      <c r="AI154" s="129">
        <f t="shared" si="30"/>
        <v>0.65719298245614033</v>
      </c>
      <c r="AJ154" s="426">
        <f t="shared" si="61"/>
        <v>9770</v>
      </c>
      <c r="AK154" s="131">
        <f t="shared" si="55"/>
        <v>1085.5555555555557</v>
      </c>
      <c r="AL154" s="477">
        <f>AK154/VLOOKUP(IF(I154&gt;0,I154,1),Preise!$A$3:$B$27,2,FALSE)</f>
        <v>235.99033816425117</v>
      </c>
    </row>
    <row r="155" spans="1:38" s="3" customFormat="1" outlineLevel="1" x14ac:dyDescent="0.2">
      <c r="A155" s="5">
        <v>1167</v>
      </c>
      <c r="B155" s="412">
        <v>1167</v>
      </c>
      <c r="C155" s="132" t="str">
        <f>VLOOKUP(B155,Gegenstände!$A175:$B837,2,FALSE)</f>
        <v>Stabzepter</v>
      </c>
      <c r="D155" s="133">
        <f>VLOOKUP(B155,Gegenstände!$A175:$D837,4,FALSE)</f>
        <v>22</v>
      </c>
      <c r="E155" s="468">
        <v>30</v>
      </c>
      <c r="F155" s="134">
        <v>540</v>
      </c>
      <c r="G155" s="54">
        <v>5</v>
      </c>
      <c r="H155" s="469">
        <v>59</v>
      </c>
      <c r="I155" s="6">
        <v>21</v>
      </c>
      <c r="J155" s="417"/>
      <c r="K155" s="6">
        <v>34</v>
      </c>
      <c r="L155" s="1" t="s">
        <v>117</v>
      </c>
      <c r="M155" s="87">
        <v>5</v>
      </c>
      <c r="N155" s="83" t="s">
        <v>176</v>
      </c>
      <c r="O155" s="85">
        <v>10</v>
      </c>
      <c r="P155" s="83" t="s">
        <v>179</v>
      </c>
      <c r="Q155" s="85">
        <v>20</v>
      </c>
      <c r="R155" s="83" t="s">
        <v>181</v>
      </c>
      <c r="S155" s="170"/>
      <c r="T155" s="170"/>
      <c r="U155" s="471">
        <f>VLOOKUP(D155,Preise!$A$3:$C$27,3)</f>
        <v>18.821518001888002</v>
      </c>
      <c r="V155" s="523">
        <f t="shared" si="56"/>
        <v>37643.036003776004</v>
      </c>
      <c r="W155" s="131"/>
      <c r="X155" s="472">
        <f t="shared" si="57"/>
        <v>37600</v>
      </c>
      <c r="Y155" s="473">
        <f t="shared" si="58"/>
        <v>37600</v>
      </c>
      <c r="Z155" s="474">
        <f>IF(ISERROR(VLOOKUP(L155,Gegenstände!$B$2:$N$2026,13,FALSE)),0,VLOOKUP(L155,Gegenstände!$B$2:$N$2026,13,FALSE))</f>
        <v>360</v>
      </c>
      <c r="AA155" s="142">
        <f>IF(ISERROR(VLOOKUP(N155,Gegenstände!$B$2:$N$2026,13,FALSE)),0,VLOOKUP(N155,Gegenstände!$B$2:$N$2026,13,FALSE))</f>
        <v>80</v>
      </c>
      <c r="AB155" s="142">
        <f>IF(ISERROR(VLOOKUP(P155,Gegenstände!$B$2:$N$2026,13,FALSE)),0,VLOOKUP(P155,Gegenstände!$B$2:$N$2026,13,FALSE))</f>
        <v>200</v>
      </c>
      <c r="AC155" s="142">
        <f>IF(ISERROR(VLOOKUP(R155,Gegenstände!$B$2:$N$2026,13,FALSE)),0,VLOOKUP(R155,Gegenstände!$B$2:$N$2026,13,FALSE))</f>
        <v>500</v>
      </c>
      <c r="AD155" s="142"/>
      <c r="AE155" s="475">
        <f t="shared" si="59"/>
        <v>12240</v>
      </c>
      <c r="AF155" s="476">
        <f t="shared" si="60"/>
        <v>12400</v>
      </c>
      <c r="AG155" s="128">
        <f t="shared" si="28"/>
        <v>0.32553191489361705</v>
      </c>
      <c r="AH155" s="128">
        <f t="shared" si="29"/>
        <v>0.32978723404255317</v>
      </c>
      <c r="AI155" s="129">
        <f t="shared" si="30"/>
        <v>0.65531914893617016</v>
      </c>
      <c r="AJ155" s="426">
        <f t="shared" si="61"/>
        <v>12960</v>
      </c>
      <c r="AK155" s="131">
        <f t="shared" si="55"/>
        <v>1440</v>
      </c>
      <c r="AL155" s="477">
        <f>AK155/VLOOKUP(IF(I155&gt;0,I155,1),Preise!$A$3:$B$27,2,FALSE)</f>
        <v>287.99999999999989</v>
      </c>
    </row>
    <row r="156" spans="1:38" s="3" customFormat="1" outlineLevel="1" x14ac:dyDescent="0.2">
      <c r="A156" s="5">
        <v>1168</v>
      </c>
      <c r="B156" s="412">
        <v>1168</v>
      </c>
      <c r="C156" s="132" t="str">
        <f>VLOOKUP(B156,Gegenstände!$A176:$B838,2,FALSE)</f>
        <v>Donnerhammer</v>
      </c>
      <c r="D156" s="133">
        <f>VLOOKUP(B156,Gegenstände!$A176:$D838,4,FALSE)</f>
        <v>25</v>
      </c>
      <c r="E156" s="468">
        <v>30</v>
      </c>
      <c r="F156" s="134">
        <v>540</v>
      </c>
      <c r="G156" s="54">
        <v>5</v>
      </c>
      <c r="H156" s="469">
        <v>59</v>
      </c>
      <c r="I156" s="6">
        <v>24</v>
      </c>
      <c r="J156" s="417"/>
      <c r="K156" s="6">
        <v>52</v>
      </c>
      <c r="L156" s="1" t="s">
        <v>117</v>
      </c>
      <c r="M156" s="87">
        <v>6</v>
      </c>
      <c r="N156" s="83" t="s">
        <v>176</v>
      </c>
      <c r="O156" s="85">
        <v>8</v>
      </c>
      <c r="P156" s="83" t="s">
        <v>179</v>
      </c>
      <c r="Q156" s="85">
        <v>34</v>
      </c>
      <c r="R156" s="83" t="s">
        <v>181</v>
      </c>
      <c r="S156" s="170"/>
      <c r="T156" s="170"/>
      <c r="U156" s="471">
        <f>VLOOKUP(D156,Preise!$A$3:$C$27,3)</f>
        <v>28.625176191121408</v>
      </c>
      <c r="V156" s="523">
        <f t="shared" si="56"/>
        <v>57250.352382242818</v>
      </c>
      <c r="W156" s="131"/>
      <c r="X156" s="472">
        <f t="shared" si="57"/>
        <v>57300</v>
      </c>
      <c r="Y156" s="473">
        <f t="shared" si="58"/>
        <v>57300</v>
      </c>
      <c r="Z156" s="474">
        <f>IF(ISERROR(VLOOKUP(L156,Gegenstände!$B$2:$N$2026,13,FALSE)),0,VLOOKUP(L156,Gegenstände!$B$2:$N$2026,13,FALSE))</f>
        <v>360</v>
      </c>
      <c r="AA156" s="142">
        <f>IF(ISERROR(VLOOKUP(N156,Gegenstände!$B$2:$N$2026,13,FALSE)),0,VLOOKUP(N156,Gegenstände!$B$2:$N$2026,13,FALSE))</f>
        <v>80</v>
      </c>
      <c r="AB156" s="142">
        <f>IF(ISERROR(VLOOKUP(P156,Gegenstände!$B$2:$N$2026,13,FALSE)),0,VLOOKUP(P156,Gegenstände!$B$2:$N$2026,13,FALSE))</f>
        <v>200</v>
      </c>
      <c r="AC156" s="142">
        <f>IF(ISERROR(VLOOKUP(R156,Gegenstände!$B$2:$N$2026,13,FALSE)),0,VLOOKUP(R156,Gegenstände!$B$2:$N$2026,13,FALSE))</f>
        <v>500</v>
      </c>
      <c r="AD156" s="142"/>
      <c r="AE156" s="475">
        <f t="shared" si="59"/>
        <v>18720</v>
      </c>
      <c r="AF156" s="476">
        <f t="shared" si="60"/>
        <v>19080</v>
      </c>
      <c r="AG156" s="128">
        <f t="shared" si="28"/>
        <v>0.32670157068062827</v>
      </c>
      <c r="AH156" s="128">
        <f t="shared" si="29"/>
        <v>0.33298429319371725</v>
      </c>
      <c r="AI156" s="129">
        <f t="shared" si="30"/>
        <v>0.65968586387434558</v>
      </c>
      <c r="AJ156" s="426">
        <f t="shared" si="61"/>
        <v>19500</v>
      </c>
      <c r="AK156" s="131">
        <f t="shared" si="55"/>
        <v>2166.6666666666665</v>
      </c>
      <c r="AL156" s="477">
        <f>AK156/VLOOKUP(IF(I156&gt;0,I156,1),Preise!$A$3:$B$27,2,FALSE)</f>
        <v>386.9047619047617</v>
      </c>
    </row>
    <row r="157" spans="1:38" s="3" customFormat="1" x14ac:dyDescent="0.2">
      <c r="A157" s="525"/>
      <c r="B157" s="526"/>
      <c r="C157" s="286"/>
      <c r="D157" s="396"/>
      <c r="E157" s="527"/>
      <c r="F157" s="528"/>
      <c r="G157" s="322"/>
      <c r="H157" s="529"/>
      <c r="I157" s="530"/>
      <c r="J157" s="531"/>
      <c r="K157" s="530"/>
      <c r="L157" s="532"/>
      <c r="M157" s="533"/>
      <c r="N157" s="532"/>
      <c r="O157" s="530"/>
      <c r="P157" s="532"/>
      <c r="Q157" s="530"/>
      <c r="R157" s="532"/>
      <c r="S157" s="534"/>
      <c r="T157" s="535"/>
      <c r="U157" s="536"/>
      <c r="V157" s="551">
        <v>2000</v>
      </c>
      <c r="W157" s="538"/>
      <c r="X157" s="539"/>
      <c r="Y157" s="540"/>
      <c r="Z157" s="541"/>
      <c r="AA157" s="542"/>
      <c r="AB157" s="542"/>
      <c r="AC157" s="542"/>
      <c r="AD157" s="542"/>
      <c r="AE157" s="543"/>
      <c r="AF157" s="544"/>
      <c r="AG157" s="545"/>
      <c r="AH157" s="545"/>
      <c r="AI157" s="546"/>
      <c r="AJ157" s="547"/>
      <c r="AK157" s="548"/>
      <c r="AL157" s="549"/>
    </row>
    <row r="158" spans="1:38" s="3" customFormat="1" outlineLevel="1" x14ac:dyDescent="0.2">
      <c r="A158" s="5">
        <v>1171</v>
      </c>
      <c r="B158" s="412">
        <v>1171</v>
      </c>
      <c r="C158" s="132" t="str">
        <f>VLOOKUP(B158,Gegenstände!$A178:$B840,2,FALSE)</f>
        <v>Speer</v>
      </c>
      <c r="D158" s="133">
        <f>VLOOKUP(B158,Gegenstände!$A178:$D840,4,FALSE)</f>
        <v>1</v>
      </c>
      <c r="E158" s="468">
        <v>30</v>
      </c>
      <c r="F158" s="134">
        <v>540</v>
      </c>
      <c r="G158" s="54">
        <v>1</v>
      </c>
      <c r="H158" s="469">
        <v>60</v>
      </c>
      <c r="I158" s="6">
        <v>0</v>
      </c>
      <c r="J158" s="417"/>
      <c r="K158" s="6">
        <v>11</v>
      </c>
      <c r="L158" s="1" t="s">
        <v>113</v>
      </c>
      <c r="M158" s="87">
        <v>8</v>
      </c>
      <c r="N158" s="83" t="s">
        <v>176</v>
      </c>
      <c r="O158" s="85"/>
      <c r="P158" s="1"/>
      <c r="Q158" s="6"/>
      <c r="R158" s="1"/>
      <c r="S158" s="418"/>
      <c r="T158" s="418"/>
      <c r="U158" s="471">
        <f>VLOOKUP(D158,Preise!$A$3:$C$27,3)</f>
        <v>1</v>
      </c>
      <c r="V158" s="523">
        <f t="shared" ref="V158:V167" si="62">U158*$V$157</f>
        <v>2000</v>
      </c>
      <c r="W158" s="131"/>
      <c r="X158" s="472">
        <f t="shared" ref="X158:X167" si="63">ROUND((V158/100),0)*100</f>
        <v>2000</v>
      </c>
      <c r="Y158" s="473">
        <f t="shared" ref="Y158:Y167" si="64">X158*IF(J158&gt;0,J158,1)</f>
        <v>2000</v>
      </c>
      <c r="Z158" s="474">
        <f>IF(ISERROR(VLOOKUP(L158,Gegenstände!$B$2:$N$2026,13,FALSE)),0,VLOOKUP(L158,Gegenstände!$B$2:$N$2026,13,FALSE))</f>
        <v>60</v>
      </c>
      <c r="AA158" s="142">
        <f>IF(ISERROR(VLOOKUP(N158,Gegenstände!$B$2:$N$2026,13,FALSE)),0,VLOOKUP(N158,Gegenstände!$B$2:$N$2026,13,FALSE))</f>
        <v>80</v>
      </c>
      <c r="AB158" s="142">
        <f>IF(ISERROR(VLOOKUP(P158,Gegenstände!$B$2:$N$2026,13,FALSE)),0,VLOOKUP(P158,Gegenstände!$B$2:$N$2026,13,FALSE))</f>
        <v>0</v>
      </c>
      <c r="AC158" s="142">
        <f>IF(ISERROR(VLOOKUP(R158,Gegenstände!$B$2:$N$2026,13,FALSE)),0,VLOOKUP(R158,Gegenstände!$B$2:$N$2026,13,FALSE))</f>
        <v>0</v>
      </c>
      <c r="AD158" s="142"/>
      <c r="AE158" s="475">
        <f t="shared" ref="AE158:AE167" si="65">IF(ISERROR(K158*Z158),"",K158*Z158)</f>
        <v>660</v>
      </c>
      <c r="AF158" s="476">
        <f t="shared" ref="AF158:AF167" si="66">IF(ISERROR(M158*AA158+O158*AB158+Q158*AC158),"",M158*AA158+O158*AB158+Q158*AC158)</f>
        <v>640</v>
      </c>
      <c r="AG158" s="128">
        <f t="shared" si="28"/>
        <v>0.33</v>
      </c>
      <c r="AH158" s="128">
        <f t="shared" si="29"/>
        <v>0.32</v>
      </c>
      <c r="AI158" s="129">
        <f t="shared" si="30"/>
        <v>0.65</v>
      </c>
      <c r="AJ158" s="426">
        <f t="shared" ref="AJ158:AJ167" si="67">Y158-(AE158+AF158)</f>
        <v>700</v>
      </c>
      <c r="AK158" s="131">
        <f t="shared" si="55"/>
        <v>77.777777777777771</v>
      </c>
      <c r="AL158" s="477">
        <f>AK158/VLOOKUP(IF(I158&gt;0,I158,1),Preise!$A$3:$B$27,2,FALSE)</f>
        <v>77.777777777777771</v>
      </c>
    </row>
    <row r="159" spans="1:38" s="3" customFormat="1" outlineLevel="1" x14ac:dyDescent="0.2">
      <c r="A159" s="5">
        <v>1172</v>
      </c>
      <c r="B159" s="412">
        <v>1172</v>
      </c>
      <c r="C159" s="132" t="str">
        <f>VLOOKUP(B159,Gegenstände!$A179:$B841,2,FALSE)</f>
        <v>Bauernsense</v>
      </c>
      <c r="D159" s="133">
        <f>VLOOKUP(B159,Gegenstände!$A179:$D841,4,FALSE)</f>
        <v>4</v>
      </c>
      <c r="E159" s="468">
        <v>30</v>
      </c>
      <c r="F159" s="134">
        <v>540</v>
      </c>
      <c r="G159" s="54">
        <v>1</v>
      </c>
      <c r="H159" s="469">
        <v>60</v>
      </c>
      <c r="I159" s="6">
        <v>3</v>
      </c>
      <c r="J159" s="417"/>
      <c r="K159" s="6">
        <v>16</v>
      </c>
      <c r="L159" s="1" t="s">
        <v>113</v>
      </c>
      <c r="M159" s="87">
        <v>12</v>
      </c>
      <c r="N159" s="83" t="s">
        <v>176</v>
      </c>
      <c r="O159" s="85"/>
      <c r="P159" s="1"/>
      <c r="Q159" s="6"/>
      <c r="R159" s="1"/>
      <c r="S159" s="418"/>
      <c r="T159" s="418"/>
      <c r="U159" s="471">
        <f>VLOOKUP(D159,Preise!$A$3:$C$27,3)</f>
        <v>1.5208749999999995</v>
      </c>
      <c r="V159" s="523">
        <f t="shared" si="62"/>
        <v>3041.7499999999991</v>
      </c>
      <c r="W159" s="131"/>
      <c r="X159" s="472">
        <f t="shared" si="63"/>
        <v>3000</v>
      </c>
      <c r="Y159" s="473">
        <f t="shared" si="64"/>
        <v>3000</v>
      </c>
      <c r="Z159" s="474">
        <f>IF(ISERROR(VLOOKUP(L159,Gegenstände!$B$2:$N$2026,13,FALSE)),0,VLOOKUP(L159,Gegenstände!$B$2:$N$2026,13,FALSE))</f>
        <v>60</v>
      </c>
      <c r="AA159" s="142">
        <f>IF(ISERROR(VLOOKUP(N159,Gegenstände!$B$2:$N$2026,13,FALSE)),0,VLOOKUP(N159,Gegenstände!$B$2:$N$2026,13,FALSE))</f>
        <v>80</v>
      </c>
      <c r="AB159" s="142">
        <f>IF(ISERROR(VLOOKUP(P159,Gegenstände!$B$2:$N$2026,13,FALSE)),0,VLOOKUP(P159,Gegenstände!$B$2:$N$2026,13,FALSE))</f>
        <v>0</v>
      </c>
      <c r="AC159" s="142">
        <f>IF(ISERROR(VLOOKUP(R159,Gegenstände!$B$2:$N$2026,13,FALSE)),0,VLOOKUP(R159,Gegenstände!$B$2:$N$2026,13,FALSE))</f>
        <v>0</v>
      </c>
      <c r="AD159" s="142"/>
      <c r="AE159" s="475">
        <f t="shared" si="65"/>
        <v>960</v>
      </c>
      <c r="AF159" s="476">
        <f t="shared" si="66"/>
        <v>960</v>
      </c>
      <c r="AG159" s="128">
        <f t="shared" si="28"/>
        <v>0.32</v>
      </c>
      <c r="AH159" s="128">
        <f t="shared" si="29"/>
        <v>0.32</v>
      </c>
      <c r="AI159" s="129">
        <f t="shared" si="30"/>
        <v>0.64</v>
      </c>
      <c r="AJ159" s="426">
        <f t="shared" si="67"/>
        <v>1080</v>
      </c>
      <c r="AK159" s="131">
        <f t="shared" si="55"/>
        <v>120</v>
      </c>
      <c r="AL159" s="477">
        <f>AK159/VLOOKUP(IF(I159&gt;0,I159,1),Preise!$A$3:$B$27,2,FALSE)</f>
        <v>85.714285714285722</v>
      </c>
    </row>
    <row r="160" spans="1:38" s="3" customFormat="1" outlineLevel="1" x14ac:dyDescent="0.2">
      <c r="A160" s="5">
        <v>1173</v>
      </c>
      <c r="B160" s="412">
        <v>1173</v>
      </c>
      <c r="C160" s="132" t="str">
        <f>VLOOKUP(B160,Gegenstände!$A180:$B842,2,FALSE)</f>
        <v>Jagdspeer</v>
      </c>
      <c r="D160" s="133">
        <f>VLOOKUP(B160,Gegenstände!$A180:$D842,4,FALSE)</f>
        <v>6</v>
      </c>
      <c r="E160" s="468">
        <v>30</v>
      </c>
      <c r="F160" s="134">
        <v>540</v>
      </c>
      <c r="G160" s="54">
        <v>2</v>
      </c>
      <c r="H160" s="469">
        <v>60</v>
      </c>
      <c r="I160" s="6">
        <v>5</v>
      </c>
      <c r="J160" s="417"/>
      <c r="K160" s="6">
        <v>11</v>
      </c>
      <c r="L160" s="1" t="s">
        <v>114</v>
      </c>
      <c r="M160" s="87">
        <v>16</v>
      </c>
      <c r="N160" s="83" t="s">
        <v>176</v>
      </c>
      <c r="O160" s="85"/>
      <c r="P160" s="1"/>
      <c r="Q160" s="6"/>
      <c r="R160" s="1"/>
      <c r="S160" s="418"/>
      <c r="T160" s="418"/>
      <c r="U160" s="471">
        <f>VLOOKUP(D160,Preise!$A$3:$C$27,3)</f>
        <v>2.0113571874999994</v>
      </c>
      <c r="V160" s="523">
        <f t="shared" si="62"/>
        <v>4022.7143749999987</v>
      </c>
      <c r="W160" s="131"/>
      <c r="X160" s="472">
        <f t="shared" si="63"/>
        <v>4000</v>
      </c>
      <c r="Y160" s="473">
        <f t="shared" si="64"/>
        <v>4000</v>
      </c>
      <c r="Z160" s="474">
        <f>IF(ISERROR(VLOOKUP(L160,Gegenstände!$B$2:$N$2026,13,FALSE)),0,VLOOKUP(L160,Gegenstände!$B$2:$N$2026,13,FALSE))</f>
        <v>120</v>
      </c>
      <c r="AA160" s="142">
        <f>IF(ISERROR(VLOOKUP(N160,Gegenstände!$B$2:$N$2026,13,FALSE)),0,VLOOKUP(N160,Gegenstände!$B$2:$N$2026,13,FALSE))</f>
        <v>80</v>
      </c>
      <c r="AB160" s="142">
        <f>IF(ISERROR(VLOOKUP(P160,Gegenstände!$B$2:$N$2026,13,FALSE)),0,VLOOKUP(P160,Gegenstände!$B$2:$N$2026,13,FALSE))</f>
        <v>0</v>
      </c>
      <c r="AC160" s="142">
        <f>IF(ISERROR(VLOOKUP(R160,Gegenstände!$B$2:$N$2026,13,FALSE)),0,VLOOKUP(R160,Gegenstände!$B$2:$N$2026,13,FALSE))</f>
        <v>0</v>
      </c>
      <c r="AD160" s="142"/>
      <c r="AE160" s="475">
        <f t="shared" si="65"/>
        <v>1320</v>
      </c>
      <c r="AF160" s="476">
        <f t="shared" si="66"/>
        <v>1280</v>
      </c>
      <c r="AG160" s="128">
        <f t="shared" si="28"/>
        <v>0.33</v>
      </c>
      <c r="AH160" s="128">
        <f t="shared" si="29"/>
        <v>0.32</v>
      </c>
      <c r="AI160" s="129">
        <f t="shared" si="30"/>
        <v>0.65</v>
      </c>
      <c r="AJ160" s="426">
        <f t="shared" si="67"/>
        <v>1400</v>
      </c>
      <c r="AK160" s="131">
        <f t="shared" si="55"/>
        <v>155.55555555555554</v>
      </c>
      <c r="AL160" s="477">
        <f>AK160/VLOOKUP(IF(I160&gt;0,I160,1),Preise!$A$3:$B$27,2,FALSE)</f>
        <v>86.41975308641976</v>
      </c>
    </row>
    <row r="161" spans="1:38" s="3" customFormat="1" outlineLevel="1" x14ac:dyDescent="0.2">
      <c r="A161" s="5">
        <v>1174</v>
      </c>
      <c r="B161" s="412">
        <v>1174</v>
      </c>
      <c r="C161" s="132" t="str">
        <f>VLOOKUP(B161,Gegenstände!$A181:$B843,2,FALSE)</f>
        <v>Sense</v>
      </c>
      <c r="D161" s="133">
        <f>VLOOKUP(B161,Gegenstände!$A181:$D843,4,FALSE)</f>
        <v>9</v>
      </c>
      <c r="E161" s="468">
        <v>30</v>
      </c>
      <c r="F161" s="134">
        <v>540</v>
      </c>
      <c r="G161" s="54">
        <v>2</v>
      </c>
      <c r="H161" s="469">
        <v>60</v>
      </c>
      <c r="I161" s="6">
        <v>8</v>
      </c>
      <c r="J161" s="417"/>
      <c r="K161" s="6">
        <v>16</v>
      </c>
      <c r="L161" s="1" t="s">
        <v>114</v>
      </c>
      <c r="M161" s="87">
        <v>25</v>
      </c>
      <c r="N161" s="83" t="s">
        <v>176</v>
      </c>
      <c r="O161" s="85"/>
      <c r="P161" s="1"/>
      <c r="Q161" s="6"/>
      <c r="R161" s="1"/>
      <c r="S161" s="418"/>
      <c r="T161" s="418"/>
      <c r="U161" s="471">
        <f>VLOOKUP(D161,Preise!$A$3:$C$27,3)</f>
        <v>3.0590228625390607</v>
      </c>
      <c r="V161" s="523">
        <f t="shared" si="62"/>
        <v>6118.0457250781219</v>
      </c>
      <c r="W161" s="131"/>
      <c r="X161" s="472">
        <f t="shared" si="63"/>
        <v>6100</v>
      </c>
      <c r="Y161" s="473">
        <f t="shared" si="64"/>
        <v>6100</v>
      </c>
      <c r="Z161" s="474">
        <f>IF(ISERROR(VLOOKUP(L161,Gegenstände!$B$2:$N$2026,13,FALSE)),0,VLOOKUP(L161,Gegenstände!$B$2:$N$2026,13,FALSE))</f>
        <v>120</v>
      </c>
      <c r="AA161" s="142">
        <f>IF(ISERROR(VLOOKUP(N161,Gegenstände!$B$2:$N$2026,13,FALSE)),0,VLOOKUP(N161,Gegenstände!$B$2:$N$2026,13,FALSE))</f>
        <v>80</v>
      </c>
      <c r="AB161" s="142">
        <f>IF(ISERROR(VLOOKUP(P161,Gegenstände!$B$2:$N$2026,13,FALSE)),0,VLOOKUP(P161,Gegenstände!$B$2:$N$2026,13,FALSE))</f>
        <v>0</v>
      </c>
      <c r="AC161" s="142">
        <f>IF(ISERROR(VLOOKUP(R161,Gegenstände!$B$2:$N$2026,13,FALSE)),0,VLOOKUP(R161,Gegenstände!$B$2:$N$2026,13,FALSE))</f>
        <v>0</v>
      </c>
      <c r="AD161" s="142"/>
      <c r="AE161" s="475">
        <f t="shared" si="65"/>
        <v>1920</v>
      </c>
      <c r="AF161" s="476">
        <f t="shared" si="66"/>
        <v>2000</v>
      </c>
      <c r="AG161" s="128">
        <f t="shared" si="28"/>
        <v>0.31475409836065577</v>
      </c>
      <c r="AH161" s="128">
        <f t="shared" si="29"/>
        <v>0.32786885245901637</v>
      </c>
      <c r="AI161" s="129">
        <f t="shared" si="30"/>
        <v>0.64262295081967213</v>
      </c>
      <c r="AJ161" s="426">
        <f t="shared" si="67"/>
        <v>2180</v>
      </c>
      <c r="AK161" s="131">
        <f t="shared" si="55"/>
        <v>242.22222222222223</v>
      </c>
      <c r="AL161" s="477">
        <f>AK161/VLOOKUP(IF(I161&gt;0,I161,1),Preise!$A$3:$B$27,2,FALSE)</f>
        <v>100.92592592592594</v>
      </c>
    </row>
    <row r="162" spans="1:38" s="3" customFormat="1" outlineLevel="1" x14ac:dyDescent="0.2">
      <c r="A162" s="5">
        <v>1175</v>
      </c>
      <c r="B162" s="412">
        <v>1175</v>
      </c>
      <c r="C162" s="132" t="str">
        <f>VLOOKUP(B162,Gegenstände!$A182:$B844,2,FALSE)</f>
        <v>Pike</v>
      </c>
      <c r="D162" s="133">
        <f>VLOOKUP(B162,Gegenstände!$A182:$D844,4,FALSE)</f>
        <v>11</v>
      </c>
      <c r="E162" s="468">
        <v>30</v>
      </c>
      <c r="F162" s="134">
        <v>540</v>
      </c>
      <c r="G162" s="54">
        <v>3</v>
      </c>
      <c r="H162" s="469">
        <v>60</v>
      </c>
      <c r="I162" s="6">
        <v>10</v>
      </c>
      <c r="J162" s="417"/>
      <c r="K162" s="6">
        <v>15</v>
      </c>
      <c r="L162" s="1" t="s">
        <v>115</v>
      </c>
      <c r="M162" s="87">
        <v>8</v>
      </c>
      <c r="N162" s="83" t="s">
        <v>176</v>
      </c>
      <c r="O162" s="85">
        <v>10</v>
      </c>
      <c r="P162" s="83" t="s">
        <v>179</v>
      </c>
      <c r="Q162" s="85"/>
      <c r="R162" s="1"/>
      <c r="S162" s="418"/>
      <c r="T162" s="418"/>
      <c r="U162" s="471">
        <f>VLOOKUP(D162,Preise!$A$3:$C$27,3)</f>
        <v>4.0455577357079076</v>
      </c>
      <c r="V162" s="523">
        <f t="shared" si="62"/>
        <v>8091.1154714158147</v>
      </c>
      <c r="W162" s="131"/>
      <c r="X162" s="472">
        <f t="shared" si="63"/>
        <v>8100</v>
      </c>
      <c r="Y162" s="473">
        <f t="shared" si="64"/>
        <v>8100</v>
      </c>
      <c r="Z162" s="474">
        <f>IF(ISERROR(VLOOKUP(L162,Gegenstände!$B$2:$N$2026,13,FALSE)),0,VLOOKUP(L162,Gegenstände!$B$2:$N$2026,13,FALSE))</f>
        <v>180</v>
      </c>
      <c r="AA162" s="142">
        <f>IF(ISERROR(VLOOKUP(N162,Gegenstände!$B$2:$N$2026,13,FALSE)),0,VLOOKUP(N162,Gegenstände!$B$2:$N$2026,13,FALSE))</f>
        <v>80</v>
      </c>
      <c r="AB162" s="142">
        <f>IF(ISERROR(VLOOKUP(P162,Gegenstände!$B$2:$N$2026,13,FALSE)),0,VLOOKUP(P162,Gegenstände!$B$2:$N$2026,13,FALSE))</f>
        <v>200</v>
      </c>
      <c r="AC162" s="142">
        <f>IF(ISERROR(VLOOKUP(R162,Gegenstände!$B$2:$N$2026,13,FALSE)),0,VLOOKUP(R162,Gegenstände!$B$2:$N$2026,13,FALSE))</f>
        <v>0</v>
      </c>
      <c r="AD162" s="142"/>
      <c r="AE162" s="475">
        <f t="shared" si="65"/>
        <v>2700</v>
      </c>
      <c r="AF162" s="476">
        <f t="shared" si="66"/>
        <v>2640</v>
      </c>
      <c r="AG162" s="128">
        <f t="shared" si="28"/>
        <v>0.33333333333333331</v>
      </c>
      <c r="AH162" s="128">
        <f t="shared" si="29"/>
        <v>0.32592592592592595</v>
      </c>
      <c r="AI162" s="129">
        <f t="shared" si="30"/>
        <v>0.65925925925925921</v>
      </c>
      <c r="AJ162" s="426">
        <f t="shared" si="67"/>
        <v>2760</v>
      </c>
      <c r="AK162" s="131">
        <f t="shared" si="55"/>
        <v>306.66666666666669</v>
      </c>
      <c r="AL162" s="477">
        <f>AK162/VLOOKUP(IF(I162&gt;0,I162,1),Preise!$A$3:$B$27,2,FALSE)</f>
        <v>109.52380952380952</v>
      </c>
    </row>
    <row r="163" spans="1:38" s="3" customFormat="1" outlineLevel="1" x14ac:dyDescent="0.2">
      <c r="A163" s="5">
        <v>1176</v>
      </c>
      <c r="B163" s="412">
        <v>1176</v>
      </c>
      <c r="C163" s="132" t="str">
        <f>VLOOKUP(B163,Gegenstände!$A183:$B845,2,FALSE)</f>
        <v>Lanze</v>
      </c>
      <c r="D163" s="133">
        <f>VLOOKUP(B163,Gegenstände!$A183:$D845,4,FALSE)</f>
        <v>14</v>
      </c>
      <c r="E163" s="468">
        <v>30</v>
      </c>
      <c r="F163" s="134">
        <v>540</v>
      </c>
      <c r="G163" s="54">
        <v>3</v>
      </c>
      <c r="H163" s="469">
        <v>60</v>
      </c>
      <c r="I163" s="6">
        <v>13</v>
      </c>
      <c r="J163" s="417"/>
      <c r="K163" s="6">
        <v>22</v>
      </c>
      <c r="L163" s="1" t="s">
        <v>115</v>
      </c>
      <c r="M163" s="87">
        <v>10</v>
      </c>
      <c r="N163" s="83" t="s">
        <v>176</v>
      </c>
      <c r="O163" s="85">
        <v>16</v>
      </c>
      <c r="P163" s="83" t="s">
        <v>179</v>
      </c>
      <c r="Q163" s="85"/>
      <c r="R163" s="1"/>
      <c r="S163" s="418"/>
      <c r="T163" s="418"/>
      <c r="U163" s="471">
        <f>VLOOKUP(D163,Preise!$A$3:$C$27,3)</f>
        <v>6.1527876212947623</v>
      </c>
      <c r="V163" s="523">
        <f t="shared" si="62"/>
        <v>12305.575242589524</v>
      </c>
      <c r="W163" s="131"/>
      <c r="X163" s="472">
        <f t="shared" si="63"/>
        <v>12300</v>
      </c>
      <c r="Y163" s="473">
        <f t="shared" si="64"/>
        <v>12300</v>
      </c>
      <c r="Z163" s="474">
        <f>IF(ISERROR(VLOOKUP(L163,Gegenstände!$B$2:$N$2026,13,FALSE)),0,VLOOKUP(L163,Gegenstände!$B$2:$N$2026,13,FALSE))</f>
        <v>180</v>
      </c>
      <c r="AA163" s="142">
        <f>IF(ISERROR(VLOOKUP(N163,Gegenstände!$B$2:$N$2026,13,FALSE)),0,VLOOKUP(N163,Gegenstände!$B$2:$N$2026,13,FALSE))</f>
        <v>80</v>
      </c>
      <c r="AB163" s="142">
        <f>IF(ISERROR(VLOOKUP(P163,Gegenstände!$B$2:$N$2026,13,FALSE)),0,VLOOKUP(P163,Gegenstände!$B$2:$N$2026,13,FALSE))</f>
        <v>200</v>
      </c>
      <c r="AC163" s="142">
        <f>IF(ISERROR(VLOOKUP(R163,Gegenstände!$B$2:$N$2026,13,FALSE)),0,VLOOKUP(R163,Gegenstände!$B$2:$N$2026,13,FALSE))</f>
        <v>0</v>
      </c>
      <c r="AD163" s="142"/>
      <c r="AE163" s="475">
        <f t="shared" si="65"/>
        <v>3960</v>
      </c>
      <c r="AF163" s="476">
        <f t="shared" si="66"/>
        <v>4000</v>
      </c>
      <c r="AG163" s="128">
        <f t="shared" si="28"/>
        <v>0.32195121951219513</v>
      </c>
      <c r="AH163" s="128">
        <f t="shared" si="29"/>
        <v>0.32520325203252032</v>
      </c>
      <c r="AI163" s="129">
        <f t="shared" si="30"/>
        <v>0.64715447154471539</v>
      </c>
      <c r="AJ163" s="426">
        <f t="shared" si="67"/>
        <v>4340</v>
      </c>
      <c r="AK163" s="131">
        <f t="shared" si="55"/>
        <v>482.22222222222223</v>
      </c>
      <c r="AL163" s="477">
        <f>AK163/VLOOKUP(IF(I163&gt;0,I163,1),Preise!$A$3:$B$27,2,FALSE)</f>
        <v>141.83006535947709</v>
      </c>
    </row>
    <row r="164" spans="1:38" s="3" customFormat="1" outlineLevel="1" x14ac:dyDescent="0.2">
      <c r="A164" s="5">
        <v>1177</v>
      </c>
      <c r="B164" s="412">
        <v>1177</v>
      </c>
      <c r="C164" s="132" t="str">
        <f>VLOOKUP(B164,Gegenstände!$A184:$B846,2,FALSE)</f>
        <v>Dreizack</v>
      </c>
      <c r="D164" s="133">
        <f>VLOOKUP(B164,Gegenstände!$A184:$D846,4,FALSE)</f>
        <v>16</v>
      </c>
      <c r="E164" s="468">
        <v>30</v>
      </c>
      <c r="F164" s="134">
        <v>540</v>
      </c>
      <c r="G164" s="54">
        <v>4</v>
      </c>
      <c r="H164" s="469">
        <v>60</v>
      </c>
      <c r="I164" s="6">
        <v>15</v>
      </c>
      <c r="J164" s="417"/>
      <c r="K164" s="6">
        <v>20</v>
      </c>
      <c r="L164" s="1" t="s">
        <v>116</v>
      </c>
      <c r="M164" s="87">
        <v>12</v>
      </c>
      <c r="N164" s="83" t="s">
        <v>176</v>
      </c>
      <c r="O164" s="85">
        <v>22</v>
      </c>
      <c r="P164" s="83" t="s">
        <v>179</v>
      </c>
      <c r="Q164" s="85"/>
      <c r="R164" s="1"/>
      <c r="S164" s="418"/>
      <c r="T164" s="418"/>
      <c r="U164" s="471">
        <f>VLOOKUP(D164,Preise!$A$3:$C$27,3)</f>
        <v>8.1370616291623215</v>
      </c>
      <c r="V164" s="523">
        <f t="shared" si="62"/>
        <v>16274.123258324644</v>
      </c>
      <c r="W164" s="131"/>
      <c r="X164" s="472">
        <f t="shared" si="63"/>
        <v>16300</v>
      </c>
      <c r="Y164" s="473">
        <f t="shared" si="64"/>
        <v>16300</v>
      </c>
      <c r="Z164" s="474">
        <f>IF(ISERROR(VLOOKUP(L164,Gegenstände!$B$2:$N$2026,13,FALSE)),0,VLOOKUP(L164,Gegenstände!$B$2:$N$2026,13,FALSE))</f>
        <v>270</v>
      </c>
      <c r="AA164" s="142">
        <f>IF(ISERROR(VLOOKUP(N164,Gegenstände!$B$2:$N$2026,13,FALSE)),0,VLOOKUP(N164,Gegenstände!$B$2:$N$2026,13,FALSE))</f>
        <v>80</v>
      </c>
      <c r="AB164" s="142">
        <f>IF(ISERROR(VLOOKUP(P164,Gegenstände!$B$2:$N$2026,13,FALSE)),0,VLOOKUP(P164,Gegenstände!$B$2:$N$2026,13,FALSE))</f>
        <v>200</v>
      </c>
      <c r="AC164" s="142">
        <f>IF(ISERROR(VLOOKUP(R164,Gegenstände!$B$2:$N$2026,13,FALSE)),0,VLOOKUP(R164,Gegenstände!$B$2:$N$2026,13,FALSE))</f>
        <v>0</v>
      </c>
      <c r="AD164" s="142"/>
      <c r="AE164" s="475">
        <f t="shared" si="65"/>
        <v>5400</v>
      </c>
      <c r="AF164" s="476">
        <f t="shared" si="66"/>
        <v>5360</v>
      </c>
      <c r="AG164" s="128">
        <f t="shared" si="28"/>
        <v>0.33128834355828218</v>
      </c>
      <c r="AH164" s="128">
        <f t="shared" si="29"/>
        <v>0.32883435582822085</v>
      </c>
      <c r="AI164" s="129">
        <f t="shared" si="30"/>
        <v>0.66012269938650303</v>
      </c>
      <c r="AJ164" s="426">
        <f t="shared" si="67"/>
        <v>5540</v>
      </c>
      <c r="AK164" s="131">
        <f t="shared" si="55"/>
        <v>615.55555555555554</v>
      </c>
      <c r="AL164" s="477">
        <f>AK164/VLOOKUP(IF(I164&gt;0,I164,1),Preise!$A$3:$B$27,2,FALSE)</f>
        <v>161.98830409356719</v>
      </c>
    </row>
    <row r="165" spans="1:38" s="3" customFormat="1" outlineLevel="1" x14ac:dyDescent="0.2">
      <c r="A165" s="5">
        <v>1178</v>
      </c>
      <c r="B165" s="412">
        <v>1178</v>
      </c>
      <c r="C165" s="132" t="str">
        <f>VLOOKUP(B165,Gegenstände!$A185:$B846,2,FALSE)</f>
        <v>Hellebarde</v>
      </c>
      <c r="D165" s="133">
        <f>VLOOKUP(B165,Gegenstände!$A185:$D846,4,FALSE)</f>
        <v>19</v>
      </c>
      <c r="E165" s="468">
        <v>30</v>
      </c>
      <c r="F165" s="134">
        <v>540</v>
      </c>
      <c r="G165" s="54">
        <v>4</v>
      </c>
      <c r="H165" s="469">
        <v>60</v>
      </c>
      <c r="I165" s="6">
        <v>18</v>
      </c>
      <c r="J165" s="417"/>
      <c r="K165" s="6">
        <v>30</v>
      </c>
      <c r="L165" s="1" t="s">
        <v>116</v>
      </c>
      <c r="M165" s="87">
        <v>14</v>
      </c>
      <c r="N165" s="83" t="s">
        <v>176</v>
      </c>
      <c r="O165" s="85">
        <v>35</v>
      </c>
      <c r="P165" s="83" t="s">
        <v>179</v>
      </c>
      <c r="Q165" s="85"/>
      <c r="R165" s="1"/>
      <c r="S165" s="418"/>
      <c r="T165" s="418"/>
      <c r="U165" s="471">
        <f>VLOOKUP(D165,Preise!$A$3:$C$27,3)</f>
        <v>12.375453605252243</v>
      </c>
      <c r="V165" s="523">
        <f t="shared" si="62"/>
        <v>24750.907210504487</v>
      </c>
      <c r="W165" s="131"/>
      <c r="X165" s="472">
        <f t="shared" si="63"/>
        <v>24800</v>
      </c>
      <c r="Y165" s="473">
        <f t="shared" si="64"/>
        <v>24800</v>
      </c>
      <c r="Z165" s="474">
        <f>IF(ISERROR(VLOOKUP(L165,Gegenstände!$B$2:$N$2026,13,FALSE)),0,VLOOKUP(L165,Gegenstände!$B$2:$N$2026,13,FALSE))</f>
        <v>270</v>
      </c>
      <c r="AA165" s="142">
        <f>IF(ISERROR(VLOOKUP(N165,Gegenstände!$B$2:$N$2026,13,FALSE)),0,VLOOKUP(N165,Gegenstände!$B$2:$N$2026,13,FALSE))</f>
        <v>80</v>
      </c>
      <c r="AB165" s="142">
        <f>IF(ISERROR(VLOOKUP(P165,Gegenstände!$B$2:$N$2026,13,FALSE)),0,VLOOKUP(P165,Gegenstände!$B$2:$N$2026,13,FALSE))</f>
        <v>200</v>
      </c>
      <c r="AC165" s="142">
        <f>IF(ISERROR(VLOOKUP(R165,Gegenstände!$B$2:$N$2026,13,FALSE)),0,VLOOKUP(R165,Gegenstände!$B$2:$N$2026,13,FALSE))</f>
        <v>0</v>
      </c>
      <c r="AD165" s="142"/>
      <c r="AE165" s="475">
        <f t="shared" si="65"/>
        <v>8100</v>
      </c>
      <c r="AF165" s="476">
        <f t="shared" si="66"/>
        <v>8120</v>
      </c>
      <c r="AG165" s="128">
        <f t="shared" si="28"/>
        <v>0.32661290322580644</v>
      </c>
      <c r="AH165" s="128">
        <f t="shared" si="29"/>
        <v>0.32741935483870965</v>
      </c>
      <c r="AI165" s="129">
        <f t="shared" si="30"/>
        <v>0.65403225806451615</v>
      </c>
      <c r="AJ165" s="426">
        <f t="shared" si="67"/>
        <v>8580</v>
      </c>
      <c r="AK165" s="131">
        <f t="shared" si="55"/>
        <v>953.33333333333337</v>
      </c>
      <c r="AL165" s="477">
        <f>AK165/VLOOKUP(IF(I165&gt;0,I165,1),Preise!$A$3:$B$27,2,FALSE)</f>
        <v>216.6666666666666</v>
      </c>
    </row>
    <row r="166" spans="1:38" s="3" customFormat="1" outlineLevel="1" x14ac:dyDescent="0.2">
      <c r="A166" s="5">
        <v>1179</v>
      </c>
      <c r="B166" s="412">
        <v>1179</v>
      </c>
      <c r="C166" s="132" t="str">
        <f>VLOOKUP(B166,Gegenstände!$A186:$B846,2,FALSE)</f>
        <v>Drescher</v>
      </c>
      <c r="D166" s="133">
        <f>VLOOKUP(B166,Gegenstände!$A186:$D846,4,FALSE)</f>
        <v>22</v>
      </c>
      <c r="E166" s="468">
        <v>30</v>
      </c>
      <c r="F166" s="134">
        <v>540</v>
      </c>
      <c r="G166" s="54">
        <v>5</v>
      </c>
      <c r="H166" s="469">
        <v>60</v>
      </c>
      <c r="I166" s="6">
        <v>21</v>
      </c>
      <c r="J166" s="417"/>
      <c r="K166" s="6">
        <v>34</v>
      </c>
      <c r="L166" s="1" t="s">
        <v>117</v>
      </c>
      <c r="M166" s="87">
        <v>4</v>
      </c>
      <c r="N166" s="83" t="s">
        <v>176</v>
      </c>
      <c r="O166" s="85">
        <v>8</v>
      </c>
      <c r="P166" s="83" t="s">
        <v>179</v>
      </c>
      <c r="Q166" s="85">
        <v>21</v>
      </c>
      <c r="R166" s="83" t="s">
        <v>181</v>
      </c>
      <c r="S166" s="170"/>
      <c r="T166" s="170"/>
      <c r="U166" s="471">
        <f>VLOOKUP(D166,Preise!$A$3:$C$27,3)</f>
        <v>18.821518001888002</v>
      </c>
      <c r="V166" s="523">
        <f t="shared" si="62"/>
        <v>37643.036003776004</v>
      </c>
      <c r="W166" s="131"/>
      <c r="X166" s="472">
        <f t="shared" si="63"/>
        <v>37600</v>
      </c>
      <c r="Y166" s="473">
        <f t="shared" si="64"/>
        <v>37600</v>
      </c>
      <c r="Z166" s="474">
        <f>IF(ISERROR(VLOOKUP(L166,Gegenstände!$B$2:$N$2026,13,FALSE)),0,VLOOKUP(L166,Gegenstände!$B$2:$N$2026,13,FALSE))</f>
        <v>360</v>
      </c>
      <c r="AA166" s="142">
        <f>IF(ISERROR(VLOOKUP(N166,Gegenstände!$B$2:$N$2026,13,FALSE)),0,VLOOKUP(N166,Gegenstände!$B$2:$N$2026,13,FALSE))</f>
        <v>80</v>
      </c>
      <c r="AB166" s="142">
        <f>IF(ISERROR(VLOOKUP(P166,Gegenstände!$B$2:$N$2026,13,FALSE)),0,VLOOKUP(P166,Gegenstände!$B$2:$N$2026,13,FALSE))</f>
        <v>200</v>
      </c>
      <c r="AC166" s="142">
        <f>IF(ISERROR(VLOOKUP(R166,Gegenstände!$B$2:$N$2026,13,FALSE)),0,VLOOKUP(R166,Gegenstände!$B$2:$N$2026,13,FALSE))</f>
        <v>500</v>
      </c>
      <c r="AD166" s="142"/>
      <c r="AE166" s="475">
        <f t="shared" si="65"/>
        <v>12240</v>
      </c>
      <c r="AF166" s="476">
        <f t="shared" si="66"/>
        <v>12420</v>
      </c>
      <c r="AG166" s="128">
        <f t="shared" si="28"/>
        <v>0.32553191489361705</v>
      </c>
      <c r="AH166" s="128">
        <f t="shared" si="29"/>
        <v>0.3303191489361702</v>
      </c>
      <c r="AI166" s="129">
        <f t="shared" si="30"/>
        <v>0.6558510638297872</v>
      </c>
      <c r="AJ166" s="426">
        <f t="shared" si="67"/>
        <v>12940</v>
      </c>
      <c r="AK166" s="131">
        <f t="shared" si="55"/>
        <v>1437.7777777777778</v>
      </c>
      <c r="AL166" s="477">
        <f>AK166/VLOOKUP(IF(I166&gt;0,I166,1),Preise!$A$3:$B$27,2,FALSE)</f>
        <v>287.55555555555549</v>
      </c>
    </row>
    <row r="167" spans="1:38" s="3" customFormat="1" outlineLevel="1" x14ac:dyDescent="0.2">
      <c r="A167" s="5">
        <v>1180</v>
      </c>
      <c r="B167" s="412">
        <v>1180</v>
      </c>
      <c r="C167" s="132" t="str">
        <f>VLOOKUP(B167,Gegenstände!$A187:$B846,2,FALSE)</f>
        <v>Kriegspike</v>
      </c>
      <c r="D167" s="133">
        <f>VLOOKUP(B167,Gegenstände!$A187:$D846,4,FALSE)</f>
        <v>25</v>
      </c>
      <c r="E167" s="468">
        <v>30</v>
      </c>
      <c r="F167" s="134">
        <v>540</v>
      </c>
      <c r="G167" s="54">
        <v>5</v>
      </c>
      <c r="H167" s="469">
        <v>60</v>
      </c>
      <c r="I167" s="6">
        <v>24</v>
      </c>
      <c r="J167" s="417"/>
      <c r="K167" s="6">
        <v>52</v>
      </c>
      <c r="L167" s="1" t="s">
        <v>117</v>
      </c>
      <c r="M167" s="87">
        <v>6</v>
      </c>
      <c r="N167" s="83" t="s">
        <v>176</v>
      </c>
      <c r="O167" s="85">
        <v>12</v>
      </c>
      <c r="P167" s="83" t="s">
        <v>179</v>
      </c>
      <c r="Q167" s="85">
        <v>32</v>
      </c>
      <c r="R167" s="83" t="s">
        <v>181</v>
      </c>
      <c r="S167" s="170"/>
      <c r="T167" s="170"/>
      <c r="U167" s="471">
        <f>VLOOKUP(D167,Preise!$A$3:$C$27,3)</f>
        <v>28.625176191121408</v>
      </c>
      <c r="V167" s="523">
        <f t="shared" si="62"/>
        <v>57250.352382242818</v>
      </c>
      <c r="W167" s="131"/>
      <c r="X167" s="472">
        <f t="shared" si="63"/>
        <v>57300</v>
      </c>
      <c r="Y167" s="473">
        <f t="shared" si="64"/>
        <v>57300</v>
      </c>
      <c r="Z167" s="474">
        <f>IF(ISERROR(VLOOKUP(L167,Gegenstände!$B$2:$N$2026,13,FALSE)),0,VLOOKUP(L167,Gegenstände!$B$2:$N$2026,13,FALSE))</f>
        <v>360</v>
      </c>
      <c r="AA167" s="142">
        <f>IF(ISERROR(VLOOKUP(N167,Gegenstände!$B$2:$N$2026,13,FALSE)),0,VLOOKUP(N167,Gegenstände!$B$2:$N$2026,13,FALSE))</f>
        <v>80</v>
      </c>
      <c r="AB167" s="142">
        <f>IF(ISERROR(VLOOKUP(P167,Gegenstände!$B$2:$N$2026,13,FALSE)),0,VLOOKUP(P167,Gegenstände!$B$2:$N$2026,13,FALSE))</f>
        <v>200</v>
      </c>
      <c r="AC167" s="142">
        <f>IF(ISERROR(VLOOKUP(R167,Gegenstände!$B$2:$N$2026,13,FALSE)),0,VLOOKUP(R167,Gegenstände!$B$2:$N$2026,13,FALSE))</f>
        <v>500</v>
      </c>
      <c r="AD167" s="142"/>
      <c r="AE167" s="475">
        <f t="shared" si="65"/>
        <v>18720</v>
      </c>
      <c r="AF167" s="476">
        <f t="shared" si="66"/>
        <v>18880</v>
      </c>
      <c r="AG167" s="128">
        <f t="shared" si="28"/>
        <v>0.32670157068062827</v>
      </c>
      <c r="AH167" s="128">
        <f t="shared" si="29"/>
        <v>0.32949389179755673</v>
      </c>
      <c r="AI167" s="129">
        <f t="shared" si="30"/>
        <v>0.65619546247818494</v>
      </c>
      <c r="AJ167" s="426">
        <f t="shared" si="67"/>
        <v>19700</v>
      </c>
      <c r="AK167" s="131">
        <f t="shared" si="55"/>
        <v>2188.8888888888887</v>
      </c>
      <c r="AL167" s="477">
        <f>AK167/VLOOKUP(IF(I167&gt;0,I167,1),Preise!$A$3:$B$27,2,FALSE)</f>
        <v>390.87301587301567</v>
      </c>
    </row>
    <row r="168" spans="1:38" s="3" customFormat="1" x14ac:dyDescent="0.2">
      <c r="A168" s="525"/>
      <c r="B168" s="526"/>
      <c r="C168" s="286"/>
      <c r="D168" s="396"/>
      <c r="E168" s="527"/>
      <c r="F168" s="528"/>
      <c r="G168" s="322"/>
      <c r="H168" s="529"/>
      <c r="I168" s="530"/>
      <c r="J168" s="531"/>
      <c r="K168" s="530"/>
      <c r="L168" s="532"/>
      <c r="M168" s="533"/>
      <c r="N168" s="532"/>
      <c r="O168" s="530"/>
      <c r="P168" s="532"/>
      <c r="Q168" s="530"/>
      <c r="R168" s="532"/>
      <c r="S168" s="534"/>
      <c r="T168" s="535"/>
      <c r="U168" s="536"/>
      <c r="V168" s="551">
        <v>2000</v>
      </c>
      <c r="W168" s="538"/>
      <c r="X168" s="539"/>
      <c r="Y168" s="540"/>
      <c r="Z168" s="541"/>
      <c r="AA168" s="542"/>
      <c r="AB168" s="542"/>
      <c r="AC168" s="542"/>
      <c r="AD168" s="542"/>
      <c r="AE168" s="543"/>
      <c r="AF168" s="544"/>
      <c r="AG168" s="545"/>
      <c r="AH168" s="545"/>
      <c r="AI168" s="546"/>
      <c r="AJ168" s="547"/>
      <c r="AK168" s="548"/>
      <c r="AL168" s="549"/>
    </row>
    <row r="169" spans="1:38" s="3" customFormat="1" outlineLevel="1" x14ac:dyDescent="0.2">
      <c r="A169" s="5">
        <v>1181</v>
      </c>
      <c r="B169" s="412">
        <v>1181</v>
      </c>
      <c r="C169" s="132" t="str">
        <f>VLOOKUP(B169,Gegenstände!$A189:$B846,2,FALSE)</f>
        <v>Kurzbogen</v>
      </c>
      <c r="D169" s="133">
        <f>VLOOKUP(B169,Gegenstände!$A189:$D846,4,FALSE)</f>
        <v>1</v>
      </c>
      <c r="E169" s="468">
        <v>32</v>
      </c>
      <c r="F169" s="134">
        <v>480</v>
      </c>
      <c r="G169" s="54">
        <v>1</v>
      </c>
      <c r="H169" s="469">
        <v>64</v>
      </c>
      <c r="I169" s="6">
        <v>0</v>
      </c>
      <c r="J169" s="417"/>
      <c r="K169" s="6">
        <v>11</v>
      </c>
      <c r="L169" s="1" t="s">
        <v>139</v>
      </c>
      <c r="M169" s="87">
        <v>8</v>
      </c>
      <c r="N169" s="83" t="s">
        <v>182</v>
      </c>
      <c r="O169" s="85"/>
      <c r="P169" s="1"/>
      <c r="Q169" s="6"/>
      <c r="R169" s="1"/>
      <c r="S169" s="418"/>
      <c r="T169" s="418"/>
      <c r="U169" s="471">
        <f>VLOOKUP(D169,Preise!$A$3:$C$27,3)</f>
        <v>1</v>
      </c>
      <c r="V169" s="523">
        <f t="shared" ref="V169:V178" si="68">U169*$V$168</f>
        <v>2000</v>
      </c>
      <c r="W169" s="131"/>
      <c r="X169" s="472">
        <f t="shared" ref="X169:X178" si="69">ROUND((V169/100),0)*100</f>
        <v>2000</v>
      </c>
      <c r="Y169" s="473">
        <f t="shared" ref="Y169:Y178" si="70">X169*IF(J169&gt;0,J169,1)</f>
        <v>2000</v>
      </c>
      <c r="Z169" s="474">
        <f>IF(ISERROR(VLOOKUP(L169,Gegenstände!$B$2:$N$2026,13,FALSE)),0,VLOOKUP(L169,Gegenstände!$B$2:$N$2026,13,FALSE))</f>
        <v>60</v>
      </c>
      <c r="AA169" s="142">
        <f>IF(ISERROR(VLOOKUP(N169,Gegenstände!$B$2:$N$2026,13,FALSE)),0,VLOOKUP(N169,Gegenstände!$B$2:$N$2026,13,FALSE))</f>
        <v>80</v>
      </c>
      <c r="AB169" s="142">
        <f>IF(ISERROR(VLOOKUP(P169,Gegenstände!$B$2:$N$2026,13,FALSE)),0,VLOOKUP(P169,Gegenstände!$B$2:$N$2026,13,FALSE))</f>
        <v>0</v>
      </c>
      <c r="AC169" s="142">
        <f>IF(ISERROR(VLOOKUP(R169,Gegenstände!$B$2:$N$2026,13,FALSE)),0,VLOOKUP(R169,Gegenstände!$B$2:$N$2026,13,FALSE))</f>
        <v>0</v>
      </c>
      <c r="AD169" s="142"/>
      <c r="AE169" s="475">
        <f t="shared" ref="AE169:AE178" si="71">IF(ISERROR(K169*Z169),"",K169*Z169)</f>
        <v>660</v>
      </c>
      <c r="AF169" s="476">
        <f t="shared" ref="AF169:AF178" si="72">IF(ISERROR(M169*AA169+O169*AB169+Q169*AC169),"",M169*AA169+O169*AB169+Q169*AC169)</f>
        <v>640</v>
      </c>
      <c r="AG169" s="128">
        <f t="shared" ref="AG169:AG231" si="73">AE169/Y169</f>
        <v>0.33</v>
      </c>
      <c r="AH169" s="128">
        <f t="shared" ref="AH169:AH231" si="74">AF169/Y169</f>
        <v>0.32</v>
      </c>
      <c r="AI169" s="129">
        <f t="shared" ref="AI169:AI231" si="75">(AE169+AF169)/Y169</f>
        <v>0.65</v>
      </c>
      <c r="AJ169" s="426">
        <f t="shared" ref="AJ169:AJ178" si="76">Y169-(AE169+AF169)</f>
        <v>700</v>
      </c>
      <c r="AK169" s="131">
        <f t="shared" si="55"/>
        <v>87.5</v>
      </c>
      <c r="AL169" s="477">
        <f>AK169/VLOOKUP(IF(I169&gt;0,I169,1),Preise!$A$3:$B$27,2,FALSE)</f>
        <v>87.5</v>
      </c>
    </row>
    <row r="170" spans="1:38" s="3" customFormat="1" outlineLevel="1" x14ac:dyDescent="0.2">
      <c r="A170" s="5">
        <v>1182</v>
      </c>
      <c r="B170" s="412">
        <v>1182</v>
      </c>
      <c r="C170" s="132" t="str">
        <f>VLOOKUP(B170,Gegenstände!$A190:$B846,2,FALSE)</f>
        <v>Jagdbogen</v>
      </c>
      <c r="D170" s="133">
        <f>VLOOKUP(B170,Gegenstände!$A190:$D846,4,FALSE)</f>
        <v>4</v>
      </c>
      <c r="E170" s="468">
        <v>32</v>
      </c>
      <c r="F170" s="134">
        <v>480</v>
      </c>
      <c r="G170" s="54">
        <v>1</v>
      </c>
      <c r="H170" s="469">
        <v>64</v>
      </c>
      <c r="I170" s="6">
        <v>3</v>
      </c>
      <c r="J170" s="417"/>
      <c r="K170" s="6">
        <v>16</v>
      </c>
      <c r="L170" s="1" t="s">
        <v>139</v>
      </c>
      <c r="M170" s="87">
        <v>12</v>
      </c>
      <c r="N170" s="83" t="s">
        <v>182</v>
      </c>
      <c r="O170" s="85"/>
      <c r="P170" s="1"/>
      <c r="Q170" s="6"/>
      <c r="R170" s="1"/>
      <c r="S170" s="418"/>
      <c r="T170" s="418"/>
      <c r="U170" s="471">
        <f>VLOOKUP(D170,Preise!$A$3:$C$27,3)</f>
        <v>1.5208749999999995</v>
      </c>
      <c r="V170" s="523">
        <f t="shared" si="68"/>
        <v>3041.7499999999991</v>
      </c>
      <c r="W170" s="131"/>
      <c r="X170" s="472">
        <f t="shared" si="69"/>
        <v>3000</v>
      </c>
      <c r="Y170" s="473">
        <f t="shared" si="70"/>
        <v>3000</v>
      </c>
      <c r="Z170" s="474">
        <f>IF(ISERROR(VLOOKUP(L170,Gegenstände!$B$2:$N$2026,13,FALSE)),0,VLOOKUP(L170,Gegenstände!$B$2:$N$2026,13,FALSE))</f>
        <v>60</v>
      </c>
      <c r="AA170" s="142">
        <f>IF(ISERROR(VLOOKUP(N170,Gegenstände!$B$2:$N$2026,13,FALSE)),0,VLOOKUP(N170,Gegenstände!$B$2:$N$2026,13,FALSE))</f>
        <v>80</v>
      </c>
      <c r="AB170" s="142">
        <f>IF(ISERROR(VLOOKUP(P170,Gegenstände!$B$2:$N$2026,13,FALSE)),0,VLOOKUP(P170,Gegenstände!$B$2:$N$2026,13,FALSE))</f>
        <v>0</v>
      </c>
      <c r="AC170" s="142">
        <f>IF(ISERROR(VLOOKUP(R170,Gegenstände!$B$2:$N$2026,13,FALSE)),0,VLOOKUP(R170,Gegenstände!$B$2:$N$2026,13,FALSE))</f>
        <v>0</v>
      </c>
      <c r="AD170" s="142"/>
      <c r="AE170" s="475">
        <f t="shared" si="71"/>
        <v>960</v>
      </c>
      <c r="AF170" s="476">
        <f t="shared" si="72"/>
        <v>960</v>
      </c>
      <c r="AG170" s="128">
        <f t="shared" si="73"/>
        <v>0.32</v>
      </c>
      <c r="AH170" s="128">
        <f t="shared" si="74"/>
        <v>0.32</v>
      </c>
      <c r="AI170" s="129">
        <f t="shared" si="75"/>
        <v>0.64</v>
      </c>
      <c r="AJ170" s="426">
        <f t="shared" si="76"/>
        <v>1080</v>
      </c>
      <c r="AK170" s="131">
        <f t="shared" si="55"/>
        <v>135</v>
      </c>
      <c r="AL170" s="477">
        <f>AK170/VLOOKUP(IF(I170&gt;0,I170,1),Preise!$A$3:$B$27,2,FALSE)</f>
        <v>96.428571428571431</v>
      </c>
    </row>
    <row r="171" spans="1:38" s="3" customFormat="1" outlineLevel="1" x14ac:dyDescent="0.2">
      <c r="A171" s="5">
        <v>1183</v>
      </c>
      <c r="B171" s="412">
        <v>1183</v>
      </c>
      <c r="C171" s="132" t="str">
        <f>VLOOKUP(B171,Gegenstände!$A191:$B854,2,FALSE)</f>
        <v>Kompositbogen</v>
      </c>
      <c r="D171" s="133">
        <f>VLOOKUP(B171,Gegenstände!$A191:$D853,4,FALSE)</f>
        <v>6</v>
      </c>
      <c r="E171" s="468">
        <v>32</v>
      </c>
      <c r="F171" s="134">
        <v>480</v>
      </c>
      <c r="G171" s="54">
        <v>2</v>
      </c>
      <c r="H171" s="469">
        <v>64</v>
      </c>
      <c r="I171" s="6">
        <v>5</v>
      </c>
      <c r="J171" s="417"/>
      <c r="K171" s="6">
        <v>11</v>
      </c>
      <c r="L171" s="1" t="s">
        <v>140</v>
      </c>
      <c r="M171" s="87">
        <v>16</v>
      </c>
      <c r="N171" s="83" t="s">
        <v>182</v>
      </c>
      <c r="O171" s="85"/>
      <c r="P171" s="83"/>
      <c r="Q171" s="85"/>
      <c r="R171" s="1"/>
      <c r="S171" s="418"/>
      <c r="T171" s="418"/>
      <c r="U171" s="471">
        <f>VLOOKUP(D171,Preise!$A$3:$C$27,3)</f>
        <v>2.0113571874999994</v>
      </c>
      <c r="V171" s="523">
        <f t="shared" si="68"/>
        <v>4022.7143749999987</v>
      </c>
      <c r="W171" s="131"/>
      <c r="X171" s="472">
        <f t="shared" si="69"/>
        <v>4000</v>
      </c>
      <c r="Y171" s="473">
        <f t="shared" si="70"/>
        <v>4000</v>
      </c>
      <c r="Z171" s="474">
        <f>IF(ISERROR(VLOOKUP(L171,Gegenstände!$B$2:$N$2026,13,FALSE)),0,VLOOKUP(L171,Gegenstände!$B$2:$N$2026,13,FALSE))</f>
        <v>120</v>
      </c>
      <c r="AA171" s="142">
        <f>IF(ISERROR(VLOOKUP(N171,Gegenstände!$B$2:$N$2026,13,FALSE)),0,VLOOKUP(N171,Gegenstände!$B$2:$N$2026,13,FALSE))</f>
        <v>80</v>
      </c>
      <c r="AB171" s="142">
        <f>IF(ISERROR(VLOOKUP(P171,Gegenstände!$B$2:$N$2026,13,FALSE)),0,VLOOKUP(P171,Gegenstände!$B$2:$N$2026,13,FALSE))</f>
        <v>0</v>
      </c>
      <c r="AC171" s="142">
        <f>IF(ISERROR(VLOOKUP(R171,Gegenstände!$B$2:$N$2026,13,FALSE)),0,VLOOKUP(R171,Gegenstände!$B$2:$N$2026,13,FALSE))</f>
        <v>0</v>
      </c>
      <c r="AD171" s="142"/>
      <c r="AE171" s="475">
        <f t="shared" si="71"/>
        <v>1320</v>
      </c>
      <c r="AF171" s="476">
        <f t="shared" si="72"/>
        <v>1280</v>
      </c>
      <c r="AG171" s="128">
        <f t="shared" si="73"/>
        <v>0.33</v>
      </c>
      <c r="AH171" s="128">
        <f t="shared" si="74"/>
        <v>0.32</v>
      </c>
      <c r="AI171" s="129">
        <f t="shared" si="75"/>
        <v>0.65</v>
      </c>
      <c r="AJ171" s="426">
        <f t="shared" si="76"/>
        <v>1400</v>
      </c>
      <c r="AK171" s="131">
        <f t="shared" si="55"/>
        <v>175</v>
      </c>
      <c r="AL171" s="477">
        <f>AK171/VLOOKUP(IF(I171&gt;0,I171,1),Preise!$A$3:$B$27,2,FALSE)</f>
        <v>97.222222222222229</v>
      </c>
    </row>
    <row r="172" spans="1:38" s="3" customFormat="1" outlineLevel="1" x14ac:dyDescent="0.2">
      <c r="A172" s="5">
        <v>1184</v>
      </c>
      <c r="B172" s="412">
        <v>1184</v>
      </c>
      <c r="C172" s="132" t="str">
        <f>VLOOKUP(B172,Gegenstände!$A192:$B855,2,FALSE)</f>
        <v>Langbogen</v>
      </c>
      <c r="D172" s="133">
        <f>VLOOKUP(B172,Gegenstände!$A192:$D854,4,FALSE)</f>
        <v>9</v>
      </c>
      <c r="E172" s="468">
        <v>32</v>
      </c>
      <c r="F172" s="134">
        <v>480</v>
      </c>
      <c r="G172" s="54">
        <v>2</v>
      </c>
      <c r="H172" s="469">
        <v>64</v>
      </c>
      <c r="I172" s="6">
        <v>8</v>
      </c>
      <c r="J172" s="417"/>
      <c r="K172" s="6">
        <v>16</v>
      </c>
      <c r="L172" s="1" t="s">
        <v>140</v>
      </c>
      <c r="M172" s="87">
        <v>25</v>
      </c>
      <c r="N172" s="83" t="s">
        <v>182</v>
      </c>
      <c r="O172" s="85"/>
      <c r="P172" s="83"/>
      <c r="Q172" s="85"/>
      <c r="R172" s="1"/>
      <c r="S172" s="418"/>
      <c r="T172" s="418"/>
      <c r="U172" s="471">
        <f>VLOOKUP(D172,Preise!$A$3:$C$27,3)</f>
        <v>3.0590228625390607</v>
      </c>
      <c r="V172" s="523">
        <f t="shared" si="68"/>
        <v>6118.0457250781219</v>
      </c>
      <c r="W172" s="131"/>
      <c r="X172" s="472">
        <f t="shared" si="69"/>
        <v>6100</v>
      </c>
      <c r="Y172" s="473">
        <f t="shared" si="70"/>
        <v>6100</v>
      </c>
      <c r="Z172" s="474">
        <f>IF(ISERROR(VLOOKUP(L172,Gegenstände!$B$2:$N$2026,13,FALSE)),0,VLOOKUP(L172,Gegenstände!$B$2:$N$2026,13,FALSE))</f>
        <v>120</v>
      </c>
      <c r="AA172" s="142">
        <f>IF(ISERROR(VLOOKUP(N172,Gegenstände!$B$2:$N$2026,13,FALSE)),0,VLOOKUP(N172,Gegenstände!$B$2:$N$2026,13,FALSE))</f>
        <v>80</v>
      </c>
      <c r="AB172" s="142">
        <f>IF(ISERROR(VLOOKUP(P172,Gegenstände!$B$2:$N$2026,13,FALSE)),0,VLOOKUP(P172,Gegenstände!$B$2:$N$2026,13,FALSE))</f>
        <v>0</v>
      </c>
      <c r="AC172" s="142">
        <f>IF(ISERROR(VLOOKUP(R172,Gegenstände!$B$2:$N$2026,13,FALSE)),0,VLOOKUP(R172,Gegenstände!$B$2:$N$2026,13,FALSE))</f>
        <v>0</v>
      </c>
      <c r="AD172" s="142"/>
      <c r="AE172" s="475">
        <f t="shared" si="71"/>
        <v>1920</v>
      </c>
      <c r="AF172" s="476">
        <f t="shared" si="72"/>
        <v>2000</v>
      </c>
      <c r="AG172" s="128">
        <f t="shared" si="73"/>
        <v>0.31475409836065577</v>
      </c>
      <c r="AH172" s="128">
        <f t="shared" si="74"/>
        <v>0.32786885245901637</v>
      </c>
      <c r="AI172" s="129">
        <f t="shared" si="75"/>
        <v>0.64262295081967213</v>
      </c>
      <c r="AJ172" s="426">
        <f t="shared" si="76"/>
        <v>2180</v>
      </c>
      <c r="AK172" s="131">
        <f t="shared" si="55"/>
        <v>272.5</v>
      </c>
      <c r="AL172" s="477">
        <f>AK172/VLOOKUP(IF(I172&gt;0,I172,1),Preise!$A$3:$B$27,2,FALSE)</f>
        <v>113.54166666666667</v>
      </c>
    </row>
    <row r="173" spans="1:38" s="3" customFormat="1" outlineLevel="1" x14ac:dyDescent="0.2">
      <c r="A173" s="5">
        <v>1185</v>
      </c>
      <c r="B173" s="412">
        <v>1185</v>
      </c>
      <c r="C173" s="132" t="str">
        <f>VLOOKUP(B173,Gegenstände!$A193:$B856,2,FALSE)</f>
        <v>Spinnenbogen</v>
      </c>
      <c r="D173" s="133">
        <f>VLOOKUP(B173,Gegenstände!$A193:$D855,4,FALSE)</f>
        <v>11</v>
      </c>
      <c r="E173" s="468">
        <v>32</v>
      </c>
      <c r="F173" s="134">
        <v>480</v>
      </c>
      <c r="G173" s="54">
        <v>3</v>
      </c>
      <c r="H173" s="469">
        <v>64</v>
      </c>
      <c r="I173" s="6">
        <v>10</v>
      </c>
      <c r="J173" s="417"/>
      <c r="K173" s="6">
        <v>15</v>
      </c>
      <c r="L173" s="1" t="s">
        <v>141</v>
      </c>
      <c r="M173" s="87">
        <v>8</v>
      </c>
      <c r="N173" s="83" t="s">
        <v>182</v>
      </c>
      <c r="O173" s="85">
        <v>10</v>
      </c>
      <c r="P173" s="83" t="s">
        <v>184</v>
      </c>
      <c r="Q173" s="85"/>
      <c r="R173" s="1"/>
      <c r="S173" s="418"/>
      <c r="T173" s="418"/>
      <c r="U173" s="471">
        <f>VLOOKUP(D173,Preise!$A$3:$C$27,3)</f>
        <v>4.0455577357079076</v>
      </c>
      <c r="V173" s="523">
        <f t="shared" si="68"/>
        <v>8091.1154714158147</v>
      </c>
      <c r="W173" s="131"/>
      <c r="X173" s="472">
        <f t="shared" si="69"/>
        <v>8100</v>
      </c>
      <c r="Y173" s="473">
        <f t="shared" si="70"/>
        <v>8100</v>
      </c>
      <c r="Z173" s="474">
        <f>IF(ISERROR(VLOOKUP(L173,Gegenstände!$B$2:$N$2026,13,FALSE)),0,VLOOKUP(L173,Gegenstände!$B$2:$N$2026,13,FALSE))</f>
        <v>180</v>
      </c>
      <c r="AA173" s="142">
        <f>IF(ISERROR(VLOOKUP(N173,Gegenstände!$B$2:$N$2026,13,FALSE)),0,VLOOKUP(N173,Gegenstände!$B$2:$N$2026,13,FALSE))</f>
        <v>80</v>
      </c>
      <c r="AB173" s="142">
        <f>IF(ISERROR(VLOOKUP(P173,Gegenstände!$B$2:$N$2026,13,FALSE)),0,VLOOKUP(P173,Gegenstände!$B$2:$N$2026,13,FALSE))</f>
        <v>200</v>
      </c>
      <c r="AC173" s="142">
        <f>IF(ISERROR(VLOOKUP(R173,Gegenstände!$B$2:$N$2026,13,FALSE)),0,VLOOKUP(R173,Gegenstände!$B$2:$N$2026,13,FALSE))</f>
        <v>0</v>
      </c>
      <c r="AD173" s="142"/>
      <c r="AE173" s="475">
        <f t="shared" si="71"/>
        <v>2700</v>
      </c>
      <c r="AF173" s="476">
        <f t="shared" si="72"/>
        <v>2640</v>
      </c>
      <c r="AG173" s="128">
        <f t="shared" si="73"/>
        <v>0.33333333333333331</v>
      </c>
      <c r="AH173" s="128">
        <f t="shared" si="74"/>
        <v>0.32592592592592595</v>
      </c>
      <c r="AI173" s="129">
        <f t="shared" si="75"/>
        <v>0.65925925925925921</v>
      </c>
      <c r="AJ173" s="426">
        <f t="shared" si="76"/>
        <v>2760</v>
      </c>
      <c r="AK173" s="131">
        <f t="shared" si="55"/>
        <v>345</v>
      </c>
      <c r="AL173" s="477">
        <f>AK173/VLOOKUP(IF(I173&gt;0,I173,1),Preise!$A$3:$B$27,2,FALSE)</f>
        <v>123.21428571428571</v>
      </c>
    </row>
    <row r="174" spans="1:38" s="3" customFormat="1" outlineLevel="1" x14ac:dyDescent="0.2">
      <c r="A174" s="5">
        <v>1186</v>
      </c>
      <c r="B174" s="412">
        <v>1186</v>
      </c>
      <c r="C174" s="132" t="str">
        <f>VLOOKUP(B174,Gegenstände!$A194:$B857,2,FALSE)</f>
        <v>Kriegsbogen</v>
      </c>
      <c r="D174" s="133">
        <f>VLOOKUP(B174,Gegenstände!$A194:$D856,4,FALSE)</f>
        <v>14</v>
      </c>
      <c r="E174" s="468">
        <v>32</v>
      </c>
      <c r="F174" s="134">
        <v>480</v>
      </c>
      <c r="G174" s="54">
        <v>3</v>
      </c>
      <c r="H174" s="469">
        <v>64</v>
      </c>
      <c r="I174" s="6">
        <v>13</v>
      </c>
      <c r="J174" s="417"/>
      <c r="K174" s="6">
        <v>22</v>
      </c>
      <c r="L174" s="1" t="s">
        <v>141</v>
      </c>
      <c r="M174" s="87">
        <v>10</v>
      </c>
      <c r="N174" s="83" t="s">
        <v>182</v>
      </c>
      <c r="O174" s="85">
        <v>16</v>
      </c>
      <c r="P174" s="83" t="s">
        <v>184</v>
      </c>
      <c r="Q174" s="85"/>
      <c r="R174" s="1"/>
      <c r="S174" s="418"/>
      <c r="T174" s="418"/>
      <c r="U174" s="471">
        <f>VLOOKUP(D174,Preise!$A$3:$C$27,3)</f>
        <v>6.1527876212947623</v>
      </c>
      <c r="V174" s="523">
        <f t="shared" si="68"/>
        <v>12305.575242589524</v>
      </c>
      <c r="W174" s="131"/>
      <c r="X174" s="472">
        <f t="shared" si="69"/>
        <v>12300</v>
      </c>
      <c r="Y174" s="473">
        <f t="shared" si="70"/>
        <v>12300</v>
      </c>
      <c r="Z174" s="474">
        <f>IF(ISERROR(VLOOKUP(L174,Gegenstände!$B$2:$N$2026,13,FALSE)),0,VLOOKUP(L174,Gegenstände!$B$2:$N$2026,13,FALSE))</f>
        <v>180</v>
      </c>
      <c r="AA174" s="142">
        <f>IF(ISERROR(VLOOKUP(N174,Gegenstände!$B$2:$N$2026,13,FALSE)),0,VLOOKUP(N174,Gegenstände!$B$2:$N$2026,13,FALSE))</f>
        <v>80</v>
      </c>
      <c r="AB174" s="142">
        <f>IF(ISERROR(VLOOKUP(P174,Gegenstände!$B$2:$N$2026,13,FALSE)),0,VLOOKUP(P174,Gegenstände!$B$2:$N$2026,13,FALSE))</f>
        <v>200</v>
      </c>
      <c r="AC174" s="142">
        <f>IF(ISERROR(VLOOKUP(R174,Gegenstände!$B$2:$N$2026,13,FALSE)),0,VLOOKUP(R174,Gegenstände!$B$2:$N$2026,13,FALSE))</f>
        <v>0</v>
      </c>
      <c r="AD174" s="142"/>
      <c r="AE174" s="475">
        <f t="shared" si="71"/>
        <v>3960</v>
      </c>
      <c r="AF174" s="476">
        <f t="shared" si="72"/>
        <v>4000</v>
      </c>
      <c r="AG174" s="128">
        <f t="shared" si="73"/>
        <v>0.32195121951219513</v>
      </c>
      <c r="AH174" s="128">
        <f t="shared" si="74"/>
        <v>0.32520325203252032</v>
      </c>
      <c r="AI174" s="129">
        <f t="shared" si="75"/>
        <v>0.64715447154471539</v>
      </c>
      <c r="AJ174" s="426">
        <f t="shared" si="76"/>
        <v>4340</v>
      </c>
      <c r="AK174" s="131">
        <f t="shared" si="55"/>
        <v>542.5</v>
      </c>
      <c r="AL174" s="477">
        <f>AK174/VLOOKUP(IF(I174&gt;0,I174,1),Preise!$A$3:$B$27,2,FALSE)</f>
        <v>159.55882352941174</v>
      </c>
    </row>
    <row r="175" spans="1:38" s="3" customFormat="1" outlineLevel="1" x14ac:dyDescent="0.2">
      <c r="A175" s="5">
        <v>1187</v>
      </c>
      <c r="B175" s="412">
        <v>1187</v>
      </c>
      <c r="C175" s="132" t="str">
        <f>VLOOKUP(B175,Gegenstände!$A195:$B858,2,FALSE)</f>
        <v>Zedernbogen</v>
      </c>
      <c r="D175" s="133">
        <f>VLOOKUP(B175,Gegenstände!$A195:$D857,4,FALSE)</f>
        <v>16</v>
      </c>
      <c r="E175" s="468">
        <v>32</v>
      </c>
      <c r="F175" s="134">
        <v>480</v>
      </c>
      <c r="G175" s="54">
        <v>4</v>
      </c>
      <c r="H175" s="469">
        <v>64</v>
      </c>
      <c r="I175" s="6">
        <v>15</v>
      </c>
      <c r="J175" s="417"/>
      <c r="K175" s="6">
        <v>20</v>
      </c>
      <c r="L175" s="1" t="s">
        <v>142</v>
      </c>
      <c r="M175" s="87">
        <v>12</v>
      </c>
      <c r="N175" s="83" t="s">
        <v>182</v>
      </c>
      <c r="O175" s="85">
        <v>22</v>
      </c>
      <c r="P175" s="83" t="s">
        <v>184</v>
      </c>
      <c r="Q175" s="85"/>
      <c r="R175" s="83"/>
      <c r="S175" s="170"/>
      <c r="T175" s="170"/>
      <c r="U175" s="471">
        <f>VLOOKUP(D175,Preise!$A$3:$C$27,3)</f>
        <v>8.1370616291623215</v>
      </c>
      <c r="V175" s="523">
        <f t="shared" si="68"/>
        <v>16274.123258324644</v>
      </c>
      <c r="W175" s="131"/>
      <c r="X175" s="472">
        <f t="shared" si="69"/>
        <v>16300</v>
      </c>
      <c r="Y175" s="473">
        <f t="shared" si="70"/>
        <v>16300</v>
      </c>
      <c r="Z175" s="474">
        <f>IF(ISERROR(VLOOKUP(L175,Gegenstände!$B$2:$N$2026,13,FALSE)),0,VLOOKUP(L175,Gegenstände!$B$2:$N$2026,13,FALSE))</f>
        <v>270</v>
      </c>
      <c r="AA175" s="142">
        <f>IF(ISERROR(VLOOKUP(N175,Gegenstände!$B$2:$N$2026,13,FALSE)),0,VLOOKUP(N175,Gegenstände!$B$2:$N$2026,13,FALSE))</f>
        <v>80</v>
      </c>
      <c r="AB175" s="142">
        <f>IF(ISERROR(VLOOKUP(P175,Gegenstände!$B$2:$N$2026,13,FALSE)),0,VLOOKUP(P175,Gegenstände!$B$2:$N$2026,13,FALSE))</f>
        <v>200</v>
      </c>
      <c r="AC175" s="142">
        <f>IF(ISERROR(VLOOKUP(R175,Gegenstände!$B$2:$N$2026,13,FALSE)),0,VLOOKUP(R175,Gegenstände!$B$2:$N$2026,13,FALSE))</f>
        <v>0</v>
      </c>
      <c r="AD175" s="142"/>
      <c r="AE175" s="475">
        <f t="shared" si="71"/>
        <v>5400</v>
      </c>
      <c r="AF175" s="476">
        <f t="shared" si="72"/>
        <v>5360</v>
      </c>
      <c r="AG175" s="128">
        <f t="shared" si="73"/>
        <v>0.33128834355828218</v>
      </c>
      <c r="AH175" s="128">
        <f t="shared" si="74"/>
        <v>0.32883435582822085</v>
      </c>
      <c r="AI175" s="129">
        <f t="shared" si="75"/>
        <v>0.66012269938650303</v>
      </c>
      <c r="AJ175" s="426">
        <f t="shared" si="76"/>
        <v>5540</v>
      </c>
      <c r="AK175" s="131">
        <f t="shared" si="55"/>
        <v>692.5</v>
      </c>
      <c r="AL175" s="477">
        <f>AK175/VLOOKUP(IF(I175&gt;0,I175,1),Preise!$A$3:$B$27,2,FALSE)</f>
        <v>182.23684210526309</v>
      </c>
    </row>
    <row r="176" spans="1:38" s="3" customFormat="1" outlineLevel="1" x14ac:dyDescent="0.2">
      <c r="A176" s="5">
        <v>1188</v>
      </c>
      <c r="B176" s="412">
        <v>1188</v>
      </c>
      <c r="C176" s="132" t="str">
        <f>VLOOKUP(B176,Gegenstände!$A196:$B859,2,FALSE)</f>
        <v>Runenbogen</v>
      </c>
      <c r="D176" s="133">
        <f>VLOOKUP(B176,Gegenstände!$A196:$D858,4,FALSE)</f>
        <v>19</v>
      </c>
      <c r="E176" s="468">
        <v>32</v>
      </c>
      <c r="F176" s="134">
        <v>480</v>
      </c>
      <c r="G176" s="54">
        <v>4</v>
      </c>
      <c r="H176" s="469">
        <v>64</v>
      </c>
      <c r="I176" s="6">
        <v>18</v>
      </c>
      <c r="J176" s="417"/>
      <c r="K176" s="6">
        <v>30</v>
      </c>
      <c r="L176" s="1" t="s">
        <v>142</v>
      </c>
      <c r="M176" s="87">
        <v>14</v>
      </c>
      <c r="N176" s="83" t="s">
        <v>182</v>
      </c>
      <c r="O176" s="85">
        <v>35</v>
      </c>
      <c r="P176" s="83" t="s">
        <v>184</v>
      </c>
      <c r="Q176" s="85"/>
      <c r="R176" s="83"/>
      <c r="S176" s="170"/>
      <c r="T176" s="170"/>
      <c r="U176" s="471">
        <f>VLOOKUP(D176,Preise!$A$3:$C$27,3)</f>
        <v>12.375453605252243</v>
      </c>
      <c r="V176" s="523">
        <f t="shared" si="68"/>
        <v>24750.907210504487</v>
      </c>
      <c r="W176" s="131"/>
      <c r="X176" s="472">
        <f t="shared" si="69"/>
        <v>24800</v>
      </c>
      <c r="Y176" s="473">
        <f t="shared" si="70"/>
        <v>24800</v>
      </c>
      <c r="Z176" s="474">
        <f>IF(ISERROR(VLOOKUP(L176,Gegenstände!$B$2:$N$2026,13,FALSE)),0,VLOOKUP(L176,Gegenstände!$B$2:$N$2026,13,FALSE))</f>
        <v>270</v>
      </c>
      <c r="AA176" s="142">
        <f>IF(ISERROR(VLOOKUP(N176,Gegenstände!$B$2:$N$2026,13,FALSE)),0,VLOOKUP(N176,Gegenstände!$B$2:$N$2026,13,FALSE))</f>
        <v>80</v>
      </c>
      <c r="AB176" s="142">
        <f>IF(ISERROR(VLOOKUP(P176,Gegenstände!$B$2:$N$2026,13,FALSE)),0,VLOOKUP(P176,Gegenstände!$B$2:$N$2026,13,FALSE))</f>
        <v>200</v>
      </c>
      <c r="AC176" s="142">
        <f>IF(ISERROR(VLOOKUP(R176,Gegenstände!$B$2:$N$2026,13,FALSE)),0,VLOOKUP(R176,Gegenstände!$B$2:$N$2026,13,FALSE))</f>
        <v>0</v>
      </c>
      <c r="AD176" s="142"/>
      <c r="AE176" s="475">
        <f t="shared" si="71"/>
        <v>8100</v>
      </c>
      <c r="AF176" s="476">
        <f t="shared" si="72"/>
        <v>8120</v>
      </c>
      <c r="AG176" s="128">
        <f t="shared" si="73"/>
        <v>0.32661290322580644</v>
      </c>
      <c r="AH176" s="128">
        <f t="shared" si="74"/>
        <v>0.32741935483870965</v>
      </c>
      <c r="AI176" s="129">
        <f t="shared" si="75"/>
        <v>0.65403225806451615</v>
      </c>
      <c r="AJ176" s="426">
        <f t="shared" si="76"/>
        <v>8580</v>
      </c>
      <c r="AK176" s="131">
        <f t="shared" si="55"/>
        <v>1072.5</v>
      </c>
      <c r="AL176" s="477">
        <f>AK176/VLOOKUP(IF(I176&gt;0,I176,1),Preise!$A$3:$B$27,2,FALSE)</f>
        <v>243.74999999999994</v>
      </c>
    </row>
    <row r="177" spans="1:38" s="3" customFormat="1" outlineLevel="1" x14ac:dyDescent="0.2">
      <c r="A177" s="5">
        <v>1189</v>
      </c>
      <c r="B177" s="412">
        <v>1189</v>
      </c>
      <c r="C177" s="132" t="str">
        <f>VLOOKUP(B177,Gegenstände!$A197:$B860,2,FALSE)</f>
        <v>Klingenbogen</v>
      </c>
      <c r="D177" s="133">
        <f>VLOOKUP(B177,Gegenstände!$A197:$D859,4,FALSE)</f>
        <v>22</v>
      </c>
      <c r="E177" s="468">
        <v>32</v>
      </c>
      <c r="F177" s="134">
        <v>480</v>
      </c>
      <c r="G177" s="54">
        <v>5</v>
      </c>
      <c r="H177" s="469">
        <v>64</v>
      </c>
      <c r="I177" s="6">
        <v>21</v>
      </c>
      <c r="J177" s="417"/>
      <c r="K177" s="6">
        <v>34</v>
      </c>
      <c r="L177" s="1" t="s">
        <v>143</v>
      </c>
      <c r="M177" s="87">
        <v>4</v>
      </c>
      <c r="N177" s="83" t="s">
        <v>182</v>
      </c>
      <c r="O177" s="85">
        <v>8</v>
      </c>
      <c r="P177" s="83" t="s">
        <v>184</v>
      </c>
      <c r="Q177" s="85">
        <v>21</v>
      </c>
      <c r="R177" s="83" t="s">
        <v>181</v>
      </c>
      <c r="S177" s="170"/>
      <c r="T177" s="170"/>
      <c r="U177" s="471">
        <f>VLOOKUP(D177,Preise!$A$3:$C$27,3)</f>
        <v>18.821518001888002</v>
      </c>
      <c r="V177" s="523">
        <f t="shared" si="68"/>
        <v>37643.036003776004</v>
      </c>
      <c r="W177" s="131"/>
      <c r="X177" s="472">
        <f t="shared" si="69"/>
        <v>37600</v>
      </c>
      <c r="Y177" s="473">
        <f t="shared" si="70"/>
        <v>37600</v>
      </c>
      <c r="Z177" s="474">
        <f>IF(ISERROR(VLOOKUP(L177,Gegenstände!$B$2:$N$2026,13,FALSE)),0,VLOOKUP(L177,Gegenstände!$B$2:$N$2026,13,FALSE))</f>
        <v>360</v>
      </c>
      <c r="AA177" s="142">
        <f>IF(ISERROR(VLOOKUP(N177,Gegenstände!$B$2:$N$2026,13,FALSE)),0,VLOOKUP(N177,Gegenstände!$B$2:$N$2026,13,FALSE))</f>
        <v>80</v>
      </c>
      <c r="AB177" s="142">
        <f>IF(ISERROR(VLOOKUP(P177,Gegenstände!$B$2:$N$2026,13,FALSE)),0,VLOOKUP(P177,Gegenstände!$B$2:$N$2026,13,FALSE))</f>
        <v>200</v>
      </c>
      <c r="AC177" s="142">
        <f>IF(ISERROR(VLOOKUP(R177,Gegenstände!$B$2:$N$2026,13,FALSE)),0,VLOOKUP(R177,Gegenstände!$B$2:$N$2026,13,FALSE))</f>
        <v>500</v>
      </c>
      <c r="AD177" s="142"/>
      <c r="AE177" s="475">
        <f t="shared" si="71"/>
        <v>12240</v>
      </c>
      <c r="AF177" s="476">
        <f t="shared" si="72"/>
        <v>12420</v>
      </c>
      <c r="AG177" s="128">
        <f t="shared" si="73"/>
        <v>0.32553191489361705</v>
      </c>
      <c r="AH177" s="128">
        <f t="shared" si="74"/>
        <v>0.3303191489361702</v>
      </c>
      <c r="AI177" s="129">
        <f t="shared" si="75"/>
        <v>0.6558510638297872</v>
      </c>
      <c r="AJ177" s="426">
        <f t="shared" si="76"/>
        <v>12940</v>
      </c>
      <c r="AK177" s="131">
        <f t="shared" si="55"/>
        <v>1617.5</v>
      </c>
      <c r="AL177" s="477">
        <f>AK177/VLOOKUP(IF(I177&gt;0,I177,1),Preise!$A$3:$B$27,2,FALSE)</f>
        <v>323.49999999999989</v>
      </c>
    </row>
    <row r="178" spans="1:38" s="3" customFormat="1" outlineLevel="1" x14ac:dyDescent="0.2">
      <c r="A178" s="5">
        <v>1190</v>
      </c>
      <c r="B178" s="412">
        <v>1190</v>
      </c>
      <c r="C178" s="132" t="str">
        <f>VLOOKUP(B178,Gegenstände!$A198:$B861,2,FALSE)</f>
        <v>Prunkbogen</v>
      </c>
      <c r="D178" s="133">
        <f>VLOOKUP(B178,Gegenstände!$A198:$D860,4,FALSE)</f>
        <v>25</v>
      </c>
      <c r="E178" s="468">
        <v>32</v>
      </c>
      <c r="F178" s="134">
        <v>480</v>
      </c>
      <c r="G178" s="54">
        <v>5</v>
      </c>
      <c r="H178" s="469">
        <v>64</v>
      </c>
      <c r="I178" s="6">
        <v>24</v>
      </c>
      <c r="J178" s="417"/>
      <c r="K178" s="6">
        <v>52</v>
      </c>
      <c r="L178" s="1" t="s">
        <v>143</v>
      </c>
      <c r="M178" s="87">
        <v>6</v>
      </c>
      <c r="N178" s="83" t="s">
        <v>182</v>
      </c>
      <c r="O178" s="85">
        <v>12</v>
      </c>
      <c r="P178" s="83" t="s">
        <v>184</v>
      </c>
      <c r="Q178" s="85">
        <v>32</v>
      </c>
      <c r="R178" s="83" t="s">
        <v>181</v>
      </c>
      <c r="S178" s="170"/>
      <c r="T178" s="170"/>
      <c r="U178" s="471">
        <f>VLOOKUP(D178,Preise!$A$3:$C$27,3)</f>
        <v>28.625176191121408</v>
      </c>
      <c r="V178" s="523">
        <f t="shared" si="68"/>
        <v>57250.352382242818</v>
      </c>
      <c r="W178" s="131"/>
      <c r="X178" s="472">
        <f t="shared" si="69"/>
        <v>57300</v>
      </c>
      <c r="Y178" s="473">
        <f t="shared" si="70"/>
        <v>57300</v>
      </c>
      <c r="Z178" s="474">
        <f>IF(ISERROR(VLOOKUP(L178,Gegenstände!$B$2:$N$2026,13,FALSE)),0,VLOOKUP(L178,Gegenstände!$B$2:$N$2026,13,FALSE))</f>
        <v>360</v>
      </c>
      <c r="AA178" s="142">
        <f>IF(ISERROR(VLOOKUP(N178,Gegenstände!$B$2:$N$2026,13,FALSE)),0,VLOOKUP(N178,Gegenstände!$B$2:$N$2026,13,FALSE))</f>
        <v>80</v>
      </c>
      <c r="AB178" s="142">
        <f>IF(ISERROR(VLOOKUP(P178,Gegenstände!$B$2:$N$2026,13,FALSE)),0,VLOOKUP(P178,Gegenstände!$B$2:$N$2026,13,FALSE))</f>
        <v>200</v>
      </c>
      <c r="AC178" s="142">
        <f>IF(ISERROR(VLOOKUP(R178,Gegenstände!$B$2:$N$2026,13,FALSE)),0,VLOOKUP(R178,Gegenstände!$B$2:$N$2026,13,FALSE))</f>
        <v>500</v>
      </c>
      <c r="AD178" s="142"/>
      <c r="AE178" s="475">
        <f t="shared" si="71"/>
        <v>18720</v>
      </c>
      <c r="AF178" s="476">
        <f t="shared" si="72"/>
        <v>18880</v>
      </c>
      <c r="AG178" s="128">
        <f t="shared" si="73"/>
        <v>0.32670157068062827</v>
      </c>
      <c r="AH178" s="128">
        <f t="shared" si="74"/>
        <v>0.32949389179755673</v>
      </c>
      <c r="AI178" s="129">
        <f t="shared" si="75"/>
        <v>0.65619546247818494</v>
      </c>
      <c r="AJ178" s="426">
        <f t="shared" si="76"/>
        <v>19700</v>
      </c>
      <c r="AK178" s="131">
        <f t="shared" si="55"/>
        <v>2462.5</v>
      </c>
      <c r="AL178" s="477">
        <f>AK178/VLOOKUP(IF(I178&gt;0,I178,1),Preise!$A$3:$B$27,2,FALSE)</f>
        <v>439.73214285714266</v>
      </c>
    </row>
    <row r="179" spans="1:38" s="3" customFormat="1" x14ac:dyDescent="0.2">
      <c r="A179" s="525"/>
      <c r="B179" s="526"/>
      <c r="C179" s="286"/>
      <c r="D179" s="396"/>
      <c r="E179" s="527"/>
      <c r="F179" s="528"/>
      <c r="G179" s="322"/>
      <c r="H179" s="529"/>
      <c r="I179" s="530"/>
      <c r="J179" s="531"/>
      <c r="K179" s="530"/>
      <c r="L179" s="532"/>
      <c r="M179" s="533"/>
      <c r="N179" s="532"/>
      <c r="O179" s="530"/>
      <c r="P179" s="532"/>
      <c r="Q179" s="530"/>
      <c r="R179" s="532"/>
      <c r="S179" s="534"/>
      <c r="T179" s="535"/>
      <c r="U179" s="536"/>
      <c r="V179" s="551">
        <v>2000</v>
      </c>
      <c r="W179" s="538"/>
      <c r="X179" s="539"/>
      <c r="Y179" s="540"/>
      <c r="Z179" s="541"/>
      <c r="AA179" s="542"/>
      <c r="AB179" s="542"/>
      <c r="AC179" s="542"/>
      <c r="AD179" s="542"/>
      <c r="AE179" s="543"/>
      <c r="AF179" s="544"/>
      <c r="AG179" s="545"/>
      <c r="AH179" s="545"/>
      <c r="AI179" s="546"/>
      <c r="AJ179" s="547"/>
      <c r="AK179" s="548"/>
      <c r="AL179" s="549"/>
    </row>
    <row r="180" spans="1:38" s="3" customFormat="1" outlineLevel="1" x14ac:dyDescent="0.2">
      <c r="A180" s="5">
        <v>1191</v>
      </c>
      <c r="B180" s="412">
        <v>1191</v>
      </c>
      <c r="C180" s="132" t="str">
        <f>VLOOKUP(B180,Gegenstände!$A205:$B863,2,FALSE)</f>
        <v>Handarmbrust</v>
      </c>
      <c r="D180" s="133">
        <f>VLOOKUP(B180,Gegenstände!$A205:$D862,4,FALSE)</f>
        <v>1</v>
      </c>
      <c r="E180" s="468">
        <v>32</v>
      </c>
      <c r="F180" s="134">
        <v>480</v>
      </c>
      <c r="G180" s="54">
        <v>1</v>
      </c>
      <c r="H180" s="469">
        <v>65</v>
      </c>
      <c r="I180" s="6">
        <v>0</v>
      </c>
      <c r="J180" s="417"/>
      <c r="K180" s="6">
        <v>11</v>
      </c>
      <c r="L180" s="1" t="s">
        <v>139</v>
      </c>
      <c r="M180" s="87">
        <v>8</v>
      </c>
      <c r="N180" s="83" t="s">
        <v>182</v>
      </c>
      <c r="O180" s="85"/>
      <c r="P180" s="1"/>
      <c r="Q180" s="6"/>
      <c r="R180" s="1"/>
      <c r="S180" s="418"/>
      <c r="T180" s="418"/>
      <c r="U180" s="471">
        <f>VLOOKUP(D180,Preise!$A$3:$C$27,3)</f>
        <v>1</v>
      </c>
      <c r="V180" s="523">
        <f t="shared" ref="V180:V189" si="77">U180*$V$179</f>
        <v>2000</v>
      </c>
      <c r="W180" s="131"/>
      <c r="X180" s="472">
        <f t="shared" ref="X180:X189" si="78">ROUND((V180/100),0)*100</f>
        <v>2000</v>
      </c>
      <c r="Y180" s="473">
        <f t="shared" ref="Y180:Y189" si="79">X180*IF(J180&gt;0,J180,1)</f>
        <v>2000</v>
      </c>
      <c r="Z180" s="474">
        <f>IF(ISERROR(VLOOKUP(L180,Gegenstände!$B$2:$N$2026,13,FALSE)),0,VLOOKUP(L180,Gegenstände!$B$2:$N$2026,13,FALSE))</f>
        <v>60</v>
      </c>
      <c r="AA180" s="142">
        <f>IF(ISERROR(VLOOKUP(N180,Gegenstände!$B$2:$N$2026,13,FALSE)),0,VLOOKUP(N180,Gegenstände!$B$2:$N$2026,13,FALSE))</f>
        <v>80</v>
      </c>
      <c r="AB180" s="142">
        <f>IF(ISERROR(VLOOKUP(P180,Gegenstände!$B$2:$N$2026,13,FALSE)),0,VLOOKUP(P180,Gegenstände!$B$2:$N$2026,13,FALSE))</f>
        <v>0</v>
      </c>
      <c r="AC180" s="142">
        <f>IF(ISERROR(VLOOKUP(R180,Gegenstände!$B$2:$N$2026,13,FALSE)),0,VLOOKUP(R180,Gegenstände!$B$2:$N$2026,13,FALSE))</f>
        <v>0</v>
      </c>
      <c r="AD180" s="142"/>
      <c r="AE180" s="475">
        <f t="shared" ref="AE180:AE189" si="80">IF(ISERROR(K180*Z180),"",K180*Z180)</f>
        <v>660</v>
      </c>
      <c r="AF180" s="476">
        <f t="shared" ref="AF180:AF189" si="81">IF(ISERROR(M180*AA180+O180*AB180+Q180*AC180),"",M180*AA180+O180*AB180+Q180*AC180)</f>
        <v>640</v>
      </c>
      <c r="AG180" s="128">
        <f t="shared" si="73"/>
        <v>0.33</v>
      </c>
      <c r="AH180" s="128">
        <f t="shared" si="74"/>
        <v>0.32</v>
      </c>
      <c r="AI180" s="129">
        <f t="shared" si="75"/>
        <v>0.65</v>
      </c>
      <c r="AJ180" s="426">
        <f t="shared" ref="AJ180:AJ189" si="82">Y180-(AE180+AF180)</f>
        <v>700</v>
      </c>
      <c r="AK180" s="131">
        <f t="shared" si="55"/>
        <v>87.5</v>
      </c>
      <c r="AL180" s="477">
        <f>AK180/VLOOKUP(IF(I180&gt;0,I180,1),Preise!$A$3:$B$27,2,FALSE)</f>
        <v>87.5</v>
      </c>
    </row>
    <row r="181" spans="1:38" s="3" customFormat="1" outlineLevel="1" x14ac:dyDescent="0.2">
      <c r="A181" s="5">
        <v>1192</v>
      </c>
      <c r="B181" s="412">
        <v>1192</v>
      </c>
      <c r="C181" s="132" t="str">
        <f>VLOOKUP(B181,Gegenstände!$A206:$B864,2,FALSE)</f>
        <v>Armbrust</v>
      </c>
      <c r="D181" s="133">
        <f>VLOOKUP(B181,Gegenstände!$A206:$D863,4,FALSE)</f>
        <v>4</v>
      </c>
      <c r="E181" s="468">
        <v>32</v>
      </c>
      <c r="F181" s="134">
        <v>480</v>
      </c>
      <c r="G181" s="54">
        <v>1</v>
      </c>
      <c r="H181" s="469">
        <v>65</v>
      </c>
      <c r="I181" s="6">
        <v>3</v>
      </c>
      <c r="J181" s="417"/>
      <c r="K181" s="6">
        <v>16</v>
      </c>
      <c r="L181" s="1" t="s">
        <v>139</v>
      </c>
      <c r="M181" s="87">
        <v>12</v>
      </c>
      <c r="N181" s="83" t="s">
        <v>182</v>
      </c>
      <c r="O181" s="85"/>
      <c r="P181" s="1"/>
      <c r="Q181" s="6"/>
      <c r="R181" s="1"/>
      <c r="S181" s="418"/>
      <c r="T181" s="418"/>
      <c r="U181" s="471">
        <f>VLOOKUP(D181,Preise!$A$3:$C$27,3)</f>
        <v>1.5208749999999995</v>
      </c>
      <c r="V181" s="523">
        <f t="shared" si="77"/>
        <v>3041.7499999999991</v>
      </c>
      <c r="W181" s="131"/>
      <c r="X181" s="472">
        <f t="shared" si="78"/>
        <v>3000</v>
      </c>
      <c r="Y181" s="473">
        <f t="shared" si="79"/>
        <v>3000</v>
      </c>
      <c r="Z181" s="474">
        <f>IF(ISERROR(VLOOKUP(L181,Gegenstände!$B$2:$N$2026,13,FALSE)),0,VLOOKUP(L181,Gegenstände!$B$2:$N$2026,13,FALSE))</f>
        <v>60</v>
      </c>
      <c r="AA181" s="142">
        <f>IF(ISERROR(VLOOKUP(N181,Gegenstände!$B$2:$N$2026,13,FALSE)),0,VLOOKUP(N181,Gegenstände!$B$2:$N$2026,13,FALSE))</f>
        <v>80</v>
      </c>
      <c r="AB181" s="142">
        <f>IF(ISERROR(VLOOKUP(P181,Gegenstände!$B$2:$N$2026,13,FALSE)),0,VLOOKUP(P181,Gegenstände!$B$2:$N$2026,13,FALSE))</f>
        <v>0</v>
      </c>
      <c r="AC181" s="142">
        <f>IF(ISERROR(VLOOKUP(R181,Gegenstände!$B$2:$N$2026,13,FALSE)),0,VLOOKUP(R181,Gegenstände!$B$2:$N$2026,13,FALSE))</f>
        <v>0</v>
      </c>
      <c r="AD181" s="142"/>
      <c r="AE181" s="475">
        <f t="shared" si="80"/>
        <v>960</v>
      </c>
      <c r="AF181" s="476">
        <f t="shared" si="81"/>
        <v>960</v>
      </c>
      <c r="AG181" s="128">
        <f t="shared" si="73"/>
        <v>0.32</v>
      </c>
      <c r="AH181" s="128">
        <f t="shared" si="74"/>
        <v>0.32</v>
      </c>
      <c r="AI181" s="129">
        <f t="shared" si="75"/>
        <v>0.64</v>
      </c>
      <c r="AJ181" s="426">
        <f t="shared" si="82"/>
        <v>1080</v>
      </c>
      <c r="AK181" s="131">
        <f t="shared" si="55"/>
        <v>135</v>
      </c>
      <c r="AL181" s="477">
        <f>AK181/VLOOKUP(IF(I181&gt;0,I181,1),Preise!$A$3:$B$27,2,FALSE)</f>
        <v>96.428571428571431</v>
      </c>
    </row>
    <row r="182" spans="1:38" s="3" customFormat="1" outlineLevel="1" x14ac:dyDescent="0.2">
      <c r="A182" s="5">
        <v>1193</v>
      </c>
      <c r="B182" s="412">
        <v>1193</v>
      </c>
      <c r="C182" s="132" t="str">
        <f>VLOOKUP(B182,Gegenstände!$A207:$B865,2,FALSE)</f>
        <v>Arbaleste</v>
      </c>
      <c r="D182" s="133">
        <f>VLOOKUP(B182,Gegenstände!$A207:$D864,4,FALSE)</f>
        <v>6</v>
      </c>
      <c r="E182" s="468">
        <v>32</v>
      </c>
      <c r="F182" s="134">
        <v>480</v>
      </c>
      <c r="G182" s="54">
        <v>2</v>
      </c>
      <c r="H182" s="469">
        <v>65</v>
      </c>
      <c r="I182" s="6">
        <v>5</v>
      </c>
      <c r="J182" s="417"/>
      <c r="K182" s="6">
        <v>11</v>
      </c>
      <c r="L182" s="1" t="s">
        <v>140</v>
      </c>
      <c r="M182" s="87">
        <v>16</v>
      </c>
      <c r="N182" s="83" t="s">
        <v>182</v>
      </c>
      <c r="O182" s="85"/>
      <c r="P182" s="83"/>
      <c r="Q182" s="85"/>
      <c r="R182" s="1"/>
      <c r="S182" s="418"/>
      <c r="T182" s="418"/>
      <c r="U182" s="471">
        <f>VLOOKUP(D182,Preise!$A$3:$C$27,3)</f>
        <v>2.0113571874999994</v>
      </c>
      <c r="V182" s="523">
        <f t="shared" si="77"/>
        <v>4022.7143749999987</v>
      </c>
      <c r="W182" s="131"/>
      <c r="X182" s="472">
        <f t="shared" si="78"/>
        <v>4000</v>
      </c>
      <c r="Y182" s="473">
        <f t="shared" si="79"/>
        <v>4000</v>
      </c>
      <c r="Z182" s="474">
        <f>IF(ISERROR(VLOOKUP(L182,Gegenstände!$B$2:$N$2026,13,FALSE)),0,VLOOKUP(L182,Gegenstände!$B$2:$N$2026,13,FALSE))</f>
        <v>120</v>
      </c>
      <c r="AA182" s="142">
        <f>IF(ISERROR(VLOOKUP(N182,Gegenstände!$B$2:$N$2026,13,FALSE)),0,VLOOKUP(N182,Gegenstände!$B$2:$N$2026,13,FALSE))</f>
        <v>80</v>
      </c>
      <c r="AB182" s="142">
        <f>IF(ISERROR(VLOOKUP(P182,Gegenstände!$B$2:$N$2026,13,FALSE)),0,VLOOKUP(P182,Gegenstände!$B$2:$N$2026,13,FALSE))</f>
        <v>0</v>
      </c>
      <c r="AC182" s="142">
        <f>IF(ISERROR(VLOOKUP(R182,Gegenstände!$B$2:$N$2026,13,FALSE)),0,VLOOKUP(R182,Gegenstände!$B$2:$N$2026,13,FALSE))</f>
        <v>0</v>
      </c>
      <c r="AD182" s="142"/>
      <c r="AE182" s="475">
        <f t="shared" si="80"/>
        <v>1320</v>
      </c>
      <c r="AF182" s="476">
        <f t="shared" si="81"/>
        <v>1280</v>
      </c>
      <c r="AG182" s="128">
        <f t="shared" si="73"/>
        <v>0.33</v>
      </c>
      <c r="AH182" s="128">
        <f t="shared" si="74"/>
        <v>0.32</v>
      </c>
      <c r="AI182" s="129">
        <f t="shared" si="75"/>
        <v>0.65</v>
      </c>
      <c r="AJ182" s="426">
        <f t="shared" si="82"/>
        <v>1400</v>
      </c>
      <c r="AK182" s="131">
        <f t="shared" si="55"/>
        <v>175</v>
      </c>
      <c r="AL182" s="477">
        <f>AK182/VLOOKUP(IF(I182&gt;0,I182,1),Preise!$A$3:$B$27,2,FALSE)</f>
        <v>97.222222222222229</v>
      </c>
    </row>
    <row r="183" spans="1:38" s="3" customFormat="1" outlineLevel="1" x14ac:dyDescent="0.2">
      <c r="A183" s="5">
        <v>1194</v>
      </c>
      <c r="B183" s="412">
        <v>1194</v>
      </c>
      <c r="C183" s="132" t="str">
        <f>VLOOKUP(B183,Gegenstände!$A208:$B866,2,FALSE)</f>
        <v>Ballista</v>
      </c>
      <c r="D183" s="133">
        <f>VLOOKUP(B183,Gegenstände!$A208:$D865,4,FALSE)</f>
        <v>9</v>
      </c>
      <c r="E183" s="468">
        <v>32</v>
      </c>
      <c r="F183" s="134">
        <v>480</v>
      </c>
      <c r="G183" s="54">
        <v>2</v>
      </c>
      <c r="H183" s="469">
        <v>65</v>
      </c>
      <c r="I183" s="6">
        <v>8</v>
      </c>
      <c r="J183" s="417"/>
      <c r="K183" s="6">
        <v>16</v>
      </c>
      <c r="L183" s="1" t="s">
        <v>140</v>
      </c>
      <c r="M183" s="87">
        <v>25</v>
      </c>
      <c r="N183" s="83" t="s">
        <v>182</v>
      </c>
      <c r="O183" s="85"/>
      <c r="P183" s="83"/>
      <c r="Q183" s="85"/>
      <c r="R183" s="1"/>
      <c r="S183" s="418"/>
      <c r="T183" s="418"/>
      <c r="U183" s="471">
        <f>VLOOKUP(D183,Preise!$A$3:$C$27,3)</f>
        <v>3.0590228625390607</v>
      </c>
      <c r="V183" s="523">
        <f t="shared" si="77"/>
        <v>6118.0457250781219</v>
      </c>
      <c r="W183" s="131"/>
      <c r="X183" s="472">
        <f t="shared" si="78"/>
        <v>6100</v>
      </c>
      <c r="Y183" s="473">
        <f t="shared" si="79"/>
        <v>6100</v>
      </c>
      <c r="Z183" s="474">
        <f>IF(ISERROR(VLOOKUP(L183,Gegenstände!$B$2:$N$2026,13,FALSE)),0,VLOOKUP(L183,Gegenstände!$B$2:$N$2026,13,FALSE))</f>
        <v>120</v>
      </c>
      <c r="AA183" s="142">
        <f>IF(ISERROR(VLOOKUP(N183,Gegenstände!$B$2:$N$2026,13,FALSE)),0,VLOOKUP(N183,Gegenstände!$B$2:$N$2026,13,FALSE))</f>
        <v>80</v>
      </c>
      <c r="AB183" s="142">
        <f>IF(ISERROR(VLOOKUP(P183,Gegenstände!$B$2:$N$2026,13,FALSE)),0,VLOOKUP(P183,Gegenstände!$B$2:$N$2026,13,FALSE))</f>
        <v>0</v>
      </c>
      <c r="AC183" s="142">
        <f>IF(ISERROR(VLOOKUP(R183,Gegenstände!$B$2:$N$2026,13,FALSE)),0,VLOOKUP(R183,Gegenstände!$B$2:$N$2026,13,FALSE))</f>
        <v>0</v>
      </c>
      <c r="AD183" s="142"/>
      <c r="AE183" s="475">
        <f t="shared" si="80"/>
        <v>1920</v>
      </c>
      <c r="AF183" s="476">
        <f t="shared" si="81"/>
        <v>2000</v>
      </c>
      <c r="AG183" s="128">
        <f t="shared" si="73"/>
        <v>0.31475409836065577</v>
      </c>
      <c r="AH183" s="128">
        <f t="shared" si="74"/>
        <v>0.32786885245901637</v>
      </c>
      <c r="AI183" s="129">
        <f t="shared" si="75"/>
        <v>0.64262295081967213</v>
      </c>
      <c r="AJ183" s="426">
        <f t="shared" si="82"/>
        <v>2180</v>
      </c>
      <c r="AK183" s="131">
        <f t="shared" si="55"/>
        <v>272.5</v>
      </c>
      <c r="AL183" s="477">
        <f>AK183/VLOOKUP(IF(I183&gt;0,I183,1),Preise!$A$3:$B$27,2,FALSE)</f>
        <v>113.54166666666667</v>
      </c>
    </row>
    <row r="184" spans="1:38" s="3" customFormat="1" outlineLevel="1" x14ac:dyDescent="0.2">
      <c r="A184" s="5">
        <v>1195</v>
      </c>
      <c r="B184" s="412">
        <v>1195</v>
      </c>
      <c r="C184" s="132" t="str">
        <f>VLOOKUP(B184,Gegenstände!$A209:$B867,2,FALSE)</f>
        <v>Repetierarmbrust</v>
      </c>
      <c r="D184" s="133">
        <f>VLOOKUP(B184,Gegenstände!$A209:$D866,4,FALSE)</f>
        <v>11</v>
      </c>
      <c r="E184" s="468">
        <v>32</v>
      </c>
      <c r="F184" s="134">
        <v>480</v>
      </c>
      <c r="G184" s="54">
        <v>3</v>
      </c>
      <c r="H184" s="469">
        <v>65</v>
      </c>
      <c r="I184" s="6">
        <v>10</v>
      </c>
      <c r="J184" s="417"/>
      <c r="K184" s="6">
        <v>15</v>
      </c>
      <c r="L184" s="1" t="s">
        <v>141</v>
      </c>
      <c r="M184" s="87">
        <v>8</v>
      </c>
      <c r="N184" s="83" t="s">
        <v>182</v>
      </c>
      <c r="O184" s="85">
        <v>10</v>
      </c>
      <c r="P184" s="83" t="s">
        <v>184</v>
      </c>
      <c r="Q184" s="85"/>
      <c r="R184" s="1"/>
      <c r="S184" s="418"/>
      <c r="T184" s="418"/>
      <c r="U184" s="471">
        <f>VLOOKUP(D184,Preise!$A$3:$C$27,3)</f>
        <v>4.0455577357079076</v>
      </c>
      <c r="V184" s="523">
        <f t="shared" si="77"/>
        <v>8091.1154714158147</v>
      </c>
      <c r="W184" s="131"/>
      <c r="X184" s="472">
        <f t="shared" si="78"/>
        <v>8100</v>
      </c>
      <c r="Y184" s="473">
        <f t="shared" si="79"/>
        <v>8100</v>
      </c>
      <c r="Z184" s="474">
        <f>IF(ISERROR(VLOOKUP(L184,Gegenstände!$B$2:$N$2026,13,FALSE)),0,VLOOKUP(L184,Gegenstände!$B$2:$N$2026,13,FALSE))</f>
        <v>180</v>
      </c>
      <c r="AA184" s="142">
        <f>IF(ISERROR(VLOOKUP(N184,Gegenstände!$B$2:$N$2026,13,FALSE)),0,VLOOKUP(N184,Gegenstände!$B$2:$N$2026,13,FALSE))</f>
        <v>80</v>
      </c>
      <c r="AB184" s="142">
        <f>IF(ISERROR(VLOOKUP(P184,Gegenstände!$B$2:$N$2026,13,FALSE)),0,VLOOKUP(P184,Gegenstände!$B$2:$N$2026,13,FALSE))</f>
        <v>200</v>
      </c>
      <c r="AC184" s="142">
        <f>IF(ISERROR(VLOOKUP(R184,Gegenstände!$B$2:$N$2026,13,FALSE)),0,VLOOKUP(R184,Gegenstände!$B$2:$N$2026,13,FALSE))</f>
        <v>0</v>
      </c>
      <c r="AD184" s="142"/>
      <c r="AE184" s="475">
        <f t="shared" si="80"/>
        <v>2700</v>
      </c>
      <c r="AF184" s="476">
        <f t="shared" si="81"/>
        <v>2640</v>
      </c>
      <c r="AG184" s="128">
        <f t="shared" si="73"/>
        <v>0.33333333333333331</v>
      </c>
      <c r="AH184" s="128">
        <f t="shared" si="74"/>
        <v>0.32592592592592595</v>
      </c>
      <c r="AI184" s="129">
        <f t="shared" si="75"/>
        <v>0.65925925925925921</v>
      </c>
      <c r="AJ184" s="426">
        <f t="shared" si="82"/>
        <v>2760</v>
      </c>
      <c r="AK184" s="131">
        <f t="shared" si="55"/>
        <v>345</v>
      </c>
      <c r="AL184" s="477">
        <f>AK184/VLOOKUP(IF(I184&gt;0,I184,1),Preise!$A$3:$B$27,2,FALSE)</f>
        <v>123.21428571428571</v>
      </c>
    </row>
    <row r="185" spans="1:38" s="3" customFormat="1" outlineLevel="1" x14ac:dyDescent="0.2">
      <c r="A185" s="5">
        <v>1196</v>
      </c>
      <c r="B185" s="412">
        <v>1196</v>
      </c>
      <c r="C185" s="132" t="str">
        <f>VLOOKUP(B185,Gegenstände!$A210:$B868,2,FALSE)</f>
        <v>Hornarmbrust</v>
      </c>
      <c r="D185" s="133">
        <f>VLOOKUP(B185,Gegenstände!$A210:$D867,4,FALSE)</f>
        <v>14</v>
      </c>
      <c r="E185" s="468">
        <v>32</v>
      </c>
      <c r="F185" s="134">
        <v>480</v>
      </c>
      <c r="G185" s="54">
        <v>3</v>
      </c>
      <c r="H185" s="469">
        <v>65</v>
      </c>
      <c r="I185" s="6">
        <v>13</v>
      </c>
      <c r="J185" s="417"/>
      <c r="K185" s="6">
        <v>22</v>
      </c>
      <c r="L185" s="1" t="s">
        <v>141</v>
      </c>
      <c r="M185" s="87">
        <v>10</v>
      </c>
      <c r="N185" s="83" t="s">
        <v>182</v>
      </c>
      <c r="O185" s="85">
        <v>16</v>
      </c>
      <c r="P185" s="83" t="s">
        <v>184</v>
      </c>
      <c r="Q185" s="85"/>
      <c r="R185" s="1"/>
      <c r="S185" s="418"/>
      <c r="T185" s="418"/>
      <c r="U185" s="471">
        <f>VLOOKUP(D185,Preise!$A$3:$C$27,3)</f>
        <v>6.1527876212947623</v>
      </c>
      <c r="V185" s="523">
        <f t="shared" si="77"/>
        <v>12305.575242589524</v>
      </c>
      <c r="W185" s="131"/>
      <c r="X185" s="472">
        <f t="shared" si="78"/>
        <v>12300</v>
      </c>
      <c r="Y185" s="473">
        <f t="shared" si="79"/>
        <v>12300</v>
      </c>
      <c r="Z185" s="474">
        <f>IF(ISERROR(VLOOKUP(L185,Gegenstände!$B$2:$N$2026,13,FALSE)),0,VLOOKUP(L185,Gegenstände!$B$2:$N$2026,13,FALSE))</f>
        <v>180</v>
      </c>
      <c r="AA185" s="142">
        <f>IF(ISERROR(VLOOKUP(N185,Gegenstände!$B$2:$N$2026,13,FALSE)),0,VLOOKUP(N185,Gegenstände!$B$2:$N$2026,13,FALSE))</f>
        <v>80</v>
      </c>
      <c r="AB185" s="142">
        <f>IF(ISERROR(VLOOKUP(P185,Gegenstände!$B$2:$N$2026,13,FALSE)),0,VLOOKUP(P185,Gegenstände!$B$2:$N$2026,13,FALSE))</f>
        <v>200</v>
      </c>
      <c r="AC185" s="142">
        <f>IF(ISERROR(VLOOKUP(R185,Gegenstände!$B$2:$N$2026,13,FALSE)),0,VLOOKUP(R185,Gegenstände!$B$2:$N$2026,13,FALSE))</f>
        <v>0</v>
      </c>
      <c r="AD185" s="142"/>
      <c r="AE185" s="475">
        <f t="shared" si="80"/>
        <v>3960</v>
      </c>
      <c r="AF185" s="476">
        <f t="shared" si="81"/>
        <v>4000</v>
      </c>
      <c r="AG185" s="128">
        <f t="shared" si="73"/>
        <v>0.32195121951219513</v>
      </c>
      <c r="AH185" s="128">
        <f t="shared" si="74"/>
        <v>0.32520325203252032</v>
      </c>
      <c r="AI185" s="129">
        <f t="shared" si="75"/>
        <v>0.64715447154471539</v>
      </c>
      <c r="AJ185" s="426">
        <f t="shared" si="82"/>
        <v>4340</v>
      </c>
      <c r="AK185" s="131">
        <f t="shared" si="55"/>
        <v>542.5</v>
      </c>
      <c r="AL185" s="477">
        <f>AK185/VLOOKUP(IF(I185&gt;0,I185,1),Preise!$A$3:$B$27,2,FALSE)</f>
        <v>159.55882352941174</v>
      </c>
    </row>
    <row r="186" spans="1:38" s="3" customFormat="1" outlineLevel="1" x14ac:dyDescent="0.2">
      <c r="A186" s="5">
        <v>1197</v>
      </c>
      <c r="B186" s="412">
        <v>1197</v>
      </c>
      <c r="C186" s="132" t="str">
        <f>VLOOKUP(B186,Gegenstände!$A211:$B869,2,FALSE)</f>
        <v>Belagerungsarmbrust</v>
      </c>
      <c r="D186" s="133">
        <f>VLOOKUP(B186,Gegenstände!$A211:$D868,4,FALSE)</f>
        <v>16</v>
      </c>
      <c r="E186" s="468">
        <v>32</v>
      </c>
      <c r="F186" s="134">
        <v>480</v>
      </c>
      <c r="G186" s="54">
        <v>4</v>
      </c>
      <c r="H186" s="469">
        <v>65</v>
      </c>
      <c r="I186" s="6">
        <v>15</v>
      </c>
      <c r="J186" s="417"/>
      <c r="K186" s="6">
        <v>20</v>
      </c>
      <c r="L186" s="1" t="s">
        <v>142</v>
      </c>
      <c r="M186" s="87">
        <v>12</v>
      </c>
      <c r="N186" s="83" t="s">
        <v>182</v>
      </c>
      <c r="O186" s="85">
        <v>22</v>
      </c>
      <c r="P186" s="83" t="s">
        <v>184</v>
      </c>
      <c r="Q186" s="85"/>
      <c r="R186" s="83"/>
      <c r="S186" s="170"/>
      <c r="T186" s="170"/>
      <c r="U186" s="471">
        <f>VLOOKUP(D186,Preise!$A$3:$C$27,3)</f>
        <v>8.1370616291623215</v>
      </c>
      <c r="V186" s="523">
        <f t="shared" si="77"/>
        <v>16274.123258324644</v>
      </c>
      <c r="W186" s="131"/>
      <c r="X186" s="472">
        <f t="shared" si="78"/>
        <v>16300</v>
      </c>
      <c r="Y186" s="473">
        <f t="shared" si="79"/>
        <v>16300</v>
      </c>
      <c r="Z186" s="474">
        <f>IF(ISERROR(VLOOKUP(L186,Gegenstände!$B$2:$N$2026,13,FALSE)),0,VLOOKUP(L186,Gegenstände!$B$2:$N$2026,13,FALSE))</f>
        <v>270</v>
      </c>
      <c r="AA186" s="142">
        <f>IF(ISERROR(VLOOKUP(N186,Gegenstände!$B$2:$N$2026,13,FALSE)),0,VLOOKUP(N186,Gegenstände!$B$2:$N$2026,13,FALSE))</f>
        <v>80</v>
      </c>
      <c r="AB186" s="142">
        <f>IF(ISERROR(VLOOKUP(P186,Gegenstände!$B$2:$N$2026,13,FALSE)),0,VLOOKUP(P186,Gegenstände!$B$2:$N$2026,13,FALSE))</f>
        <v>200</v>
      </c>
      <c r="AC186" s="142">
        <f>IF(ISERROR(VLOOKUP(R186,Gegenstände!$B$2:$N$2026,13,FALSE)),0,VLOOKUP(R186,Gegenstände!$B$2:$N$2026,13,FALSE))</f>
        <v>0</v>
      </c>
      <c r="AD186" s="142"/>
      <c r="AE186" s="475">
        <f t="shared" si="80"/>
        <v>5400</v>
      </c>
      <c r="AF186" s="476">
        <f t="shared" si="81"/>
        <v>5360</v>
      </c>
      <c r="AG186" s="128">
        <f t="shared" si="73"/>
        <v>0.33128834355828218</v>
      </c>
      <c r="AH186" s="128">
        <f t="shared" si="74"/>
        <v>0.32883435582822085</v>
      </c>
      <c r="AI186" s="129">
        <f t="shared" si="75"/>
        <v>0.66012269938650303</v>
      </c>
      <c r="AJ186" s="426">
        <f t="shared" si="82"/>
        <v>5540</v>
      </c>
      <c r="AK186" s="131">
        <f t="shared" si="55"/>
        <v>692.5</v>
      </c>
      <c r="AL186" s="477">
        <f>AK186/VLOOKUP(IF(I186&gt;0,I186,1),Preise!$A$3:$B$27,2,FALSE)</f>
        <v>182.23684210526309</v>
      </c>
    </row>
    <row r="187" spans="1:38" s="3" customFormat="1" outlineLevel="1" x14ac:dyDescent="0.2">
      <c r="A187" s="5">
        <v>1198</v>
      </c>
      <c r="B187" s="412">
        <v>1198</v>
      </c>
      <c r="C187" s="132" t="str">
        <f>VLOOKUP(B187,Gegenstände!$A212:$B870,2,FALSE)</f>
        <v>Kolossusarmbrust</v>
      </c>
      <c r="D187" s="133">
        <f>VLOOKUP(B187,Gegenstände!$A212:$D869,4,FALSE)</f>
        <v>19</v>
      </c>
      <c r="E187" s="468">
        <v>32</v>
      </c>
      <c r="F187" s="134">
        <v>480</v>
      </c>
      <c r="G187" s="54">
        <v>4</v>
      </c>
      <c r="H187" s="469">
        <v>65</v>
      </c>
      <c r="I187" s="6">
        <v>18</v>
      </c>
      <c r="J187" s="417"/>
      <c r="K187" s="6">
        <v>30</v>
      </c>
      <c r="L187" s="1" t="s">
        <v>142</v>
      </c>
      <c r="M187" s="87">
        <v>14</v>
      </c>
      <c r="N187" s="83" t="s">
        <v>182</v>
      </c>
      <c r="O187" s="85">
        <v>35</v>
      </c>
      <c r="P187" s="83" t="s">
        <v>184</v>
      </c>
      <c r="Q187" s="85"/>
      <c r="R187" s="83"/>
      <c r="S187" s="170"/>
      <c r="T187" s="170"/>
      <c r="U187" s="471">
        <f>VLOOKUP(D187,Preise!$A$3:$C$27,3)</f>
        <v>12.375453605252243</v>
      </c>
      <c r="V187" s="523">
        <f t="shared" si="77"/>
        <v>24750.907210504487</v>
      </c>
      <c r="W187" s="131"/>
      <c r="X187" s="472">
        <f t="shared" si="78"/>
        <v>24800</v>
      </c>
      <c r="Y187" s="473">
        <f t="shared" si="79"/>
        <v>24800</v>
      </c>
      <c r="Z187" s="474">
        <f>IF(ISERROR(VLOOKUP(L187,Gegenstände!$B$2:$N$2026,13,FALSE)),0,VLOOKUP(L187,Gegenstände!$B$2:$N$2026,13,FALSE))</f>
        <v>270</v>
      </c>
      <c r="AA187" s="142">
        <f>IF(ISERROR(VLOOKUP(N187,Gegenstände!$B$2:$N$2026,13,FALSE)),0,VLOOKUP(N187,Gegenstände!$B$2:$N$2026,13,FALSE))</f>
        <v>80</v>
      </c>
      <c r="AB187" s="142">
        <f>IF(ISERROR(VLOOKUP(P187,Gegenstände!$B$2:$N$2026,13,FALSE)),0,VLOOKUP(P187,Gegenstände!$B$2:$N$2026,13,FALSE))</f>
        <v>200</v>
      </c>
      <c r="AC187" s="142">
        <f>IF(ISERROR(VLOOKUP(R187,Gegenstände!$B$2:$N$2026,13,FALSE)),0,VLOOKUP(R187,Gegenstände!$B$2:$N$2026,13,FALSE))</f>
        <v>0</v>
      </c>
      <c r="AD187" s="142"/>
      <c r="AE187" s="475">
        <f t="shared" si="80"/>
        <v>8100</v>
      </c>
      <c r="AF187" s="476">
        <f t="shared" si="81"/>
        <v>8120</v>
      </c>
      <c r="AG187" s="128">
        <f t="shared" si="73"/>
        <v>0.32661290322580644</v>
      </c>
      <c r="AH187" s="128">
        <f t="shared" si="74"/>
        <v>0.32741935483870965</v>
      </c>
      <c r="AI187" s="129">
        <f t="shared" si="75"/>
        <v>0.65403225806451615</v>
      </c>
      <c r="AJ187" s="426">
        <f t="shared" si="82"/>
        <v>8580</v>
      </c>
      <c r="AK187" s="131">
        <f t="shared" si="55"/>
        <v>1072.5</v>
      </c>
      <c r="AL187" s="477">
        <f>AK187/VLOOKUP(IF(I187&gt;0,I187,1),Preise!$A$3:$B$27,2,FALSE)</f>
        <v>243.74999999999994</v>
      </c>
    </row>
    <row r="188" spans="1:38" s="3" customFormat="1" outlineLevel="1" x14ac:dyDescent="0.2">
      <c r="A188" s="5">
        <v>1199</v>
      </c>
      <c r="B188" s="412">
        <v>1199</v>
      </c>
      <c r="C188" s="132" t="str">
        <f>VLOOKUP(B188,Gegenstände!$A213:$B871,2,FALSE)</f>
        <v>Kriegsarmbrust</v>
      </c>
      <c r="D188" s="133">
        <f>VLOOKUP(B188,Gegenstände!$A213:$D870,4,FALSE)</f>
        <v>22</v>
      </c>
      <c r="E188" s="468">
        <v>32</v>
      </c>
      <c r="F188" s="134">
        <v>480</v>
      </c>
      <c r="G188" s="54">
        <v>5</v>
      </c>
      <c r="H188" s="469">
        <v>65</v>
      </c>
      <c r="I188" s="6">
        <v>21</v>
      </c>
      <c r="J188" s="417"/>
      <c r="K188" s="6">
        <v>34</v>
      </c>
      <c r="L188" s="1" t="s">
        <v>143</v>
      </c>
      <c r="M188" s="87">
        <v>4</v>
      </c>
      <c r="N188" s="83" t="s">
        <v>182</v>
      </c>
      <c r="O188" s="85">
        <v>8</v>
      </c>
      <c r="P188" s="83" t="s">
        <v>184</v>
      </c>
      <c r="Q188" s="85">
        <v>21</v>
      </c>
      <c r="R188" s="83" t="s">
        <v>181</v>
      </c>
      <c r="S188" s="170"/>
      <c r="T188" s="170"/>
      <c r="U188" s="471">
        <f>VLOOKUP(D188,Preise!$A$3:$C$27,3)</f>
        <v>18.821518001888002</v>
      </c>
      <c r="V188" s="523">
        <f t="shared" si="77"/>
        <v>37643.036003776004</v>
      </c>
      <c r="W188" s="131"/>
      <c r="X188" s="472">
        <f t="shared" si="78"/>
        <v>37600</v>
      </c>
      <c r="Y188" s="473">
        <f t="shared" si="79"/>
        <v>37600</v>
      </c>
      <c r="Z188" s="474">
        <f>IF(ISERROR(VLOOKUP(L188,Gegenstände!$B$2:$N$2026,13,FALSE)),0,VLOOKUP(L188,Gegenstände!$B$2:$N$2026,13,FALSE))</f>
        <v>360</v>
      </c>
      <c r="AA188" s="142">
        <f>IF(ISERROR(VLOOKUP(N188,Gegenstände!$B$2:$N$2026,13,FALSE)),0,VLOOKUP(N188,Gegenstände!$B$2:$N$2026,13,FALSE))</f>
        <v>80</v>
      </c>
      <c r="AB188" s="142">
        <f>IF(ISERROR(VLOOKUP(P188,Gegenstände!$B$2:$N$2026,13,FALSE)),0,VLOOKUP(P188,Gegenstände!$B$2:$N$2026,13,FALSE))</f>
        <v>200</v>
      </c>
      <c r="AC188" s="142">
        <f>IF(ISERROR(VLOOKUP(R188,Gegenstände!$B$2:$N$2026,13,FALSE)),0,VLOOKUP(R188,Gegenstände!$B$2:$N$2026,13,FALSE))</f>
        <v>500</v>
      </c>
      <c r="AD188" s="142"/>
      <c r="AE188" s="475">
        <f t="shared" si="80"/>
        <v>12240</v>
      </c>
      <c r="AF188" s="476">
        <f t="shared" si="81"/>
        <v>12420</v>
      </c>
      <c r="AG188" s="128">
        <f t="shared" si="73"/>
        <v>0.32553191489361705</v>
      </c>
      <c r="AH188" s="128">
        <f t="shared" si="74"/>
        <v>0.3303191489361702</v>
      </c>
      <c r="AI188" s="129">
        <f t="shared" si="75"/>
        <v>0.6558510638297872</v>
      </c>
      <c r="AJ188" s="426">
        <f t="shared" si="82"/>
        <v>12940</v>
      </c>
      <c r="AK188" s="131">
        <f t="shared" si="55"/>
        <v>1617.5</v>
      </c>
      <c r="AL188" s="477">
        <f>AK188/VLOOKUP(IF(I188&gt;0,I188,1),Preise!$A$3:$B$27,2,FALSE)</f>
        <v>323.49999999999989</v>
      </c>
    </row>
    <row r="189" spans="1:38" s="3" customFormat="1" outlineLevel="1" x14ac:dyDescent="0.2">
      <c r="A189" s="5">
        <v>1200</v>
      </c>
      <c r="B189" s="412">
        <v>1200</v>
      </c>
      <c r="C189" s="132" t="str">
        <f>VLOOKUP(B189,Gegenstände!$A218:$B872,2,FALSE)</f>
        <v>Dämonenarmbrust</v>
      </c>
      <c r="D189" s="133">
        <f>VLOOKUP(B189,Gegenstände!$A218:$D871,4,FALSE)</f>
        <v>25</v>
      </c>
      <c r="E189" s="468">
        <v>32</v>
      </c>
      <c r="F189" s="134">
        <v>480</v>
      </c>
      <c r="G189" s="54">
        <v>5</v>
      </c>
      <c r="H189" s="469">
        <v>65</v>
      </c>
      <c r="I189" s="6">
        <v>24</v>
      </c>
      <c r="J189" s="417"/>
      <c r="K189" s="6">
        <v>52</v>
      </c>
      <c r="L189" s="1" t="s">
        <v>143</v>
      </c>
      <c r="M189" s="87">
        <v>6</v>
      </c>
      <c r="N189" s="83" t="s">
        <v>182</v>
      </c>
      <c r="O189" s="85">
        <v>12</v>
      </c>
      <c r="P189" s="83" t="s">
        <v>184</v>
      </c>
      <c r="Q189" s="85">
        <v>32</v>
      </c>
      <c r="R189" s="83" t="s">
        <v>181</v>
      </c>
      <c r="S189" s="170"/>
      <c r="T189" s="170"/>
      <c r="U189" s="471">
        <f>VLOOKUP(D189,Preise!$A$3:$C$27,3)</f>
        <v>28.625176191121408</v>
      </c>
      <c r="V189" s="523">
        <f t="shared" si="77"/>
        <v>57250.352382242818</v>
      </c>
      <c r="W189" s="131"/>
      <c r="X189" s="472">
        <f t="shared" si="78"/>
        <v>57300</v>
      </c>
      <c r="Y189" s="473">
        <f t="shared" si="79"/>
        <v>57300</v>
      </c>
      <c r="Z189" s="474">
        <f>IF(ISERROR(VLOOKUP(L189,Gegenstände!$B$2:$N$2026,13,FALSE)),0,VLOOKUP(L189,Gegenstände!$B$2:$N$2026,13,FALSE))</f>
        <v>360</v>
      </c>
      <c r="AA189" s="142">
        <f>IF(ISERROR(VLOOKUP(N189,Gegenstände!$B$2:$N$2026,13,FALSE)),0,VLOOKUP(N189,Gegenstände!$B$2:$N$2026,13,FALSE))</f>
        <v>80</v>
      </c>
      <c r="AB189" s="142">
        <f>IF(ISERROR(VLOOKUP(P189,Gegenstände!$B$2:$N$2026,13,FALSE)),0,VLOOKUP(P189,Gegenstände!$B$2:$N$2026,13,FALSE))</f>
        <v>200</v>
      </c>
      <c r="AC189" s="142">
        <f>IF(ISERROR(VLOOKUP(R189,Gegenstände!$B$2:$N$2026,13,FALSE)),0,VLOOKUP(R189,Gegenstände!$B$2:$N$2026,13,FALSE))</f>
        <v>500</v>
      </c>
      <c r="AD189" s="142"/>
      <c r="AE189" s="475">
        <f t="shared" si="80"/>
        <v>18720</v>
      </c>
      <c r="AF189" s="476">
        <f t="shared" si="81"/>
        <v>18880</v>
      </c>
      <c r="AG189" s="128">
        <f t="shared" si="73"/>
        <v>0.32670157068062827</v>
      </c>
      <c r="AH189" s="128">
        <f t="shared" si="74"/>
        <v>0.32949389179755673</v>
      </c>
      <c r="AI189" s="129">
        <f t="shared" si="75"/>
        <v>0.65619546247818494</v>
      </c>
      <c r="AJ189" s="426">
        <f t="shared" si="82"/>
        <v>19700</v>
      </c>
      <c r="AK189" s="131">
        <f t="shared" si="55"/>
        <v>2462.5</v>
      </c>
      <c r="AL189" s="477">
        <f>AK189/VLOOKUP(IF(I189&gt;0,I189,1),Preise!$A$3:$B$27,2,FALSE)</f>
        <v>439.73214285714266</v>
      </c>
    </row>
    <row r="190" spans="1:38" s="3" customFormat="1" x14ac:dyDescent="0.2">
      <c r="A190" s="525"/>
      <c r="B190" s="526"/>
      <c r="C190" s="286"/>
      <c r="D190" s="396"/>
      <c r="E190" s="527"/>
      <c r="F190" s="528"/>
      <c r="G190" s="322"/>
      <c r="H190" s="529"/>
      <c r="I190" s="322"/>
      <c r="J190" s="552"/>
      <c r="K190" s="322"/>
      <c r="L190" s="321"/>
      <c r="M190" s="553"/>
      <c r="N190" s="321"/>
      <c r="O190" s="322"/>
      <c r="P190" s="321"/>
      <c r="Q190" s="322"/>
      <c r="R190" s="321"/>
      <c r="S190" s="554"/>
      <c r="T190" s="555"/>
      <c r="U190" s="536"/>
      <c r="V190" s="551">
        <v>5000</v>
      </c>
      <c r="W190" s="538"/>
      <c r="X190" s="539"/>
      <c r="Y190" s="540"/>
      <c r="Z190" s="541"/>
      <c r="AA190" s="542"/>
      <c r="AB190" s="542"/>
      <c r="AC190" s="542"/>
      <c r="AD190" s="542"/>
      <c r="AE190" s="556"/>
      <c r="AF190" s="544"/>
      <c r="AG190" s="545"/>
      <c r="AH190" s="545"/>
      <c r="AI190" s="546"/>
      <c r="AJ190" s="547"/>
      <c r="AK190" s="548"/>
      <c r="AL190" s="549"/>
    </row>
    <row r="191" spans="1:38" s="3" customFormat="1" outlineLevel="1" x14ac:dyDescent="0.2">
      <c r="A191" s="5">
        <v>1201</v>
      </c>
      <c r="B191" s="412">
        <v>1201</v>
      </c>
      <c r="C191" s="132" t="str">
        <f>VLOOKUP(B191,Gegenstände!$A220:$B874,2,FALSE)</f>
        <v>Leinen-Haube</v>
      </c>
      <c r="D191" s="133">
        <f>VLOOKUP(B191,Gegenstände!$A220:$D873,4,FALSE)</f>
        <v>1</v>
      </c>
      <c r="E191" s="468">
        <v>33</v>
      </c>
      <c r="F191" s="3">
        <v>240</v>
      </c>
      <c r="G191" s="54">
        <v>1</v>
      </c>
      <c r="H191" s="469">
        <v>66</v>
      </c>
      <c r="I191" s="54">
        <v>0</v>
      </c>
      <c r="J191" s="470"/>
      <c r="K191" s="54">
        <v>6</v>
      </c>
      <c r="L191" s="3" t="s">
        <v>151</v>
      </c>
      <c r="M191" s="85">
        <v>4</v>
      </c>
      <c r="N191" s="83" t="s">
        <v>194</v>
      </c>
      <c r="O191" s="85"/>
      <c r="P191" s="83"/>
      <c r="Q191" s="85"/>
      <c r="R191" s="83"/>
      <c r="S191" s="170"/>
      <c r="T191" s="170"/>
      <c r="U191" s="471">
        <f>VLOOKUP(D191,Preise!$A$3:$C$27,3)</f>
        <v>1</v>
      </c>
      <c r="V191" s="523">
        <f>0.2*W191</f>
        <v>1000</v>
      </c>
      <c r="W191" s="131">
        <f t="shared" ref="W191:W222" si="83">U191*$V$190</f>
        <v>5000</v>
      </c>
      <c r="X191" s="557">
        <f t="shared" ref="X191:X222" si="84">ROUND((V191/100),0)*100</f>
        <v>1000</v>
      </c>
      <c r="Y191" s="473">
        <f t="shared" ref="Y191:Y222" si="85">X191*IF(J191&gt;0,J191,1)</f>
        <v>1000</v>
      </c>
      <c r="Z191" s="474">
        <f>IF(ISERROR(VLOOKUP(L191,Gegenstände!$B$2:$N$2026,13,FALSE)),0,VLOOKUP(L191,Gegenstände!$B$2:$N$2026,13,FALSE))</f>
        <v>60</v>
      </c>
      <c r="AA191" s="142">
        <f>IF(ISERROR(VLOOKUP(N191,Gegenstände!$B$2:$N$2026,13,FALSE)),0,VLOOKUP(N191,Gegenstände!$B$2:$N$2026,13,FALSE))</f>
        <v>80</v>
      </c>
      <c r="AB191" s="142">
        <f>IF(ISERROR(VLOOKUP(P191,Gegenstände!$B$2:$N$2026,13,FALSE)),0,VLOOKUP(P191,Gegenstände!$B$2:$N$2026,13,FALSE))</f>
        <v>0</v>
      </c>
      <c r="AC191" s="142">
        <f>IF(ISERROR(VLOOKUP(R191,Gegenstände!$B$2:$N$2026,13,FALSE)),0,VLOOKUP(R191,Gegenstände!$B$2:$N$2026,13,FALSE))</f>
        <v>0</v>
      </c>
      <c r="AD191" s="142"/>
      <c r="AE191" s="475">
        <f t="shared" ref="AE191:AE222" si="86">IF(ISERROR(K191*Z191),"",K191*Z191)</f>
        <v>360</v>
      </c>
      <c r="AF191" s="476">
        <f t="shared" ref="AF191:AF222" si="87">IF(ISERROR(M191*AA191+O191*AB191+Q191*AC191),"",M191*AA191+O191*AB191+Q191*AC191)</f>
        <v>320</v>
      </c>
      <c r="AG191" s="128">
        <f t="shared" si="73"/>
        <v>0.36</v>
      </c>
      <c r="AH191" s="128">
        <f t="shared" si="74"/>
        <v>0.32</v>
      </c>
      <c r="AI191" s="129">
        <f t="shared" si="75"/>
        <v>0.68</v>
      </c>
      <c r="AJ191" s="426">
        <f t="shared" ref="AJ191:AJ222" si="88">Y191-(AE191+AF191)</f>
        <v>320</v>
      </c>
      <c r="AK191" s="131">
        <f t="shared" si="55"/>
        <v>80</v>
      </c>
      <c r="AL191" s="477">
        <f>AK191/VLOOKUP(IF(I191&gt;0,I191,1),Preise!$A$3:$B$27,2,FALSE)</f>
        <v>80</v>
      </c>
    </row>
    <row r="192" spans="1:38" s="3" customFormat="1" outlineLevel="1" x14ac:dyDescent="0.2">
      <c r="A192" s="5">
        <v>1202</v>
      </c>
      <c r="B192" s="412">
        <v>1202</v>
      </c>
      <c r="C192" s="132" t="str">
        <f>VLOOKUP(B192,Gegenstände!$A221:$B875,2,FALSE)</f>
        <v>Leinen-Robe</v>
      </c>
      <c r="D192" s="133">
        <f>VLOOKUP(B192,Gegenstände!$A221:$D874,4,FALSE)</f>
        <v>1</v>
      </c>
      <c r="E192" s="468">
        <v>33</v>
      </c>
      <c r="F192" s="3">
        <v>360</v>
      </c>
      <c r="G192" s="54">
        <v>1</v>
      </c>
      <c r="H192" s="469">
        <v>66</v>
      </c>
      <c r="I192" s="54">
        <v>0</v>
      </c>
      <c r="J192" s="470"/>
      <c r="K192" s="54">
        <v>8</v>
      </c>
      <c r="L192" s="3" t="s">
        <v>151</v>
      </c>
      <c r="M192" s="85">
        <v>6</v>
      </c>
      <c r="N192" s="83" t="s">
        <v>194</v>
      </c>
      <c r="O192" s="85"/>
      <c r="P192" s="83"/>
      <c r="Q192" s="85"/>
      <c r="R192" s="83"/>
      <c r="S192" s="170"/>
      <c r="T192" s="170"/>
      <c r="U192" s="471">
        <f>VLOOKUP(D192,Preise!$A$3:$C$27,3)</f>
        <v>1</v>
      </c>
      <c r="V192" s="523">
        <f>0.3*W192</f>
        <v>1500</v>
      </c>
      <c r="W192" s="131">
        <f t="shared" si="83"/>
        <v>5000</v>
      </c>
      <c r="X192" s="472">
        <f t="shared" si="84"/>
        <v>1500</v>
      </c>
      <c r="Y192" s="473">
        <f t="shared" si="85"/>
        <v>1500</v>
      </c>
      <c r="Z192" s="474">
        <f>IF(ISERROR(VLOOKUP(L192,Gegenstände!$B$2:$N$2026,13,FALSE)),0,VLOOKUP(L192,Gegenstände!$B$2:$N$2026,13,FALSE))</f>
        <v>60</v>
      </c>
      <c r="AA192" s="142">
        <f>IF(ISERROR(VLOOKUP(N192,Gegenstände!$B$2:$N$2026,13,FALSE)),0,VLOOKUP(N192,Gegenstände!$B$2:$N$2026,13,FALSE))</f>
        <v>80</v>
      </c>
      <c r="AB192" s="142">
        <f>IF(ISERROR(VLOOKUP(P192,Gegenstände!$B$2:$N$2026,13,FALSE)),0,VLOOKUP(P192,Gegenstände!$B$2:$N$2026,13,FALSE))</f>
        <v>0</v>
      </c>
      <c r="AC192" s="142">
        <f>IF(ISERROR(VLOOKUP(R192,Gegenstände!$B$2:$N$2026,13,FALSE)),0,VLOOKUP(R192,Gegenstände!$B$2:$N$2026,13,FALSE))</f>
        <v>0</v>
      </c>
      <c r="AD192" s="142"/>
      <c r="AE192" s="475">
        <f t="shared" si="86"/>
        <v>480</v>
      </c>
      <c r="AF192" s="476">
        <f t="shared" si="87"/>
        <v>480</v>
      </c>
      <c r="AG192" s="128">
        <f t="shared" si="73"/>
        <v>0.32</v>
      </c>
      <c r="AH192" s="128">
        <f t="shared" si="74"/>
        <v>0.32</v>
      </c>
      <c r="AI192" s="129">
        <f t="shared" si="75"/>
        <v>0.64</v>
      </c>
      <c r="AJ192" s="426">
        <f t="shared" si="88"/>
        <v>540</v>
      </c>
      <c r="AK192" s="131">
        <f t="shared" si="55"/>
        <v>90</v>
      </c>
      <c r="AL192" s="477">
        <f>AK192/VLOOKUP(IF(I192&gt;0,I192,1),Preise!$A$3:$B$27,2,FALSE)</f>
        <v>90</v>
      </c>
    </row>
    <row r="193" spans="1:38" s="3" customFormat="1" outlineLevel="1" x14ac:dyDescent="0.2">
      <c r="A193" s="5">
        <v>1203</v>
      </c>
      <c r="B193" s="412">
        <v>1203</v>
      </c>
      <c r="C193" s="132" t="str">
        <f>VLOOKUP(B193,Gegenstände!$A222:$B876,2,FALSE)</f>
        <v>Leinen-Handschuhe</v>
      </c>
      <c r="D193" s="133">
        <f>VLOOKUP(B193,Gegenstände!$A222:$D875,4,FALSE)</f>
        <v>2</v>
      </c>
      <c r="E193" s="468">
        <v>33</v>
      </c>
      <c r="F193" s="3">
        <v>180</v>
      </c>
      <c r="G193" s="54">
        <v>1</v>
      </c>
      <c r="H193" s="469">
        <v>66</v>
      </c>
      <c r="I193" s="54">
        <v>1</v>
      </c>
      <c r="J193" s="470"/>
      <c r="K193" s="54">
        <v>5</v>
      </c>
      <c r="L193" s="3" t="s">
        <v>151</v>
      </c>
      <c r="M193" s="85">
        <v>4</v>
      </c>
      <c r="N193" s="83" t="s">
        <v>194</v>
      </c>
      <c r="O193" s="85"/>
      <c r="P193" s="83"/>
      <c r="Q193" s="85"/>
      <c r="R193" s="83"/>
      <c r="S193" s="170"/>
      <c r="T193" s="170"/>
      <c r="U193" s="471">
        <f>VLOOKUP(D193,Preise!$A$3:$C$27,3)</f>
        <v>1.1499999999999999</v>
      </c>
      <c r="V193" s="523">
        <f>0.15*W193</f>
        <v>862.5</v>
      </c>
      <c r="W193" s="131">
        <f t="shared" si="83"/>
        <v>5750</v>
      </c>
      <c r="X193" s="472">
        <f t="shared" si="84"/>
        <v>900</v>
      </c>
      <c r="Y193" s="473">
        <f t="shared" si="85"/>
        <v>900</v>
      </c>
      <c r="Z193" s="474">
        <f>IF(ISERROR(VLOOKUP(L193,Gegenstände!$B$2:$N$2026,13,FALSE)),0,VLOOKUP(L193,Gegenstände!$B$2:$N$2026,13,FALSE))</f>
        <v>60</v>
      </c>
      <c r="AA193" s="142">
        <f>IF(ISERROR(VLOOKUP(N193,Gegenstände!$B$2:$N$2026,13,FALSE)),0,VLOOKUP(N193,Gegenstände!$B$2:$N$2026,13,FALSE))</f>
        <v>80</v>
      </c>
      <c r="AB193" s="142">
        <f>IF(ISERROR(VLOOKUP(P193,Gegenstände!$B$2:$N$2026,13,FALSE)),0,VLOOKUP(P193,Gegenstände!$B$2:$N$2026,13,FALSE))</f>
        <v>0</v>
      </c>
      <c r="AC193" s="142">
        <f>IF(ISERROR(VLOOKUP(R193,Gegenstände!$B$2:$N$2026,13,FALSE)),0,VLOOKUP(R193,Gegenstände!$B$2:$N$2026,13,FALSE))</f>
        <v>0</v>
      </c>
      <c r="AD193" s="142"/>
      <c r="AE193" s="475">
        <f t="shared" si="86"/>
        <v>300</v>
      </c>
      <c r="AF193" s="476">
        <f t="shared" si="87"/>
        <v>320</v>
      </c>
      <c r="AG193" s="128">
        <f t="shared" si="73"/>
        <v>0.33333333333333331</v>
      </c>
      <c r="AH193" s="128">
        <f t="shared" si="74"/>
        <v>0.35555555555555557</v>
      </c>
      <c r="AI193" s="129">
        <f t="shared" si="75"/>
        <v>0.68888888888888888</v>
      </c>
      <c r="AJ193" s="426">
        <f t="shared" si="88"/>
        <v>280</v>
      </c>
      <c r="AK193" s="131">
        <f t="shared" si="55"/>
        <v>93.333333333333329</v>
      </c>
      <c r="AL193" s="477">
        <f>AK193/VLOOKUP(IF(I193&gt;0,I193,1),Preise!$A$3:$B$27,2,FALSE)</f>
        <v>93.333333333333329</v>
      </c>
    </row>
    <row r="194" spans="1:38" s="3" customFormat="1" outlineLevel="1" x14ac:dyDescent="0.2">
      <c r="A194" s="5">
        <v>1204</v>
      </c>
      <c r="B194" s="412">
        <v>1204</v>
      </c>
      <c r="C194" s="132" t="str">
        <f>VLOOKUP(B194,Gegenstände!$A223:$B877,2,FALSE)</f>
        <v>Leinen-Hose</v>
      </c>
      <c r="D194" s="133">
        <f>VLOOKUP(B194,Gegenstände!$A223:$D876,4,FALSE)</f>
        <v>2</v>
      </c>
      <c r="E194" s="468">
        <v>33</v>
      </c>
      <c r="F194" s="3">
        <v>240</v>
      </c>
      <c r="G194" s="54">
        <v>1</v>
      </c>
      <c r="H194" s="469">
        <v>66</v>
      </c>
      <c r="I194" s="54">
        <v>1</v>
      </c>
      <c r="J194" s="470"/>
      <c r="K194" s="54">
        <v>7</v>
      </c>
      <c r="L194" s="3" t="s">
        <v>151</v>
      </c>
      <c r="M194" s="85">
        <v>5</v>
      </c>
      <c r="N194" s="83" t="s">
        <v>194</v>
      </c>
      <c r="O194" s="85"/>
      <c r="P194" s="83"/>
      <c r="Q194" s="85"/>
      <c r="R194" s="83"/>
      <c r="S194" s="170"/>
      <c r="T194" s="170"/>
      <c r="U194" s="471">
        <f>VLOOKUP(D194,Preise!$A$3:$C$27,3)</f>
        <v>1.1499999999999999</v>
      </c>
      <c r="V194" s="523">
        <f>0.2*W194</f>
        <v>1150</v>
      </c>
      <c r="W194" s="131">
        <f t="shared" si="83"/>
        <v>5750</v>
      </c>
      <c r="X194" s="472">
        <f t="shared" si="84"/>
        <v>1200</v>
      </c>
      <c r="Y194" s="473">
        <f t="shared" si="85"/>
        <v>1200</v>
      </c>
      <c r="Z194" s="474">
        <f>IF(ISERROR(VLOOKUP(L194,Gegenstände!$B$2:$N$2026,13,FALSE)),0,VLOOKUP(L194,Gegenstände!$B$2:$N$2026,13,FALSE))</f>
        <v>60</v>
      </c>
      <c r="AA194" s="142">
        <f>IF(ISERROR(VLOOKUP(N194,Gegenstände!$B$2:$N$2026,13,FALSE)),0,VLOOKUP(N194,Gegenstände!$B$2:$N$2026,13,FALSE))</f>
        <v>80</v>
      </c>
      <c r="AB194" s="142">
        <f>IF(ISERROR(VLOOKUP(P194,Gegenstände!$B$2:$N$2026,13,FALSE)),0,VLOOKUP(P194,Gegenstände!$B$2:$N$2026,13,FALSE))</f>
        <v>0</v>
      </c>
      <c r="AC194" s="142">
        <f>IF(ISERROR(VLOOKUP(R194,Gegenstände!$B$2:$N$2026,13,FALSE)),0,VLOOKUP(R194,Gegenstände!$B$2:$N$2026,13,FALSE))</f>
        <v>0</v>
      </c>
      <c r="AD194" s="142"/>
      <c r="AE194" s="475">
        <f t="shared" si="86"/>
        <v>420</v>
      </c>
      <c r="AF194" s="476">
        <f t="shared" si="87"/>
        <v>400</v>
      </c>
      <c r="AG194" s="128">
        <f t="shared" si="73"/>
        <v>0.35</v>
      </c>
      <c r="AH194" s="128">
        <f t="shared" si="74"/>
        <v>0.33333333333333331</v>
      </c>
      <c r="AI194" s="129">
        <f t="shared" si="75"/>
        <v>0.68333333333333335</v>
      </c>
      <c r="AJ194" s="426">
        <f t="shared" si="88"/>
        <v>380</v>
      </c>
      <c r="AK194" s="131">
        <f t="shared" si="55"/>
        <v>95</v>
      </c>
      <c r="AL194" s="477">
        <f>AK194/VLOOKUP(IF(I194&gt;0,I194,1),Preise!$A$3:$B$27,2,FALSE)</f>
        <v>95</v>
      </c>
    </row>
    <row r="195" spans="1:38" s="3" customFormat="1" outlineLevel="1" x14ac:dyDescent="0.2">
      <c r="A195" s="5">
        <v>1205</v>
      </c>
      <c r="B195" s="412">
        <v>1205</v>
      </c>
      <c r="C195" s="132" t="str">
        <f>VLOOKUP(B195,Gegenstände!$A224:$B878,2,FALSE)</f>
        <v>Leinen-Schuhe</v>
      </c>
      <c r="D195" s="133">
        <f>VLOOKUP(B195,Gegenstände!$A224:$D877,4,FALSE)</f>
        <v>2</v>
      </c>
      <c r="E195" s="468">
        <v>33</v>
      </c>
      <c r="F195" s="3">
        <v>180</v>
      </c>
      <c r="G195" s="54">
        <v>1</v>
      </c>
      <c r="H195" s="469">
        <v>66</v>
      </c>
      <c r="I195" s="54">
        <v>1</v>
      </c>
      <c r="J195" s="470"/>
      <c r="K195" s="54">
        <v>5</v>
      </c>
      <c r="L195" s="3" t="s">
        <v>151</v>
      </c>
      <c r="M195" s="85">
        <v>4</v>
      </c>
      <c r="N195" s="83" t="s">
        <v>194</v>
      </c>
      <c r="O195" s="85"/>
      <c r="P195" s="83"/>
      <c r="Q195" s="85"/>
      <c r="R195" s="83"/>
      <c r="S195" s="170"/>
      <c r="T195" s="170"/>
      <c r="U195" s="471">
        <f>VLOOKUP(D195,Preise!$A$3:$C$27,3)</f>
        <v>1.1499999999999999</v>
      </c>
      <c r="V195" s="558">
        <f>0.15*W195</f>
        <v>862.5</v>
      </c>
      <c r="W195" s="559">
        <f t="shared" si="83"/>
        <v>5750</v>
      </c>
      <c r="X195" s="560">
        <f t="shared" si="84"/>
        <v>900</v>
      </c>
      <c r="Y195" s="473">
        <f t="shared" si="85"/>
        <v>900</v>
      </c>
      <c r="Z195" s="474">
        <f>IF(ISERROR(VLOOKUP(L195,Gegenstände!$B$2:$N$2026,13,FALSE)),0,VLOOKUP(L195,Gegenstände!$B$2:$N$2026,13,FALSE))</f>
        <v>60</v>
      </c>
      <c r="AA195" s="142">
        <f>IF(ISERROR(VLOOKUP(N195,Gegenstände!$B$2:$N$2026,13,FALSE)),0,VLOOKUP(N195,Gegenstände!$B$2:$N$2026,13,FALSE))</f>
        <v>80</v>
      </c>
      <c r="AB195" s="142">
        <f>IF(ISERROR(VLOOKUP(P195,Gegenstände!$B$2:$N$2026,13,FALSE)),0,VLOOKUP(P195,Gegenstände!$B$2:$N$2026,13,FALSE))</f>
        <v>0</v>
      </c>
      <c r="AC195" s="142">
        <f>IF(ISERROR(VLOOKUP(R195,Gegenstände!$B$2:$N$2026,13,FALSE)),0,VLOOKUP(R195,Gegenstände!$B$2:$N$2026,13,FALSE))</f>
        <v>0</v>
      </c>
      <c r="AD195" s="142"/>
      <c r="AE195" s="475">
        <f t="shared" si="86"/>
        <v>300</v>
      </c>
      <c r="AF195" s="476">
        <f t="shared" si="87"/>
        <v>320</v>
      </c>
      <c r="AG195" s="128">
        <f t="shared" si="73"/>
        <v>0.33333333333333331</v>
      </c>
      <c r="AH195" s="128">
        <f t="shared" si="74"/>
        <v>0.35555555555555557</v>
      </c>
      <c r="AI195" s="129">
        <f t="shared" si="75"/>
        <v>0.68888888888888888</v>
      </c>
      <c r="AJ195" s="426">
        <f t="shared" si="88"/>
        <v>280</v>
      </c>
      <c r="AK195" s="131">
        <f t="shared" si="55"/>
        <v>93.333333333333329</v>
      </c>
      <c r="AL195" s="477">
        <f>AK195/VLOOKUP(IF(I195&gt;0,I195,1),Preise!$A$3:$B$27,2,FALSE)</f>
        <v>93.333333333333329</v>
      </c>
    </row>
    <row r="196" spans="1:38" s="3" customFormat="1" outlineLevel="1" x14ac:dyDescent="0.2">
      <c r="A196" s="5">
        <v>1206</v>
      </c>
      <c r="B196" s="412">
        <v>1206</v>
      </c>
      <c r="C196" s="132" t="str">
        <f>VLOOKUP(B196,Gegenstände!$A225:$B879,2,FALSE)</f>
        <v>Leinen-Spitzhut</v>
      </c>
      <c r="D196" s="133">
        <f>VLOOKUP(B196,Gegenstände!$A225:$D878,4,FALSE)</f>
        <v>4</v>
      </c>
      <c r="E196" s="468">
        <v>33</v>
      </c>
      <c r="F196" s="3">
        <v>240</v>
      </c>
      <c r="G196" s="54">
        <v>1</v>
      </c>
      <c r="H196" s="469">
        <v>66</v>
      </c>
      <c r="I196" s="54">
        <v>3</v>
      </c>
      <c r="J196" s="470"/>
      <c r="K196" s="54">
        <v>8</v>
      </c>
      <c r="L196" s="3" t="s">
        <v>151</v>
      </c>
      <c r="M196" s="85">
        <v>6</v>
      </c>
      <c r="N196" s="83" t="s">
        <v>194</v>
      </c>
      <c r="O196" s="85"/>
      <c r="P196" s="83"/>
      <c r="Q196" s="85"/>
      <c r="R196" s="83"/>
      <c r="S196" s="170"/>
      <c r="T196" s="170"/>
      <c r="U196" s="471">
        <f>VLOOKUP(D196,Preise!$A$3:$C$27,3)</f>
        <v>1.5208749999999995</v>
      </c>
      <c r="V196" s="523">
        <f>0.2*W196</f>
        <v>1520.8749999999995</v>
      </c>
      <c r="W196" s="131">
        <f t="shared" si="83"/>
        <v>7604.3749999999973</v>
      </c>
      <c r="X196" s="472">
        <f t="shared" si="84"/>
        <v>1500</v>
      </c>
      <c r="Y196" s="473">
        <f t="shared" si="85"/>
        <v>1500</v>
      </c>
      <c r="Z196" s="474">
        <f>IF(ISERROR(VLOOKUP(L196,Gegenstände!$B$2:$N$2026,13,FALSE)),0,VLOOKUP(L196,Gegenstände!$B$2:$N$2026,13,FALSE))</f>
        <v>60</v>
      </c>
      <c r="AA196" s="142">
        <f>IF(ISERROR(VLOOKUP(N196,Gegenstände!$B$2:$N$2026,13,FALSE)),0,VLOOKUP(N196,Gegenstände!$B$2:$N$2026,13,FALSE))</f>
        <v>80</v>
      </c>
      <c r="AB196" s="142">
        <f>IF(ISERROR(VLOOKUP(P196,Gegenstände!$B$2:$N$2026,13,FALSE)),0,VLOOKUP(P196,Gegenstände!$B$2:$N$2026,13,FALSE))</f>
        <v>0</v>
      </c>
      <c r="AC196" s="142">
        <f>IF(ISERROR(VLOOKUP(R196,Gegenstände!$B$2:$N$2026,13,FALSE)),0,VLOOKUP(R196,Gegenstände!$B$2:$N$2026,13,FALSE))</f>
        <v>0</v>
      </c>
      <c r="AD196" s="142"/>
      <c r="AE196" s="475">
        <f t="shared" si="86"/>
        <v>480</v>
      </c>
      <c r="AF196" s="476">
        <f t="shared" si="87"/>
        <v>480</v>
      </c>
      <c r="AG196" s="128">
        <f t="shared" si="73"/>
        <v>0.32</v>
      </c>
      <c r="AH196" s="128">
        <f t="shared" si="74"/>
        <v>0.32</v>
      </c>
      <c r="AI196" s="129">
        <f t="shared" si="75"/>
        <v>0.64</v>
      </c>
      <c r="AJ196" s="426">
        <f t="shared" si="88"/>
        <v>540</v>
      </c>
      <c r="AK196" s="131">
        <f t="shared" si="55"/>
        <v>135</v>
      </c>
      <c r="AL196" s="477">
        <f>AK196/VLOOKUP(IF(I196&gt;0,I196,1),Preise!$A$3:$B$27,2,FALSE)</f>
        <v>96.428571428571431</v>
      </c>
    </row>
    <row r="197" spans="1:38" s="3" customFormat="1" outlineLevel="1" x14ac:dyDescent="0.2">
      <c r="A197" s="5">
        <v>1207</v>
      </c>
      <c r="B197" s="412">
        <v>1207</v>
      </c>
      <c r="C197" s="132" t="str">
        <f>VLOOKUP(B197,Gegenstände!$A226:$B880,2,FALSE)</f>
        <v>Leinen-Tunika</v>
      </c>
      <c r="D197" s="133">
        <f>VLOOKUP(B197,Gegenstände!$A226:$D879,4,FALSE)</f>
        <v>4</v>
      </c>
      <c r="E197" s="468">
        <v>33</v>
      </c>
      <c r="F197" s="3">
        <v>360</v>
      </c>
      <c r="G197" s="54">
        <v>1</v>
      </c>
      <c r="H197" s="469">
        <v>66</v>
      </c>
      <c r="I197" s="54">
        <v>3</v>
      </c>
      <c r="J197" s="470"/>
      <c r="K197" s="54">
        <v>12</v>
      </c>
      <c r="L197" s="3" t="s">
        <v>151</v>
      </c>
      <c r="M197" s="85">
        <v>9</v>
      </c>
      <c r="N197" s="83" t="s">
        <v>194</v>
      </c>
      <c r="O197" s="85"/>
      <c r="P197" s="83"/>
      <c r="Q197" s="85"/>
      <c r="R197" s="83"/>
      <c r="S197" s="170"/>
      <c r="T197" s="170"/>
      <c r="U197" s="471">
        <f>VLOOKUP(D197,Preise!$A$3:$C$27,3)</f>
        <v>1.5208749999999995</v>
      </c>
      <c r="V197" s="523">
        <f>0.3*W197</f>
        <v>2281.3124999999991</v>
      </c>
      <c r="W197" s="131">
        <f t="shared" si="83"/>
        <v>7604.3749999999973</v>
      </c>
      <c r="X197" s="472">
        <f t="shared" si="84"/>
        <v>2300</v>
      </c>
      <c r="Y197" s="473">
        <f t="shared" si="85"/>
        <v>2300</v>
      </c>
      <c r="Z197" s="474">
        <f>IF(ISERROR(VLOOKUP(L197,Gegenstände!$B$2:$N$2026,13,FALSE)),0,VLOOKUP(L197,Gegenstände!$B$2:$N$2026,13,FALSE))</f>
        <v>60</v>
      </c>
      <c r="AA197" s="142">
        <f>IF(ISERROR(VLOOKUP(N197,Gegenstände!$B$2:$N$2026,13,FALSE)),0,VLOOKUP(N197,Gegenstände!$B$2:$N$2026,13,FALSE))</f>
        <v>80</v>
      </c>
      <c r="AB197" s="142">
        <f>IF(ISERROR(VLOOKUP(P197,Gegenstände!$B$2:$N$2026,13,FALSE)),0,VLOOKUP(P197,Gegenstände!$B$2:$N$2026,13,FALSE))</f>
        <v>0</v>
      </c>
      <c r="AC197" s="142">
        <f>IF(ISERROR(VLOOKUP(R197,Gegenstände!$B$2:$N$2026,13,FALSE)),0,VLOOKUP(R197,Gegenstände!$B$2:$N$2026,13,FALSE))</f>
        <v>0</v>
      </c>
      <c r="AD197" s="142"/>
      <c r="AE197" s="475">
        <f t="shared" si="86"/>
        <v>720</v>
      </c>
      <c r="AF197" s="476">
        <f t="shared" si="87"/>
        <v>720</v>
      </c>
      <c r="AG197" s="128">
        <f t="shared" si="73"/>
        <v>0.31304347826086959</v>
      </c>
      <c r="AH197" s="128">
        <f t="shared" si="74"/>
        <v>0.31304347826086959</v>
      </c>
      <c r="AI197" s="129">
        <f t="shared" si="75"/>
        <v>0.62608695652173918</v>
      </c>
      <c r="AJ197" s="426">
        <f t="shared" si="88"/>
        <v>860</v>
      </c>
      <c r="AK197" s="131">
        <f t="shared" si="55"/>
        <v>143.33333333333334</v>
      </c>
      <c r="AL197" s="477">
        <f>AK197/VLOOKUP(IF(I197&gt;0,I197,1),Preise!$A$3:$B$27,2,FALSE)</f>
        <v>102.38095238095239</v>
      </c>
    </row>
    <row r="198" spans="1:38" s="3" customFormat="1" outlineLevel="1" x14ac:dyDescent="0.2">
      <c r="A198" s="5">
        <v>1208</v>
      </c>
      <c r="B198" s="412">
        <v>1208</v>
      </c>
      <c r="C198" s="132" t="str">
        <f>VLOOKUP(B198,Gegenstände!$A227:$B881,2,FALSE)</f>
        <v>Leinen-Stulpen</v>
      </c>
      <c r="D198" s="133">
        <f>VLOOKUP(B198,Gegenstände!$A227:$D880,4,FALSE)</f>
        <v>5</v>
      </c>
      <c r="E198" s="468">
        <v>33</v>
      </c>
      <c r="F198" s="3">
        <v>180</v>
      </c>
      <c r="G198" s="54">
        <v>1</v>
      </c>
      <c r="H198" s="469">
        <v>66</v>
      </c>
      <c r="I198" s="54">
        <v>4</v>
      </c>
      <c r="J198" s="470"/>
      <c r="K198" s="54">
        <v>7</v>
      </c>
      <c r="L198" s="3" t="s">
        <v>151</v>
      </c>
      <c r="M198" s="85">
        <v>5</v>
      </c>
      <c r="N198" s="83" t="s">
        <v>194</v>
      </c>
      <c r="O198" s="85"/>
      <c r="P198" s="83"/>
      <c r="Q198" s="85"/>
      <c r="R198" s="83"/>
      <c r="S198" s="170"/>
      <c r="T198" s="170"/>
      <c r="U198" s="471">
        <f>VLOOKUP(D198,Preise!$A$3:$C$27,3)</f>
        <v>1.7490062499999994</v>
      </c>
      <c r="V198" s="523">
        <f>0.15*W198</f>
        <v>1311.7546874999994</v>
      </c>
      <c r="W198" s="131">
        <f t="shared" si="83"/>
        <v>8745.0312499999964</v>
      </c>
      <c r="X198" s="472">
        <f t="shared" si="84"/>
        <v>1300</v>
      </c>
      <c r="Y198" s="473">
        <f t="shared" si="85"/>
        <v>1300</v>
      </c>
      <c r="Z198" s="474">
        <f>IF(ISERROR(VLOOKUP(L198,Gegenstände!$B$2:$N$2026,13,FALSE)),0,VLOOKUP(L198,Gegenstände!$B$2:$N$2026,13,FALSE))</f>
        <v>60</v>
      </c>
      <c r="AA198" s="142">
        <f>IF(ISERROR(VLOOKUP(N198,Gegenstände!$B$2:$N$2026,13,FALSE)),0,VLOOKUP(N198,Gegenstände!$B$2:$N$2026,13,FALSE))</f>
        <v>80</v>
      </c>
      <c r="AB198" s="142">
        <f>IF(ISERROR(VLOOKUP(P198,Gegenstände!$B$2:$N$2026,13,FALSE)),0,VLOOKUP(P198,Gegenstände!$B$2:$N$2026,13,FALSE))</f>
        <v>0</v>
      </c>
      <c r="AC198" s="142">
        <f>IF(ISERROR(VLOOKUP(R198,Gegenstände!$B$2:$N$2026,13,FALSE)),0,VLOOKUP(R198,Gegenstände!$B$2:$N$2026,13,FALSE))</f>
        <v>0</v>
      </c>
      <c r="AD198" s="142"/>
      <c r="AE198" s="475">
        <f t="shared" si="86"/>
        <v>420</v>
      </c>
      <c r="AF198" s="476">
        <f t="shared" si="87"/>
        <v>400</v>
      </c>
      <c r="AG198" s="128">
        <f t="shared" si="73"/>
        <v>0.32307692307692309</v>
      </c>
      <c r="AH198" s="128">
        <f t="shared" si="74"/>
        <v>0.30769230769230771</v>
      </c>
      <c r="AI198" s="129">
        <f t="shared" si="75"/>
        <v>0.63076923076923075</v>
      </c>
      <c r="AJ198" s="426">
        <f t="shared" si="88"/>
        <v>480</v>
      </c>
      <c r="AK198" s="131">
        <f t="shared" si="55"/>
        <v>160</v>
      </c>
      <c r="AL198" s="477">
        <f>AK198/VLOOKUP(IF(I198&gt;0,I198,1),Preise!$A$3:$B$27,2,FALSE)</f>
        <v>100.00000000000001</v>
      </c>
    </row>
    <row r="199" spans="1:38" s="3" customFormat="1" outlineLevel="1" x14ac:dyDescent="0.2">
      <c r="A199" s="5">
        <v>1209</v>
      </c>
      <c r="B199" s="412">
        <v>1209</v>
      </c>
      <c r="C199" s="132" t="str">
        <f>VLOOKUP(B199,Gegenstände!$A228:$B882,2,FALSE)</f>
        <v>Leinen-Beinlinge</v>
      </c>
      <c r="D199" s="133">
        <f>VLOOKUP(B199,Gegenstände!$A228:$D881,4,FALSE)</f>
        <v>5</v>
      </c>
      <c r="E199" s="468">
        <v>33</v>
      </c>
      <c r="F199" s="3">
        <v>240</v>
      </c>
      <c r="G199" s="54">
        <v>1</v>
      </c>
      <c r="H199" s="469">
        <v>66</v>
      </c>
      <c r="I199" s="54">
        <v>4</v>
      </c>
      <c r="J199" s="470"/>
      <c r="K199" s="54">
        <v>10</v>
      </c>
      <c r="L199" s="3" t="s">
        <v>151</v>
      </c>
      <c r="M199" s="85">
        <v>7</v>
      </c>
      <c r="N199" s="83" t="s">
        <v>194</v>
      </c>
      <c r="O199" s="85"/>
      <c r="P199" s="83"/>
      <c r="Q199" s="85"/>
      <c r="R199" s="83"/>
      <c r="S199" s="170"/>
      <c r="T199" s="170"/>
      <c r="U199" s="471">
        <f>VLOOKUP(D199,Preise!$A$3:$C$27,3)</f>
        <v>1.7490062499999994</v>
      </c>
      <c r="V199" s="523">
        <f>0.2*W199</f>
        <v>1749.0062499999995</v>
      </c>
      <c r="W199" s="131">
        <f t="shared" si="83"/>
        <v>8745.0312499999964</v>
      </c>
      <c r="X199" s="472">
        <f t="shared" si="84"/>
        <v>1700</v>
      </c>
      <c r="Y199" s="473">
        <f t="shared" si="85"/>
        <v>1700</v>
      </c>
      <c r="Z199" s="474">
        <f>IF(ISERROR(VLOOKUP(L199,Gegenstände!$B$2:$N$2026,13,FALSE)),0,VLOOKUP(L199,Gegenstände!$B$2:$N$2026,13,FALSE))</f>
        <v>60</v>
      </c>
      <c r="AA199" s="142">
        <f>IF(ISERROR(VLOOKUP(N199,Gegenstände!$B$2:$N$2026,13,FALSE)),0,VLOOKUP(N199,Gegenstände!$B$2:$N$2026,13,FALSE))</f>
        <v>80</v>
      </c>
      <c r="AB199" s="142">
        <f>IF(ISERROR(VLOOKUP(P199,Gegenstände!$B$2:$N$2026,13,FALSE)),0,VLOOKUP(P199,Gegenstände!$B$2:$N$2026,13,FALSE))</f>
        <v>0</v>
      </c>
      <c r="AC199" s="142">
        <f>IF(ISERROR(VLOOKUP(R199,Gegenstände!$B$2:$N$2026,13,FALSE)),0,VLOOKUP(R199,Gegenstände!$B$2:$N$2026,13,FALSE))</f>
        <v>0</v>
      </c>
      <c r="AD199" s="142"/>
      <c r="AE199" s="475">
        <f t="shared" si="86"/>
        <v>600</v>
      </c>
      <c r="AF199" s="476">
        <f t="shared" si="87"/>
        <v>560</v>
      </c>
      <c r="AG199" s="128">
        <f t="shared" si="73"/>
        <v>0.35294117647058826</v>
      </c>
      <c r="AH199" s="128">
        <f t="shared" si="74"/>
        <v>0.32941176470588235</v>
      </c>
      <c r="AI199" s="129">
        <f t="shared" si="75"/>
        <v>0.68235294117647061</v>
      </c>
      <c r="AJ199" s="426">
        <f t="shared" si="88"/>
        <v>540</v>
      </c>
      <c r="AK199" s="131">
        <f t="shared" si="55"/>
        <v>135</v>
      </c>
      <c r="AL199" s="477">
        <f>AK199/VLOOKUP(IF(I199&gt;0,I199,1),Preise!$A$3:$B$27,2,FALSE)</f>
        <v>84.375</v>
      </c>
    </row>
    <row r="200" spans="1:38" s="3" customFormat="1" outlineLevel="1" x14ac:dyDescent="0.2">
      <c r="A200" s="345">
        <v>1210</v>
      </c>
      <c r="B200" s="561">
        <v>1210</v>
      </c>
      <c r="C200" s="413" t="str">
        <f>VLOOKUP(B200,Gegenstände!$A234:$B883,2,FALSE)</f>
        <v>Leinen-Stiefel</v>
      </c>
      <c r="D200" s="562">
        <f>VLOOKUP(B200,Gegenstände!$A234:$D882,4,FALSE)</f>
        <v>5</v>
      </c>
      <c r="E200" s="563">
        <v>33</v>
      </c>
      <c r="F200" s="564">
        <v>180</v>
      </c>
      <c r="G200" s="335">
        <v>1</v>
      </c>
      <c r="H200" s="565">
        <v>66</v>
      </c>
      <c r="I200" s="335">
        <v>4</v>
      </c>
      <c r="J200" s="566"/>
      <c r="K200" s="335">
        <v>7</v>
      </c>
      <c r="L200" s="334" t="s">
        <v>151</v>
      </c>
      <c r="M200" s="567">
        <v>5</v>
      </c>
      <c r="N200" s="568" t="s">
        <v>194</v>
      </c>
      <c r="O200" s="567"/>
      <c r="P200" s="568"/>
      <c r="Q200" s="567"/>
      <c r="R200" s="568"/>
      <c r="S200" s="569"/>
      <c r="T200" s="570"/>
      <c r="U200" s="471">
        <f>VLOOKUP(D200,Preise!$A$3:$C$27,3)</f>
        <v>1.7490062499999994</v>
      </c>
      <c r="V200" s="558">
        <f>0.15*W200</f>
        <v>1311.7546874999994</v>
      </c>
      <c r="W200" s="559">
        <f t="shared" si="83"/>
        <v>8745.0312499999964</v>
      </c>
      <c r="X200" s="472">
        <f t="shared" si="84"/>
        <v>1300</v>
      </c>
      <c r="Y200" s="473">
        <f t="shared" si="85"/>
        <v>1300</v>
      </c>
      <c r="Z200" s="474">
        <f>IF(ISERROR(VLOOKUP(L200,Gegenstände!$B$2:$N$2026,13,FALSE)),0,VLOOKUP(L200,Gegenstände!$B$2:$N$2026,13,FALSE))</f>
        <v>60</v>
      </c>
      <c r="AA200" s="142">
        <f>IF(ISERROR(VLOOKUP(N200,Gegenstände!$B$2:$N$2026,13,FALSE)),0,VLOOKUP(N200,Gegenstände!$B$2:$N$2026,13,FALSE))</f>
        <v>80</v>
      </c>
      <c r="AB200" s="142">
        <f>IF(ISERROR(VLOOKUP(P200,Gegenstände!$B$2:$N$2026,13,FALSE)),0,VLOOKUP(P200,Gegenstände!$B$2:$N$2026,13,FALSE))</f>
        <v>0</v>
      </c>
      <c r="AC200" s="142">
        <f>IF(ISERROR(VLOOKUP(R200,Gegenstände!$B$2:$N$2026,13,FALSE)),0,VLOOKUP(R200,Gegenstände!$B$2:$N$2026,13,FALSE))</f>
        <v>0</v>
      </c>
      <c r="AD200" s="142"/>
      <c r="AE200" s="475">
        <f t="shared" si="86"/>
        <v>420</v>
      </c>
      <c r="AF200" s="476">
        <f t="shared" si="87"/>
        <v>400</v>
      </c>
      <c r="AG200" s="128">
        <f t="shared" si="73"/>
        <v>0.32307692307692309</v>
      </c>
      <c r="AH200" s="128">
        <f t="shared" si="74"/>
        <v>0.30769230769230771</v>
      </c>
      <c r="AI200" s="129">
        <f t="shared" si="75"/>
        <v>0.63076923076923075</v>
      </c>
      <c r="AJ200" s="426">
        <f t="shared" si="88"/>
        <v>480</v>
      </c>
      <c r="AK200" s="131">
        <f t="shared" si="55"/>
        <v>160</v>
      </c>
      <c r="AL200" s="477">
        <f>AK200/VLOOKUP(IF(I200&gt;0,I200,1),Preise!$A$3:$B$27,2,FALSE)</f>
        <v>100.00000000000001</v>
      </c>
    </row>
    <row r="201" spans="1:38" s="3" customFormat="1" outlineLevel="1" x14ac:dyDescent="0.2">
      <c r="A201" s="5">
        <v>1211</v>
      </c>
      <c r="B201" s="412">
        <v>1211</v>
      </c>
      <c r="C201" s="132" t="str">
        <f>VLOOKUP(B201,Gegenstände!$A235:$B884,2,FALSE)</f>
        <v>Woll-Haube</v>
      </c>
      <c r="D201" s="133">
        <f>VLOOKUP(B201,Gegenstände!$A235:$D883,4,FALSE)</f>
        <v>6</v>
      </c>
      <c r="E201" s="468">
        <v>33</v>
      </c>
      <c r="F201" s="3">
        <v>240</v>
      </c>
      <c r="G201" s="54">
        <v>2</v>
      </c>
      <c r="H201" s="469">
        <v>66</v>
      </c>
      <c r="I201" s="54">
        <v>5</v>
      </c>
      <c r="J201" s="470"/>
      <c r="K201" s="54">
        <v>6</v>
      </c>
      <c r="L201" s="3" t="s">
        <v>152</v>
      </c>
      <c r="M201" s="85">
        <v>8</v>
      </c>
      <c r="N201" s="83" t="s">
        <v>194</v>
      </c>
      <c r="O201" s="85"/>
      <c r="P201" s="83"/>
      <c r="Q201" s="85"/>
      <c r="R201" s="83"/>
      <c r="S201" s="170"/>
      <c r="T201" s="170"/>
      <c r="U201" s="471">
        <f>VLOOKUP(D201,Preise!$A$3:$C$27,3)</f>
        <v>2.0113571874999994</v>
      </c>
      <c r="V201" s="523">
        <f>0.2*W201</f>
        <v>2011.3571874999996</v>
      </c>
      <c r="W201" s="131">
        <f t="shared" si="83"/>
        <v>10056.785937499997</v>
      </c>
      <c r="X201" s="557">
        <f t="shared" si="84"/>
        <v>2000</v>
      </c>
      <c r="Y201" s="473">
        <f t="shared" si="85"/>
        <v>2000</v>
      </c>
      <c r="Z201" s="474">
        <f>IF(ISERROR(VLOOKUP(L201,Gegenstände!$B$2:$N$2026,13,FALSE)),0,VLOOKUP(L201,Gegenstände!$B$2:$N$2026,13,FALSE))</f>
        <v>120</v>
      </c>
      <c r="AA201" s="142">
        <f>IF(ISERROR(VLOOKUP(N201,Gegenstände!$B$2:$N$2026,13,FALSE)),0,VLOOKUP(N201,Gegenstände!$B$2:$N$2026,13,FALSE))</f>
        <v>80</v>
      </c>
      <c r="AB201" s="142">
        <f>IF(ISERROR(VLOOKUP(P201,Gegenstände!$B$2:$N$2026,13,FALSE)),0,VLOOKUP(P201,Gegenstände!$B$2:$N$2026,13,FALSE))</f>
        <v>0</v>
      </c>
      <c r="AC201" s="142">
        <f>IF(ISERROR(VLOOKUP(R201,Gegenstände!$B$2:$N$2026,13,FALSE)),0,VLOOKUP(R201,Gegenstände!$B$2:$N$2026,13,FALSE))</f>
        <v>0</v>
      </c>
      <c r="AD201" s="142"/>
      <c r="AE201" s="475">
        <f t="shared" si="86"/>
        <v>720</v>
      </c>
      <c r="AF201" s="476">
        <f t="shared" si="87"/>
        <v>640</v>
      </c>
      <c r="AG201" s="128">
        <f t="shared" si="73"/>
        <v>0.36</v>
      </c>
      <c r="AH201" s="128">
        <f t="shared" si="74"/>
        <v>0.32</v>
      </c>
      <c r="AI201" s="129">
        <f t="shared" si="75"/>
        <v>0.68</v>
      </c>
      <c r="AJ201" s="426">
        <f t="shared" si="88"/>
        <v>640</v>
      </c>
      <c r="AK201" s="131">
        <f t="shared" si="55"/>
        <v>160</v>
      </c>
      <c r="AL201" s="477">
        <f>AK201/VLOOKUP(IF(I201&gt;0,I201,1),Preise!$A$3:$B$27,2,FALSE)</f>
        <v>88.8888888888889</v>
      </c>
    </row>
    <row r="202" spans="1:38" s="3" customFormat="1" outlineLevel="1" x14ac:dyDescent="0.2">
      <c r="A202" s="5">
        <v>1212</v>
      </c>
      <c r="B202" s="412">
        <v>1212</v>
      </c>
      <c r="C202" s="132" t="str">
        <f>VLOOKUP(B202,Gegenstände!$A236:$B885,2,FALSE)</f>
        <v>Woll-Robe</v>
      </c>
      <c r="D202" s="133">
        <f>VLOOKUP(B202,Gegenstände!$A236:$D884,4,FALSE)</f>
        <v>6</v>
      </c>
      <c r="E202" s="468">
        <v>33</v>
      </c>
      <c r="F202" s="3">
        <v>360</v>
      </c>
      <c r="G202" s="54">
        <v>2</v>
      </c>
      <c r="H202" s="469">
        <v>66</v>
      </c>
      <c r="I202" s="54">
        <v>5</v>
      </c>
      <c r="J202" s="470"/>
      <c r="K202" s="54">
        <v>8</v>
      </c>
      <c r="L202" s="3" t="s">
        <v>152</v>
      </c>
      <c r="M202" s="85">
        <v>12</v>
      </c>
      <c r="N202" s="83" t="s">
        <v>194</v>
      </c>
      <c r="O202" s="85"/>
      <c r="P202" s="83"/>
      <c r="Q202" s="85"/>
      <c r="R202" s="83"/>
      <c r="S202" s="170"/>
      <c r="T202" s="170"/>
      <c r="U202" s="471">
        <f>VLOOKUP(D202,Preise!$A$3:$C$27,3)</f>
        <v>2.0113571874999994</v>
      </c>
      <c r="V202" s="523">
        <f>0.3*W202</f>
        <v>3017.0357812499992</v>
      </c>
      <c r="W202" s="131">
        <f t="shared" si="83"/>
        <v>10056.785937499997</v>
      </c>
      <c r="X202" s="472">
        <f t="shared" si="84"/>
        <v>3000</v>
      </c>
      <c r="Y202" s="473">
        <f t="shared" si="85"/>
        <v>3000</v>
      </c>
      <c r="Z202" s="474">
        <f>IF(ISERROR(VLOOKUP(L202,Gegenstände!$B$2:$N$2026,13,FALSE)),0,VLOOKUP(L202,Gegenstände!$B$2:$N$2026,13,FALSE))</f>
        <v>120</v>
      </c>
      <c r="AA202" s="142">
        <f>IF(ISERROR(VLOOKUP(N202,Gegenstände!$B$2:$N$2026,13,FALSE)),0,VLOOKUP(N202,Gegenstände!$B$2:$N$2026,13,FALSE))</f>
        <v>80</v>
      </c>
      <c r="AB202" s="142">
        <f>IF(ISERROR(VLOOKUP(P202,Gegenstände!$B$2:$N$2026,13,FALSE)),0,VLOOKUP(P202,Gegenstände!$B$2:$N$2026,13,FALSE))</f>
        <v>0</v>
      </c>
      <c r="AC202" s="142">
        <f>IF(ISERROR(VLOOKUP(R202,Gegenstände!$B$2:$N$2026,13,FALSE)),0,VLOOKUP(R202,Gegenstände!$B$2:$N$2026,13,FALSE))</f>
        <v>0</v>
      </c>
      <c r="AD202" s="142"/>
      <c r="AE202" s="475">
        <f t="shared" si="86"/>
        <v>960</v>
      </c>
      <c r="AF202" s="476">
        <f t="shared" si="87"/>
        <v>960</v>
      </c>
      <c r="AG202" s="128">
        <f t="shared" si="73"/>
        <v>0.32</v>
      </c>
      <c r="AH202" s="128">
        <f t="shared" si="74"/>
        <v>0.32</v>
      </c>
      <c r="AI202" s="129">
        <f t="shared" si="75"/>
        <v>0.64</v>
      </c>
      <c r="AJ202" s="426">
        <f t="shared" si="88"/>
        <v>1080</v>
      </c>
      <c r="AK202" s="131">
        <f t="shared" ref="AK202:AK265" si="89">(AJ202*60)/F202</f>
        <v>180</v>
      </c>
      <c r="AL202" s="477">
        <f>AK202/VLOOKUP(IF(I202&gt;0,I202,1),Preise!$A$3:$B$27,2,FALSE)</f>
        <v>100.00000000000001</v>
      </c>
    </row>
    <row r="203" spans="1:38" s="3" customFormat="1" outlineLevel="1" x14ac:dyDescent="0.2">
      <c r="A203" s="5">
        <v>1213</v>
      </c>
      <c r="B203" s="412">
        <v>1213</v>
      </c>
      <c r="C203" s="132" t="str">
        <f>VLOOKUP(B203,Gegenstände!$A237:$B885,2,FALSE)</f>
        <v>Woll-Handschuhe</v>
      </c>
      <c r="D203" s="133">
        <f>VLOOKUP(B203,Gegenstände!$A237:$D885,4,FALSE)</f>
        <v>7</v>
      </c>
      <c r="E203" s="468">
        <v>33</v>
      </c>
      <c r="F203" s="3">
        <v>180</v>
      </c>
      <c r="G203" s="54">
        <v>2</v>
      </c>
      <c r="H203" s="469">
        <v>66</v>
      </c>
      <c r="I203" s="54">
        <v>6</v>
      </c>
      <c r="J203" s="470"/>
      <c r="K203" s="54">
        <v>5</v>
      </c>
      <c r="L203" s="3" t="s">
        <v>152</v>
      </c>
      <c r="M203" s="85">
        <v>7</v>
      </c>
      <c r="N203" s="83" t="s">
        <v>194</v>
      </c>
      <c r="O203" s="85"/>
      <c r="P203" s="83"/>
      <c r="Q203" s="85"/>
      <c r="R203" s="83"/>
      <c r="S203" s="170"/>
      <c r="T203" s="170"/>
      <c r="U203" s="471">
        <f>VLOOKUP(D203,Preise!$A$3:$C$27,3)</f>
        <v>2.3130607656249991</v>
      </c>
      <c r="V203" s="523">
        <f>0.15*W203</f>
        <v>1734.7955742187494</v>
      </c>
      <c r="W203" s="131">
        <f t="shared" si="83"/>
        <v>11565.303828124996</v>
      </c>
      <c r="X203" s="472">
        <f t="shared" si="84"/>
        <v>1700</v>
      </c>
      <c r="Y203" s="473">
        <f t="shared" si="85"/>
        <v>1700</v>
      </c>
      <c r="Z203" s="474">
        <f>IF(ISERROR(VLOOKUP(L203,Gegenstände!$B$2:$N$2026,13,FALSE)),0,VLOOKUP(L203,Gegenstände!$B$2:$N$2026,13,FALSE))</f>
        <v>120</v>
      </c>
      <c r="AA203" s="142">
        <f>IF(ISERROR(VLOOKUP(N203,Gegenstände!$B$2:$N$2026,13,FALSE)),0,VLOOKUP(N203,Gegenstände!$B$2:$N$2026,13,FALSE))</f>
        <v>80</v>
      </c>
      <c r="AB203" s="142">
        <f>IF(ISERROR(VLOOKUP(P203,Gegenstände!$B$2:$N$2026,13,FALSE)),0,VLOOKUP(P203,Gegenstände!$B$2:$N$2026,13,FALSE))</f>
        <v>0</v>
      </c>
      <c r="AC203" s="142">
        <f>IF(ISERROR(VLOOKUP(R203,Gegenstände!$B$2:$N$2026,13,FALSE)),0,VLOOKUP(R203,Gegenstände!$B$2:$N$2026,13,FALSE))</f>
        <v>0</v>
      </c>
      <c r="AD203" s="142"/>
      <c r="AE203" s="475">
        <f t="shared" si="86"/>
        <v>600</v>
      </c>
      <c r="AF203" s="476">
        <f t="shared" si="87"/>
        <v>560</v>
      </c>
      <c r="AG203" s="128">
        <f t="shared" si="73"/>
        <v>0.35294117647058826</v>
      </c>
      <c r="AH203" s="128">
        <f t="shared" si="74"/>
        <v>0.32941176470588235</v>
      </c>
      <c r="AI203" s="129">
        <f t="shared" si="75"/>
        <v>0.68235294117647061</v>
      </c>
      <c r="AJ203" s="426">
        <f t="shared" si="88"/>
        <v>540</v>
      </c>
      <c r="AK203" s="131">
        <f t="shared" si="89"/>
        <v>180</v>
      </c>
      <c r="AL203" s="477">
        <f>AK203/VLOOKUP(IF(I203&gt;0,I203,1),Preise!$A$3:$B$27,2,FALSE)</f>
        <v>90.000000000000014</v>
      </c>
    </row>
    <row r="204" spans="1:38" s="3" customFormat="1" outlineLevel="1" x14ac:dyDescent="0.2">
      <c r="A204" s="5">
        <v>1214</v>
      </c>
      <c r="B204" s="412">
        <v>1214</v>
      </c>
      <c r="C204" s="132" t="str">
        <f>VLOOKUP(B204,Gegenstände!$A238:$B886,2,FALSE)</f>
        <v>Woll-Hose</v>
      </c>
      <c r="D204" s="133">
        <f>VLOOKUP(B204,Gegenstände!$A238:$D886,4,FALSE)</f>
        <v>7</v>
      </c>
      <c r="E204" s="468">
        <v>33</v>
      </c>
      <c r="F204" s="3">
        <v>240</v>
      </c>
      <c r="G204" s="54">
        <v>2</v>
      </c>
      <c r="H204" s="469">
        <v>66</v>
      </c>
      <c r="I204" s="54">
        <v>6</v>
      </c>
      <c r="J204" s="470"/>
      <c r="K204" s="54">
        <v>6</v>
      </c>
      <c r="L204" s="3" t="s">
        <v>152</v>
      </c>
      <c r="M204" s="85">
        <v>9</v>
      </c>
      <c r="N204" s="83" t="s">
        <v>194</v>
      </c>
      <c r="O204" s="85"/>
      <c r="P204" s="83"/>
      <c r="Q204" s="85"/>
      <c r="R204" s="83"/>
      <c r="S204" s="170"/>
      <c r="T204" s="170"/>
      <c r="U204" s="471">
        <f>VLOOKUP(D204,Preise!$A$3:$C$27,3)</f>
        <v>2.3130607656249991</v>
      </c>
      <c r="V204" s="523">
        <f>0.2*W204</f>
        <v>2313.060765624999</v>
      </c>
      <c r="W204" s="131">
        <f t="shared" si="83"/>
        <v>11565.303828124996</v>
      </c>
      <c r="X204" s="472">
        <f t="shared" si="84"/>
        <v>2300</v>
      </c>
      <c r="Y204" s="473">
        <f t="shared" si="85"/>
        <v>2300</v>
      </c>
      <c r="Z204" s="474">
        <f>IF(ISERROR(VLOOKUP(L204,Gegenstände!$B$2:$N$2026,13,FALSE)),0,VLOOKUP(L204,Gegenstände!$B$2:$N$2026,13,FALSE))</f>
        <v>120</v>
      </c>
      <c r="AA204" s="142">
        <f>IF(ISERROR(VLOOKUP(N204,Gegenstände!$B$2:$N$2026,13,FALSE)),0,VLOOKUP(N204,Gegenstände!$B$2:$N$2026,13,FALSE))</f>
        <v>80</v>
      </c>
      <c r="AB204" s="142">
        <f>IF(ISERROR(VLOOKUP(P204,Gegenstände!$B$2:$N$2026,13,FALSE)),0,VLOOKUP(P204,Gegenstände!$B$2:$N$2026,13,FALSE))</f>
        <v>0</v>
      </c>
      <c r="AC204" s="142">
        <f>IF(ISERROR(VLOOKUP(R204,Gegenstände!$B$2:$N$2026,13,FALSE)),0,VLOOKUP(R204,Gegenstände!$B$2:$N$2026,13,FALSE))</f>
        <v>0</v>
      </c>
      <c r="AD204" s="142"/>
      <c r="AE204" s="475">
        <f t="shared" si="86"/>
        <v>720</v>
      </c>
      <c r="AF204" s="476">
        <f t="shared" si="87"/>
        <v>720</v>
      </c>
      <c r="AG204" s="128">
        <f t="shared" si="73"/>
        <v>0.31304347826086959</v>
      </c>
      <c r="AH204" s="128">
        <f t="shared" si="74"/>
        <v>0.31304347826086959</v>
      </c>
      <c r="AI204" s="129">
        <f t="shared" si="75"/>
        <v>0.62608695652173918</v>
      </c>
      <c r="AJ204" s="426">
        <f t="shared" si="88"/>
        <v>860</v>
      </c>
      <c r="AK204" s="131">
        <f t="shared" si="89"/>
        <v>215</v>
      </c>
      <c r="AL204" s="477">
        <f>AK204/VLOOKUP(IF(I204&gt;0,I204,1),Preise!$A$3:$B$27,2,FALSE)</f>
        <v>107.50000000000001</v>
      </c>
    </row>
    <row r="205" spans="1:38" s="3" customFormat="1" outlineLevel="1" x14ac:dyDescent="0.2">
      <c r="A205" s="5">
        <v>1215</v>
      </c>
      <c r="B205" s="412">
        <v>1215</v>
      </c>
      <c r="C205" s="132" t="str">
        <f>VLOOKUP(B205,Gegenstände!$A239:$B887,2,FALSE)</f>
        <v>Woll-Schuhe</v>
      </c>
      <c r="D205" s="133">
        <f>VLOOKUP(B205,Gegenstände!$A239:$D887,4,FALSE)</f>
        <v>7</v>
      </c>
      <c r="E205" s="468">
        <v>33</v>
      </c>
      <c r="F205" s="3">
        <v>180</v>
      </c>
      <c r="G205" s="54">
        <v>2</v>
      </c>
      <c r="H205" s="469">
        <v>66</v>
      </c>
      <c r="I205" s="54">
        <v>6</v>
      </c>
      <c r="J205" s="470"/>
      <c r="K205" s="54">
        <v>5</v>
      </c>
      <c r="L205" s="3" t="s">
        <v>152</v>
      </c>
      <c r="M205" s="85">
        <v>7</v>
      </c>
      <c r="N205" s="83" t="s">
        <v>194</v>
      </c>
      <c r="O205" s="85"/>
      <c r="P205" s="83"/>
      <c r="Q205" s="85"/>
      <c r="R205" s="83"/>
      <c r="S205" s="170"/>
      <c r="T205" s="170"/>
      <c r="U205" s="471">
        <f>VLOOKUP(D205,Preise!$A$3:$C$27,3)</f>
        <v>2.3130607656249991</v>
      </c>
      <c r="V205" s="558">
        <f>0.15*W205</f>
        <v>1734.7955742187494</v>
      </c>
      <c r="W205" s="559">
        <f t="shared" si="83"/>
        <v>11565.303828124996</v>
      </c>
      <c r="X205" s="560">
        <f t="shared" si="84"/>
        <v>1700</v>
      </c>
      <c r="Y205" s="473">
        <f t="shared" si="85"/>
        <v>1700</v>
      </c>
      <c r="Z205" s="474">
        <f>IF(ISERROR(VLOOKUP(L205,Gegenstände!$B$2:$N$2026,13,FALSE)),0,VLOOKUP(L205,Gegenstände!$B$2:$N$2026,13,FALSE))</f>
        <v>120</v>
      </c>
      <c r="AA205" s="142">
        <f>IF(ISERROR(VLOOKUP(N205,Gegenstände!$B$2:$N$2026,13,FALSE)),0,VLOOKUP(N205,Gegenstände!$B$2:$N$2026,13,FALSE))</f>
        <v>80</v>
      </c>
      <c r="AB205" s="142">
        <f>IF(ISERROR(VLOOKUP(P205,Gegenstände!$B$2:$N$2026,13,FALSE)),0,VLOOKUP(P205,Gegenstände!$B$2:$N$2026,13,FALSE))</f>
        <v>0</v>
      </c>
      <c r="AC205" s="142">
        <f>IF(ISERROR(VLOOKUP(R205,Gegenstände!$B$2:$N$2026,13,FALSE)),0,VLOOKUP(R205,Gegenstände!$B$2:$N$2026,13,FALSE))</f>
        <v>0</v>
      </c>
      <c r="AD205" s="142"/>
      <c r="AE205" s="475">
        <f t="shared" si="86"/>
        <v>600</v>
      </c>
      <c r="AF205" s="476">
        <f t="shared" si="87"/>
        <v>560</v>
      </c>
      <c r="AG205" s="128">
        <f t="shared" si="73"/>
        <v>0.35294117647058826</v>
      </c>
      <c r="AH205" s="128">
        <f t="shared" si="74"/>
        <v>0.32941176470588235</v>
      </c>
      <c r="AI205" s="129">
        <f t="shared" si="75"/>
        <v>0.68235294117647061</v>
      </c>
      <c r="AJ205" s="426">
        <f t="shared" si="88"/>
        <v>540</v>
      </c>
      <c r="AK205" s="131">
        <f t="shared" si="89"/>
        <v>180</v>
      </c>
      <c r="AL205" s="477">
        <f>AK205/VLOOKUP(IF(I205&gt;0,I205,1),Preise!$A$3:$B$27,2,FALSE)</f>
        <v>90.000000000000014</v>
      </c>
    </row>
    <row r="206" spans="1:38" s="3" customFormat="1" outlineLevel="1" x14ac:dyDescent="0.2">
      <c r="A206" s="5">
        <v>1216</v>
      </c>
      <c r="B206" s="412">
        <v>1216</v>
      </c>
      <c r="C206" s="132" t="str">
        <f>VLOOKUP(B206,Gegenstände!$A240:$B888,2,FALSE)</f>
        <v>Woll-Spitzhut</v>
      </c>
      <c r="D206" s="133">
        <f>VLOOKUP(B206,Gegenstände!$A240:$D888,4,FALSE)</f>
        <v>9</v>
      </c>
      <c r="E206" s="468">
        <v>33</v>
      </c>
      <c r="F206" s="3">
        <v>240</v>
      </c>
      <c r="G206" s="54">
        <v>2</v>
      </c>
      <c r="H206" s="469">
        <v>66</v>
      </c>
      <c r="I206" s="54">
        <v>8</v>
      </c>
      <c r="J206" s="470"/>
      <c r="K206" s="54">
        <v>8</v>
      </c>
      <c r="L206" s="3" t="s">
        <v>152</v>
      </c>
      <c r="M206" s="85">
        <v>12</v>
      </c>
      <c r="N206" s="83" t="s">
        <v>194</v>
      </c>
      <c r="O206" s="85"/>
      <c r="P206" s="83"/>
      <c r="Q206" s="85"/>
      <c r="R206" s="83"/>
      <c r="S206" s="170"/>
      <c r="T206" s="170"/>
      <c r="U206" s="471">
        <f>VLOOKUP(D206,Preise!$A$3:$C$27,3)</f>
        <v>3.0590228625390607</v>
      </c>
      <c r="V206" s="523">
        <f>0.2*W206</f>
        <v>3059.022862539061</v>
      </c>
      <c r="W206" s="131">
        <f t="shared" si="83"/>
        <v>15295.114312695303</v>
      </c>
      <c r="X206" s="472">
        <f t="shared" si="84"/>
        <v>3100</v>
      </c>
      <c r="Y206" s="473">
        <f t="shared" si="85"/>
        <v>3100</v>
      </c>
      <c r="Z206" s="474">
        <f>IF(ISERROR(VLOOKUP(L206,Gegenstände!$B$2:$N$2026,13,FALSE)),0,VLOOKUP(L206,Gegenstände!$B$2:$N$2026,13,FALSE))</f>
        <v>120</v>
      </c>
      <c r="AA206" s="142">
        <f>IF(ISERROR(VLOOKUP(N206,Gegenstände!$B$2:$N$2026,13,FALSE)),0,VLOOKUP(N206,Gegenstände!$B$2:$N$2026,13,FALSE))</f>
        <v>80</v>
      </c>
      <c r="AB206" s="142">
        <f>IF(ISERROR(VLOOKUP(P206,Gegenstände!$B$2:$N$2026,13,FALSE)),0,VLOOKUP(P206,Gegenstände!$B$2:$N$2026,13,FALSE))</f>
        <v>0</v>
      </c>
      <c r="AC206" s="142">
        <f>IF(ISERROR(VLOOKUP(R206,Gegenstände!$B$2:$N$2026,13,FALSE)),0,VLOOKUP(R206,Gegenstände!$B$2:$N$2026,13,FALSE))</f>
        <v>0</v>
      </c>
      <c r="AD206" s="142"/>
      <c r="AE206" s="475">
        <f t="shared" si="86"/>
        <v>960</v>
      </c>
      <c r="AF206" s="476">
        <f t="shared" si="87"/>
        <v>960</v>
      </c>
      <c r="AG206" s="128">
        <f t="shared" si="73"/>
        <v>0.30967741935483872</v>
      </c>
      <c r="AH206" s="128">
        <f t="shared" si="74"/>
        <v>0.30967741935483872</v>
      </c>
      <c r="AI206" s="129">
        <f t="shared" si="75"/>
        <v>0.61935483870967745</v>
      </c>
      <c r="AJ206" s="426">
        <f t="shared" si="88"/>
        <v>1180</v>
      </c>
      <c r="AK206" s="131">
        <f t="shared" si="89"/>
        <v>295</v>
      </c>
      <c r="AL206" s="477">
        <f>AK206/VLOOKUP(IF(I206&gt;0,I206,1),Preise!$A$3:$B$27,2,FALSE)</f>
        <v>122.91666666666667</v>
      </c>
    </row>
    <row r="207" spans="1:38" s="3" customFormat="1" outlineLevel="1" x14ac:dyDescent="0.2">
      <c r="A207" s="5">
        <v>1217</v>
      </c>
      <c r="B207" s="412">
        <v>1217</v>
      </c>
      <c r="C207" s="132" t="str">
        <f>VLOOKUP(B207,Gegenstände!$A241:$B889,2,FALSE)</f>
        <v>Woll-Tunika</v>
      </c>
      <c r="D207" s="133">
        <f>VLOOKUP(B207,Gegenstände!$A241:$D889,4,FALSE)</f>
        <v>9</v>
      </c>
      <c r="E207" s="468">
        <v>33</v>
      </c>
      <c r="F207" s="3">
        <v>360</v>
      </c>
      <c r="G207" s="54">
        <v>2</v>
      </c>
      <c r="H207" s="469">
        <v>66</v>
      </c>
      <c r="I207" s="54">
        <v>8</v>
      </c>
      <c r="J207" s="470"/>
      <c r="K207" s="54">
        <v>12</v>
      </c>
      <c r="L207" s="3" t="s">
        <v>152</v>
      </c>
      <c r="M207" s="85">
        <v>18</v>
      </c>
      <c r="N207" s="83" t="s">
        <v>194</v>
      </c>
      <c r="O207" s="85"/>
      <c r="P207" s="83"/>
      <c r="Q207" s="85"/>
      <c r="R207" s="83"/>
      <c r="S207" s="170"/>
      <c r="T207" s="170"/>
      <c r="U207" s="471">
        <f>VLOOKUP(D207,Preise!$A$3:$C$27,3)</f>
        <v>3.0590228625390607</v>
      </c>
      <c r="V207" s="523">
        <f>0.3*W207</f>
        <v>4588.5342938085905</v>
      </c>
      <c r="W207" s="131">
        <f t="shared" si="83"/>
        <v>15295.114312695303</v>
      </c>
      <c r="X207" s="472">
        <f t="shared" si="84"/>
        <v>4600</v>
      </c>
      <c r="Y207" s="473">
        <f t="shared" si="85"/>
        <v>4600</v>
      </c>
      <c r="Z207" s="474">
        <f>IF(ISERROR(VLOOKUP(L207,Gegenstände!$B$2:$N$2026,13,FALSE)),0,VLOOKUP(L207,Gegenstände!$B$2:$N$2026,13,FALSE))</f>
        <v>120</v>
      </c>
      <c r="AA207" s="142">
        <f>IF(ISERROR(VLOOKUP(N207,Gegenstände!$B$2:$N$2026,13,FALSE)),0,VLOOKUP(N207,Gegenstände!$B$2:$N$2026,13,FALSE))</f>
        <v>80</v>
      </c>
      <c r="AB207" s="142">
        <f>IF(ISERROR(VLOOKUP(P207,Gegenstände!$B$2:$N$2026,13,FALSE)),0,VLOOKUP(P207,Gegenstände!$B$2:$N$2026,13,FALSE))</f>
        <v>0</v>
      </c>
      <c r="AC207" s="142">
        <f>IF(ISERROR(VLOOKUP(R207,Gegenstände!$B$2:$N$2026,13,FALSE)),0,VLOOKUP(R207,Gegenstände!$B$2:$N$2026,13,FALSE))</f>
        <v>0</v>
      </c>
      <c r="AD207" s="142"/>
      <c r="AE207" s="475">
        <f t="shared" si="86"/>
        <v>1440</v>
      </c>
      <c r="AF207" s="476">
        <f t="shared" si="87"/>
        <v>1440</v>
      </c>
      <c r="AG207" s="128">
        <f t="shared" si="73"/>
        <v>0.31304347826086959</v>
      </c>
      <c r="AH207" s="128">
        <f t="shared" si="74"/>
        <v>0.31304347826086959</v>
      </c>
      <c r="AI207" s="129">
        <f t="shared" si="75"/>
        <v>0.62608695652173918</v>
      </c>
      <c r="AJ207" s="426">
        <f t="shared" si="88"/>
        <v>1720</v>
      </c>
      <c r="AK207" s="131">
        <f t="shared" si="89"/>
        <v>286.66666666666669</v>
      </c>
      <c r="AL207" s="477">
        <f>AK207/VLOOKUP(IF(I207&gt;0,I207,1),Preise!$A$3:$B$27,2,FALSE)</f>
        <v>119.44444444444446</v>
      </c>
    </row>
    <row r="208" spans="1:38" s="3" customFormat="1" outlineLevel="1" x14ac:dyDescent="0.2">
      <c r="A208" s="5">
        <v>1218</v>
      </c>
      <c r="B208" s="412">
        <v>1218</v>
      </c>
      <c r="C208" s="132" t="str">
        <f>VLOOKUP(B208,Gegenstände!$A242:$B890,2,FALSE)</f>
        <v>Woll-Stulpen</v>
      </c>
      <c r="D208" s="133">
        <f>VLOOKUP(B208,Gegenstände!$A242:$D890,4,FALSE)</f>
        <v>10</v>
      </c>
      <c r="E208" s="468">
        <v>33</v>
      </c>
      <c r="F208" s="3">
        <v>180</v>
      </c>
      <c r="G208" s="54">
        <v>2</v>
      </c>
      <c r="H208" s="469">
        <v>66</v>
      </c>
      <c r="I208" s="54">
        <v>9</v>
      </c>
      <c r="J208" s="470"/>
      <c r="K208" s="54">
        <v>7</v>
      </c>
      <c r="L208" s="3" t="s">
        <v>152</v>
      </c>
      <c r="M208" s="85">
        <v>10</v>
      </c>
      <c r="N208" s="83" t="s">
        <v>194</v>
      </c>
      <c r="O208" s="85"/>
      <c r="P208" s="83"/>
      <c r="Q208" s="85"/>
      <c r="R208" s="83"/>
      <c r="S208" s="170"/>
      <c r="T208" s="170"/>
      <c r="U208" s="471">
        <f>VLOOKUP(D208,Preise!$A$3:$C$27,3)</f>
        <v>3.5178762919199196</v>
      </c>
      <c r="V208" s="523">
        <f>0.15*W208</f>
        <v>2638.4072189399394</v>
      </c>
      <c r="W208" s="131">
        <f t="shared" si="83"/>
        <v>17589.381459599597</v>
      </c>
      <c r="X208" s="472">
        <f t="shared" si="84"/>
        <v>2600</v>
      </c>
      <c r="Y208" s="473">
        <f t="shared" si="85"/>
        <v>2600</v>
      </c>
      <c r="Z208" s="474">
        <f>IF(ISERROR(VLOOKUP(L208,Gegenstände!$B$2:$N$2026,13,FALSE)),0,VLOOKUP(L208,Gegenstände!$B$2:$N$2026,13,FALSE))</f>
        <v>120</v>
      </c>
      <c r="AA208" s="142">
        <f>IF(ISERROR(VLOOKUP(N208,Gegenstände!$B$2:$N$2026,13,FALSE)),0,VLOOKUP(N208,Gegenstände!$B$2:$N$2026,13,FALSE))</f>
        <v>80</v>
      </c>
      <c r="AB208" s="142">
        <f>IF(ISERROR(VLOOKUP(P208,Gegenstände!$B$2:$N$2026,13,FALSE)),0,VLOOKUP(P208,Gegenstände!$B$2:$N$2026,13,FALSE))</f>
        <v>0</v>
      </c>
      <c r="AC208" s="142">
        <f>IF(ISERROR(VLOOKUP(R208,Gegenstände!$B$2:$N$2026,13,FALSE)),0,VLOOKUP(R208,Gegenstände!$B$2:$N$2026,13,FALSE))</f>
        <v>0</v>
      </c>
      <c r="AD208" s="142"/>
      <c r="AE208" s="475">
        <f t="shared" si="86"/>
        <v>840</v>
      </c>
      <c r="AF208" s="476">
        <f t="shared" si="87"/>
        <v>800</v>
      </c>
      <c r="AG208" s="128">
        <f t="shared" si="73"/>
        <v>0.32307692307692309</v>
      </c>
      <c r="AH208" s="128">
        <f t="shared" si="74"/>
        <v>0.30769230769230771</v>
      </c>
      <c r="AI208" s="129">
        <f t="shared" si="75"/>
        <v>0.63076923076923075</v>
      </c>
      <c r="AJ208" s="426">
        <f t="shared" si="88"/>
        <v>960</v>
      </c>
      <c r="AK208" s="131">
        <f t="shared" si="89"/>
        <v>320</v>
      </c>
      <c r="AL208" s="477">
        <f>AK208/VLOOKUP(IF(I208&gt;0,I208,1),Preise!$A$3:$B$27,2,FALSE)</f>
        <v>123.07692307692307</v>
      </c>
    </row>
    <row r="209" spans="1:38" s="3" customFormat="1" outlineLevel="1" x14ac:dyDescent="0.2">
      <c r="A209" s="5">
        <v>1219</v>
      </c>
      <c r="B209" s="412">
        <v>1219</v>
      </c>
      <c r="C209" s="132" t="str">
        <f>VLOOKUP(B209,Gegenstände!$A243:$B891,2,FALSE)</f>
        <v>Woll-Beinlinge</v>
      </c>
      <c r="D209" s="133">
        <f>VLOOKUP(B209,Gegenstände!$A243:$D891,4,FALSE)</f>
        <v>10</v>
      </c>
      <c r="E209" s="468">
        <v>33</v>
      </c>
      <c r="F209" s="3">
        <v>240</v>
      </c>
      <c r="G209" s="54">
        <v>2</v>
      </c>
      <c r="H209" s="469">
        <v>66</v>
      </c>
      <c r="I209" s="54">
        <v>9</v>
      </c>
      <c r="J209" s="470"/>
      <c r="K209" s="54">
        <v>10</v>
      </c>
      <c r="L209" s="3" t="s">
        <v>152</v>
      </c>
      <c r="M209" s="85">
        <v>14</v>
      </c>
      <c r="N209" s="83" t="s">
        <v>194</v>
      </c>
      <c r="O209" s="85"/>
      <c r="P209" s="83"/>
      <c r="Q209" s="85"/>
      <c r="R209" s="83"/>
      <c r="S209" s="170"/>
      <c r="T209" s="170"/>
      <c r="U209" s="471">
        <f>VLOOKUP(D209,Preise!$A$3:$C$27,3)</f>
        <v>3.5178762919199196</v>
      </c>
      <c r="V209" s="523">
        <f>0.2*W209</f>
        <v>3517.8762919199198</v>
      </c>
      <c r="W209" s="131">
        <f t="shared" si="83"/>
        <v>17589.381459599597</v>
      </c>
      <c r="X209" s="472">
        <f t="shared" si="84"/>
        <v>3500</v>
      </c>
      <c r="Y209" s="473">
        <f t="shared" si="85"/>
        <v>3500</v>
      </c>
      <c r="Z209" s="474">
        <f>IF(ISERROR(VLOOKUP(L209,Gegenstände!$B$2:$N$2026,13,FALSE)),0,VLOOKUP(L209,Gegenstände!$B$2:$N$2026,13,FALSE))</f>
        <v>120</v>
      </c>
      <c r="AA209" s="142">
        <f>IF(ISERROR(VLOOKUP(N209,Gegenstände!$B$2:$N$2026,13,FALSE)),0,VLOOKUP(N209,Gegenstände!$B$2:$N$2026,13,FALSE))</f>
        <v>80</v>
      </c>
      <c r="AB209" s="142">
        <f>IF(ISERROR(VLOOKUP(P209,Gegenstände!$B$2:$N$2026,13,FALSE)),0,VLOOKUP(P209,Gegenstände!$B$2:$N$2026,13,FALSE))</f>
        <v>0</v>
      </c>
      <c r="AC209" s="142">
        <f>IF(ISERROR(VLOOKUP(R209,Gegenstände!$B$2:$N$2026,13,FALSE)),0,VLOOKUP(R209,Gegenstände!$B$2:$N$2026,13,FALSE))</f>
        <v>0</v>
      </c>
      <c r="AD209" s="142"/>
      <c r="AE209" s="475">
        <f t="shared" si="86"/>
        <v>1200</v>
      </c>
      <c r="AF209" s="476">
        <f t="shared" si="87"/>
        <v>1120</v>
      </c>
      <c r="AG209" s="128">
        <f t="shared" si="73"/>
        <v>0.34285714285714286</v>
      </c>
      <c r="AH209" s="128">
        <f t="shared" si="74"/>
        <v>0.32</v>
      </c>
      <c r="AI209" s="129">
        <f t="shared" si="75"/>
        <v>0.66285714285714281</v>
      </c>
      <c r="AJ209" s="426">
        <f t="shared" si="88"/>
        <v>1180</v>
      </c>
      <c r="AK209" s="131">
        <f t="shared" si="89"/>
        <v>295</v>
      </c>
      <c r="AL209" s="477">
        <f>AK209/VLOOKUP(IF(I209&gt;0,I209,1),Preise!$A$3:$B$27,2,FALSE)</f>
        <v>113.46153846153845</v>
      </c>
    </row>
    <row r="210" spans="1:38" s="3" customFormat="1" outlineLevel="1" x14ac:dyDescent="0.2">
      <c r="A210" s="345">
        <v>1220</v>
      </c>
      <c r="B210" s="561">
        <v>1220</v>
      </c>
      <c r="C210" s="413" t="str">
        <f>VLOOKUP(B210,Gegenstände!$A244:$B892,2,FALSE)</f>
        <v>Woll-Stiefel</v>
      </c>
      <c r="D210" s="562">
        <f>VLOOKUP(B210,Gegenstände!$A244:$D892,4,FALSE)</f>
        <v>10</v>
      </c>
      <c r="E210" s="563">
        <v>33</v>
      </c>
      <c r="F210" s="564">
        <v>180</v>
      </c>
      <c r="G210" s="335">
        <v>2</v>
      </c>
      <c r="H210" s="565">
        <v>66</v>
      </c>
      <c r="I210" s="335">
        <v>9</v>
      </c>
      <c r="J210" s="566"/>
      <c r="K210" s="335">
        <v>7</v>
      </c>
      <c r="L210" s="334" t="s">
        <v>152</v>
      </c>
      <c r="M210" s="567">
        <v>10</v>
      </c>
      <c r="N210" s="568" t="s">
        <v>194</v>
      </c>
      <c r="O210" s="567"/>
      <c r="P210" s="568"/>
      <c r="Q210" s="567"/>
      <c r="R210" s="568"/>
      <c r="S210" s="569"/>
      <c r="T210" s="570"/>
      <c r="U210" s="471">
        <f>VLOOKUP(D210,Preise!$A$3:$C$27,3)</f>
        <v>3.5178762919199196</v>
      </c>
      <c r="V210" s="558">
        <f>0.15*W210</f>
        <v>2638.4072189399394</v>
      </c>
      <c r="W210" s="559">
        <f t="shared" si="83"/>
        <v>17589.381459599597</v>
      </c>
      <c r="X210" s="472">
        <f t="shared" si="84"/>
        <v>2600</v>
      </c>
      <c r="Y210" s="473">
        <f t="shared" si="85"/>
        <v>2600</v>
      </c>
      <c r="Z210" s="474">
        <f>IF(ISERROR(VLOOKUP(L210,Gegenstände!$B$2:$N$2026,13,FALSE)),0,VLOOKUP(L210,Gegenstände!$B$2:$N$2026,13,FALSE))</f>
        <v>120</v>
      </c>
      <c r="AA210" s="142">
        <f>IF(ISERROR(VLOOKUP(N210,Gegenstände!$B$2:$N$2026,13,FALSE)),0,VLOOKUP(N210,Gegenstände!$B$2:$N$2026,13,FALSE))</f>
        <v>80</v>
      </c>
      <c r="AB210" s="142">
        <f>IF(ISERROR(VLOOKUP(P210,Gegenstände!$B$2:$N$2026,13,FALSE)),0,VLOOKUP(P210,Gegenstände!$B$2:$N$2026,13,FALSE))</f>
        <v>0</v>
      </c>
      <c r="AC210" s="142">
        <f>IF(ISERROR(VLOOKUP(R210,Gegenstände!$B$2:$N$2026,13,FALSE)),0,VLOOKUP(R210,Gegenstände!$B$2:$N$2026,13,FALSE))</f>
        <v>0</v>
      </c>
      <c r="AD210" s="142"/>
      <c r="AE210" s="475">
        <f t="shared" si="86"/>
        <v>840</v>
      </c>
      <c r="AF210" s="476">
        <f t="shared" si="87"/>
        <v>800</v>
      </c>
      <c r="AG210" s="128">
        <f t="shared" si="73"/>
        <v>0.32307692307692309</v>
      </c>
      <c r="AH210" s="128">
        <f t="shared" si="74"/>
        <v>0.30769230769230771</v>
      </c>
      <c r="AI210" s="129">
        <f t="shared" si="75"/>
        <v>0.63076923076923075</v>
      </c>
      <c r="AJ210" s="426">
        <f t="shared" si="88"/>
        <v>960</v>
      </c>
      <c r="AK210" s="131">
        <f t="shared" si="89"/>
        <v>320</v>
      </c>
      <c r="AL210" s="477">
        <f>AK210/VLOOKUP(IF(I210&gt;0,I210,1),Preise!$A$3:$B$27,2,FALSE)</f>
        <v>123.07692307692307</v>
      </c>
    </row>
    <row r="211" spans="1:38" s="3" customFormat="1" outlineLevel="1" x14ac:dyDescent="0.2">
      <c r="A211" s="5">
        <v>1221</v>
      </c>
      <c r="B211" s="412">
        <v>1221</v>
      </c>
      <c r="C211" s="132" t="str">
        <f>VLOOKUP(B211,Gegenstände!$A250:$B893,2,FALSE)</f>
        <v>Baumwoll-Haube</v>
      </c>
      <c r="D211" s="133">
        <f>VLOOKUP(B211,Gegenstände!$A250:$D893,4,FALSE)</f>
        <v>11</v>
      </c>
      <c r="E211" s="468">
        <v>33</v>
      </c>
      <c r="F211" s="3">
        <v>240</v>
      </c>
      <c r="G211" s="54">
        <v>3</v>
      </c>
      <c r="H211" s="469">
        <v>66</v>
      </c>
      <c r="I211" s="54">
        <v>10</v>
      </c>
      <c r="J211" s="470"/>
      <c r="K211" s="54">
        <v>7</v>
      </c>
      <c r="L211" s="3" t="s">
        <v>153</v>
      </c>
      <c r="M211" s="85">
        <v>9</v>
      </c>
      <c r="N211" s="83" t="s">
        <v>194</v>
      </c>
      <c r="O211" s="85">
        <v>3</v>
      </c>
      <c r="P211" s="83" t="s">
        <v>196</v>
      </c>
      <c r="Q211" s="85"/>
      <c r="R211" s="83"/>
      <c r="S211" s="170"/>
      <c r="T211" s="170"/>
      <c r="U211" s="471">
        <f>VLOOKUP(D211,Preise!$A$3:$C$27,3)</f>
        <v>4.0455577357079076</v>
      </c>
      <c r="V211" s="523">
        <f>0.2*W211</f>
        <v>4045.5577357079078</v>
      </c>
      <c r="W211" s="131">
        <f t="shared" si="83"/>
        <v>20227.788678539539</v>
      </c>
      <c r="X211" s="557">
        <f t="shared" si="84"/>
        <v>4000</v>
      </c>
      <c r="Y211" s="473">
        <f t="shared" si="85"/>
        <v>4000</v>
      </c>
      <c r="Z211" s="474">
        <f>IF(ISERROR(VLOOKUP(L211,Gegenstände!$B$2:$N$2026,13,FALSE)),0,VLOOKUP(L211,Gegenstände!$B$2:$N$2026,13,FALSE))</f>
        <v>180</v>
      </c>
      <c r="AA211" s="142">
        <f>IF(ISERROR(VLOOKUP(N211,Gegenstände!$B$2:$N$2026,13,FALSE)),0,VLOOKUP(N211,Gegenstände!$B$2:$N$2026,13,FALSE))</f>
        <v>80</v>
      </c>
      <c r="AB211" s="142">
        <f>IF(ISERROR(VLOOKUP(P211,Gegenstände!$B$2:$N$2026,13,FALSE)),0,VLOOKUP(P211,Gegenstände!$B$2:$N$2026,13,FALSE))</f>
        <v>200</v>
      </c>
      <c r="AC211" s="142">
        <f>IF(ISERROR(VLOOKUP(R211,Gegenstände!$B$2:$N$2026,13,FALSE)),0,VLOOKUP(R211,Gegenstände!$B$2:$N$2026,13,FALSE))</f>
        <v>0</v>
      </c>
      <c r="AD211" s="142"/>
      <c r="AE211" s="475">
        <f t="shared" si="86"/>
        <v>1260</v>
      </c>
      <c r="AF211" s="476">
        <f t="shared" si="87"/>
        <v>1320</v>
      </c>
      <c r="AG211" s="128">
        <f t="shared" si="73"/>
        <v>0.315</v>
      </c>
      <c r="AH211" s="128">
        <f t="shared" si="74"/>
        <v>0.33</v>
      </c>
      <c r="AI211" s="129">
        <f t="shared" si="75"/>
        <v>0.64500000000000002</v>
      </c>
      <c r="AJ211" s="426">
        <f t="shared" si="88"/>
        <v>1420</v>
      </c>
      <c r="AK211" s="131">
        <f t="shared" si="89"/>
        <v>355</v>
      </c>
      <c r="AL211" s="477">
        <f>AK211/VLOOKUP(IF(I211&gt;0,I211,1),Preise!$A$3:$B$27,2,FALSE)</f>
        <v>126.78571428571428</v>
      </c>
    </row>
    <row r="212" spans="1:38" s="3" customFormat="1" outlineLevel="1" x14ac:dyDescent="0.2">
      <c r="A212" s="5">
        <v>1222</v>
      </c>
      <c r="B212" s="412">
        <v>1222</v>
      </c>
      <c r="C212" s="132" t="str">
        <f>VLOOKUP(B212,Gegenstände!$A251:$B894,2,FALSE)</f>
        <v>Baumwoll-Robe</v>
      </c>
      <c r="D212" s="133">
        <f>VLOOKUP(B212,Gegenstände!$A251:$D894,4,FALSE)</f>
        <v>11</v>
      </c>
      <c r="E212" s="468">
        <v>33</v>
      </c>
      <c r="F212" s="3">
        <v>360</v>
      </c>
      <c r="G212" s="54">
        <v>3</v>
      </c>
      <c r="H212" s="469">
        <v>66</v>
      </c>
      <c r="I212" s="54">
        <v>10</v>
      </c>
      <c r="J212" s="470"/>
      <c r="K212" s="54">
        <v>11</v>
      </c>
      <c r="L212" s="3" t="s">
        <v>153</v>
      </c>
      <c r="M212" s="85">
        <v>10</v>
      </c>
      <c r="N212" s="83" t="s">
        <v>194</v>
      </c>
      <c r="O212" s="85">
        <v>6</v>
      </c>
      <c r="P212" s="83" t="s">
        <v>196</v>
      </c>
      <c r="Q212" s="85"/>
      <c r="R212" s="83"/>
      <c r="S212" s="170"/>
      <c r="T212" s="170"/>
      <c r="U212" s="471">
        <f>VLOOKUP(D212,Preise!$A$3:$C$27,3)</f>
        <v>4.0455577357079076</v>
      </c>
      <c r="V212" s="523">
        <f>0.3*W212</f>
        <v>6068.336603561861</v>
      </c>
      <c r="W212" s="131">
        <f t="shared" si="83"/>
        <v>20227.788678539539</v>
      </c>
      <c r="X212" s="472">
        <f t="shared" si="84"/>
        <v>6100</v>
      </c>
      <c r="Y212" s="473">
        <f t="shared" si="85"/>
        <v>6100</v>
      </c>
      <c r="Z212" s="474">
        <f>IF(ISERROR(VLOOKUP(L212,Gegenstände!$B$2:$N$2026,13,FALSE)),0,VLOOKUP(L212,Gegenstände!$B$2:$N$2026,13,FALSE))</f>
        <v>180</v>
      </c>
      <c r="AA212" s="142">
        <f>IF(ISERROR(VLOOKUP(N212,Gegenstände!$B$2:$N$2026,13,FALSE)),0,VLOOKUP(N212,Gegenstände!$B$2:$N$2026,13,FALSE))</f>
        <v>80</v>
      </c>
      <c r="AB212" s="142">
        <f>IF(ISERROR(VLOOKUP(P212,Gegenstände!$B$2:$N$2026,13,FALSE)),0,VLOOKUP(P212,Gegenstände!$B$2:$N$2026,13,FALSE))</f>
        <v>200</v>
      </c>
      <c r="AC212" s="142">
        <f>IF(ISERROR(VLOOKUP(R212,Gegenstände!$B$2:$N$2026,13,FALSE)),0,VLOOKUP(R212,Gegenstände!$B$2:$N$2026,13,FALSE))</f>
        <v>0</v>
      </c>
      <c r="AD212" s="142"/>
      <c r="AE212" s="475">
        <f t="shared" si="86"/>
        <v>1980</v>
      </c>
      <c r="AF212" s="476">
        <f t="shared" si="87"/>
        <v>2000</v>
      </c>
      <c r="AG212" s="128">
        <f t="shared" si="73"/>
        <v>0.32459016393442625</v>
      </c>
      <c r="AH212" s="128">
        <f t="shared" si="74"/>
        <v>0.32786885245901637</v>
      </c>
      <c r="AI212" s="129">
        <f t="shared" si="75"/>
        <v>0.65245901639344261</v>
      </c>
      <c r="AJ212" s="426">
        <f t="shared" si="88"/>
        <v>2120</v>
      </c>
      <c r="AK212" s="131">
        <f t="shared" si="89"/>
        <v>353.33333333333331</v>
      </c>
      <c r="AL212" s="477">
        <f>AK212/VLOOKUP(IF(I212&gt;0,I212,1),Preise!$A$3:$B$27,2,FALSE)</f>
        <v>126.19047619047618</v>
      </c>
    </row>
    <row r="213" spans="1:38" s="3" customFormat="1" outlineLevel="1" x14ac:dyDescent="0.2">
      <c r="A213" s="5">
        <v>1223</v>
      </c>
      <c r="B213" s="412">
        <v>1223</v>
      </c>
      <c r="C213" s="132" t="str">
        <f>VLOOKUP(B213,Gegenstände!$A252:$B895,2,FALSE)</f>
        <v>Baumwoll-Handschuhe</v>
      </c>
      <c r="D213" s="133">
        <f>VLOOKUP(B213,Gegenstände!$A252:$D895,4,FALSE)</f>
        <v>12</v>
      </c>
      <c r="E213" s="468">
        <v>33</v>
      </c>
      <c r="F213" s="3">
        <v>180</v>
      </c>
      <c r="G213" s="54">
        <v>3</v>
      </c>
      <c r="H213" s="469">
        <v>66</v>
      </c>
      <c r="I213" s="54">
        <v>11</v>
      </c>
      <c r="J213" s="470"/>
      <c r="K213" s="54">
        <v>6</v>
      </c>
      <c r="L213" s="3" t="s">
        <v>153</v>
      </c>
      <c r="M213" s="85">
        <v>7</v>
      </c>
      <c r="N213" s="83" t="s">
        <v>194</v>
      </c>
      <c r="O213" s="85">
        <v>3</v>
      </c>
      <c r="P213" s="83" t="s">
        <v>196</v>
      </c>
      <c r="Q213" s="85"/>
      <c r="R213" s="83"/>
      <c r="S213" s="170"/>
      <c r="T213" s="170"/>
      <c r="U213" s="471">
        <f>VLOOKUP(D213,Preise!$A$3:$C$27,3)</f>
        <v>4.6523913960640932</v>
      </c>
      <c r="V213" s="523">
        <f>0.15*W213</f>
        <v>3489.2935470480697</v>
      </c>
      <c r="W213" s="131">
        <f t="shared" si="83"/>
        <v>23261.956980320465</v>
      </c>
      <c r="X213" s="472">
        <f t="shared" si="84"/>
        <v>3500</v>
      </c>
      <c r="Y213" s="473">
        <f t="shared" si="85"/>
        <v>3500</v>
      </c>
      <c r="Z213" s="474">
        <f>IF(ISERROR(VLOOKUP(L213,Gegenstände!$B$2:$N$2026,13,FALSE)),0,VLOOKUP(L213,Gegenstände!$B$2:$N$2026,13,FALSE))</f>
        <v>180</v>
      </c>
      <c r="AA213" s="142">
        <f>IF(ISERROR(VLOOKUP(N213,Gegenstände!$B$2:$N$2026,13,FALSE)),0,VLOOKUP(N213,Gegenstände!$B$2:$N$2026,13,FALSE))</f>
        <v>80</v>
      </c>
      <c r="AB213" s="142">
        <f>IF(ISERROR(VLOOKUP(P213,Gegenstände!$B$2:$N$2026,13,FALSE)),0,VLOOKUP(P213,Gegenstände!$B$2:$N$2026,13,FALSE))</f>
        <v>200</v>
      </c>
      <c r="AC213" s="142">
        <f>IF(ISERROR(VLOOKUP(R213,Gegenstände!$B$2:$N$2026,13,FALSE)),0,VLOOKUP(R213,Gegenstände!$B$2:$N$2026,13,FALSE))</f>
        <v>0</v>
      </c>
      <c r="AD213" s="142"/>
      <c r="AE213" s="475">
        <f t="shared" si="86"/>
        <v>1080</v>
      </c>
      <c r="AF213" s="476">
        <f t="shared" si="87"/>
        <v>1160</v>
      </c>
      <c r="AG213" s="128">
        <f t="shared" si="73"/>
        <v>0.30857142857142855</v>
      </c>
      <c r="AH213" s="128">
        <f t="shared" si="74"/>
        <v>0.33142857142857141</v>
      </c>
      <c r="AI213" s="129">
        <f t="shared" si="75"/>
        <v>0.64</v>
      </c>
      <c r="AJ213" s="426">
        <f t="shared" si="88"/>
        <v>1260</v>
      </c>
      <c r="AK213" s="131">
        <f t="shared" si="89"/>
        <v>420</v>
      </c>
      <c r="AL213" s="477">
        <f>AK213/VLOOKUP(IF(I213&gt;0,I213,1),Preise!$A$3:$B$27,2,FALSE)</f>
        <v>139.99999999999997</v>
      </c>
    </row>
    <row r="214" spans="1:38" s="3" customFormat="1" outlineLevel="1" x14ac:dyDescent="0.2">
      <c r="A214" s="5">
        <v>1224</v>
      </c>
      <c r="B214" s="412">
        <v>1224</v>
      </c>
      <c r="C214" s="132" t="str">
        <f>VLOOKUP(B214,Gegenstände!$A253:$B896,2,FALSE)</f>
        <v>Baumwoll-Hose</v>
      </c>
      <c r="D214" s="133">
        <f>VLOOKUP(B214,Gegenstände!$A253:$D896,4,FALSE)</f>
        <v>12</v>
      </c>
      <c r="E214" s="468">
        <v>33</v>
      </c>
      <c r="F214" s="3">
        <v>240</v>
      </c>
      <c r="G214" s="54">
        <v>3</v>
      </c>
      <c r="H214" s="469">
        <v>66</v>
      </c>
      <c r="I214" s="54">
        <v>11</v>
      </c>
      <c r="J214" s="470"/>
      <c r="K214" s="54">
        <v>8</v>
      </c>
      <c r="L214" s="3" t="s">
        <v>153</v>
      </c>
      <c r="M214" s="85">
        <v>12</v>
      </c>
      <c r="N214" s="83" t="s">
        <v>194</v>
      </c>
      <c r="O214" s="85">
        <v>3</v>
      </c>
      <c r="P214" s="83" t="s">
        <v>196</v>
      </c>
      <c r="Q214" s="85"/>
      <c r="R214" s="83"/>
      <c r="S214" s="170"/>
      <c r="T214" s="170"/>
      <c r="U214" s="471">
        <f>VLOOKUP(D214,Preise!$A$3:$C$27,3)</f>
        <v>4.6523913960640932</v>
      </c>
      <c r="V214" s="523">
        <f>0.2*W214</f>
        <v>4652.391396064093</v>
      </c>
      <c r="W214" s="131">
        <f t="shared" si="83"/>
        <v>23261.956980320465</v>
      </c>
      <c r="X214" s="472">
        <f t="shared" si="84"/>
        <v>4700</v>
      </c>
      <c r="Y214" s="473">
        <f t="shared" si="85"/>
        <v>4700</v>
      </c>
      <c r="Z214" s="474">
        <f>IF(ISERROR(VLOOKUP(L214,Gegenstände!$B$2:$N$2026,13,FALSE)),0,VLOOKUP(L214,Gegenstände!$B$2:$N$2026,13,FALSE))</f>
        <v>180</v>
      </c>
      <c r="AA214" s="142">
        <f>IF(ISERROR(VLOOKUP(N214,Gegenstände!$B$2:$N$2026,13,FALSE)),0,VLOOKUP(N214,Gegenstände!$B$2:$N$2026,13,FALSE))</f>
        <v>80</v>
      </c>
      <c r="AB214" s="142">
        <f>IF(ISERROR(VLOOKUP(P214,Gegenstände!$B$2:$N$2026,13,FALSE)),0,VLOOKUP(P214,Gegenstände!$B$2:$N$2026,13,FALSE))</f>
        <v>200</v>
      </c>
      <c r="AC214" s="142">
        <f>IF(ISERROR(VLOOKUP(R214,Gegenstände!$B$2:$N$2026,13,FALSE)),0,VLOOKUP(R214,Gegenstände!$B$2:$N$2026,13,FALSE))</f>
        <v>0</v>
      </c>
      <c r="AD214" s="142"/>
      <c r="AE214" s="475">
        <f t="shared" si="86"/>
        <v>1440</v>
      </c>
      <c r="AF214" s="476">
        <f t="shared" si="87"/>
        <v>1560</v>
      </c>
      <c r="AG214" s="128">
        <f t="shared" si="73"/>
        <v>0.30638297872340425</v>
      </c>
      <c r="AH214" s="128">
        <f t="shared" si="74"/>
        <v>0.33191489361702126</v>
      </c>
      <c r="AI214" s="129">
        <f t="shared" si="75"/>
        <v>0.63829787234042556</v>
      </c>
      <c r="AJ214" s="426">
        <f t="shared" si="88"/>
        <v>1700</v>
      </c>
      <c r="AK214" s="131">
        <f t="shared" si="89"/>
        <v>425</v>
      </c>
      <c r="AL214" s="477">
        <f>AK214/VLOOKUP(IF(I214&gt;0,I214,1),Preise!$A$3:$B$27,2,FALSE)</f>
        <v>141.66666666666666</v>
      </c>
    </row>
    <row r="215" spans="1:38" s="3" customFormat="1" outlineLevel="1" x14ac:dyDescent="0.2">
      <c r="A215" s="5">
        <v>1225</v>
      </c>
      <c r="B215" s="412">
        <v>1225</v>
      </c>
      <c r="C215" s="132" t="str">
        <f>VLOOKUP(B215,Gegenstände!$A254:$B897,2,FALSE)</f>
        <v>Baumwoll-Schuhe</v>
      </c>
      <c r="D215" s="133">
        <f>VLOOKUP(B215,Gegenstände!$A254:$D897,4,FALSE)</f>
        <v>12</v>
      </c>
      <c r="E215" s="468">
        <v>33</v>
      </c>
      <c r="F215" s="3">
        <v>180</v>
      </c>
      <c r="G215" s="54">
        <v>3</v>
      </c>
      <c r="H215" s="469">
        <v>66</v>
      </c>
      <c r="I215" s="54">
        <v>11</v>
      </c>
      <c r="J215" s="470"/>
      <c r="K215" s="54">
        <v>6</v>
      </c>
      <c r="L215" s="3" t="s">
        <v>153</v>
      </c>
      <c r="M215" s="85">
        <v>7</v>
      </c>
      <c r="N215" s="83" t="s">
        <v>194</v>
      </c>
      <c r="O215" s="85">
        <v>3</v>
      </c>
      <c r="P215" s="83" t="s">
        <v>196</v>
      </c>
      <c r="Q215" s="85"/>
      <c r="R215" s="83"/>
      <c r="S215" s="170"/>
      <c r="T215" s="170"/>
      <c r="U215" s="471">
        <f>VLOOKUP(D215,Preise!$A$3:$C$27,3)</f>
        <v>4.6523913960640932</v>
      </c>
      <c r="V215" s="558">
        <f>0.15*W215</f>
        <v>3489.2935470480697</v>
      </c>
      <c r="W215" s="559">
        <f t="shared" si="83"/>
        <v>23261.956980320465</v>
      </c>
      <c r="X215" s="560">
        <f t="shared" si="84"/>
        <v>3500</v>
      </c>
      <c r="Y215" s="473">
        <f t="shared" si="85"/>
        <v>3500</v>
      </c>
      <c r="Z215" s="474">
        <f>IF(ISERROR(VLOOKUP(L215,Gegenstände!$B$2:$N$2026,13,FALSE)),0,VLOOKUP(L215,Gegenstände!$B$2:$N$2026,13,FALSE))</f>
        <v>180</v>
      </c>
      <c r="AA215" s="142">
        <f>IF(ISERROR(VLOOKUP(N215,Gegenstände!$B$2:$N$2026,13,FALSE)),0,VLOOKUP(N215,Gegenstände!$B$2:$N$2026,13,FALSE))</f>
        <v>80</v>
      </c>
      <c r="AB215" s="142">
        <f>IF(ISERROR(VLOOKUP(P215,Gegenstände!$B$2:$N$2026,13,FALSE)),0,VLOOKUP(P215,Gegenstände!$B$2:$N$2026,13,FALSE))</f>
        <v>200</v>
      </c>
      <c r="AC215" s="142">
        <f>IF(ISERROR(VLOOKUP(R215,Gegenstände!$B$2:$N$2026,13,FALSE)),0,VLOOKUP(R215,Gegenstände!$B$2:$N$2026,13,FALSE))</f>
        <v>0</v>
      </c>
      <c r="AD215" s="142"/>
      <c r="AE215" s="475">
        <f t="shared" si="86"/>
        <v>1080</v>
      </c>
      <c r="AF215" s="476">
        <f t="shared" si="87"/>
        <v>1160</v>
      </c>
      <c r="AG215" s="128">
        <f t="shared" si="73"/>
        <v>0.30857142857142855</v>
      </c>
      <c r="AH215" s="128">
        <f t="shared" si="74"/>
        <v>0.33142857142857141</v>
      </c>
      <c r="AI215" s="129">
        <f t="shared" si="75"/>
        <v>0.64</v>
      </c>
      <c r="AJ215" s="426">
        <f t="shared" si="88"/>
        <v>1260</v>
      </c>
      <c r="AK215" s="131">
        <f t="shared" si="89"/>
        <v>420</v>
      </c>
      <c r="AL215" s="477">
        <f>AK215/VLOOKUP(IF(I215&gt;0,I215,1),Preise!$A$3:$B$27,2,FALSE)</f>
        <v>139.99999999999997</v>
      </c>
    </row>
    <row r="216" spans="1:38" s="3" customFormat="1" outlineLevel="1" x14ac:dyDescent="0.2">
      <c r="A216" s="5">
        <v>1226</v>
      </c>
      <c r="B216" s="412">
        <v>1226</v>
      </c>
      <c r="C216" s="132" t="str">
        <f>VLOOKUP(B216,Gegenstände!$A255:$B898,2,FALSE)</f>
        <v>Baumwoll-Spitzhut</v>
      </c>
      <c r="D216" s="133">
        <f>VLOOKUP(B216,Gegenstände!$A255:$D898,4,FALSE)</f>
        <v>14</v>
      </c>
      <c r="E216" s="468">
        <v>33</v>
      </c>
      <c r="F216" s="3">
        <v>240</v>
      </c>
      <c r="G216" s="54">
        <v>3</v>
      </c>
      <c r="H216" s="469">
        <v>66</v>
      </c>
      <c r="I216" s="54">
        <v>13</v>
      </c>
      <c r="J216" s="470"/>
      <c r="K216" s="54">
        <v>11</v>
      </c>
      <c r="L216" s="3" t="s">
        <v>153</v>
      </c>
      <c r="M216" s="85">
        <v>8</v>
      </c>
      <c r="N216" s="83" t="s">
        <v>194</v>
      </c>
      <c r="O216" s="85">
        <v>7</v>
      </c>
      <c r="P216" s="83" t="s">
        <v>196</v>
      </c>
      <c r="Q216" s="85"/>
      <c r="R216" s="83"/>
      <c r="S216" s="170"/>
      <c r="T216" s="170"/>
      <c r="U216" s="471">
        <f>VLOOKUP(D216,Preise!$A$3:$C$27,3)</f>
        <v>6.1527876212947623</v>
      </c>
      <c r="V216" s="523">
        <f>0.2*W216</f>
        <v>6152.7876212947631</v>
      </c>
      <c r="W216" s="131">
        <f t="shared" si="83"/>
        <v>30763.938106473812</v>
      </c>
      <c r="X216" s="472">
        <f t="shared" si="84"/>
        <v>6200</v>
      </c>
      <c r="Y216" s="473">
        <f t="shared" si="85"/>
        <v>6200</v>
      </c>
      <c r="Z216" s="474">
        <f>IF(ISERROR(VLOOKUP(L216,Gegenstände!$B$2:$N$2026,13,FALSE)),0,VLOOKUP(L216,Gegenstände!$B$2:$N$2026,13,FALSE))</f>
        <v>180</v>
      </c>
      <c r="AA216" s="142">
        <f>IF(ISERROR(VLOOKUP(N216,Gegenstände!$B$2:$N$2026,13,FALSE)),0,VLOOKUP(N216,Gegenstände!$B$2:$N$2026,13,FALSE))</f>
        <v>80</v>
      </c>
      <c r="AB216" s="142">
        <f>IF(ISERROR(VLOOKUP(P216,Gegenstände!$B$2:$N$2026,13,FALSE)),0,VLOOKUP(P216,Gegenstände!$B$2:$N$2026,13,FALSE))</f>
        <v>200</v>
      </c>
      <c r="AC216" s="142">
        <f>IF(ISERROR(VLOOKUP(R216,Gegenstände!$B$2:$N$2026,13,FALSE)),0,VLOOKUP(R216,Gegenstände!$B$2:$N$2026,13,FALSE))</f>
        <v>0</v>
      </c>
      <c r="AD216" s="142"/>
      <c r="AE216" s="475">
        <f t="shared" si="86"/>
        <v>1980</v>
      </c>
      <c r="AF216" s="476">
        <f t="shared" si="87"/>
        <v>2040</v>
      </c>
      <c r="AG216" s="128">
        <f t="shared" si="73"/>
        <v>0.3193548387096774</v>
      </c>
      <c r="AH216" s="128">
        <f t="shared" si="74"/>
        <v>0.32903225806451614</v>
      </c>
      <c r="AI216" s="129">
        <f t="shared" si="75"/>
        <v>0.64838709677419359</v>
      </c>
      <c r="AJ216" s="426">
        <f t="shared" si="88"/>
        <v>2180</v>
      </c>
      <c r="AK216" s="131">
        <f t="shared" si="89"/>
        <v>545</v>
      </c>
      <c r="AL216" s="477">
        <f>AK216/VLOOKUP(IF(I216&gt;0,I216,1),Preise!$A$3:$B$27,2,FALSE)</f>
        <v>160.29411764705878</v>
      </c>
    </row>
    <row r="217" spans="1:38" s="3" customFormat="1" outlineLevel="1" x14ac:dyDescent="0.2">
      <c r="A217" s="5">
        <v>1227</v>
      </c>
      <c r="B217" s="412">
        <v>1227</v>
      </c>
      <c r="C217" s="132" t="str">
        <f>VLOOKUP(B217,Gegenstände!$A256:$B899,2,FALSE)</f>
        <v>Baumwoll-Tunika</v>
      </c>
      <c r="D217" s="133">
        <f>VLOOKUP(B217,Gegenstände!$A256:$D899,4,FALSE)</f>
        <v>14</v>
      </c>
      <c r="E217" s="468">
        <v>33</v>
      </c>
      <c r="F217" s="3">
        <v>360</v>
      </c>
      <c r="G217" s="54">
        <v>3</v>
      </c>
      <c r="H217" s="469">
        <v>66</v>
      </c>
      <c r="I217" s="54">
        <v>13</v>
      </c>
      <c r="J217" s="470"/>
      <c r="K217" s="54">
        <v>17</v>
      </c>
      <c r="L217" s="3" t="s">
        <v>153</v>
      </c>
      <c r="M217" s="85">
        <v>13</v>
      </c>
      <c r="N217" s="83" t="s">
        <v>194</v>
      </c>
      <c r="O217" s="85">
        <v>10</v>
      </c>
      <c r="P217" s="83" t="s">
        <v>196</v>
      </c>
      <c r="Q217" s="85"/>
      <c r="R217" s="83"/>
      <c r="S217" s="170"/>
      <c r="T217" s="170"/>
      <c r="U217" s="471">
        <f>VLOOKUP(D217,Preise!$A$3:$C$27,3)</f>
        <v>6.1527876212947623</v>
      </c>
      <c r="V217" s="523">
        <f>0.3*W217</f>
        <v>9229.1814319421428</v>
      </c>
      <c r="W217" s="131">
        <f t="shared" si="83"/>
        <v>30763.938106473812</v>
      </c>
      <c r="X217" s="472">
        <f t="shared" si="84"/>
        <v>9200</v>
      </c>
      <c r="Y217" s="473">
        <f t="shared" si="85"/>
        <v>9200</v>
      </c>
      <c r="Z217" s="474">
        <f>IF(ISERROR(VLOOKUP(L217,Gegenstände!$B$2:$N$2026,13,FALSE)),0,VLOOKUP(L217,Gegenstände!$B$2:$N$2026,13,FALSE))</f>
        <v>180</v>
      </c>
      <c r="AA217" s="142">
        <f>IF(ISERROR(VLOOKUP(N217,Gegenstände!$B$2:$N$2026,13,FALSE)),0,VLOOKUP(N217,Gegenstände!$B$2:$N$2026,13,FALSE))</f>
        <v>80</v>
      </c>
      <c r="AB217" s="142">
        <f>IF(ISERROR(VLOOKUP(P217,Gegenstände!$B$2:$N$2026,13,FALSE)),0,VLOOKUP(P217,Gegenstände!$B$2:$N$2026,13,FALSE))</f>
        <v>200</v>
      </c>
      <c r="AC217" s="142">
        <f>IF(ISERROR(VLOOKUP(R217,Gegenstände!$B$2:$N$2026,13,FALSE)),0,VLOOKUP(R217,Gegenstände!$B$2:$N$2026,13,FALSE))</f>
        <v>0</v>
      </c>
      <c r="AD217" s="142"/>
      <c r="AE217" s="475">
        <f t="shared" si="86"/>
        <v>3060</v>
      </c>
      <c r="AF217" s="476">
        <f t="shared" si="87"/>
        <v>3040</v>
      </c>
      <c r="AG217" s="128">
        <f t="shared" si="73"/>
        <v>0.33260869565217394</v>
      </c>
      <c r="AH217" s="128">
        <f t="shared" si="74"/>
        <v>0.33043478260869563</v>
      </c>
      <c r="AI217" s="129">
        <f t="shared" si="75"/>
        <v>0.66304347826086951</v>
      </c>
      <c r="AJ217" s="426">
        <f t="shared" si="88"/>
        <v>3100</v>
      </c>
      <c r="AK217" s="131">
        <f t="shared" si="89"/>
        <v>516.66666666666663</v>
      </c>
      <c r="AL217" s="477">
        <f>AK217/VLOOKUP(IF(I217&gt;0,I217,1),Preise!$A$3:$B$27,2,FALSE)</f>
        <v>151.96078431372544</v>
      </c>
    </row>
    <row r="218" spans="1:38" s="3" customFormat="1" outlineLevel="1" x14ac:dyDescent="0.2">
      <c r="A218" s="5">
        <v>1228</v>
      </c>
      <c r="B218" s="412">
        <v>1228</v>
      </c>
      <c r="C218" s="132" t="str">
        <f>VLOOKUP(B218,Gegenstände!$A257:$B900,2,FALSE)</f>
        <v>Baumwoll-Stulpen</v>
      </c>
      <c r="D218" s="133">
        <f>VLOOKUP(B218,Gegenstände!$A257:$D900,4,FALSE)</f>
        <v>15</v>
      </c>
      <c r="E218" s="468">
        <v>33</v>
      </c>
      <c r="F218" s="3">
        <v>180</v>
      </c>
      <c r="G218" s="54">
        <v>3</v>
      </c>
      <c r="H218" s="469">
        <v>66</v>
      </c>
      <c r="I218" s="54">
        <v>14</v>
      </c>
      <c r="J218" s="470"/>
      <c r="K218" s="54">
        <v>10</v>
      </c>
      <c r="L218" s="3" t="s">
        <v>153</v>
      </c>
      <c r="M218" s="85">
        <v>12</v>
      </c>
      <c r="N218" s="83" t="s">
        <v>194</v>
      </c>
      <c r="O218" s="85">
        <v>4</v>
      </c>
      <c r="P218" s="83" t="s">
        <v>196</v>
      </c>
      <c r="Q218" s="85"/>
      <c r="R218" s="83"/>
      <c r="S218" s="170"/>
      <c r="T218" s="170"/>
      <c r="U218" s="471">
        <f>VLOOKUP(D218,Preise!$A$3:$C$27,3)</f>
        <v>7.0757057644889763</v>
      </c>
      <c r="V218" s="523">
        <f>0.15*W218</f>
        <v>5306.7793233667317</v>
      </c>
      <c r="W218" s="131">
        <f t="shared" si="83"/>
        <v>35378.528822444881</v>
      </c>
      <c r="X218" s="472">
        <f t="shared" si="84"/>
        <v>5300</v>
      </c>
      <c r="Y218" s="473">
        <f t="shared" si="85"/>
        <v>5300</v>
      </c>
      <c r="Z218" s="474">
        <f>IF(ISERROR(VLOOKUP(L218,Gegenstände!$B$2:$N$2026,13,FALSE)),0,VLOOKUP(L218,Gegenstände!$B$2:$N$2026,13,FALSE))</f>
        <v>180</v>
      </c>
      <c r="AA218" s="142">
        <f>IF(ISERROR(VLOOKUP(N218,Gegenstände!$B$2:$N$2026,13,FALSE)),0,VLOOKUP(N218,Gegenstände!$B$2:$N$2026,13,FALSE))</f>
        <v>80</v>
      </c>
      <c r="AB218" s="142">
        <f>IF(ISERROR(VLOOKUP(P218,Gegenstände!$B$2:$N$2026,13,FALSE)),0,VLOOKUP(P218,Gegenstände!$B$2:$N$2026,13,FALSE))</f>
        <v>200</v>
      </c>
      <c r="AC218" s="142">
        <f>IF(ISERROR(VLOOKUP(R218,Gegenstände!$B$2:$N$2026,13,FALSE)),0,VLOOKUP(R218,Gegenstände!$B$2:$N$2026,13,FALSE))</f>
        <v>0</v>
      </c>
      <c r="AD218" s="142"/>
      <c r="AE218" s="475">
        <f t="shared" si="86"/>
        <v>1800</v>
      </c>
      <c r="AF218" s="476">
        <f t="shared" si="87"/>
        <v>1760</v>
      </c>
      <c r="AG218" s="128">
        <f t="shared" si="73"/>
        <v>0.33962264150943394</v>
      </c>
      <c r="AH218" s="128">
        <f t="shared" si="74"/>
        <v>0.33207547169811319</v>
      </c>
      <c r="AI218" s="129">
        <f t="shared" si="75"/>
        <v>0.67169811320754713</v>
      </c>
      <c r="AJ218" s="426">
        <f t="shared" si="88"/>
        <v>1740</v>
      </c>
      <c r="AK218" s="131">
        <f t="shared" si="89"/>
        <v>580</v>
      </c>
      <c r="AL218" s="477">
        <f>AK218/VLOOKUP(IF(I218&gt;0,I218,1),Preise!$A$3:$B$27,2,FALSE)</f>
        <v>161.11111111111106</v>
      </c>
    </row>
    <row r="219" spans="1:38" s="3" customFormat="1" outlineLevel="1" x14ac:dyDescent="0.2">
      <c r="A219" s="5">
        <v>1229</v>
      </c>
      <c r="B219" s="412">
        <v>1229</v>
      </c>
      <c r="C219" s="132" t="str">
        <f>VLOOKUP(B219,Gegenstände!$A258:$B901,2,FALSE)</f>
        <v>Baumwoll-Beinlinge</v>
      </c>
      <c r="D219" s="133">
        <f>VLOOKUP(B219,Gegenstände!$A258:$D901,4,FALSE)</f>
        <v>15</v>
      </c>
      <c r="E219" s="468">
        <v>33</v>
      </c>
      <c r="F219" s="3">
        <v>240</v>
      </c>
      <c r="G219" s="54">
        <v>3</v>
      </c>
      <c r="H219" s="469">
        <v>66</v>
      </c>
      <c r="I219" s="54">
        <v>14</v>
      </c>
      <c r="J219" s="470"/>
      <c r="K219" s="54">
        <v>13</v>
      </c>
      <c r="L219" s="3" t="s">
        <v>153</v>
      </c>
      <c r="M219" s="85">
        <v>12</v>
      </c>
      <c r="N219" s="83" t="s">
        <v>194</v>
      </c>
      <c r="O219" s="85">
        <v>7</v>
      </c>
      <c r="P219" s="83" t="s">
        <v>196</v>
      </c>
      <c r="Q219" s="85"/>
      <c r="R219" s="83"/>
      <c r="S219" s="170"/>
      <c r="T219" s="170"/>
      <c r="U219" s="471">
        <f>VLOOKUP(D219,Preise!$A$3:$C$27,3)</f>
        <v>7.0757057644889763</v>
      </c>
      <c r="V219" s="523">
        <f>0.2*W219</f>
        <v>7075.7057644889765</v>
      </c>
      <c r="W219" s="131">
        <f t="shared" si="83"/>
        <v>35378.528822444881</v>
      </c>
      <c r="X219" s="472">
        <f t="shared" si="84"/>
        <v>7100</v>
      </c>
      <c r="Y219" s="473">
        <f t="shared" si="85"/>
        <v>7100</v>
      </c>
      <c r="Z219" s="474">
        <f>IF(ISERROR(VLOOKUP(L219,Gegenstände!$B$2:$N$2026,13,FALSE)),0,VLOOKUP(L219,Gegenstände!$B$2:$N$2026,13,FALSE))</f>
        <v>180</v>
      </c>
      <c r="AA219" s="142">
        <f>IF(ISERROR(VLOOKUP(N219,Gegenstände!$B$2:$N$2026,13,FALSE)),0,VLOOKUP(N219,Gegenstände!$B$2:$N$2026,13,FALSE))</f>
        <v>80</v>
      </c>
      <c r="AB219" s="142">
        <f>IF(ISERROR(VLOOKUP(P219,Gegenstände!$B$2:$N$2026,13,FALSE)),0,VLOOKUP(P219,Gegenstände!$B$2:$N$2026,13,FALSE))</f>
        <v>200</v>
      </c>
      <c r="AC219" s="142">
        <f>IF(ISERROR(VLOOKUP(R219,Gegenstände!$B$2:$N$2026,13,FALSE)),0,VLOOKUP(R219,Gegenstände!$B$2:$N$2026,13,FALSE))</f>
        <v>0</v>
      </c>
      <c r="AD219" s="142"/>
      <c r="AE219" s="475">
        <f t="shared" si="86"/>
        <v>2340</v>
      </c>
      <c r="AF219" s="476">
        <f t="shared" si="87"/>
        <v>2360</v>
      </c>
      <c r="AG219" s="128">
        <f t="shared" si="73"/>
        <v>0.3295774647887324</v>
      </c>
      <c r="AH219" s="128">
        <f t="shared" si="74"/>
        <v>0.3323943661971831</v>
      </c>
      <c r="AI219" s="129">
        <f t="shared" si="75"/>
        <v>0.6619718309859155</v>
      </c>
      <c r="AJ219" s="426">
        <f t="shared" si="88"/>
        <v>2400</v>
      </c>
      <c r="AK219" s="131">
        <f t="shared" si="89"/>
        <v>600</v>
      </c>
      <c r="AL219" s="477">
        <f>AK219/VLOOKUP(IF(I219&gt;0,I219,1),Preise!$A$3:$B$27,2,FALSE)</f>
        <v>166.66666666666663</v>
      </c>
    </row>
    <row r="220" spans="1:38" s="3" customFormat="1" outlineLevel="1" x14ac:dyDescent="0.2">
      <c r="A220" s="345">
        <v>1230</v>
      </c>
      <c r="B220" s="561">
        <v>1230</v>
      </c>
      <c r="C220" s="413" t="str">
        <f>VLOOKUP(B220,Gegenstände!$A263:$B902,2,FALSE)</f>
        <v>Baumwoll-Stiefel</v>
      </c>
      <c r="D220" s="562">
        <f>VLOOKUP(B220,Gegenstände!$A263:$D902,4,FALSE)</f>
        <v>15</v>
      </c>
      <c r="E220" s="563">
        <v>33</v>
      </c>
      <c r="F220" s="564">
        <v>180</v>
      </c>
      <c r="G220" s="335">
        <v>3</v>
      </c>
      <c r="H220" s="565">
        <v>66</v>
      </c>
      <c r="I220" s="335">
        <v>14</v>
      </c>
      <c r="J220" s="566"/>
      <c r="K220" s="335">
        <v>10</v>
      </c>
      <c r="L220" s="334" t="s">
        <v>153</v>
      </c>
      <c r="M220" s="567">
        <v>12</v>
      </c>
      <c r="N220" s="568" t="s">
        <v>194</v>
      </c>
      <c r="O220" s="567">
        <v>4</v>
      </c>
      <c r="P220" s="568" t="s">
        <v>196</v>
      </c>
      <c r="Q220" s="567"/>
      <c r="R220" s="568"/>
      <c r="S220" s="569"/>
      <c r="T220" s="570"/>
      <c r="U220" s="471">
        <f>VLOOKUP(D220,Preise!$A$3:$C$27,3)</f>
        <v>7.0757057644889763</v>
      </c>
      <c r="V220" s="558">
        <f>0.15*W220</f>
        <v>5306.7793233667317</v>
      </c>
      <c r="W220" s="559">
        <f t="shared" si="83"/>
        <v>35378.528822444881</v>
      </c>
      <c r="X220" s="472">
        <f t="shared" si="84"/>
        <v>5300</v>
      </c>
      <c r="Y220" s="473">
        <f t="shared" si="85"/>
        <v>5300</v>
      </c>
      <c r="Z220" s="474">
        <f>IF(ISERROR(VLOOKUP(L220,Gegenstände!$B$2:$N$2026,13,FALSE)),0,VLOOKUP(L220,Gegenstände!$B$2:$N$2026,13,FALSE))</f>
        <v>180</v>
      </c>
      <c r="AA220" s="142">
        <f>IF(ISERROR(VLOOKUP(N220,Gegenstände!$B$2:$N$2026,13,FALSE)),0,VLOOKUP(N220,Gegenstände!$B$2:$N$2026,13,FALSE))</f>
        <v>80</v>
      </c>
      <c r="AB220" s="142">
        <f>IF(ISERROR(VLOOKUP(P220,Gegenstände!$B$2:$N$2026,13,FALSE)),0,VLOOKUP(P220,Gegenstände!$B$2:$N$2026,13,FALSE))</f>
        <v>200</v>
      </c>
      <c r="AC220" s="142">
        <f>IF(ISERROR(VLOOKUP(R220,Gegenstände!$B$2:$N$2026,13,FALSE)),0,VLOOKUP(R220,Gegenstände!$B$2:$N$2026,13,FALSE))</f>
        <v>0</v>
      </c>
      <c r="AD220" s="142"/>
      <c r="AE220" s="475">
        <f t="shared" si="86"/>
        <v>1800</v>
      </c>
      <c r="AF220" s="476">
        <f t="shared" si="87"/>
        <v>1760</v>
      </c>
      <c r="AG220" s="128">
        <f t="shared" si="73"/>
        <v>0.33962264150943394</v>
      </c>
      <c r="AH220" s="128">
        <f t="shared" si="74"/>
        <v>0.33207547169811319</v>
      </c>
      <c r="AI220" s="129">
        <f t="shared" si="75"/>
        <v>0.67169811320754713</v>
      </c>
      <c r="AJ220" s="426">
        <f t="shared" si="88"/>
        <v>1740</v>
      </c>
      <c r="AK220" s="131">
        <f t="shared" si="89"/>
        <v>580</v>
      </c>
      <c r="AL220" s="477">
        <f>AK220/VLOOKUP(IF(I220&gt;0,I220,1),Preise!$A$3:$B$27,2,FALSE)</f>
        <v>161.11111111111106</v>
      </c>
    </row>
    <row r="221" spans="1:38" s="3" customFormat="1" outlineLevel="1" x14ac:dyDescent="0.2">
      <c r="A221" s="5">
        <v>1231</v>
      </c>
      <c r="B221" s="412">
        <v>1231</v>
      </c>
      <c r="C221" s="132" t="str">
        <f>VLOOKUP(B221,Gegenstände!$A264:$B903,2,FALSE)</f>
        <v>Seiden-Haube</v>
      </c>
      <c r="D221" s="133">
        <f>VLOOKUP(B221,Gegenstände!$A264:$D903,4,FALSE)</f>
        <v>16</v>
      </c>
      <c r="E221" s="468">
        <v>33</v>
      </c>
      <c r="F221" s="3">
        <v>240</v>
      </c>
      <c r="G221" s="54">
        <v>4</v>
      </c>
      <c r="H221" s="469">
        <v>66</v>
      </c>
      <c r="I221" s="54">
        <v>15</v>
      </c>
      <c r="J221" s="571"/>
      <c r="K221" s="54">
        <v>10</v>
      </c>
      <c r="L221" s="3" t="s">
        <v>154</v>
      </c>
      <c r="M221" s="85">
        <v>8</v>
      </c>
      <c r="N221" s="83" t="s">
        <v>194</v>
      </c>
      <c r="O221" s="85">
        <v>10</v>
      </c>
      <c r="P221" s="83" t="s">
        <v>196</v>
      </c>
      <c r="Q221" s="85"/>
      <c r="R221" s="572"/>
      <c r="S221" s="170"/>
      <c r="T221" s="170"/>
      <c r="U221" s="471">
        <f>VLOOKUP(D221,Preise!$A$3:$C$27,3)</f>
        <v>8.1370616291623215</v>
      </c>
      <c r="V221" s="523">
        <f>0.2*W221</f>
        <v>8137.0616291623219</v>
      </c>
      <c r="W221" s="131">
        <f t="shared" si="83"/>
        <v>40685.308145811607</v>
      </c>
      <c r="X221" s="557">
        <f t="shared" si="84"/>
        <v>8100</v>
      </c>
      <c r="Y221" s="473">
        <f t="shared" si="85"/>
        <v>8100</v>
      </c>
      <c r="Z221" s="474">
        <f>IF(ISERROR(VLOOKUP(L221,Gegenstände!$B$2:$N$2026,13,FALSE)),0,VLOOKUP(L221,Gegenstände!$B$2:$N$2026,13,FALSE))</f>
        <v>270</v>
      </c>
      <c r="AA221" s="142">
        <f>IF(ISERROR(VLOOKUP(N221,Gegenstände!$B$2:$N$2026,13,FALSE)),0,VLOOKUP(N221,Gegenstände!$B$2:$N$2026,13,FALSE))</f>
        <v>80</v>
      </c>
      <c r="AB221" s="142">
        <f>IF(ISERROR(VLOOKUP(P221,Gegenstände!$B$2:$N$2026,13,FALSE)),0,VLOOKUP(P221,Gegenstände!$B$2:$N$2026,13,FALSE))</f>
        <v>200</v>
      </c>
      <c r="AC221" s="142">
        <f>IF(ISERROR(VLOOKUP(R221,Gegenstände!$B$2:$N$2026,13,FALSE)),0,VLOOKUP(R221,Gegenstände!$B$2:$N$2026,13,FALSE))</f>
        <v>0</v>
      </c>
      <c r="AD221" s="142"/>
      <c r="AE221" s="475">
        <f t="shared" si="86"/>
        <v>2700</v>
      </c>
      <c r="AF221" s="476">
        <f t="shared" si="87"/>
        <v>2640</v>
      </c>
      <c r="AG221" s="128">
        <f t="shared" si="73"/>
        <v>0.33333333333333331</v>
      </c>
      <c r="AH221" s="128">
        <f t="shared" si="74"/>
        <v>0.32592592592592595</v>
      </c>
      <c r="AI221" s="129">
        <f t="shared" si="75"/>
        <v>0.65925925925925921</v>
      </c>
      <c r="AJ221" s="426">
        <f t="shared" si="88"/>
        <v>2760</v>
      </c>
      <c r="AK221" s="131">
        <f t="shared" si="89"/>
        <v>690</v>
      </c>
      <c r="AL221" s="477">
        <f>AK221/VLOOKUP(IF(I221&gt;0,I221,1),Preise!$A$3:$B$27,2,FALSE)</f>
        <v>181.57894736842098</v>
      </c>
    </row>
    <row r="222" spans="1:38" s="3" customFormat="1" outlineLevel="1" x14ac:dyDescent="0.2">
      <c r="A222" s="5">
        <v>1232</v>
      </c>
      <c r="B222" s="412">
        <v>1232</v>
      </c>
      <c r="C222" s="132" t="str">
        <f>VLOOKUP(B222,Gegenstände!$A265:$B904,2,FALSE)</f>
        <v>Seiden-Robe</v>
      </c>
      <c r="D222" s="133">
        <f>VLOOKUP(B222,Gegenstände!$A265:$D904,4,FALSE)</f>
        <v>16</v>
      </c>
      <c r="E222" s="468">
        <v>33</v>
      </c>
      <c r="F222" s="3">
        <v>360</v>
      </c>
      <c r="G222" s="54">
        <v>4</v>
      </c>
      <c r="H222" s="469">
        <v>66</v>
      </c>
      <c r="I222" s="54">
        <v>15</v>
      </c>
      <c r="J222" s="470"/>
      <c r="K222" s="54">
        <v>15</v>
      </c>
      <c r="L222" s="3" t="s">
        <v>154</v>
      </c>
      <c r="M222" s="85">
        <v>10</v>
      </c>
      <c r="N222" s="83" t="s">
        <v>194</v>
      </c>
      <c r="O222" s="85">
        <v>16</v>
      </c>
      <c r="P222" s="83" t="s">
        <v>196</v>
      </c>
      <c r="Q222" s="85"/>
      <c r="R222" s="83"/>
      <c r="S222" s="170"/>
      <c r="T222" s="170"/>
      <c r="U222" s="471">
        <f>VLOOKUP(D222,Preise!$A$3:$C$27,3)</f>
        <v>8.1370616291623215</v>
      </c>
      <c r="V222" s="523">
        <f>0.3*W222</f>
        <v>12205.592443743482</v>
      </c>
      <c r="W222" s="131">
        <f t="shared" si="83"/>
        <v>40685.308145811607</v>
      </c>
      <c r="X222" s="472">
        <f t="shared" si="84"/>
        <v>12200</v>
      </c>
      <c r="Y222" s="473">
        <f t="shared" si="85"/>
        <v>12200</v>
      </c>
      <c r="Z222" s="474">
        <f>IF(ISERROR(VLOOKUP(L222,Gegenstände!$B$2:$N$2026,13,FALSE)),0,VLOOKUP(L222,Gegenstände!$B$2:$N$2026,13,FALSE))</f>
        <v>270</v>
      </c>
      <c r="AA222" s="142">
        <f>IF(ISERROR(VLOOKUP(N222,Gegenstände!$B$2:$N$2026,13,FALSE)),0,VLOOKUP(N222,Gegenstände!$B$2:$N$2026,13,FALSE))</f>
        <v>80</v>
      </c>
      <c r="AB222" s="142">
        <f>IF(ISERROR(VLOOKUP(P222,Gegenstände!$B$2:$N$2026,13,FALSE)),0,VLOOKUP(P222,Gegenstände!$B$2:$N$2026,13,FALSE))</f>
        <v>200</v>
      </c>
      <c r="AC222" s="142">
        <f>IF(ISERROR(VLOOKUP(R222,Gegenstände!$B$2:$N$2026,13,FALSE)),0,VLOOKUP(R222,Gegenstände!$B$2:$N$2026,13,FALSE))</f>
        <v>0</v>
      </c>
      <c r="AD222" s="142"/>
      <c r="AE222" s="475">
        <f t="shared" si="86"/>
        <v>4050</v>
      </c>
      <c r="AF222" s="476">
        <f t="shared" si="87"/>
        <v>4000</v>
      </c>
      <c r="AG222" s="128">
        <f t="shared" si="73"/>
        <v>0.33196721311475408</v>
      </c>
      <c r="AH222" s="128">
        <f t="shared" si="74"/>
        <v>0.32786885245901637</v>
      </c>
      <c r="AI222" s="129">
        <f t="shared" si="75"/>
        <v>0.6598360655737705</v>
      </c>
      <c r="AJ222" s="426">
        <f t="shared" si="88"/>
        <v>4150</v>
      </c>
      <c r="AK222" s="131">
        <f t="shared" si="89"/>
        <v>691.66666666666663</v>
      </c>
      <c r="AL222" s="477">
        <f>AK222/VLOOKUP(IF(I222&gt;0,I222,1),Preise!$A$3:$B$27,2,FALSE)</f>
        <v>182.01754385964907</v>
      </c>
    </row>
    <row r="223" spans="1:38" s="3" customFormat="1" outlineLevel="1" x14ac:dyDescent="0.2">
      <c r="A223" s="5">
        <v>1233</v>
      </c>
      <c r="B223" s="412">
        <v>1233</v>
      </c>
      <c r="C223" s="132" t="str">
        <f>VLOOKUP(B223,Gegenstände!$A266:$B905,2,FALSE)</f>
        <v>Seiden-Handschuhe</v>
      </c>
      <c r="D223" s="133">
        <f>VLOOKUP(B223,Gegenstände!$A266:$D905,4,FALSE)</f>
        <v>17</v>
      </c>
      <c r="E223" s="468">
        <v>33</v>
      </c>
      <c r="F223" s="3">
        <v>180</v>
      </c>
      <c r="G223" s="54">
        <v>4</v>
      </c>
      <c r="H223" s="469">
        <v>66</v>
      </c>
      <c r="I223" s="54">
        <v>16</v>
      </c>
      <c r="J223" s="470"/>
      <c r="K223" s="54">
        <v>8</v>
      </c>
      <c r="L223" s="3" t="s">
        <v>154</v>
      </c>
      <c r="M223" s="85">
        <v>9</v>
      </c>
      <c r="N223" s="83" t="s">
        <v>194</v>
      </c>
      <c r="O223" s="85">
        <v>8</v>
      </c>
      <c r="P223" s="83" t="s">
        <v>196</v>
      </c>
      <c r="Q223" s="85"/>
      <c r="R223" s="83"/>
      <c r="S223" s="170"/>
      <c r="T223" s="170"/>
      <c r="U223" s="471">
        <f>VLOOKUP(D223,Preise!$A$3:$C$27,3)</f>
        <v>9.3576208735366695</v>
      </c>
      <c r="V223" s="523">
        <f>0.15*W223</f>
        <v>7018.2156551525022</v>
      </c>
      <c r="W223" s="131">
        <f t="shared" ref="W223:W240" si="90">U223*$V$190</f>
        <v>46788.104367683351</v>
      </c>
      <c r="X223" s="472">
        <f t="shared" ref="X223:X240" si="91">ROUND((V223/100),0)*100</f>
        <v>7000</v>
      </c>
      <c r="Y223" s="473">
        <f t="shared" ref="Y223:Y240" si="92">X223*IF(J223&gt;0,J223,1)</f>
        <v>7000</v>
      </c>
      <c r="Z223" s="474">
        <f>IF(ISERROR(VLOOKUP(L223,Gegenstände!$B$2:$N$2026,13,FALSE)),0,VLOOKUP(L223,Gegenstände!$B$2:$N$2026,13,FALSE))</f>
        <v>270</v>
      </c>
      <c r="AA223" s="142">
        <f>IF(ISERROR(VLOOKUP(N223,Gegenstände!$B$2:$N$2026,13,FALSE)),0,VLOOKUP(N223,Gegenstände!$B$2:$N$2026,13,FALSE))</f>
        <v>80</v>
      </c>
      <c r="AB223" s="142">
        <f>IF(ISERROR(VLOOKUP(P223,Gegenstände!$B$2:$N$2026,13,FALSE)),0,VLOOKUP(P223,Gegenstände!$B$2:$N$2026,13,FALSE))</f>
        <v>200</v>
      </c>
      <c r="AC223" s="142">
        <f>IF(ISERROR(VLOOKUP(R223,Gegenstände!$B$2:$N$2026,13,FALSE)),0,VLOOKUP(R223,Gegenstände!$B$2:$N$2026,13,FALSE))</f>
        <v>0</v>
      </c>
      <c r="AD223" s="142"/>
      <c r="AE223" s="475">
        <f t="shared" ref="AE223:AE240" si="93">IF(ISERROR(K223*Z223),"",K223*Z223)</f>
        <v>2160</v>
      </c>
      <c r="AF223" s="476">
        <f t="shared" ref="AF223:AF240" si="94">IF(ISERROR(M223*AA223+O223*AB223+Q223*AC223),"",M223*AA223+O223*AB223+Q223*AC223)</f>
        <v>2320</v>
      </c>
      <c r="AG223" s="128">
        <f t="shared" si="73"/>
        <v>0.30857142857142855</v>
      </c>
      <c r="AH223" s="128">
        <f t="shared" si="74"/>
        <v>0.33142857142857141</v>
      </c>
      <c r="AI223" s="129">
        <f t="shared" si="75"/>
        <v>0.64</v>
      </c>
      <c r="AJ223" s="426">
        <f t="shared" ref="AJ223:AJ240" si="95">Y223-(AE223+AF223)</f>
        <v>2520</v>
      </c>
      <c r="AK223" s="131">
        <f t="shared" si="89"/>
        <v>840</v>
      </c>
      <c r="AL223" s="477">
        <f>AK223/VLOOKUP(IF(I223&gt;0,I223,1),Preise!$A$3:$B$27,2,FALSE)</f>
        <v>209.99999999999994</v>
      </c>
    </row>
    <row r="224" spans="1:38" s="3" customFormat="1" outlineLevel="1" x14ac:dyDescent="0.2">
      <c r="A224" s="5">
        <v>1234</v>
      </c>
      <c r="B224" s="412">
        <v>1234</v>
      </c>
      <c r="C224" s="132" t="str">
        <f>VLOOKUP(B224,Gegenstände!$A267:$B906,2,FALSE)</f>
        <v>Seiden-Hose</v>
      </c>
      <c r="D224" s="133">
        <f>VLOOKUP(B224,Gegenstände!$A267:$D906,4,FALSE)</f>
        <v>17</v>
      </c>
      <c r="E224" s="468">
        <v>33</v>
      </c>
      <c r="F224" s="3">
        <v>240</v>
      </c>
      <c r="G224" s="54">
        <v>4</v>
      </c>
      <c r="H224" s="469">
        <v>66</v>
      </c>
      <c r="I224" s="54">
        <v>16</v>
      </c>
      <c r="J224" s="470"/>
      <c r="K224" s="54">
        <v>11</v>
      </c>
      <c r="L224" s="3" t="s">
        <v>154</v>
      </c>
      <c r="M224" s="85">
        <v>9</v>
      </c>
      <c r="N224" s="83" t="s">
        <v>194</v>
      </c>
      <c r="O224" s="85">
        <v>12</v>
      </c>
      <c r="P224" s="83" t="s">
        <v>196</v>
      </c>
      <c r="Q224" s="85"/>
      <c r="R224" s="83"/>
      <c r="S224" s="170"/>
      <c r="T224" s="170"/>
      <c r="U224" s="471">
        <f>VLOOKUP(D224,Preise!$A$3:$C$27,3)</f>
        <v>9.3576208735366695</v>
      </c>
      <c r="V224" s="523">
        <f>0.2*W224</f>
        <v>9357.6208735366708</v>
      </c>
      <c r="W224" s="131">
        <f t="shared" si="90"/>
        <v>46788.104367683351</v>
      </c>
      <c r="X224" s="472">
        <f t="shared" si="91"/>
        <v>9400</v>
      </c>
      <c r="Y224" s="473">
        <f t="shared" si="92"/>
        <v>9400</v>
      </c>
      <c r="Z224" s="474">
        <f>IF(ISERROR(VLOOKUP(L224,Gegenstände!$B$2:$N$2026,13,FALSE)),0,VLOOKUP(L224,Gegenstände!$B$2:$N$2026,13,FALSE))</f>
        <v>270</v>
      </c>
      <c r="AA224" s="142">
        <f>IF(ISERROR(VLOOKUP(N224,Gegenstände!$B$2:$N$2026,13,FALSE)),0,VLOOKUP(N224,Gegenstände!$B$2:$N$2026,13,FALSE))</f>
        <v>80</v>
      </c>
      <c r="AB224" s="142">
        <f>IF(ISERROR(VLOOKUP(P224,Gegenstände!$B$2:$N$2026,13,FALSE)),0,VLOOKUP(P224,Gegenstände!$B$2:$N$2026,13,FALSE))</f>
        <v>200</v>
      </c>
      <c r="AC224" s="142">
        <f>IF(ISERROR(VLOOKUP(R224,Gegenstände!$B$2:$N$2026,13,FALSE)),0,VLOOKUP(R224,Gegenstände!$B$2:$N$2026,13,FALSE))</f>
        <v>0</v>
      </c>
      <c r="AD224" s="142"/>
      <c r="AE224" s="475">
        <f t="shared" si="93"/>
        <v>2970</v>
      </c>
      <c r="AF224" s="476">
        <f t="shared" si="94"/>
        <v>3120</v>
      </c>
      <c r="AG224" s="128">
        <f t="shared" si="73"/>
        <v>0.31595744680851062</v>
      </c>
      <c r="AH224" s="128">
        <f t="shared" si="74"/>
        <v>0.33191489361702126</v>
      </c>
      <c r="AI224" s="129">
        <f t="shared" si="75"/>
        <v>0.64787234042553188</v>
      </c>
      <c r="AJ224" s="426">
        <f t="shared" si="95"/>
        <v>3310</v>
      </c>
      <c r="AK224" s="131">
        <f t="shared" si="89"/>
        <v>827.5</v>
      </c>
      <c r="AL224" s="477">
        <f>AK224/VLOOKUP(IF(I224&gt;0,I224,1),Preise!$A$3:$B$27,2,FALSE)</f>
        <v>206.87499999999994</v>
      </c>
    </row>
    <row r="225" spans="1:38" s="3" customFormat="1" outlineLevel="1" x14ac:dyDescent="0.2">
      <c r="A225" s="5">
        <v>1235</v>
      </c>
      <c r="B225" s="412">
        <v>1235</v>
      </c>
      <c r="C225" s="132" t="str">
        <f>VLOOKUP(B225,Gegenstände!$A268:$B907,2,FALSE)</f>
        <v>Seiden-Schuhe</v>
      </c>
      <c r="D225" s="133">
        <f>VLOOKUP(B225,Gegenstände!$A268:$D907,4,FALSE)</f>
        <v>17</v>
      </c>
      <c r="E225" s="468">
        <v>33</v>
      </c>
      <c r="F225" s="3">
        <v>180</v>
      </c>
      <c r="G225" s="54">
        <v>4</v>
      </c>
      <c r="H225" s="469">
        <v>66</v>
      </c>
      <c r="I225" s="54">
        <v>16</v>
      </c>
      <c r="J225" s="470"/>
      <c r="K225" s="54">
        <v>8</v>
      </c>
      <c r="L225" s="3" t="s">
        <v>154</v>
      </c>
      <c r="M225" s="85">
        <v>9</v>
      </c>
      <c r="N225" s="83" t="s">
        <v>194</v>
      </c>
      <c r="O225" s="85">
        <v>8</v>
      </c>
      <c r="P225" s="83" t="s">
        <v>196</v>
      </c>
      <c r="Q225" s="85"/>
      <c r="R225" s="83"/>
      <c r="S225" s="170"/>
      <c r="T225" s="170"/>
      <c r="U225" s="471">
        <f>VLOOKUP(D225,Preise!$A$3:$C$27,3)</f>
        <v>9.3576208735366695</v>
      </c>
      <c r="V225" s="558">
        <f>0.15*W225</f>
        <v>7018.2156551525022</v>
      </c>
      <c r="W225" s="559">
        <f t="shared" si="90"/>
        <v>46788.104367683351</v>
      </c>
      <c r="X225" s="560">
        <f t="shared" si="91"/>
        <v>7000</v>
      </c>
      <c r="Y225" s="473">
        <f t="shared" si="92"/>
        <v>7000</v>
      </c>
      <c r="Z225" s="474">
        <f>IF(ISERROR(VLOOKUP(L225,Gegenstände!$B$2:$N$2026,13,FALSE)),0,VLOOKUP(L225,Gegenstände!$B$2:$N$2026,13,FALSE))</f>
        <v>270</v>
      </c>
      <c r="AA225" s="142">
        <f>IF(ISERROR(VLOOKUP(N225,Gegenstände!$B$2:$N$2026,13,FALSE)),0,VLOOKUP(N225,Gegenstände!$B$2:$N$2026,13,FALSE))</f>
        <v>80</v>
      </c>
      <c r="AB225" s="142">
        <f>IF(ISERROR(VLOOKUP(P225,Gegenstände!$B$2:$N$2026,13,FALSE)),0,VLOOKUP(P225,Gegenstände!$B$2:$N$2026,13,FALSE))</f>
        <v>200</v>
      </c>
      <c r="AC225" s="142">
        <f>IF(ISERROR(VLOOKUP(R225,Gegenstände!$B$2:$N$2026,13,FALSE)),0,VLOOKUP(R225,Gegenstände!$B$2:$N$2026,13,FALSE))</f>
        <v>0</v>
      </c>
      <c r="AD225" s="142"/>
      <c r="AE225" s="475">
        <f t="shared" si="93"/>
        <v>2160</v>
      </c>
      <c r="AF225" s="476">
        <f t="shared" si="94"/>
        <v>2320</v>
      </c>
      <c r="AG225" s="128">
        <f t="shared" si="73"/>
        <v>0.30857142857142855</v>
      </c>
      <c r="AH225" s="128">
        <f t="shared" si="74"/>
        <v>0.33142857142857141</v>
      </c>
      <c r="AI225" s="129">
        <f t="shared" si="75"/>
        <v>0.64</v>
      </c>
      <c r="AJ225" s="426">
        <f t="shared" si="95"/>
        <v>2520</v>
      </c>
      <c r="AK225" s="131">
        <f t="shared" si="89"/>
        <v>840</v>
      </c>
      <c r="AL225" s="477">
        <f>AK225/VLOOKUP(IF(I225&gt;0,I225,1),Preise!$A$3:$B$27,2,FALSE)</f>
        <v>209.99999999999994</v>
      </c>
    </row>
    <row r="226" spans="1:38" s="3" customFormat="1" outlineLevel="1" x14ac:dyDescent="0.2">
      <c r="A226" s="5">
        <v>1236</v>
      </c>
      <c r="B226" s="412">
        <v>1236</v>
      </c>
      <c r="C226" s="132" t="str">
        <f>VLOOKUP(B226,Gegenstände!$A269:$B908,2,FALSE)</f>
        <v>Seiden-Spitzhut</v>
      </c>
      <c r="D226" s="133">
        <f>VLOOKUP(B226,Gegenstände!$A269:$D908,4,FALSE)</f>
        <v>19</v>
      </c>
      <c r="E226" s="468">
        <v>33</v>
      </c>
      <c r="F226" s="3">
        <v>240</v>
      </c>
      <c r="G226" s="54">
        <v>4</v>
      </c>
      <c r="H226" s="469">
        <v>66</v>
      </c>
      <c r="I226" s="54">
        <v>18</v>
      </c>
      <c r="J226" s="470"/>
      <c r="K226" s="54">
        <v>15</v>
      </c>
      <c r="L226" s="3" t="s">
        <v>154</v>
      </c>
      <c r="M226" s="85">
        <v>14</v>
      </c>
      <c r="N226" s="83" t="s">
        <v>194</v>
      </c>
      <c r="O226" s="85">
        <v>15</v>
      </c>
      <c r="P226" s="83" t="s">
        <v>196</v>
      </c>
      <c r="Q226" s="85"/>
      <c r="R226" s="83"/>
      <c r="S226" s="170"/>
      <c r="T226" s="170"/>
      <c r="U226" s="471">
        <f>VLOOKUP(D226,Preise!$A$3:$C$27,3)</f>
        <v>12.375453605252243</v>
      </c>
      <c r="V226" s="523">
        <f>0.2*W226</f>
        <v>12375.453605252245</v>
      </c>
      <c r="W226" s="131">
        <f t="shared" si="90"/>
        <v>61877.268026261219</v>
      </c>
      <c r="X226" s="472">
        <f t="shared" si="91"/>
        <v>12400</v>
      </c>
      <c r="Y226" s="473">
        <f t="shared" si="92"/>
        <v>12400</v>
      </c>
      <c r="Z226" s="474">
        <f>IF(ISERROR(VLOOKUP(L226,Gegenstände!$B$2:$N$2026,13,FALSE)),0,VLOOKUP(L226,Gegenstände!$B$2:$N$2026,13,FALSE))</f>
        <v>270</v>
      </c>
      <c r="AA226" s="142">
        <f>IF(ISERROR(VLOOKUP(N226,Gegenstände!$B$2:$N$2026,13,FALSE)),0,VLOOKUP(N226,Gegenstände!$B$2:$N$2026,13,FALSE))</f>
        <v>80</v>
      </c>
      <c r="AB226" s="142">
        <f>IF(ISERROR(VLOOKUP(P226,Gegenstände!$B$2:$N$2026,13,FALSE)),0,VLOOKUP(P226,Gegenstände!$B$2:$N$2026,13,FALSE))</f>
        <v>200</v>
      </c>
      <c r="AC226" s="142">
        <f>IF(ISERROR(VLOOKUP(R226,Gegenstände!$B$2:$N$2026,13,FALSE)),0,VLOOKUP(R226,Gegenstände!$B$2:$N$2026,13,FALSE))</f>
        <v>0</v>
      </c>
      <c r="AD226" s="142"/>
      <c r="AE226" s="475">
        <f t="shared" si="93"/>
        <v>4050</v>
      </c>
      <c r="AF226" s="476">
        <f t="shared" si="94"/>
        <v>4120</v>
      </c>
      <c r="AG226" s="128">
        <f t="shared" si="73"/>
        <v>0.32661290322580644</v>
      </c>
      <c r="AH226" s="128">
        <f t="shared" si="74"/>
        <v>0.33225806451612905</v>
      </c>
      <c r="AI226" s="129">
        <f t="shared" si="75"/>
        <v>0.65887096774193543</v>
      </c>
      <c r="AJ226" s="426">
        <f t="shared" si="95"/>
        <v>4230</v>
      </c>
      <c r="AK226" s="131">
        <f t="shared" si="89"/>
        <v>1057.5</v>
      </c>
      <c r="AL226" s="477">
        <f>AK226/VLOOKUP(IF(I226&gt;0,I226,1),Preise!$A$3:$B$27,2,FALSE)</f>
        <v>240.34090909090904</v>
      </c>
    </row>
    <row r="227" spans="1:38" s="3" customFormat="1" outlineLevel="1" x14ac:dyDescent="0.2">
      <c r="A227" s="5">
        <v>1237</v>
      </c>
      <c r="B227" s="412">
        <v>1237</v>
      </c>
      <c r="C227" s="132" t="str">
        <f>VLOOKUP(B227,Gegenstände!$A270:$B909,2,FALSE)</f>
        <v>Seiden-Tunika</v>
      </c>
      <c r="D227" s="133">
        <f>VLOOKUP(B227,Gegenstände!$A270:$D909,4,FALSE)</f>
        <v>19</v>
      </c>
      <c r="E227" s="468">
        <v>33</v>
      </c>
      <c r="F227" s="3">
        <v>360</v>
      </c>
      <c r="G227" s="54">
        <v>4</v>
      </c>
      <c r="H227" s="469">
        <v>66</v>
      </c>
      <c r="I227" s="54">
        <v>18</v>
      </c>
      <c r="J227" s="470"/>
      <c r="K227" s="54">
        <v>23</v>
      </c>
      <c r="L227" s="3" t="s">
        <v>154</v>
      </c>
      <c r="M227" s="85">
        <v>14</v>
      </c>
      <c r="N227" s="83" t="s">
        <v>194</v>
      </c>
      <c r="O227" s="85">
        <v>25</v>
      </c>
      <c r="P227" s="83" t="s">
        <v>196</v>
      </c>
      <c r="Q227" s="85"/>
      <c r="R227" s="83"/>
      <c r="S227" s="170"/>
      <c r="T227" s="170"/>
      <c r="U227" s="471">
        <f>VLOOKUP(D227,Preise!$A$3:$C$27,3)</f>
        <v>12.375453605252243</v>
      </c>
      <c r="V227" s="523">
        <f>0.3*W227</f>
        <v>18563.180407878364</v>
      </c>
      <c r="W227" s="131">
        <f t="shared" si="90"/>
        <v>61877.268026261219</v>
      </c>
      <c r="X227" s="472">
        <f t="shared" si="91"/>
        <v>18600</v>
      </c>
      <c r="Y227" s="473">
        <f t="shared" si="92"/>
        <v>18600</v>
      </c>
      <c r="Z227" s="474">
        <f>IF(ISERROR(VLOOKUP(L227,Gegenstände!$B$2:$N$2026,13,FALSE)),0,VLOOKUP(L227,Gegenstände!$B$2:$N$2026,13,FALSE))</f>
        <v>270</v>
      </c>
      <c r="AA227" s="142">
        <f>IF(ISERROR(VLOOKUP(N227,Gegenstände!$B$2:$N$2026,13,FALSE)),0,VLOOKUP(N227,Gegenstände!$B$2:$N$2026,13,FALSE))</f>
        <v>80</v>
      </c>
      <c r="AB227" s="142">
        <f>IF(ISERROR(VLOOKUP(P227,Gegenstände!$B$2:$N$2026,13,FALSE)),0,VLOOKUP(P227,Gegenstände!$B$2:$N$2026,13,FALSE))</f>
        <v>200</v>
      </c>
      <c r="AC227" s="142">
        <f>IF(ISERROR(VLOOKUP(R227,Gegenstände!$B$2:$N$2026,13,FALSE)),0,VLOOKUP(R227,Gegenstände!$B$2:$N$2026,13,FALSE))</f>
        <v>0</v>
      </c>
      <c r="AD227" s="142"/>
      <c r="AE227" s="475">
        <f t="shared" si="93"/>
        <v>6210</v>
      </c>
      <c r="AF227" s="476">
        <f t="shared" si="94"/>
        <v>6120</v>
      </c>
      <c r="AG227" s="128">
        <f t="shared" si="73"/>
        <v>0.33387096774193548</v>
      </c>
      <c r="AH227" s="128">
        <f t="shared" si="74"/>
        <v>0.32903225806451614</v>
      </c>
      <c r="AI227" s="129">
        <f t="shared" si="75"/>
        <v>0.66290322580645167</v>
      </c>
      <c r="AJ227" s="426">
        <f t="shared" si="95"/>
        <v>6270</v>
      </c>
      <c r="AK227" s="131">
        <f t="shared" si="89"/>
        <v>1045</v>
      </c>
      <c r="AL227" s="477">
        <f>AK227/VLOOKUP(IF(I227&gt;0,I227,1),Preise!$A$3:$B$27,2,FALSE)</f>
        <v>237.49999999999994</v>
      </c>
    </row>
    <row r="228" spans="1:38" s="3" customFormat="1" outlineLevel="1" x14ac:dyDescent="0.2">
      <c r="A228" s="5">
        <v>1238</v>
      </c>
      <c r="B228" s="412">
        <v>1238</v>
      </c>
      <c r="C228" s="132" t="str">
        <f>VLOOKUP(B228,Gegenstände!$A271:$B910,2,FALSE)</f>
        <v>Seiden-Stulpen</v>
      </c>
      <c r="D228" s="133">
        <f>VLOOKUP(B228,Gegenstände!$A271:$D910,4,FALSE)</f>
        <v>20</v>
      </c>
      <c r="E228" s="468">
        <v>33</v>
      </c>
      <c r="F228" s="3">
        <v>180</v>
      </c>
      <c r="G228" s="54">
        <v>4</v>
      </c>
      <c r="H228" s="469">
        <v>66</v>
      </c>
      <c r="I228" s="54">
        <v>19</v>
      </c>
      <c r="J228" s="470"/>
      <c r="K228" s="54">
        <v>13</v>
      </c>
      <c r="L228" s="3" t="s">
        <v>154</v>
      </c>
      <c r="M228" s="85">
        <v>14</v>
      </c>
      <c r="N228" s="83" t="s">
        <v>194</v>
      </c>
      <c r="O228" s="85">
        <v>12</v>
      </c>
      <c r="P228" s="83" t="s">
        <v>196</v>
      </c>
      <c r="Q228" s="85"/>
      <c r="R228" s="83"/>
      <c r="S228" s="170"/>
      <c r="T228" s="170"/>
      <c r="U228" s="471">
        <f>VLOOKUP(D228,Preise!$A$3:$C$27,3)</f>
        <v>14.231771646040078</v>
      </c>
      <c r="V228" s="523">
        <f>0.15*W228</f>
        <v>10673.828734530058</v>
      </c>
      <c r="W228" s="131">
        <f t="shared" si="90"/>
        <v>71158.858230200392</v>
      </c>
      <c r="X228" s="472">
        <f t="shared" si="91"/>
        <v>10700</v>
      </c>
      <c r="Y228" s="473">
        <f t="shared" si="92"/>
        <v>10700</v>
      </c>
      <c r="Z228" s="474">
        <f>IF(ISERROR(VLOOKUP(L228,Gegenstände!$B$2:$N$2026,13,FALSE)),0,VLOOKUP(L228,Gegenstände!$B$2:$N$2026,13,FALSE))</f>
        <v>270</v>
      </c>
      <c r="AA228" s="142">
        <f>IF(ISERROR(VLOOKUP(N228,Gegenstände!$B$2:$N$2026,13,FALSE)),0,VLOOKUP(N228,Gegenstände!$B$2:$N$2026,13,FALSE))</f>
        <v>80</v>
      </c>
      <c r="AB228" s="142">
        <f>IF(ISERROR(VLOOKUP(P228,Gegenstände!$B$2:$N$2026,13,FALSE)),0,VLOOKUP(P228,Gegenstände!$B$2:$N$2026,13,FALSE))</f>
        <v>200</v>
      </c>
      <c r="AC228" s="142">
        <f>IF(ISERROR(VLOOKUP(R228,Gegenstände!$B$2:$N$2026,13,FALSE)),0,VLOOKUP(R228,Gegenstände!$B$2:$N$2026,13,FALSE))</f>
        <v>0</v>
      </c>
      <c r="AD228" s="142"/>
      <c r="AE228" s="475">
        <f t="shared" si="93"/>
        <v>3510</v>
      </c>
      <c r="AF228" s="476">
        <f t="shared" si="94"/>
        <v>3520</v>
      </c>
      <c r="AG228" s="128">
        <f t="shared" si="73"/>
        <v>0.32803738317757009</v>
      </c>
      <c r="AH228" s="128">
        <f t="shared" si="74"/>
        <v>0.32897196261682243</v>
      </c>
      <c r="AI228" s="129">
        <f t="shared" si="75"/>
        <v>0.65700934579439252</v>
      </c>
      <c r="AJ228" s="426">
        <f t="shared" si="95"/>
        <v>3670</v>
      </c>
      <c r="AK228" s="131">
        <f t="shared" si="89"/>
        <v>1223.3333333333333</v>
      </c>
      <c r="AL228" s="477">
        <f>AK228/VLOOKUP(IF(I228&gt;0,I228,1),Preise!$A$3:$B$27,2,FALSE)</f>
        <v>265.94202898550714</v>
      </c>
    </row>
    <row r="229" spans="1:38" s="3" customFormat="1" outlineLevel="1" x14ac:dyDescent="0.2">
      <c r="A229" s="5">
        <v>1239</v>
      </c>
      <c r="B229" s="412">
        <v>1239</v>
      </c>
      <c r="C229" s="132" t="str">
        <f>VLOOKUP(B229,Gegenstände!$A272:$B911,2,FALSE)</f>
        <v>Seiden-Beinlinge</v>
      </c>
      <c r="D229" s="133">
        <f>VLOOKUP(B229,Gegenstände!$A272:$D911,4,FALSE)</f>
        <v>20</v>
      </c>
      <c r="E229" s="468">
        <v>33</v>
      </c>
      <c r="F229" s="3">
        <v>240</v>
      </c>
      <c r="G229" s="54">
        <v>4</v>
      </c>
      <c r="H229" s="469">
        <v>66</v>
      </c>
      <c r="I229" s="54">
        <v>19</v>
      </c>
      <c r="J229" s="470"/>
      <c r="K229" s="54">
        <v>17</v>
      </c>
      <c r="L229" s="3" t="s">
        <v>154</v>
      </c>
      <c r="M229" s="85">
        <v>14</v>
      </c>
      <c r="N229" s="83" t="s">
        <v>194</v>
      </c>
      <c r="O229" s="85">
        <v>18</v>
      </c>
      <c r="P229" s="83" t="s">
        <v>196</v>
      </c>
      <c r="Q229" s="85"/>
      <c r="R229" s="83"/>
      <c r="S229" s="170"/>
      <c r="T229" s="170"/>
      <c r="U229" s="471">
        <f>VLOOKUP(D229,Preise!$A$3:$C$27,3)</f>
        <v>14.231771646040078</v>
      </c>
      <c r="V229" s="523">
        <f>0.2*W229</f>
        <v>14231.771646040079</v>
      </c>
      <c r="W229" s="131">
        <f t="shared" si="90"/>
        <v>71158.858230200392</v>
      </c>
      <c r="X229" s="472">
        <f t="shared" si="91"/>
        <v>14200</v>
      </c>
      <c r="Y229" s="473">
        <f t="shared" si="92"/>
        <v>14200</v>
      </c>
      <c r="Z229" s="474">
        <f>IF(ISERROR(VLOOKUP(L229,Gegenstände!$B$2:$N$2026,13,FALSE)),0,VLOOKUP(L229,Gegenstände!$B$2:$N$2026,13,FALSE))</f>
        <v>270</v>
      </c>
      <c r="AA229" s="142">
        <f>IF(ISERROR(VLOOKUP(N229,Gegenstände!$B$2:$N$2026,13,FALSE)),0,VLOOKUP(N229,Gegenstände!$B$2:$N$2026,13,FALSE))</f>
        <v>80</v>
      </c>
      <c r="AB229" s="142">
        <f>IF(ISERROR(VLOOKUP(P229,Gegenstände!$B$2:$N$2026,13,FALSE)),0,VLOOKUP(P229,Gegenstände!$B$2:$N$2026,13,FALSE))</f>
        <v>200</v>
      </c>
      <c r="AC229" s="142">
        <f>IF(ISERROR(VLOOKUP(R229,Gegenstände!$B$2:$N$2026,13,FALSE)),0,VLOOKUP(R229,Gegenstände!$B$2:$N$2026,13,FALSE))</f>
        <v>0</v>
      </c>
      <c r="AD229" s="142"/>
      <c r="AE229" s="475">
        <f t="shared" si="93"/>
        <v>4590</v>
      </c>
      <c r="AF229" s="476">
        <f t="shared" si="94"/>
        <v>4720</v>
      </c>
      <c r="AG229" s="128">
        <f t="shared" si="73"/>
        <v>0.32323943661971832</v>
      </c>
      <c r="AH229" s="128">
        <f t="shared" si="74"/>
        <v>0.3323943661971831</v>
      </c>
      <c r="AI229" s="129">
        <f t="shared" si="75"/>
        <v>0.65563380281690142</v>
      </c>
      <c r="AJ229" s="426">
        <f t="shared" si="95"/>
        <v>4890</v>
      </c>
      <c r="AK229" s="131">
        <f t="shared" si="89"/>
        <v>1222.5</v>
      </c>
      <c r="AL229" s="477">
        <f>AK229/VLOOKUP(IF(I229&gt;0,I229,1),Preise!$A$3:$B$27,2,FALSE)</f>
        <v>265.76086956521732</v>
      </c>
    </row>
    <row r="230" spans="1:38" s="3" customFormat="1" outlineLevel="1" x14ac:dyDescent="0.2">
      <c r="A230" s="345">
        <v>1240</v>
      </c>
      <c r="B230" s="561">
        <v>1240</v>
      </c>
      <c r="C230" s="413" t="str">
        <f>VLOOKUP(B230,Gegenstände!$A273:$B912,2,FALSE)</f>
        <v>Seiden-Stiefel</v>
      </c>
      <c r="D230" s="562">
        <f>VLOOKUP(B230,Gegenstände!$A273:$D912,4,FALSE)</f>
        <v>20</v>
      </c>
      <c r="E230" s="563">
        <v>33</v>
      </c>
      <c r="F230" s="564">
        <v>180</v>
      </c>
      <c r="G230" s="335">
        <v>4</v>
      </c>
      <c r="H230" s="565">
        <v>66</v>
      </c>
      <c r="I230" s="335">
        <v>19</v>
      </c>
      <c r="J230" s="566"/>
      <c r="K230" s="335">
        <v>13</v>
      </c>
      <c r="L230" s="334" t="s">
        <v>154</v>
      </c>
      <c r="M230" s="567">
        <v>14</v>
      </c>
      <c r="N230" s="568" t="s">
        <v>194</v>
      </c>
      <c r="O230" s="567">
        <v>12</v>
      </c>
      <c r="P230" s="568" t="s">
        <v>196</v>
      </c>
      <c r="Q230" s="567"/>
      <c r="R230" s="568"/>
      <c r="S230" s="569"/>
      <c r="T230" s="570"/>
      <c r="U230" s="471">
        <f>VLOOKUP(D230,Preise!$A$3:$C$27,3)</f>
        <v>14.231771646040078</v>
      </c>
      <c r="V230" s="558">
        <f>0.15*W230</f>
        <v>10673.828734530058</v>
      </c>
      <c r="W230" s="559">
        <f t="shared" si="90"/>
        <v>71158.858230200392</v>
      </c>
      <c r="X230" s="472">
        <f t="shared" si="91"/>
        <v>10700</v>
      </c>
      <c r="Y230" s="473">
        <f t="shared" si="92"/>
        <v>10700</v>
      </c>
      <c r="Z230" s="474">
        <f>IF(ISERROR(VLOOKUP(L230,Gegenstände!$B$2:$N$2026,13,FALSE)),0,VLOOKUP(L230,Gegenstände!$B$2:$N$2026,13,FALSE))</f>
        <v>270</v>
      </c>
      <c r="AA230" s="142">
        <f>IF(ISERROR(VLOOKUP(N230,Gegenstände!$B$2:$N$2026,13,FALSE)),0,VLOOKUP(N230,Gegenstände!$B$2:$N$2026,13,FALSE))</f>
        <v>80</v>
      </c>
      <c r="AB230" s="142">
        <f>IF(ISERROR(VLOOKUP(P230,Gegenstände!$B$2:$N$2026,13,FALSE)),0,VLOOKUP(P230,Gegenstände!$B$2:$N$2026,13,FALSE))</f>
        <v>200</v>
      </c>
      <c r="AC230" s="142">
        <f>IF(ISERROR(VLOOKUP(R230,Gegenstände!$B$2:$N$2026,13,FALSE)),0,VLOOKUP(R230,Gegenstände!$B$2:$N$2026,13,FALSE))</f>
        <v>0</v>
      </c>
      <c r="AD230" s="142"/>
      <c r="AE230" s="475">
        <f t="shared" si="93"/>
        <v>3510</v>
      </c>
      <c r="AF230" s="476">
        <f t="shared" si="94"/>
        <v>3520</v>
      </c>
      <c r="AG230" s="128">
        <f t="shared" si="73"/>
        <v>0.32803738317757009</v>
      </c>
      <c r="AH230" s="128">
        <f t="shared" si="74"/>
        <v>0.32897196261682243</v>
      </c>
      <c r="AI230" s="129">
        <f t="shared" si="75"/>
        <v>0.65700934579439252</v>
      </c>
      <c r="AJ230" s="426">
        <f t="shared" si="95"/>
        <v>3670</v>
      </c>
      <c r="AK230" s="131">
        <f t="shared" si="89"/>
        <v>1223.3333333333333</v>
      </c>
      <c r="AL230" s="477">
        <f>AK230/VLOOKUP(IF(I230&gt;0,I230,1),Preise!$A$3:$B$27,2,FALSE)</f>
        <v>265.94202898550714</v>
      </c>
    </row>
    <row r="231" spans="1:38" s="3" customFormat="1" outlineLevel="1" x14ac:dyDescent="0.2">
      <c r="A231" s="5">
        <v>1241</v>
      </c>
      <c r="B231" s="412">
        <v>1241</v>
      </c>
      <c r="C231" s="132" t="str">
        <f>VLOOKUP(B231,Gegenstände!$A279:$B913,2,FALSE)</f>
        <v>Äther-Haube</v>
      </c>
      <c r="D231" s="133">
        <f>VLOOKUP(B231,Gegenstände!$A279:$D913,4,FALSE)</f>
        <v>21</v>
      </c>
      <c r="E231" s="468">
        <v>33</v>
      </c>
      <c r="F231" s="3">
        <v>240</v>
      </c>
      <c r="G231" s="54">
        <v>5</v>
      </c>
      <c r="H231" s="469">
        <v>66</v>
      </c>
      <c r="I231" s="54">
        <v>20</v>
      </c>
      <c r="J231" s="470"/>
      <c r="K231" s="54">
        <v>15</v>
      </c>
      <c r="L231" s="3" t="s">
        <v>155</v>
      </c>
      <c r="M231" s="85">
        <v>8</v>
      </c>
      <c r="N231" s="83" t="s">
        <v>194</v>
      </c>
      <c r="O231" s="85">
        <v>9</v>
      </c>
      <c r="P231" s="83" t="s">
        <v>196</v>
      </c>
      <c r="Q231" s="85">
        <v>6</v>
      </c>
      <c r="R231" s="83" t="s">
        <v>197</v>
      </c>
      <c r="S231" s="170"/>
      <c r="T231" s="170"/>
      <c r="U231" s="471">
        <f>VLOOKUP(D231,Preise!$A$3:$C$27,3)</f>
        <v>16.366537392946089</v>
      </c>
      <c r="V231" s="523">
        <f>0.2*W231</f>
        <v>16366.537392946089</v>
      </c>
      <c r="W231" s="131">
        <f t="shared" si="90"/>
        <v>81832.686964730441</v>
      </c>
      <c r="X231" s="557">
        <f t="shared" si="91"/>
        <v>16400</v>
      </c>
      <c r="Y231" s="473">
        <f t="shared" si="92"/>
        <v>16400</v>
      </c>
      <c r="Z231" s="474">
        <f>IF(ISERROR(VLOOKUP(L231,Gegenstände!$B$2:$N$2026,13,FALSE)),0,VLOOKUP(L231,Gegenstände!$B$2:$N$2026,13,FALSE))</f>
        <v>360</v>
      </c>
      <c r="AA231" s="142">
        <f>IF(ISERROR(VLOOKUP(N231,Gegenstände!$B$2:$N$2026,13,FALSE)),0,VLOOKUP(N231,Gegenstände!$B$2:$N$2026,13,FALSE))</f>
        <v>80</v>
      </c>
      <c r="AB231" s="142">
        <f>IF(ISERROR(VLOOKUP(P231,Gegenstände!$B$2:$N$2026,13,FALSE)),0,VLOOKUP(P231,Gegenstände!$B$2:$N$2026,13,FALSE))</f>
        <v>200</v>
      </c>
      <c r="AC231" s="142">
        <f>IF(ISERROR(VLOOKUP(R231,Gegenstände!$B$2:$N$2026,13,FALSE)),0,VLOOKUP(R231,Gegenstände!$B$2:$N$2026,13,FALSE))</f>
        <v>500</v>
      </c>
      <c r="AD231" s="142"/>
      <c r="AE231" s="475">
        <f t="shared" si="93"/>
        <v>5400</v>
      </c>
      <c r="AF231" s="476">
        <f t="shared" si="94"/>
        <v>5440</v>
      </c>
      <c r="AG231" s="128">
        <f t="shared" si="73"/>
        <v>0.32926829268292684</v>
      </c>
      <c r="AH231" s="128">
        <f t="shared" si="74"/>
        <v>0.33170731707317075</v>
      </c>
      <c r="AI231" s="129">
        <f t="shared" si="75"/>
        <v>0.66097560975609759</v>
      </c>
      <c r="AJ231" s="426">
        <f t="shared" si="95"/>
        <v>5560</v>
      </c>
      <c r="AK231" s="131">
        <f t="shared" si="89"/>
        <v>1390</v>
      </c>
      <c r="AL231" s="477">
        <f>AK231/VLOOKUP(IF(I231&gt;0,I231,1),Preise!$A$3:$B$27,2,FALSE)</f>
        <v>289.58333333333326</v>
      </c>
    </row>
    <row r="232" spans="1:38" s="3" customFormat="1" outlineLevel="1" x14ac:dyDescent="0.2">
      <c r="A232" s="5">
        <v>1242</v>
      </c>
      <c r="B232" s="412">
        <v>1242</v>
      </c>
      <c r="C232" s="132" t="str">
        <f>VLOOKUP(B232,Gegenstände!$A280:$B914,2,FALSE)</f>
        <v>Äther-Robe</v>
      </c>
      <c r="D232" s="133">
        <f>VLOOKUP(B232,Gegenstände!$A280:$D914,4,FALSE)</f>
        <v>21</v>
      </c>
      <c r="E232" s="468">
        <v>33</v>
      </c>
      <c r="F232" s="3">
        <v>360</v>
      </c>
      <c r="G232" s="54">
        <v>5</v>
      </c>
      <c r="H232" s="469">
        <v>66</v>
      </c>
      <c r="I232" s="54">
        <v>20</v>
      </c>
      <c r="J232" s="470"/>
      <c r="K232" s="54">
        <v>22</v>
      </c>
      <c r="L232" s="3" t="s">
        <v>155</v>
      </c>
      <c r="M232" s="85">
        <v>14</v>
      </c>
      <c r="N232" s="83" t="s">
        <v>194</v>
      </c>
      <c r="O232" s="85">
        <v>12</v>
      </c>
      <c r="P232" s="83" t="s">
        <v>196</v>
      </c>
      <c r="Q232" s="85">
        <v>9</v>
      </c>
      <c r="R232" s="83" t="s">
        <v>197</v>
      </c>
      <c r="S232" s="170"/>
      <c r="T232" s="170"/>
      <c r="U232" s="471">
        <f>VLOOKUP(D232,Preise!$A$3:$C$27,3)</f>
        <v>16.366537392946089</v>
      </c>
      <c r="V232" s="523">
        <f>0.3*W232</f>
        <v>24549.806089419133</v>
      </c>
      <c r="W232" s="131">
        <f t="shared" si="90"/>
        <v>81832.686964730441</v>
      </c>
      <c r="X232" s="472">
        <f t="shared" si="91"/>
        <v>24500</v>
      </c>
      <c r="Y232" s="473">
        <f t="shared" si="92"/>
        <v>24500</v>
      </c>
      <c r="Z232" s="474">
        <f>IF(ISERROR(VLOOKUP(L232,Gegenstände!$B$2:$N$2026,13,FALSE)),0,VLOOKUP(L232,Gegenstände!$B$2:$N$2026,13,FALSE))</f>
        <v>360</v>
      </c>
      <c r="AA232" s="142">
        <f>IF(ISERROR(VLOOKUP(N232,Gegenstände!$B$2:$N$2026,13,FALSE)),0,VLOOKUP(N232,Gegenstände!$B$2:$N$2026,13,FALSE))</f>
        <v>80</v>
      </c>
      <c r="AB232" s="142">
        <f>IF(ISERROR(VLOOKUP(P232,Gegenstände!$B$2:$N$2026,13,FALSE)),0,VLOOKUP(P232,Gegenstände!$B$2:$N$2026,13,FALSE))</f>
        <v>200</v>
      </c>
      <c r="AC232" s="142">
        <f>IF(ISERROR(VLOOKUP(R232,Gegenstände!$B$2:$N$2026,13,FALSE)),0,VLOOKUP(R232,Gegenstände!$B$2:$N$2026,13,FALSE))</f>
        <v>500</v>
      </c>
      <c r="AD232" s="142"/>
      <c r="AE232" s="475">
        <f t="shared" si="93"/>
        <v>7920</v>
      </c>
      <c r="AF232" s="476">
        <f t="shared" si="94"/>
        <v>8020</v>
      </c>
      <c r="AG232" s="128">
        <f t="shared" ref="AG232:AG295" si="96">AE232/Y232</f>
        <v>0.32326530612244897</v>
      </c>
      <c r="AH232" s="128">
        <f t="shared" ref="AH232:AH295" si="97">AF232/Y232</f>
        <v>0.32734693877551019</v>
      </c>
      <c r="AI232" s="129">
        <f t="shared" ref="AI232:AI295" si="98">(AE232+AF232)/Y232</f>
        <v>0.65061224489795921</v>
      </c>
      <c r="AJ232" s="426">
        <f t="shared" si="95"/>
        <v>8560</v>
      </c>
      <c r="AK232" s="131">
        <f t="shared" si="89"/>
        <v>1426.6666666666667</v>
      </c>
      <c r="AL232" s="477">
        <f>AK232/VLOOKUP(IF(I232&gt;0,I232,1),Preise!$A$3:$B$27,2,FALSE)</f>
        <v>297.22222222222211</v>
      </c>
    </row>
    <row r="233" spans="1:38" s="3" customFormat="1" outlineLevel="1" x14ac:dyDescent="0.2">
      <c r="A233" s="5">
        <v>1243</v>
      </c>
      <c r="B233" s="412">
        <v>1243</v>
      </c>
      <c r="C233" s="132" t="str">
        <f>VLOOKUP(B233,Gegenstände!$A281:$B915,2,FALSE)</f>
        <v>Äther-Handschuhe</v>
      </c>
      <c r="D233" s="133">
        <f>VLOOKUP(B233,Gegenstände!$A281:$D915,4,FALSE)</f>
        <v>22</v>
      </c>
      <c r="E233" s="468">
        <v>33</v>
      </c>
      <c r="F233" s="3">
        <v>180</v>
      </c>
      <c r="G233" s="54">
        <v>5</v>
      </c>
      <c r="H233" s="469">
        <v>66</v>
      </c>
      <c r="I233" s="54">
        <v>21</v>
      </c>
      <c r="J233" s="470"/>
      <c r="K233" s="54">
        <v>13</v>
      </c>
      <c r="L233" s="3" t="s">
        <v>155</v>
      </c>
      <c r="M233" s="85">
        <v>6</v>
      </c>
      <c r="N233" s="83" t="s">
        <v>194</v>
      </c>
      <c r="O233" s="85">
        <v>6</v>
      </c>
      <c r="P233" s="83" t="s">
        <v>196</v>
      </c>
      <c r="Q233" s="85">
        <v>6</v>
      </c>
      <c r="R233" s="83" t="s">
        <v>197</v>
      </c>
      <c r="S233" s="170"/>
      <c r="T233" s="170"/>
      <c r="U233" s="471">
        <f>VLOOKUP(D233,Preise!$A$3:$C$27,3)</f>
        <v>18.821518001888002</v>
      </c>
      <c r="V233" s="523">
        <f>0.15*W233</f>
        <v>14116.138501416002</v>
      </c>
      <c r="W233" s="131">
        <f t="shared" si="90"/>
        <v>94107.590009440013</v>
      </c>
      <c r="X233" s="472">
        <f t="shared" si="91"/>
        <v>14100</v>
      </c>
      <c r="Y233" s="473">
        <f t="shared" si="92"/>
        <v>14100</v>
      </c>
      <c r="Z233" s="474">
        <f>IF(ISERROR(VLOOKUP(L233,Gegenstände!$B$2:$N$2026,13,FALSE)),0,VLOOKUP(L233,Gegenstände!$B$2:$N$2026,13,FALSE))</f>
        <v>360</v>
      </c>
      <c r="AA233" s="142">
        <f>IF(ISERROR(VLOOKUP(N233,Gegenstände!$B$2:$N$2026,13,FALSE)),0,VLOOKUP(N233,Gegenstände!$B$2:$N$2026,13,FALSE))</f>
        <v>80</v>
      </c>
      <c r="AB233" s="142">
        <f>IF(ISERROR(VLOOKUP(P233,Gegenstände!$B$2:$N$2026,13,FALSE)),0,VLOOKUP(P233,Gegenstände!$B$2:$N$2026,13,FALSE))</f>
        <v>200</v>
      </c>
      <c r="AC233" s="142">
        <f>IF(ISERROR(VLOOKUP(R233,Gegenstände!$B$2:$N$2026,13,FALSE)),0,VLOOKUP(R233,Gegenstände!$B$2:$N$2026,13,FALSE))</f>
        <v>500</v>
      </c>
      <c r="AD233" s="142"/>
      <c r="AE233" s="475">
        <f t="shared" si="93"/>
        <v>4680</v>
      </c>
      <c r="AF233" s="476">
        <f t="shared" si="94"/>
        <v>4680</v>
      </c>
      <c r="AG233" s="128">
        <f t="shared" si="96"/>
        <v>0.33191489361702126</v>
      </c>
      <c r="AH233" s="128">
        <f t="shared" si="97"/>
        <v>0.33191489361702126</v>
      </c>
      <c r="AI233" s="129">
        <f t="shared" si="98"/>
        <v>0.66382978723404251</v>
      </c>
      <c r="AJ233" s="426">
        <f t="shared" si="95"/>
        <v>4740</v>
      </c>
      <c r="AK233" s="131">
        <f t="shared" si="89"/>
        <v>1580</v>
      </c>
      <c r="AL233" s="477">
        <f>AK233/VLOOKUP(IF(I233&gt;0,I233,1),Preise!$A$3:$B$27,2,FALSE)</f>
        <v>315.99999999999989</v>
      </c>
    </row>
    <row r="234" spans="1:38" s="3" customFormat="1" outlineLevel="1" x14ac:dyDescent="0.2">
      <c r="A234" s="5">
        <v>1244</v>
      </c>
      <c r="B234" s="412">
        <v>1244</v>
      </c>
      <c r="C234" s="132" t="str">
        <f>VLOOKUP(B234,Gegenstände!$A282:$B916,2,FALSE)</f>
        <v>Äther-Hose</v>
      </c>
      <c r="D234" s="133">
        <f>VLOOKUP(B234,Gegenstände!$A282:$D916,4,FALSE)</f>
        <v>22</v>
      </c>
      <c r="E234" s="468">
        <v>33</v>
      </c>
      <c r="F234" s="3">
        <v>240</v>
      </c>
      <c r="G234" s="54">
        <v>5</v>
      </c>
      <c r="H234" s="469">
        <v>66</v>
      </c>
      <c r="I234" s="54">
        <v>21</v>
      </c>
      <c r="J234" s="470"/>
      <c r="K234" s="54">
        <v>17</v>
      </c>
      <c r="L234" s="3" t="s">
        <v>155</v>
      </c>
      <c r="M234" s="85">
        <v>6</v>
      </c>
      <c r="N234" s="83" t="s">
        <v>194</v>
      </c>
      <c r="O234" s="85">
        <v>6</v>
      </c>
      <c r="P234" s="83" t="s">
        <v>196</v>
      </c>
      <c r="Q234" s="85">
        <v>9</v>
      </c>
      <c r="R234" s="83" t="s">
        <v>197</v>
      </c>
      <c r="S234" s="170"/>
      <c r="T234" s="170"/>
      <c r="U234" s="471">
        <f>VLOOKUP(D234,Preise!$A$3:$C$27,3)</f>
        <v>18.821518001888002</v>
      </c>
      <c r="V234" s="523">
        <f>0.2*W234</f>
        <v>18821.518001888002</v>
      </c>
      <c r="W234" s="131">
        <f t="shared" si="90"/>
        <v>94107.590009440013</v>
      </c>
      <c r="X234" s="472">
        <f t="shared" si="91"/>
        <v>18800</v>
      </c>
      <c r="Y234" s="473">
        <f t="shared" si="92"/>
        <v>18800</v>
      </c>
      <c r="Z234" s="474">
        <f>IF(ISERROR(VLOOKUP(L234,Gegenstände!$B$2:$N$2026,13,FALSE)),0,VLOOKUP(L234,Gegenstände!$B$2:$N$2026,13,FALSE))</f>
        <v>360</v>
      </c>
      <c r="AA234" s="142">
        <f>IF(ISERROR(VLOOKUP(N234,Gegenstände!$B$2:$N$2026,13,FALSE)),0,VLOOKUP(N234,Gegenstände!$B$2:$N$2026,13,FALSE))</f>
        <v>80</v>
      </c>
      <c r="AB234" s="142">
        <f>IF(ISERROR(VLOOKUP(P234,Gegenstände!$B$2:$N$2026,13,FALSE)),0,VLOOKUP(P234,Gegenstände!$B$2:$N$2026,13,FALSE))</f>
        <v>200</v>
      </c>
      <c r="AC234" s="142">
        <f>IF(ISERROR(VLOOKUP(R234,Gegenstände!$B$2:$N$2026,13,FALSE)),0,VLOOKUP(R234,Gegenstände!$B$2:$N$2026,13,FALSE))</f>
        <v>500</v>
      </c>
      <c r="AD234" s="142"/>
      <c r="AE234" s="475">
        <f t="shared" si="93"/>
        <v>6120</v>
      </c>
      <c r="AF234" s="476">
        <f t="shared" si="94"/>
        <v>6180</v>
      </c>
      <c r="AG234" s="128">
        <f t="shared" si="96"/>
        <v>0.32553191489361705</v>
      </c>
      <c r="AH234" s="128">
        <f t="shared" si="97"/>
        <v>0.32872340425531915</v>
      </c>
      <c r="AI234" s="129">
        <f t="shared" si="98"/>
        <v>0.6542553191489362</v>
      </c>
      <c r="AJ234" s="426">
        <f t="shared" si="95"/>
        <v>6500</v>
      </c>
      <c r="AK234" s="131">
        <f t="shared" si="89"/>
        <v>1625</v>
      </c>
      <c r="AL234" s="477">
        <f>AK234/VLOOKUP(IF(I234&gt;0,I234,1),Preise!$A$3:$B$27,2,FALSE)</f>
        <v>324.99999999999989</v>
      </c>
    </row>
    <row r="235" spans="1:38" s="3" customFormat="1" outlineLevel="1" x14ac:dyDescent="0.2">
      <c r="A235" s="5">
        <v>1245</v>
      </c>
      <c r="B235" s="412">
        <v>1245</v>
      </c>
      <c r="C235" s="132" t="str">
        <f>VLOOKUP(B235,Gegenstände!$A283:$B917,2,FALSE)</f>
        <v>Äther-Schuhe</v>
      </c>
      <c r="D235" s="133">
        <f>VLOOKUP(B235,Gegenstände!$A283:$D917,4,FALSE)</f>
        <v>22</v>
      </c>
      <c r="E235" s="468">
        <v>33</v>
      </c>
      <c r="F235" s="3">
        <v>180</v>
      </c>
      <c r="G235" s="54">
        <v>5</v>
      </c>
      <c r="H235" s="469">
        <v>66</v>
      </c>
      <c r="I235" s="54">
        <v>21</v>
      </c>
      <c r="J235" s="470"/>
      <c r="K235" s="54">
        <v>13</v>
      </c>
      <c r="L235" s="3" t="s">
        <v>155</v>
      </c>
      <c r="M235" s="85">
        <v>6</v>
      </c>
      <c r="N235" s="83" t="s">
        <v>194</v>
      </c>
      <c r="O235" s="85">
        <v>6</v>
      </c>
      <c r="P235" s="83" t="s">
        <v>196</v>
      </c>
      <c r="Q235" s="85">
        <v>6</v>
      </c>
      <c r="R235" s="83" t="s">
        <v>197</v>
      </c>
      <c r="S235" s="170"/>
      <c r="T235" s="170"/>
      <c r="U235" s="471">
        <f>VLOOKUP(D235,Preise!$A$3:$C$27,3)</f>
        <v>18.821518001888002</v>
      </c>
      <c r="V235" s="558">
        <f>0.15*W235</f>
        <v>14116.138501416002</v>
      </c>
      <c r="W235" s="559">
        <f t="shared" si="90"/>
        <v>94107.590009440013</v>
      </c>
      <c r="X235" s="560">
        <f t="shared" si="91"/>
        <v>14100</v>
      </c>
      <c r="Y235" s="473">
        <f t="shared" si="92"/>
        <v>14100</v>
      </c>
      <c r="Z235" s="474">
        <f>IF(ISERROR(VLOOKUP(L235,Gegenstände!$B$2:$N$2026,13,FALSE)),0,VLOOKUP(L235,Gegenstände!$B$2:$N$2026,13,FALSE))</f>
        <v>360</v>
      </c>
      <c r="AA235" s="142">
        <f>IF(ISERROR(VLOOKUP(N235,Gegenstände!$B$2:$N$2026,13,FALSE)),0,VLOOKUP(N235,Gegenstände!$B$2:$N$2026,13,FALSE))</f>
        <v>80</v>
      </c>
      <c r="AB235" s="142">
        <f>IF(ISERROR(VLOOKUP(P235,Gegenstände!$B$2:$N$2026,13,FALSE)),0,VLOOKUP(P235,Gegenstände!$B$2:$N$2026,13,FALSE))</f>
        <v>200</v>
      </c>
      <c r="AC235" s="142">
        <f>IF(ISERROR(VLOOKUP(R235,Gegenstände!$B$2:$N$2026,13,FALSE)),0,VLOOKUP(R235,Gegenstände!$B$2:$N$2026,13,FALSE))</f>
        <v>500</v>
      </c>
      <c r="AD235" s="142"/>
      <c r="AE235" s="475">
        <f t="shared" si="93"/>
        <v>4680</v>
      </c>
      <c r="AF235" s="476">
        <f t="shared" si="94"/>
        <v>4680</v>
      </c>
      <c r="AG235" s="128">
        <f t="shared" si="96"/>
        <v>0.33191489361702126</v>
      </c>
      <c r="AH235" s="128">
        <f t="shared" si="97"/>
        <v>0.33191489361702126</v>
      </c>
      <c r="AI235" s="129">
        <f t="shared" si="98"/>
        <v>0.66382978723404251</v>
      </c>
      <c r="AJ235" s="426">
        <f t="shared" si="95"/>
        <v>4740</v>
      </c>
      <c r="AK235" s="131">
        <f t="shared" si="89"/>
        <v>1580</v>
      </c>
      <c r="AL235" s="477">
        <f>AK235/VLOOKUP(IF(I235&gt;0,I235,1),Preise!$A$3:$B$27,2,FALSE)</f>
        <v>315.99999999999989</v>
      </c>
    </row>
    <row r="236" spans="1:38" s="3" customFormat="1" outlineLevel="1" x14ac:dyDescent="0.2">
      <c r="A236" s="5">
        <v>1246</v>
      </c>
      <c r="B236" s="412">
        <v>1246</v>
      </c>
      <c r="C236" s="132" t="str">
        <f>VLOOKUP(B236,Gegenstände!$A284:$B918,2,FALSE)</f>
        <v>Äther-Spitzhut</v>
      </c>
      <c r="D236" s="133">
        <f>VLOOKUP(B236,Gegenstände!$A284:$D918,4,FALSE)</f>
        <v>24</v>
      </c>
      <c r="E236" s="468">
        <v>33</v>
      </c>
      <c r="F236" s="3">
        <v>240</v>
      </c>
      <c r="G236" s="54">
        <v>5</v>
      </c>
      <c r="H236" s="469">
        <v>66</v>
      </c>
      <c r="I236" s="54">
        <v>23</v>
      </c>
      <c r="J236" s="470"/>
      <c r="K236" s="54">
        <v>22</v>
      </c>
      <c r="L236" s="3" t="s">
        <v>155</v>
      </c>
      <c r="M236" s="85">
        <v>8</v>
      </c>
      <c r="N236" s="83" t="s">
        <v>194</v>
      </c>
      <c r="O236" s="85">
        <v>8</v>
      </c>
      <c r="P236" s="83" t="s">
        <v>196</v>
      </c>
      <c r="Q236" s="85">
        <v>12</v>
      </c>
      <c r="R236" s="83" t="s">
        <v>197</v>
      </c>
      <c r="S236" s="170"/>
      <c r="T236" s="170"/>
      <c r="U236" s="471">
        <f>VLOOKUP(D236,Preise!$A$3:$C$27,3)</f>
        <v>24.891457557496878</v>
      </c>
      <c r="V236" s="523">
        <f>0.2*W236</f>
        <v>24891.457557496877</v>
      </c>
      <c r="W236" s="131">
        <f t="shared" si="90"/>
        <v>124457.28778748438</v>
      </c>
      <c r="X236" s="472">
        <f t="shared" si="91"/>
        <v>24900</v>
      </c>
      <c r="Y236" s="473">
        <f t="shared" si="92"/>
        <v>24900</v>
      </c>
      <c r="Z236" s="474">
        <f>IF(ISERROR(VLOOKUP(L236,Gegenstände!$B$2:$N$2026,13,FALSE)),0,VLOOKUP(L236,Gegenstände!$B$2:$N$2026,13,FALSE))</f>
        <v>360</v>
      </c>
      <c r="AA236" s="142">
        <f>IF(ISERROR(VLOOKUP(N236,Gegenstände!$B$2:$N$2026,13,FALSE)),0,VLOOKUP(N236,Gegenstände!$B$2:$N$2026,13,FALSE))</f>
        <v>80</v>
      </c>
      <c r="AB236" s="142">
        <f>IF(ISERROR(VLOOKUP(P236,Gegenstände!$B$2:$N$2026,13,FALSE)),0,VLOOKUP(P236,Gegenstände!$B$2:$N$2026,13,FALSE))</f>
        <v>200</v>
      </c>
      <c r="AC236" s="142">
        <f>IF(ISERROR(VLOOKUP(R236,Gegenstände!$B$2:$N$2026,13,FALSE)),0,VLOOKUP(R236,Gegenstände!$B$2:$N$2026,13,FALSE))</f>
        <v>500</v>
      </c>
      <c r="AD236" s="142"/>
      <c r="AE236" s="475">
        <f t="shared" si="93"/>
        <v>7920</v>
      </c>
      <c r="AF236" s="476">
        <f t="shared" si="94"/>
        <v>8240</v>
      </c>
      <c r="AG236" s="128">
        <f t="shared" si="96"/>
        <v>0.3180722891566265</v>
      </c>
      <c r="AH236" s="128">
        <f t="shared" si="97"/>
        <v>0.33092369477911648</v>
      </c>
      <c r="AI236" s="129">
        <f t="shared" si="98"/>
        <v>0.64899598393574298</v>
      </c>
      <c r="AJ236" s="426">
        <f t="shared" si="95"/>
        <v>8740</v>
      </c>
      <c r="AK236" s="131">
        <f t="shared" si="89"/>
        <v>2185</v>
      </c>
      <c r="AL236" s="477">
        <f>AK236/VLOOKUP(IF(I236&gt;0,I236,1),Preise!$A$3:$B$27,2,FALSE)</f>
        <v>404.62962962962945</v>
      </c>
    </row>
    <row r="237" spans="1:38" s="3" customFormat="1" outlineLevel="1" x14ac:dyDescent="0.2">
      <c r="A237" s="5">
        <v>1247</v>
      </c>
      <c r="B237" s="412">
        <v>1247</v>
      </c>
      <c r="C237" s="132" t="str">
        <f>VLOOKUP(B237,Gegenstände!$A285:$B919,2,FALSE)</f>
        <v>Äther-Tunika</v>
      </c>
      <c r="D237" s="133">
        <f>VLOOKUP(B237,Gegenstände!$A285:$D919,4,FALSE)</f>
        <v>24</v>
      </c>
      <c r="E237" s="468">
        <v>33</v>
      </c>
      <c r="F237" s="3">
        <v>360</v>
      </c>
      <c r="G237" s="54">
        <v>5</v>
      </c>
      <c r="H237" s="469">
        <v>66</v>
      </c>
      <c r="I237" s="54">
        <v>23</v>
      </c>
      <c r="J237" s="470"/>
      <c r="K237" s="54">
        <v>34</v>
      </c>
      <c r="L237" s="3" t="s">
        <v>155</v>
      </c>
      <c r="M237" s="85">
        <v>15</v>
      </c>
      <c r="N237" s="83" t="s">
        <v>194</v>
      </c>
      <c r="O237" s="85">
        <v>10</v>
      </c>
      <c r="P237" s="83" t="s">
        <v>196</v>
      </c>
      <c r="Q237" s="85">
        <v>18</v>
      </c>
      <c r="R237" s="83" t="s">
        <v>197</v>
      </c>
      <c r="S237" s="170"/>
      <c r="T237" s="170"/>
      <c r="U237" s="471">
        <f>VLOOKUP(D237,Preise!$A$3:$C$27,3)</f>
        <v>24.891457557496878</v>
      </c>
      <c r="V237" s="523">
        <f>0.3*W237</f>
        <v>37337.186336245315</v>
      </c>
      <c r="W237" s="131">
        <f t="shared" si="90"/>
        <v>124457.28778748438</v>
      </c>
      <c r="X237" s="472">
        <f t="shared" si="91"/>
        <v>37300</v>
      </c>
      <c r="Y237" s="473">
        <f t="shared" si="92"/>
        <v>37300</v>
      </c>
      <c r="Z237" s="474">
        <f>IF(ISERROR(VLOOKUP(L237,Gegenstände!$B$2:$N$2026,13,FALSE)),0,VLOOKUP(L237,Gegenstände!$B$2:$N$2026,13,FALSE))</f>
        <v>360</v>
      </c>
      <c r="AA237" s="142">
        <f>IF(ISERROR(VLOOKUP(N237,Gegenstände!$B$2:$N$2026,13,FALSE)),0,VLOOKUP(N237,Gegenstände!$B$2:$N$2026,13,FALSE))</f>
        <v>80</v>
      </c>
      <c r="AB237" s="142">
        <f>IF(ISERROR(VLOOKUP(P237,Gegenstände!$B$2:$N$2026,13,FALSE)),0,VLOOKUP(P237,Gegenstände!$B$2:$N$2026,13,FALSE))</f>
        <v>200</v>
      </c>
      <c r="AC237" s="142">
        <f>IF(ISERROR(VLOOKUP(R237,Gegenstände!$B$2:$N$2026,13,FALSE)),0,VLOOKUP(R237,Gegenstände!$B$2:$N$2026,13,FALSE))</f>
        <v>500</v>
      </c>
      <c r="AD237" s="142"/>
      <c r="AE237" s="475">
        <f t="shared" si="93"/>
        <v>12240</v>
      </c>
      <c r="AF237" s="476">
        <f t="shared" si="94"/>
        <v>12200</v>
      </c>
      <c r="AG237" s="128">
        <f t="shared" si="96"/>
        <v>0.32815013404825738</v>
      </c>
      <c r="AH237" s="128">
        <f t="shared" si="97"/>
        <v>0.32707774798927614</v>
      </c>
      <c r="AI237" s="129">
        <f t="shared" si="98"/>
        <v>0.65522788203753346</v>
      </c>
      <c r="AJ237" s="426">
        <f t="shared" si="95"/>
        <v>12860</v>
      </c>
      <c r="AK237" s="131">
        <f t="shared" si="89"/>
        <v>2143.3333333333335</v>
      </c>
      <c r="AL237" s="477">
        <f>AK237/VLOOKUP(IF(I237&gt;0,I237,1),Preise!$A$3:$B$27,2,FALSE)</f>
        <v>396.91358024691345</v>
      </c>
    </row>
    <row r="238" spans="1:38" s="3" customFormat="1" outlineLevel="1" x14ac:dyDescent="0.2">
      <c r="A238" s="5">
        <v>1248</v>
      </c>
      <c r="B238" s="412">
        <v>1248</v>
      </c>
      <c r="C238" s="132" t="str">
        <f>VLOOKUP(B238,Gegenstände!$A286:$B920,2,FALSE)</f>
        <v>Äther-Stulpen</v>
      </c>
      <c r="D238" s="133">
        <f>VLOOKUP(B238,Gegenstände!$A286:$D920,4,FALSE)</f>
        <v>25</v>
      </c>
      <c r="E238" s="468">
        <v>33</v>
      </c>
      <c r="F238" s="3">
        <v>180</v>
      </c>
      <c r="G238" s="54">
        <v>5</v>
      </c>
      <c r="H238" s="469">
        <v>66</v>
      </c>
      <c r="I238" s="54">
        <v>24</v>
      </c>
      <c r="J238" s="470"/>
      <c r="K238" s="54">
        <v>20</v>
      </c>
      <c r="L238" s="3" t="s">
        <v>155</v>
      </c>
      <c r="M238" s="85">
        <v>6</v>
      </c>
      <c r="N238" s="83" t="s">
        <v>194</v>
      </c>
      <c r="O238" s="85">
        <v>8</v>
      </c>
      <c r="P238" s="83" t="s">
        <v>196</v>
      </c>
      <c r="Q238" s="85">
        <v>10</v>
      </c>
      <c r="R238" s="83" t="s">
        <v>197</v>
      </c>
      <c r="S238" s="170"/>
      <c r="T238" s="170"/>
      <c r="U238" s="471">
        <f>VLOOKUP(D238,Preise!$A$3:$C$27,3)</f>
        <v>28.625176191121408</v>
      </c>
      <c r="V238" s="523">
        <f>0.15*W238</f>
        <v>21468.882143341056</v>
      </c>
      <c r="W238" s="131">
        <f t="shared" si="90"/>
        <v>143125.88095560705</v>
      </c>
      <c r="X238" s="472">
        <f t="shared" si="91"/>
        <v>21500</v>
      </c>
      <c r="Y238" s="473">
        <f t="shared" si="92"/>
        <v>21500</v>
      </c>
      <c r="Z238" s="474">
        <f>IF(ISERROR(VLOOKUP(L238,Gegenstände!$B$2:$N$2026,13,FALSE)),0,VLOOKUP(L238,Gegenstände!$B$2:$N$2026,13,FALSE))</f>
        <v>360</v>
      </c>
      <c r="AA238" s="142">
        <f>IF(ISERROR(VLOOKUP(N238,Gegenstände!$B$2:$N$2026,13,FALSE)),0,VLOOKUP(N238,Gegenstände!$B$2:$N$2026,13,FALSE))</f>
        <v>80</v>
      </c>
      <c r="AB238" s="142">
        <f>IF(ISERROR(VLOOKUP(P238,Gegenstände!$B$2:$N$2026,13,FALSE)),0,VLOOKUP(P238,Gegenstände!$B$2:$N$2026,13,FALSE))</f>
        <v>200</v>
      </c>
      <c r="AC238" s="142">
        <f>IF(ISERROR(VLOOKUP(R238,Gegenstände!$B$2:$N$2026,13,FALSE)),0,VLOOKUP(R238,Gegenstände!$B$2:$N$2026,13,FALSE))</f>
        <v>500</v>
      </c>
      <c r="AD238" s="142"/>
      <c r="AE238" s="475">
        <f t="shared" si="93"/>
        <v>7200</v>
      </c>
      <c r="AF238" s="476">
        <f t="shared" si="94"/>
        <v>7080</v>
      </c>
      <c r="AG238" s="128">
        <f t="shared" si="96"/>
        <v>0.33488372093023255</v>
      </c>
      <c r="AH238" s="128">
        <f t="shared" si="97"/>
        <v>0.32930232558139533</v>
      </c>
      <c r="AI238" s="129">
        <f t="shared" si="98"/>
        <v>0.66418604651162794</v>
      </c>
      <c r="AJ238" s="426">
        <f t="shared" si="95"/>
        <v>7220</v>
      </c>
      <c r="AK238" s="131">
        <f t="shared" si="89"/>
        <v>2406.6666666666665</v>
      </c>
      <c r="AL238" s="477">
        <f>AK238/VLOOKUP(IF(I238&gt;0,I238,1),Preise!$A$3:$B$27,2,FALSE)</f>
        <v>429.76190476190453</v>
      </c>
    </row>
    <row r="239" spans="1:38" s="3" customFormat="1" outlineLevel="1" x14ac:dyDescent="0.2">
      <c r="A239" s="5">
        <v>1249</v>
      </c>
      <c r="B239" s="412">
        <v>1249</v>
      </c>
      <c r="C239" s="132" t="str">
        <f>VLOOKUP(B239,Gegenstände!$A287:$B921,2,FALSE)</f>
        <v>Äther-Beinlinge</v>
      </c>
      <c r="D239" s="133">
        <f>VLOOKUP(B239,Gegenstände!$A287:$D921,4,FALSE)</f>
        <v>25</v>
      </c>
      <c r="E239" s="468">
        <v>33</v>
      </c>
      <c r="F239" s="3">
        <v>240</v>
      </c>
      <c r="G239" s="54">
        <v>5</v>
      </c>
      <c r="H239" s="469">
        <v>66</v>
      </c>
      <c r="I239" s="54">
        <v>24</v>
      </c>
      <c r="J239" s="470"/>
      <c r="K239" s="54">
        <v>26</v>
      </c>
      <c r="L239" s="3" t="s">
        <v>155</v>
      </c>
      <c r="M239" s="85">
        <v>8</v>
      </c>
      <c r="N239" s="83" t="s">
        <v>194</v>
      </c>
      <c r="O239" s="85">
        <v>6</v>
      </c>
      <c r="P239" s="83" t="s">
        <v>196</v>
      </c>
      <c r="Q239" s="85">
        <v>15</v>
      </c>
      <c r="R239" s="83" t="s">
        <v>197</v>
      </c>
      <c r="S239" s="170"/>
      <c r="T239" s="170"/>
      <c r="U239" s="471">
        <f>VLOOKUP(D239,Preise!$A$3:$C$27,3)</f>
        <v>28.625176191121408</v>
      </c>
      <c r="V239" s="523">
        <f>0.2*W239</f>
        <v>28625.176191121413</v>
      </c>
      <c r="W239" s="131">
        <f t="shared" si="90"/>
        <v>143125.88095560705</v>
      </c>
      <c r="X239" s="472">
        <f t="shared" si="91"/>
        <v>28600</v>
      </c>
      <c r="Y239" s="473">
        <f t="shared" si="92"/>
        <v>28600</v>
      </c>
      <c r="Z239" s="474">
        <f>IF(ISERROR(VLOOKUP(L239,Gegenstände!$B$2:$N$2026,13,FALSE)),0,VLOOKUP(L239,Gegenstände!$B$2:$N$2026,13,FALSE))</f>
        <v>360</v>
      </c>
      <c r="AA239" s="142">
        <f>IF(ISERROR(VLOOKUP(N239,Gegenstände!$B$2:$N$2026,13,FALSE)),0,VLOOKUP(N239,Gegenstände!$B$2:$N$2026,13,FALSE))</f>
        <v>80</v>
      </c>
      <c r="AB239" s="142">
        <f>IF(ISERROR(VLOOKUP(P239,Gegenstände!$B$2:$N$2026,13,FALSE)),0,VLOOKUP(P239,Gegenstände!$B$2:$N$2026,13,FALSE))</f>
        <v>200</v>
      </c>
      <c r="AC239" s="142">
        <f>IF(ISERROR(VLOOKUP(R239,Gegenstände!$B$2:$N$2026,13,FALSE)),0,VLOOKUP(R239,Gegenstände!$B$2:$N$2026,13,FALSE))</f>
        <v>500</v>
      </c>
      <c r="AD239" s="142"/>
      <c r="AE239" s="475">
        <f t="shared" si="93"/>
        <v>9360</v>
      </c>
      <c r="AF239" s="476">
        <f t="shared" si="94"/>
        <v>9340</v>
      </c>
      <c r="AG239" s="128">
        <f t="shared" si="96"/>
        <v>0.32727272727272727</v>
      </c>
      <c r="AH239" s="128">
        <f t="shared" si="97"/>
        <v>0.32657342657342658</v>
      </c>
      <c r="AI239" s="129">
        <f t="shared" si="98"/>
        <v>0.65384615384615385</v>
      </c>
      <c r="AJ239" s="426">
        <f t="shared" si="95"/>
        <v>9900</v>
      </c>
      <c r="AK239" s="131">
        <f t="shared" si="89"/>
        <v>2475</v>
      </c>
      <c r="AL239" s="477">
        <f>AK239/VLOOKUP(IF(I239&gt;0,I239,1),Preise!$A$3:$B$27,2,FALSE)</f>
        <v>441.96428571428555</v>
      </c>
    </row>
    <row r="240" spans="1:38" s="3" customFormat="1" outlineLevel="1" x14ac:dyDescent="0.2">
      <c r="A240" s="5">
        <v>1250</v>
      </c>
      <c r="B240" s="412">
        <v>1250</v>
      </c>
      <c r="C240" s="132" t="str">
        <f>VLOOKUP(B240,Gegenstände!$A292:$B922,2,FALSE)</f>
        <v>Äther-Stiefel</v>
      </c>
      <c r="D240" s="133">
        <f>VLOOKUP(B240,Gegenstände!$A292:$D922,4,FALSE)</f>
        <v>25</v>
      </c>
      <c r="E240" s="563">
        <v>33</v>
      </c>
      <c r="F240" s="3">
        <v>180</v>
      </c>
      <c r="G240" s="54">
        <v>5</v>
      </c>
      <c r="H240" s="469">
        <v>66</v>
      </c>
      <c r="I240" s="335">
        <v>24</v>
      </c>
      <c r="J240" s="470"/>
      <c r="K240" s="335">
        <v>20</v>
      </c>
      <c r="L240" s="334" t="s">
        <v>155</v>
      </c>
      <c r="M240" s="567">
        <v>6</v>
      </c>
      <c r="N240" s="568" t="s">
        <v>194</v>
      </c>
      <c r="O240" s="567">
        <v>8</v>
      </c>
      <c r="P240" s="568" t="s">
        <v>196</v>
      </c>
      <c r="Q240" s="567">
        <v>10</v>
      </c>
      <c r="R240" s="568" t="s">
        <v>197</v>
      </c>
      <c r="S240" s="170"/>
      <c r="T240" s="170"/>
      <c r="U240" s="471">
        <f>VLOOKUP(D240,Preise!$A$3:$C$27,3)</f>
        <v>28.625176191121408</v>
      </c>
      <c r="V240" s="523">
        <f>0.15*W240</f>
        <v>21468.882143341056</v>
      </c>
      <c r="W240" s="131">
        <f t="shared" si="90"/>
        <v>143125.88095560705</v>
      </c>
      <c r="X240" s="472">
        <f t="shared" si="91"/>
        <v>21500</v>
      </c>
      <c r="Y240" s="473">
        <f t="shared" si="92"/>
        <v>21500</v>
      </c>
      <c r="Z240" s="474">
        <f>IF(ISERROR(VLOOKUP(L240,Gegenstände!$B$2:$N$2026,13,FALSE)),0,VLOOKUP(L240,Gegenstände!$B$2:$N$2026,13,FALSE))</f>
        <v>360</v>
      </c>
      <c r="AA240" s="142">
        <f>IF(ISERROR(VLOOKUP(N240,Gegenstände!$B$2:$N$2026,13,FALSE)),0,VLOOKUP(N240,Gegenstände!$B$2:$N$2026,13,FALSE))</f>
        <v>80</v>
      </c>
      <c r="AB240" s="142">
        <f>IF(ISERROR(VLOOKUP(P240,Gegenstände!$B$2:$N$2026,13,FALSE)),0,VLOOKUP(P240,Gegenstände!$B$2:$N$2026,13,FALSE))</f>
        <v>200</v>
      </c>
      <c r="AC240" s="142">
        <f>IF(ISERROR(VLOOKUP(R240,Gegenstände!$B$2:$N$2026,13,FALSE)),0,VLOOKUP(R240,Gegenstände!$B$2:$N$2026,13,FALSE))</f>
        <v>500</v>
      </c>
      <c r="AD240" s="142"/>
      <c r="AE240" s="475">
        <f t="shared" si="93"/>
        <v>7200</v>
      </c>
      <c r="AF240" s="476">
        <f t="shared" si="94"/>
        <v>7080</v>
      </c>
      <c r="AG240" s="128">
        <f t="shared" si="96"/>
        <v>0.33488372093023255</v>
      </c>
      <c r="AH240" s="128">
        <f t="shared" si="97"/>
        <v>0.32930232558139533</v>
      </c>
      <c r="AI240" s="129">
        <f t="shared" si="98"/>
        <v>0.66418604651162794</v>
      </c>
      <c r="AJ240" s="426">
        <f t="shared" si="95"/>
        <v>7220</v>
      </c>
      <c r="AK240" s="131">
        <f t="shared" si="89"/>
        <v>2406.6666666666665</v>
      </c>
      <c r="AL240" s="477">
        <f>AK240/VLOOKUP(IF(I240&gt;0,I240,1),Preise!$A$3:$B$27,2,FALSE)</f>
        <v>429.76190476190453</v>
      </c>
    </row>
    <row r="241" spans="1:38" s="3" customFormat="1" ht="13.5" customHeight="1" x14ac:dyDescent="0.2">
      <c r="A241" s="525"/>
      <c r="B241" s="526"/>
      <c r="C241" s="286"/>
      <c r="D241" s="396"/>
      <c r="E241" s="527"/>
      <c r="F241" s="528"/>
      <c r="G241" s="322"/>
      <c r="H241" s="529"/>
      <c r="I241" s="322"/>
      <c r="J241" s="552"/>
      <c r="K241" s="322"/>
      <c r="L241" s="321"/>
      <c r="M241" s="553"/>
      <c r="N241" s="321"/>
      <c r="O241" s="322"/>
      <c r="P241" s="321"/>
      <c r="Q241" s="322"/>
      <c r="R241" s="321"/>
      <c r="S241" s="554"/>
      <c r="T241" s="555"/>
      <c r="U241" s="536"/>
      <c r="V241" s="573"/>
      <c r="W241" s="538"/>
      <c r="X241" s="539"/>
      <c r="Y241" s="540"/>
      <c r="Z241" s="541"/>
      <c r="AA241" s="542"/>
      <c r="AB241" s="542"/>
      <c r="AC241" s="542"/>
      <c r="AD241" s="542"/>
      <c r="AE241" s="543"/>
      <c r="AF241" s="544"/>
      <c r="AG241" s="545"/>
      <c r="AH241" s="545"/>
      <c r="AI241" s="546"/>
      <c r="AJ241" s="547"/>
      <c r="AK241" s="548"/>
      <c r="AL241" s="549"/>
    </row>
    <row r="242" spans="1:38" s="3" customFormat="1" outlineLevel="1" x14ac:dyDescent="0.2">
      <c r="A242" s="5">
        <v>1301</v>
      </c>
      <c r="B242" s="412">
        <v>1301</v>
      </c>
      <c r="C242" s="132" t="str">
        <f>VLOOKUP(B242,Gegenstände!$A294:$B924,2,FALSE)</f>
        <v>Weichleder-Haube</v>
      </c>
      <c r="D242" s="133">
        <f>VLOOKUP(B242,Gegenstände!$A294:$D924,4,FALSE)</f>
        <v>1</v>
      </c>
      <c r="E242" s="468">
        <v>31</v>
      </c>
      <c r="F242" s="3">
        <v>240</v>
      </c>
      <c r="G242" s="54">
        <v>1</v>
      </c>
      <c r="H242" s="469">
        <v>61</v>
      </c>
      <c r="I242" s="54">
        <v>0</v>
      </c>
      <c r="J242" s="470"/>
      <c r="K242" s="54">
        <v>6</v>
      </c>
      <c r="L242" s="3" t="s">
        <v>163</v>
      </c>
      <c r="M242" s="85">
        <v>4</v>
      </c>
      <c r="N242" s="83" t="s">
        <v>198</v>
      </c>
      <c r="O242" s="85"/>
      <c r="P242" s="83"/>
      <c r="Q242" s="85"/>
      <c r="R242" s="83"/>
      <c r="S242" s="170"/>
      <c r="T242" s="170"/>
      <c r="U242" s="471">
        <f>VLOOKUP(D242,Preise!$A$3:$C$27,3)</f>
        <v>1</v>
      </c>
      <c r="V242" s="523">
        <f>0.2*W242</f>
        <v>1000</v>
      </c>
      <c r="W242" s="131">
        <f t="shared" ref="W242:W273" si="99">U242*$V$190</f>
        <v>5000</v>
      </c>
      <c r="X242" s="472">
        <f t="shared" ref="X242:X273" si="100">ROUND((V242/100),0)*100</f>
        <v>1000</v>
      </c>
      <c r="Y242" s="473">
        <f t="shared" ref="Y242:Y273" si="101">X242*IF(J242&gt;0,J242,1)</f>
        <v>1000</v>
      </c>
      <c r="Z242" s="474">
        <f>IF(ISERROR(VLOOKUP(L242,Gegenstände!$B$2:$N$2026,13,FALSE)),0,VLOOKUP(L242,Gegenstände!$B$2:$N$2026,13,FALSE))</f>
        <v>60</v>
      </c>
      <c r="AA242" s="142">
        <f>IF(ISERROR(VLOOKUP(N242,Gegenstände!$B$2:$N$2026,13,FALSE)),0,VLOOKUP(N242,Gegenstände!$B$2:$N$2026,13,FALSE))</f>
        <v>80</v>
      </c>
      <c r="AB242" s="142">
        <f>IF(ISERROR(VLOOKUP(P242,Gegenstände!$B$2:$N$2026,13,FALSE)),0,VLOOKUP(P242,Gegenstände!$B$2:$N$2026,13,FALSE))</f>
        <v>0</v>
      </c>
      <c r="AC242" s="142">
        <f>IF(ISERROR(VLOOKUP(R242,Gegenstände!$B$2:$N$2026,13,FALSE)),0,VLOOKUP(R242,Gegenstände!$B$2:$N$2026,13,FALSE))</f>
        <v>0</v>
      </c>
      <c r="AD242" s="142"/>
      <c r="AE242" s="475">
        <f t="shared" ref="AE242:AE273" si="102">IF(ISERROR(K242*Z242),"",K242*Z242)</f>
        <v>360</v>
      </c>
      <c r="AF242" s="476">
        <f t="shared" ref="AF242:AF273" si="103">IF(ISERROR(M242*AA242+O242*AB242+Q242*AC242),"",M242*AA242+O242*AB242+Q242*AC242)</f>
        <v>320</v>
      </c>
      <c r="AG242" s="128">
        <f t="shared" si="96"/>
        <v>0.36</v>
      </c>
      <c r="AH242" s="128">
        <f t="shared" si="97"/>
        <v>0.32</v>
      </c>
      <c r="AI242" s="129">
        <f t="shared" si="98"/>
        <v>0.68</v>
      </c>
      <c r="AJ242" s="426">
        <f t="shared" ref="AJ242:AJ273" si="104">Y242-(AE242+AF242)</f>
        <v>320</v>
      </c>
      <c r="AK242" s="131">
        <f t="shared" si="89"/>
        <v>80</v>
      </c>
      <c r="AL242" s="477">
        <f>AK242/VLOOKUP(IF(I242&gt;0,I242,1),Preise!$A$3:$B$27,2,FALSE)</f>
        <v>80</v>
      </c>
    </row>
    <row r="243" spans="1:38" s="3" customFormat="1" ht="13.5" customHeight="1" outlineLevel="1" x14ac:dyDescent="0.2">
      <c r="A243" s="5">
        <v>1302</v>
      </c>
      <c r="B243" s="412">
        <v>1302</v>
      </c>
      <c r="C243" s="132" t="str">
        <f>VLOOKUP(B243,Gegenstände!$A295:$B925,2,FALSE)</f>
        <v>Weichleder-Wappenrock</v>
      </c>
      <c r="D243" s="133">
        <f>VLOOKUP(B243,Gegenstände!$A295:$D925,4,FALSE)</f>
        <v>1</v>
      </c>
      <c r="E243" s="468">
        <v>31</v>
      </c>
      <c r="F243" s="3">
        <v>360</v>
      </c>
      <c r="G243" s="54">
        <v>1</v>
      </c>
      <c r="H243" s="469">
        <v>61</v>
      </c>
      <c r="I243" s="54">
        <v>0</v>
      </c>
      <c r="J243" s="470"/>
      <c r="K243" s="54">
        <v>8</v>
      </c>
      <c r="L243" s="3" t="s">
        <v>163</v>
      </c>
      <c r="M243" s="85">
        <v>6</v>
      </c>
      <c r="N243" s="83" t="s">
        <v>198</v>
      </c>
      <c r="O243" s="85"/>
      <c r="P243" s="83"/>
      <c r="Q243" s="85"/>
      <c r="R243" s="83"/>
      <c r="S243" s="170"/>
      <c r="T243" s="170"/>
      <c r="U243" s="471">
        <f>VLOOKUP(D243,Preise!$A$3:$C$27,3)</f>
        <v>1</v>
      </c>
      <c r="V243" s="523">
        <f>0.3*W243</f>
        <v>1500</v>
      </c>
      <c r="W243" s="131">
        <f t="shared" si="99"/>
        <v>5000</v>
      </c>
      <c r="X243" s="472">
        <f t="shared" si="100"/>
        <v>1500</v>
      </c>
      <c r="Y243" s="473">
        <f t="shared" si="101"/>
        <v>1500</v>
      </c>
      <c r="Z243" s="474">
        <f>IF(ISERROR(VLOOKUP(L243,Gegenstände!$B$2:$N$2026,13,FALSE)),0,VLOOKUP(L243,Gegenstände!$B$2:$N$2026,13,FALSE))</f>
        <v>60</v>
      </c>
      <c r="AA243" s="142">
        <f>IF(ISERROR(VLOOKUP(N243,Gegenstände!$B$2:$N$2026,13,FALSE)),0,VLOOKUP(N243,Gegenstände!$B$2:$N$2026,13,FALSE))</f>
        <v>80</v>
      </c>
      <c r="AB243" s="142">
        <f>IF(ISERROR(VLOOKUP(P243,Gegenstände!$B$2:$N$2026,13,FALSE)),0,VLOOKUP(P243,Gegenstände!$B$2:$N$2026,13,FALSE))</f>
        <v>0</v>
      </c>
      <c r="AC243" s="142">
        <f>IF(ISERROR(VLOOKUP(R243,Gegenstände!$B$2:$N$2026,13,FALSE)),0,VLOOKUP(R243,Gegenstände!$B$2:$N$2026,13,FALSE))</f>
        <v>0</v>
      </c>
      <c r="AD243" s="142"/>
      <c r="AE243" s="475">
        <f t="shared" si="102"/>
        <v>480</v>
      </c>
      <c r="AF243" s="476">
        <f t="shared" si="103"/>
        <v>480</v>
      </c>
      <c r="AG243" s="128">
        <f t="shared" si="96"/>
        <v>0.32</v>
      </c>
      <c r="AH243" s="128">
        <f t="shared" si="97"/>
        <v>0.32</v>
      </c>
      <c r="AI243" s="129">
        <f t="shared" si="98"/>
        <v>0.64</v>
      </c>
      <c r="AJ243" s="426">
        <f t="shared" si="104"/>
        <v>540</v>
      </c>
      <c r="AK243" s="131">
        <f t="shared" si="89"/>
        <v>90</v>
      </c>
      <c r="AL243" s="477">
        <f>AK243/VLOOKUP(IF(I243&gt;0,I243,1),Preise!$A$3:$B$27,2,FALSE)</f>
        <v>90</v>
      </c>
    </row>
    <row r="244" spans="1:38" s="3" customFormat="1" ht="13.5" customHeight="1" outlineLevel="1" x14ac:dyDescent="0.2">
      <c r="A244" s="5">
        <v>1303</v>
      </c>
      <c r="B244" s="412">
        <v>1303</v>
      </c>
      <c r="C244" s="132" t="str">
        <f>VLOOKUP(B244,Gegenstände!$A296:$B926,2,FALSE)</f>
        <v>Weichleder-Handschuhe</v>
      </c>
      <c r="D244" s="133">
        <f>VLOOKUP(B244,Gegenstände!$A296:$D926,4,FALSE)</f>
        <v>2</v>
      </c>
      <c r="E244" s="468">
        <v>31</v>
      </c>
      <c r="F244" s="3">
        <v>180</v>
      </c>
      <c r="G244" s="54">
        <v>1</v>
      </c>
      <c r="H244" s="469">
        <v>61</v>
      </c>
      <c r="I244" s="54">
        <v>1</v>
      </c>
      <c r="J244" s="470"/>
      <c r="K244" s="54">
        <v>5</v>
      </c>
      <c r="L244" s="3" t="s">
        <v>163</v>
      </c>
      <c r="M244" s="85">
        <v>4</v>
      </c>
      <c r="N244" s="83" t="s">
        <v>198</v>
      </c>
      <c r="O244" s="85"/>
      <c r="P244" s="83"/>
      <c r="Q244" s="85"/>
      <c r="R244" s="83"/>
      <c r="S244" s="170"/>
      <c r="T244" s="170"/>
      <c r="U244" s="471">
        <f>VLOOKUP(D244,Preise!$A$3:$C$27,3)</f>
        <v>1.1499999999999999</v>
      </c>
      <c r="V244" s="523">
        <f>0.15*W244</f>
        <v>862.5</v>
      </c>
      <c r="W244" s="131">
        <f t="shared" si="99"/>
        <v>5750</v>
      </c>
      <c r="X244" s="472">
        <f t="shared" si="100"/>
        <v>900</v>
      </c>
      <c r="Y244" s="473">
        <f t="shared" si="101"/>
        <v>900</v>
      </c>
      <c r="Z244" s="474">
        <f>IF(ISERROR(VLOOKUP(L244,Gegenstände!$B$2:$N$2026,13,FALSE)),0,VLOOKUP(L244,Gegenstände!$B$2:$N$2026,13,FALSE))</f>
        <v>60</v>
      </c>
      <c r="AA244" s="142">
        <f>IF(ISERROR(VLOOKUP(N244,Gegenstände!$B$2:$N$2026,13,FALSE)),0,VLOOKUP(N244,Gegenstände!$B$2:$N$2026,13,FALSE))</f>
        <v>80</v>
      </c>
      <c r="AB244" s="142">
        <f>IF(ISERROR(VLOOKUP(P244,Gegenstände!$B$2:$N$2026,13,FALSE)),0,VLOOKUP(P244,Gegenstände!$B$2:$N$2026,13,FALSE))</f>
        <v>0</v>
      </c>
      <c r="AC244" s="142">
        <f>IF(ISERROR(VLOOKUP(R244,Gegenstände!$B$2:$N$2026,13,FALSE)),0,VLOOKUP(R244,Gegenstände!$B$2:$N$2026,13,FALSE))</f>
        <v>0</v>
      </c>
      <c r="AD244" s="142"/>
      <c r="AE244" s="475">
        <f t="shared" si="102"/>
        <v>300</v>
      </c>
      <c r="AF244" s="476">
        <f t="shared" si="103"/>
        <v>320</v>
      </c>
      <c r="AG244" s="128">
        <f t="shared" si="96"/>
        <v>0.33333333333333331</v>
      </c>
      <c r="AH244" s="128">
        <f t="shared" si="97"/>
        <v>0.35555555555555557</v>
      </c>
      <c r="AI244" s="129">
        <f t="shared" si="98"/>
        <v>0.68888888888888888</v>
      </c>
      <c r="AJ244" s="426">
        <f t="shared" si="104"/>
        <v>280</v>
      </c>
      <c r="AK244" s="131">
        <f t="shared" si="89"/>
        <v>93.333333333333329</v>
      </c>
      <c r="AL244" s="477">
        <f>AK244/VLOOKUP(IF(I244&gt;0,I244,1),Preise!$A$3:$B$27,2,FALSE)</f>
        <v>93.333333333333329</v>
      </c>
    </row>
    <row r="245" spans="1:38" s="3" customFormat="1" ht="13.5" customHeight="1" outlineLevel="1" x14ac:dyDescent="0.2">
      <c r="A245" s="5">
        <v>1304</v>
      </c>
      <c r="B245" s="412">
        <v>1304</v>
      </c>
      <c r="C245" s="132" t="str">
        <f>VLOOKUP(B245,Gegenstände!$A297:$B927,2,FALSE)</f>
        <v>Weichleder-Hose</v>
      </c>
      <c r="D245" s="133">
        <f>VLOOKUP(B245,Gegenstände!$A297:$D927,4,FALSE)</f>
        <v>2</v>
      </c>
      <c r="E245" s="468">
        <v>31</v>
      </c>
      <c r="F245" s="3">
        <v>240</v>
      </c>
      <c r="G245" s="54">
        <v>1</v>
      </c>
      <c r="H245" s="469">
        <v>61</v>
      </c>
      <c r="I245" s="54">
        <v>1</v>
      </c>
      <c r="J245" s="470"/>
      <c r="K245" s="54">
        <v>7</v>
      </c>
      <c r="L245" s="3" t="s">
        <v>163</v>
      </c>
      <c r="M245" s="85">
        <v>5</v>
      </c>
      <c r="N245" s="83" t="s">
        <v>198</v>
      </c>
      <c r="O245" s="85"/>
      <c r="P245" s="83"/>
      <c r="Q245" s="85"/>
      <c r="R245" s="83"/>
      <c r="S245" s="170"/>
      <c r="T245" s="170"/>
      <c r="U245" s="471">
        <f>VLOOKUP(D245,Preise!$A$3:$C$27,3)</f>
        <v>1.1499999999999999</v>
      </c>
      <c r="V245" s="523">
        <f>0.2*W245</f>
        <v>1150</v>
      </c>
      <c r="W245" s="131">
        <f t="shared" si="99"/>
        <v>5750</v>
      </c>
      <c r="X245" s="472">
        <f t="shared" si="100"/>
        <v>1200</v>
      </c>
      <c r="Y245" s="473">
        <f t="shared" si="101"/>
        <v>1200</v>
      </c>
      <c r="Z245" s="474">
        <f>IF(ISERROR(VLOOKUP(L245,Gegenstände!$B$2:$N$2026,13,FALSE)),0,VLOOKUP(L245,Gegenstände!$B$2:$N$2026,13,FALSE))</f>
        <v>60</v>
      </c>
      <c r="AA245" s="142">
        <f>IF(ISERROR(VLOOKUP(N245,Gegenstände!$B$2:$N$2026,13,FALSE)),0,VLOOKUP(N245,Gegenstände!$B$2:$N$2026,13,FALSE))</f>
        <v>80</v>
      </c>
      <c r="AB245" s="142">
        <f>IF(ISERROR(VLOOKUP(P245,Gegenstände!$B$2:$N$2026,13,FALSE)),0,VLOOKUP(P245,Gegenstände!$B$2:$N$2026,13,FALSE))</f>
        <v>0</v>
      </c>
      <c r="AC245" s="142">
        <f>IF(ISERROR(VLOOKUP(R245,Gegenstände!$B$2:$N$2026,13,FALSE)),0,VLOOKUP(R245,Gegenstände!$B$2:$N$2026,13,FALSE))</f>
        <v>0</v>
      </c>
      <c r="AD245" s="142"/>
      <c r="AE245" s="475">
        <f t="shared" si="102"/>
        <v>420</v>
      </c>
      <c r="AF245" s="476">
        <f t="shared" si="103"/>
        <v>400</v>
      </c>
      <c r="AG245" s="128">
        <f t="shared" si="96"/>
        <v>0.35</v>
      </c>
      <c r="AH245" s="128">
        <f t="shared" si="97"/>
        <v>0.33333333333333331</v>
      </c>
      <c r="AI245" s="129">
        <f t="shared" si="98"/>
        <v>0.68333333333333335</v>
      </c>
      <c r="AJ245" s="426">
        <f t="shared" si="104"/>
        <v>380</v>
      </c>
      <c r="AK245" s="131">
        <f t="shared" si="89"/>
        <v>95</v>
      </c>
      <c r="AL245" s="477">
        <f>AK245/VLOOKUP(IF(I245&gt;0,I245,1),Preise!$A$3:$B$27,2,FALSE)</f>
        <v>95</v>
      </c>
    </row>
    <row r="246" spans="1:38" s="3" customFormat="1" ht="13.5" customHeight="1" outlineLevel="1" x14ac:dyDescent="0.2">
      <c r="A246" s="5">
        <v>1305</v>
      </c>
      <c r="B246" s="412">
        <v>1305</v>
      </c>
      <c r="C246" s="132" t="str">
        <f>VLOOKUP(B246,Gegenstände!$A298:$B928,2,FALSE)</f>
        <v>Weichleder-Schuhe</v>
      </c>
      <c r="D246" s="133">
        <f>VLOOKUP(B246,Gegenstände!$A298:$D928,4,FALSE)</f>
        <v>2</v>
      </c>
      <c r="E246" s="468">
        <v>31</v>
      </c>
      <c r="F246" s="3">
        <v>180</v>
      </c>
      <c r="G246" s="54">
        <v>1</v>
      </c>
      <c r="H246" s="469">
        <v>61</v>
      </c>
      <c r="I246" s="54">
        <v>1</v>
      </c>
      <c r="J246" s="470"/>
      <c r="K246" s="54">
        <v>5</v>
      </c>
      <c r="L246" s="3" t="s">
        <v>163</v>
      </c>
      <c r="M246" s="85">
        <v>4</v>
      </c>
      <c r="N246" s="83" t="s">
        <v>198</v>
      </c>
      <c r="O246" s="85"/>
      <c r="P246" s="83"/>
      <c r="Q246" s="85"/>
      <c r="R246" s="83"/>
      <c r="S246" s="170"/>
      <c r="T246" s="170"/>
      <c r="U246" s="471">
        <f>VLOOKUP(D246,Preise!$A$3:$C$27,3)</f>
        <v>1.1499999999999999</v>
      </c>
      <c r="V246" s="558">
        <f>0.15*W246</f>
        <v>862.5</v>
      </c>
      <c r="W246" s="559">
        <f t="shared" si="99"/>
        <v>5750</v>
      </c>
      <c r="X246" s="560">
        <f t="shared" si="100"/>
        <v>900</v>
      </c>
      <c r="Y246" s="473">
        <f t="shared" si="101"/>
        <v>900</v>
      </c>
      <c r="Z246" s="474">
        <f>IF(ISERROR(VLOOKUP(L246,Gegenstände!$B$2:$N$2026,13,FALSE)),0,VLOOKUP(L246,Gegenstände!$B$2:$N$2026,13,FALSE))</f>
        <v>60</v>
      </c>
      <c r="AA246" s="142">
        <f>IF(ISERROR(VLOOKUP(N246,Gegenstände!$B$2:$N$2026,13,FALSE)),0,VLOOKUP(N246,Gegenstände!$B$2:$N$2026,13,FALSE))</f>
        <v>80</v>
      </c>
      <c r="AB246" s="142">
        <f>IF(ISERROR(VLOOKUP(P246,Gegenstände!$B$2:$N$2026,13,FALSE)),0,VLOOKUP(P246,Gegenstände!$B$2:$N$2026,13,FALSE))</f>
        <v>0</v>
      </c>
      <c r="AC246" s="142">
        <f>IF(ISERROR(VLOOKUP(R246,Gegenstände!$B$2:$N$2026,13,FALSE)),0,VLOOKUP(R246,Gegenstände!$B$2:$N$2026,13,FALSE))</f>
        <v>0</v>
      </c>
      <c r="AD246" s="142"/>
      <c r="AE246" s="475">
        <f t="shared" si="102"/>
        <v>300</v>
      </c>
      <c r="AF246" s="476">
        <f t="shared" si="103"/>
        <v>320</v>
      </c>
      <c r="AG246" s="128">
        <f t="shared" si="96"/>
        <v>0.33333333333333331</v>
      </c>
      <c r="AH246" s="128">
        <f t="shared" si="97"/>
        <v>0.35555555555555557</v>
      </c>
      <c r="AI246" s="129">
        <f t="shared" si="98"/>
        <v>0.68888888888888888</v>
      </c>
      <c r="AJ246" s="426">
        <f t="shared" si="104"/>
        <v>280</v>
      </c>
      <c r="AK246" s="131">
        <f t="shared" si="89"/>
        <v>93.333333333333329</v>
      </c>
      <c r="AL246" s="477">
        <f>AK246/VLOOKUP(IF(I246&gt;0,I246,1),Preise!$A$3:$B$27,2,FALSE)</f>
        <v>93.333333333333329</v>
      </c>
    </row>
    <row r="247" spans="1:38" s="3" customFormat="1" ht="13.5" customHeight="1" outlineLevel="1" x14ac:dyDescent="0.2">
      <c r="A247" s="5">
        <v>1306</v>
      </c>
      <c r="B247" s="412">
        <v>1306</v>
      </c>
      <c r="C247" s="132" t="str">
        <f>VLOOKUP(B247,Gegenstände!$A299:$B929,2,FALSE)</f>
        <v>Weichleder-Helm</v>
      </c>
      <c r="D247" s="133">
        <f>VLOOKUP(B247,Gegenstände!$A299:$D929,4,FALSE)</f>
        <v>4</v>
      </c>
      <c r="E247" s="468">
        <v>31</v>
      </c>
      <c r="F247" s="3">
        <v>240</v>
      </c>
      <c r="G247" s="54">
        <v>1</v>
      </c>
      <c r="H247" s="469">
        <v>61</v>
      </c>
      <c r="I247" s="54">
        <v>3</v>
      </c>
      <c r="J247" s="470"/>
      <c r="K247" s="54">
        <v>8</v>
      </c>
      <c r="L247" s="3" t="s">
        <v>163</v>
      </c>
      <c r="M247" s="85">
        <v>6</v>
      </c>
      <c r="N247" s="83" t="s">
        <v>198</v>
      </c>
      <c r="O247" s="85"/>
      <c r="P247" s="83"/>
      <c r="Q247" s="85"/>
      <c r="R247" s="83"/>
      <c r="S247" s="170"/>
      <c r="T247" s="170"/>
      <c r="U247" s="471">
        <f>VLOOKUP(D247,Preise!$A$3:$C$27,3)</f>
        <v>1.5208749999999995</v>
      </c>
      <c r="V247" s="523">
        <f>0.2*W247</f>
        <v>1520.8749999999995</v>
      </c>
      <c r="W247" s="131">
        <f t="shared" si="99"/>
        <v>7604.3749999999973</v>
      </c>
      <c r="X247" s="472">
        <f t="shared" si="100"/>
        <v>1500</v>
      </c>
      <c r="Y247" s="473">
        <f t="shared" si="101"/>
        <v>1500</v>
      </c>
      <c r="Z247" s="474">
        <f>IF(ISERROR(VLOOKUP(L247,Gegenstände!$B$2:$N$2026,13,FALSE)),0,VLOOKUP(L247,Gegenstände!$B$2:$N$2026,13,FALSE))</f>
        <v>60</v>
      </c>
      <c r="AA247" s="142">
        <f>IF(ISERROR(VLOOKUP(N247,Gegenstände!$B$2:$N$2026,13,FALSE)),0,VLOOKUP(N247,Gegenstände!$B$2:$N$2026,13,FALSE))</f>
        <v>80</v>
      </c>
      <c r="AB247" s="142">
        <f>IF(ISERROR(VLOOKUP(P247,Gegenstände!$B$2:$N$2026,13,FALSE)),0,VLOOKUP(P247,Gegenstände!$B$2:$N$2026,13,FALSE))</f>
        <v>0</v>
      </c>
      <c r="AC247" s="142">
        <f>IF(ISERROR(VLOOKUP(R247,Gegenstände!$B$2:$N$2026,13,FALSE)),0,VLOOKUP(R247,Gegenstände!$B$2:$N$2026,13,FALSE))</f>
        <v>0</v>
      </c>
      <c r="AD247" s="142"/>
      <c r="AE247" s="475">
        <f t="shared" si="102"/>
        <v>480</v>
      </c>
      <c r="AF247" s="476">
        <f t="shared" si="103"/>
        <v>480</v>
      </c>
      <c r="AG247" s="128">
        <f t="shared" si="96"/>
        <v>0.32</v>
      </c>
      <c r="AH247" s="128">
        <f t="shared" si="97"/>
        <v>0.32</v>
      </c>
      <c r="AI247" s="129">
        <f t="shared" si="98"/>
        <v>0.64</v>
      </c>
      <c r="AJ247" s="426">
        <f t="shared" si="104"/>
        <v>540</v>
      </c>
      <c r="AK247" s="131">
        <f t="shared" si="89"/>
        <v>135</v>
      </c>
      <c r="AL247" s="477">
        <f>AK247/VLOOKUP(IF(I247&gt;0,I247,1),Preise!$A$3:$B$27,2,FALSE)</f>
        <v>96.428571428571431</v>
      </c>
    </row>
    <row r="248" spans="1:38" s="3" customFormat="1" ht="13.5" customHeight="1" outlineLevel="1" x14ac:dyDescent="0.2">
      <c r="A248" s="5">
        <v>1307</v>
      </c>
      <c r="B248" s="412">
        <v>1307</v>
      </c>
      <c r="C248" s="132" t="str">
        <f>VLOOKUP(B248,Gegenstände!$A300:$B930,2,FALSE)</f>
        <v>Weichleder-Harnisch</v>
      </c>
      <c r="D248" s="133">
        <f>VLOOKUP(B248,Gegenstände!$A300:$D930,4,FALSE)</f>
        <v>4</v>
      </c>
      <c r="E248" s="468">
        <v>31</v>
      </c>
      <c r="F248" s="3">
        <v>360</v>
      </c>
      <c r="G248" s="54">
        <v>1</v>
      </c>
      <c r="H248" s="469">
        <v>61</v>
      </c>
      <c r="I248" s="54">
        <v>3</v>
      </c>
      <c r="J248" s="470"/>
      <c r="K248" s="54">
        <v>12</v>
      </c>
      <c r="L248" s="3" t="s">
        <v>163</v>
      </c>
      <c r="M248" s="85">
        <v>9</v>
      </c>
      <c r="N248" s="83" t="s">
        <v>198</v>
      </c>
      <c r="O248" s="85"/>
      <c r="P248" s="83"/>
      <c r="Q248" s="85"/>
      <c r="R248" s="83"/>
      <c r="S248" s="170"/>
      <c r="T248" s="170"/>
      <c r="U248" s="471">
        <f>VLOOKUP(D248,Preise!$A$3:$C$27,3)</f>
        <v>1.5208749999999995</v>
      </c>
      <c r="V248" s="523">
        <f>0.3*W248</f>
        <v>2281.3124999999991</v>
      </c>
      <c r="W248" s="131">
        <f t="shared" si="99"/>
        <v>7604.3749999999973</v>
      </c>
      <c r="X248" s="472">
        <f t="shared" si="100"/>
        <v>2300</v>
      </c>
      <c r="Y248" s="473">
        <f t="shared" si="101"/>
        <v>2300</v>
      </c>
      <c r="Z248" s="474">
        <f>IF(ISERROR(VLOOKUP(L248,Gegenstände!$B$2:$N$2026,13,FALSE)),0,VLOOKUP(L248,Gegenstände!$B$2:$N$2026,13,FALSE))</f>
        <v>60</v>
      </c>
      <c r="AA248" s="142">
        <f>IF(ISERROR(VLOOKUP(N248,Gegenstände!$B$2:$N$2026,13,FALSE)),0,VLOOKUP(N248,Gegenstände!$B$2:$N$2026,13,FALSE))</f>
        <v>80</v>
      </c>
      <c r="AB248" s="142">
        <f>IF(ISERROR(VLOOKUP(P248,Gegenstände!$B$2:$N$2026,13,FALSE)),0,VLOOKUP(P248,Gegenstände!$B$2:$N$2026,13,FALSE))</f>
        <v>0</v>
      </c>
      <c r="AC248" s="142">
        <f>IF(ISERROR(VLOOKUP(R248,Gegenstände!$B$2:$N$2026,13,FALSE)),0,VLOOKUP(R248,Gegenstände!$B$2:$N$2026,13,FALSE))</f>
        <v>0</v>
      </c>
      <c r="AD248" s="142"/>
      <c r="AE248" s="475">
        <f t="shared" si="102"/>
        <v>720</v>
      </c>
      <c r="AF248" s="476">
        <f t="shared" si="103"/>
        <v>720</v>
      </c>
      <c r="AG248" s="128">
        <f t="shared" si="96"/>
        <v>0.31304347826086959</v>
      </c>
      <c r="AH248" s="128">
        <f t="shared" si="97"/>
        <v>0.31304347826086959</v>
      </c>
      <c r="AI248" s="129">
        <f t="shared" si="98"/>
        <v>0.62608695652173918</v>
      </c>
      <c r="AJ248" s="426">
        <f t="shared" si="104"/>
        <v>860</v>
      </c>
      <c r="AK248" s="131">
        <f t="shared" si="89"/>
        <v>143.33333333333334</v>
      </c>
      <c r="AL248" s="477">
        <f>AK248/VLOOKUP(IF(I248&gt;0,I248,1),Preise!$A$3:$B$27,2,FALSE)</f>
        <v>102.38095238095239</v>
      </c>
    </row>
    <row r="249" spans="1:38" s="3" customFormat="1" ht="13.5" customHeight="1" outlineLevel="1" x14ac:dyDescent="0.2">
      <c r="A249" s="5">
        <v>1308</v>
      </c>
      <c r="B249" s="412">
        <v>1308</v>
      </c>
      <c r="C249" s="132" t="str">
        <f>VLOOKUP(B249,Gegenstände!$A301:$B931,2,FALSE)</f>
        <v>Weichleder-Stulpen</v>
      </c>
      <c r="D249" s="133">
        <f>VLOOKUP(B249,Gegenstände!$A301:$D931,4,FALSE)</f>
        <v>5</v>
      </c>
      <c r="E249" s="468">
        <v>31</v>
      </c>
      <c r="F249" s="3">
        <v>180</v>
      </c>
      <c r="G249" s="54">
        <v>1</v>
      </c>
      <c r="H249" s="469">
        <v>61</v>
      </c>
      <c r="I249" s="54">
        <v>4</v>
      </c>
      <c r="J249" s="470"/>
      <c r="K249" s="54">
        <v>7</v>
      </c>
      <c r="L249" s="3" t="s">
        <v>163</v>
      </c>
      <c r="M249" s="85">
        <v>5</v>
      </c>
      <c r="N249" s="83" t="s">
        <v>198</v>
      </c>
      <c r="O249" s="85"/>
      <c r="P249" s="83"/>
      <c r="Q249" s="85"/>
      <c r="R249" s="83"/>
      <c r="S249" s="170"/>
      <c r="T249" s="170"/>
      <c r="U249" s="471">
        <f>VLOOKUP(D249,Preise!$A$3:$C$27,3)</f>
        <v>1.7490062499999994</v>
      </c>
      <c r="V249" s="523">
        <f>0.15*W249</f>
        <v>1311.7546874999994</v>
      </c>
      <c r="W249" s="131">
        <f t="shared" si="99"/>
        <v>8745.0312499999964</v>
      </c>
      <c r="X249" s="472">
        <f t="shared" si="100"/>
        <v>1300</v>
      </c>
      <c r="Y249" s="473">
        <f t="shared" si="101"/>
        <v>1300</v>
      </c>
      <c r="Z249" s="474">
        <f>IF(ISERROR(VLOOKUP(L249,Gegenstände!$B$2:$N$2026,13,FALSE)),0,VLOOKUP(L249,Gegenstände!$B$2:$N$2026,13,FALSE))</f>
        <v>60</v>
      </c>
      <c r="AA249" s="142">
        <f>IF(ISERROR(VLOOKUP(N249,Gegenstände!$B$2:$N$2026,13,FALSE)),0,VLOOKUP(N249,Gegenstände!$B$2:$N$2026,13,FALSE))</f>
        <v>80</v>
      </c>
      <c r="AB249" s="142">
        <f>IF(ISERROR(VLOOKUP(P249,Gegenstände!$B$2:$N$2026,13,FALSE)),0,VLOOKUP(P249,Gegenstände!$B$2:$N$2026,13,FALSE))</f>
        <v>0</v>
      </c>
      <c r="AC249" s="142">
        <f>IF(ISERROR(VLOOKUP(R249,Gegenstände!$B$2:$N$2026,13,FALSE)),0,VLOOKUP(R249,Gegenstände!$B$2:$N$2026,13,FALSE))</f>
        <v>0</v>
      </c>
      <c r="AD249" s="142"/>
      <c r="AE249" s="475">
        <f t="shared" si="102"/>
        <v>420</v>
      </c>
      <c r="AF249" s="476">
        <f t="shared" si="103"/>
        <v>400</v>
      </c>
      <c r="AG249" s="128">
        <f t="shared" si="96"/>
        <v>0.32307692307692309</v>
      </c>
      <c r="AH249" s="128">
        <f t="shared" si="97"/>
        <v>0.30769230769230771</v>
      </c>
      <c r="AI249" s="129">
        <f t="shared" si="98"/>
        <v>0.63076923076923075</v>
      </c>
      <c r="AJ249" s="426">
        <f t="shared" si="104"/>
        <v>480</v>
      </c>
      <c r="AK249" s="131">
        <f t="shared" si="89"/>
        <v>160</v>
      </c>
      <c r="AL249" s="477">
        <f>AK249/VLOOKUP(IF(I249&gt;0,I249,1),Preise!$A$3:$B$27,2,FALSE)</f>
        <v>100.00000000000001</v>
      </c>
    </row>
    <row r="250" spans="1:38" s="3" customFormat="1" ht="13.5" customHeight="1" outlineLevel="1" x14ac:dyDescent="0.2">
      <c r="A250" s="5">
        <v>1309</v>
      </c>
      <c r="B250" s="412">
        <v>1309</v>
      </c>
      <c r="C250" s="132" t="str">
        <f>VLOOKUP(B250,Gegenstände!$A302:$B932,2,FALSE)</f>
        <v>Weichleder-Beinlinge</v>
      </c>
      <c r="D250" s="133">
        <f>VLOOKUP(B250,Gegenstände!$A302:$D932,4,FALSE)</f>
        <v>5</v>
      </c>
      <c r="E250" s="468">
        <v>31</v>
      </c>
      <c r="F250" s="3">
        <v>240</v>
      </c>
      <c r="G250" s="54">
        <v>1</v>
      </c>
      <c r="H250" s="469">
        <v>61</v>
      </c>
      <c r="I250" s="54">
        <v>4</v>
      </c>
      <c r="J250" s="470"/>
      <c r="K250" s="54">
        <v>10</v>
      </c>
      <c r="L250" s="3" t="s">
        <v>163</v>
      </c>
      <c r="M250" s="85">
        <v>7</v>
      </c>
      <c r="N250" s="83" t="s">
        <v>198</v>
      </c>
      <c r="O250" s="85"/>
      <c r="P250" s="83"/>
      <c r="Q250" s="85"/>
      <c r="R250" s="83"/>
      <c r="S250" s="170"/>
      <c r="T250" s="170"/>
      <c r="U250" s="471">
        <f>VLOOKUP(D250,Preise!$A$3:$C$27,3)</f>
        <v>1.7490062499999994</v>
      </c>
      <c r="V250" s="523">
        <f>0.2*W250</f>
        <v>1749.0062499999995</v>
      </c>
      <c r="W250" s="131">
        <f t="shared" si="99"/>
        <v>8745.0312499999964</v>
      </c>
      <c r="X250" s="472">
        <f t="shared" si="100"/>
        <v>1700</v>
      </c>
      <c r="Y250" s="473">
        <f t="shared" si="101"/>
        <v>1700</v>
      </c>
      <c r="Z250" s="474">
        <f>IF(ISERROR(VLOOKUP(L250,Gegenstände!$B$2:$N$2026,13,FALSE)),0,VLOOKUP(L250,Gegenstände!$B$2:$N$2026,13,FALSE))</f>
        <v>60</v>
      </c>
      <c r="AA250" s="142">
        <f>IF(ISERROR(VLOOKUP(N250,Gegenstände!$B$2:$N$2026,13,FALSE)),0,VLOOKUP(N250,Gegenstände!$B$2:$N$2026,13,FALSE))</f>
        <v>80</v>
      </c>
      <c r="AB250" s="142">
        <f>IF(ISERROR(VLOOKUP(P250,Gegenstände!$B$2:$N$2026,13,FALSE)),0,VLOOKUP(P250,Gegenstände!$B$2:$N$2026,13,FALSE))</f>
        <v>0</v>
      </c>
      <c r="AC250" s="142">
        <f>IF(ISERROR(VLOOKUP(R250,Gegenstände!$B$2:$N$2026,13,FALSE)),0,VLOOKUP(R250,Gegenstände!$B$2:$N$2026,13,FALSE))</f>
        <v>0</v>
      </c>
      <c r="AD250" s="142"/>
      <c r="AE250" s="475">
        <f t="shared" si="102"/>
        <v>600</v>
      </c>
      <c r="AF250" s="476">
        <f t="shared" si="103"/>
        <v>560</v>
      </c>
      <c r="AG250" s="128">
        <f t="shared" si="96"/>
        <v>0.35294117647058826</v>
      </c>
      <c r="AH250" s="128">
        <f t="shared" si="97"/>
        <v>0.32941176470588235</v>
      </c>
      <c r="AI250" s="129">
        <f t="shared" si="98"/>
        <v>0.68235294117647061</v>
      </c>
      <c r="AJ250" s="426">
        <f t="shared" si="104"/>
        <v>540</v>
      </c>
      <c r="AK250" s="131">
        <f t="shared" si="89"/>
        <v>135</v>
      </c>
      <c r="AL250" s="477">
        <f>AK250/VLOOKUP(IF(I250&gt;0,I250,1),Preise!$A$3:$B$27,2,FALSE)</f>
        <v>84.375</v>
      </c>
    </row>
    <row r="251" spans="1:38" s="3" customFormat="1" ht="13.5" customHeight="1" outlineLevel="1" x14ac:dyDescent="0.2">
      <c r="A251" s="345">
        <v>1310</v>
      </c>
      <c r="B251" s="561">
        <v>1310</v>
      </c>
      <c r="C251" s="413" t="str">
        <f>VLOOKUP(B251,Gegenstände!$A308:$B933,2,FALSE)</f>
        <v>Weichleder-Stiefel</v>
      </c>
      <c r="D251" s="562">
        <f>VLOOKUP(B251,Gegenstände!$A308:$D933,4,FALSE)</f>
        <v>5</v>
      </c>
      <c r="E251" s="563">
        <v>31</v>
      </c>
      <c r="F251" s="334">
        <v>180</v>
      </c>
      <c r="G251" s="335">
        <v>1</v>
      </c>
      <c r="H251" s="565">
        <v>61</v>
      </c>
      <c r="I251" s="335">
        <v>4</v>
      </c>
      <c r="J251" s="566"/>
      <c r="K251" s="335">
        <v>7</v>
      </c>
      <c r="L251" s="334" t="s">
        <v>163</v>
      </c>
      <c r="M251" s="567">
        <v>5</v>
      </c>
      <c r="N251" s="568" t="s">
        <v>198</v>
      </c>
      <c r="O251" s="567"/>
      <c r="P251" s="568"/>
      <c r="Q251" s="567"/>
      <c r="R251" s="568"/>
      <c r="S251" s="569"/>
      <c r="T251" s="570"/>
      <c r="U251" s="471">
        <f>VLOOKUP(D251,Preise!$A$3:$C$27,3)</f>
        <v>1.7490062499999994</v>
      </c>
      <c r="V251" s="558">
        <f>0.15*W251</f>
        <v>1311.7546874999994</v>
      </c>
      <c r="W251" s="559">
        <f t="shared" si="99"/>
        <v>8745.0312499999964</v>
      </c>
      <c r="X251" s="472">
        <f t="shared" si="100"/>
        <v>1300</v>
      </c>
      <c r="Y251" s="473">
        <f t="shared" si="101"/>
        <v>1300</v>
      </c>
      <c r="Z251" s="474">
        <f>IF(ISERROR(VLOOKUP(L251,Gegenstände!$B$2:$N$2026,13,FALSE)),0,VLOOKUP(L251,Gegenstände!$B$2:$N$2026,13,FALSE))</f>
        <v>60</v>
      </c>
      <c r="AA251" s="142">
        <f>IF(ISERROR(VLOOKUP(N251,Gegenstände!$B$2:$N$2026,13,FALSE)),0,VLOOKUP(N251,Gegenstände!$B$2:$N$2026,13,FALSE))</f>
        <v>80</v>
      </c>
      <c r="AB251" s="142">
        <f>IF(ISERROR(VLOOKUP(P251,Gegenstände!$B$2:$N$2026,13,FALSE)),0,VLOOKUP(P251,Gegenstände!$B$2:$N$2026,13,FALSE))</f>
        <v>0</v>
      </c>
      <c r="AC251" s="142">
        <f>IF(ISERROR(VLOOKUP(R251,Gegenstände!$B$2:$N$2026,13,FALSE)),0,VLOOKUP(R251,Gegenstände!$B$2:$N$2026,13,FALSE))</f>
        <v>0</v>
      </c>
      <c r="AD251" s="142"/>
      <c r="AE251" s="475">
        <f t="shared" si="102"/>
        <v>420</v>
      </c>
      <c r="AF251" s="476">
        <f t="shared" si="103"/>
        <v>400</v>
      </c>
      <c r="AG251" s="128">
        <f t="shared" si="96"/>
        <v>0.32307692307692309</v>
      </c>
      <c r="AH251" s="128">
        <f t="shared" si="97"/>
        <v>0.30769230769230771</v>
      </c>
      <c r="AI251" s="129">
        <f t="shared" si="98"/>
        <v>0.63076923076923075</v>
      </c>
      <c r="AJ251" s="426">
        <f t="shared" si="104"/>
        <v>480</v>
      </c>
      <c r="AK251" s="131">
        <f t="shared" si="89"/>
        <v>160</v>
      </c>
      <c r="AL251" s="477">
        <f>AK251/VLOOKUP(IF(I251&gt;0,I251,1),Preise!$A$3:$B$27,2,FALSE)</f>
        <v>100.00000000000001</v>
      </c>
    </row>
    <row r="252" spans="1:38" s="3" customFormat="1" ht="13.5" customHeight="1" outlineLevel="1" x14ac:dyDescent="0.2">
      <c r="A252" s="5">
        <v>1311</v>
      </c>
      <c r="B252" s="412">
        <v>1311</v>
      </c>
      <c r="C252" s="132" t="str">
        <f>VLOOKUP(B252,Gegenstände!$A309:$B934,2,FALSE)</f>
        <v>Leder-Haube</v>
      </c>
      <c r="D252" s="133">
        <f>VLOOKUP(B252,Gegenstände!$A309:$D934,4,FALSE)</f>
        <v>6</v>
      </c>
      <c r="E252" s="468">
        <v>31</v>
      </c>
      <c r="F252" s="3">
        <v>240</v>
      </c>
      <c r="G252" s="54">
        <v>2</v>
      </c>
      <c r="H252" s="469">
        <v>61</v>
      </c>
      <c r="I252" s="54">
        <v>5</v>
      </c>
      <c r="J252" s="470"/>
      <c r="K252" s="54">
        <v>6</v>
      </c>
      <c r="L252" s="3" t="s">
        <v>164</v>
      </c>
      <c r="M252" s="85">
        <v>8</v>
      </c>
      <c r="N252" s="83" t="s">
        <v>198</v>
      </c>
      <c r="O252" s="85"/>
      <c r="P252" s="83"/>
      <c r="Q252" s="85"/>
      <c r="R252" s="83"/>
      <c r="S252" s="170"/>
      <c r="T252" s="170"/>
      <c r="U252" s="471">
        <f>VLOOKUP(D252,Preise!$A$3:$C$27,3)</f>
        <v>2.0113571874999994</v>
      </c>
      <c r="V252" s="523">
        <f>0.2*W252</f>
        <v>2011.3571874999996</v>
      </c>
      <c r="W252" s="131">
        <f t="shared" si="99"/>
        <v>10056.785937499997</v>
      </c>
      <c r="X252" s="557">
        <f t="shared" si="100"/>
        <v>2000</v>
      </c>
      <c r="Y252" s="473">
        <f t="shared" si="101"/>
        <v>2000</v>
      </c>
      <c r="Z252" s="474">
        <f>IF(ISERROR(VLOOKUP(L252,Gegenstände!$B$2:$N$2026,13,FALSE)),0,VLOOKUP(L252,Gegenstände!$B$2:$N$2026,13,FALSE))</f>
        <v>120</v>
      </c>
      <c r="AA252" s="142">
        <f>IF(ISERROR(VLOOKUP(N252,Gegenstände!$B$2:$N$2026,13,FALSE)),0,VLOOKUP(N252,Gegenstände!$B$2:$N$2026,13,FALSE))</f>
        <v>80</v>
      </c>
      <c r="AB252" s="142">
        <f>IF(ISERROR(VLOOKUP(P252,Gegenstände!$B$2:$N$2026,13,FALSE)),0,VLOOKUP(P252,Gegenstände!$B$2:$N$2026,13,FALSE))</f>
        <v>0</v>
      </c>
      <c r="AC252" s="142">
        <f>IF(ISERROR(VLOOKUP(R252,Gegenstände!$B$2:$N$2026,13,FALSE)),0,VLOOKUP(R252,Gegenstände!$B$2:$N$2026,13,FALSE))</f>
        <v>0</v>
      </c>
      <c r="AD252" s="142"/>
      <c r="AE252" s="475">
        <f t="shared" si="102"/>
        <v>720</v>
      </c>
      <c r="AF252" s="476">
        <f t="shared" si="103"/>
        <v>640</v>
      </c>
      <c r="AG252" s="128">
        <f t="shared" si="96"/>
        <v>0.36</v>
      </c>
      <c r="AH252" s="128">
        <f t="shared" si="97"/>
        <v>0.32</v>
      </c>
      <c r="AI252" s="129">
        <f t="shared" si="98"/>
        <v>0.68</v>
      </c>
      <c r="AJ252" s="426">
        <f t="shared" si="104"/>
        <v>640</v>
      </c>
      <c r="AK252" s="131">
        <f t="shared" si="89"/>
        <v>160</v>
      </c>
      <c r="AL252" s="477">
        <f>AK252/VLOOKUP(IF(I252&gt;0,I252,1),Preise!$A$3:$B$27,2,FALSE)</f>
        <v>88.8888888888889</v>
      </c>
    </row>
    <row r="253" spans="1:38" s="3" customFormat="1" ht="13.5" customHeight="1" outlineLevel="1" x14ac:dyDescent="0.2">
      <c r="A253" s="5">
        <v>1312</v>
      </c>
      <c r="B253" s="412">
        <v>1312</v>
      </c>
      <c r="C253" s="132" t="str">
        <f>VLOOKUP(B253,Gegenstände!$A310:$B935,2,FALSE)</f>
        <v>Leder-Wappenrock</v>
      </c>
      <c r="D253" s="133">
        <f>VLOOKUP(B253,Gegenstände!$A310:$D935,4,FALSE)</f>
        <v>6</v>
      </c>
      <c r="E253" s="468">
        <v>31</v>
      </c>
      <c r="F253" s="3">
        <v>360</v>
      </c>
      <c r="G253" s="54">
        <v>2</v>
      </c>
      <c r="H253" s="469">
        <v>61</v>
      </c>
      <c r="I253" s="54">
        <v>5</v>
      </c>
      <c r="J253" s="470"/>
      <c r="K253" s="54">
        <v>8</v>
      </c>
      <c r="L253" s="3" t="s">
        <v>164</v>
      </c>
      <c r="M253" s="85">
        <v>12</v>
      </c>
      <c r="N253" s="83" t="s">
        <v>198</v>
      </c>
      <c r="O253" s="85"/>
      <c r="P253" s="84"/>
      <c r="Q253" s="85"/>
      <c r="R253" s="84"/>
      <c r="S253" s="418"/>
      <c r="T253" s="418"/>
      <c r="U253" s="471">
        <f>VLOOKUP(D253,Preise!$A$3:$C$27,3)</f>
        <v>2.0113571874999994</v>
      </c>
      <c r="V253" s="523">
        <f>0.3*W253</f>
        <v>3017.0357812499992</v>
      </c>
      <c r="W253" s="131">
        <f t="shared" si="99"/>
        <v>10056.785937499997</v>
      </c>
      <c r="X253" s="472">
        <f t="shared" si="100"/>
        <v>3000</v>
      </c>
      <c r="Y253" s="473">
        <f t="shared" si="101"/>
        <v>3000</v>
      </c>
      <c r="Z253" s="474">
        <f>IF(ISERROR(VLOOKUP(L253,Gegenstände!$B$2:$N$2026,13,FALSE)),0,VLOOKUP(L253,Gegenstände!$B$2:$N$2026,13,FALSE))</f>
        <v>120</v>
      </c>
      <c r="AA253" s="142">
        <f>IF(ISERROR(VLOOKUP(N253,Gegenstände!$B$2:$N$2026,13,FALSE)),0,VLOOKUP(N253,Gegenstände!$B$2:$N$2026,13,FALSE))</f>
        <v>80</v>
      </c>
      <c r="AB253" s="142">
        <f>IF(ISERROR(VLOOKUP(P253,Gegenstände!$B$2:$N$2026,13,FALSE)),0,VLOOKUP(P253,Gegenstände!$B$2:$N$2026,13,FALSE))</f>
        <v>0</v>
      </c>
      <c r="AC253" s="142">
        <f>IF(ISERROR(VLOOKUP(R253,Gegenstände!$B$2:$N$2026,13,FALSE)),0,VLOOKUP(R253,Gegenstände!$B$2:$N$2026,13,FALSE))</f>
        <v>0</v>
      </c>
      <c r="AD253" s="142"/>
      <c r="AE253" s="475">
        <f t="shared" si="102"/>
        <v>960</v>
      </c>
      <c r="AF253" s="476">
        <f t="shared" si="103"/>
        <v>960</v>
      </c>
      <c r="AG253" s="128">
        <f t="shared" si="96"/>
        <v>0.32</v>
      </c>
      <c r="AH253" s="128">
        <f t="shared" si="97"/>
        <v>0.32</v>
      </c>
      <c r="AI253" s="129">
        <f t="shared" si="98"/>
        <v>0.64</v>
      </c>
      <c r="AJ253" s="426">
        <f t="shared" si="104"/>
        <v>1080</v>
      </c>
      <c r="AK253" s="131">
        <f t="shared" si="89"/>
        <v>180</v>
      </c>
      <c r="AL253" s="477">
        <f>AK253/VLOOKUP(IF(I253&gt;0,I253,1),Preise!$A$3:$B$27,2,FALSE)</f>
        <v>100.00000000000001</v>
      </c>
    </row>
    <row r="254" spans="1:38" s="3" customFormat="1" ht="13.5" customHeight="1" outlineLevel="1" x14ac:dyDescent="0.2">
      <c r="A254" s="5">
        <v>1313</v>
      </c>
      <c r="B254" s="412">
        <v>1313</v>
      </c>
      <c r="C254" s="132" t="str">
        <f>VLOOKUP(B254,Gegenstände!$A311:$B936,2,FALSE)</f>
        <v>Leder-Handschuhe</v>
      </c>
      <c r="D254" s="133">
        <f>VLOOKUP(B254,Gegenstände!$A311:$D936,4,FALSE)</f>
        <v>7</v>
      </c>
      <c r="E254" s="468">
        <v>31</v>
      </c>
      <c r="F254" s="3">
        <v>180</v>
      </c>
      <c r="G254" s="54">
        <v>2</v>
      </c>
      <c r="H254" s="469">
        <v>61</v>
      </c>
      <c r="I254" s="54">
        <v>6</v>
      </c>
      <c r="J254" s="470"/>
      <c r="K254" s="54">
        <v>5</v>
      </c>
      <c r="L254" s="3" t="s">
        <v>164</v>
      </c>
      <c r="M254" s="85">
        <v>7</v>
      </c>
      <c r="N254" s="83" t="s">
        <v>198</v>
      </c>
      <c r="O254" s="85"/>
      <c r="P254" s="84"/>
      <c r="Q254" s="85"/>
      <c r="R254" s="84"/>
      <c r="S254" s="418"/>
      <c r="T254" s="418"/>
      <c r="U254" s="471">
        <f>VLOOKUP(D254,Preise!$A$3:$C$27,3)</f>
        <v>2.3130607656249991</v>
      </c>
      <c r="V254" s="523">
        <f>0.15*W254</f>
        <v>1734.7955742187494</v>
      </c>
      <c r="W254" s="131">
        <f t="shared" si="99"/>
        <v>11565.303828124996</v>
      </c>
      <c r="X254" s="472">
        <f t="shared" si="100"/>
        <v>1700</v>
      </c>
      <c r="Y254" s="473">
        <f t="shared" si="101"/>
        <v>1700</v>
      </c>
      <c r="Z254" s="474">
        <f>IF(ISERROR(VLOOKUP(L254,Gegenstände!$B$2:$N$2026,13,FALSE)),0,VLOOKUP(L254,Gegenstände!$B$2:$N$2026,13,FALSE))</f>
        <v>120</v>
      </c>
      <c r="AA254" s="142">
        <f>IF(ISERROR(VLOOKUP(N254,Gegenstände!$B$2:$N$2026,13,FALSE)),0,VLOOKUP(N254,Gegenstände!$B$2:$N$2026,13,FALSE))</f>
        <v>80</v>
      </c>
      <c r="AB254" s="142">
        <f>IF(ISERROR(VLOOKUP(P254,Gegenstände!$B$2:$N$2026,13,FALSE)),0,VLOOKUP(P254,Gegenstände!$B$2:$N$2026,13,FALSE))</f>
        <v>0</v>
      </c>
      <c r="AC254" s="142">
        <f>IF(ISERROR(VLOOKUP(R254,Gegenstände!$B$2:$N$2026,13,FALSE)),0,VLOOKUP(R254,Gegenstände!$B$2:$N$2026,13,FALSE))</f>
        <v>0</v>
      </c>
      <c r="AD254" s="142"/>
      <c r="AE254" s="475">
        <f t="shared" si="102"/>
        <v>600</v>
      </c>
      <c r="AF254" s="476">
        <f t="shared" si="103"/>
        <v>560</v>
      </c>
      <c r="AG254" s="128">
        <f t="shared" si="96"/>
        <v>0.35294117647058826</v>
      </c>
      <c r="AH254" s="128">
        <f t="shared" si="97"/>
        <v>0.32941176470588235</v>
      </c>
      <c r="AI254" s="129">
        <f t="shared" si="98"/>
        <v>0.68235294117647061</v>
      </c>
      <c r="AJ254" s="426">
        <f t="shared" si="104"/>
        <v>540</v>
      </c>
      <c r="AK254" s="131">
        <f t="shared" si="89"/>
        <v>180</v>
      </c>
      <c r="AL254" s="477">
        <f>AK254/VLOOKUP(IF(I254&gt;0,I254,1),Preise!$A$3:$B$27,2,FALSE)</f>
        <v>90.000000000000014</v>
      </c>
    </row>
    <row r="255" spans="1:38" s="3" customFormat="1" ht="13.5" customHeight="1" outlineLevel="1" x14ac:dyDescent="0.2">
      <c r="A255" s="5">
        <v>1314</v>
      </c>
      <c r="B255" s="412">
        <v>1314</v>
      </c>
      <c r="C255" s="132" t="str">
        <f>VLOOKUP(B255,Gegenstände!$A312:$B937,2,FALSE)</f>
        <v>Leder-Hose</v>
      </c>
      <c r="D255" s="133">
        <f>VLOOKUP(B255,Gegenstände!$A312:$D937,4,FALSE)</f>
        <v>7</v>
      </c>
      <c r="E255" s="468">
        <v>31</v>
      </c>
      <c r="F255" s="3">
        <v>240</v>
      </c>
      <c r="G255" s="54">
        <v>2</v>
      </c>
      <c r="H255" s="469">
        <v>61</v>
      </c>
      <c r="I255" s="54">
        <v>6</v>
      </c>
      <c r="J255" s="470"/>
      <c r="K255" s="54">
        <v>6</v>
      </c>
      <c r="L255" s="3" t="s">
        <v>164</v>
      </c>
      <c r="M255" s="85">
        <v>9</v>
      </c>
      <c r="N255" s="83" t="s">
        <v>198</v>
      </c>
      <c r="O255" s="85"/>
      <c r="P255" s="84"/>
      <c r="Q255" s="85"/>
      <c r="R255" s="84"/>
      <c r="S255" s="418"/>
      <c r="T255" s="418"/>
      <c r="U255" s="471">
        <f>VLOOKUP(D255,Preise!$A$3:$C$27,3)</f>
        <v>2.3130607656249991</v>
      </c>
      <c r="V255" s="523">
        <f>0.2*W255</f>
        <v>2313.060765624999</v>
      </c>
      <c r="W255" s="131">
        <f t="shared" si="99"/>
        <v>11565.303828124996</v>
      </c>
      <c r="X255" s="472">
        <f t="shared" si="100"/>
        <v>2300</v>
      </c>
      <c r="Y255" s="473">
        <f t="shared" si="101"/>
        <v>2300</v>
      </c>
      <c r="Z255" s="474">
        <f>IF(ISERROR(VLOOKUP(L255,Gegenstände!$B$2:$N$2026,13,FALSE)),0,VLOOKUP(L255,Gegenstände!$B$2:$N$2026,13,FALSE))</f>
        <v>120</v>
      </c>
      <c r="AA255" s="142">
        <f>IF(ISERROR(VLOOKUP(N255,Gegenstände!$B$2:$N$2026,13,FALSE)),0,VLOOKUP(N255,Gegenstände!$B$2:$N$2026,13,FALSE))</f>
        <v>80</v>
      </c>
      <c r="AB255" s="142">
        <f>IF(ISERROR(VLOOKUP(P255,Gegenstände!$B$2:$N$2026,13,FALSE)),0,VLOOKUP(P255,Gegenstände!$B$2:$N$2026,13,FALSE))</f>
        <v>0</v>
      </c>
      <c r="AC255" s="142">
        <f>IF(ISERROR(VLOOKUP(R255,Gegenstände!$B$2:$N$2026,13,FALSE)),0,VLOOKUP(R255,Gegenstände!$B$2:$N$2026,13,FALSE))</f>
        <v>0</v>
      </c>
      <c r="AD255" s="142"/>
      <c r="AE255" s="475">
        <f t="shared" si="102"/>
        <v>720</v>
      </c>
      <c r="AF255" s="476">
        <f t="shared" si="103"/>
        <v>720</v>
      </c>
      <c r="AG255" s="128">
        <f t="shared" si="96"/>
        <v>0.31304347826086959</v>
      </c>
      <c r="AH255" s="128">
        <f t="shared" si="97"/>
        <v>0.31304347826086959</v>
      </c>
      <c r="AI255" s="129">
        <f t="shared" si="98"/>
        <v>0.62608695652173918</v>
      </c>
      <c r="AJ255" s="426">
        <f t="shared" si="104"/>
        <v>860</v>
      </c>
      <c r="AK255" s="131">
        <f t="shared" si="89"/>
        <v>215</v>
      </c>
      <c r="AL255" s="477">
        <f>AK255/VLOOKUP(IF(I255&gt;0,I255,1),Preise!$A$3:$B$27,2,FALSE)</f>
        <v>107.50000000000001</v>
      </c>
    </row>
    <row r="256" spans="1:38" s="3" customFormat="1" ht="13.5" customHeight="1" outlineLevel="1" x14ac:dyDescent="0.2">
      <c r="A256" s="5">
        <v>1315</v>
      </c>
      <c r="B256" s="412">
        <v>1315</v>
      </c>
      <c r="C256" s="132" t="str">
        <f>VLOOKUP(B256,Gegenstände!$A313:$B938,2,FALSE)</f>
        <v>Leder-Schuhe</v>
      </c>
      <c r="D256" s="133">
        <f>VLOOKUP(B256,Gegenstände!$A313:$D938,4,FALSE)</f>
        <v>7</v>
      </c>
      <c r="E256" s="468">
        <v>31</v>
      </c>
      <c r="F256" s="3">
        <v>180</v>
      </c>
      <c r="G256" s="54">
        <v>2</v>
      </c>
      <c r="H256" s="469">
        <v>61</v>
      </c>
      <c r="I256" s="54">
        <v>6</v>
      </c>
      <c r="J256" s="470"/>
      <c r="K256" s="54">
        <v>5</v>
      </c>
      <c r="L256" s="3" t="s">
        <v>164</v>
      </c>
      <c r="M256" s="85">
        <v>7</v>
      </c>
      <c r="N256" s="83" t="s">
        <v>198</v>
      </c>
      <c r="O256" s="85"/>
      <c r="P256" s="84"/>
      <c r="Q256" s="85"/>
      <c r="R256" s="84"/>
      <c r="S256" s="418"/>
      <c r="T256" s="418"/>
      <c r="U256" s="471">
        <f>VLOOKUP(D256,Preise!$A$3:$C$27,3)</f>
        <v>2.3130607656249991</v>
      </c>
      <c r="V256" s="558">
        <f>0.15*W256</f>
        <v>1734.7955742187494</v>
      </c>
      <c r="W256" s="559">
        <f t="shared" si="99"/>
        <v>11565.303828124996</v>
      </c>
      <c r="X256" s="560">
        <f t="shared" si="100"/>
        <v>1700</v>
      </c>
      <c r="Y256" s="473">
        <f t="shared" si="101"/>
        <v>1700</v>
      </c>
      <c r="Z256" s="474">
        <f>IF(ISERROR(VLOOKUP(L256,Gegenstände!$B$2:$N$2026,13,FALSE)),0,VLOOKUP(L256,Gegenstände!$B$2:$N$2026,13,FALSE))</f>
        <v>120</v>
      </c>
      <c r="AA256" s="142">
        <f>IF(ISERROR(VLOOKUP(N256,Gegenstände!$B$2:$N$2026,13,FALSE)),0,VLOOKUP(N256,Gegenstände!$B$2:$N$2026,13,FALSE))</f>
        <v>80</v>
      </c>
      <c r="AB256" s="142">
        <f>IF(ISERROR(VLOOKUP(P256,Gegenstände!$B$2:$N$2026,13,FALSE)),0,VLOOKUP(P256,Gegenstände!$B$2:$N$2026,13,FALSE))</f>
        <v>0</v>
      </c>
      <c r="AC256" s="142">
        <f>IF(ISERROR(VLOOKUP(R256,Gegenstände!$B$2:$N$2026,13,FALSE)),0,VLOOKUP(R256,Gegenstände!$B$2:$N$2026,13,FALSE))</f>
        <v>0</v>
      </c>
      <c r="AD256" s="142"/>
      <c r="AE256" s="475">
        <f t="shared" si="102"/>
        <v>600</v>
      </c>
      <c r="AF256" s="476">
        <f t="shared" si="103"/>
        <v>560</v>
      </c>
      <c r="AG256" s="128">
        <f t="shared" si="96"/>
        <v>0.35294117647058826</v>
      </c>
      <c r="AH256" s="128">
        <f t="shared" si="97"/>
        <v>0.32941176470588235</v>
      </c>
      <c r="AI256" s="129">
        <f t="shared" si="98"/>
        <v>0.68235294117647061</v>
      </c>
      <c r="AJ256" s="426">
        <f t="shared" si="104"/>
        <v>540</v>
      </c>
      <c r="AK256" s="131">
        <f t="shared" si="89"/>
        <v>180</v>
      </c>
      <c r="AL256" s="477">
        <f>AK256/VLOOKUP(IF(I256&gt;0,I256,1),Preise!$A$3:$B$27,2,FALSE)</f>
        <v>90.000000000000014</v>
      </c>
    </row>
    <row r="257" spans="1:38" s="3" customFormat="1" ht="13.5" customHeight="1" outlineLevel="1" x14ac:dyDescent="0.2">
      <c r="A257" s="5">
        <v>1316</v>
      </c>
      <c r="B257" s="412">
        <v>1316</v>
      </c>
      <c r="C257" s="132" t="str">
        <f>VLOOKUP(B257,Gegenstände!$A314:$B939,2,FALSE)</f>
        <v>Leder-Helm</v>
      </c>
      <c r="D257" s="133">
        <f>VLOOKUP(B257,Gegenstände!$A314:$D939,4,FALSE)</f>
        <v>9</v>
      </c>
      <c r="E257" s="468">
        <v>31</v>
      </c>
      <c r="F257" s="3">
        <v>240</v>
      </c>
      <c r="G257" s="54">
        <v>2</v>
      </c>
      <c r="H257" s="469">
        <v>61</v>
      </c>
      <c r="I257" s="54">
        <v>8</v>
      </c>
      <c r="J257" s="470"/>
      <c r="K257" s="54">
        <v>8</v>
      </c>
      <c r="L257" s="3" t="s">
        <v>164</v>
      </c>
      <c r="M257" s="85">
        <v>12</v>
      </c>
      <c r="N257" s="83" t="s">
        <v>198</v>
      </c>
      <c r="O257" s="85"/>
      <c r="P257" s="84"/>
      <c r="Q257" s="85"/>
      <c r="R257" s="84"/>
      <c r="S257" s="418"/>
      <c r="T257" s="418"/>
      <c r="U257" s="471">
        <f>VLOOKUP(D257,Preise!$A$3:$C$27,3)</f>
        <v>3.0590228625390607</v>
      </c>
      <c r="V257" s="523">
        <f>0.2*W257</f>
        <v>3059.022862539061</v>
      </c>
      <c r="W257" s="131">
        <f t="shared" si="99"/>
        <v>15295.114312695303</v>
      </c>
      <c r="X257" s="472">
        <f t="shared" si="100"/>
        <v>3100</v>
      </c>
      <c r="Y257" s="473">
        <f t="shared" si="101"/>
        <v>3100</v>
      </c>
      <c r="Z257" s="474">
        <f>IF(ISERROR(VLOOKUP(L257,Gegenstände!$B$2:$N$2026,13,FALSE)),0,VLOOKUP(L257,Gegenstände!$B$2:$N$2026,13,FALSE))</f>
        <v>120</v>
      </c>
      <c r="AA257" s="142">
        <f>IF(ISERROR(VLOOKUP(N257,Gegenstände!$B$2:$N$2026,13,FALSE)),0,VLOOKUP(N257,Gegenstände!$B$2:$N$2026,13,FALSE))</f>
        <v>80</v>
      </c>
      <c r="AB257" s="142">
        <f>IF(ISERROR(VLOOKUP(P257,Gegenstände!$B$2:$N$2026,13,FALSE)),0,VLOOKUP(P257,Gegenstände!$B$2:$N$2026,13,FALSE))</f>
        <v>0</v>
      </c>
      <c r="AC257" s="142">
        <f>IF(ISERROR(VLOOKUP(R257,Gegenstände!$B$2:$N$2026,13,FALSE)),0,VLOOKUP(R257,Gegenstände!$B$2:$N$2026,13,FALSE))</f>
        <v>0</v>
      </c>
      <c r="AD257" s="142"/>
      <c r="AE257" s="475">
        <f t="shared" si="102"/>
        <v>960</v>
      </c>
      <c r="AF257" s="476">
        <f t="shared" si="103"/>
        <v>960</v>
      </c>
      <c r="AG257" s="128">
        <f t="shared" si="96"/>
        <v>0.30967741935483872</v>
      </c>
      <c r="AH257" s="128">
        <f t="shared" si="97"/>
        <v>0.30967741935483872</v>
      </c>
      <c r="AI257" s="129">
        <f t="shared" si="98"/>
        <v>0.61935483870967745</v>
      </c>
      <c r="AJ257" s="426">
        <f t="shared" si="104"/>
        <v>1180</v>
      </c>
      <c r="AK257" s="131">
        <f t="shared" si="89"/>
        <v>295</v>
      </c>
      <c r="AL257" s="477">
        <f>AK257/VLOOKUP(IF(I257&gt;0,I257,1),Preise!$A$3:$B$27,2,FALSE)</f>
        <v>122.91666666666667</v>
      </c>
    </row>
    <row r="258" spans="1:38" s="3" customFormat="1" ht="13.5" customHeight="1" outlineLevel="1" x14ac:dyDescent="0.2">
      <c r="A258" s="5">
        <v>1317</v>
      </c>
      <c r="B258" s="412">
        <v>1317</v>
      </c>
      <c r="C258" s="132" t="str">
        <f>VLOOKUP(B258,Gegenstände!$A315:$B940,2,FALSE)</f>
        <v>Leder-Harnisch</v>
      </c>
      <c r="D258" s="133">
        <f>VLOOKUP(B258,Gegenstände!$A315:$D940,4,FALSE)</f>
        <v>9</v>
      </c>
      <c r="E258" s="468">
        <v>31</v>
      </c>
      <c r="F258" s="3">
        <v>360</v>
      </c>
      <c r="G258" s="54">
        <v>2</v>
      </c>
      <c r="H258" s="469">
        <v>61</v>
      </c>
      <c r="I258" s="54">
        <v>8</v>
      </c>
      <c r="J258" s="470"/>
      <c r="K258" s="54">
        <v>12</v>
      </c>
      <c r="L258" s="3" t="s">
        <v>164</v>
      </c>
      <c r="M258" s="85">
        <v>18</v>
      </c>
      <c r="N258" s="83" t="s">
        <v>198</v>
      </c>
      <c r="O258" s="85"/>
      <c r="P258" s="84"/>
      <c r="Q258" s="85"/>
      <c r="R258" s="84"/>
      <c r="S258" s="418"/>
      <c r="T258" s="418"/>
      <c r="U258" s="471">
        <f>VLOOKUP(D258,Preise!$A$3:$C$27,3)</f>
        <v>3.0590228625390607</v>
      </c>
      <c r="V258" s="523">
        <f>0.3*W258</f>
        <v>4588.5342938085905</v>
      </c>
      <c r="W258" s="131">
        <f t="shared" si="99"/>
        <v>15295.114312695303</v>
      </c>
      <c r="X258" s="472">
        <f t="shared" si="100"/>
        <v>4600</v>
      </c>
      <c r="Y258" s="473">
        <f t="shared" si="101"/>
        <v>4600</v>
      </c>
      <c r="Z258" s="474">
        <f>IF(ISERROR(VLOOKUP(L258,Gegenstände!$B$2:$N$2026,13,FALSE)),0,VLOOKUP(L258,Gegenstände!$B$2:$N$2026,13,FALSE))</f>
        <v>120</v>
      </c>
      <c r="AA258" s="142">
        <f>IF(ISERROR(VLOOKUP(N258,Gegenstände!$B$2:$N$2026,13,FALSE)),0,VLOOKUP(N258,Gegenstände!$B$2:$N$2026,13,FALSE))</f>
        <v>80</v>
      </c>
      <c r="AB258" s="142">
        <f>IF(ISERROR(VLOOKUP(P258,Gegenstände!$B$2:$N$2026,13,FALSE)),0,VLOOKUP(P258,Gegenstände!$B$2:$N$2026,13,FALSE))</f>
        <v>0</v>
      </c>
      <c r="AC258" s="142">
        <f>IF(ISERROR(VLOOKUP(R258,Gegenstände!$B$2:$N$2026,13,FALSE)),0,VLOOKUP(R258,Gegenstände!$B$2:$N$2026,13,FALSE))</f>
        <v>0</v>
      </c>
      <c r="AD258" s="142"/>
      <c r="AE258" s="475">
        <f t="shared" si="102"/>
        <v>1440</v>
      </c>
      <c r="AF258" s="476">
        <f t="shared" si="103"/>
        <v>1440</v>
      </c>
      <c r="AG258" s="128">
        <f t="shared" si="96"/>
        <v>0.31304347826086959</v>
      </c>
      <c r="AH258" s="128">
        <f t="shared" si="97"/>
        <v>0.31304347826086959</v>
      </c>
      <c r="AI258" s="129">
        <f t="shared" si="98"/>
        <v>0.62608695652173918</v>
      </c>
      <c r="AJ258" s="426">
        <f t="shared" si="104"/>
        <v>1720</v>
      </c>
      <c r="AK258" s="131">
        <f t="shared" si="89"/>
        <v>286.66666666666669</v>
      </c>
      <c r="AL258" s="477">
        <f>AK258/VLOOKUP(IF(I258&gt;0,I258,1),Preise!$A$3:$B$27,2,FALSE)</f>
        <v>119.44444444444446</v>
      </c>
    </row>
    <row r="259" spans="1:38" s="3" customFormat="1" ht="13.5" customHeight="1" outlineLevel="1" x14ac:dyDescent="0.2">
      <c r="A259" s="5">
        <v>1318</v>
      </c>
      <c r="B259" s="412">
        <v>1318</v>
      </c>
      <c r="C259" s="132" t="str">
        <f>VLOOKUP(B259,Gegenstände!$A316:$B941,2,FALSE)</f>
        <v>Leder-Stulpen</v>
      </c>
      <c r="D259" s="133">
        <f>VLOOKUP(B259,Gegenstände!$A316:$D941,4,FALSE)</f>
        <v>10</v>
      </c>
      <c r="E259" s="468">
        <v>31</v>
      </c>
      <c r="F259" s="3">
        <v>180</v>
      </c>
      <c r="G259" s="54">
        <v>2</v>
      </c>
      <c r="H259" s="469">
        <v>61</v>
      </c>
      <c r="I259" s="54">
        <v>9</v>
      </c>
      <c r="J259" s="470"/>
      <c r="K259" s="54">
        <v>7</v>
      </c>
      <c r="L259" s="3" t="s">
        <v>164</v>
      </c>
      <c r="M259" s="85">
        <v>10</v>
      </c>
      <c r="N259" s="83" t="s">
        <v>198</v>
      </c>
      <c r="O259" s="85"/>
      <c r="P259" s="84"/>
      <c r="Q259" s="85"/>
      <c r="R259" s="84"/>
      <c r="S259" s="418"/>
      <c r="T259" s="418"/>
      <c r="U259" s="471">
        <f>VLOOKUP(D259,Preise!$A$3:$C$27,3)</f>
        <v>3.5178762919199196</v>
      </c>
      <c r="V259" s="523">
        <f>0.15*W259</f>
        <v>2638.4072189399394</v>
      </c>
      <c r="W259" s="131">
        <f t="shared" si="99"/>
        <v>17589.381459599597</v>
      </c>
      <c r="X259" s="472">
        <f t="shared" si="100"/>
        <v>2600</v>
      </c>
      <c r="Y259" s="473">
        <f t="shared" si="101"/>
        <v>2600</v>
      </c>
      <c r="Z259" s="474">
        <f>IF(ISERROR(VLOOKUP(L259,Gegenstände!$B$2:$N$2026,13,FALSE)),0,VLOOKUP(L259,Gegenstände!$B$2:$N$2026,13,FALSE))</f>
        <v>120</v>
      </c>
      <c r="AA259" s="142">
        <f>IF(ISERROR(VLOOKUP(N259,Gegenstände!$B$2:$N$2026,13,FALSE)),0,VLOOKUP(N259,Gegenstände!$B$2:$N$2026,13,FALSE))</f>
        <v>80</v>
      </c>
      <c r="AB259" s="142">
        <f>IF(ISERROR(VLOOKUP(P259,Gegenstände!$B$2:$N$2026,13,FALSE)),0,VLOOKUP(P259,Gegenstände!$B$2:$N$2026,13,FALSE))</f>
        <v>0</v>
      </c>
      <c r="AC259" s="142">
        <f>IF(ISERROR(VLOOKUP(R259,Gegenstände!$B$2:$N$2026,13,FALSE)),0,VLOOKUP(R259,Gegenstände!$B$2:$N$2026,13,FALSE))</f>
        <v>0</v>
      </c>
      <c r="AD259" s="142"/>
      <c r="AE259" s="475">
        <f t="shared" si="102"/>
        <v>840</v>
      </c>
      <c r="AF259" s="476">
        <f t="shared" si="103"/>
        <v>800</v>
      </c>
      <c r="AG259" s="128">
        <f t="shared" si="96"/>
        <v>0.32307692307692309</v>
      </c>
      <c r="AH259" s="128">
        <f t="shared" si="97"/>
        <v>0.30769230769230771</v>
      </c>
      <c r="AI259" s="129">
        <f t="shared" si="98"/>
        <v>0.63076923076923075</v>
      </c>
      <c r="AJ259" s="426">
        <f t="shared" si="104"/>
        <v>960</v>
      </c>
      <c r="AK259" s="131">
        <f t="shared" si="89"/>
        <v>320</v>
      </c>
      <c r="AL259" s="477">
        <f>AK259/VLOOKUP(IF(I259&gt;0,I259,1),Preise!$A$3:$B$27,2,FALSE)</f>
        <v>123.07692307692307</v>
      </c>
    </row>
    <row r="260" spans="1:38" s="3" customFormat="1" ht="13.5" customHeight="1" outlineLevel="1" x14ac:dyDescent="0.2">
      <c r="A260" s="5">
        <v>1319</v>
      </c>
      <c r="B260" s="412">
        <v>1319</v>
      </c>
      <c r="C260" s="132" t="str">
        <f>VLOOKUP(B260,Gegenstände!$A317:$B942,2,FALSE)</f>
        <v>Leder-Beinlinge</v>
      </c>
      <c r="D260" s="133">
        <f>VLOOKUP(B260,Gegenstände!$A317:$D942,4,FALSE)</f>
        <v>10</v>
      </c>
      <c r="E260" s="468">
        <v>31</v>
      </c>
      <c r="F260" s="3">
        <v>240</v>
      </c>
      <c r="G260" s="54">
        <v>2</v>
      </c>
      <c r="H260" s="469">
        <v>61</v>
      </c>
      <c r="I260" s="54">
        <v>9</v>
      </c>
      <c r="J260" s="470"/>
      <c r="K260" s="54">
        <v>10</v>
      </c>
      <c r="L260" s="3" t="s">
        <v>164</v>
      </c>
      <c r="M260" s="85">
        <v>14</v>
      </c>
      <c r="N260" s="83" t="s">
        <v>198</v>
      </c>
      <c r="O260" s="85"/>
      <c r="P260" s="84"/>
      <c r="Q260" s="85"/>
      <c r="R260" s="84"/>
      <c r="S260" s="418"/>
      <c r="T260" s="418"/>
      <c r="U260" s="471">
        <f>VLOOKUP(D260,Preise!$A$3:$C$27,3)</f>
        <v>3.5178762919199196</v>
      </c>
      <c r="V260" s="523">
        <f>0.2*W260</f>
        <v>3517.8762919199198</v>
      </c>
      <c r="W260" s="131">
        <f t="shared" si="99"/>
        <v>17589.381459599597</v>
      </c>
      <c r="X260" s="472">
        <f t="shared" si="100"/>
        <v>3500</v>
      </c>
      <c r="Y260" s="473">
        <f t="shared" si="101"/>
        <v>3500</v>
      </c>
      <c r="Z260" s="474">
        <f>IF(ISERROR(VLOOKUP(L260,Gegenstände!$B$2:$N$2026,13,FALSE)),0,VLOOKUP(L260,Gegenstände!$B$2:$N$2026,13,FALSE))</f>
        <v>120</v>
      </c>
      <c r="AA260" s="142">
        <f>IF(ISERROR(VLOOKUP(N260,Gegenstände!$B$2:$N$2026,13,FALSE)),0,VLOOKUP(N260,Gegenstände!$B$2:$N$2026,13,FALSE))</f>
        <v>80</v>
      </c>
      <c r="AB260" s="142">
        <f>IF(ISERROR(VLOOKUP(P260,Gegenstände!$B$2:$N$2026,13,FALSE)),0,VLOOKUP(P260,Gegenstände!$B$2:$N$2026,13,FALSE))</f>
        <v>0</v>
      </c>
      <c r="AC260" s="142">
        <f>IF(ISERROR(VLOOKUP(R260,Gegenstände!$B$2:$N$2026,13,FALSE)),0,VLOOKUP(R260,Gegenstände!$B$2:$N$2026,13,FALSE))</f>
        <v>0</v>
      </c>
      <c r="AD260" s="142"/>
      <c r="AE260" s="475">
        <f t="shared" si="102"/>
        <v>1200</v>
      </c>
      <c r="AF260" s="476">
        <f t="shared" si="103"/>
        <v>1120</v>
      </c>
      <c r="AG260" s="128">
        <f t="shared" si="96"/>
        <v>0.34285714285714286</v>
      </c>
      <c r="AH260" s="128">
        <f t="shared" si="97"/>
        <v>0.32</v>
      </c>
      <c r="AI260" s="129">
        <f t="shared" si="98"/>
        <v>0.66285714285714281</v>
      </c>
      <c r="AJ260" s="426">
        <f t="shared" si="104"/>
        <v>1180</v>
      </c>
      <c r="AK260" s="131">
        <f t="shared" si="89"/>
        <v>295</v>
      </c>
      <c r="AL260" s="477">
        <f>AK260/VLOOKUP(IF(I260&gt;0,I260,1),Preise!$A$3:$B$27,2,FALSE)</f>
        <v>113.46153846153845</v>
      </c>
    </row>
    <row r="261" spans="1:38" s="3" customFormat="1" ht="13.5" customHeight="1" outlineLevel="1" x14ac:dyDescent="0.2">
      <c r="A261" s="345">
        <v>1320</v>
      </c>
      <c r="B261" s="561">
        <v>1320</v>
      </c>
      <c r="C261" s="413" t="str">
        <f>VLOOKUP(B261,Gegenstände!$A318:$B943,2,FALSE)</f>
        <v>Leder-Stiefel</v>
      </c>
      <c r="D261" s="562">
        <f>VLOOKUP(B261,Gegenstände!$A318:$D943,4,FALSE)</f>
        <v>10</v>
      </c>
      <c r="E261" s="563">
        <v>31</v>
      </c>
      <c r="F261" s="334">
        <v>180</v>
      </c>
      <c r="G261" s="335">
        <v>2</v>
      </c>
      <c r="H261" s="565">
        <v>61</v>
      </c>
      <c r="I261" s="335">
        <v>9</v>
      </c>
      <c r="J261" s="566"/>
      <c r="K261" s="335">
        <v>7</v>
      </c>
      <c r="L261" s="334" t="s">
        <v>164</v>
      </c>
      <c r="M261" s="567">
        <v>10</v>
      </c>
      <c r="N261" s="568" t="s">
        <v>198</v>
      </c>
      <c r="O261" s="567"/>
      <c r="P261" s="574"/>
      <c r="Q261" s="567"/>
      <c r="R261" s="574"/>
      <c r="S261" s="575"/>
      <c r="T261" s="576"/>
      <c r="U261" s="471">
        <f>VLOOKUP(D261,Preise!$A$3:$C$27,3)</f>
        <v>3.5178762919199196</v>
      </c>
      <c r="V261" s="558">
        <f>0.15*W261</f>
        <v>2638.4072189399394</v>
      </c>
      <c r="W261" s="559">
        <f t="shared" si="99"/>
        <v>17589.381459599597</v>
      </c>
      <c r="X261" s="472">
        <f t="shared" si="100"/>
        <v>2600</v>
      </c>
      <c r="Y261" s="473">
        <f t="shared" si="101"/>
        <v>2600</v>
      </c>
      <c r="Z261" s="474">
        <f>IF(ISERROR(VLOOKUP(L261,Gegenstände!$B$2:$N$2026,13,FALSE)),0,VLOOKUP(L261,Gegenstände!$B$2:$N$2026,13,FALSE))</f>
        <v>120</v>
      </c>
      <c r="AA261" s="142">
        <f>IF(ISERROR(VLOOKUP(N261,Gegenstände!$B$2:$N$2026,13,FALSE)),0,VLOOKUP(N261,Gegenstände!$B$2:$N$2026,13,FALSE))</f>
        <v>80</v>
      </c>
      <c r="AB261" s="142">
        <f>IF(ISERROR(VLOOKUP(P261,Gegenstände!$B$2:$N$2026,13,FALSE)),0,VLOOKUP(P261,Gegenstände!$B$2:$N$2026,13,FALSE))</f>
        <v>0</v>
      </c>
      <c r="AC261" s="142">
        <f>IF(ISERROR(VLOOKUP(R261,Gegenstände!$B$2:$N$2026,13,FALSE)),0,VLOOKUP(R261,Gegenstände!$B$2:$N$2026,13,FALSE))</f>
        <v>0</v>
      </c>
      <c r="AD261" s="142"/>
      <c r="AE261" s="475">
        <f t="shared" si="102"/>
        <v>840</v>
      </c>
      <c r="AF261" s="476">
        <f t="shared" si="103"/>
        <v>800</v>
      </c>
      <c r="AG261" s="128">
        <f t="shared" si="96"/>
        <v>0.32307692307692309</v>
      </c>
      <c r="AH261" s="128">
        <f t="shared" si="97"/>
        <v>0.30769230769230771</v>
      </c>
      <c r="AI261" s="129">
        <f t="shared" si="98"/>
        <v>0.63076923076923075</v>
      </c>
      <c r="AJ261" s="426">
        <f t="shared" si="104"/>
        <v>960</v>
      </c>
      <c r="AK261" s="131">
        <f t="shared" si="89"/>
        <v>320</v>
      </c>
      <c r="AL261" s="477">
        <f>AK261/VLOOKUP(IF(I261&gt;0,I261,1),Preise!$A$3:$B$27,2,FALSE)</f>
        <v>123.07692307692307</v>
      </c>
    </row>
    <row r="262" spans="1:38" s="3" customFormat="1" ht="13.5" customHeight="1" outlineLevel="1" x14ac:dyDescent="0.2">
      <c r="A262" s="5">
        <v>1321</v>
      </c>
      <c r="B262" s="412">
        <v>1321</v>
      </c>
      <c r="C262" s="132" t="str">
        <f>VLOOKUP(B262,Gegenstände!$A324:$B944,2,FALSE)</f>
        <v>Hartleder-Haube</v>
      </c>
      <c r="D262" s="133">
        <f>VLOOKUP(B262,Gegenstände!$A324:$D944,4,FALSE)</f>
        <v>11</v>
      </c>
      <c r="E262" s="468">
        <v>31</v>
      </c>
      <c r="F262" s="3">
        <v>240</v>
      </c>
      <c r="G262" s="54">
        <v>3</v>
      </c>
      <c r="H262" s="469">
        <v>61</v>
      </c>
      <c r="I262" s="54">
        <v>10</v>
      </c>
      <c r="J262" s="470"/>
      <c r="K262" s="54">
        <v>7</v>
      </c>
      <c r="L262" s="3" t="s">
        <v>165</v>
      </c>
      <c r="M262" s="85">
        <v>9</v>
      </c>
      <c r="N262" s="83" t="s">
        <v>198</v>
      </c>
      <c r="O262" s="85">
        <v>3</v>
      </c>
      <c r="P262" s="84" t="s">
        <v>200</v>
      </c>
      <c r="Q262" s="85"/>
      <c r="R262" s="84"/>
      <c r="S262" s="418"/>
      <c r="T262" s="418"/>
      <c r="U262" s="471">
        <f>VLOOKUP(D262,Preise!$A$3:$C$27,3)</f>
        <v>4.0455577357079076</v>
      </c>
      <c r="V262" s="523">
        <f>0.2*W262</f>
        <v>4045.5577357079078</v>
      </c>
      <c r="W262" s="131">
        <f t="shared" si="99"/>
        <v>20227.788678539539</v>
      </c>
      <c r="X262" s="557">
        <f t="shared" si="100"/>
        <v>4000</v>
      </c>
      <c r="Y262" s="473">
        <f t="shared" si="101"/>
        <v>4000</v>
      </c>
      <c r="Z262" s="474">
        <f>IF(ISERROR(VLOOKUP(L262,Gegenstände!$B$2:$N$2026,13,FALSE)),0,VLOOKUP(L262,Gegenstände!$B$2:$N$2026,13,FALSE))</f>
        <v>180</v>
      </c>
      <c r="AA262" s="142">
        <f>IF(ISERROR(VLOOKUP(N262,Gegenstände!$B$2:$N$2026,13,FALSE)),0,VLOOKUP(N262,Gegenstände!$B$2:$N$2026,13,FALSE))</f>
        <v>80</v>
      </c>
      <c r="AB262" s="142">
        <f>IF(ISERROR(VLOOKUP(P262,Gegenstände!$B$2:$N$2026,13,FALSE)),0,VLOOKUP(P262,Gegenstände!$B$2:$N$2026,13,FALSE))</f>
        <v>200</v>
      </c>
      <c r="AC262" s="142">
        <f>IF(ISERROR(VLOOKUP(R262,Gegenstände!$B$2:$N$2026,13,FALSE)),0,VLOOKUP(R262,Gegenstände!$B$2:$N$2026,13,FALSE))</f>
        <v>0</v>
      </c>
      <c r="AD262" s="142"/>
      <c r="AE262" s="475">
        <f t="shared" si="102"/>
        <v>1260</v>
      </c>
      <c r="AF262" s="476">
        <f t="shared" si="103"/>
        <v>1320</v>
      </c>
      <c r="AG262" s="128">
        <f t="shared" si="96"/>
        <v>0.315</v>
      </c>
      <c r="AH262" s="128">
        <f t="shared" si="97"/>
        <v>0.33</v>
      </c>
      <c r="AI262" s="129">
        <f t="shared" si="98"/>
        <v>0.64500000000000002</v>
      </c>
      <c r="AJ262" s="426">
        <f t="shared" si="104"/>
        <v>1420</v>
      </c>
      <c r="AK262" s="131">
        <f t="shared" si="89"/>
        <v>355</v>
      </c>
      <c r="AL262" s="477">
        <f>AK262/VLOOKUP(IF(I262&gt;0,I262,1),Preise!$A$3:$B$27,2,FALSE)</f>
        <v>126.78571428571428</v>
      </c>
    </row>
    <row r="263" spans="1:38" s="3" customFormat="1" ht="13.5" customHeight="1" outlineLevel="1" x14ac:dyDescent="0.2">
      <c r="A263" s="5">
        <v>1322</v>
      </c>
      <c r="B263" s="412">
        <v>1322</v>
      </c>
      <c r="C263" s="132" t="str">
        <f>VLOOKUP(B263,Gegenstände!$A325:$B945,2,FALSE)</f>
        <v>Hartleder-Wappenrock</v>
      </c>
      <c r="D263" s="133">
        <f>VLOOKUP(B263,Gegenstände!$A325:$D945,4,FALSE)</f>
        <v>11</v>
      </c>
      <c r="E263" s="468">
        <v>31</v>
      </c>
      <c r="F263" s="3">
        <v>360</v>
      </c>
      <c r="G263" s="54">
        <v>3</v>
      </c>
      <c r="H263" s="469">
        <v>61</v>
      </c>
      <c r="I263" s="54">
        <v>10</v>
      </c>
      <c r="J263" s="470"/>
      <c r="K263" s="54">
        <v>11</v>
      </c>
      <c r="L263" s="3" t="s">
        <v>165</v>
      </c>
      <c r="M263" s="85">
        <v>10</v>
      </c>
      <c r="N263" s="83" t="s">
        <v>198</v>
      </c>
      <c r="O263" s="85">
        <v>6</v>
      </c>
      <c r="P263" s="84" t="s">
        <v>200</v>
      </c>
      <c r="Q263" s="85"/>
      <c r="R263" s="84"/>
      <c r="S263" s="418"/>
      <c r="T263" s="418"/>
      <c r="U263" s="471">
        <f>VLOOKUP(D263,Preise!$A$3:$C$27,3)</f>
        <v>4.0455577357079076</v>
      </c>
      <c r="V263" s="523">
        <f>0.3*W263</f>
        <v>6068.336603561861</v>
      </c>
      <c r="W263" s="131">
        <f t="shared" si="99"/>
        <v>20227.788678539539</v>
      </c>
      <c r="X263" s="472">
        <f t="shared" si="100"/>
        <v>6100</v>
      </c>
      <c r="Y263" s="473">
        <f t="shared" si="101"/>
        <v>6100</v>
      </c>
      <c r="Z263" s="474">
        <f>IF(ISERROR(VLOOKUP(L263,Gegenstände!$B$2:$N$2026,13,FALSE)),0,VLOOKUP(L263,Gegenstände!$B$2:$N$2026,13,FALSE))</f>
        <v>180</v>
      </c>
      <c r="AA263" s="142">
        <f>IF(ISERROR(VLOOKUP(N263,Gegenstände!$B$2:$N$2026,13,FALSE)),0,VLOOKUP(N263,Gegenstände!$B$2:$N$2026,13,FALSE))</f>
        <v>80</v>
      </c>
      <c r="AB263" s="142">
        <f>IF(ISERROR(VLOOKUP(P263,Gegenstände!$B$2:$N$2026,13,FALSE)),0,VLOOKUP(P263,Gegenstände!$B$2:$N$2026,13,FALSE))</f>
        <v>200</v>
      </c>
      <c r="AC263" s="142">
        <f>IF(ISERROR(VLOOKUP(R263,Gegenstände!$B$2:$N$2026,13,FALSE)),0,VLOOKUP(R263,Gegenstände!$B$2:$N$2026,13,FALSE))</f>
        <v>0</v>
      </c>
      <c r="AD263" s="142"/>
      <c r="AE263" s="475">
        <f t="shared" si="102"/>
        <v>1980</v>
      </c>
      <c r="AF263" s="476">
        <f t="shared" si="103"/>
        <v>2000</v>
      </c>
      <c r="AG263" s="128">
        <f t="shared" si="96"/>
        <v>0.32459016393442625</v>
      </c>
      <c r="AH263" s="128">
        <f t="shared" si="97"/>
        <v>0.32786885245901637</v>
      </c>
      <c r="AI263" s="129">
        <f t="shared" si="98"/>
        <v>0.65245901639344261</v>
      </c>
      <c r="AJ263" s="426">
        <f t="shared" si="104"/>
        <v>2120</v>
      </c>
      <c r="AK263" s="131">
        <f t="shared" si="89"/>
        <v>353.33333333333331</v>
      </c>
      <c r="AL263" s="477">
        <f>AK263/VLOOKUP(IF(I263&gt;0,I263,1),Preise!$A$3:$B$27,2,FALSE)</f>
        <v>126.19047619047618</v>
      </c>
    </row>
    <row r="264" spans="1:38" s="3" customFormat="1" ht="13.5" customHeight="1" outlineLevel="1" x14ac:dyDescent="0.2">
      <c r="A264" s="5">
        <v>1323</v>
      </c>
      <c r="B264" s="412">
        <v>1323</v>
      </c>
      <c r="C264" s="132" t="str">
        <f>VLOOKUP(B264,Gegenstände!$A326:$B946,2,FALSE)</f>
        <v>Hartleder-Handschuhe</v>
      </c>
      <c r="D264" s="133">
        <f>VLOOKUP(B264,Gegenstände!$A326:$D946,4,FALSE)</f>
        <v>12</v>
      </c>
      <c r="E264" s="468">
        <v>31</v>
      </c>
      <c r="F264" s="3">
        <v>180</v>
      </c>
      <c r="G264" s="54">
        <v>3</v>
      </c>
      <c r="H264" s="469">
        <v>61</v>
      </c>
      <c r="I264" s="54">
        <v>11</v>
      </c>
      <c r="J264" s="470"/>
      <c r="K264" s="54">
        <v>6</v>
      </c>
      <c r="L264" s="3" t="s">
        <v>165</v>
      </c>
      <c r="M264" s="85">
        <v>7</v>
      </c>
      <c r="N264" s="83" t="s">
        <v>198</v>
      </c>
      <c r="O264" s="85">
        <v>3</v>
      </c>
      <c r="P264" s="84" t="s">
        <v>200</v>
      </c>
      <c r="Q264" s="85"/>
      <c r="R264" s="84"/>
      <c r="S264" s="418"/>
      <c r="T264" s="418"/>
      <c r="U264" s="471">
        <f>VLOOKUP(D264,Preise!$A$3:$C$27,3)</f>
        <v>4.6523913960640932</v>
      </c>
      <c r="V264" s="523">
        <f>0.15*W264</f>
        <v>3489.2935470480697</v>
      </c>
      <c r="W264" s="131">
        <f t="shared" si="99"/>
        <v>23261.956980320465</v>
      </c>
      <c r="X264" s="472">
        <f t="shared" si="100"/>
        <v>3500</v>
      </c>
      <c r="Y264" s="473">
        <f t="shared" si="101"/>
        <v>3500</v>
      </c>
      <c r="Z264" s="474">
        <f>IF(ISERROR(VLOOKUP(L264,Gegenstände!$B$2:$N$2026,13,FALSE)),0,VLOOKUP(L264,Gegenstände!$B$2:$N$2026,13,FALSE))</f>
        <v>180</v>
      </c>
      <c r="AA264" s="142">
        <f>IF(ISERROR(VLOOKUP(N264,Gegenstände!$B$2:$N$2026,13,FALSE)),0,VLOOKUP(N264,Gegenstände!$B$2:$N$2026,13,FALSE))</f>
        <v>80</v>
      </c>
      <c r="AB264" s="142">
        <f>IF(ISERROR(VLOOKUP(P264,Gegenstände!$B$2:$N$2026,13,FALSE)),0,VLOOKUP(P264,Gegenstände!$B$2:$N$2026,13,FALSE))</f>
        <v>200</v>
      </c>
      <c r="AC264" s="142">
        <f>IF(ISERROR(VLOOKUP(R264,Gegenstände!$B$2:$N$2026,13,FALSE)),0,VLOOKUP(R264,Gegenstände!$B$2:$N$2026,13,FALSE))</f>
        <v>0</v>
      </c>
      <c r="AD264" s="142"/>
      <c r="AE264" s="475">
        <f t="shared" si="102"/>
        <v>1080</v>
      </c>
      <c r="AF264" s="476">
        <f t="shared" si="103"/>
        <v>1160</v>
      </c>
      <c r="AG264" s="128">
        <f t="shared" si="96"/>
        <v>0.30857142857142855</v>
      </c>
      <c r="AH264" s="128">
        <f t="shared" si="97"/>
        <v>0.33142857142857141</v>
      </c>
      <c r="AI264" s="129">
        <f t="shared" si="98"/>
        <v>0.64</v>
      </c>
      <c r="AJ264" s="426">
        <f t="shared" si="104"/>
        <v>1260</v>
      </c>
      <c r="AK264" s="131">
        <f t="shared" si="89"/>
        <v>420</v>
      </c>
      <c r="AL264" s="477">
        <f>AK264/VLOOKUP(IF(I264&gt;0,I264,1),Preise!$A$3:$B$27,2,FALSE)</f>
        <v>139.99999999999997</v>
      </c>
    </row>
    <row r="265" spans="1:38" s="3" customFormat="1" ht="13.5" customHeight="1" outlineLevel="1" x14ac:dyDescent="0.2">
      <c r="A265" s="5">
        <v>1324</v>
      </c>
      <c r="B265" s="412">
        <v>1324</v>
      </c>
      <c r="C265" s="132" t="str">
        <f>VLOOKUP(B265,Gegenstände!$A327:$B947,2,FALSE)</f>
        <v>Hartleder-Hose</v>
      </c>
      <c r="D265" s="133">
        <f>VLOOKUP(B265,Gegenstände!$A327:$D947,4,FALSE)</f>
        <v>12</v>
      </c>
      <c r="E265" s="468">
        <v>31</v>
      </c>
      <c r="F265" s="3">
        <v>240</v>
      </c>
      <c r="G265" s="54">
        <v>3</v>
      </c>
      <c r="H265" s="469">
        <v>61</v>
      </c>
      <c r="I265" s="54">
        <v>11</v>
      </c>
      <c r="J265" s="470"/>
      <c r="K265" s="54">
        <v>8</v>
      </c>
      <c r="L265" s="3" t="s">
        <v>165</v>
      </c>
      <c r="M265" s="85">
        <v>12</v>
      </c>
      <c r="N265" s="83" t="s">
        <v>198</v>
      </c>
      <c r="O265" s="85">
        <v>3</v>
      </c>
      <c r="P265" s="84" t="s">
        <v>200</v>
      </c>
      <c r="Q265" s="85"/>
      <c r="R265" s="84"/>
      <c r="S265" s="418"/>
      <c r="T265" s="418"/>
      <c r="U265" s="471">
        <f>VLOOKUP(D265,Preise!$A$3:$C$27,3)</f>
        <v>4.6523913960640932</v>
      </c>
      <c r="V265" s="523">
        <f>0.2*W265</f>
        <v>4652.391396064093</v>
      </c>
      <c r="W265" s="131">
        <f t="shared" si="99"/>
        <v>23261.956980320465</v>
      </c>
      <c r="X265" s="472">
        <f t="shared" si="100"/>
        <v>4700</v>
      </c>
      <c r="Y265" s="473">
        <f t="shared" si="101"/>
        <v>4700</v>
      </c>
      <c r="Z265" s="474">
        <f>IF(ISERROR(VLOOKUP(L265,Gegenstände!$B$2:$N$2026,13,FALSE)),0,VLOOKUP(L265,Gegenstände!$B$2:$N$2026,13,FALSE))</f>
        <v>180</v>
      </c>
      <c r="AA265" s="142">
        <f>IF(ISERROR(VLOOKUP(N265,Gegenstände!$B$2:$N$2026,13,FALSE)),0,VLOOKUP(N265,Gegenstände!$B$2:$N$2026,13,FALSE))</f>
        <v>80</v>
      </c>
      <c r="AB265" s="142">
        <f>IF(ISERROR(VLOOKUP(P265,Gegenstände!$B$2:$N$2026,13,FALSE)),0,VLOOKUP(P265,Gegenstände!$B$2:$N$2026,13,FALSE))</f>
        <v>200</v>
      </c>
      <c r="AC265" s="142">
        <f>IF(ISERROR(VLOOKUP(R265,Gegenstände!$B$2:$N$2026,13,FALSE)),0,VLOOKUP(R265,Gegenstände!$B$2:$N$2026,13,FALSE))</f>
        <v>0</v>
      </c>
      <c r="AD265" s="142"/>
      <c r="AE265" s="475">
        <f t="shared" si="102"/>
        <v>1440</v>
      </c>
      <c r="AF265" s="476">
        <f t="shared" si="103"/>
        <v>1560</v>
      </c>
      <c r="AG265" s="128">
        <f t="shared" si="96"/>
        <v>0.30638297872340425</v>
      </c>
      <c r="AH265" s="128">
        <f t="shared" si="97"/>
        <v>0.33191489361702126</v>
      </c>
      <c r="AI265" s="129">
        <f t="shared" si="98"/>
        <v>0.63829787234042556</v>
      </c>
      <c r="AJ265" s="426">
        <f t="shared" si="104"/>
        <v>1700</v>
      </c>
      <c r="AK265" s="131">
        <f t="shared" si="89"/>
        <v>425</v>
      </c>
      <c r="AL265" s="477">
        <f>AK265/VLOOKUP(IF(I265&gt;0,I265,1),Preise!$A$3:$B$27,2,FALSE)</f>
        <v>141.66666666666666</v>
      </c>
    </row>
    <row r="266" spans="1:38" s="3" customFormat="1" ht="13.5" customHeight="1" outlineLevel="1" x14ac:dyDescent="0.2">
      <c r="A266" s="5">
        <v>1325</v>
      </c>
      <c r="B266" s="412">
        <v>1325</v>
      </c>
      <c r="C266" s="132" t="str">
        <f>VLOOKUP(B266,Gegenstände!$A328:$B948,2,FALSE)</f>
        <v>Hartleder-Schuhe</v>
      </c>
      <c r="D266" s="133">
        <f>VLOOKUP(B266,Gegenstände!$A328:$D948,4,FALSE)</f>
        <v>12</v>
      </c>
      <c r="E266" s="468">
        <v>31</v>
      </c>
      <c r="F266" s="3">
        <v>180</v>
      </c>
      <c r="G266" s="54">
        <v>3</v>
      </c>
      <c r="H266" s="469">
        <v>61</v>
      </c>
      <c r="I266" s="54">
        <v>11</v>
      </c>
      <c r="J266" s="470"/>
      <c r="K266" s="54">
        <v>6</v>
      </c>
      <c r="L266" s="3" t="s">
        <v>165</v>
      </c>
      <c r="M266" s="85">
        <v>7</v>
      </c>
      <c r="N266" s="83" t="s">
        <v>198</v>
      </c>
      <c r="O266" s="85">
        <v>3</v>
      </c>
      <c r="P266" s="84" t="s">
        <v>200</v>
      </c>
      <c r="Q266" s="85"/>
      <c r="R266" s="84"/>
      <c r="S266" s="418"/>
      <c r="T266" s="418"/>
      <c r="U266" s="471">
        <f>VLOOKUP(D266,Preise!$A$3:$C$27,3)</f>
        <v>4.6523913960640932</v>
      </c>
      <c r="V266" s="558">
        <f>0.15*W266</f>
        <v>3489.2935470480697</v>
      </c>
      <c r="W266" s="559">
        <f t="shared" si="99"/>
        <v>23261.956980320465</v>
      </c>
      <c r="X266" s="560">
        <f t="shared" si="100"/>
        <v>3500</v>
      </c>
      <c r="Y266" s="473">
        <f t="shared" si="101"/>
        <v>3500</v>
      </c>
      <c r="Z266" s="474">
        <f>IF(ISERROR(VLOOKUP(L266,Gegenstände!$B$2:$N$2026,13,FALSE)),0,VLOOKUP(L266,Gegenstände!$B$2:$N$2026,13,FALSE))</f>
        <v>180</v>
      </c>
      <c r="AA266" s="142">
        <f>IF(ISERROR(VLOOKUP(N266,Gegenstände!$B$2:$N$2026,13,FALSE)),0,VLOOKUP(N266,Gegenstände!$B$2:$N$2026,13,FALSE))</f>
        <v>80</v>
      </c>
      <c r="AB266" s="142">
        <f>IF(ISERROR(VLOOKUP(P266,Gegenstände!$B$2:$N$2026,13,FALSE)),0,VLOOKUP(P266,Gegenstände!$B$2:$N$2026,13,FALSE))</f>
        <v>200</v>
      </c>
      <c r="AC266" s="142">
        <f>IF(ISERROR(VLOOKUP(R266,Gegenstände!$B$2:$N$2026,13,FALSE)),0,VLOOKUP(R266,Gegenstände!$B$2:$N$2026,13,FALSE))</f>
        <v>0</v>
      </c>
      <c r="AD266" s="142"/>
      <c r="AE266" s="475">
        <f t="shared" si="102"/>
        <v>1080</v>
      </c>
      <c r="AF266" s="476">
        <f t="shared" si="103"/>
        <v>1160</v>
      </c>
      <c r="AG266" s="128">
        <f t="shared" si="96"/>
        <v>0.30857142857142855</v>
      </c>
      <c r="AH266" s="128">
        <f t="shared" si="97"/>
        <v>0.33142857142857141</v>
      </c>
      <c r="AI266" s="129">
        <f t="shared" si="98"/>
        <v>0.64</v>
      </c>
      <c r="AJ266" s="426">
        <f t="shared" si="104"/>
        <v>1260</v>
      </c>
      <c r="AK266" s="131">
        <f t="shared" ref="AK266:AK329" si="105">(AJ266*60)/F266</f>
        <v>420</v>
      </c>
      <c r="AL266" s="477">
        <f>AK266/VLOOKUP(IF(I266&gt;0,I266,1),Preise!$A$3:$B$27,2,FALSE)</f>
        <v>139.99999999999997</v>
      </c>
    </row>
    <row r="267" spans="1:38" s="3" customFormat="1" outlineLevel="1" x14ac:dyDescent="0.2">
      <c r="A267" s="5">
        <v>1326</v>
      </c>
      <c r="B267" s="412">
        <v>1326</v>
      </c>
      <c r="C267" s="132" t="str">
        <f>VLOOKUP(B267,Gegenstände!$A329:$B949,2,FALSE)</f>
        <v>Hartleder-Helm</v>
      </c>
      <c r="D267" s="133">
        <f>VLOOKUP(B267,Gegenstände!$A329:$D949,4,FALSE)</f>
        <v>14</v>
      </c>
      <c r="E267" s="468">
        <v>31</v>
      </c>
      <c r="F267" s="3">
        <v>240</v>
      </c>
      <c r="G267" s="54">
        <v>3</v>
      </c>
      <c r="H267" s="469">
        <v>61</v>
      </c>
      <c r="I267" s="54">
        <v>13</v>
      </c>
      <c r="J267" s="470"/>
      <c r="K267" s="54">
        <v>11</v>
      </c>
      <c r="L267" s="3" t="s">
        <v>165</v>
      </c>
      <c r="M267" s="85">
        <v>8</v>
      </c>
      <c r="N267" s="83" t="s">
        <v>198</v>
      </c>
      <c r="O267" s="85">
        <v>7</v>
      </c>
      <c r="P267" s="84" t="s">
        <v>200</v>
      </c>
      <c r="Q267" s="85"/>
      <c r="R267" s="84"/>
      <c r="S267" s="418"/>
      <c r="T267" s="418"/>
      <c r="U267" s="471">
        <f>VLOOKUP(D267,Preise!$A$3:$C$27,3)</f>
        <v>6.1527876212947623</v>
      </c>
      <c r="V267" s="523">
        <f>0.2*W267</f>
        <v>6152.7876212947631</v>
      </c>
      <c r="W267" s="131">
        <f t="shared" si="99"/>
        <v>30763.938106473812</v>
      </c>
      <c r="X267" s="472">
        <f t="shared" si="100"/>
        <v>6200</v>
      </c>
      <c r="Y267" s="473">
        <f t="shared" si="101"/>
        <v>6200</v>
      </c>
      <c r="Z267" s="474">
        <f>IF(ISERROR(VLOOKUP(L267,Gegenstände!$B$2:$N$2026,13,FALSE)),0,VLOOKUP(L267,Gegenstände!$B$2:$N$2026,13,FALSE))</f>
        <v>180</v>
      </c>
      <c r="AA267" s="142">
        <f>IF(ISERROR(VLOOKUP(N267,Gegenstände!$B$2:$N$2026,13,FALSE)),0,VLOOKUP(N267,Gegenstände!$B$2:$N$2026,13,FALSE))</f>
        <v>80</v>
      </c>
      <c r="AB267" s="142">
        <f>IF(ISERROR(VLOOKUP(P267,Gegenstände!$B$2:$N$2026,13,FALSE)),0,VLOOKUP(P267,Gegenstände!$B$2:$N$2026,13,FALSE))</f>
        <v>200</v>
      </c>
      <c r="AC267" s="142">
        <f>IF(ISERROR(VLOOKUP(R267,Gegenstände!$B$2:$N$2026,13,FALSE)),0,VLOOKUP(R267,Gegenstände!$B$2:$N$2026,13,FALSE))</f>
        <v>0</v>
      </c>
      <c r="AD267" s="142"/>
      <c r="AE267" s="475">
        <f t="shared" si="102"/>
        <v>1980</v>
      </c>
      <c r="AF267" s="476">
        <f t="shared" si="103"/>
        <v>2040</v>
      </c>
      <c r="AG267" s="128">
        <f t="shared" si="96"/>
        <v>0.3193548387096774</v>
      </c>
      <c r="AH267" s="128">
        <f t="shared" si="97"/>
        <v>0.32903225806451614</v>
      </c>
      <c r="AI267" s="129">
        <f t="shared" si="98"/>
        <v>0.64838709677419359</v>
      </c>
      <c r="AJ267" s="426">
        <f t="shared" si="104"/>
        <v>2180</v>
      </c>
      <c r="AK267" s="131">
        <f t="shared" si="105"/>
        <v>545</v>
      </c>
      <c r="AL267" s="477">
        <f>AK267/VLOOKUP(IF(I267&gt;0,I267,1),Preise!$A$3:$B$27,2,FALSE)</f>
        <v>160.29411764705878</v>
      </c>
    </row>
    <row r="268" spans="1:38" s="3" customFormat="1" outlineLevel="1" x14ac:dyDescent="0.2">
      <c r="A268" s="5">
        <v>1327</v>
      </c>
      <c r="B268" s="412">
        <v>1327</v>
      </c>
      <c r="C268" s="132" t="str">
        <f>VLOOKUP(B268,Gegenstände!$A330:$B950,2,FALSE)</f>
        <v>Hartleder-Harnisch</v>
      </c>
      <c r="D268" s="133">
        <f>VLOOKUP(B268,Gegenstände!$A330:$D950,4,FALSE)</f>
        <v>14</v>
      </c>
      <c r="E268" s="468">
        <v>31</v>
      </c>
      <c r="F268" s="3">
        <v>360</v>
      </c>
      <c r="G268" s="54">
        <v>3</v>
      </c>
      <c r="H268" s="469">
        <v>61</v>
      </c>
      <c r="I268" s="54">
        <v>13</v>
      </c>
      <c r="J268" s="470"/>
      <c r="K268" s="54">
        <v>17</v>
      </c>
      <c r="L268" s="3" t="s">
        <v>165</v>
      </c>
      <c r="M268" s="85">
        <v>13</v>
      </c>
      <c r="N268" s="83" t="s">
        <v>198</v>
      </c>
      <c r="O268" s="85">
        <v>10</v>
      </c>
      <c r="P268" s="84" t="s">
        <v>200</v>
      </c>
      <c r="Q268" s="85"/>
      <c r="R268" s="84"/>
      <c r="S268" s="418"/>
      <c r="T268" s="418"/>
      <c r="U268" s="471">
        <f>VLOOKUP(D268,Preise!$A$3:$C$27,3)</f>
        <v>6.1527876212947623</v>
      </c>
      <c r="V268" s="523">
        <f>0.3*W268</f>
        <v>9229.1814319421428</v>
      </c>
      <c r="W268" s="131">
        <f t="shared" si="99"/>
        <v>30763.938106473812</v>
      </c>
      <c r="X268" s="472">
        <f t="shared" si="100"/>
        <v>9200</v>
      </c>
      <c r="Y268" s="473">
        <f t="shared" si="101"/>
        <v>9200</v>
      </c>
      <c r="Z268" s="474">
        <f>IF(ISERROR(VLOOKUP(L268,Gegenstände!$B$2:$N$2026,13,FALSE)),0,VLOOKUP(L268,Gegenstände!$B$2:$N$2026,13,FALSE))</f>
        <v>180</v>
      </c>
      <c r="AA268" s="142">
        <f>IF(ISERROR(VLOOKUP(N268,Gegenstände!$B$2:$N$2026,13,FALSE)),0,VLOOKUP(N268,Gegenstände!$B$2:$N$2026,13,FALSE))</f>
        <v>80</v>
      </c>
      <c r="AB268" s="142">
        <f>IF(ISERROR(VLOOKUP(P268,Gegenstände!$B$2:$N$2026,13,FALSE)),0,VLOOKUP(P268,Gegenstände!$B$2:$N$2026,13,FALSE))</f>
        <v>200</v>
      </c>
      <c r="AC268" s="142">
        <f>IF(ISERROR(VLOOKUP(R268,Gegenstände!$B$2:$N$2026,13,FALSE)),0,VLOOKUP(R268,Gegenstände!$B$2:$N$2026,13,FALSE))</f>
        <v>0</v>
      </c>
      <c r="AD268" s="142"/>
      <c r="AE268" s="475">
        <f t="shared" si="102"/>
        <v>3060</v>
      </c>
      <c r="AF268" s="476">
        <f t="shared" si="103"/>
        <v>3040</v>
      </c>
      <c r="AG268" s="128">
        <f t="shared" si="96"/>
        <v>0.33260869565217394</v>
      </c>
      <c r="AH268" s="128">
        <f t="shared" si="97"/>
        <v>0.33043478260869563</v>
      </c>
      <c r="AI268" s="129">
        <f t="shared" si="98"/>
        <v>0.66304347826086951</v>
      </c>
      <c r="AJ268" s="426">
        <f t="shared" si="104"/>
        <v>3100</v>
      </c>
      <c r="AK268" s="131">
        <f t="shared" si="105"/>
        <v>516.66666666666663</v>
      </c>
      <c r="AL268" s="477">
        <f>AK268/VLOOKUP(IF(I268&gt;0,I268,1),Preise!$A$3:$B$27,2,FALSE)</f>
        <v>151.96078431372544</v>
      </c>
    </row>
    <row r="269" spans="1:38" s="3" customFormat="1" outlineLevel="1" x14ac:dyDescent="0.2">
      <c r="A269" s="5">
        <v>1328</v>
      </c>
      <c r="B269" s="412">
        <v>1328</v>
      </c>
      <c r="C269" s="132" t="str">
        <f>VLOOKUP(B269,Gegenstände!$A331:$B951,2,FALSE)</f>
        <v>Hartleder-Stulpen</v>
      </c>
      <c r="D269" s="133">
        <f>VLOOKUP(B269,Gegenstände!$A331:$D951,4,FALSE)</f>
        <v>15</v>
      </c>
      <c r="E269" s="468">
        <v>31</v>
      </c>
      <c r="F269" s="3">
        <v>180</v>
      </c>
      <c r="G269" s="54">
        <v>3</v>
      </c>
      <c r="H269" s="469">
        <v>61</v>
      </c>
      <c r="I269" s="54">
        <v>14</v>
      </c>
      <c r="J269" s="470"/>
      <c r="K269" s="54">
        <v>10</v>
      </c>
      <c r="L269" s="3" t="s">
        <v>165</v>
      </c>
      <c r="M269" s="85">
        <v>12</v>
      </c>
      <c r="N269" s="83" t="s">
        <v>198</v>
      </c>
      <c r="O269" s="85">
        <v>4</v>
      </c>
      <c r="P269" s="84" t="s">
        <v>200</v>
      </c>
      <c r="Q269" s="85"/>
      <c r="R269" s="84"/>
      <c r="S269" s="418"/>
      <c r="T269" s="418"/>
      <c r="U269" s="471">
        <f>VLOOKUP(D269,Preise!$A$3:$C$27,3)</f>
        <v>7.0757057644889763</v>
      </c>
      <c r="V269" s="523">
        <f>0.15*W269</f>
        <v>5306.7793233667317</v>
      </c>
      <c r="W269" s="131">
        <f t="shared" si="99"/>
        <v>35378.528822444881</v>
      </c>
      <c r="X269" s="472">
        <f t="shared" si="100"/>
        <v>5300</v>
      </c>
      <c r="Y269" s="473">
        <f t="shared" si="101"/>
        <v>5300</v>
      </c>
      <c r="Z269" s="474">
        <f>IF(ISERROR(VLOOKUP(L269,Gegenstände!$B$2:$N$2026,13,FALSE)),0,VLOOKUP(L269,Gegenstände!$B$2:$N$2026,13,FALSE))</f>
        <v>180</v>
      </c>
      <c r="AA269" s="142">
        <f>IF(ISERROR(VLOOKUP(N269,Gegenstände!$B$2:$N$2026,13,FALSE)),0,VLOOKUP(N269,Gegenstände!$B$2:$N$2026,13,FALSE))</f>
        <v>80</v>
      </c>
      <c r="AB269" s="142">
        <f>IF(ISERROR(VLOOKUP(P269,Gegenstände!$B$2:$N$2026,13,FALSE)),0,VLOOKUP(P269,Gegenstände!$B$2:$N$2026,13,FALSE))</f>
        <v>200</v>
      </c>
      <c r="AC269" s="142">
        <f>IF(ISERROR(VLOOKUP(R269,Gegenstände!$B$2:$N$2026,13,FALSE)),0,VLOOKUP(R269,Gegenstände!$B$2:$N$2026,13,FALSE))</f>
        <v>0</v>
      </c>
      <c r="AD269" s="142"/>
      <c r="AE269" s="475">
        <f t="shared" si="102"/>
        <v>1800</v>
      </c>
      <c r="AF269" s="476">
        <f t="shared" si="103"/>
        <v>1760</v>
      </c>
      <c r="AG269" s="128">
        <f t="shared" si="96"/>
        <v>0.33962264150943394</v>
      </c>
      <c r="AH269" s="128">
        <f t="shared" si="97"/>
        <v>0.33207547169811319</v>
      </c>
      <c r="AI269" s="129">
        <f t="shared" si="98"/>
        <v>0.67169811320754713</v>
      </c>
      <c r="AJ269" s="426">
        <f t="shared" si="104"/>
        <v>1740</v>
      </c>
      <c r="AK269" s="131">
        <f t="shared" si="105"/>
        <v>580</v>
      </c>
      <c r="AL269" s="477">
        <f>AK269/VLOOKUP(IF(I269&gt;0,I269,1),Preise!$A$3:$B$27,2,FALSE)</f>
        <v>161.11111111111106</v>
      </c>
    </row>
    <row r="270" spans="1:38" s="3" customFormat="1" outlineLevel="1" x14ac:dyDescent="0.2">
      <c r="A270" s="5">
        <v>1329</v>
      </c>
      <c r="B270" s="412">
        <v>1329</v>
      </c>
      <c r="C270" s="132" t="str">
        <f>VLOOKUP(B270,Gegenstände!$A332:$B952,2,FALSE)</f>
        <v>Hartleder-Beinlinge</v>
      </c>
      <c r="D270" s="133">
        <f>VLOOKUP(B270,Gegenstände!$A332:$D952,4,FALSE)</f>
        <v>15</v>
      </c>
      <c r="E270" s="468">
        <v>31</v>
      </c>
      <c r="F270" s="3">
        <v>240</v>
      </c>
      <c r="G270" s="54">
        <v>3</v>
      </c>
      <c r="H270" s="469">
        <v>61</v>
      </c>
      <c r="I270" s="54">
        <v>14</v>
      </c>
      <c r="J270" s="470"/>
      <c r="K270" s="54">
        <v>13</v>
      </c>
      <c r="L270" s="3" t="s">
        <v>165</v>
      </c>
      <c r="M270" s="85">
        <v>12</v>
      </c>
      <c r="N270" s="83" t="s">
        <v>198</v>
      </c>
      <c r="O270" s="85">
        <v>7</v>
      </c>
      <c r="P270" s="84" t="s">
        <v>200</v>
      </c>
      <c r="Q270" s="85"/>
      <c r="R270" s="84"/>
      <c r="S270" s="418"/>
      <c r="T270" s="418"/>
      <c r="U270" s="471">
        <f>VLOOKUP(D270,Preise!$A$3:$C$27,3)</f>
        <v>7.0757057644889763</v>
      </c>
      <c r="V270" s="523">
        <f>0.2*W270</f>
        <v>7075.7057644889765</v>
      </c>
      <c r="W270" s="131">
        <f t="shared" si="99"/>
        <v>35378.528822444881</v>
      </c>
      <c r="X270" s="472">
        <f t="shared" si="100"/>
        <v>7100</v>
      </c>
      <c r="Y270" s="473">
        <f t="shared" si="101"/>
        <v>7100</v>
      </c>
      <c r="Z270" s="474">
        <f>IF(ISERROR(VLOOKUP(L270,Gegenstände!$B$2:$N$2026,13,FALSE)),0,VLOOKUP(L270,Gegenstände!$B$2:$N$2026,13,FALSE))</f>
        <v>180</v>
      </c>
      <c r="AA270" s="142">
        <f>IF(ISERROR(VLOOKUP(N270,Gegenstände!$B$2:$N$2026,13,FALSE)),0,VLOOKUP(N270,Gegenstände!$B$2:$N$2026,13,FALSE))</f>
        <v>80</v>
      </c>
      <c r="AB270" s="142">
        <f>IF(ISERROR(VLOOKUP(P270,Gegenstände!$B$2:$N$2026,13,FALSE)),0,VLOOKUP(P270,Gegenstände!$B$2:$N$2026,13,FALSE))</f>
        <v>200</v>
      </c>
      <c r="AC270" s="142">
        <f>IF(ISERROR(VLOOKUP(R270,Gegenstände!$B$2:$N$2026,13,FALSE)),0,VLOOKUP(R270,Gegenstände!$B$2:$N$2026,13,FALSE))</f>
        <v>0</v>
      </c>
      <c r="AD270" s="142"/>
      <c r="AE270" s="475">
        <f t="shared" si="102"/>
        <v>2340</v>
      </c>
      <c r="AF270" s="476">
        <f t="shared" si="103"/>
        <v>2360</v>
      </c>
      <c r="AG270" s="128">
        <f t="shared" si="96"/>
        <v>0.3295774647887324</v>
      </c>
      <c r="AH270" s="128">
        <f t="shared" si="97"/>
        <v>0.3323943661971831</v>
      </c>
      <c r="AI270" s="129">
        <f t="shared" si="98"/>
        <v>0.6619718309859155</v>
      </c>
      <c r="AJ270" s="426">
        <f t="shared" si="104"/>
        <v>2400</v>
      </c>
      <c r="AK270" s="131">
        <f t="shared" si="105"/>
        <v>600</v>
      </c>
      <c r="AL270" s="477">
        <f>AK270/VLOOKUP(IF(I270&gt;0,I270,1),Preise!$A$3:$B$27,2,FALSE)</f>
        <v>166.66666666666663</v>
      </c>
    </row>
    <row r="271" spans="1:38" s="3" customFormat="1" outlineLevel="1" x14ac:dyDescent="0.2">
      <c r="A271" s="345">
        <v>1330</v>
      </c>
      <c r="B271" s="561">
        <v>1330</v>
      </c>
      <c r="C271" s="413" t="str">
        <f>VLOOKUP(B271,Gegenstände!$A333:$B953,2,FALSE)</f>
        <v>Hartleder-Stiefel</v>
      </c>
      <c r="D271" s="562">
        <f>VLOOKUP(B271,Gegenstände!$A333:$D953,4,FALSE)</f>
        <v>15</v>
      </c>
      <c r="E271" s="563">
        <v>31</v>
      </c>
      <c r="F271" s="334">
        <v>180</v>
      </c>
      <c r="G271" s="335">
        <v>3</v>
      </c>
      <c r="H271" s="565">
        <v>61</v>
      </c>
      <c r="I271" s="335">
        <v>14</v>
      </c>
      <c r="J271" s="566"/>
      <c r="K271" s="335">
        <v>10</v>
      </c>
      <c r="L271" s="334" t="s">
        <v>165</v>
      </c>
      <c r="M271" s="567">
        <v>12</v>
      </c>
      <c r="N271" s="568" t="s">
        <v>198</v>
      </c>
      <c r="O271" s="567">
        <v>4</v>
      </c>
      <c r="P271" s="574" t="s">
        <v>200</v>
      </c>
      <c r="Q271" s="567"/>
      <c r="R271" s="574"/>
      <c r="S271" s="575"/>
      <c r="T271" s="576"/>
      <c r="U271" s="471">
        <f>VLOOKUP(D271,Preise!$A$3:$C$27,3)</f>
        <v>7.0757057644889763</v>
      </c>
      <c r="V271" s="558">
        <f>0.15*W271</f>
        <v>5306.7793233667317</v>
      </c>
      <c r="W271" s="559">
        <f t="shared" si="99"/>
        <v>35378.528822444881</v>
      </c>
      <c r="X271" s="472">
        <f t="shared" si="100"/>
        <v>5300</v>
      </c>
      <c r="Y271" s="473">
        <f t="shared" si="101"/>
        <v>5300</v>
      </c>
      <c r="Z271" s="474">
        <f>IF(ISERROR(VLOOKUP(L271,Gegenstände!$B$2:$N$2026,13,FALSE)),0,VLOOKUP(L271,Gegenstände!$B$2:$N$2026,13,FALSE))</f>
        <v>180</v>
      </c>
      <c r="AA271" s="142">
        <f>IF(ISERROR(VLOOKUP(N271,Gegenstände!$B$2:$N$2026,13,FALSE)),0,VLOOKUP(N271,Gegenstände!$B$2:$N$2026,13,FALSE))</f>
        <v>80</v>
      </c>
      <c r="AB271" s="142">
        <f>IF(ISERROR(VLOOKUP(P271,Gegenstände!$B$2:$N$2026,13,FALSE)),0,VLOOKUP(P271,Gegenstände!$B$2:$N$2026,13,FALSE))</f>
        <v>200</v>
      </c>
      <c r="AC271" s="142">
        <f>IF(ISERROR(VLOOKUP(R271,Gegenstände!$B$2:$N$2026,13,FALSE)),0,VLOOKUP(R271,Gegenstände!$B$2:$N$2026,13,FALSE))</f>
        <v>0</v>
      </c>
      <c r="AD271" s="142"/>
      <c r="AE271" s="475">
        <f t="shared" si="102"/>
        <v>1800</v>
      </c>
      <c r="AF271" s="476">
        <f t="shared" si="103"/>
        <v>1760</v>
      </c>
      <c r="AG271" s="128">
        <f t="shared" si="96"/>
        <v>0.33962264150943394</v>
      </c>
      <c r="AH271" s="128">
        <f t="shared" si="97"/>
        <v>0.33207547169811319</v>
      </c>
      <c r="AI271" s="129">
        <f t="shared" si="98"/>
        <v>0.67169811320754713</v>
      </c>
      <c r="AJ271" s="426">
        <f t="shared" si="104"/>
        <v>1740</v>
      </c>
      <c r="AK271" s="131">
        <f t="shared" si="105"/>
        <v>580</v>
      </c>
      <c r="AL271" s="477">
        <f>AK271/VLOOKUP(IF(I271&gt;0,I271,1),Preise!$A$3:$B$27,2,FALSE)</f>
        <v>161.11111111111106</v>
      </c>
    </row>
    <row r="272" spans="1:38" s="3" customFormat="1" outlineLevel="1" x14ac:dyDescent="0.2">
      <c r="A272" s="5">
        <v>1331</v>
      </c>
      <c r="B272" s="412">
        <v>1331</v>
      </c>
      <c r="C272" s="132" t="str">
        <f>VLOOKUP(B272,Gegenstände!$A334:$B954,2,FALSE)</f>
        <v>Riesenleder-Haube</v>
      </c>
      <c r="D272" s="133">
        <f>VLOOKUP(B272,Gegenstände!$A334:$D954,4,FALSE)</f>
        <v>16</v>
      </c>
      <c r="E272" s="468">
        <v>31</v>
      </c>
      <c r="F272" s="3">
        <v>240</v>
      </c>
      <c r="G272" s="54">
        <v>4</v>
      </c>
      <c r="H272" s="469">
        <v>61</v>
      </c>
      <c r="I272" s="54">
        <v>15</v>
      </c>
      <c r="J272" s="470"/>
      <c r="K272" s="54">
        <v>10</v>
      </c>
      <c r="L272" s="3" t="s">
        <v>166</v>
      </c>
      <c r="M272" s="85">
        <v>8</v>
      </c>
      <c r="N272" s="83" t="s">
        <v>198</v>
      </c>
      <c r="O272" s="85">
        <v>10</v>
      </c>
      <c r="P272" s="84" t="s">
        <v>200</v>
      </c>
      <c r="Q272" s="85"/>
      <c r="R272" s="84"/>
      <c r="S272" s="418"/>
      <c r="T272" s="418"/>
      <c r="U272" s="471">
        <f>VLOOKUP(D272,Preise!$A$3:$C$27,3)</f>
        <v>8.1370616291623215</v>
      </c>
      <c r="V272" s="523">
        <f>0.2*W272</f>
        <v>8137.0616291623219</v>
      </c>
      <c r="W272" s="131">
        <f t="shared" si="99"/>
        <v>40685.308145811607</v>
      </c>
      <c r="X272" s="557">
        <f t="shared" si="100"/>
        <v>8100</v>
      </c>
      <c r="Y272" s="473">
        <f t="shared" si="101"/>
        <v>8100</v>
      </c>
      <c r="Z272" s="474">
        <f>IF(ISERROR(VLOOKUP(L272,Gegenstände!$B$2:$N$2026,13,FALSE)),0,VLOOKUP(L272,Gegenstände!$B$2:$N$2026,13,FALSE))</f>
        <v>270</v>
      </c>
      <c r="AA272" s="142">
        <f>IF(ISERROR(VLOOKUP(N272,Gegenstände!$B$2:$N$2026,13,FALSE)),0,VLOOKUP(N272,Gegenstände!$B$2:$N$2026,13,FALSE))</f>
        <v>80</v>
      </c>
      <c r="AB272" s="142">
        <f>IF(ISERROR(VLOOKUP(P272,Gegenstände!$B$2:$N$2026,13,FALSE)),0,VLOOKUP(P272,Gegenstände!$B$2:$N$2026,13,FALSE))</f>
        <v>200</v>
      </c>
      <c r="AC272" s="142">
        <f>IF(ISERROR(VLOOKUP(R272,Gegenstände!$B$2:$N$2026,13,FALSE)),0,VLOOKUP(R272,Gegenstände!$B$2:$N$2026,13,FALSE))</f>
        <v>0</v>
      </c>
      <c r="AD272" s="142"/>
      <c r="AE272" s="475">
        <f t="shared" si="102"/>
        <v>2700</v>
      </c>
      <c r="AF272" s="476">
        <f t="shared" si="103"/>
        <v>2640</v>
      </c>
      <c r="AG272" s="128">
        <f t="shared" si="96"/>
        <v>0.33333333333333331</v>
      </c>
      <c r="AH272" s="128">
        <f t="shared" si="97"/>
        <v>0.32592592592592595</v>
      </c>
      <c r="AI272" s="129">
        <f t="shared" si="98"/>
        <v>0.65925925925925921</v>
      </c>
      <c r="AJ272" s="426">
        <f t="shared" si="104"/>
        <v>2760</v>
      </c>
      <c r="AK272" s="131">
        <f t="shared" si="105"/>
        <v>690</v>
      </c>
      <c r="AL272" s="477">
        <f>AK272/VLOOKUP(IF(I272&gt;0,I272,1),Preise!$A$3:$B$27,2,FALSE)</f>
        <v>181.57894736842098</v>
      </c>
    </row>
    <row r="273" spans="1:38" s="3" customFormat="1" outlineLevel="1" x14ac:dyDescent="0.2">
      <c r="A273" s="5">
        <v>1332</v>
      </c>
      <c r="B273" s="412">
        <v>1332</v>
      </c>
      <c r="C273" s="132" t="str">
        <f>VLOOKUP(B273,Gegenstände!$A340:$B955,2,FALSE)</f>
        <v>Riesenleder-Wappenrock</v>
      </c>
      <c r="D273" s="133">
        <f>VLOOKUP(B273,Gegenstände!$A340:$D955,4,FALSE)</f>
        <v>16</v>
      </c>
      <c r="E273" s="468">
        <v>31</v>
      </c>
      <c r="F273" s="3">
        <v>360</v>
      </c>
      <c r="G273" s="54">
        <v>4</v>
      </c>
      <c r="H273" s="469">
        <v>61</v>
      </c>
      <c r="I273" s="54">
        <v>15</v>
      </c>
      <c r="J273" s="470"/>
      <c r="K273" s="54">
        <v>15</v>
      </c>
      <c r="L273" s="3" t="s">
        <v>166</v>
      </c>
      <c r="M273" s="85">
        <v>10</v>
      </c>
      <c r="N273" s="83" t="s">
        <v>198</v>
      </c>
      <c r="O273" s="85">
        <v>16</v>
      </c>
      <c r="P273" s="84" t="s">
        <v>200</v>
      </c>
      <c r="Q273" s="85"/>
      <c r="R273" s="84"/>
      <c r="S273" s="418"/>
      <c r="T273" s="418"/>
      <c r="U273" s="471">
        <f>VLOOKUP(D273,Preise!$A$3:$C$27,3)</f>
        <v>8.1370616291623215</v>
      </c>
      <c r="V273" s="523">
        <f>0.3*W273</f>
        <v>12205.592443743482</v>
      </c>
      <c r="W273" s="131">
        <f t="shared" si="99"/>
        <v>40685.308145811607</v>
      </c>
      <c r="X273" s="472">
        <f t="shared" si="100"/>
        <v>12200</v>
      </c>
      <c r="Y273" s="473">
        <f t="shared" si="101"/>
        <v>12200</v>
      </c>
      <c r="Z273" s="474">
        <f>IF(ISERROR(VLOOKUP(L273,Gegenstände!$B$2:$N$2026,13,FALSE)),0,VLOOKUP(L273,Gegenstände!$B$2:$N$2026,13,FALSE))</f>
        <v>270</v>
      </c>
      <c r="AA273" s="142">
        <f>IF(ISERROR(VLOOKUP(N273,Gegenstände!$B$2:$N$2026,13,FALSE)),0,VLOOKUP(N273,Gegenstände!$B$2:$N$2026,13,FALSE))</f>
        <v>80</v>
      </c>
      <c r="AB273" s="142">
        <f>IF(ISERROR(VLOOKUP(P273,Gegenstände!$B$2:$N$2026,13,FALSE)),0,VLOOKUP(P273,Gegenstände!$B$2:$N$2026,13,FALSE))</f>
        <v>200</v>
      </c>
      <c r="AC273" s="142">
        <f>IF(ISERROR(VLOOKUP(R273,Gegenstände!$B$2:$N$2026,13,FALSE)),0,VLOOKUP(R273,Gegenstände!$B$2:$N$2026,13,FALSE))</f>
        <v>0</v>
      </c>
      <c r="AD273" s="142"/>
      <c r="AE273" s="475">
        <f t="shared" si="102"/>
        <v>4050</v>
      </c>
      <c r="AF273" s="476">
        <f t="shared" si="103"/>
        <v>4000</v>
      </c>
      <c r="AG273" s="128">
        <f t="shared" si="96"/>
        <v>0.33196721311475408</v>
      </c>
      <c r="AH273" s="128">
        <f t="shared" si="97"/>
        <v>0.32786885245901637</v>
      </c>
      <c r="AI273" s="129">
        <f t="shared" si="98"/>
        <v>0.6598360655737705</v>
      </c>
      <c r="AJ273" s="426">
        <f t="shared" si="104"/>
        <v>4150</v>
      </c>
      <c r="AK273" s="131">
        <f t="shared" si="105"/>
        <v>691.66666666666663</v>
      </c>
      <c r="AL273" s="477">
        <f>AK273/VLOOKUP(IF(I273&gt;0,I273,1),Preise!$A$3:$B$27,2,FALSE)</f>
        <v>182.01754385964907</v>
      </c>
    </row>
    <row r="274" spans="1:38" s="3" customFormat="1" outlineLevel="1" x14ac:dyDescent="0.2">
      <c r="A274" s="5">
        <v>1333</v>
      </c>
      <c r="B274" s="412">
        <v>1333</v>
      </c>
      <c r="C274" s="132" t="str">
        <f>VLOOKUP(B274,Gegenstände!$A341:$B956,2,FALSE)</f>
        <v>Riesenleder-Handschuhe</v>
      </c>
      <c r="D274" s="133">
        <f>VLOOKUP(B274,Gegenstände!$A341:$D956,4,FALSE)</f>
        <v>17</v>
      </c>
      <c r="E274" s="468">
        <v>31</v>
      </c>
      <c r="F274" s="3">
        <v>180</v>
      </c>
      <c r="G274" s="54">
        <v>4</v>
      </c>
      <c r="H274" s="469">
        <v>61</v>
      </c>
      <c r="I274" s="54">
        <v>16</v>
      </c>
      <c r="J274" s="470"/>
      <c r="K274" s="54">
        <v>8</v>
      </c>
      <c r="L274" s="3" t="s">
        <v>166</v>
      </c>
      <c r="M274" s="85">
        <v>9</v>
      </c>
      <c r="N274" s="83" t="s">
        <v>198</v>
      </c>
      <c r="O274" s="85">
        <v>8</v>
      </c>
      <c r="P274" s="84" t="s">
        <v>200</v>
      </c>
      <c r="Q274" s="85"/>
      <c r="R274" s="84"/>
      <c r="S274" s="418"/>
      <c r="T274" s="418"/>
      <c r="U274" s="471">
        <f>VLOOKUP(D274,Preise!$A$3:$C$27,3)</f>
        <v>9.3576208735366695</v>
      </c>
      <c r="V274" s="523">
        <f>0.15*W274</f>
        <v>7018.2156551525022</v>
      </c>
      <c r="W274" s="131">
        <f t="shared" ref="W274:W291" si="106">U274*$V$190</f>
        <v>46788.104367683351</v>
      </c>
      <c r="X274" s="472">
        <f t="shared" ref="X274:X291" si="107">ROUND((V274/100),0)*100</f>
        <v>7000</v>
      </c>
      <c r="Y274" s="473">
        <f t="shared" ref="Y274:Y291" si="108">X274*IF(J274&gt;0,J274,1)</f>
        <v>7000</v>
      </c>
      <c r="Z274" s="474">
        <f>IF(ISERROR(VLOOKUP(L274,Gegenstände!$B$2:$N$2026,13,FALSE)),0,VLOOKUP(L274,Gegenstände!$B$2:$N$2026,13,FALSE))</f>
        <v>270</v>
      </c>
      <c r="AA274" s="142">
        <f>IF(ISERROR(VLOOKUP(N274,Gegenstände!$B$2:$N$2026,13,FALSE)),0,VLOOKUP(N274,Gegenstände!$B$2:$N$2026,13,FALSE))</f>
        <v>80</v>
      </c>
      <c r="AB274" s="142">
        <f>IF(ISERROR(VLOOKUP(P274,Gegenstände!$B$2:$N$2026,13,FALSE)),0,VLOOKUP(P274,Gegenstände!$B$2:$N$2026,13,FALSE))</f>
        <v>200</v>
      </c>
      <c r="AC274" s="142">
        <f>IF(ISERROR(VLOOKUP(R274,Gegenstände!$B$2:$N$2026,13,FALSE)),0,VLOOKUP(R274,Gegenstände!$B$2:$N$2026,13,FALSE))</f>
        <v>0</v>
      </c>
      <c r="AD274" s="142"/>
      <c r="AE274" s="475">
        <f t="shared" ref="AE274:AE291" si="109">IF(ISERROR(K274*Z274),"",K274*Z274)</f>
        <v>2160</v>
      </c>
      <c r="AF274" s="476">
        <f t="shared" ref="AF274:AF291" si="110">IF(ISERROR(M274*AA274+O274*AB274+Q274*AC274),"",M274*AA274+O274*AB274+Q274*AC274)</f>
        <v>2320</v>
      </c>
      <c r="AG274" s="128">
        <f t="shared" si="96"/>
        <v>0.30857142857142855</v>
      </c>
      <c r="AH274" s="128">
        <f t="shared" si="97"/>
        <v>0.33142857142857141</v>
      </c>
      <c r="AI274" s="129">
        <f t="shared" si="98"/>
        <v>0.64</v>
      </c>
      <c r="AJ274" s="426">
        <f t="shared" ref="AJ274:AJ291" si="111">Y274-(AE274+AF274)</f>
        <v>2520</v>
      </c>
      <c r="AK274" s="131">
        <f t="shared" si="105"/>
        <v>840</v>
      </c>
      <c r="AL274" s="477">
        <f>AK274/VLOOKUP(IF(I274&gt;0,I274,1),Preise!$A$3:$B$27,2,FALSE)</f>
        <v>209.99999999999994</v>
      </c>
    </row>
    <row r="275" spans="1:38" s="3" customFormat="1" outlineLevel="1" x14ac:dyDescent="0.2">
      <c r="A275" s="5">
        <v>1334</v>
      </c>
      <c r="B275" s="412">
        <v>1334</v>
      </c>
      <c r="C275" s="132" t="str">
        <f>VLOOKUP(B275,Gegenstände!$A342:$B957,2,FALSE)</f>
        <v>Riesenleder-Hose</v>
      </c>
      <c r="D275" s="133">
        <f>VLOOKUP(B275,Gegenstände!$A342:$D957,4,FALSE)</f>
        <v>17</v>
      </c>
      <c r="E275" s="468">
        <v>31</v>
      </c>
      <c r="F275" s="3">
        <v>240</v>
      </c>
      <c r="G275" s="54">
        <v>4</v>
      </c>
      <c r="H275" s="469">
        <v>61</v>
      </c>
      <c r="I275" s="54">
        <v>16</v>
      </c>
      <c r="J275" s="470"/>
      <c r="K275" s="54">
        <v>11</v>
      </c>
      <c r="L275" s="3" t="s">
        <v>166</v>
      </c>
      <c r="M275" s="85">
        <v>9</v>
      </c>
      <c r="N275" s="83" t="s">
        <v>198</v>
      </c>
      <c r="O275" s="85">
        <v>12</v>
      </c>
      <c r="P275" s="84" t="s">
        <v>200</v>
      </c>
      <c r="Q275" s="85"/>
      <c r="R275" s="84"/>
      <c r="S275" s="418"/>
      <c r="T275" s="418"/>
      <c r="U275" s="471">
        <f>VLOOKUP(D275,Preise!$A$3:$C$27,3)</f>
        <v>9.3576208735366695</v>
      </c>
      <c r="V275" s="523">
        <f>0.2*W275</f>
        <v>9357.6208735366708</v>
      </c>
      <c r="W275" s="131">
        <f t="shared" si="106"/>
        <v>46788.104367683351</v>
      </c>
      <c r="X275" s="472">
        <f t="shared" si="107"/>
        <v>9400</v>
      </c>
      <c r="Y275" s="473">
        <f t="shared" si="108"/>
        <v>9400</v>
      </c>
      <c r="Z275" s="474">
        <f>IF(ISERROR(VLOOKUP(L275,Gegenstände!$B$2:$N$2026,13,FALSE)),0,VLOOKUP(L275,Gegenstände!$B$2:$N$2026,13,FALSE))</f>
        <v>270</v>
      </c>
      <c r="AA275" s="142">
        <f>IF(ISERROR(VLOOKUP(N275,Gegenstände!$B$2:$N$2026,13,FALSE)),0,VLOOKUP(N275,Gegenstände!$B$2:$N$2026,13,FALSE))</f>
        <v>80</v>
      </c>
      <c r="AB275" s="142">
        <f>IF(ISERROR(VLOOKUP(P275,Gegenstände!$B$2:$N$2026,13,FALSE)),0,VLOOKUP(P275,Gegenstände!$B$2:$N$2026,13,FALSE))</f>
        <v>200</v>
      </c>
      <c r="AC275" s="142">
        <f>IF(ISERROR(VLOOKUP(R275,Gegenstände!$B$2:$N$2026,13,FALSE)),0,VLOOKUP(R275,Gegenstände!$B$2:$N$2026,13,FALSE))</f>
        <v>0</v>
      </c>
      <c r="AD275" s="142"/>
      <c r="AE275" s="475">
        <f t="shared" si="109"/>
        <v>2970</v>
      </c>
      <c r="AF275" s="476">
        <f t="shared" si="110"/>
        <v>3120</v>
      </c>
      <c r="AG275" s="128">
        <f t="shared" si="96"/>
        <v>0.31595744680851062</v>
      </c>
      <c r="AH275" s="128">
        <f t="shared" si="97"/>
        <v>0.33191489361702126</v>
      </c>
      <c r="AI275" s="129">
        <f t="shared" si="98"/>
        <v>0.64787234042553188</v>
      </c>
      <c r="AJ275" s="426">
        <f t="shared" si="111"/>
        <v>3310</v>
      </c>
      <c r="AK275" s="131">
        <f t="shared" si="105"/>
        <v>827.5</v>
      </c>
      <c r="AL275" s="477">
        <f>AK275/VLOOKUP(IF(I275&gt;0,I275,1),Preise!$A$3:$B$27,2,FALSE)</f>
        <v>206.87499999999994</v>
      </c>
    </row>
    <row r="276" spans="1:38" s="3" customFormat="1" outlineLevel="1" x14ac:dyDescent="0.2">
      <c r="A276" s="5">
        <v>1335</v>
      </c>
      <c r="B276" s="412">
        <v>1335</v>
      </c>
      <c r="C276" s="132" t="str">
        <f>VLOOKUP(B276,Gegenstände!$A343:$B958,2,FALSE)</f>
        <v>Riesenleder-Schuhe</v>
      </c>
      <c r="D276" s="133">
        <f>VLOOKUP(B276,Gegenstände!$A343:$D958,4,FALSE)</f>
        <v>17</v>
      </c>
      <c r="E276" s="468">
        <v>31</v>
      </c>
      <c r="F276" s="3">
        <v>180</v>
      </c>
      <c r="G276" s="54">
        <v>4</v>
      </c>
      <c r="H276" s="469">
        <v>61</v>
      </c>
      <c r="I276" s="54">
        <v>16</v>
      </c>
      <c r="J276" s="470"/>
      <c r="K276" s="54">
        <v>8</v>
      </c>
      <c r="L276" s="3" t="s">
        <v>166</v>
      </c>
      <c r="M276" s="85">
        <v>9</v>
      </c>
      <c r="N276" s="83" t="s">
        <v>198</v>
      </c>
      <c r="O276" s="85">
        <v>8</v>
      </c>
      <c r="P276" s="84" t="s">
        <v>200</v>
      </c>
      <c r="Q276" s="85"/>
      <c r="R276" s="84"/>
      <c r="S276" s="418"/>
      <c r="T276" s="418"/>
      <c r="U276" s="471">
        <f>VLOOKUP(D276,Preise!$A$3:$C$27,3)</f>
        <v>9.3576208735366695</v>
      </c>
      <c r="V276" s="558">
        <f>0.15*W276</f>
        <v>7018.2156551525022</v>
      </c>
      <c r="W276" s="559">
        <f t="shared" si="106"/>
        <v>46788.104367683351</v>
      </c>
      <c r="X276" s="560">
        <f t="shared" si="107"/>
        <v>7000</v>
      </c>
      <c r="Y276" s="473">
        <f t="shared" si="108"/>
        <v>7000</v>
      </c>
      <c r="Z276" s="474">
        <f>IF(ISERROR(VLOOKUP(L276,Gegenstände!$B$2:$N$2026,13,FALSE)),0,VLOOKUP(L276,Gegenstände!$B$2:$N$2026,13,FALSE))</f>
        <v>270</v>
      </c>
      <c r="AA276" s="142">
        <f>IF(ISERROR(VLOOKUP(N276,Gegenstände!$B$2:$N$2026,13,FALSE)),0,VLOOKUP(N276,Gegenstände!$B$2:$N$2026,13,FALSE))</f>
        <v>80</v>
      </c>
      <c r="AB276" s="142">
        <f>IF(ISERROR(VLOOKUP(P276,Gegenstände!$B$2:$N$2026,13,FALSE)),0,VLOOKUP(P276,Gegenstände!$B$2:$N$2026,13,FALSE))</f>
        <v>200</v>
      </c>
      <c r="AC276" s="142">
        <f>IF(ISERROR(VLOOKUP(R276,Gegenstände!$B$2:$N$2026,13,FALSE)),0,VLOOKUP(R276,Gegenstände!$B$2:$N$2026,13,FALSE))</f>
        <v>0</v>
      </c>
      <c r="AD276" s="142"/>
      <c r="AE276" s="475">
        <f t="shared" si="109"/>
        <v>2160</v>
      </c>
      <c r="AF276" s="476">
        <f t="shared" si="110"/>
        <v>2320</v>
      </c>
      <c r="AG276" s="128">
        <f t="shared" si="96"/>
        <v>0.30857142857142855</v>
      </c>
      <c r="AH276" s="128">
        <f t="shared" si="97"/>
        <v>0.33142857142857141</v>
      </c>
      <c r="AI276" s="129">
        <f t="shared" si="98"/>
        <v>0.64</v>
      </c>
      <c r="AJ276" s="426">
        <f t="shared" si="111"/>
        <v>2520</v>
      </c>
      <c r="AK276" s="131">
        <f t="shared" si="105"/>
        <v>840</v>
      </c>
      <c r="AL276" s="477">
        <f>AK276/VLOOKUP(IF(I276&gt;0,I276,1),Preise!$A$3:$B$27,2,FALSE)</f>
        <v>209.99999999999994</v>
      </c>
    </row>
    <row r="277" spans="1:38" s="3" customFormat="1" outlineLevel="1" x14ac:dyDescent="0.2">
      <c r="A277" s="5">
        <v>1336</v>
      </c>
      <c r="B277" s="412">
        <v>1336</v>
      </c>
      <c r="C277" s="132" t="str">
        <f>VLOOKUP(B277,Gegenstände!$A344:$B959,2,FALSE)</f>
        <v>Riesenleder-Helm</v>
      </c>
      <c r="D277" s="133">
        <f>VLOOKUP(B277,Gegenstände!$A344:$D959,4,FALSE)</f>
        <v>19</v>
      </c>
      <c r="E277" s="468">
        <v>31</v>
      </c>
      <c r="F277" s="3">
        <v>240</v>
      </c>
      <c r="G277" s="54">
        <v>4</v>
      </c>
      <c r="H277" s="469">
        <v>61</v>
      </c>
      <c r="I277" s="54">
        <v>18</v>
      </c>
      <c r="J277" s="470"/>
      <c r="K277" s="54">
        <v>15</v>
      </c>
      <c r="L277" s="3" t="s">
        <v>166</v>
      </c>
      <c r="M277" s="85">
        <v>14</v>
      </c>
      <c r="N277" s="83" t="s">
        <v>198</v>
      </c>
      <c r="O277" s="85">
        <v>15</v>
      </c>
      <c r="P277" s="84" t="s">
        <v>200</v>
      </c>
      <c r="Q277" s="85"/>
      <c r="R277" s="84"/>
      <c r="S277" s="418"/>
      <c r="T277" s="418"/>
      <c r="U277" s="471">
        <f>VLOOKUP(D277,Preise!$A$3:$C$27,3)</f>
        <v>12.375453605252243</v>
      </c>
      <c r="V277" s="523">
        <f>0.2*W277</f>
        <v>12375.453605252245</v>
      </c>
      <c r="W277" s="131">
        <f t="shared" si="106"/>
        <v>61877.268026261219</v>
      </c>
      <c r="X277" s="472">
        <f t="shared" si="107"/>
        <v>12400</v>
      </c>
      <c r="Y277" s="473">
        <f t="shared" si="108"/>
        <v>12400</v>
      </c>
      <c r="Z277" s="474">
        <f>IF(ISERROR(VLOOKUP(L277,Gegenstände!$B$2:$N$2026,13,FALSE)),0,VLOOKUP(L277,Gegenstände!$B$2:$N$2026,13,FALSE))</f>
        <v>270</v>
      </c>
      <c r="AA277" s="142">
        <f>IF(ISERROR(VLOOKUP(N277,Gegenstände!$B$2:$N$2026,13,FALSE)),0,VLOOKUP(N277,Gegenstände!$B$2:$N$2026,13,FALSE))</f>
        <v>80</v>
      </c>
      <c r="AB277" s="142">
        <f>IF(ISERROR(VLOOKUP(P277,Gegenstände!$B$2:$N$2026,13,FALSE)),0,VLOOKUP(P277,Gegenstände!$B$2:$N$2026,13,FALSE))</f>
        <v>200</v>
      </c>
      <c r="AC277" s="142">
        <f>IF(ISERROR(VLOOKUP(R277,Gegenstände!$B$2:$N$2026,13,FALSE)),0,VLOOKUP(R277,Gegenstände!$B$2:$N$2026,13,FALSE))</f>
        <v>0</v>
      </c>
      <c r="AD277" s="142"/>
      <c r="AE277" s="475">
        <f t="shared" si="109"/>
        <v>4050</v>
      </c>
      <c r="AF277" s="476">
        <f t="shared" si="110"/>
        <v>4120</v>
      </c>
      <c r="AG277" s="128">
        <f t="shared" si="96"/>
        <v>0.32661290322580644</v>
      </c>
      <c r="AH277" s="128">
        <f t="shared" si="97"/>
        <v>0.33225806451612905</v>
      </c>
      <c r="AI277" s="129">
        <f t="shared" si="98"/>
        <v>0.65887096774193543</v>
      </c>
      <c r="AJ277" s="426">
        <f t="shared" si="111"/>
        <v>4230</v>
      </c>
      <c r="AK277" s="131">
        <f t="shared" si="105"/>
        <v>1057.5</v>
      </c>
      <c r="AL277" s="477">
        <f>AK277/VLOOKUP(IF(I277&gt;0,I277,1),Preise!$A$3:$B$27,2,FALSE)</f>
        <v>240.34090909090904</v>
      </c>
    </row>
    <row r="278" spans="1:38" s="3" customFormat="1" outlineLevel="1" x14ac:dyDescent="0.2">
      <c r="A278" s="5">
        <v>1337</v>
      </c>
      <c r="B278" s="412">
        <v>1337</v>
      </c>
      <c r="C278" s="132" t="str">
        <f>VLOOKUP(B278,Gegenstände!$A345:$B960,2,FALSE)</f>
        <v>Riesenleder-Harnisch</v>
      </c>
      <c r="D278" s="133">
        <f>VLOOKUP(B278,Gegenstände!$A345:$D960,4,FALSE)</f>
        <v>19</v>
      </c>
      <c r="E278" s="468">
        <v>31</v>
      </c>
      <c r="F278" s="3">
        <v>360</v>
      </c>
      <c r="G278" s="54">
        <v>4</v>
      </c>
      <c r="H278" s="469">
        <v>61</v>
      </c>
      <c r="I278" s="54">
        <v>18</v>
      </c>
      <c r="J278" s="470"/>
      <c r="K278" s="54">
        <v>23</v>
      </c>
      <c r="L278" s="3" t="s">
        <v>166</v>
      </c>
      <c r="M278" s="85">
        <v>14</v>
      </c>
      <c r="N278" s="83" t="s">
        <v>198</v>
      </c>
      <c r="O278" s="85">
        <v>25</v>
      </c>
      <c r="P278" s="84" t="s">
        <v>200</v>
      </c>
      <c r="Q278" s="85"/>
      <c r="R278" s="84"/>
      <c r="S278" s="418"/>
      <c r="T278" s="418"/>
      <c r="U278" s="471">
        <f>VLOOKUP(D278,Preise!$A$3:$C$27,3)</f>
        <v>12.375453605252243</v>
      </c>
      <c r="V278" s="523">
        <f>0.3*W278</f>
        <v>18563.180407878364</v>
      </c>
      <c r="W278" s="131">
        <f t="shared" si="106"/>
        <v>61877.268026261219</v>
      </c>
      <c r="X278" s="472">
        <f t="shared" si="107"/>
        <v>18600</v>
      </c>
      <c r="Y278" s="473">
        <f t="shared" si="108"/>
        <v>18600</v>
      </c>
      <c r="Z278" s="474">
        <f>IF(ISERROR(VLOOKUP(L278,Gegenstände!$B$2:$N$2026,13,FALSE)),0,VLOOKUP(L278,Gegenstände!$B$2:$N$2026,13,FALSE))</f>
        <v>270</v>
      </c>
      <c r="AA278" s="142">
        <f>IF(ISERROR(VLOOKUP(N278,Gegenstände!$B$2:$N$2026,13,FALSE)),0,VLOOKUP(N278,Gegenstände!$B$2:$N$2026,13,FALSE))</f>
        <v>80</v>
      </c>
      <c r="AB278" s="142">
        <f>IF(ISERROR(VLOOKUP(P278,Gegenstände!$B$2:$N$2026,13,FALSE)),0,VLOOKUP(P278,Gegenstände!$B$2:$N$2026,13,FALSE))</f>
        <v>200</v>
      </c>
      <c r="AC278" s="142">
        <f>IF(ISERROR(VLOOKUP(R278,Gegenstände!$B$2:$N$2026,13,FALSE)),0,VLOOKUP(R278,Gegenstände!$B$2:$N$2026,13,FALSE))</f>
        <v>0</v>
      </c>
      <c r="AD278" s="142"/>
      <c r="AE278" s="475">
        <f t="shared" si="109"/>
        <v>6210</v>
      </c>
      <c r="AF278" s="476">
        <f t="shared" si="110"/>
        <v>6120</v>
      </c>
      <c r="AG278" s="128">
        <f t="shared" si="96"/>
        <v>0.33387096774193548</v>
      </c>
      <c r="AH278" s="128">
        <f t="shared" si="97"/>
        <v>0.32903225806451614</v>
      </c>
      <c r="AI278" s="129">
        <f t="shared" si="98"/>
        <v>0.66290322580645167</v>
      </c>
      <c r="AJ278" s="426">
        <f t="shared" si="111"/>
        <v>6270</v>
      </c>
      <c r="AK278" s="131">
        <f t="shared" si="105"/>
        <v>1045</v>
      </c>
      <c r="AL278" s="477">
        <f>AK278/VLOOKUP(IF(I278&gt;0,I278,1),Preise!$A$3:$B$27,2,FALSE)</f>
        <v>237.49999999999994</v>
      </c>
    </row>
    <row r="279" spans="1:38" s="3" customFormat="1" outlineLevel="1" x14ac:dyDescent="0.2">
      <c r="A279" s="5">
        <v>1338</v>
      </c>
      <c r="B279" s="412">
        <v>1338</v>
      </c>
      <c r="C279" s="132" t="str">
        <f>VLOOKUP(B279,Gegenstände!$A346:$B961,2,FALSE)</f>
        <v>Riesenleder-Stulpen</v>
      </c>
      <c r="D279" s="133">
        <f>VLOOKUP(B279,Gegenstände!$A346:$D961,4,FALSE)</f>
        <v>20</v>
      </c>
      <c r="E279" s="468">
        <v>31</v>
      </c>
      <c r="F279" s="3">
        <v>180</v>
      </c>
      <c r="G279" s="54">
        <v>4</v>
      </c>
      <c r="H279" s="469">
        <v>61</v>
      </c>
      <c r="I279" s="54">
        <v>19</v>
      </c>
      <c r="J279" s="470"/>
      <c r="K279" s="54">
        <v>13</v>
      </c>
      <c r="L279" s="3" t="s">
        <v>166</v>
      </c>
      <c r="M279" s="85">
        <v>14</v>
      </c>
      <c r="N279" s="83" t="s">
        <v>198</v>
      </c>
      <c r="O279" s="85">
        <v>12</v>
      </c>
      <c r="P279" s="84" t="s">
        <v>200</v>
      </c>
      <c r="Q279" s="85"/>
      <c r="R279" s="84"/>
      <c r="S279" s="418"/>
      <c r="T279" s="418"/>
      <c r="U279" s="471">
        <f>VLOOKUP(D279,Preise!$A$3:$C$27,3)</f>
        <v>14.231771646040078</v>
      </c>
      <c r="V279" s="523">
        <f>0.15*W279</f>
        <v>10673.828734530058</v>
      </c>
      <c r="W279" s="131">
        <f t="shared" si="106"/>
        <v>71158.858230200392</v>
      </c>
      <c r="X279" s="472">
        <f t="shared" si="107"/>
        <v>10700</v>
      </c>
      <c r="Y279" s="473">
        <f t="shared" si="108"/>
        <v>10700</v>
      </c>
      <c r="Z279" s="474">
        <f>IF(ISERROR(VLOOKUP(L279,Gegenstände!$B$2:$N$2026,13,FALSE)),0,VLOOKUP(L279,Gegenstände!$B$2:$N$2026,13,FALSE))</f>
        <v>270</v>
      </c>
      <c r="AA279" s="142">
        <f>IF(ISERROR(VLOOKUP(N279,Gegenstände!$B$2:$N$2026,13,FALSE)),0,VLOOKUP(N279,Gegenstände!$B$2:$N$2026,13,FALSE))</f>
        <v>80</v>
      </c>
      <c r="AB279" s="142">
        <f>IF(ISERROR(VLOOKUP(P279,Gegenstände!$B$2:$N$2026,13,FALSE)),0,VLOOKUP(P279,Gegenstände!$B$2:$N$2026,13,FALSE))</f>
        <v>200</v>
      </c>
      <c r="AC279" s="142">
        <f>IF(ISERROR(VLOOKUP(R279,Gegenstände!$B$2:$N$2026,13,FALSE)),0,VLOOKUP(R279,Gegenstände!$B$2:$N$2026,13,FALSE))</f>
        <v>0</v>
      </c>
      <c r="AD279" s="142"/>
      <c r="AE279" s="475">
        <f t="shared" si="109"/>
        <v>3510</v>
      </c>
      <c r="AF279" s="476">
        <f t="shared" si="110"/>
        <v>3520</v>
      </c>
      <c r="AG279" s="128">
        <f t="shared" si="96"/>
        <v>0.32803738317757009</v>
      </c>
      <c r="AH279" s="128">
        <f t="shared" si="97"/>
        <v>0.32897196261682243</v>
      </c>
      <c r="AI279" s="129">
        <f t="shared" si="98"/>
        <v>0.65700934579439252</v>
      </c>
      <c r="AJ279" s="426">
        <f t="shared" si="111"/>
        <v>3670</v>
      </c>
      <c r="AK279" s="131">
        <f t="shared" si="105"/>
        <v>1223.3333333333333</v>
      </c>
      <c r="AL279" s="477">
        <f>AK279/VLOOKUP(IF(I279&gt;0,I279,1),Preise!$A$3:$B$27,2,FALSE)</f>
        <v>265.94202898550714</v>
      </c>
    </row>
    <row r="280" spans="1:38" s="3" customFormat="1" outlineLevel="1" x14ac:dyDescent="0.2">
      <c r="A280" s="5">
        <v>1339</v>
      </c>
      <c r="B280" s="412">
        <v>1339</v>
      </c>
      <c r="C280" s="132" t="str">
        <f>VLOOKUP(B280,Gegenstände!$A347:$B962,2,FALSE)</f>
        <v>Riesenleder-Beinlinge</v>
      </c>
      <c r="D280" s="133">
        <f>VLOOKUP(B280,Gegenstände!$A347:$D962,4,FALSE)</f>
        <v>20</v>
      </c>
      <c r="E280" s="468">
        <v>31</v>
      </c>
      <c r="F280" s="3">
        <v>240</v>
      </c>
      <c r="G280" s="54">
        <v>4</v>
      </c>
      <c r="H280" s="469">
        <v>61</v>
      </c>
      <c r="I280" s="54">
        <v>19</v>
      </c>
      <c r="J280" s="470"/>
      <c r="K280" s="54">
        <v>17</v>
      </c>
      <c r="L280" s="3" t="s">
        <v>166</v>
      </c>
      <c r="M280" s="85">
        <v>14</v>
      </c>
      <c r="N280" s="83" t="s">
        <v>198</v>
      </c>
      <c r="O280" s="85">
        <v>18</v>
      </c>
      <c r="P280" s="84" t="s">
        <v>200</v>
      </c>
      <c r="Q280" s="85"/>
      <c r="R280" s="84"/>
      <c r="S280" s="418"/>
      <c r="T280" s="418"/>
      <c r="U280" s="471">
        <f>VLOOKUP(D280,Preise!$A$3:$C$27,3)</f>
        <v>14.231771646040078</v>
      </c>
      <c r="V280" s="523">
        <f>0.2*W280</f>
        <v>14231.771646040079</v>
      </c>
      <c r="W280" s="131">
        <f t="shared" si="106"/>
        <v>71158.858230200392</v>
      </c>
      <c r="X280" s="472">
        <f t="shared" si="107"/>
        <v>14200</v>
      </c>
      <c r="Y280" s="473">
        <f t="shared" si="108"/>
        <v>14200</v>
      </c>
      <c r="Z280" s="474">
        <f>IF(ISERROR(VLOOKUP(L280,Gegenstände!$B$2:$N$2026,13,FALSE)),0,VLOOKUP(L280,Gegenstände!$B$2:$N$2026,13,FALSE))</f>
        <v>270</v>
      </c>
      <c r="AA280" s="142">
        <f>IF(ISERROR(VLOOKUP(N280,Gegenstände!$B$2:$N$2026,13,FALSE)),0,VLOOKUP(N280,Gegenstände!$B$2:$N$2026,13,FALSE))</f>
        <v>80</v>
      </c>
      <c r="AB280" s="142">
        <f>IF(ISERROR(VLOOKUP(P280,Gegenstände!$B$2:$N$2026,13,FALSE)),0,VLOOKUP(P280,Gegenstände!$B$2:$N$2026,13,FALSE))</f>
        <v>200</v>
      </c>
      <c r="AC280" s="142">
        <f>IF(ISERROR(VLOOKUP(R280,Gegenstände!$B$2:$N$2026,13,FALSE)),0,VLOOKUP(R280,Gegenstände!$B$2:$N$2026,13,FALSE))</f>
        <v>0</v>
      </c>
      <c r="AD280" s="142"/>
      <c r="AE280" s="475">
        <f t="shared" si="109"/>
        <v>4590</v>
      </c>
      <c r="AF280" s="476">
        <f t="shared" si="110"/>
        <v>4720</v>
      </c>
      <c r="AG280" s="128">
        <f t="shared" si="96"/>
        <v>0.32323943661971832</v>
      </c>
      <c r="AH280" s="128">
        <f t="shared" si="97"/>
        <v>0.3323943661971831</v>
      </c>
      <c r="AI280" s="129">
        <f t="shared" si="98"/>
        <v>0.65563380281690142</v>
      </c>
      <c r="AJ280" s="426">
        <f t="shared" si="111"/>
        <v>4890</v>
      </c>
      <c r="AK280" s="131">
        <f t="shared" si="105"/>
        <v>1222.5</v>
      </c>
      <c r="AL280" s="477">
        <f>AK280/VLOOKUP(IF(I280&gt;0,I280,1),Preise!$A$3:$B$27,2,FALSE)</f>
        <v>265.76086956521732</v>
      </c>
    </row>
    <row r="281" spans="1:38" s="3" customFormat="1" outlineLevel="1" x14ac:dyDescent="0.2">
      <c r="A281" s="345">
        <v>1340</v>
      </c>
      <c r="B281" s="561">
        <v>1340</v>
      </c>
      <c r="C281" s="413" t="str">
        <f>VLOOKUP(B281,Gegenstände!$A348:$B963,2,FALSE)</f>
        <v>Riesenleder-Stiefel</v>
      </c>
      <c r="D281" s="562">
        <f>VLOOKUP(B281,Gegenstände!$A348:$D963,4,FALSE)</f>
        <v>20</v>
      </c>
      <c r="E281" s="563">
        <v>31</v>
      </c>
      <c r="F281" s="334">
        <v>180</v>
      </c>
      <c r="G281" s="335">
        <v>4</v>
      </c>
      <c r="H281" s="565">
        <v>61</v>
      </c>
      <c r="I281" s="335">
        <v>19</v>
      </c>
      <c r="J281" s="566"/>
      <c r="K281" s="335">
        <v>13</v>
      </c>
      <c r="L281" s="334" t="s">
        <v>166</v>
      </c>
      <c r="M281" s="567">
        <v>14</v>
      </c>
      <c r="N281" s="568" t="s">
        <v>198</v>
      </c>
      <c r="O281" s="567">
        <v>12</v>
      </c>
      <c r="P281" s="574" t="s">
        <v>200</v>
      </c>
      <c r="Q281" s="567"/>
      <c r="R281" s="574"/>
      <c r="S281" s="575"/>
      <c r="T281" s="576"/>
      <c r="U281" s="471">
        <f>VLOOKUP(D281,Preise!$A$3:$C$27,3)</f>
        <v>14.231771646040078</v>
      </c>
      <c r="V281" s="558">
        <f>0.15*W281</f>
        <v>10673.828734530058</v>
      </c>
      <c r="W281" s="559">
        <f t="shared" si="106"/>
        <v>71158.858230200392</v>
      </c>
      <c r="X281" s="472">
        <f t="shared" si="107"/>
        <v>10700</v>
      </c>
      <c r="Y281" s="473">
        <f t="shared" si="108"/>
        <v>10700</v>
      </c>
      <c r="Z281" s="474">
        <f>IF(ISERROR(VLOOKUP(L281,Gegenstände!$B$2:$N$2026,13,FALSE)),0,VLOOKUP(L281,Gegenstände!$B$2:$N$2026,13,FALSE))</f>
        <v>270</v>
      </c>
      <c r="AA281" s="142">
        <f>IF(ISERROR(VLOOKUP(N281,Gegenstände!$B$2:$N$2026,13,FALSE)),0,VLOOKUP(N281,Gegenstände!$B$2:$N$2026,13,FALSE))</f>
        <v>80</v>
      </c>
      <c r="AB281" s="142">
        <f>IF(ISERROR(VLOOKUP(P281,Gegenstände!$B$2:$N$2026,13,FALSE)),0,VLOOKUP(P281,Gegenstände!$B$2:$N$2026,13,FALSE))</f>
        <v>200</v>
      </c>
      <c r="AC281" s="142">
        <f>IF(ISERROR(VLOOKUP(R281,Gegenstände!$B$2:$N$2026,13,FALSE)),0,VLOOKUP(R281,Gegenstände!$B$2:$N$2026,13,FALSE))</f>
        <v>0</v>
      </c>
      <c r="AD281" s="142"/>
      <c r="AE281" s="475">
        <f t="shared" si="109"/>
        <v>3510</v>
      </c>
      <c r="AF281" s="476">
        <f t="shared" si="110"/>
        <v>3520</v>
      </c>
      <c r="AG281" s="128">
        <f t="shared" si="96"/>
        <v>0.32803738317757009</v>
      </c>
      <c r="AH281" s="128">
        <f t="shared" si="97"/>
        <v>0.32897196261682243</v>
      </c>
      <c r="AI281" s="129">
        <f t="shared" si="98"/>
        <v>0.65700934579439252</v>
      </c>
      <c r="AJ281" s="426">
        <f t="shared" si="111"/>
        <v>3670</v>
      </c>
      <c r="AK281" s="131">
        <f t="shared" si="105"/>
        <v>1223.3333333333333</v>
      </c>
      <c r="AL281" s="477">
        <f>AK281/VLOOKUP(IF(I281&gt;0,I281,1),Preise!$A$3:$B$27,2,FALSE)</f>
        <v>265.94202898550714</v>
      </c>
    </row>
    <row r="282" spans="1:38" s="3" customFormat="1" outlineLevel="1" x14ac:dyDescent="0.2">
      <c r="A282" s="5">
        <v>1341</v>
      </c>
      <c r="B282" s="412">
        <v>1341</v>
      </c>
      <c r="C282" s="132" t="str">
        <f>VLOOKUP(B282,Gegenstände!$A349:$B964,2,FALSE)</f>
        <v>Drachenleder-Haube</v>
      </c>
      <c r="D282" s="133">
        <f>VLOOKUP(B282,Gegenstände!$A349:$D964,4,FALSE)</f>
        <v>21</v>
      </c>
      <c r="E282" s="468">
        <v>31</v>
      </c>
      <c r="F282" s="3">
        <v>240</v>
      </c>
      <c r="G282" s="54">
        <v>5</v>
      </c>
      <c r="H282" s="469">
        <v>61</v>
      </c>
      <c r="I282" s="54">
        <v>20</v>
      </c>
      <c r="J282" s="470"/>
      <c r="K282" s="54">
        <v>15</v>
      </c>
      <c r="L282" s="3" t="s">
        <v>167</v>
      </c>
      <c r="M282" s="85">
        <v>8</v>
      </c>
      <c r="N282" s="83" t="s">
        <v>198</v>
      </c>
      <c r="O282" s="85">
        <v>9</v>
      </c>
      <c r="P282" s="84" t="s">
        <v>200</v>
      </c>
      <c r="Q282" s="85">
        <v>6</v>
      </c>
      <c r="R282" s="84" t="s">
        <v>201</v>
      </c>
      <c r="S282" s="418"/>
      <c r="T282" s="418"/>
      <c r="U282" s="471">
        <f>VLOOKUP(D282,Preise!$A$3:$C$27,3)</f>
        <v>16.366537392946089</v>
      </c>
      <c r="V282" s="523">
        <f>0.2*W282</f>
        <v>16366.537392946089</v>
      </c>
      <c r="W282" s="131">
        <f t="shared" si="106"/>
        <v>81832.686964730441</v>
      </c>
      <c r="X282" s="557">
        <f t="shared" si="107"/>
        <v>16400</v>
      </c>
      <c r="Y282" s="473">
        <f t="shared" si="108"/>
        <v>16400</v>
      </c>
      <c r="Z282" s="474">
        <f>IF(ISERROR(VLOOKUP(L282,Gegenstände!$B$2:$N$2026,13,FALSE)),0,VLOOKUP(L282,Gegenstände!$B$2:$N$2026,13,FALSE))</f>
        <v>360</v>
      </c>
      <c r="AA282" s="142">
        <f>IF(ISERROR(VLOOKUP(N282,Gegenstände!$B$2:$N$2026,13,FALSE)),0,VLOOKUP(N282,Gegenstände!$B$2:$N$2026,13,FALSE))</f>
        <v>80</v>
      </c>
      <c r="AB282" s="142">
        <f>IF(ISERROR(VLOOKUP(P282,Gegenstände!$B$2:$N$2026,13,FALSE)),0,VLOOKUP(P282,Gegenstände!$B$2:$N$2026,13,FALSE))</f>
        <v>200</v>
      </c>
      <c r="AC282" s="142">
        <f>IF(ISERROR(VLOOKUP(R282,Gegenstände!$B$2:$N$2026,13,FALSE)),0,VLOOKUP(R282,Gegenstände!$B$2:$N$2026,13,FALSE))</f>
        <v>500</v>
      </c>
      <c r="AD282" s="142"/>
      <c r="AE282" s="475">
        <f t="shared" si="109"/>
        <v>5400</v>
      </c>
      <c r="AF282" s="476">
        <f t="shared" si="110"/>
        <v>5440</v>
      </c>
      <c r="AG282" s="128">
        <f t="shared" si="96"/>
        <v>0.32926829268292684</v>
      </c>
      <c r="AH282" s="128">
        <f t="shared" si="97"/>
        <v>0.33170731707317075</v>
      </c>
      <c r="AI282" s="129">
        <f t="shared" si="98"/>
        <v>0.66097560975609759</v>
      </c>
      <c r="AJ282" s="426">
        <f t="shared" si="111"/>
        <v>5560</v>
      </c>
      <c r="AK282" s="131">
        <f t="shared" si="105"/>
        <v>1390</v>
      </c>
      <c r="AL282" s="477">
        <f>AK282/VLOOKUP(IF(I282&gt;0,I282,1),Preise!$A$3:$B$27,2,FALSE)</f>
        <v>289.58333333333326</v>
      </c>
    </row>
    <row r="283" spans="1:38" s="3" customFormat="1" outlineLevel="1" x14ac:dyDescent="0.2">
      <c r="A283" s="5">
        <v>1342</v>
      </c>
      <c r="B283" s="412">
        <v>1342</v>
      </c>
      <c r="C283" s="132" t="str">
        <f>VLOOKUP(B283,Gegenstände!$A350:$B965,2,FALSE)</f>
        <v>Drachenleder-Wappenrock</v>
      </c>
      <c r="D283" s="133">
        <f>VLOOKUP(B283,Gegenstände!$A350:$D965,4,FALSE)</f>
        <v>21</v>
      </c>
      <c r="E283" s="468">
        <v>31</v>
      </c>
      <c r="F283" s="3">
        <v>360</v>
      </c>
      <c r="G283" s="54">
        <v>5</v>
      </c>
      <c r="H283" s="469">
        <v>61</v>
      </c>
      <c r="I283" s="54">
        <v>20</v>
      </c>
      <c r="J283" s="470"/>
      <c r="K283" s="54">
        <v>22</v>
      </c>
      <c r="L283" s="3" t="s">
        <v>167</v>
      </c>
      <c r="M283" s="85">
        <v>14</v>
      </c>
      <c r="N283" s="83" t="s">
        <v>198</v>
      </c>
      <c r="O283" s="85">
        <v>12</v>
      </c>
      <c r="P283" s="84" t="s">
        <v>200</v>
      </c>
      <c r="Q283" s="85">
        <v>9</v>
      </c>
      <c r="R283" s="84" t="s">
        <v>201</v>
      </c>
      <c r="S283" s="418"/>
      <c r="T283" s="418"/>
      <c r="U283" s="471">
        <f>VLOOKUP(D283,Preise!$A$3:$C$27,3)</f>
        <v>16.366537392946089</v>
      </c>
      <c r="V283" s="523">
        <f>0.3*W283</f>
        <v>24549.806089419133</v>
      </c>
      <c r="W283" s="131">
        <f t="shared" si="106"/>
        <v>81832.686964730441</v>
      </c>
      <c r="X283" s="472">
        <f t="shared" si="107"/>
        <v>24500</v>
      </c>
      <c r="Y283" s="473">
        <f t="shared" si="108"/>
        <v>24500</v>
      </c>
      <c r="Z283" s="474">
        <f>IF(ISERROR(VLOOKUP(L283,Gegenstände!$B$2:$N$2026,13,FALSE)),0,VLOOKUP(L283,Gegenstände!$B$2:$N$2026,13,FALSE))</f>
        <v>360</v>
      </c>
      <c r="AA283" s="142">
        <f>IF(ISERROR(VLOOKUP(N283,Gegenstände!$B$2:$N$2026,13,FALSE)),0,VLOOKUP(N283,Gegenstände!$B$2:$N$2026,13,FALSE))</f>
        <v>80</v>
      </c>
      <c r="AB283" s="142">
        <f>IF(ISERROR(VLOOKUP(P283,Gegenstände!$B$2:$N$2026,13,FALSE)),0,VLOOKUP(P283,Gegenstände!$B$2:$N$2026,13,FALSE))</f>
        <v>200</v>
      </c>
      <c r="AC283" s="142">
        <f>IF(ISERROR(VLOOKUP(R283,Gegenstände!$B$2:$N$2026,13,FALSE)),0,VLOOKUP(R283,Gegenstände!$B$2:$N$2026,13,FALSE))</f>
        <v>500</v>
      </c>
      <c r="AD283" s="142"/>
      <c r="AE283" s="475">
        <f t="shared" si="109"/>
        <v>7920</v>
      </c>
      <c r="AF283" s="476">
        <f t="shared" si="110"/>
        <v>8020</v>
      </c>
      <c r="AG283" s="128">
        <f t="shared" si="96"/>
        <v>0.32326530612244897</v>
      </c>
      <c r="AH283" s="128">
        <f t="shared" si="97"/>
        <v>0.32734693877551019</v>
      </c>
      <c r="AI283" s="129">
        <f t="shared" si="98"/>
        <v>0.65061224489795921</v>
      </c>
      <c r="AJ283" s="426">
        <f t="shared" si="111"/>
        <v>8560</v>
      </c>
      <c r="AK283" s="131">
        <f t="shared" si="105"/>
        <v>1426.6666666666667</v>
      </c>
      <c r="AL283" s="477">
        <f>AK283/VLOOKUP(IF(I283&gt;0,I283,1),Preise!$A$3:$B$27,2,FALSE)</f>
        <v>297.22222222222211</v>
      </c>
    </row>
    <row r="284" spans="1:38" s="3" customFormat="1" outlineLevel="1" x14ac:dyDescent="0.2">
      <c r="A284" s="5">
        <v>1343</v>
      </c>
      <c r="B284" s="412">
        <v>1343</v>
      </c>
      <c r="C284" s="132" t="str">
        <f>VLOOKUP(B284,Gegenstände!$A351:$B966,2,FALSE)</f>
        <v>Drachenleder-Handschuhe</v>
      </c>
      <c r="D284" s="133">
        <f>VLOOKUP(B284,Gegenstände!$A351:$D966,4,FALSE)</f>
        <v>22</v>
      </c>
      <c r="E284" s="468">
        <v>31</v>
      </c>
      <c r="F284" s="3">
        <v>180</v>
      </c>
      <c r="G284" s="54">
        <v>5</v>
      </c>
      <c r="H284" s="469">
        <v>61</v>
      </c>
      <c r="I284" s="54">
        <v>21</v>
      </c>
      <c r="J284" s="470"/>
      <c r="K284" s="54">
        <v>13</v>
      </c>
      <c r="L284" s="3" t="s">
        <v>167</v>
      </c>
      <c r="M284" s="85">
        <v>6</v>
      </c>
      <c r="N284" s="83" t="s">
        <v>198</v>
      </c>
      <c r="O284" s="85">
        <v>6</v>
      </c>
      <c r="P284" s="84" t="s">
        <v>200</v>
      </c>
      <c r="Q284" s="85">
        <v>6</v>
      </c>
      <c r="R284" s="84" t="s">
        <v>201</v>
      </c>
      <c r="S284" s="418"/>
      <c r="T284" s="418"/>
      <c r="U284" s="471">
        <f>VLOOKUP(D284,Preise!$A$3:$C$27,3)</f>
        <v>18.821518001888002</v>
      </c>
      <c r="V284" s="523">
        <f>0.15*W284</f>
        <v>14116.138501416002</v>
      </c>
      <c r="W284" s="131">
        <f t="shared" si="106"/>
        <v>94107.590009440013</v>
      </c>
      <c r="X284" s="472">
        <f t="shared" si="107"/>
        <v>14100</v>
      </c>
      <c r="Y284" s="473">
        <f t="shared" si="108"/>
        <v>14100</v>
      </c>
      <c r="Z284" s="474">
        <f>IF(ISERROR(VLOOKUP(L284,Gegenstände!$B$2:$N$2026,13,FALSE)),0,VLOOKUP(L284,Gegenstände!$B$2:$N$2026,13,FALSE))</f>
        <v>360</v>
      </c>
      <c r="AA284" s="142">
        <f>IF(ISERROR(VLOOKUP(N284,Gegenstände!$B$2:$N$2026,13,FALSE)),0,VLOOKUP(N284,Gegenstände!$B$2:$N$2026,13,FALSE))</f>
        <v>80</v>
      </c>
      <c r="AB284" s="142">
        <f>IF(ISERROR(VLOOKUP(P284,Gegenstände!$B$2:$N$2026,13,FALSE)),0,VLOOKUP(P284,Gegenstände!$B$2:$N$2026,13,FALSE))</f>
        <v>200</v>
      </c>
      <c r="AC284" s="142">
        <f>IF(ISERROR(VLOOKUP(R284,Gegenstände!$B$2:$N$2026,13,FALSE)),0,VLOOKUP(R284,Gegenstände!$B$2:$N$2026,13,FALSE))</f>
        <v>500</v>
      </c>
      <c r="AD284" s="142"/>
      <c r="AE284" s="475">
        <f t="shared" si="109"/>
        <v>4680</v>
      </c>
      <c r="AF284" s="476">
        <f t="shared" si="110"/>
        <v>4680</v>
      </c>
      <c r="AG284" s="128">
        <f t="shared" si="96"/>
        <v>0.33191489361702126</v>
      </c>
      <c r="AH284" s="128">
        <f t="shared" si="97"/>
        <v>0.33191489361702126</v>
      </c>
      <c r="AI284" s="129">
        <f t="shared" si="98"/>
        <v>0.66382978723404251</v>
      </c>
      <c r="AJ284" s="426">
        <f t="shared" si="111"/>
        <v>4740</v>
      </c>
      <c r="AK284" s="131">
        <f t="shared" si="105"/>
        <v>1580</v>
      </c>
      <c r="AL284" s="477">
        <f>AK284/VLOOKUP(IF(I284&gt;0,I284,1),Preise!$A$3:$B$27,2,FALSE)</f>
        <v>315.99999999999989</v>
      </c>
    </row>
    <row r="285" spans="1:38" s="3" customFormat="1" outlineLevel="1" x14ac:dyDescent="0.2">
      <c r="A285" s="5">
        <v>1344</v>
      </c>
      <c r="B285" s="412">
        <v>1344</v>
      </c>
      <c r="C285" s="132" t="str">
        <f>VLOOKUP(B285,Gegenstände!$A352:$B967,2,FALSE)</f>
        <v>Drachenleder-Hose</v>
      </c>
      <c r="D285" s="133">
        <f>VLOOKUP(B285,Gegenstände!$A352:$D967,4,FALSE)</f>
        <v>22</v>
      </c>
      <c r="E285" s="468">
        <v>31</v>
      </c>
      <c r="F285" s="3">
        <v>240</v>
      </c>
      <c r="G285" s="54">
        <v>5</v>
      </c>
      <c r="H285" s="469">
        <v>61</v>
      </c>
      <c r="I285" s="54">
        <v>21</v>
      </c>
      <c r="J285" s="470"/>
      <c r="K285" s="54">
        <v>17</v>
      </c>
      <c r="L285" s="3" t="s">
        <v>167</v>
      </c>
      <c r="M285" s="85">
        <v>6</v>
      </c>
      <c r="N285" s="83" t="s">
        <v>198</v>
      </c>
      <c r="O285" s="85">
        <v>6</v>
      </c>
      <c r="P285" s="84" t="s">
        <v>200</v>
      </c>
      <c r="Q285" s="85">
        <v>9</v>
      </c>
      <c r="R285" s="84" t="s">
        <v>201</v>
      </c>
      <c r="S285" s="418"/>
      <c r="T285" s="418"/>
      <c r="U285" s="471">
        <f>VLOOKUP(D285,Preise!$A$3:$C$27,3)</f>
        <v>18.821518001888002</v>
      </c>
      <c r="V285" s="523">
        <f>0.2*W285</f>
        <v>18821.518001888002</v>
      </c>
      <c r="W285" s="131">
        <f t="shared" si="106"/>
        <v>94107.590009440013</v>
      </c>
      <c r="X285" s="472">
        <f t="shared" si="107"/>
        <v>18800</v>
      </c>
      <c r="Y285" s="473">
        <f t="shared" si="108"/>
        <v>18800</v>
      </c>
      <c r="Z285" s="474">
        <f>IF(ISERROR(VLOOKUP(L285,Gegenstände!$B$2:$N$2026,13,FALSE)),0,VLOOKUP(L285,Gegenstände!$B$2:$N$2026,13,FALSE))</f>
        <v>360</v>
      </c>
      <c r="AA285" s="142">
        <f>IF(ISERROR(VLOOKUP(N285,Gegenstände!$B$2:$N$2026,13,FALSE)),0,VLOOKUP(N285,Gegenstände!$B$2:$N$2026,13,FALSE))</f>
        <v>80</v>
      </c>
      <c r="AB285" s="142">
        <f>IF(ISERROR(VLOOKUP(P285,Gegenstände!$B$2:$N$2026,13,FALSE)),0,VLOOKUP(P285,Gegenstände!$B$2:$N$2026,13,FALSE))</f>
        <v>200</v>
      </c>
      <c r="AC285" s="142">
        <f>IF(ISERROR(VLOOKUP(R285,Gegenstände!$B$2:$N$2026,13,FALSE)),0,VLOOKUP(R285,Gegenstände!$B$2:$N$2026,13,FALSE))</f>
        <v>500</v>
      </c>
      <c r="AD285" s="142"/>
      <c r="AE285" s="475">
        <f t="shared" si="109"/>
        <v>6120</v>
      </c>
      <c r="AF285" s="476">
        <f t="shared" si="110"/>
        <v>6180</v>
      </c>
      <c r="AG285" s="128">
        <f t="shared" si="96"/>
        <v>0.32553191489361705</v>
      </c>
      <c r="AH285" s="128">
        <f t="shared" si="97"/>
        <v>0.32872340425531915</v>
      </c>
      <c r="AI285" s="129">
        <f t="shared" si="98"/>
        <v>0.6542553191489362</v>
      </c>
      <c r="AJ285" s="426">
        <f t="shared" si="111"/>
        <v>6500</v>
      </c>
      <c r="AK285" s="131">
        <f t="shared" si="105"/>
        <v>1625</v>
      </c>
      <c r="AL285" s="477">
        <f>AK285/VLOOKUP(IF(I285&gt;0,I285,1),Preise!$A$3:$B$27,2,FALSE)</f>
        <v>324.99999999999989</v>
      </c>
    </row>
    <row r="286" spans="1:38" s="3" customFormat="1" outlineLevel="1" x14ac:dyDescent="0.2">
      <c r="A286" s="5">
        <v>1345</v>
      </c>
      <c r="B286" s="412">
        <v>1345</v>
      </c>
      <c r="C286" s="132" t="str">
        <f>VLOOKUP(B286,Gegenstände!$A353:$B968,2,FALSE)</f>
        <v>Drachenleder-Schuhe</v>
      </c>
      <c r="D286" s="133">
        <f>VLOOKUP(B286,Gegenstände!$A353:$D968,4,FALSE)</f>
        <v>22</v>
      </c>
      <c r="E286" s="468">
        <v>31</v>
      </c>
      <c r="F286" s="3">
        <v>180</v>
      </c>
      <c r="G286" s="54">
        <v>5</v>
      </c>
      <c r="H286" s="469">
        <v>61</v>
      </c>
      <c r="I286" s="54">
        <v>21</v>
      </c>
      <c r="J286" s="470"/>
      <c r="K286" s="54">
        <v>13</v>
      </c>
      <c r="L286" s="3" t="s">
        <v>167</v>
      </c>
      <c r="M286" s="85">
        <v>6</v>
      </c>
      <c r="N286" s="83" t="s">
        <v>198</v>
      </c>
      <c r="O286" s="85">
        <v>6</v>
      </c>
      <c r="P286" s="84" t="s">
        <v>200</v>
      </c>
      <c r="Q286" s="85">
        <v>6</v>
      </c>
      <c r="R286" s="84" t="s">
        <v>201</v>
      </c>
      <c r="S286" s="418"/>
      <c r="T286" s="418"/>
      <c r="U286" s="471">
        <f>VLOOKUP(D286,Preise!$A$3:$C$27,3)</f>
        <v>18.821518001888002</v>
      </c>
      <c r="V286" s="558">
        <f>0.15*W286</f>
        <v>14116.138501416002</v>
      </c>
      <c r="W286" s="559">
        <f t="shared" si="106"/>
        <v>94107.590009440013</v>
      </c>
      <c r="X286" s="560">
        <f t="shared" si="107"/>
        <v>14100</v>
      </c>
      <c r="Y286" s="473">
        <f t="shared" si="108"/>
        <v>14100</v>
      </c>
      <c r="Z286" s="474">
        <f>IF(ISERROR(VLOOKUP(L286,Gegenstände!$B$2:$N$2026,13,FALSE)),0,VLOOKUP(L286,Gegenstände!$B$2:$N$2026,13,FALSE))</f>
        <v>360</v>
      </c>
      <c r="AA286" s="142">
        <f>IF(ISERROR(VLOOKUP(N286,Gegenstände!$B$2:$N$2026,13,FALSE)),0,VLOOKUP(N286,Gegenstände!$B$2:$N$2026,13,FALSE))</f>
        <v>80</v>
      </c>
      <c r="AB286" s="142">
        <f>IF(ISERROR(VLOOKUP(P286,Gegenstände!$B$2:$N$2026,13,FALSE)),0,VLOOKUP(P286,Gegenstände!$B$2:$N$2026,13,FALSE))</f>
        <v>200</v>
      </c>
      <c r="AC286" s="142">
        <f>IF(ISERROR(VLOOKUP(R286,Gegenstände!$B$2:$N$2026,13,FALSE)),0,VLOOKUP(R286,Gegenstände!$B$2:$N$2026,13,FALSE))</f>
        <v>500</v>
      </c>
      <c r="AD286" s="142"/>
      <c r="AE286" s="475">
        <f t="shared" si="109"/>
        <v>4680</v>
      </c>
      <c r="AF286" s="476">
        <f t="shared" si="110"/>
        <v>4680</v>
      </c>
      <c r="AG286" s="128">
        <f t="shared" si="96"/>
        <v>0.33191489361702126</v>
      </c>
      <c r="AH286" s="128">
        <f t="shared" si="97"/>
        <v>0.33191489361702126</v>
      </c>
      <c r="AI286" s="129">
        <f t="shared" si="98"/>
        <v>0.66382978723404251</v>
      </c>
      <c r="AJ286" s="426">
        <f t="shared" si="111"/>
        <v>4740</v>
      </c>
      <c r="AK286" s="131">
        <f t="shared" si="105"/>
        <v>1580</v>
      </c>
      <c r="AL286" s="477">
        <f>AK286/VLOOKUP(IF(I286&gt;0,I286,1),Preise!$A$3:$B$27,2,FALSE)</f>
        <v>315.99999999999989</v>
      </c>
    </row>
    <row r="287" spans="1:38" s="3" customFormat="1" outlineLevel="1" x14ac:dyDescent="0.2">
      <c r="A287" s="5">
        <v>1346</v>
      </c>
      <c r="B287" s="412">
        <v>1346</v>
      </c>
      <c r="C287" s="132" t="str">
        <f>VLOOKUP(B287,Gegenstände!$A354:$B969,2,FALSE)</f>
        <v>Drachenleder-Helm</v>
      </c>
      <c r="D287" s="133">
        <f>VLOOKUP(B287,Gegenstände!$A354:$D969,4,FALSE)</f>
        <v>24</v>
      </c>
      <c r="E287" s="468">
        <v>31</v>
      </c>
      <c r="F287" s="3">
        <v>240</v>
      </c>
      <c r="G287" s="54">
        <v>5</v>
      </c>
      <c r="H287" s="469">
        <v>61</v>
      </c>
      <c r="I287" s="54">
        <v>23</v>
      </c>
      <c r="J287" s="470"/>
      <c r="K287" s="54">
        <v>22</v>
      </c>
      <c r="L287" s="3" t="s">
        <v>167</v>
      </c>
      <c r="M287" s="85">
        <v>8</v>
      </c>
      <c r="N287" s="83" t="s">
        <v>198</v>
      </c>
      <c r="O287" s="85">
        <v>8</v>
      </c>
      <c r="P287" s="84" t="s">
        <v>200</v>
      </c>
      <c r="Q287" s="85">
        <v>12</v>
      </c>
      <c r="R287" s="84" t="s">
        <v>201</v>
      </c>
      <c r="S287" s="418"/>
      <c r="T287" s="418"/>
      <c r="U287" s="471">
        <f>VLOOKUP(D287,Preise!$A$3:$C$27,3)</f>
        <v>24.891457557496878</v>
      </c>
      <c r="V287" s="523">
        <f>0.2*W287</f>
        <v>24891.457557496877</v>
      </c>
      <c r="W287" s="131">
        <f t="shared" si="106"/>
        <v>124457.28778748438</v>
      </c>
      <c r="X287" s="472">
        <f t="shared" si="107"/>
        <v>24900</v>
      </c>
      <c r="Y287" s="473">
        <f t="shared" si="108"/>
        <v>24900</v>
      </c>
      <c r="Z287" s="474">
        <f>IF(ISERROR(VLOOKUP(L287,Gegenstände!$B$2:$N$2026,13,FALSE)),0,VLOOKUP(L287,Gegenstände!$B$2:$N$2026,13,FALSE))</f>
        <v>360</v>
      </c>
      <c r="AA287" s="142">
        <f>IF(ISERROR(VLOOKUP(N287,Gegenstände!$B$2:$N$2026,13,FALSE)),0,VLOOKUP(N287,Gegenstände!$B$2:$N$2026,13,FALSE))</f>
        <v>80</v>
      </c>
      <c r="AB287" s="142">
        <f>IF(ISERROR(VLOOKUP(P287,Gegenstände!$B$2:$N$2026,13,FALSE)),0,VLOOKUP(P287,Gegenstände!$B$2:$N$2026,13,FALSE))</f>
        <v>200</v>
      </c>
      <c r="AC287" s="142">
        <f>IF(ISERROR(VLOOKUP(R287,Gegenstände!$B$2:$N$2026,13,FALSE)),0,VLOOKUP(R287,Gegenstände!$B$2:$N$2026,13,FALSE))</f>
        <v>500</v>
      </c>
      <c r="AD287" s="142"/>
      <c r="AE287" s="475">
        <f t="shared" si="109"/>
        <v>7920</v>
      </c>
      <c r="AF287" s="476">
        <f t="shared" si="110"/>
        <v>8240</v>
      </c>
      <c r="AG287" s="128">
        <f t="shared" si="96"/>
        <v>0.3180722891566265</v>
      </c>
      <c r="AH287" s="128">
        <f t="shared" si="97"/>
        <v>0.33092369477911648</v>
      </c>
      <c r="AI287" s="129">
        <f t="shared" si="98"/>
        <v>0.64899598393574298</v>
      </c>
      <c r="AJ287" s="426">
        <f t="shared" si="111"/>
        <v>8740</v>
      </c>
      <c r="AK287" s="131">
        <f t="shared" si="105"/>
        <v>2185</v>
      </c>
      <c r="AL287" s="477">
        <f>AK287/VLOOKUP(IF(I287&gt;0,I287,1),Preise!$A$3:$B$27,2,FALSE)</f>
        <v>404.62962962962945</v>
      </c>
    </row>
    <row r="288" spans="1:38" s="3" customFormat="1" outlineLevel="1" x14ac:dyDescent="0.2">
      <c r="A288" s="5">
        <v>1347</v>
      </c>
      <c r="B288" s="412">
        <v>1347</v>
      </c>
      <c r="C288" s="132" t="str">
        <f>VLOOKUP(B288,Gegenstände!$A355:$B970,2,FALSE)</f>
        <v>Drachenleder-Harnisch</v>
      </c>
      <c r="D288" s="133">
        <f>VLOOKUP(B288,Gegenstände!$A355:$D970,4,FALSE)</f>
        <v>24</v>
      </c>
      <c r="E288" s="468">
        <v>31</v>
      </c>
      <c r="F288" s="3">
        <v>360</v>
      </c>
      <c r="G288" s="54">
        <v>5</v>
      </c>
      <c r="H288" s="469">
        <v>61</v>
      </c>
      <c r="I288" s="54">
        <v>23</v>
      </c>
      <c r="J288" s="470"/>
      <c r="K288" s="54">
        <v>34</v>
      </c>
      <c r="L288" s="3" t="s">
        <v>167</v>
      </c>
      <c r="M288" s="85">
        <v>15</v>
      </c>
      <c r="N288" s="83" t="s">
        <v>198</v>
      </c>
      <c r="O288" s="85">
        <v>10</v>
      </c>
      <c r="P288" s="84" t="s">
        <v>200</v>
      </c>
      <c r="Q288" s="85">
        <v>18</v>
      </c>
      <c r="R288" s="84" t="s">
        <v>201</v>
      </c>
      <c r="S288" s="418"/>
      <c r="T288" s="418"/>
      <c r="U288" s="471">
        <f>VLOOKUP(D288,Preise!$A$3:$C$27,3)</f>
        <v>24.891457557496878</v>
      </c>
      <c r="V288" s="523">
        <f>0.3*W288</f>
        <v>37337.186336245315</v>
      </c>
      <c r="W288" s="131">
        <f t="shared" si="106"/>
        <v>124457.28778748438</v>
      </c>
      <c r="X288" s="472">
        <f t="shared" si="107"/>
        <v>37300</v>
      </c>
      <c r="Y288" s="473">
        <f t="shared" si="108"/>
        <v>37300</v>
      </c>
      <c r="Z288" s="474">
        <f>IF(ISERROR(VLOOKUP(L288,Gegenstände!$B$2:$N$2026,13,FALSE)),0,VLOOKUP(L288,Gegenstände!$B$2:$N$2026,13,FALSE))</f>
        <v>360</v>
      </c>
      <c r="AA288" s="142">
        <f>IF(ISERROR(VLOOKUP(N288,Gegenstände!$B$2:$N$2026,13,FALSE)),0,VLOOKUP(N288,Gegenstände!$B$2:$N$2026,13,FALSE))</f>
        <v>80</v>
      </c>
      <c r="AB288" s="142">
        <f>IF(ISERROR(VLOOKUP(P288,Gegenstände!$B$2:$N$2026,13,FALSE)),0,VLOOKUP(P288,Gegenstände!$B$2:$N$2026,13,FALSE))</f>
        <v>200</v>
      </c>
      <c r="AC288" s="142">
        <f>IF(ISERROR(VLOOKUP(R288,Gegenstände!$B$2:$N$2026,13,FALSE)),0,VLOOKUP(R288,Gegenstände!$B$2:$N$2026,13,FALSE))</f>
        <v>500</v>
      </c>
      <c r="AD288" s="142"/>
      <c r="AE288" s="475">
        <f t="shared" si="109"/>
        <v>12240</v>
      </c>
      <c r="AF288" s="476">
        <f t="shared" si="110"/>
        <v>12200</v>
      </c>
      <c r="AG288" s="128">
        <f t="shared" si="96"/>
        <v>0.32815013404825738</v>
      </c>
      <c r="AH288" s="128">
        <f t="shared" si="97"/>
        <v>0.32707774798927614</v>
      </c>
      <c r="AI288" s="129">
        <f t="shared" si="98"/>
        <v>0.65522788203753346</v>
      </c>
      <c r="AJ288" s="426">
        <f t="shared" si="111"/>
        <v>12860</v>
      </c>
      <c r="AK288" s="131">
        <f t="shared" si="105"/>
        <v>2143.3333333333335</v>
      </c>
      <c r="AL288" s="477">
        <f>AK288/VLOOKUP(IF(I288&gt;0,I288,1),Preise!$A$3:$B$27,2,FALSE)</f>
        <v>396.91358024691345</v>
      </c>
    </row>
    <row r="289" spans="1:38" s="3" customFormat="1" outlineLevel="1" x14ac:dyDescent="0.2">
      <c r="A289" s="5">
        <v>1348</v>
      </c>
      <c r="B289" s="412">
        <v>1348</v>
      </c>
      <c r="C289" s="132" t="str">
        <f>VLOOKUP(B289,Gegenstände!$A356:$B971,2,FALSE)</f>
        <v>Drachenleder-Stulpen</v>
      </c>
      <c r="D289" s="133">
        <f>VLOOKUP(B289,Gegenstände!$A356:$D971,4,FALSE)</f>
        <v>25</v>
      </c>
      <c r="E289" s="468">
        <v>31</v>
      </c>
      <c r="F289" s="3">
        <v>180</v>
      </c>
      <c r="G289" s="54">
        <v>5</v>
      </c>
      <c r="H289" s="469">
        <v>61</v>
      </c>
      <c r="I289" s="54">
        <v>24</v>
      </c>
      <c r="J289" s="470"/>
      <c r="K289" s="54">
        <v>20</v>
      </c>
      <c r="L289" s="3" t="s">
        <v>167</v>
      </c>
      <c r="M289" s="85">
        <v>6</v>
      </c>
      <c r="N289" s="83" t="s">
        <v>198</v>
      </c>
      <c r="O289" s="85">
        <v>8</v>
      </c>
      <c r="P289" s="84" t="s">
        <v>200</v>
      </c>
      <c r="Q289" s="85">
        <v>10</v>
      </c>
      <c r="R289" s="84" t="s">
        <v>201</v>
      </c>
      <c r="S289" s="418"/>
      <c r="T289" s="418"/>
      <c r="U289" s="471">
        <f>VLOOKUP(D289,Preise!$A$3:$C$27,3)</f>
        <v>28.625176191121408</v>
      </c>
      <c r="V289" s="523">
        <f>0.15*W289</f>
        <v>21468.882143341056</v>
      </c>
      <c r="W289" s="131">
        <f t="shared" si="106"/>
        <v>143125.88095560705</v>
      </c>
      <c r="X289" s="472">
        <f t="shared" si="107"/>
        <v>21500</v>
      </c>
      <c r="Y289" s="473">
        <f t="shared" si="108"/>
        <v>21500</v>
      </c>
      <c r="Z289" s="474">
        <f>IF(ISERROR(VLOOKUP(L289,Gegenstände!$B$2:$N$2026,13,FALSE)),0,VLOOKUP(L289,Gegenstände!$B$2:$N$2026,13,FALSE))</f>
        <v>360</v>
      </c>
      <c r="AA289" s="142">
        <f>IF(ISERROR(VLOOKUP(N289,Gegenstände!$B$2:$N$2026,13,FALSE)),0,VLOOKUP(N289,Gegenstände!$B$2:$N$2026,13,FALSE))</f>
        <v>80</v>
      </c>
      <c r="AB289" s="142">
        <f>IF(ISERROR(VLOOKUP(P289,Gegenstände!$B$2:$N$2026,13,FALSE)),0,VLOOKUP(P289,Gegenstände!$B$2:$N$2026,13,FALSE))</f>
        <v>200</v>
      </c>
      <c r="AC289" s="142">
        <f>IF(ISERROR(VLOOKUP(R289,Gegenstände!$B$2:$N$2026,13,FALSE)),0,VLOOKUP(R289,Gegenstände!$B$2:$N$2026,13,FALSE))</f>
        <v>500</v>
      </c>
      <c r="AD289" s="142"/>
      <c r="AE289" s="475">
        <f t="shared" si="109"/>
        <v>7200</v>
      </c>
      <c r="AF289" s="476">
        <f t="shared" si="110"/>
        <v>7080</v>
      </c>
      <c r="AG289" s="128">
        <f t="shared" si="96"/>
        <v>0.33488372093023255</v>
      </c>
      <c r="AH289" s="128">
        <f t="shared" si="97"/>
        <v>0.32930232558139533</v>
      </c>
      <c r="AI289" s="129">
        <f t="shared" si="98"/>
        <v>0.66418604651162794</v>
      </c>
      <c r="AJ289" s="426">
        <f t="shared" si="111"/>
        <v>7220</v>
      </c>
      <c r="AK289" s="131">
        <f t="shared" si="105"/>
        <v>2406.6666666666665</v>
      </c>
      <c r="AL289" s="477">
        <f>AK289/VLOOKUP(IF(I289&gt;0,I289,1),Preise!$A$3:$B$27,2,FALSE)</f>
        <v>429.76190476190453</v>
      </c>
    </row>
    <row r="290" spans="1:38" s="3" customFormat="1" outlineLevel="1" x14ac:dyDescent="0.2">
      <c r="A290" s="5">
        <v>1349</v>
      </c>
      <c r="B290" s="412">
        <v>1349</v>
      </c>
      <c r="C290" s="132" t="str">
        <f>VLOOKUP(B290,Gegenstände!$A357:$B972,2,FALSE)</f>
        <v>Drachenleder-Beinlinge</v>
      </c>
      <c r="D290" s="133">
        <f>VLOOKUP(B290,Gegenstände!$A357:$D972,4,FALSE)</f>
        <v>25</v>
      </c>
      <c r="E290" s="468">
        <v>31</v>
      </c>
      <c r="F290" s="3">
        <v>240</v>
      </c>
      <c r="G290" s="54">
        <v>5</v>
      </c>
      <c r="H290" s="469">
        <v>61</v>
      </c>
      <c r="I290" s="54">
        <v>24</v>
      </c>
      <c r="J290" s="470"/>
      <c r="K290" s="54">
        <v>26</v>
      </c>
      <c r="L290" s="3" t="s">
        <v>167</v>
      </c>
      <c r="M290" s="85">
        <v>8</v>
      </c>
      <c r="N290" s="83" t="s">
        <v>198</v>
      </c>
      <c r="O290" s="85">
        <v>6</v>
      </c>
      <c r="P290" s="84" t="s">
        <v>200</v>
      </c>
      <c r="Q290" s="85">
        <v>15</v>
      </c>
      <c r="R290" s="84" t="s">
        <v>201</v>
      </c>
      <c r="S290" s="418"/>
      <c r="T290" s="418"/>
      <c r="U290" s="471">
        <f>VLOOKUP(D290,Preise!$A$3:$C$27,3)</f>
        <v>28.625176191121408</v>
      </c>
      <c r="V290" s="523">
        <f>0.2*W290</f>
        <v>28625.176191121413</v>
      </c>
      <c r="W290" s="131">
        <f t="shared" si="106"/>
        <v>143125.88095560705</v>
      </c>
      <c r="X290" s="472">
        <f t="shared" si="107"/>
        <v>28600</v>
      </c>
      <c r="Y290" s="473">
        <f t="shared" si="108"/>
        <v>28600</v>
      </c>
      <c r="Z290" s="474">
        <f>IF(ISERROR(VLOOKUP(L290,Gegenstände!$B$2:$N$2026,13,FALSE)),0,VLOOKUP(L290,Gegenstände!$B$2:$N$2026,13,FALSE))</f>
        <v>360</v>
      </c>
      <c r="AA290" s="142">
        <f>IF(ISERROR(VLOOKUP(N290,Gegenstände!$B$2:$N$2026,13,FALSE)),0,VLOOKUP(N290,Gegenstände!$B$2:$N$2026,13,FALSE))</f>
        <v>80</v>
      </c>
      <c r="AB290" s="142">
        <f>IF(ISERROR(VLOOKUP(P290,Gegenstände!$B$2:$N$2026,13,FALSE)),0,VLOOKUP(P290,Gegenstände!$B$2:$N$2026,13,FALSE))</f>
        <v>200</v>
      </c>
      <c r="AC290" s="142">
        <f>IF(ISERROR(VLOOKUP(R290,Gegenstände!$B$2:$N$2026,13,FALSE)),0,VLOOKUP(R290,Gegenstände!$B$2:$N$2026,13,FALSE))</f>
        <v>500</v>
      </c>
      <c r="AD290" s="142"/>
      <c r="AE290" s="475">
        <f t="shared" si="109"/>
        <v>9360</v>
      </c>
      <c r="AF290" s="476">
        <f t="shared" si="110"/>
        <v>9340</v>
      </c>
      <c r="AG290" s="128">
        <f t="shared" si="96"/>
        <v>0.32727272727272727</v>
      </c>
      <c r="AH290" s="128">
        <f t="shared" si="97"/>
        <v>0.32657342657342658</v>
      </c>
      <c r="AI290" s="129">
        <f t="shared" si="98"/>
        <v>0.65384615384615385</v>
      </c>
      <c r="AJ290" s="426">
        <f t="shared" si="111"/>
        <v>9900</v>
      </c>
      <c r="AK290" s="131">
        <f t="shared" si="105"/>
        <v>2475</v>
      </c>
      <c r="AL290" s="477">
        <f>AK290/VLOOKUP(IF(I290&gt;0,I290,1),Preise!$A$3:$B$27,2,FALSE)</f>
        <v>441.96428571428555</v>
      </c>
    </row>
    <row r="291" spans="1:38" s="3" customFormat="1" outlineLevel="1" x14ac:dyDescent="0.2">
      <c r="A291" s="5">
        <v>1350</v>
      </c>
      <c r="B291" s="412">
        <v>1350</v>
      </c>
      <c r="C291" s="132" t="str">
        <f>VLOOKUP(B291,Gegenstände!$A358:$B973,2,FALSE)</f>
        <v>Drachenleder-Stiefel</v>
      </c>
      <c r="D291" s="133">
        <f>VLOOKUP(B291,Gegenstände!$A358:$D973,4,FALSE)</f>
        <v>25</v>
      </c>
      <c r="E291" s="563">
        <v>31</v>
      </c>
      <c r="F291" s="3">
        <v>180</v>
      </c>
      <c r="G291" s="54">
        <v>5</v>
      </c>
      <c r="H291" s="469">
        <v>61</v>
      </c>
      <c r="I291" s="335">
        <v>24</v>
      </c>
      <c r="J291" s="470"/>
      <c r="K291" s="335">
        <v>20</v>
      </c>
      <c r="L291" s="3" t="s">
        <v>167</v>
      </c>
      <c r="M291" s="567">
        <v>6</v>
      </c>
      <c r="N291" s="83" t="s">
        <v>198</v>
      </c>
      <c r="O291" s="567">
        <v>8</v>
      </c>
      <c r="P291" s="84" t="s">
        <v>200</v>
      </c>
      <c r="Q291" s="567">
        <v>10</v>
      </c>
      <c r="R291" s="84" t="s">
        <v>201</v>
      </c>
      <c r="S291" s="418"/>
      <c r="T291" s="418"/>
      <c r="U291" s="471">
        <f>VLOOKUP(D291,Preise!$A$3:$C$27,3)</f>
        <v>28.625176191121408</v>
      </c>
      <c r="V291" s="558">
        <f>0.15*W291</f>
        <v>21468.882143341056</v>
      </c>
      <c r="W291" s="559">
        <f t="shared" si="106"/>
        <v>143125.88095560705</v>
      </c>
      <c r="X291" s="472">
        <f t="shared" si="107"/>
        <v>21500</v>
      </c>
      <c r="Y291" s="473">
        <f t="shared" si="108"/>
        <v>21500</v>
      </c>
      <c r="Z291" s="474">
        <f>IF(ISERROR(VLOOKUP(L291,Gegenstände!$B$2:$N$2026,13,FALSE)),0,VLOOKUP(L291,Gegenstände!$B$2:$N$2026,13,FALSE))</f>
        <v>360</v>
      </c>
      <c r="AA291" s="142">
        <f>IF(ISERROR(VLOOKUP(N291,Gegenstände!$B$2:$N$2026,13,FALSE)),0,VLOOKUP(N291,Gegenstände!$B$2:$N$2026,13,FALSE))</f>
        <v>80</v>
      </c>
      <c r="AB291" s="142">
        <f>IF(ISERROR(VLOOKUP(P291,Gegenstände!$B$2:$N$2026,13,FALSE)),0,VLOOKUP(P291,Gegenstände!$B$2:$N$2026,13,FALSE))</f>
        <v>200</v>
      </c>
      <c r="AC291" s="142">
        <f>IF(ISERROR(VLOOKUP(R291,Gegenstände!$B$2:$N$2026,13,FALSE)),0,VLOOKUP(R291,Gegenstände!$B$2:$N$2026,13,FALSE))</f>
        <v>500</v>
      </c>
      <c r="AD291" s="142"/>
      <c r="AE291" s="475">
        <f t="shared" si="109"/>
        <v>7200</v>
      </c>
      <c r="AF291" s="476">
        <f t="shared" si="110"/>
        <v>7080</v>
      </c>
      <c r="AG291" s="128">
        <f t="shared" si="96"/>
        <v>0.33488372093023255</v>
      </c>
      <c r="AH291" s="128">
        <f t="shared" si="97"/>
        <v>0.32930232558139533</v>
      </c>
      <c r="AI291" s="129">
        <f t="shared" si="98"/>
        <v>0.66418604651162794</v>
      </c>
      <c r="AJ291" s="426">
        <f t="shared" si="111"/>
        <v>7220</v>
      </c>
      <c r="AK291" s="131">
        <f t="shared" si="105"/>
        <v>2406.6666666666665</v>
      </c>
      <c r="AL291" s="477">
        <f>AK291/VLOOKUP(IF(I291&gt;0,I291,1),Preise!$A$3:$B$27,2,FALSE)</f>
        <v>429.76190476190453</v>
      </c>
    </row>
    <row r="292" spans="1:38" s="3" customFormat="1" ht="13.5" customHeight="1" x14ac:dyDescent="0.2">
      <c r="A292" s="525"/>
      <c r="B292" s="526"/>
      <c r="C292" s="286"/>
      <c r="D292" s="396"/>
      <c r="E292" s="527"/>
      <c r="F292" s="528"/>
      <c r="G292" s="322"/>
      <c r="H292" s="529"/>
      <c r="I292" s="322"/>
      <c r="J292" s="552"/>
      <c r="K292" s="322"/>
      <c r="L292" s="321"/>
      <c r="M292" s="553"/>
      <c r="N292" s="321"/>
      <c r="O292" s="322"/>
      <c r="P292" s="321"/>
      <c r="Q292" s="322"/>
      <c r="R292" s="321"/>
      <c r="S292" s="554"/>
      <c r="T292" s="555"/>
      <c r="U292" s="536"/>
      <c r="V292" s="573"/>
      <c r="W292" s="538"/>
      <c r="X292" s="577"/>
      <c r="Y292" s="540"/>
      <c r="Z292" s="541"/>
      <c r="AA292" s="542"/>
      <c r="AB292" s="542"/>
      <c r="AC292" s="542"/>
      <c r="AD292" s="542"/>
      <c r="AE292" s="543"/>
      <c r="AF292" s="544"/>
      <c r="AG292" s="545"/>
      <c r="AH292" s="545"/>
      <c r="AI292" s="546"/>
      <c r="AJ292" s="547"/>
      <c r="AK292" s="548"/>
      <c r="AL292" s="549"/>
    </row>
    <row r="293" spans="1:38" s="3" customFormat="1" ht="13.5" customHeight="1" outlineLevel="1" x14ac:dyDescent="0.2">
      <c r="A293" s="5">
        <v>1401</v>
      </c>
      <c r="B293" s="412">
        <v>1401</v>
      </c>
      <c r="C293" s="132" t="str">
        <f>VLOOKUP(B293,Gegenstände!$A360:$B975,2,FALSE)</f>
        <v>Kupfer-Kettenhaube</v>
      </c>
      <c r="D293" s="133">
        <f>VLOOKUP(B293,Gegenstände!$A360:$D975,4,FALSE)</f>
        <v>1</v>
      </c>
      <c r="E293" s="468">
        <v>30</v>
      </c>
      <c r="F293" s="3">
        <v>240</v>
      </c>
      <c r="G293" s="54">
        <v>1</v>
      </c>
      <c r="H293" s="469">
        <v>62</v>
      </c>
      <c r="I293" s="54">
        <v>0</v>
      </c>
      <c r="J293" s="470"/>
      <c r="K293" s="54">
        <v>6</v>
      </c>
      <c r="L293" s="3" t="s">
        <v>113</v>
      </c>
      <c r="M293" s="85">
        <v>4</v>
      </c>
      <c r="N293" s="83" t="s">
        <v>176</v>
      </c>
      <c r="O293" s="85"/>
      <c r="P293" s="83"/>
      <c r="Q293" s="85"/>
      <c r="R293" s="83"/>
      <c r="S293" s="170"/>
      <c r="T293" s="170"/>
      <c r="U293" s="471">
        <f>VLOOKUP(D293,Preise!$A$3:$C$27,3)</f>
        <v>1</v>
      </c>
      <c r="V293" s="523">
        <f>0.2*W293</f>
        <v>1000</v>
      </c>
      <c r="W293" s="131">
        <f t="shared" ref="W293:W324" si="112">U293*$V$190</f>
        <v>5000</v>
      </c>
      <c r="X293" s="557">
        <f t="shared" ref="X293:X324" si="113">ROUND((V293/100),0)*100</f>
        <v>1000</v>
      </c>
      <c r="Y293" s="473">
        <f t="shared" ref="Y293:Y324" si="114">X293*IF(J293&gt;0,J293,1)</f>
        <v>1000</v>
      </c>
      <c r="Z293" s="474">
        <f>IF(ISERROR(VLOOKUP(L293,Gegenstände!$B$2:$N$2026,13,FALSE)),0,VLOOKUP(L293,Gegenstände!$B$2:$N$2026,13,FALSE))</f>
        <v>60</v>
      </c>
      <c r="AA293" s="142">
        <f>IF(ISERROR(VLOOKUP(N293,Gegenstände!$B$2:$N$2026,13,FALSE)),0,VLOOKUP(N293,Gegenstände!$B$2:$N$2026,13,FALSE))</f>
        <v>80</v>
      </c>
      <c r="AB293" s="142">
        <f>IF(ISERROR(VLOOKUP(P293,Gegenstände!$B$2:$N$2026,13,FALSE)),0,VLOOKUP(P293,Gegenstände!$B$2:$N$2026,13,FALSE))</f>
        <v>0</v>
      </c>
      <c r="AC293" s="142">
        <f>IF(ISERROR(VLOOKUP(R293,Gegenstände!$B$2:$N$2026,13,FALSE)),0,VLOOKUP(R293,Gegenstände!$B$2:$N$2026,13,FALSE))</f>
        <v>0</v>
      </c>
      <c r="AD293" s="142"/>
      <c r="AE293" s="475">
        <f t="shared" ref="AE293:AE324" si="115">IF(ISERROR(K293*Z293),"",K293*Z293)</f>
        <v>360</v>
      </c>
      <c r="AF293" s="476">
        <f t="shared" ref="AF293:AF324" si="116">IF(ISERROR(M293*AA293+O293*AB293+Q293*AC293),"",M293*AA293+O293*AB293+Q293*AC293)</f>
        <v>320</v>
      </c>
      <c r="AG293" s="128">
        <f t="shared" si="96"/>
        <v>0.36</v>
      </c>
      <c r="AH293" s="128">
        <f t="shared" si="97"/>
        <v>0.32</v>
      </c>
      <c r="AI293" s="129">
        <f t="shared" si="98"/>
        <v>0.68</v>
      </c>
      <c r="AJ293" s="426">
        <f t="shared" ref="AJ293:AJ324" si="117">Y293-(AE293+AF293)</f>
        <v>320</v>
      </c>
      <c r="AK293" s="131">
        <f t="shared" si="105"/>
        <v>80</v>
      </c>
      <c r="AL293" s="477">
        <f>AK293/VLOOKUP(IF(I293&gt;0,I293,1),Preise!$A$3:$B$27,2,FALSE)</f>
        <v>80</v>
      </c>
    </row>
    <row r="294" spans="1:38" s="3" customFormat="1" ht="13.5" customHeight="1" outlineLevel="1" x14ac:dyDescent="0.2">
      <c r="A294" s="5">
        <v>1402</v>
      </c>
      <c r="B294" s="412">
        <v>1402</v>
      </c>
      <c r="C294" s="132" t="str">
        <f>VLOOKUP(B294,Gegenstände!$A361:$B976,2,FALSE)</f>
        <v>Kupfer-Kettenhemd</v>
      </c>
      <c r="D294" s="133">
        <f>VLOOKUP(B294,Gegenstände!$A361:$D976,4,FALSE)</f>
        <v>1</v>
      </c>
      <c r="E294" s="468">
        <v>30</v>
      </c>
      <c r="F294" s="3">
        <v>360</v>
      </c>
      <c r="G294" s="54">
        <v>1</v>
      </c>
      <c r="H294" s="469">
        <v>62</v>
      </c>
      <c r="I294" s="54">
        <v>0</v>
      </c>
      <c r="J294" s="470"/>
      <c r="K294" s="54">
        <v>8</v>
      </c>
      <c r="L294" s="3" t="s">
        <v>113</v>
      </c>
      <c r="M294" s="85">
        <v>6</v>
      </c>
      <c r="N294" s="83" t="s">
        <v>176</v>
      </c>
      <c r="O294" s="85"/>
      <c r="P294" s="83"/>
      <c r="Q294" s="85"/>
      <c r="R294" s="83"/>
      <c r="S294" s="170"/>
      <c r="T294" s="170"/>
      <c r="U294" s="471">
        <f>VLOOKUP(D294,Preise!$A$3:$C$27,3)</f>
        <v>1</v>
      </c>
      <c r="V294" s="523">
        <f>0.3*W294</f>
        <v>1500</v>
      </c>
      <c r="W294" s="131">
        <f t="shared" si="112"/>
        <v>5000</v>
      </c>
      <c r="X294" s="472">
        <f t="shared" si="113"/>
        <v>1500</v>
      </c>
      <c r="Y294" s="473">
        <f t="shared" si="114"/>
        <v>1500</v>
      </c>
      <c r="Z294" s="474">
        <f>IF(ISERROR(VLOOKUP(L294,Gegenstände!$B$2:$N$2026,13,FALSE)),0,VLOOKUP(L294,Gegenstände!$B$2:$N$2026,13,FALSE))</f>
        <v>60</v>
      </c>
      <c r="AA294" s="142">
        <f>IF(ISERROR(VLOOKUP(N294,Gegenstände!$B$2:$N$2026,13,FALSE)),0,VLOOKUP(N294,Gegenstände!$B$2:$N$2026,13,FALSE))</f>
        <v>80</v>
      </c>
      <c r="AB294" s="142">
        <f>IF(ISERROR(VLOOKUP(P294,Gegenstände!$B$2:$N$2026,13,FALSE)),0,VLOOKUP(P294,Gegenstände!$B$2:$N$2026,13,FALSE))</f>
        <v>0</v>
      </c>
      <c r="AC294" s="142">
        <f>IF(ISERROR(VLOOKUP(R294,Gegenstände!$B$2:$N$2026,13,FALSE)),0,VLOOKUP(R294,Gegenstände!$B$2:$N$2026,13,FALSE))</f>
        <v>0</v>
      </c>
      <c r="AD294" s="142"/>
      <c r="AE294" s="475">
        <f t="shared" si="115"/>
        <v>480</v>
      </c>
      <c r="AF294" s="476">
        <f t="shared" si="116"/>
        <v>480</v>
      </c>
      <c r="AG294" s="128">
        <f t="shared" si="96"/>
        <v>0.32</v>
      </c>
      <c r="AH294" s="128">
        <f t="shared" si="97"/>
        <v>0.32</v>
      </c>
      <c r="AI294" s="129">
        <f t="shared" si="98"/>
        <v>0.64</v>
      </c>
      <c r="AJ294" s="426">
        <f t="shared" si="117"/>
        <v>540</v>
      </c>
      <c r="AK294" s="131">
        <f t="shared" si="105"/>
        <v>90</v>
      </c>
      <c r="AL294" s="477">
        <f>AK294/VLOOKUP(IF(I294&gt;0,I294,1),Preise!$A$3:$B$27,2,FALSE)</f>
        <v>90</v>
      </c>
    </row>
    <row r="295" spans="1:38" s="3" customFormat="1" ht="13.5" customHeight="1" outlineLevel="1" x14ac:dyDescent="0.2">
      <c r="A295" s="5">
        <v>1403</v>
      </c>
      <c r="B295" s="412">
        <v>1403</v>
      </c>
      <c r="C295" s="132" t="str">
        <f>VLOOKUP(B295,Gegenstände!$A362:$B977,2,FALSE)</f>
        <v>Kupfer-Kettenhandschuhe</v>
      </c>
      <c r="D295" s="133">
        <f>VLOOKUP(B295,Gegenstände!$A362:$D977,4,FALSE)</f>
        <v>2</v>
      </c>
      <c r="E295" s="468">
        <v>30</v>
      </c>
      <c r="F295" s="3">
        <v>180</v>
      </c>
      <c r="G295" s="54">
        <v>1</v>
      </c>
      <c r="H295" s="469">
        <v>62</v>
      </c>
      <c r="I295" s="54">
        <v>1</v>
      </c>
      <c r="J295" s="470"/>
      <c r="K295" s="54">
        <v>5</v>
      </c>
      <c r="L295" s="3" t="s">
        <v>113</v>
      </c>
      <c r="M295" s="85">
        <v>4</v>
      </c>
      <c r="N295" s="83" t="s">
        <v>176</v>
      </c>
      <c r="O295" s="85"/>
      <c r="P295" s="83"/>
      <c r="Q295" s="85"/>
      <c r="R295" s="83"/>
      <c r="S295" s="170"/>
      <c r="T295" s="170"/>
      <c r="U295" s="471">
        <f>VLOOKUP(D295,Preise!$A$3:$C$27,3)</f>
        <v>1.1499999999999999</v>
      </c>
      <c r="V295" s="523">
        <f>0.15*W295</f>
        <v>862.5</v>
      </c>
      <c r="W295" s="131">
        <f t="shared" si="112"/>
        <v>5750</v>
      </c>
      <c r="X295" s="472">
        <f t="shared" si="113"/>
        <v>900</v>
      </c>
      <c r="Y295" s="473">
        <f t="shared" si="114"/>
        <v>900</v>
      </c>
      <c r="Z295" s="474">
        <f>IF(ISERROR(VLOOKUP(L295,Gegenstände!$B$2:$N$2026,13,FALSE)),0,VLOOKUP(L295,Gegenstände!$B$2:$N$2026,13,FALSE))</f>
        <v>60</v>
      </c>
      <c r="AA295" s="142">
        <f>IF(ISERROR(VLOOKUP(N295,Gegenstände!$B$2:$N$2026,13,FALSE)),0,VLOOKUP(N295,Gegenstände!$B$2:$N$2026,13,FALSE))</f>
        <v>80</v>
      </c>
      <c r="AB295" s="142">
        <f>IF(ISERROR(VLOOKUP(P295,Gegenstände!$B$2:$N$2026,13,FALSE)),0,VLOOKUP(P295,Gegenstände!$B$2:$N$2026,13,FALSE))</f>
        <v>0</v>
      </c>
      <c r="AC295" s="142">
        <f>IF(ISERROR(VLOOKUP(R295,Gegenstände!$B$2:$N$2026,13,FALSE)),0,VLOOKUP(R295,Gegenstände!$B$2:$N$2026,13,FALSE))</f>
        <v>0</v>
      </c>
      <c r="AD295" s="142"/>
      <c r="AE295" s="475">
        <f t="shared" si="115"/>
        <v>300</v>
      </c>
      <c r="AF295" s="476">
        <f t="shared" si="116"/>
        <v>320</v>
      </c>
      <c r="AG295" s="128">
        <f t="shared" si="96"/>
        <v>0.33333333333333331</v>
      </c>
      <c r="AH295" s="128">
        <f t="shared" si="97"/>
        <v>0.35555555555555557</v>
      </c>
      <c r="AI295" s="129">
        <f t="shared" si="98"/>
        <v>0.68888888888888888</v>
      </c>
      <c r="AJ295" s="426">
        <f t="shared" si="117"/>
        <v>280</v>
      </c>
      <c r="AK295" s="131">
        <f t="shared" si="105"/>
        <v>93.333333333333329</v>
      </c>
      <c r="AL295" s="477">
        <f>AK295/VLOOKUP(IF(I295&gt;0,I295,1),Preise!$A$3:$B$27,2,FALSE)</f>
        <v>93.333333333333329</v>
      </c>
    </row>
    <row r="296" spans="1:38" s="3" customFormat="1" ht="13.5" customHeight="1" outlineLevel="1" x14ac:dyDescent="0.2">
      <c r="A296" s="5">
        <v>1404</v>
      </c>
      <c r="B296" s="412">
        <v>1404</v>
      </c>
      <c r="C296" s="132" t="str">
        <f>VLOOKUP(B296,Gegenstände!$A363:$B978,2,FALSE)</f>
        <v>Kupfer-Kettenbeinlinge</v>
      </c>
      <c r="D296" s="133">
        <f>VLOOKUP(B296,Gegenstände!$A363:$D978,4,FALSE)</f>
        <v>2</v>
      </c>
      <c r="E296" s="468">
        <v>30</v>
      </c>
      <c r="F296" s="3">
        <v>240</v>
      </c>
      <c r="G296" s="54">
        <v>1</v>
      </c>
      <c r="H296" s="469">
        <v>62</v>
      </c>
      <c r="I296" s="54">
        <v>1</v>
      </c>
      <c r="J296" s="470"/>
      <c r="K296" s="54">
        <v>7</v>
      </c>
      <c r="L296" s="3" t="s">
        <v>113</v>
      </c>
      <c r="M296" s="85">
        <v>5</v>
      </c>
      <c r="N296" s="83" t="s">
        <v>176</v>
      </c>
      <c r="O296" s="85"/>
      <c r="P296" s="83"/>
      <c r="Q296" s="85"/>
      <c r="R296" s="83"/>
      <c r="S296" s="170"/>
      <c r="T296" s="170"/>
      <c r="U296" s="471">
        <f>VLOOKUP(D296,Preise!$A$3:$C$27,3)</f>
        <v>1.1499999999999999</v>
      </c>
      <c r="V296" s="523">
        <f>0.2*W296</f>
        <v>1150</v>
      </c>
      <c r="W296" s="131">
        <f t="shared" si="112"/>
        <v>5750</v>
      </c>
      <c r="X296" s="472">
        <f t="shared" si="113"/>
        <v>1200</v>
      </c>
      <c r="Y296" s="473">
        <f t="shared" si="114"/>
        <v>1200</v>
      </c>
      <c r="Z296" s="474">
        <f>IF(ISERROR(VLOOKUP(L296,Gegenstände!$B$2:$N$2026,13,FALSE)),0,VLOOKUP(L296,Gegenstände!$B$2:$N$2026,13,FALSE))</f>
        <v>60</v>
      </c>
      <c r="AA296" s="142">
        <f>IF(ISERROR(VLOOKUP(N296,Gegenstände!$B$2:$N$2026,13,FALSE)),0,VLOOKUP(N296,Gegenstände!$B$2:$N$2026,13,FALSE))</f>
        <v>80</v>
      </c>
      <c r="AB296" s="142">
        <f>IF(ISERROR(VLOOKUP(P296,Gegenstände!$B$2:$N$2026,13,FALSE)),0,VLOOKUP(P296,Gegenstände!$B$2:$N$2026,13,FALSE))</f>
        <v>0</v>
      </c>
      <c r="AC296" s="142">
        <f>IF(ISERROR(VLOOKUP(R296,Gegenstände!$B$2:$N$2026,13,FALSE)),0,VLOOKUP(R296,Gegenstände!$B$2:$N$2026,13,FALSE))</f>
        <v>0</v>
      </c>
      <c r="AD296" s="142"/>
      <c r="AE296" s="475">
        <f t="shared" si="115"/>
        <v>420</v>
      </c>
      <c r="AF296" s="476">
        <f t="shared" si="116"/>
        <v>400</v>
      </c>
      <c r="AG296" s="128">
        <f t="shared" ref="AG296:AG359" si="118">AE296/Y296</f>
        <v>0.35</v>
      </c>
      <c r="AH296" s="128">
        <f t="shared" ref="AH296:AH359" si="119">AF296/Y296</f>
        <v>0.33333333333333331</v>
      </c>
      <c r="AI296" s="129">
        <f t="shared" ref="AI296:AI359" si="120">(AE296+AF296)/Y296</f>
        <v>0.68333333333333335</v>
      </c>
      <c r="AJ296" s="426">
        <f t="shared" si="117"/>
        <v>380</v>
      </c>
      <c r="AK296" s="131">
        <f t="shared" si="105"/>
        <v>95</v>
      </c>
      <c r="AL296" s="477">
        <f>AK296/VLOOKUP(IF(I296&gt;0,I296,1),Preise!$A$3:$B$27,2,FALSE)</f>
        <v>95</v>
      </c>
    </row>
    <row r="297" spans="1:38" s="3" customFormat="1" ht="13.5" customHeight="1" outlineLevel="1" x14ac:dyDescent="0.2">
      <c r="A297" s="5">
        <v>1405</v>
      </c>
      <c r="B297" s="412">
        <v>1405</v>
      </c>
      <c r="C297" s="132" t="str">
        <f>VLOOKUP(B297,Gegenstände!$A364:$B979,2,FALSE)</f>
        <v>Kupfer-Kettenstiefel</v>
      </c>
      <c r="D297" s="133">
        <f>VLOOKUP(B297,Gegenstände!$A364:$D979,4,FALSE)</f>
        <v>2</v>
      </c>
      <c r="E297" s="468">
        <v>30</v>
      </c>
      <c r="F297" s="3">
        <v>180</v>
      </c>
      <c r="G297" s="54">
        <v>1</v>
      </c>
      <c r="H297" s="469">
        <v>62</v>
      </c>
      <c r="I297" s="54">
        <v>1</v>
      </c>
      <c r="J297" s="470"/>
      <c r="K297" s="54">
        <v>5</v>
      </c>
      <c r="L297" s="3" t="s">
        <v>113</v>
      </c>
      <c r="M297" s="85">
        <v>4</v>
      </c>
      <c r="N297" s="83" t="s">
        <v>176</v>
      </c>
      <c r="O297" s="85"/>
      <c r="P297" s="83"/>
      <c r="Q297" s="85"/>
      <c r="R297" s="83"/>
      <c r="S297" s="170"/>
      <c r="T297" s="170"/>
      <c r="U297" s="471">
        <f>VLOOKUP(D297,Preise!$A$3:$C$27,3)</f>
        <v>1.1499999999999999</v>
      </c>
      <c r="V297" s="558">
        <f>0.15*W297</f>
        <v>862.5</v>
      </c>
      <c r="W297" s="559">
        <f t="shared" si="112"/>
        <v>5750</v>
      </c>
      <c r="X297" s="560">
        <f t="shared" si="113"/>
        <v>900</v>
      </c>
      <c r="Y297" s="473">
        <f t="shared" si="114"/>
        <v>900</v>
      </c>
      <c r="Z297" s="474">
        <f>IF(ISERROR(VLOOKUP(L297,Gegenstände!$B$2:$N$2026,13,FALSE)),0,VLOOKUP(L297,Gegenstände!$B$2:$N$2026,13,FALSE))</f>
        <v>60</v>
      </c>
      <c r="AA297" s="142">
        <f>IF(ISERROR(VLOOKUP(N297,Gegenstände!$B$2:$N$2026,13,FALSE)),0,VLOOKUP(N297,Gegenstände!$B$2:$N$2026,13,FALSE))</f>
        <v>80</v>
      </c>
      <c r="AB297" s="142">
        <f>IF(ISERROR(VLOOKUP(P297,Gegenstände!$B$2:$N$2026,13,FALSE)),0,VLOOKUP(P297,Gegenstände!$B$2:$N$2026,13,FALSE))</f>
        <v>0</v>
      </c>
      <c r="AC297" s="142">
        <f>IF(ISERROR(VLOOKUP(R297,Gegenstände!$B$2:$N$2026,13,FALSE)),0,VLOOKUP(R297,Gegenstände!$B$2:$N$2026,13,FALSE))</f>
        <v>0</v>
      </c>
      <c r="AD297" s="142"/>
      <c r="AE297" s="475">
        <f t="shared" si="115"/>
        <v>300</v>
      </c>
      <c r="AF297" s="476">
        <f t="shared" si="116"/>
        <v>320</v>
      </c>
      <c r="AG297" s="128">
        <f t="shared" si="118"/>
        <v>0.33333333333333331</v>
      </c>
      <c r="AH297" s="128">
        <f t="shared" si="119"/>
        <v>0.35555555555555557</v>
      </c>
      <c r="AI297" s="129">
        <f t="shared" si="120"/>
        <v>0.68888888888888888</v>
      </c>
      <c r="AJ297" s="426">
        <f t="shared" si="117"/>
        <v>280</v>
      </c>
      <c r="AK297" s="131">
        <f t="shared" si="105"/>
        <v>93.333333333333329</v>
      </c>
      <c r="AL297" s="477">
        <f>AK297/VLOOKUP(IF(I297&gt;0,I297,1),Preise!$A$3:$B$27,2,FALSE)</f>
        <v>93.333333333333329</v>
      </c>
    </row>
    <row r="298" spans="1:38" s="3" customFormat="1" ht="13.5" customHeight="1" outlineLevel="1" x14ac:dyDescent="0.2">
      <c r="A298" s="5">
        <v>1406</v>
      </c>
      <c r="B298" s="412">
        <v>1406</v>
      </c>
      <c r="C298" s="132" t="str">
        <f>VLOOKUP(B298,Gegenstände!$A365:$B980,2,FALSE)</f>
        <v>Kupfer-Plattenhelm</v>
      </c>
      <c r="D298" s="133">
        <f>VLOOKUP(B298,Gegenstände!$A365:$D980,4,FALSE)</f>
        <v>4</v>
      </c>
      <c r="E298" s="468">
        <v>30</v>
      </c>
      <c r="F298" s="3">
        <v>240</v>
      </c>
      <c r="G298" s="54">
        <v>1</v>
      </c>
      <c r="H298" s="469">
        <v>62</v>
      </c>
      <c r="I298" s="54">
        <v>3</v>
      </c>
      <c r="J298" s="470"/>
      <c r="K298" s="54">
        <v>8</v>
      </c>
      <c r="L298" s="3" t="s">
        <v>113</v>
      </c>
      <c r="M298" s="85">
        <v>6</v>
      </c>
      <c r="N298" s="83" t="s">
        <v>176</v>
      </c>
      <c r="O298" s="85"/>
      <c r="P298" s="83"/>
      <c r="Q298" s="85"/>
      <c r="R298" s="83"/>
      <c r="S298" s="170"/>
      <c r="T298" s="170"/>
      <c r="U298" s="471">
        <f>VLOOKUP(D298,Preise!$A$3:$C$27,3)</f>
        <v>1.5208749999999995</v>
      </c>
      <c r="V298" s="523">
        <f>0.2*W298</f>
        <v>1520.8749999999995</v>
      </c>
      <c r="W298" s="131">
        <f t="shared" si="112"/>
        <v>7604.3749999999973</v>
      </c>
      <c r="X298" s="472">
        <f t="shared" si="113"/>
        <v>1500</v>
      </c>
      <c r="Y298" s="473">
        <f t="shared" si="114"/>
        <v>1500</v>
      </c>
      <c r="Z298" s="474">
        <f>IF(ISERROR(VLOOKUP(L298,Gegenstände!$B$2:$N$2026,13,FALSE)),0,VLOOKUP(L298,Gegenstände!$B$2:$N$2026,13,FALSE))</f>
        <v>60</v>
      </c>
      <c r="AA298" s="142">
        <f>IF(ISERROR(VLOOKUP(N298,Gegenstände!$B$2:$N$2026,13,FALSE)),0,VLOOKUP(N298,Gegenstände!$B$2:$N$2026,13,FALSE))</f>
        <v>80</v>
      </c>
      <c r="AB298" s="142">
        <f>IF(ISERROR(VLOOKUP(P298,Gegenstände!$B$2:$N$2026,13,FALSE)),0,VLOOKUP(P298,Gegenstände!$B$2:$N$2026,13,FALSE))</f>
        <v>0</v>
      </c>
      <c r="AC298" s="142">
        <f>IF(ISERROR(VLOOKUP(R298,Gegenstände!$B$2:$N$2026,13,FALSE)),0,VLOOKUP(R298,Gegenstände!$B$2:$N$2026,13,FALSE))</f>
        <v>0</v>
      </c>
      <c r="AD298" s="142"/>
      <c r="AE298" s="475">
        <f t="shared" si="115"/>
        <v>480</v>
      </c>
      <c r="AF298" s="476">
        <f t="shared" si="116"/>
        <v>480</v>
      </c>
      <c r="AG298" s="128">
        <f t="shared" si="118"/>
        <v>0.32</v>
      </c>
      <c r="AH298" s="128">
        <f t="shared" si="119"/>
        <v>0.32</v>
      </c>
      <c r="AI298" s="129">
        <f t="shared" si="120"/>
        <v>0.64</v>
      </c>
      <c r="AJ298" s="426">
        <f t="shared" si="117"/>
        <v>540</v>
      </c>
      <c r="AK298" s="131">
        <f t="shared" si="105"/>
        <v>135</v>
      </c>
      <c r="AL298" s="477">
        <f>AK298/VLOOKUP(IF(I298&gt;0,I298,1),Preise!$A$3:$B$27,2,FALSE)</f>
        <v>96.428571428571431</v>
      </c>
    </row>
    <row r="299" spans="1:38" s="3" customFormat="1" ht="13.5" customHeight="1" outlineLevel="1" x14ac:dyDescent="0.2">
      <c r="A299" s="5">
        <v>1407</v>
      </c>
      <c r="B299" s="412">
        <v>1407</v>
      </c>
      <c r="C299" s="132" t="str">
        <f>VLOOKUP(B299,Gegenstände!$A366:$B981,2,FALSE)</f>
        <v>Kupfer-Plattenpanzer</v>
      </c>
      <c r="D299" s="133">
        <f>VLOOKUP(B299,Gegenstände!$A366:$D981,4,FALSE)</f>
        <v>4</v>
      </c>
      <c r="E299" s="468">
        <v>30</v>
      </c>
      <c r="F299" s="3">
        <v>360</v>
      </c>
      <c r="G299" s="54">
        <v>1</v>
      </c>
      <c r="H299" s="469">
        <v>62</v>
      </c>
      <c r="I299" s="54">
        <v>3</v>
      </c>
      <c r="J299" s="470"/>
      <c r="K299" s="54">
        <v>12</v>
      </c>
      <c r="L299" s="3" t="s">
        <v>113</v>
      </c>
      <c r="M299" s="85">
        <v>9</v>
      </c>
      <c r="N299" s="83" t="s">
        <v>176</v>
      </c>
      <c r="O299" s="85"/>
      <c r="P299" s="83"/>
      <c r="Q299" s="85"/>
      <c r="R299" s="83"/>
      <c r="S299" s="170"/>
      <c r="T299" s="170"/>
      <c r="U299" s="471">
        <f>VLOOKUP(D299,Preise!$A$3:$C$27,3)</f>
        <v>1.5208749999999995</v>
      </c>
      <c r="V299" s="523">
        <f>0.3*W299</f>
        <v>2281.3124999999991</v>
      </c>
      <c r="W299" s="131">
        <f t="shared" si="112"/>
        <v>7604.3749999999973</v>
      </c>
      <c r="X299" s="472">
        <f t="shared" si="113"/>
        <v>2300</v>
      </c>
      <c r="Y299" s="473">
        <f t="shared" si="114"/>
        <v>2300</v>
      </c>
      <c r="Z299" s="474">
        <f>IF(ISERROR(VLOOKUP(L299,Gegenstände!$B$2:$N$2026,13,FALSE)),0,VLOOKUP(L299,Gegenstände!$B$2:$N$2026,13,FALSE))</f>
        <v>60</v>
      </c>
      <c r="AA299" s="142">
        <f>IF(ISERROR(VLOOKUP(N299,Gegenstände!$B$2:$N$2026,13,FALSE)),0,VLOOKUP(N299,Gegenstände!$B$2:$N$2026,13,FALSE))</f>
        <v>80</v>
      </c>
      <c r="AB299" s="142">
        <f>IF(ISERROR(VLOOKUP(P299,Gegenstände!$B$2:$N$2026,13,FALSE)),0,VLOOKUP(P299,Gegenstände!$B$2:$N$2026,13,FALSE))</f>
        <v>0</v>
      </c>
      <c r="AC299" s="142">
        <f>IF(ISERROR(VLOOKUP(R299,Gegenstände!$B$2:$N$2026,13,FALSE)),0,VLOOKUP(R299,Gegenstände!$B$2:$N$2026,13,FALSE))</f>
        <v>0</v>
      </c>
      <c r="AD299" s="142"/>
      <c r="AE299" s="475">
        <f t="shared" si="115"/>
        <v>720</v>
      </c>
      <c r="AF299" s="476">
        <f t="shared" si="116"/>
        <v>720</v>
      </c>
      <c r="AG299" s="128">
        <f t="shared" si="118"/>
        <v>0.31304347826086959</v>
      </c>
      <c r="AH299" s="128">
        <f t="shared" si="119"/>
        <v>0.31304347826086959</v>
      </c>
      <c r="AI299" s="129">
        <f t="shared" si="120"/>
        <v>0.62608695652173918</v>
      </c>
      <c r="AJ299" s="426">
        <f t="shared" si="117"/>
        <v>860</v>
      </c>
      <c r="AK299" s="131">
        <f t="shared" si="105"/>
        <v>143.33333333333334</v>
      </c>
      <c r="AL299" s="477">
        <f>AK299/VLOOKUP(IF(I299&gt;0,I299,1),Preise!$A$3:$B$27,2,FALSE)</f>
        <v>102.38095238095239</v>
      </c>
    </row>
    <row r="300" spans="1:38" s="3" customFormat="1" ht="13.5" customHeight="1" outlineLevel="1" x14ac:dyDescent="0.2">
      <c r="A300" s="5">
        <v>1408</v>
      </c>
      <c r="B300" s="412">
        <v>1408</v>
      </c>
      <c r="C300" s="132" t="str">
        <f>VLOOKUP(B300,Gegenstände!$A367:$B982,2,FALSE)</f>
        <v>Kupfer-Plattenhandschuhe</v>
      </c>
      <c r="D300" s="133">
        <f>VLOOKUP(B300,Gegenstände!$A367:$D982,4,FALSE)</f>
        <v>5</v>
      </c>
      <c r="E300" s="468">
        <v>30</v>
      </c>
      <c r="F300" s="3">
        <v>180</v>
      </c>
      <c r="G300" s="54">
        <v>1</v>
      </c>
      <c r="H300" s="469">
        <v>62</v>
      </c>
      <c r="I300" s="54">
        <v>4</v>
      </c>
      <c r="J300" s="470"/>
      <c r="K300" s="54">
        <v>7</v>
      </c>
      <c r="L300" s="3" t="s">
        <v>113</v>
      </c>
      <c r="M300" s="85">
        <v>5</v>
      </c>
      <c r="N300" s="83" t="s">
        <v>176</v>
      </c>
      <c r="O300" s="85"/>
      <c r="P300" s="83"/>
      <c r="Q300" s="85"/>
      <c r="R300" s="83"/>
      <c r="S300" s="170"/>
      <c r="T300" s="170"/>
      <c r="U300" s="471">
        <f>VLOOKUP(D300,Preise!$A$3:$C$27,3)</f>
        <v>1.7490062499999994</v>
      </c>
      <c r="V300" s="523">
        <f>0.15*W300</f>
        <v>1311.7546874999994</v>
      </c>
      <c r="W300" s="131">
        <f t="shared" si="112"/>
        <v>8745.0312499999964</v>
      </c>
      <c r="X300" s="472">
        <f t="shared" si="113"/>
        <v>1300</v>
      </c>
      <c r="Y300" s="473">
        <f t="shared" si="114"/>
        <v>1300</v>
      </c>
      <c r="Z300" s="474">
        <f>IF(ISERROR(VLOOKUP(L300,Gegenstände!$B$2:$N$2026,13,FALSE)),0,VLOOKUP(L300,Gegenstände!$B$2:$N$2026,13,FALSE))</f>
        <v>60</v>
      </c>
      <c r="AA300" s="142">
        <f>IF(ISERROR(VLOOKUP(N300,Gegenstände!$B$2:$N$2026,13,FALSE)),0,VLOOKUP(N300,Gegenstände!$B$2:$N$2026,13,FALSE))</f>
        <v>80</v>
      </c>
      <c r="AB300" s="142">
        <f>IF(ISERROR(VLOOKUP(P300,Gegenstände!$B$2:$N$2026,13,FALSE)),0,VLOOKUP(P300,Gegenstände!$B$2:$N$2026,13,FALSE))</f>
        <v>0</v>
      </c>
      <c r="AC300" s="142">
        <f>IF(ISERROR(VLOOKUP(R300,Gegenstände!$B$2:$N$2026,13,FALSE)),0,VLOOKUP(R300,Gegenstände!$B$2:$N$2026,13,FALSE))</f>
        <v>0</v>
      </c>
      <c r="AD300" s="142"/>
      <c r="AE300" s="475">
        <f t="shared" si="115"/>
        <v>420</v>
      </c>
      <c r="AF300" s="476">
        <f t="shared" si="116"/>
        <v>400</v>
      </c>
      <c r="AG300" s="128">
        <f t="shared" si="118"/>
        <v>0.32307692307692309</v>
      </c>
      <c r="AH300" s="128">
        <f t="shared" si="119"/>
        <v>0.30769230769230771</v>
      </c>
      <c r="AI300" s="129">
        <f t="shared" si="120"/>
        <v>0.63076923076923075</v>
      </c>
      <c r="AJ300" s="426">
        <f t="shared" si="117"/>
        <v>480</v>
      </c>
      <c r="AK300" s="131">
        <f t="shared" si="105"/>
        <v>160</v>
      </c>
      <c r="AL300" s="477">
        <f>AK300/VLOOKUP(IF(I300&gt;0,I300,1),Preise!$A$3:$B$27,2,FALSE)</f>
        <v>100.00000000000001</v>
      </c>
    </row>
    <row r="301" spans="1:38" s="3" customFormat="1" ht="13.5" customHeight="1" outlineLevel="1" x14ac:dyDescent="0.2">
      <c r="A301" s="5">
        <v>1409</v>
      </c>
      <c r="B301" s="412">
        <v>1409</v>
      </c>
      <c r="C301" s="132" t="str">
        <f>VLOOKUP(B301,Gegenstände!$A368:$B983,2,FALSE)</f>
        <v>Kupfer-Plattenbeinlinge</v>
      </c>
      <c r="D301" s="133">
        <f>VLOOKUP(B301,Gegenstände!$A368:$D983,4,FALSE)</f>
        <v>5</v>
      </c>
      <c r="E301" s="468">
        <v>30</v>
      </c>
      <c r="F301" s="3">
        <v>240</v>
      </c>
      <c r="G301" s="54">
        <v>1</v>
      </c>
      <c r="H301" s="469">
        <v>62</v>
      </c>
      <c r="I301" s="54">
        <v>4</v>
      </c>
      <c r="J301" s="470"/>
      <c r="K301" s="54">
        <v>10</v>
      </c>
      <c r="L301" s="3" t="s">
        <v>113</v>
      </c>
      <c r="M301" s="85">
        <v>7</v>
      </c>
      <c r="N301" s="83" t="s">
        <v>176</v>
      </c>
      <c r="O301" s="85"/>
      <c r="P301" s="83"/>
      <c r="Q301" s="85"/>
      <c r="R301" s="83"/>
      <c r="S301" s="170"/>
      <c r="T301" s="170"/>
      <c r="U301" s="471">
        <f>VLOOKUP(D301,Preise!$A$3:$C$27,3)</f>
        <v>1.7490062499999994</v>
      </c>
      <c r="V301" s="523">
        <f>0.2*W301</f>
        <v>1749.0062499999995</v>
      </c>
      <c r="W301" s="131">
        <f t="shared" si="112"/>
        <v>8745.0312499999964</v>
      </c>
      <c r="X301" s="472">
        <f t="shared" si="113"/>
        <v>1700</v>
      </c>
      <c r="Y301" s="473">
        <f t="shared" si="114"/>
        <v>1700</v>
      </c>
      <c r="Z301" s="474">
        <f>IF(ISERROR(VLOOKUP(L301,Gegenstände!$B$2:$N$2026,13,FALSE)),0,VLOOKUP(L301,Gegenstände!$B$2:$N$2026,13,FALSE))</f>
        <v>60</v>
      </c>
      <c r="AA301" s="142">
        <f>IF(ISERROR(VLOOKUP(N301,Gegenstände!$B$2:$N$2026,13,FALSE)),0,VLOOKUP(N301,Gegenstände!$B$2:$N$2026,13,FALSE))</f>
        <v>80</v>
      </c>
      <c r="AB301" s="142">
        <f>IF(ISERROR(VLOOKUP(P301,Gegenstände!$B$2:$N$2026,13,FALSE)),0,VLOOKUP(P301,Gegenstände!$B$2:$N$2026,13,FALSE))</f>
        <v>0</v>
      </c>
      <c r="AC301" s="142">
        <f>IF(ISERROR(VLOOKUP(R301,Gegenstände!$B$2:$N$2026,13,FALSE)),0,VLOOKUP(R301,Gegenstände!$B$2:$N$2026,13,FALSE))</f>
        <v>0</v>
      </c>
      <c r="AD301" s="142"/>
      <c r="AE301" s="475">
        <f t="shared" si="115"/>
        <v>600</v>
      </c>
      <c r="AF301" s="476">
        <f t="shared" si="116"/>
        <v>560</v>
      </c>
      <c r="AG301" s="128">
        <f t="shared" si="118"/>
        <v>0.35294117647058826</v>
      </c>
      <c r="AH301" s="128">
        <f t="shared" si="119"/>
        <v>0.32941176470588235</v>
      </c>
      <c r="AI301" s="129">
        <f t="shared" si="120"/>
        <v>0.68235294117647061</v>
      </c>
      <c r="AJ301" s="426">
        <f t="shared" si="117"/>
        <v>540</v>
      </c>
      <c r="AK301" s="131">
        <f t="shared" si="105"/>
        <v>135</v>
      </c>
      <c r="AL301" s="477">
        <f>AK301/VLOOKUP(IF(I301&gt;0,I301,1),Preise!$A$3:$B$27,2,FALSE)</f>
        <v>84.375</v>
      </c>
    </row>
    <row r="302" spans="1:38" s="3" customFormat="1" ht="13.5" customHeight="1" outlineLevel="1" x14ac:dyDescent="0.2">
      <c r="A302" s="345">
        <v>1410</v>
      </c>
      <c r="B302" s="561">
        <v>1410</v>
      </c>
      <c r="C302" s="413" t="str">
        <f>VLOOKUP(B302,Gegenstände!$A369:$B984,2,FALSE)</f>
        <v>Kupfer-Plattenstiefel</v>
      </c>
      <c r="D302" s="562">
        <f>VLOOKUP(B302,Gegenstände!$A369:$D984,4,FALSE)</f>
        <v>5</v>
      </c>
      <c r="E302" s="563">
        <v>30</v>
      </c>
      <c r="F302" s="334">
        <v>180</v>
      </c>
      <c r="G302" s="335">
        <v>1</v>
      </c>
      <c r="H302" s="565">
        <v>62</v>
      </c>
      <c r="I302" s="335">
        <v>4</v>
      </c>
      <c r="J302" s="566"/>
      <c r="K302" s="335">
        <v>7</v>
      </c>
      <c r="L302" s="334" t="s">
        <v>113</v>
      </c>
      <c r="M302" s="567">
        <v>5</v>
      </c>
      <c r="N302" s="568" t="s">
        <v>176</v>
      </c>
      <c r="O302" s="567"/>
      <c r="P302" s="568"/>
      <c r="Q302" s="567"/>
      <c r="R302" s="568"/>
      <c r="S302" s="569"/>
      <c r="T302" s="570"/>
      <c r="U302" s="471">
        <f>VLOOKUP(D302,Preise!$A$3:$C$27,3)</f>
        <v>1.7490062499999994</v>
      </c>
      <c r="V302" s="558">
        <f>0.15*W302</f>
        <v>1311.7546874999994</v>
      </c>
      <c r="W302" s="559">
        <f t="shared" si="112"/>
        <v>8745.0312499999964</v>
      </c>
      <c r="X302" s="472">
        <f t="shared" si="113"/>
        <v>1300</v>
      </c>
      <c r="Y302" s="473">
        <f t="shared" si="114"/>
        <v>1300</v>
      </c>
      <c r="Z302" s="474">
        <f>IF(ISERROR(VLOOKUP(L302,Gegenstände!$B$2:$N$2026,13,FALSE)),0,VLOOKUP(L302,Gegenstände!$B$2:$N$2026,13,FALSE))</f>
        <v>60</v>
      </c>
      <c r="AA302" s="142">
        <f>IF(ISERROR(VLOOKUP(N302,Gegenstände!$B$2:$N$2026,13,FALSE)),0,VLOOKUP(N302,Gegenstände!$B$2:$N$2026,13,FALSE))</f>
        <v>80</v>
      </c>
      <c r="AB302" s="142">
        <f>IF(ISERROR(VLOOKUP(P302,Gegenstände!$B$2:$N$2026,13,FALSE)),0,VLOOKUP(P302,Gegenstände!$B$2:$N$2026,13,FALSE))</f>
        <v>0</v>
      </c>
      <c r="AC302" s="142">
        <f>IF(ISERROR(VLOOKUP(R302,Gegenstände!$B$2:$N$2026,13,FALSE)),0,VLOOKUP(R302,Gegenstände!$B$2:$N$2026,13,FALSE))</f>
        <v>0</v>
      </c>
      <c r="AD302" s="142"/>
      <c r="AE302" s="475">
        <f t="shared" si="115"/>
        <v>420</v>
      </c>
      <c r="AF302" s="476">
        <f t="shared" si="116"/>
        <v>400</v>
      </c>
      <c r="AG302" s="128">
        <f t="shared" si="118"/>
        <v>0.32307692307692309</v>
      </c>
      <c r="AH302" s="128">
        <f t="shared" si="119"/>
        <v>0.30769230769230771</v>
      </c>
      <c r="AI302" s="129">
        <f t="shared" si="120"/>
        <v>0.63076923076923075</v>
      </c>
      <c r="AJ302" s="426">
        <f t="shared" si="117"/>
        <v>480</v>
      </c>
      <c r="AK302" s="131">
        <f t="shared" si="105"/>
        <v>160</v>
      </c>
      <c r="AL302" s="477">
        <f>AK302/VLOOKUP(IF(I302&gt;0,I302,1),Preise!$A$3:$B$27,2,FALSE)</f>
        <v>100.00000000000001</v>
      </c>
    </row>
    <row r="303" spans="1:38" s="3" customFormat="1" ht="13.5" customHeight="1" outlineLevel="1" x14ac:dyDescent="0.2">
      <c r="A303" s="5">
        <v>1411</v>
      </c>
      <c r="B303" s="412">
        <v>1411</v>
      </c>
      <c r="C303" s="132" t="str">
        <f>VLOOKUP(B303,Gegenstände!$A370:$B985,2,FALSE)</f>
        <v>Eisen-Kettenhaube</v>
      </c>
      <c r="D303" s="133">
        <f>VLOOKUP(B303,Gegenstände!$A370:$D985,4,FALSE)</f>
        <v>6</v>
      </c>
      <c r="E303" s="468">
        <v>30</v>
      </c>
      <c r="F303" s="3">
        <v>240</v>
      </c>
      <c r="G303" s="54">
        <v>2</v>
      </c>
      <c r="H303" s="469">
        <v>62</v>
      </c>
      <c r="I303" s="54">
        <v>5</v>
      </c>
      <c r="J303" s="470"/>
      <c r="K303" s="54">
        <v>6</v>
      </c>
      <c r="L303" s="3" t="s">
        <v>114</v>
      </c>
      <c r="M303" s="85">
        <v>8</v>
      </c>
      <c r="N303" s="83" t="s">
        <v>176</v>
      </c>
      <c r="O303" s="85"/>
      <c r="P303" s="83"/>
      <c r="Q303" s="85"/>
      <c r="R303" s="83"/>
      <c r="S303" s="170"/>
      <c r="T303" s="170"/>
      <c r="U303" s="471">
        <f>VLOOKUP(D303,Preise!$A$3:$C$27,3)</f>
        <v>2.0113571874999994</v>
      </c>
      <c r="V303" s="523">
        <f>0.2*W303</f>
        <v>2011.3571874999996</v>
      </c>
      <c r="W303" s="131">
        <f t="shared" si="112"/>
        <v>10056.785937499997</v>
      </c>
      <c r="X303" s="557">
        <f t="shared" si="113"/>
        <v>2000</v>
      </c>
      <c r="Y303" s="473">
        <f t="shared" si="114"/>
        <v>2000</v>
      </c>
      <c r="Z303" s="474">
        <f>IF(ISERROR(VLOOKUP(L303,Gegenstände!$B$2:$N$2026,13,FALSE)),0,VLOOKUP(L303,Gegenstände!$B$2:$N$2026,13,FALSE))</f>
        <v>120</v>
      </c>
      <c r="AA303" s="142">
        <f>IF(ISERROR(VLOOKUP(N303,Gegenstände!$B$2:$N$2026,13,FALSE)),0,VLOOKUP(N303,Gegenstände!$B$2:$N$2026,13,FALSE))</f>
        <v>80</v>
      </c>
      <c r="AB303" s="142">
        <f>IF(ISERROR(VLOOKUP(P303,Gegenstände!$B$2:$N$2026,13,FALSE)),0,VLOOKUP(P303,Gegenstände!$B$2:$N$2026,13,FALSE))</f>
        <v>0</v>
      </c>
      <c r="AC303" s="142">
        <f>IF(ISERROR(VLOOKUP(R303,Gegenstände!$B$2:$N$2026,13,FALSE)),0,VLOOKUP(R303,Gegenstände!$B$2:$N$2026,13,FALSE))</f>
        <v>0</v>
      </c>
      <c r="AD303" s="142"/>
      <c r="AE303" s="475">
        <f t="shared" si="115"/>
        <v>720</v>
      </c>
      <c r="AF303" s="476">
        <f t="shared" si="116"/>
        <v>640</v>
      </c>
      <c r="AG303" s="128">
        <f t="shared" si="118"/>
        <v>0.36</v>
      </c>
      <c r="AH303" s="128">
        <f t="shared" si="119"/>
        <v>0.32</v>
      </c>
      <c r="AI303" s="129">
        <f t="shared" si="120"/>
        <v>0.68</v>
      </c>
      <c r="AJ303" s="426">
        <f t="shared" si="117"/>
        <v>640</v>
      </c>
      <c r="AK303" s="131">
        <f t="shared" si="105"/>
        <v>160</v>
      </c>
      <c r="AL303" s="477">
        <f>AK303/VLOOKUP(IF(I303&gt;0,I303,1),Preise!$A$3:$B$27,2,FALSE)</f>
        <v>88.8888888888889</v>
      </c>
    </row>
    <row r="304" spans="1:38" s="3" customFormat="1" ht="13.5" customHeight="1" outlineLevel="1" x14ac:dyDescent="0.2">
      <c r="A304" s="5">
        <v>1412</v>
      </c>
      <c r="B304" s="412">
        <v>1412</v>
      </c>
      <c r="C304" s="132" t="str">
        <f>VLOOKUP(B304,Gegenstände!$A371:$B986,2,FALSE)</f>
        <v>Eisen-Kettenhemd</v>
      </c>
      <c r="D304" s="133">
        <f>VLOOKUP(B304,Gegenstände!$A371:$D986,4,FALSE)</f>
        <v>6</v>
      </c>
      <c r="E304" s="468">
        <v>30</v>
      </c>
      <c r="F304" s="3">
        <v>360</v>
      </c>
      <c r="G304" s="54">
        <v>2</v>
      </c>
      <c r="H304" s="469">
        <v>62</v>
      </c>
      <c r="I304" s="54">
        <v>5</v>
      </c>
      <c r="J304" s="470"/>
      <c r="K304" s="54">
        <v>8</v>
      </c>
      <c r="L304" s="3" t="s">
        <v>114</v>
      </c>
      <c r="M304" s="85">
        <v>12</v>
      </c>
      <c r="N304" s="83" t="s">
        <v>176</v>
      </c>
      <c r="O304" s="85"/>
      <c r="P304" s="83"/>
      <c r="Q304" s="85"/>
      <c r="R304" s="83"/>
      <c r="S304" s="170"/>
      <c r="T304" s="170"/>
      <c r="U304" s="471">
        <f>VLOOKUP(D304,Preise!$A$3:$C$27,3)</f>
        <v>2.0113571874999994</v>
      </c>
      <c r="V304" s="523">
        <f>0.3*W304</f>
        <v>3017.0357812499992</v>
      </c>
      <c r="W304" s="131">
        <f t="shared" si="112"/>
        <v>10056.785937499997</v>
      </c>
      <c r="X304" s="472">
        <f t="shared" si="113"/>
        <v>3000</v>
      </c>
      <c r="Y304" s="473">
        <f t="shared" si="114"/>
        <v>3000</v>
      </c>
      <c r="Z304" s="474">
        <f>IF(ISERROR(VLOOKUP(L304,Gegenstände!$B$2:$N$2026,13,FALSE)),0,VLOOKUP(L304,Gegenstände!$B$2:$N$2026,13,FALSE))</f>
        <v>120</v>
      </c>
      <c r="AA304" s="142">
        <f>IF(ISERROR(VLOOKUP(N304,Gegenstände!$B$2:$N$2026,13,FALSE)),0,VLOOKUP(N304,Gegenstände!$B$2:$N$2026,13,FALSE))</f>
        <v>80</v>
      </c>
      <c r="AB304" s="142">
        <f>IF(ISERROR(VLOOKUP(P304,Gegenstände!$B$2:$N$2026,13,FALSE)),0,VLOOKUP(P304,Gegenstände!$B$2:$N$2026,13,FALSE))</f>
        <v>0</v>
      </c>
      <c r="AC304" s="142">
        <f>IF(ISERROR(VLOOKUP(R304,Gegenstände!$B$2:$N$2026,13,FALSE)),0,VLOOKUP(R304,Gegenstände!$B$2:$N$2026,13,FALSE))</f>
        <v>0</v>
      </c>
      <c r="AD304" s="142"/>
      <c r="AE304" s="475">
        <f t="shared" si="115"/>
        <v>960</v>
      </c>
      <c r="AF304" s="476">
        <f t="shared" si="116"/>
        <v>960</v>
      </c>
      <c r="AG304" s="128">
        <f t="shared" si="118"/>
        <v>0.32</v>
      </c>
      <c r="AH304" s="128">
        <f t="shared" si="119"/>
        <v>0.32</v>
      </c>
      <c r="AI304" s="129">
        <f t="shared" si="120"/>
        <v>0.64</v>
      </c>
      <c r="AJ304" s="426">
        <f t="shared" si="117"/>
        <v>1080</v>
      </c>
      <c r="AK304" s="131">
        <f t="shared" si="105"/>
        <v>180</v>
      </c>
      <c r="AL304" s="477">
        <f>AK304/VLOOKUP(IF(I304&gt;0,I304,1),Preise!$A$3:$B$27,2,FALSE)</f>
        <v>100.00000000000001</v>
      </c>
    </row>
    <row r="305" spans="1:38" s="3" customFormat="1" ht="13.5" customHeight="1" outlineLevel="1" x14ac:dyDescent="0.2">
      <c r="A305" s="5">
        <v>1413</v>
      </c>
      <c r="B305" s="412">
        <v>1413</v>
      </c>
      <c r="C305" s="132" t="str">
        <f>VLOOKUP(B305,Gegenstände!$A372:$B987,2,FALSE)</f>
        <v>Eisen-Kettenhandschuhe</v>
      </c>
      <c r="D305" s="133">
        <f>VLOOKUP(B305,Gegenstände!$A372:$D987,4,FALSE)</f>
        <v>7</v>
      </c>
      <c r="E305" s="468">
        <v>30</v>
      </c>
      <c r="F305" s="3">
        <v>180</v>
      </c>
      <c r="G305" s="54">
        <v>2</v>
      </c>
      <c r="H305" s="469">
        <v>62</v>
      </c>
      <c r="I305" s="54">
        <v>6</v>
      </c>
      <c r="J305" s="470"/>
      <c r="K305" s="54">
        <v>5</v>
      </c>
      <c r="L305" s="3" t="s">
        <v>114</v>
      </c>
      <c r="M305" s="85">
        <v>7</v>
      </c>
      <c r="N305" s="83" t="s">
        <v>176</v>
      </c>
      <c r="O305" s="85"/>
      <c r="P305" s="83"/>
      <c r="Q305" s="85"/>
      <c r="R305" s="83"/>
      <c r="S305" s="170"/>
      <c r="T305" s="170"/>
      <c r="U305" s="471">
        <f>VLOOKUP(D305,Preise!$A$3:$C$27,3)</f>
        <v>2.3130607656249991</v>
      </c>
      <c r="V305" s="523">
        <f>0.15*W305</f>
        <v>1734.7955742187494</v>
      </c>
      <c r="W305" s="131">
        <f t="shared" si="112"/>
        <v>11565.303828124996</v>
      </c>
      <c r="X305" s="472">
        <f t="shared" si="113"/>
        <v>1700</v>
      </c>
      <c r="Y305" s="473">
        <f t="shared" si="114"/>
        <v>1700</v>
      </c>
      <c r="Z305" s="474">
        <f>IF(ISERROR(VLOOKUP(L305,Gegenstände!$B$2:$N$2026,13,FALSE)),0,VLOOKUP(L305,Gegenstände!$B$2:$N$2026,13,FALSE))</f>
        <v>120</v>
      </c>
      <c r="AA305" s="142">
        <f>IF(ISERROR(VLOOKUP(N305,Gegenstände!$B$2:$N$2026,13,FALSE)),0,VLOOKUP(N305,Gegenstände!$B$2:$N$2026,13,FALSE))</f>
        <v>80</v>
      </c>
      <c r="AB305" s="142">
        <f>IF(ISERROR(VLOOKUP(P305,Gegenstände!$B$2:$N$2026,13,FALSE)),0,VLOOKUP(P305,Gegenstände!$B$2:$N$2026,13,FALSE))</f>
        <v>0</v>
      </c>
      <c r="AC305" s="142">
        <f>IF(ISERROR(VLOOKUP(R305,Gegenstände!$B$2:$N$2026,13,FALSE)),0,VLOOKUP(R305,Gegenstände!$B$2:$N$2026,13,FALSE))</f>
        <v>0</v>
      </c>
      <c r="AD305" s="142"/>
      <c r="AE305" s="475">
        <f t="shared" si="115"/>
        <v>600</v>
      </c>
      <c r="AF305" s="476">
        <f t="shared" si="116"/>
        <v>560</v>
      </c>
      <c r="AG305" s="128">
        <f t="shared" si="118"/>
        <v>0.35294117647058826</v>
      </c>
      <c r="AH305" s="128">
        <f t="shared" si="119"/>
        <v>0.32941176470588235</v>
      </c>
      <c r="AI305" s="129">
        <f t="shared" si="120"/>
        <v>0.68235294117647061</v>
      </c>
      <c r="AJ305" s="426">
        <f t="shared" si="117"/>
        <v>540</v>
      </c>
      <c r="AK305" s="131">
        <f t="shared" si="105"/>
        <v>180</v>
      </c>
      <c r="AL305" s="477">
        <f>AK305/VLOOKUP(IF(I305&gt;0,I305,1),Preise!$A$3:$B$27,2,FALSE)</f>
        <v>90.000000000000014</v>
      </c>
    </row>
    <row r="306" spans="1:38" s="3" customFormat="1" ht="13.5" customHeight="1" outlineLevel="1" x14ac:dyDescent="0.2">
      <c r="A306" s="5">
        <v>1414</v>
      </c>
      <c r="B306" s="412">
        <v>1414</v>
      </c>
      <c r="C306" s="132" t="str">
        <f>VLOOKUP(B306,Gegenstände!$A373:$B988,2,FALSE)</f>
        <v>Eisen-Kettenbeinlinge</v>
      </c>
      <c r="D306" s="133">
        <f>VLOOKUP(B306,Gegenstände!$A373:$D988,4,FALSE)</f>
        <v>7</v>
      </c>
      <c r="E306" s="468">
        <v>30</v>
      </c>
      <c r="F306" s="3">
        <v>240</v>
      </c>
      <c r="G306" s="54">
        <v>2</v>
      </c>
      <c r="H306" s="469">
        <v>62</v>
      </c>
      <c r="I306" s="54">
        <v>6</v>
      </c>
      <c r="J306" s="470"/>
      <c r="K306" s="54">
        <v>6</v>
      </c>
      <c r="L306" s="3" t="s">
        <v>114</v>
      </c>
      <c r="M306" s="85">
        <v>9</v>
      </c>
      <c r="N306" s="83" t="s">
        <v>176</v>
      </c>
      <c r="O306" s="85"/>
      <c r="P306" s="83"/>
      <c r="Q306" s="85"/>
      <c r="R306" s="83"/>
      <c r="S306" s="170"/>
      <c r="T306" s="170"/>
      <c r="U306" s="471">
        <f>VLOOKUP(D306,Preise!$A$3:$C$27,3)</f>
        <v>2.3130607656249991</v>
      </c>
      <c r="V306" s="523">
        <f>0.2*W306</f>
        <v>2313.060765624999</v>
      </c>
      <c r="W306" s="131">
        <f t="shared" si="112"/>
        <v>11565.303828124996</v>
      </c>
      <c r="X306" s="472">
        <f t="shared" si="113"/>
        <v>2300</v>
      </c>
      <c r="Y306" s="473">
        <f t="shared" si="114"/>
        <v>2300</v>
      </c>
      <c r="Z306" s="474">
        <f>IF(ISERROR(VLOOKUP(L306,Gegenstände!$B$2:$N$2026,13,FALSE)),0,VLOOKUP(L306,Gegenstände!$B$2:$N$2026,13,FALSE))</f>
        <v>120</v>
      </c>
      <c r="AA306" s="142">
        <f>IF(ISERROR(VLOOKUP(N306,Gegenstände!$B$2:$N$2026,13,FALSE)),0,VLOOKUP(N306,Gegenstände!$B$2:$N$2026,13,FALSE))</f>
        <v>80</v>
      </c>
      <c r="AB306" s="142">
        <f>IF(ISERROR(VLOOKUP(P306,Gegenstände!$B$2:$N$2026,13,FALSE)),0,VLOOKUP(P306,Gegenstände!$B$2:$N$2026,13,FALSE))</f>
        <v>0</v>
      </c>
      <c r="AC306" s="142">
        <f>IF(ISERROR(VLOOKUP(R306,Gegenstände!$B$2:$N$2026,13,FALSE)),0,VLOOKUP(R306,Gegenstände!$B$2:$N$2026,13,FALSE))</f>
        <v>0</v>
      </c>
      <c r="AD306" s="142"/>
      <c r="AE306" s="475">
        <f t="shared" si="115"/>
        <v>720</v>
      </c>
      <c r="AF306" s="476">
        <f t="shared" si="116"/>
        <v>720</v>
      </c>
      <c r="AG306" s="128">
        <f t="shared" si="118"/>
        <v>0.31304347826086959</v>
      </c>
      <c r="AH306" s="128">
        <f t="shared" si="119"/>
        <v>0.31304347826086959</v>
      </c>
      <c r="AI306" s="129">
        <f t="shared" si="120"/>
        <v>0.62608695652173918</v>
      </c>
      <c r="AJ306" s="426">
        <f t="shared" si="117"/>
        <v>860</v>
      </c>
      <c r="AK306" s="131">
        <f t="shared" si="105"/>
        <v>215</v>
      </c>
      <c r="AL306" s="477">
        <f>AK306/VLOOKUP(IF(I306&gt;0,I306,1),Preise!$A$3:$B$27,2,FALSE)</f>
        <v>107.50000000000001</v>
      </c>
    </row>
    <row r="307" spans="1:38" s="3" customFormat="1" ht="13.5" customHeight="1" outlineLevel="1" x14ac:dyDescent="0.2">
      <c r="A307" s="5">
        <v>1415</v>
      </c>
      <c r="B307" s="412">
        <v>1415</v>
      </c>
      <c r="C307" s="132" t="str">
        <f>VLOOKUP(B307,Gegenstände!$A374:$B989,2,FALSE)</f>
        <v>Eisen-Kettenstiefel</v>
      </c>
      <c r="D307" s="133">
        <f>VLOOKUP(B307,Gegenstände!$A374:$D989,4,FALSE)</f>
        <v>7</v>
      </c>
      <c r="E307" s="468">
        <v>30</v>
      </c>
      <c r="F307" s="3">
        <v>180</v>
      </c>
      <c r="G307" s="54">
        <v>2</v>
      </c>
      <c r="H307" s="469">
        <v>62</v>
      </c>
      <c r="I307" s="54">
        <v>6</v>
      </c>
      <c r="J307" s="470"/>
      <c r="K307" s="54">
        <v>5</v>
      </c>
      <c r="L307" s="3" t="s">
        <v>114</v>
      </c>
      <c r="M307" s="85">
        <v>7</v>
      </c>
      <c r="N307" s="83" t="s">
        <v>176</v>
      </c>
      <c r="O307" s="85"/>
      <c r="P307" s="83"/>
      <c r="Q307" s="85"/>
      <c r="R307" s="83"/>
      <c r="S307" s="170"/>
      <c r="T307" s="170"/>
      <c r="U307" s="471">
        <f>VLOOKUP(D307,Preise!$A$3:$C$27,3)</f>
        <v>2.3130607656249991</v>
      </c>
      <c r="V307" s="558">
        <f>0.15*W307</f>
        <v>1734.7955742187494</v>
      </c>
      <c r="W307" s="559">
        <f t="shared" si="112"/>
        <v>11565.303828124996</v>
      </c>
      <c r="X307" s="560">
        <f t="shared" si="113"/>
        <v>1700</v>
      </c>
      <c r="Y307" s="473">
        <f t="shared" si="114"/>
        <v>1700</v>
      </c>
      <c r="Z307" s="474">
        <f>IF(ISERROR(VLOOKUP(L307,Gegenstände!$B$2:$N$2026,13,FALSE)),0,VLOOKUP(L307,Gegenstände!$B$2:$N$2026,13,FALSE))</f>
        <v>120</v>
      </c>
      <c r="AA307" s="142">
        <f>IF(ISERROR(VLOOKUP(N307,Gegenstände!$B$2:$N$2026,13,FALSE)),0,VLOOKUP(N307,Gegenstände!$B$2:$N$2026,13,FALSE))</f>
        <v>80</v>
      </c>
      <c r="AB307" s="142">
        <f>IF(ISERROR(VLOOKUP(P307,Gegenstände!$B$2:$N$2026,13,FALSE)),0,VLOOKUP(P307,Gegenstände!$B$2:$N$2026,13,FALSE))</f>
        <v>0</v>
      </c>
      <c r="AC307" s="142">
        <f>IF(ISERROR(VLOOKUP(R307,Gegenstände!$B$2:$N$2026,13,FALSE)),0,VLOOKUP(R307,Gegenstände!$B$2:$N$2026,13,FALSE))</f>
        <v>0</v>
      </c>
      <c r="AD307" s="142"/>
      <c r="AE307" s="475">
        <f t="shared" si="115"/>
        <v>600</v>
      </c>
      <c r="AF307" s="476">
        <f t="shared" si="116"/>
        <v>560</v>
      </c>
      <c r="AG307" s="128">
        <f t="shared" si="118"/>
        <v>0.35294117647058826</v>
      </c>
      <c r="AH307" s="128">
        <f t="shared" si="119"/>
        <v>0.32941176470588235</v>
      </c>
      <c r="AI307" s="129">
        <f t="shared" si="120"/>
        <v>0.68235294117647061</v>
      </c>
      <c r="AJ307" s="426">
        <f t="shared" si="117"/>
        <v>540</v>
      </c>
      <c r="AK307" s="131">
        <f t="shared" si="105"/>
        <v>180</v>
      </c>
      <c r="AL307" s="477">
        <f>AK307/VLOOKUP(IF(I307&gt;0,I307,1),Preise!$A$3:$B$27,2,FALSE)</f>
        <v>90.000000000000014</v>
      </c>
    </row>
    <row r="308" spans="1:38" s="3" customFormat="1" ht="13.5" customHeight="1" outlineLevel="1" x14ac:dyDescent="0.2">
      <c r="A308" s="5">
        <v>1416</v>
      </c>
      <c r="B308" s="412">
        <v>1416</v>
      </c>
      <c r="C308" s="132" t="str">
        <f>VLOOKUP(B308,Gegenstände!$A375:$B990,2,FALSE)</f>
        <v>Eisen-Plattenhelm</v>
      </c>
      <c r="D308" s="133">
        <f>VLOOKUP(B308,Gegenstände!$A375:$D990,4,FALSE)</f>
        <v>9</v>
      </c>
      <c r="E308" s="468">
        <v>30</v>
      </c>
      <c r="F308" s="3">
        <v>240</v>
      </c>
      <c r="G308" s="54">
        <v>2</v>
      </c>
      <c r="H308" s="469">
        <v>62</v>
      </c>
      <c r="I308" s="54">
        <v>8</v>
      </c>
      <c r="J308" s="470"/>
      <c r="K308" s="54">
        <v>8</v>
      </c>
      <c r="L308" s="3" t="s">
        <v>114</v>
      </c>
      <c r="M308" s="85">
        <v>12</v>
      </c>
      <c r="N308" s="83" t="s">
        <v>176</v>
      </c>
      <c r="O308" s="85"/>
      <c r="P308" s="83"/>
      <c r="Q308" s="85"/>
      <c r="R308" s="83"/>
      <c r="S308" s="170"/>
      <c r="T308" s="170"/>
      <c r="U308" s="471">
        <f>VLOOKUP(D308,Preise!$A$3:$C$27,3)</f>
        <v>3.0590228625390607</v>
      </c>
      <c r="V308" s="523">
        <f>0.2*W308</f>
        <v>3059.022862539061</v>
      </c>
      <c r="W308" s="131">
        <f t="shared" si="112"/>
        <v>15295.114312695303</v>
      </c>
      <c r="X308" s="472">
        <f t="shared" si="113"/>
        <v>3100</v>
      </c>
      <c r="Y308" s="473">
        <f t="shared" si="114"/>
        <v>3100</v>
      </c>
      <c r="Z308" s="474">
        <f>IF(ISERROR(VLOOKUP(L308,Gegenstände!$B$2:$N$2026,13,FALSE)),0,VLOOKUP(L308,Gegenstände!$B$2:$N$2026,13,FALSE))</f>
        <v>120</v>
      </c>
      <c r="AA308" s="142">
        <f>IF(ISERROR(VLOOKUP(N308,Gegenstände!$B$2:$N$2026,13,FALSE)),0,VLOOKUP(N308,Gegenstände!$B$2:$N$2026,13,FALSE))</f>
        <v>80</v>
      </c>
      <c r="AB308" s="142">
        <f>IF(ISERROR(VLOOKUP(P308,Gegenstände!$B$2:$N$2026,13,FALSE)),0,VLOOKUP(P308,Gegenstände!$B$2:$N$2026,13,FALSE))</f>
        <v>0</v>
      </c>
      <c r="AC308" s="142">
        <f>IF(ISERROR(VLOOKUP(R308,Gegenstände!$B$2:$N$2026,13,FALSE)),0,VLOOKUP(R308,Gegenstände!$B$2:$N$2026,13,FALSE))</f>
        <v>0</v>
      </c>
      <c r="AD308" s="142"/>
      <c r="AE308" s="475">
        <f t="shared" si="115"/>
        <v>960</v>
      </c>
      <c r="AF308" s="476">
        <f t="shared" si="116"/>
        <v>960</v>
      </c>
      <c r="AG308" s="128">
        <f t="shared" si="118"/>
        <v>0.30967741935483872</v>
      </c>
      <c r="AH308" s="128">
        <f t="shared" si="119"/>
        <v>0.30967741935483872</v>
      </c>
      <c r="AI308" s="129">
        <f t="shared" si="120"/>
        <v>0.61935483870967745</v>
      </c>
      <c r="AJ308" s="426">
        <f t="shared" si="117"/>
        <v>1180</v>
      </c>
      <c r="AK308" s="131">
        <f t="shared" si="105"/>
        <v>295</v>
      </c>
      <c r="AL308" s="477">
        <f>AK308/VLOOKUP(IF(I308&gt;0,I308,1),Preise!$A$3:$B$27,2,FALSE)</f>
        <v>122.91666666666667</v>
      </c>
    </row>
    <row r="309" spans="1:38" s="3" customFormat="1" ht="13.5" customHeight="1" outlineLevel="1" x14ac:dyDescent="0.2">
      <c r="A309" s="5">
        <v>1417</v>
      </c>
      <c r="B309" s="412">
        <v>1417</v>
      </c>
      <c r="C309" s="132" t="str">
        <f>VLOOKUP(B309,Gegenstände!$A376:$B991,2,FALSE)</f>
        <v>Eisen-Plattenpanzer</v>
      </c>
      <c r="D309" s="133">
        <f>VLOOKUP(B309,Gegenstände!$A376:$D991,4,FALSE)</f>
        <v>9</v>
      </c>
      <c r="E309" s="468">
        <v>30</v>
      </c>
      <c r="F309" s="3">
        <v>360</v>
      </c>
      <c r="G309" s="54">
        <v>2</v>
      </c>
      <c r="H309" s="469">
        <v>62</v>
      </c>
      <c r="I309" s="54">
        <v>8</v>
      </c>
      <c r="J309" s="470"/>
      <c r="K309" s="54">
        <v>12</v>
      </c>
      <c r="L309" s="3" t="s">
        <v>114</v>
      </c>
      <c r="M309" s="85">
        <v>18</v>
      </c>
      <c r="N309" s="83" t="s">
        <v>176</v>
      </c>
      <c r="O309" s="85"/>
      <c r="P309" s="83"/>
      <c r="Q309" s="85"/>
      <c r="R309" s="83"/>
      <c r="S309" s="170"/>
      <c r="T309" s="170"/>
      <c r="U309" s="471">
        <f>VLOOKUP(D309,Preise!$A$3:$C$27,3)</f>
        <v>3.0590228625390607</v>
      </c>
      <c r="V309" s="523">
        <f>0.3*W309</f>
        <v>4588.5342938085905</v>
      </c>
      <c r="W309" s="131">
        <f t="shared" si="112"/>
        <v>15295.114312695303</v>
      </c>
      <c r="X309" s="472">
        <f t="shared" si="113"/>
        <v>4600</v>
      </c>
      <c r="Y309" s="473">
        <f t="shared" si="114"/>
        <v>4600</v>
      </c>
      <c r="Z309" s="474">
        <f>IF(ISERROR(VLOOKUP(L309,Gegenstände!$B$2:$N$2026,13,FALSE)),0,VLOOKUP(L309,Gegenstände!$B$2:$N$2026,13,FALSE))</f>
        <v>120</v>
      </c>
      <c r="AA309" s="142">
        <f>IF(ISERROR(VLOOKUP(N309,Gegenstände!$B$2:$N$2026,13,FALSE)),0,VLOOKUP(N309,Gegenstände!$B$2:$N$2026,13,FALSE))</f>
        <v>80</v>
      </c>
      <c r="AB309" s="142">
        <f>IF(ISERROR(VLOOKUP(P309,Gegenstände!$B$2:$N$2026,13,FALSE)),0,VLOOKUP(P309,Gegenstände!$B$2:$N$2026,13,FALSE))</f>
        <v>0</v>
      </c>
      <c r="AC309" s="142">
        <f>IF(ISERROR(VLOOKUP(R309,Gegenstände!$B$2:$N$2026,13,FALSE)),0,VLOOKUP(R309,Gegenstände!$B$2:$N$2026,13,FALSE))</f>
        <v>0</v>
      </c>
      <c r="AD309" s="142"/>
      <c r="AE309" s="475">
        <f t="shared" si="115"/>
        <v>1440</v>
      </c>
      <c r="AF309" s="476">
        <f t="shared" si="116"/>
        <v>1440</v>
      </c>
      <c r="AG309" s="128">
        <f t="shared" si="118"/>
        <v>0.31304347826086959</v>
      </c>
      <c r="AH309" s="128">
        <f t="shared" si="119"/>
        <v>0.31304347826086959</v>
      </c>
      <c r="AI309" s="129">
        <f t="shared" si="120"/>
        <v>0.62608695652173918</v>
      </c>
      <c r="AJ309" s="426">
        <f t="shared" si="117"/>
        <v>1720</v>
      </c>
      <c r="AK309" s="131">
        <f t="shared" si="105"/>
        <v>286.66666666666669</v>
      </c>
      <c r="AL309" s="477">
        <f>AK309/VLOOKUP(IF(I309&gt;0,I309,1),Preise!$A$3:$B$27,2,FALSE)</f>
        <v>119.44444444444446</v>
      </c>
    </row>
    <row r="310" spans="1:38" s="3" customFormat="1" ht="13.5" customHeight="1" outlineLevel="1" x14ac:dyDescent="0.2">
      <c r="A310" s="5">
        <v>1418</v>
      </c>
      <c r="B310" s="412">
        <v>1418</v>
      </c>
      <c r="C310" s="132" t="str">
        <f>VLOOKUP(B310,Gegenstände!$A377:$B992,2,FALSE)</f>
        <v>Eisen-Plattenhandschuhe</v>
      </c>
      <c r="D310" s="133">
        <f>VLOOKUP(B310,Gegenstände!$A377:$D992,4,FALSE)</f>
        <v>10</v>
      </c>
      <c r="E310" s="468">
        <v>30</v>
      </c>
      <c r="F310" s="3">
        <v>180</v>
      </c>
      <c r="G310" s="54">
        <v>2</v>
      </c>
      <c r="H310" s="469">
        <v>62</v>
      </c>
      <c r="I310" s="54">
        <v>9</v>
      </c>
      <c r="J310" s="470"/>
      <c r="K310" s="54">
        <v>7</v>
      </c>
      <c r="L310" s="3" t="s">
        <v>114</v>
      </c>
      <c r="M310" s="85">
        <v>10</v>
      </c>
      <c r="N310" s="83" t="s">
        <v>176</v>
      </c>
      <c r="O310" s="85"/>
      <c r="P310" s="83"/>
      <c r="Q310" s="85"/>
      <c r="R310" s="83"/>
      <c r="S310" s="170"/>
      <c r="T310" s="170"/>
      <c r="U310" s="471">
        <f>VLOOKUP(D310,Preise!$A$3:$C$27,3)</f>
        <v>3.5178762919199196</v>
      </c>
      <c r="V310" s="523">
        <f>0.15*W310</f>
        <v>2638.4072189399394</v>
      </c>
      <c r="W310" s="131">
        <f t="shared" si="112"/>
        <v>17589.381459599597</v>
      </c>
      <c r="X310" s="472">
        <f t="shared" si="113"/>
        <v>2600</v>
      </c>
      <c r="Y310" s="473">
        <f t="shared" si="114"/>
        <v>2600</v>
      </c>
      <c r="Z310" s="474">
        <f>IF(ISERROR(VLOOKUP(L310,Gegenstände!$B$2:$N$2026,13,FALSE)),0,VLOOKUP(L310,Gegenstände!$B$2:$N$2026,13,FALSE))</f>
        <v>120</v>
      </c>
      <c r="AA310" s="142">
        <f>IF(ISERROR(VLOOKUP(N310,Gegenstände!$B$2:$N$2026,13,FALSE)),0,VLOOKUP(N310,Gegenstände!$B$2:$N$2026,13,FALSE))</f>
        <v>80</v>
      </c>
      <c r="AB310" s="142">
        <f>IF(ISERROR(VLOOKUP(P310,Gegenstände!$B$2:$N$2026,13,FALSE)),0,VLOOKUP(P310,Gegenstände!$B$2:$N$2026,13,FALSE))</f>
        <v>0</v>
      </c>
      <c r="AC310" s="142">
        <f>IF(ISERROR(VLOOKUP(R310,Gegenstände!$B$2:$N$2026,13,FALSE)),0,VLOOKUP(R310,Gegenstände!$B$2:$N$2026,13,FALSE))</f>
        <v>0</v>
      </c>
      <c r="AD310" s="142"/>
      <c r="AE310" s="475">
        <f t="shared" si="115"/>
        <v>840</v>
      </c>
      <c r="AF310" s="476">
        <f t="shared" si="116"/>
        <v>800</v>
      </c>
      <c r="AG310" s="128">
        <f t="shared" si="118"/>
        <v>0.32307692307692309</v>
      </c>
      <c r="AH310" s="128">
        <f t="shared" si="119"/>
        <v>0.30769230769230771</v>
      </c>
      <c r="AI310" s="129">
        <f t="shared" si="120"/>
        <v>0.63076923076923075</v>
      </c>
      <c r="AJ310" s="426">
        <f t="shared" si="117"/>
        <v>960</v>
      </c>
      <c r="AK310" s="131">
        <f t="shared" si="105"/>
        <v>320</v>
      </c>
      <c r="AL310" s="477">
        <f>AK310/VLOOKUP(IF(I310&gt;0,I310,1),Preise!$A$3:$B$27,2,FALSE)</f>
        <v>123.07692307692307</v>
      </c>
    </row>
    <row r="311" spans="1:38" s="3" customFormat="1" ht="13.5" customHeight="1" outlineLevel="1" x14ac:dyDescent="0.2">
      <c r="A311" s="5">
        <v>1419</v>
      </c>
      <c r="B311" s="412">
        <v>1419</v>
      </c>
      <c r="C311" s="132" t="str">
        <f>VLOOKUP(B311,Gegenstände!$A378:$B993,2,FALSE)</f>
        <v>Eisen-Plattenbeinlinge</v>
      </c>
      <c r="D311" s="133">
        <f>VLOOKUP(B311,Gegenstände!$A378:$D993,4,FALSE)</f>
        <v>10</v>
      </c>
      <c r="E311" s="468">
        <v>30</v>
      </c>
      <c r="F311" s="3">
        <v>240</v>
      </c>
      <c r="G311" s="54">
        <v>2</v>
      </c>
      <c r="H311" s="469">
        <v>62</v>
      </c>
      <c r="I311" s="54">
        <v>9</v>
      </c>
      <c r="J311" s="470"/>
      <c r="K311" s="54">
        <v>10</v>
      </c>
      <c r="L311" s="3" t="s">
        <v>114</v>
      </c>
      <c r="M311" s="85">
        <v>14</v>
      </c>
      <c r="N311" s="83" t="s">
        <v>176</v>
      </c>
      <c r="O311" s="85"/>
      <c r="P311" s="83"/>
      <c r="Q311" s="85"/>
      <c r="R311" s="83"/>
      <c r="S311" s="170"/>
      <c r="T311" s="170"/>
      <c r="U311" s="471">
        <f>VLOOKUP(D311,Preise!$A$3:$C$27,3)</f>
        <v>3.5178762919199196</v>
      </c>
      <c r="V311" s="523">
        <f>0.2*W311</f>
        <v>3517.8762919199198</v>
      </c>
      <c r="W311" s="131">
        <f t="shared" si="112"/>
        <v>17589.381459599597</v>
      </c>
      <c r="X311" s="472">
        <f t="shared" si="113"/>
        <v>3500</v>
      </c>
      <c r="Y311" s="473">
        <f t="shared" si="114"/>
        <v>3500</v>
      </c>
      <c r="Z311" s="474">
        <f>IF(ISERROR(VLOOKUP(L311,Gegenstände!$B$2:$N$2026,13,FALSE)),0,VLOOKUP(L311,Gegenstände!$B$2:$N$2026,13,FALSE))</f>
        <v>120</v>
      </c>
      <c r="AA311" s="142">
        <f>IF(ISERROR(VLOOKUP(N311,Gegenstände!$B$2:$N$2026,13,FALSE)),0,VLOOKUP(N311,Gegenstände!$B$2:$N$2026,13,FALSE))</f>
        <v>80</v>
      </c>
      <c r="AB311" s="142">
        <f>IF(ISERROR(VLOOKUP(P311,Gegenstände!$B$2:$N$2026,13,FALSE)),0,VLOOKUP(P311,Gegenstände!$B$2:$N$2026,13,FALSE))</f>
        <v>0</v>
      </c>
      <c r="AC311" s="142">
        <f>IF(ISERROR(VLOOKUP(R311,Gegenstände!$B$2:$N$2026,13,FALSE)),0,VLOOKUP(R311,Gegenstände!$B$2:$N$2026,13,FALSE))</f>
        <v>0</v>
      </c>
      <c r="AD311" s="142"/>
      <c r="AE311" s="475">
        <f t="shared" si="115"/>
        <v>1200</v>
      </c>
      <c r="AF311" s="476">
        <f t="shared" si="116"/>
        <v>1120</v>
      </c>
      <c r="AG311" s="128">
        <f t="shared" si="118"/>
        <v>0.34285714285714286</v>
      </c>
      <c r="AH311" s="128">
        <f t="shared" si="119"/>
        <v>0.32</v>
      </c>
      <c r="AI311" s="129">
        <f t="shared" si="120"/>
        <v>0.66285714285714281</v>
      </c>
      <c r="AJ311" s="426">
        <f t="shared" si="117"/>
        <v>1180</v>
      </c>
      <c r="AK311" s="131">
        <f t="shared" si="105"/>
        <v>295</v>
      </c>
      <c r="AL311" s="477">
        <f>AK311/VLOOKUP(IF(I311&gt;0,I311,1),Preise!$A$3:$B$27,2,FALSE)</f>
        <v>113.46153846153845</v>
      </c>
    </row>
    <row r="312" spans="1:38" s="3" customFormat="1" ht="13.5" customHeight="1" outlineLevel="1" x14ac:dyDescent="0.2">
      <c r="A312" s="345">
        <v>1420</v>
      </c>
      <c r="B312" s="561">
        <v>1420</v>
      </c>
      <c r="C312" s="413" t="str">
        <f>VLOOKUP(B312,Gegenstände!$A379:$B994,2,FALSE)</f>
        <v>Eisen-Plattenstiefel</v>
      </c>
      <c r="D312" s="562">
        <f>VLOOKUP(B312,Gegenstände!$A379:$D994,4,FALSE)</f>
        <v>10</v>
      </c>
      <c r="E312" s="563">
        <v>30</v>
      </c>
      <c r="F312" s="334">
        <v>180</v>
      </c>
      <c r="G312" s="335">
        <v>2</v>
      </c>
      <c r="H312" s="565">
        <v>62</v>
      </c>
      <c r="I312" s="335">
        <v>9</v>
      </c>
      <c r="J312" s="566"/>
      <c r="K312" s="335">
        <v>7</v>
      </c>
      <c r="L312" s="334" t="s">
        <v>114</v>
      </c>
      <c r="M312" s="567">
        <v>10</v>
      </c>
      <c r="N312" s="568" t="s">
        <v>176</v>
      </c>
      <c r="O312" s="567"/>
      <c r="P312" s="568"/>
      <c r="Q312" s="567"/>
      <c r="R312" s="568"/>
      <c r="S312" s="569"/>
      <c r="T312" s="570"/>
      <c r="U312" s="471">
        <f>VLOOKUP(D312,Preise!$A$3:$C$27,3)</f>
        <v>3.5178762919199196</v>
      </c>
      <c r="V312" s="558">
        <f>0.15*W312</f>
        <v>2638.4072189399394</v>
      </c>
      <c r="W312" s="559">
        <f t="shared" si="112"/>
        <v>17589.381459599597</v>
      </c>
      <c r="X312" s="472">
        <f t="shared" si="113"/>
        <v>2600</v>
      </c>
      <c r="Y312" s="473">
        <f t="shared" si="114"/>
        <v>2600</v>
      </c>
      <c r="Z312" s="474">
        <f>IF(ISERROR(VLOOKUP(L312,Gegenstände!$B$2:$N$2026,13,FALSE)),0,VLOOKUP(L312,Gegenstände!$B$2:$N$2026,13,FALSE))</f>
        <v>120</v>
      </c>
      <c r="AA312" s="142">
        <f>IF(ISERROR(VLOOKUP(N312,Gegenstände!$B$2:$N$2026,13,FALSE)),0,VLOOKUP(N312,Gegenstände!$B$2:$N$2026,13,FALSE))</f>
        <v>80</v>
      </c>
      <c r="AB312" s="142">
        <f>IF(ISERROR(VLOOKUP(P312,Gegenstände!$B$2:$N$2026,13,FALSE)),0,VLOOKUP(P312,Gegenstände!$B$2:$N$2026,13,FALSE))</f>
        <v>0</v>
      </c>
      <c r="AC312" s="142">
        <f>IF(ISERROR(VLOOKUP(R312,Gegenstände!$B$2:$N$2026,13,FALSE)),0,VLOOKUP(R312,Gegenstände!$B$2:$N$2026,13,FALSE))</f>
        <v>0</v>
      </c>
      <c r="AD312" s="142"/>
      <c r="AE312" s="475">
        <f t="shared" si="115"/>
        <v>840</v>
      </c>
      <c r="AF312" s="476">
        <f t="shared" si="116"/>
        <v>800</v>
      </c>
      <c r="AG312" s="128">
        <f t="shared" si="118"/>
        <v>0.32307692307692309</v>
      </c>
      <c r="AH312" s="128">
        <f t="shared" si="119"/>
        <v>0.30769230769230771</v>
      </c>
      <c r="AI312" s="129">
        <f t="shared" si="120"/>
        <v>0.63076923076923075</v>
      </c>
      <c r="AJ312" s="426">
        <f t="shared" si="117"/>
        <v>960</v>
      </c>
      <c r="AK312" s="131">
        <f t="shared" si="105"/>
        <v>320</v>
      </c>
      <c r="AL312" s="477">
        <f>AK312/VLOOKUP(IF(I312&gt;0,I312,1),Preise!$A$3:$B$27,2,FALSE)</f>
        <v>123.07692307692307</v>
      </c>
    </row>
    <row r="313" spans="1:38" s="3" customFormat="1" ht="13.5" customHeight="1" outlineLevel="1" x14ac:dyDescent="0.2">
      <c r="A313" s="5">
        <v>1421</v>
      </c>
      <c r="B313" s="412">
        <v>1421</v>
      </c>
      <c r="C313" s="132" t="str">
        <f>VLOOKUP(B313,Gegenstände!$A380:$B995,2,FALSE)</f>
        <v>Sorandil-Kettenhaube</v>
      </c>
      <c r="D313" s="133">
        <f>VLOOKUP(B313,Gegenstände!$A380:$D995,4,FALSE)</f>
        <v>11</v>
      </c>
      <c r="E313" s="468">
        <v>30</v>
      </c>
      <c r="F313" s="3">
        <v>240</v>
      </c>
      <c r="G313" s="54">
        <v>3</v>
      </c>
      <c r="H313" s="469">
        <v>62</v>
      </c>
      <c r="I313" s="54">
        <v>10</v>
      </c>
      <c r="J313" s="470"/>
      <c r="K313" s="54">
        <v>7</v>
      </c>
      <c r="L313" s="3" t="s">
        <v>115</v>
      </c>
      <c r="M313" s="85">
        <v>9</v>
      </c>
      <c r="N313" s="83" t="s">
        <v>176</v>
      </c>
      <c r="O313" s="85">
        <v>3</v>
      </c>
      <c r="P313" s="83" t="s">
        <v>185</v>
      </c>
      <c r="Q313" s="85"/>
      <c r="R313" s="83"/>
      <c r="S313" s="170"/>
      <c r="T313" s="170"/>
      <c r="U313" s="471">
        <f>VLOOKUP(D313,Preise!$A$3:$C$27,3)</f>
        <v>4.0455577357079076</v>
      </c>
      <c r="V313" s="523">
        <f>0.2*W313</f>
        <v>4045.5577357079078</v>
      </c>
      <c r="W313" s="131">
        <f t="shared" si="112"/>
        <v>20227.788678539539</v>
      </c>
      <c r="X313" s="557">
        <f t="shared" si="113"/>
        <v>4000</v>
      </c>
      <c r="Y313" s="473">
        <f t="shared" si="114"/>
        <v>4000</v>
      </c>
      <c r="Z313" s="474">
        <f>IF(ISERROR(VLOOKUP(L313,Gegenstände!$B$2:$N$2026,13,FALSE)),0,VLOOKUP(L313,Gegenstände!$B$2:$N$2026,13,FALSE))</f>
        <v>180</v>
      </c>
      <c r="AA313" s="142">
        <f>IF(ISERROR(VLOOKUP(N313,Gegenstände!$B$2:$N$2026,13,FALSE)),0,VLOOKUP(N313,Gegenstände!$B$2:$N$2026,13,FALSE))</f>
        <v>80</v>
      </c>
      <c r="AB313" s="142">
        <f>IF(ISERROR(VLOOKUP(P313,Gegenstände!$B$2:$N$2026,13,FALSE)),0,VLOOKUP(P313,Gegenstände!$B$2:$N$2026,13,FALSE))</f>
        <v>200</v>
      </c>
      <c r="AC313" s="142">
        <f>IF(ISERROR(VLOOKUP(R313,Gegenstände!$B$2:$N$2026,13,FALSE)),0,VLOOKUP(R313,Gegenstände!$B$2:$N$2026,13,FALSE))</f>
        <v>0</v>
      </c>
      <c r="AD313" s="142"/>
      <c r="AE313" s="475">
        <f t="shared" si="115"/>
        <v>1260</v>
      </c>
      <c r="AF313" s="476">
        <f t="shared" si="116"/>
        <v>1320</v>
      </c>
      <c r="AG313" s="128">
        <f t="shared" si="118"/>
        <v>0.315</v>
      </c>
      <c r="AH313" s="128">
        <f t="shared" si="119"/>
        <v>0.33</v>
      </c>
      <c r="AI313" s="129">
        <f t="shared" si="120"/>
        <v>0.64500000000000002</v>
      </c>
      <c r="AJ313" s="426">
        <f t="shared" si="117"/>
        <v>1420</v>
      </c>
      <c r="AK313" s="131">
        <f t="shared" si="105"/>
        <v>355</v>
      </c>
      <c r="AL313" s="477">
        <f>AK313/VLOOKUP(IF(I313&gt;0,I313,1),Preise!$A$3:$B$27,2,FALSE)</f>
        <v>126.78571428571428</v>
      </c>
    </row>
    <row r="314" spans="1:38" s="3" customFormat="1" ht="13.5" customHeight="1" outlineLevel="1" x14ac:dyDescent="0.2">
      <c r="A314" s="5">
        <v>1422</v>
      </c>
      <c r="B314" s="412">
        <v>1422</v>
      </c>
      <c r="C314" s="132" t="str">
        <f>VLOOKUP(B314,Gegenstände!$A381:$B996,2,FALSE)</f>
        <v>Sorandil-Kettenhemd</v>
      </c>
      <c r="D314" s="133">
        <f>VLOOKUP(B314,Gegenstände!$A381:$D996,4,FALSE)</f>
        <v>11</v>
      </c>
      <c r="E314" s="468">
        <v>30</v>
      </c>
      <c r="F314" s="3">
        <v>360</v>
      </c>
      <c r="G314" s="54">
        <v>3</v>
      </c>
      <c r="H314" s="469">
        <v>62</v>
      </c>
      <c r="I314" s="54">
        <v>10</v>
      </c>
      <c r="J314" s="470"/>
      <c r="K314" s="54">
        <v>11</v>
      </c>
      <c r="L314" s="3" t="s">
        <v>115</v>
      </c>
      <c r="M314" s="85">
        <v>10</v>
      </c>
      <c r="N314" s="83" t="s">
        <v>176</v>
      </c>
      <c r="O314" s="85">
        <v>6</v>
      </c>
      <c r="P314" s="83" t="s">
        <v>185</v>
      </c>
      <c r="Q314" s="85"/>
      <c r="R314" s="83"/>
      <c r="S314" s="170"/>
      <c r="T314" s="170"/>
      <c r="U314" s="471">
        <f>VLOOKUP(D314,Preise!$A$3:$C$27,3)</f>
        <v>4.0455577357079076</v>
      </c>
      <c r="V314" s="523">
        <f>0.3*W314</f>
        <v>6068.336603561861</v>
      </c>
      <c r="W314" s="131">
        <f t="shared" si="112"/>
        <v>20227.788678539539</v>
      </c>
      <c r="X314" s="472">
        <f t="shared" si="113"/>
        <v>6100</v>
      </c>
      <c r="Y314" s="473">
        <f t="shared" si="114"/>
        <v>6100</v>
      </c>
      <c r="Z314" s="474">
        <f>IF(ISERROR(VLOOKUP(L314,Gegenstände!$B$2:$N$2026,13,FALSE)),0,VLOOKUP(L314,Gegenstände!$B$2:$N$2026,13,FALSE))</f>
        <v>180</v>
      </c>
      <c r="AA314" s="142">
        <f>IF(ISERROR(VLOOKUP(N314,Gegenstände!$B$2:$N$2026,13,FALSE)),0,VLOOKUP(N314,Gegenstände!$B$2:$N$2026,13,FALSE))</f>
        <v>80</v>
      </c>
      <c r="AB314" s="142">
        <f>IF(ISERROR(VLOOKUP(P314,Gegenstände!$B$2:$N$2026,13,FALSE)),0,VLOOKUP(P314,Gegenstände!$B$2:$N$2026,13,FALSE))</f>
        <v>200</v>
      </c>
      <c r="AC314" s="142">
        <f>IF(ISERROR(VLOOKUP(R314,Gegenstände!$B$2:$N$2026,13,FALSE)),0,VLOOKUP(R314,Gegenstände!$B$2:$N$2026,13,FALSE))</f>
        <v>0</v>
      </c>
      <c r="AD314" s="142"/>
      <c r="AE314" s="475">
        <f t="shared" si="115"/>
        <v>1980</v>
      </c>
      <c r="AF314" s="476">
        <f t="shared" si="116"/>
        <v>2000</v>
      </c>
      <c r="AG314" s="128">
        <f t="shared" si="118"/>
        <v>0.32459016393442625</v>
      </c>
      <c r="AH314" s="128">
        <f t="shared" si="119"/>
        <v>0.32786885245901637</v>
      </c>
      <c r="AI314" s="129">
        <f t="shared" si="120"/>
        <v>0.65245901639344261</v>
      </c>
      <c r="AJ314" s="426">
        <f t="shared" si="117"/>
        <v>2120</v>
      </c>
      <c r="AK314" s="131">
        <f t="shared" si="105"/>
        <v>353.33333333333331</v>
      </c>
      <c r="AL314" s="477">
        <f>AK314/VLOOKUP(IF(I314&gt;0,I314,1),Preise!$A$3:$B$27,2,FALSE)</f>
        <v>126.19047619047618</v>
      </c>
    </row>
    <row r="315" spans="1:38" s="3" customFormat="1" ht="13.5" customHeight="1" outlineLevel="1" x14ac:dyDescent="0.2">
      <c r="A315" s="5">
        <v>1423</v>
      </c>
      <c r="B315" s="412">
        <v>1423</v>
      </c>
      <c r="C315" s="132" t="str">
        <f>VLOOKUP(B315,Gegenstände!$A382:$B997,2,FALSE)</f>
        <v>Sorandil-Kettenhandschuhe</v>
      </c>
      <c r="D315" s="133">
        <f>VLOOKUP(B315,Gegenstände!$A382:$D997,4,FALSE)</f>
        <v>12</v>
      </c>
      <c r="E315" s="468">
        <v>30</v>
      </c>
      <c r="F315" s="3">
        <v>180</v>
      </c>
      <c r="G315" s="54">
        <v>3</v>
      </c>
      <c r="H315" s="469">
        <v>62</v>
      </c>
      <c r="I315" s="54">
        <v>11</v>
      </c>
      <c r="J315" s="470"/>
      <c r="K315" s="54">
        <v>6</v>
      </c>
      <c r="L315" s="3" t="s">
        <v>115</v>
      </c>
      <c r="M315" s="85">
        <v>7</v>
      </c>
      <c r="N315" s="83" t="s">
        <v>176</v>
      </c>
      <c r="O315" s="85">
        <v>3</v>
      </c>
      <c r="P315" s="83" t="s">
        <v>185</v>
      </c>
      <c r="Q315" s="85"/>
      <c r="R315" s="83"/>
      <c r="S315" s="170"/>
      <c r="T315" s="170"/>
      <c r="U315" s="471">
        <f>VLOOKUP(D315,Preise!$A$3:$C$27,3)</f>
        <v>4.6523913960640932</v>
      </c>
      <c r="V315" s="523">
        <f>0.15*W315</f>
        <v>3489.2935470480697</v>
      </c>
      <c r="W315" s="131">
        <f t="shared" si="112"/>
        <v>23261.956980320465</v>
      </c>
      <c r="X315" s="472">
        <f t="shared" si="113"/>
        <v>3500</v>
      </c>
      <c r="Y315" s="473">
        <f t="shared" si="114"/>
        <v>3500</v>
      </c>
      <c r="Z315" s="474">
        <f>IF(ISERROR(VLOOKUP(L315,Gegenstände!$B$2:$N$2026,13,FALSE)),0,VLOOKUP(L315,Gegenstände!$B$2:$N$2026,13,FALSE))</f>
        <v>180</v>
      </c>
      <c r="AA315" s="142">
        <f>IF(ISERROR(VLOOKUP(N315,Gegenstände!$B$2:$N$2026,13,FALSE)),0,VLOOKUP(N315,Gegenstände!$B$2:$N$2026,13,FALSE))</f>
        <v>80</v>
      </c>
      <c r="AB315" s="142">
        <f>IF(ISERROR(VLOOKUP(P315,Gegenstände!$B$2:$N$2026,13,FALSE)),0,VLOOKUP(P315,Gegenstände!$B$2:$N$2026,13,FALSE))</f>
        <v>200</v>
      </c>
      <c r="AC315" s="142">
        <f>IF(ISERROR(VLOOKUP(R315,Gegenstände!$B$2:$N$2026,13,FALSE)),0,VLOOKUP(R315,Gegenstände!$B$2:$N$2026,13,FALSE))</f>
        <v>0</v>
      </c>
      <c r="AD315" s="142"/>
      <c r="AE315" s="475">
        <f t="shared" si="115"/>
        <v>1080</v>
      </c>
      <c r="AF315" s="476">
        <f t="shared" si="116"/>
        <v>1160</v>
      </c>
      <c r="AG315" s="128">
        <f t="shared" si="118"/>
        <v>0.30857142857142855</v>
      </c>
      <c r="AH315" s="128">
        <f t="shared" si="119"/>
        <v>0.33142857142857141</v>
      </c>
      <c r="AI315" s="129">
        <f t="shared" si="120"/>
        <v>0.64</v>
      </c>
      <c r="AJ315" s="426">
        <f t="shared" si="117"/>
        <v>1260</v>
      </c>
      <c r="AK315" s="131">
        <f t="shared" si="105"/>
        <v>420</v>
      </c>
      <c r="AL315" s="477">
        <f>AK315/VLOOKUP(IF(I315&gt;0,I315,1),Preise!$A$3:$B$27,2,FALSE)</f>
        <v>139.99999999999997</v>
      </c>
    </row>
    <row r="316" spans="1:38" s="3" customFormat="1" ht="13.5" customHeight="1" outlineLevel="1" x14ac:dyDescent="0.2">
      <c r="A316" s="5">
        <v>1424</v>
      </c>
      <c r="B316" s="412">
        <v>1424</v>
      </c>
      <c r="C316" s="132" t="str">
        <f>VLOOKUP(B316,Gegenstände!$A383:$B998,2,FALSE)</f>
        <v>Sorandil-Kettenbeinlinge</v>
      </c>
      <c r="D316" s="133">
        <f>VLOOKUP(B316,Gegenstände!$A383:$D998,4,FALSE)</f>
        <v>12</v>
      </c>
      <c r="E316" s="468">
        <v>30</v>
      </c>
      <c r="F316" s="3">
        <v>240</v>
      </c>
      <c r="G316" s="54">
        <v>3</v>
      </c>
      <c r="H316" s="469">
        <v>62</v>
      </c>
      <c r="I316" s="54">
        <v>11</v>
      </c>
      <c r="J316" s="470"/>
      <c r="K316" s="54">
        <v>8</v>
      </c>
      <c r="L316" s="3" t="s">
        <v>115</v>
      </c>
      <c r="M316" s="85">
        <v>12</v>
      </c>
      <c r="N316" s="83" t="s">
        <v>176</v>
      </c>
      <c r="O316" s="85">
        <v>3</v>
      </c>
      <c r="P316" s="83" t="s">
        <v>185</v>
      </c>
      <c r="Q316" s="85"/>
      <c r="R316" s="83"/>
      <c r="S316" s="170"/>
      <c r="T316" s="170"/>
      <c r="U316" s="471">
        <f>VLOOKUP(D316,Preise!$A$3:$C$27,3)</f>
        <v>4.6523913960640932</v>
      </c>
      <c r="V316" s="523">
        <f>0.2*W316</f>
        <v>4652.391396064093</v>
      </c>
      <c r="W316" s="131">
        <f t="shared" si="112"/>
        <v>23261.956980320465</v>
      </c>
      <c r="X316" s="472">
        <f t="shared" si="113"/>
        <v>4700</v>
      </c>
      <c r="Y316" s="473">
        <f t="shared" si="114"/>
        <v>4700</v>
      </c>
      <c r="Z316" s="474">
        <f>IF(ISERROR(VLOOKUP(L316,Gegenstände!$B$2:$N$2026,13,FALSE)),0,VLOOKUP(L316,Gegenstände!$B$2:$N$2026,13,FALSE))</f>
        <v>180</v>
      </c>
      <c r="AA316" s="142">
        <f>IF(ISERROR(VLOOKUP(N316,Gegenstände!$B$2:$N$2026,13,FALSE)),0,VLOOKUP(N316,Gegenstände!$B$2:$N$2026,13,FALSE))</f>
        <v>80</v>
      </c>
      <c r="AB316" s="142">
        <f>IF(ISERROR(VLOOKUP(P316,Gegenstände!$B$2:$N$2026,13,FALSE)),0,VLOOKUP(P316,Gegenstände!$B$2:$N$2026,13,FALSE))</f>
        <v>200</v>
      </c>
      <c r="AC316" s="142">
        <f>IF(ISERROR(VLOOKUP(R316,Gegenstände!$B$2:$N$2026,13,FALSE)),0,VLOOKUP(R316,Gegenstände!$B$2:$N$2026,13,FALSE))</f>
        <v>0</v>
      </c>
      <c r="AD316" s="142"/>
      <c r="AE316" s="475">
        <f t="shared" si="115"/>
        <v>1440</v>
      </c>
      <c r="AF316" s="476">
        <f t="shared" si="116"/>
        <v>1560</v>
      </c>
      <c r="AG316" s="128">
        <f t="shared" si="118"/>
        <v>0.30638297872340425</v>
      </c>
      <c r="AH316" s="128">
        <f t="shared" si="119"/>
        <v>0.33191489361702126</v>
      </c>
      <c r="AI316" s="129">
        <f t="shared" si="120"/>
        <v>0.63829787234042556</v>
      </c>
      <c r="AJ316" s="426">
        <f t="shared" si="117"/>
        <v>1700</v>
      </c>
      <c r="AK316" s="131">
        <f t="shared" si="105"/>
        <v>425</v>
      </c>
      <c r="AL316" s="477">
        <f>AK316/VLOOKUP(IF(I316&gt;0,I316,1),Preise!$A$3:$B$27,2,FALSE)</f>
        <v>141.66666666666666</v>
      </c>
    </row>
    <row r="317" spans="1:38" s="3" customFormat="1" ht="13.5" customHeight="1" outlineLevel="1" x14ac:dyDescent="0.2">
      <c r="A317" s="5">
        <v>1425</v>
      </c>
      <c r="B317" s="412">
        <v>1425</v>
      </c>
      <c r="C317" s="132" t="str">
        <f>VLOOKUP(B317,Gegenstände!$A384:$B999,2,FALSE)</f>
        <v>Sorandil-Kettenstiefel</v>
      </c>
      <c r="D317" s="133">
        <f>VLOOKUP(B317,Gegenstände!$A384:$D999,4,FALSE)</f>
        <v>12</v>
      </c>
      <c r="E317" s="468">
        <v>30</v>
      </c>
      <c r="F317" s="3">
        <v>180</v>
      </c>
      <c r="G317" s="54">
        <v>3</v>
      </c>
      <c r="H317" s="469">
        <v>62</v>
      </c>
      <c r="I317" s="54">
        <v>11</v>
      </c>
      <c r="J317" s="470"/>
      <c r="K317" s="54">
        <v>6</v>
      </c>
      <c r="L317" s="3" t="s">
        <v>115</v>
      </c>
      <c r="M317" s="85">
        <v>7</v>
      </c>
      <c r="N317" s="83" t="s">
        <v>176</v>
      </c>
      <c r="O317" s="85">
        <v>3</v>
      </c>
      <c r="P317" s="83" t="s">
        <v>185</v>
      </c>
      <c r="Q317" s="85"/>
      <c r="R317" s="83"/>
      <c r="S317" s="170"/>
      <c r="T317" s="170"/>
      <c r="U317" s="471">
        <f>VLOOKUP(D317,Preise!$A$3:$C$27,3)</f>
        <v>4.6523913960640932</v>
      </c>
      <c r="V317" s="558">
        <f>0.15*W317</f>
        <v>3489.2935470480697</v>
      </c>
      <c r="W317" s="559">
        <f t="shared" si="112"/>
        <v>23261.956980320465</v>
      </c>
      <c r="X317" s="560">
        <f t="shared" si="113"/>
        <v>3500</v>
      </c>
      <c r="Y317" s="473">
        <f t="shared" si="114"/>
        <v>3500</v>
      </c>
      <c r="Z317" s="474">
        <f>IF(ISERROR(VLOOKUP(L317,Gegenstände!$B$2:$N$2026,13,FALSE)),0,VLOOKUP(L317,Gegenstände!$B$2:$N$2026,13,FALSE))</f>
        <v>180</v>
      </c>
      <c r="AA317" s="142">
        <f>IF(ISERROR(VLOOKUP(N317,Gegenstände!$B$2:$N$2026,13,FALSE)),0,VLOOKUP(N317,Gegenstände!$B$2:$N$2026,13,FALSE))</f>
        <v>80</v>
      </c>
      <c r="AB317" s="142">
        <f>IF(ISERROR(VLOOKUP(P317,Gegenstände!$B$2:$N$2026,13,FALSE)),0,VLOOKUP(P317,Gegenstände!$B$2:$N$2026,13,FALSE))</f>
        <v>200</v>
      </c>
      <c r="AC317" s="142">
        <f>IF(ISERROR(VLOOKUP(R317,Gegenstände!$B$2:$N$2026,13,FALSE)),0,VLOOKUP(R317,Gegenstände!$B$2:$N$2026,13,FALSE))</f>
        <v>0</v>
      </c>
      <c r="AD317" s="142"/>
      <c r="AE317" s="475">
        <f t="shared" si="115"/>
        <v>1080</v>
      </c>
      <c r="AF317" s="476">
        <f t="shared" si="116"/>
        <v>1160</v>
      </c>
      <c r="AG317" s="128">
        <f t="shared" si="118"/>
        <v>0.30857142857142855</v>
      </c>
      <c r="AH317" s="128">
        <f t="shared" si="119"/>
        <v>0.33142857142857141</v>
      </c>
      <c r="AI317" s="129">
        <f t="shared" si="120"/>
        <v>0.64</v>
      </c>
      <c r="AJ317" s="426">
        <f t="shared" si="117"/>
        <v>1260</v>
      </c>
      <c r="AK317" s="131">
        <f t="shared" si="105"/>
        <v>420</v>
      </c>
      <c r="AL317" s="477">
        <f>AK317/VLOOKUP(IF(I317&gt;0,I317,1),Preise!$A$3:$B$27,2,FALSE)</f>
        <v>139.99999999999997</v>
      </c>
    </row>
    <row r="318" spans="1:38" s="3" customFormat="1" ht="13.5" customHeight="1" outlineLevel="1" x14ac:dyDescent="0.2">
      <c r="A318" s="5">
        <v>1426</v>
      </c>
      <c r="B318" s="412">
        <v>1426</v>
      </c>
      <c r="C318" s="132" t="str">
        <f>VLOOKUP(B318,Gegenstände!$A385:$B1000,2,FALSE)</f>
        <v>Sorandil-Plattenhelm</v>
      </c>
      <c r="D318" s="133">
        <f>VLOOKUP(B318,Gegenstände!$A385:$D1000,4,FALSE)</f>
        <v>14</v>
      </c>
      <c r="E318" s="468">
        <v>30</v>
      </c>
      <c r="F318" s="3">
        <v>240</v>
      </c>
      <c r="G318" s="54">
        <v>3</v>
      </c>
      <c r="H318" s="469">
        <v>62</v>
      </c>
      <c r="I318" s="54">
        <v>13</v>
      </c>
      <c r="J318" s="470"/>
      <c r="K318" s="54">
        <v>11</v>
      </c>
      <c r="L318" s="3" t="s">
        <v>115</v>
      </c>
      <c r="M318" s="85">
        <v>8</v>
      </c>
      <c r="N318" s="83" t="s">
        <v>176</v>
      </c>
      <c r="O318" s="85">
        <v>7</v>
      </c>
      <c r="P318" s="83" t="s">
        <v>185</v>
      </c>
      <c r="Q318" s="85"/>
      <c r="R318" s="83"/>
      <c r="S318" s="170"/>
      <c r="T318" s="170"/>
      <c r="U318" s="471">
        <f>VLOOKUP(D318,Preise!$A$3:$C$27,3)</f>
        <v>6.1527876212947623</v>
      </c>
      <c r="V318" s="523">
        <f>0.2*W318</f>
        <v>6152.7876212947631</v>
      </c>
      <c r="W318" s="131">
        <f t="shared" si="112"/>
        <v>30763.938106473812</v>
      </c>
      <c r="X318" s="472">
        <f t="shared" si="113"/>
        <v>6200</v>
      </c>
      <c r="Y318" s="473">
        <f t="shared" si="114"/>
        <v>6200</v>
      </c>
      <c r="Z318" s="474">
        <f>IF(ISERROR(VLOOKUP(L318,Gegenstände!$B$2:$N$2026,13,FALSE)),0,VLOOKUP(L318,Gegenstände!$B$2:$N$2026,13,FALSE))</f>
        <v>180</v>
      </c>
      <c r="AA318" s="142">
        <f>IF(ISERROR(VLOOKUP(N318,Gegenstände!$B$2:$N$2026,13,FALSE)),0,VLOOKUP(N318,Gegenstände!$B$2:$N$2026,13,FALSE))</f>
        <v>80</v>
      </c>
      <c r="AB318" s="142">
        <f>IF(ISERROR(VLOOKUP(P318,Gegenstände!$B$2:$N$2026,13,FALSE)),0,VLOOKUP(P318,Gegenstände!$B$2:$N$2026,13,FALSE))</f>
        <v>200</v>
      </c>
      <c r="AC318" s="142">
        <f>IF(ISERROR(VLOOKUP(R318,Gegenstände!$B$2:$N$2026,13,FALSE)),0,VLOOKUP(R318,Gegenstände!$B$2:$N$2026,13,FALSE))</f>
        <v>0</v>
      </c>
      <c r="AD318" s="142"/>
      <c r="AE318" s="475">
        <f t="shared" si="115"/>
        <v>1980</v>
      </c>
      <c r="AF318" s="476">
        <f t="shared" si="116"/>
        <v>2040</v>
      </c>
      <c r="AG318" s="128">
        <f t="shared" si="118"/>
        <v>0.3193548387096774</v>
      </c>
      <c r="AH318" s="128">
        <f t="shared" si="119"/>
        <v>0.32903225806451614</v>
      </c>
      <c r="AI318" s="129">
        <f t="shared" si="120"/>
        <v>0.64838709677419359</v>
      </c>
      <c r="AJ318" s="426">
        <f t="shared" si="117"/>
        <v>2180</v>
      </c>
      <c r="AK318" s="131">
        <f t="shared" si="105"/>
        <v>545</v>
      </c>
      <c r="AL318" s="477">
        <f>AK318/VLOOKUP(IF(I318&gt;0,I318,1),Preise!$A$3:$B$27,2,FALSE)</f>
        <v>160.29411764705878</v>
      </c>
    </row>
    <row r="319" spans="1:38" s="3" customFormat="1" ht="13.5" customHeight="1" outlineLevel="1" x14ac:dyDescent="0.2">
      <c r="A319" s="5">
        <v>1427</v>
      </c>
      <c r="B319" s="412">
        <v>1427</v>
      </c>
      <c r="C319" s="132" t="str">
        <f>VLOOKUP(B319,Gegenstände!$A386:$B1001,2,FALSE)</f>
        <v>Sorandil-Plattenpanzer</v>
      </c>
      <c r="D319" s="133">
        <f>VLOOKUP(B319,Gegenstände!$A386:$D1001,4,FALSE)</f>
        <v>14</v>
      </c>
      <c r="E319" s="468">
        <v>30</v>
      </c>
      <c r="F319" s="3">
        <v>360</v>
      </c>
      <c r="G319" s="54">
        <v>3</v>
      </c>
      <c r="H319" s="469">
        <v>62</v>
      </c>
      <c r="I319" s="54">
        <v>13</v>
      </c>
      <c r="J319" s="470"/>
      <c r="K319" s="54">
        <v>17</v>
      </c>
      <c r="L319" s="3" t="s">
        <v>115</v>
      </c>
      <c r="M319" s="85">
        <v>13</v>
      </c>
      <c r="N319" s="83" t="s">
        <v>176</v>
      </c>
      <c r="O319" s="85">
        <v>10</v>
      </c>
      <c r="P319" s="83" t="s">
        <v>185</v>
      </c>
      <c r="Q319" s="85"/>
      <c r="R319" s="83"/>
      <c r="S319" s="170"/>
      <c r="T319" s="170"/>
      <c r="U319" s="471">
        <f>VLOOKUP(D319,Preise!$A$3:$C$27,3)</f>
        <v>6.1527876212947623</v>
      </c>
      <c r="V319" s="523">
        <f>0.3*W319</f>
        <v>9229.1814319421428</v>
      </c>
      <c r="W319" s="131">
        <f t="shared" si="112"/>
        <v>30763.938106473812</v>
      </c>
      <c r="X319" s="472">
        <f t="shared" si="113"/>
        <v>9200</v>
      </c>
      <c r="Y319" s="473">
        <f t="shared" si="114"/>
        <v>9200</v>
      </c>
      <c r="Z319" s="474">
        <f>IF(ISERROR(VLOOKUP(L319,Gegenstände!$B$2:$N$2026,13,FALSE)),0,VLOOKUP(L319,Gegenstände!$B$2:$N$2026,13,FALSE))</f>
        <v>180</v>
      </c>
      <c r="AA319" s="142">
        <f>IF(ISERROR(VLOOKUP(N319,Gegenstände!$B$2:$N$2026,13,FALSE)),0,VLOOKUP(N319,Gegenstände!$B$2:$N$2026,13,FALSE))</f>
        <v>80</v>
      </c>
      <c r="AB319" s="142">
        <f>IF(ISERROR(VLOOKUP(P319,Gegenstände!$B$2:$N$2026,13,FALSE)),0,VLOOKUP(P319,Gegenstände!$B$2:$N$2026,13,FALSE))</f>
        <v>200</v>
      </c>
      <c r="AC319" s="142">
        <f>IF(ISERROR(VLOOKUP(R319,Gegenstände!$B$2:$N$2026,13,FALSE)),0,VLOOKUP(R319,Gegenstände!$B$2:$N$2026,13,FALSE))</f>
        <v>0</v>
      </c>
      <c r="AD319" s="142"/>
      <c r="AE319" s="475">
        <f t="shared" si="115"/>
        <v>3060</v>
      </c>
      <c r="AF319" s="476">
        <f t="shared" si="116"/>
        <v>3040</v>
      </c>
      <c r="AG319" s="128">
        <f t="shared" si="118"/>
        <v>0.33260869565217394</v>
      </c>
      <c r="AH319" s="128">
        <f t="shared" si="119"/>
        <v>0.33043478260869563</v>
      </c>
      <c r="AI319" s="129">
        <f t="shared" si="120"/>
        <v>0.66304347826086951</v>
      </c>
      <c r="AJ319" s="426">
        <f t="shared" si="117"/>
        <v>3100</v>
      </c>
      <c r="AK319" s="131">
        <f t="shared" si="105"/>
        <v>516.66666666666663</v>
      </c>
      <c r="AL319" s="477">
        <f>AK319/VLOOKUP(IF(I319&gt;0,I319,1),Preise!$A$3:$B$27,2,FALSE)</f>
        <v>151.96078431372544</v>
      </c>
    </row>
    <row r="320" spans="1:38" s="3" customFormat="1" ht="13.5" customHeight="1" outlineLevel="1" x14ac:dyDescent="0.2">
      <c r="A320" s="5">
        <v>1428</v>
      </c>
      <c r="B320" s="412">
        <v>1428</v>
      </c>
      <c r="C320" s="132" t="str">
        <f>VLOOKUP(B320,Gegenstände!$A387:$B1002,2,FALSE)</f>
        <v>Sorandil-Plattenhandschuhe</v>
      </c>
      <c r="D320" s="133">
        <f>VLOOKUP(B320,Gegenstände!$A387:$D1002,4,FALSE)</f>
        <v>15</v>
      </c>
      <c r="E320" s="468">
        <v>30</v>
      </c>
      <c r="F320" s="3">
        <v>180</v>
      </c>
      <c r="G320" s="54">
        <v>3</v>
      </c>
      <c r="H320" s="469">
        <v>62</v>
      </c>
      <c r="I320" s="54">
        <v>14</v>
      </c>
      <c r="J320" s="470"/>
      <c r="K320" s="54">
        <v>10</v>
      </c>
      <c r="L320" s="3" t="s">
        <v>115</v>
      </c>
      <c r="M320" s="85">
        <v>12</v>
      </c>
      <c r="N320" s="83" t="s">
        <v>176</v>
      </c>
      <c r="O320" s="85">
        <v>4</v>
      </c>
      <c r="P320" s="83" t="s">
        <v>185</v>
      </c>
      <c r="Q320" s="85"/>
      <c r="R320" s="83"/>
      <c r="S320" s="170"/>
      <c r="T320" s="170"/>
      <c r="U320" s="471">
        <f>VLOOKUP(D320,Preise!$A$3:$C$27,3)</f>
        <v>7.0757057644889763</v>
      </c>
      <c r="V320" s="523">
        <f>0.15*W320</f>
        <v>5306.7793233667317</v>
      </c>
      <c r="W320" s="131">
        <f t="shared" si="112"/>
        <v>35378.528822444881</v>
      </c>
      <c r="X320" s="472">
        <f t="shared" si="113"/>
        <v>5300</v>
      </c>
      <c r="Y320" s="473">
        <f t="shared" si="114"/>
        <v>5300</v>
      </c>
      <c r="Z320" s="474">
        <f>IF(ISERROR(VLOOKUP(L320,Gegenstände!$B$2:$N$2026,13,FALSE)),0,VLOOKUP(L320,Gegenstände!$B$2:$N$2026,13,FALSE))</f>
        <v>180</v>
      </c>
      <c r="AA320" s="142">
        <f>IF(ISERROR(VLOOKUP(N320,Gegenstände!$B$2:$N$2026,13,FALSE)),0,VLOOKUP(N320,Gegenstände!$B$2:$N$2026,13,FALSE))</f>
        <v>80</v>
      </c>
      <c r="AB320" s="142">
        <f>IF(ISERROR(VLOOKUP(P320,Gegenstände!$B$2:$N$2026,13,FALSE)),0,VLOOKUP(P320,Gegenstände!$B$2:$N$2026,13,FALSE))</f>
        <v>200</v>
      </c>
      <c r="AC320" s="142">
        <f>IF(ISERROR(VLOOKUP(R320,Gegenstände!$B$2:$N$2026,13,FALSE)),0,VLOOKUP(R320,Gegenstände!$B$2:$N$2026,13,FALSE))</f>
        <v>0</v>
      </c>
      <c r="AD320" s="142"/>
      <c r="AE320" s="475">
        <f t="shared" si="115"/>
        <v>1800</v>
      </c>
      <c r="AF320" s="476">
        <f t="shared" si="116"/>
        <v>1760</v>
      </c>
      <c r="AG320" s="128">
        <f t="shared" si="118"/>
        <v>0.33962264150943394</v>
      </c>
      <c r="AH320" s="128">
        <f t="shared" si="119"/>
        <v>0.33207547169811319</v>
      </c>
      <c r="AI320" s="129">
        <f t="shared" si="120"/>
        <v>0.67169811320754713</v>
      </c>
      <c r="AJ320" s="426">
        <f t="shared" si="117"/>
        <v>1740</v>
      </c>
      <c r="AK320" s="131">
        <f t="shared" si="105"/>
        <v>580</v>
      </c>
      <c r="AL320" s="477">
        <f>AK320/VLOOKUP(IF(I320&gt;0,I320,1),Preise!$A$3:$B$27,2,FALSE)</f>
        <v>161.11111111111106</v>
      </c>
    </row>
    <row r="321" spans="1:38" s="3" customFormat="1" ht="13.5" customHeight="1" outlineLevel="1" x14ac:dyDescent="0.2">
      <c r="A321" s="5">
        <v>1429</v>
      </c>
      <c r="B321" s="412">
        <v>1429</v>
      </c>
      <c r="C321" s="132" t="str">
        <f>VLOOKUP(B321,Gegenstände!$A388:$B1003,2,FALSE)</f>
        <v>Sorandil-Plattenbeinlinge</v>
      </c>
      <c r="D321" s="133">
        <f>VLOOKUP(B321,Gegenstände!$A388:$D1003,4,FALSE)</f>
        <v>15</v>
      </c>
      <c r="E321" s="468">
        <v>30</v>
      </c>
      <c r="F321" s="3">
        <v>240</v>
      </c>
      <c r="G321" s="54">
        <v>3</v>
      </c>
      <c r="H321" s="469">
        <v>62</v>
      </c>
      <c r="I321" s="54">
        <v>14</v>
      </c>
      <c r="J321" s="470"/>
      <c r="K321" s="54">
        <v>13</v>
      </c>
      <c r="L321" s="3" t="s">
        <v>115</v>
      </c>
      <c r="M321" s="85">
        <v>12</v>
      </c>
      <c r="N321" s="83" t="s">
        <v>176</v>
      </c>
      <c r="O321" s="85">
        <v>7</v>
      </c>
      <c r="P321" s="83" t="s">
        <v>185</v>
      </c>
      <c r="Q321" s="85"/>
      <c r="R321" s="83"/>
      <c r="S321" s="170"/>
      <c r="T321" s="170"/>
      <c r="U321" s="471">
        <f>VLOOKUP(D321,Preise!$A$3:$C$27,3)</f>
        <v>7.0757057644889763</v>
      </c>
      <c r="V321" s="523">
        <f>0.2*W321</f>
        <v>7075.7057644889765</v>
      </c>
      <c r="W321" s="131">
        <f t="shared" si="112"/>
        <v>35378.528822444881</v>
      </c>
      <c r="X321" s="472">
        <f t="shared" si="113"/>
        <v>7100</v>
      </c>
      <c r="Y321" s="473">
        <f t="shared" si="114"/>
        <v>7100</v>
      </c>
      <c r="Z321" s="474">
        <f>IF(ISERROR(VLOOKUP(L321,Gegenstände!$B$2:$N$2026,13,FALSE)),0,VLOOKUP(L321,Gegenstände!$B$2:$N$2026,13,FALSE))</f>
        <v>180</v>
      </c>
      <c r="AA321" s="142">
        <f>IF(ISERROR(VLOOKUP(N321,Gegenstände!$B$2:$N$2026,13,FALSE)),0,VLOOKUP(N321,Gegenstände!$B$2:$N$2026,13,FALSE))</f>
        <v>80</v>
      </c>
      <c r="AB321" s="142">
        <f>IF(ISERROR(VLOOKUP(P321,Gegenstände!$B$2:$N$2026,13,FALSE)),0,VLOOKUP(P321,Gegenstände!$B$2:$N$2026,13,FALSE))</f>
        <v>200</v>
      </c>
      <c r="AC321" s="142">
        <f>IF(ISERROR(VLOOKUP(R321,Gegenstände!$B$2:$N$2026,13,FALSE)),0,VLOOKUP(R321,Gegenstände!$B$2:$N$2026,13,FALSE))</f>
        <v>0</v>
      </c>
      <c r="AD321" s="142"/>
      <c r="AE321" s="475">
        <f t="shared" si="115"/>
        <v>2340</v>
      </c>
      <c r="AF321" s="476">
        <f t="shared" si="116"/>
        <v>2360</v>
      </c>
      <c r="AG321" s="128">
        <f t="shared" si="118"/>
        <v>0.3295774647887324</v>
      </c>
      <c r="AH321" s="128">
        <f t="shared" si="119"/>
        <v>0.3323943661971831</v>
      </c>
      <c r="AI321" s="129">
        <f t="shared" si="120"/>
        <v>0.6619718309859155</v>
      </c>
      <c r="AJ321" s="426">
        <f t="shared" si="117"/>
        <v>2400</v>
      </c>
      <c r="AK321" s="131">
        <f t="shared" si="105"/>
        <v>600</v>
      </c>
      <c r="AL321" s="477">
        <f>AK321/VLOOKUP(IF(I321&gt;0,I321,1),Preise!$A$3:$B$27,2,FALSE)</f>
        <v>166.66666666666663</v>
      </c>
    </row>
    <row r="322" spans="1:38" s="3" customFormat="1" ht="13.5" customHeight="1" outlineLevel="1" x14ac:dyDescent="0.2">
      <c r="A322" s="345">
        <v>1430</v>
      </c>
      <c r="B322" s="561">
        <v>1430</v>
      </c>
      <c r="C322" s="413" t="str">
        <f>VLOOKUP(B322,Gegenstände!$A389:$B1004,2,FALSE)</f>
        <v>Sorandil-Plattenstiefel</v>
      </c>
      <c r="D322" s="562">
        <f>VLOOKUP(B322,Gegenstände!$A389:$D1004,4,FALSE)</f>
        <v>15</v>
      </c>
      <c r="E322" s="563">
        <v>30</v>
      </c>
      <c r="F322" s="334">
        <v>180</v>
      </c>
      <c r="G322" s="335">
        <v>3</v>
      </c>
      <c r="H322" s="565">
        <v>62</v>
      </c>
      <c r="I322" s="335">
        <v>14</v>
      </c>
      <c r="J322" s="566"/>
      <c r="K322" s="335">
        <v>10</v>
      </c>
      <c r="L322" s="334" t="s">
        <v>115</v>
      </c>
      <c r="M322" s="567">
        <v>12</v>
      </c>
      <c r="N322" s="568" t="s">
        <v>176</v>
      </c>
      <c r="O322" s="567">
        <v>4</v>
      </c>
      <c r="P322" s="568" t="s">
        <v>185</v>
      </c>
      <c r="Q322" s="567"/>
      <c r="R322" s="568"/>
      <c r="S322" s="569"/>
      <c r="T322" s="570"/>
      <c r="U322" s="471">
        <f>VLOOKUP(D322,Preise!$A$3:$C$27,3)</f>
        <v>7.0757057644889763</v>
      </c>
      <c r="V322" s="558">
        <f>0.15*W322</f>
        <v>5306.7793233667317</v>
      </c>
      <c r="W322" s="559">
        <f t="shared" si="112"/>
        <v>35378.528822444881</v>
      </c>
      <c r="X322" s="472">
        <f t="shared" si="113"/>
        <v>5300</v>
      </c>
      <c r="Y322" s="473">
        <f t="shared" si="114"/>
        <v>5300</v>
      </c>
      <c r="Z322" s="474">
        <f>IF(ISERROR(VLOOKUP(L322,Gegenstände!$B$2:$N$2026,13,FALSE)),0,VLOOKUP(L322,Gegenstände!$B$2:$N$2026,13,FALSE))</f>
        <v>180</v>
      </c>
      <c r="AA322" s="142">
        <f>IF(ISERROR(VLOOKUP(N322,Gegenstände!$B$2:$N$2026,13,FALSE)),0,VLOOKUP(N322,Gegenstände!$B$2:$N$2026,13,FALSE))</f>
        <v>80</v>
      </c>
      <c r="AB322" s="142">
        <f>IF(ISERROR(VLOOKUP(P322,Gegenstände!$B$2:$N$2026,13,FALSE)),0,VLOOKUP(P322,Gegenstände!$B$2:$N$2026,13,FALSE))</f>
        <v>200</v>
      </c>
      <c r="AC322" s="142">
        <f>IF(ISERROR(VLOOKUP(R322,Gegenstände!$B$2:$N$2026,13,FALSE)),0,VLOOKUP(R322,Gegenstände!$B$2:$N$2026,13,FALSE))</f>
        <v>0</v>
      </c>
      <c r="AD322" s="142"/>
      <c r="AE322" s="475">
        <f t="shared" si="115"/>
        <v>1800</v>
      </c>
      <c r="AF322" s="476">
        <f t="shared" si="116"/>
        <v>1760</v>
      </c>
      <c r="AG322" s="128">
        <f t="shared" si="118"/>
        <v>0.33962264150943394</v>
      </c>
      <c r="AH322" s="128">
        <f t="shared" si="119"/>
        <v>0.33207547169811319</v>
      </c>
      <c r="AI322" s="129">
        <f t="shared" si="120"/>
        <v>0.67169811320754713</v>
      </c>
      <c r="AJ322" s="426">
        <f t="shared" si="117"/>
        <v>1740</v>
      </c>
      <c r="AK322" s="131">
        <f t="shared" si="105"/>
        <v>580</v>
      </c>
      <c r="AL322" s="477">
        <f>AK322/VLOOKUP(IF(I322&gt;0,I322,1),Preise!$A$3:$B$27,2,FALSE)</f>
        <v>161.11111111111106</v>
      </c>
    </row>
    <row r="323" spans="1:38" s="3" customFormat="1" ht="13.5" customHeight="1" outlineLevel="1" x14ac:dyDescent="0.2">
      <c r="A323" s="5">
        <v>1431</v>
      </c>
      <c r="B323" s="412">
        <v>1431</v>
      </c>
      <c r="C323" s="132" t="str">
        <f>VLOOKUP(B323,Gegenstände!$A390:$B1005,2,FALSE)</f>
        <v>Adamant-Kettenhaube</v>
      </c>
      <c r="D323" s="133">
        <f>VLOOKUP(B323,Gegenstände!$A390:$D1005,4,FALSE)</f>
        <v>16</v>
      </c>
      <c r="E323" s="468">
        <v>30</v>
      </c>
      <c r="F323" s="3">
        <v>240</v>
      </c>
      <c r="G323" s="54">
        <v>4</v>
      </c>
      <c r="H323" s="469">
        <v>62</v>
      </c>
      <c r="I323" s="54">
        <v>15</v>
      </c>
      <c r="J323" s="470"/>
      <c r="K323" s="54">
        <v>10</v>
      </c>
      <c r="L323" s="3" t="s">
        <v>116</v>
      </c>
      <c r="M323" s="85">
        <v>8</v>
      </c>
      <c r="N323" s="83" t="s">
        <v>176</v>
      </c>
      <c r="O323" s="85">
        <v>10</v>
      </c>
      <c r="P323" s="83" t="s">
        <v>185</v>
      </c>
      <c r="Q323" s="85"/>
      <c r="R323" s="83"/>
      <c r="S323" s="170"/>
      <c r="T323" s="170"/>
      <c r="U323" s="471">
        <f>VLOOKUP(D323,Preise!$A$3:$C$27,3)</f>
        <v>8.1370616291623215</v>
      </c>
      <c r="V323" s="523">
        <f>0.2*W323</f>
        <v>8137.0616291623219</v>
      </c>
      <c r="W323" s="131">
        <f t="shared" si="112"/>
        <v>40685.308145811607</v>
      </c>
      <c r="X323" s="557">
        <f t="shared" si="113"/>
        <v>8100</v>
      </c>
      <c r="Y323" s="473">
        <f t="shared" si="114"/>
        <v>8100</v>
      </c>
      <c r="Z323" s="474">
        <f>IF(ISERROR(VLOOKUP(L323,Gegenstände!$B$2:$N$2026,13,FALSE)),0,VLOOKUP(L323,Gegenstände!$B$2:$N$2026,13,FALSE))</f>
        <v>270</v>
      </c>
      <c r="AA323" s="142">
        <f>IF(ISERROR(VLOOKUP(N323,Gegenstände!$B$2:$N$2026,13,FALSE)),0,VLOOKUP(N323,Gegenstände!$B$2:$N$2026,13,FALSE))</f>
        <v>80</v>
      </c>
      <c r="AB323" s="142">
        <f>IF(ISERROR(VLOOKUP(P323,Gegenstände!$B$2:$N$2026,13,FALSE)),0,VLOOKUP(P323,Gegenstände!$B$2:$N$2026,13,FALSE))</f>
        <v>200</v>
      </c>
      <c r="AC323" s="142">
        <f>IF(ISERROR(VLOOKUP(R323,Gegenstände!$B$2:$N$2026,13,FALSE)),0,VLOOKUP(R323,Gegenstände!$B$2:$N$2026,13,FALSE))</f>
        <v>0</v>
      </c>
      <c r="AD323" s="142"/>
      <c r="AE323" s="475">
        <f t="shared" si="115"/>
        <v>2700</v>
      </c>
      <c r="AF323" s="476">
        <f t="shared" si="116"/>
        <v>2640</v>
      </c>
      <c r="AG323" s="128">
        <f t="shared" si="118"/>
        <v>0.33333333333333331</v>
      </c>
      <c r="AH323" s="128">
        <f t="shared" si="119"/>
        <v>0.32592592592592595</v>
      </c>
      <c r="AI323" s="129">
        <f t="shared" si="120"/>
        <v>0.65925925925925921</v>
      </c>
      <c r="AJ323" s="426">
        <f t="shared" si="117"/>
        <v>2760</v>
      </c>
      <c r="AK323" s="131">
        <f t="shared" si="105"/>
        <v>690</v>
      </c>
      <c r="AL323" s="477">
        <f>AK323/VLOOKUP(IF(I323&gt;0,I323,1),Preise!$A$3:$B$27,2,FALSE)</f>
        <v>181.57894736842098</v>
      </c>
    </row>
    <row r="324" spans="1:38" s="3" customFormat="1" ht="13.5" customHeight="1" outlineLevel="1" x14ac:dyDescent="0.2">
      <c r="A324" s="5">
        <v>1432</v>
      </c>
      <c r="B324" s="412">
        <v>1432</v>
      </c>
      <c r="C324" s="132" t="str">
        <f>VLOOKUP(B324,Gegenstände!$A416:$B1006,2,FALSE)</f>
        <v>Adamant-Kettenhemd</v>
      </c>
      <c r="D324" s="133">
        <f>VLOOKUP(B324,Gegenstände!$A416:$D1006,4,FALSE)</f>
        <v>16</v>
      </c>
      <c r="E324" s="468">
        <v>30</v>
      </c>
      <c r="F324" s="3">
        <v>360</v>
      </c>
      <c r="G324" s="54">
        <v>4</v>
      </c>
      <c r="H324" s="469">
        <v>62</v>
      </c>
      <c r="I324" s="54">
        <v>15</v>
      </c>
      <c r="J324" s="470"/>
      <c r="K324" s="54">
        <v>15</v>
      </c>
      <c r="L324" s="3" t="s">
        <v>116</v>
      </c>
      <c r="M324" s="85">
        <v>10</v>
      </c>
      <c r="N324" s="83" t="s">
        <v>176</v>
      </c>
      <c r="O324" s="85">
        <v>16</v>
      </c>
      <c r="P324" s="83" t="s">
        <v>185</v>
      </c>
      <c r="Q324" s="85"/>
      <c r="R324" s="83"/>
      <c r="S324" s="170"/>
      <c r="T324" s="170"/>
      <c r="U324" s="471">
        <f>VLOOKUP(D324,Preise!$A$3:$C$27,3)</f>
        <v>8.1370616291623215</v>
      </c>
      <c r="V324" s="523">
        <f>0.3*W324</f>
        <v>12205.592443743482</v>
      </c>
      <c r="W324" s="131">
        <f t="shared" si="112"/>
        <v>40685.308145811607</v>
      </c>
      <c r="X324" s="472">
        <f t="shared" si="113"/>
        <v>12200</v>
      </c>
      <c r="Y324" s="473">
        <f t="shared" si="114"/>
        <v>12200</v>
      </c>
      <c r="Z324" s="474">
        <f>IF(ISERROR(VLOOKUP(L324,Gegenstände!$B$2:$N$2026,13,FALSE)),0,VLOOKUP(L324,Gegenstände!$B$2:$N$2026,13,FALSE))</f>
        <v>270</v>
      </c>
      <c r="AA324" s="142">
        <f>IF(ISERROR(VLOOKUP(N324,Gegenstände!$B$2:$N$2026,13,FALSE)),0,VLOOKUP(N324,Gegenstände!$B$2:$N$2026,13,FALSE))</f>
        <v>80</v>
      </c>
      <c r="AB324" s="142">
        <f>IF(ISERROR(VLOOKUP(P324,Gegenstände!$B$2:$N$2026,13,FALSE)),0,VLOOKUP(P324,Gegenstände!$B$2:$N$2026,13,FALSE))</f>
        <v>200</v>
      </c>
      <c r="AC324" s="142">
        <f>IF(ISERROR(VLOOKUP(R324,Gegenstände!$B$2:$N$2026,13,FALSE)),0,VLOOKUP(R324,Gegenstände!$B$2:$N$2026,13,FALSE))</f>
        <v>0</v>
      </c>
      <c r="AD324" s="142"/>
      <c r="AE324" s="475">
        <f t="shared" si="115"/>
        <v>4050</v>
      </c>
      <c r="AF324" s="476">
        <f t="shared" si="116"/>
        <v>4000</v>
      </c>
      <c r="AG324" s="128">
        <f t="shared" si="118"/>
        <v>0.33196721311475408</v>
      </c>
      <c r="AH324" s="128">
        <f t="shared" si="119"/>
        <v>0.32786885245901637</v>
      </c>
      <c r="AI324" s="129">
        <f t="shared" si="120"/>
        <v>0.6598360655737705</v>
      </c>
      <c r="AJ324" s="426">
        <f t="shared" si="117"/>
        <v>4150</v>
      </c>
      <c r="AK324" s="131">
        <f t="shared" si="105"/>
        <v>691.66666666666663</v>
      </c>
      <c r="AL324" s="477">
        <f>AK324/VLOOKUP(IF(I324&gt;0,I324,1),Preise!$A$3:$B$27,2,FALSE)</f>
        <v>182.01754385964907</v>
      </c>
    </row>
    <row r="325" spans="1:38" s="3" customFormat="1" ht="13.5" customHeight="1" outlineLevel="1" x14ac:dyDescent="0.2">
      <c r="A325" s="5">
        <v>1433</v>
      </c>
      <c r="B325" s="412">
        <v>1433</v>
      </c>
      <c r="C325" s="132" t="str">
        <f>VLOOKUP(B325,Gegenstände!$A417:$B1007,2,FALSE)</f>
        <v>Adamant-Kettenhandschuhe</v>
      </c>
      <c r="D325" s="133">
        <f>VLOOKUP(B325,Gegenstände!$A417:$D1007,4,FALSE)</f>
        <v>17</v>
      </c>
      <c r="E325" s="468">
        <v>30</v>
      </c>
      <c r="F325" s="3">
        <v>180</v>
      </c>
      <c r="G325" s="54">
        <v>4</v>
      </c>
      <c r="H325" s="469">
        <v>62</v>
      </c>
      <c r="I325" s="54">
        <v>16</v>
      </c>
      <c r="J325" s="470"/>
      <c r="K325" s="54">
        <v>8</v>
      </c>
      <c r="L325" s="3" t="s">
        <v>116</v>
      </c>
      <c r="M325" s="85">
        <v>9</v>
      </c>
      <c r="N325" s="83" t="s">
        <v>176</v>
      </c>
      <c r="O325" s="85">
        <v>8</v>
      </c>
      <c r="P325" s="83" t="s">
        <v>185</v>
      </c>
      <c r="Q325" s="85"/>
      <c r="R325" s="83"/>
      <c r="S325" s="170"/>
      <c r="T325" s="170"/>
      <c r="U325" s="471">
        <f>VLOOKUP(D325,Preise!$A$3:$C$27,3)</f>
        <v>9.3576208735366695</v>
      </c>
      <c r="V325" s="523">
        <f>0.15*W325</f>
        <v>7018.2156551525022</v>
      </c>
      <c r="W325" s="131">
        <f t="shared" ref="W325:W342" si="121">U325*$V$190</f>
        <v>46788.104367683351</v>
      </c>
      <c r="X325" s="472">
        <f t="shared" ref="X325:X342" si="122">ROUND((V325/100),0)*100</f>
        <v>7000</v>
      </c>
      <c r="Y325" s="473">
        <f t="shared" ref="Y325:Y342" si="123">X325*IF(J325&gt;0,J325,1)</f>
        <v>7000</v>
      </c>
      <c r="Z325" s="474">
        <f>IF(ISERROR(VLOOKUP(L325,Gegenstände!$B$2:$N$2026,13,FALSE)),0,VLOOKUP(L325,Gegenstände!$B$2:$N$2026,13,FALSE))</f>
        <v>270</v>
      </c>
      <c r="AA325" s="142">
        <f>IF(ISERROR(VLOOKUP(N325,Gegenstände!$B$2:$N$2026,13,FALSE)),0,VLOOKUP(N325,Gegenstände!$B$2:$N$2026,13,FALSE))</f>
        <v>80</v>
      </c>
      <c r="AB325" s="142">
        <f>IF(ISERROR(VLOOKUP(P325,Gegenstände!$B$2:$N$2026,13,FALSE)),0,VLOOKUP(P325,Gegenstände!$B$2:$N$2026,13,FALSE))</f>
        <v>200</v>
      </c>
      <c r="AC325" s="142">
        <f>IF(ISERROR(VLOOKUP(R325,Gegenstände!$B$2:$N$2026,13,FALSE)),0,VLOOKUP(R325,Gegenstände!$B$2:$N$2026,13,FALSE))</f>
        <v>0</v>
      </c>
      <c r="AD325" s="142"/>
      <c r="AE325" s="475">
        <f t="shared" ref="AE325:AE342" si="124">IF(ISERROR(K325*Z325),"",K325*Z325)</f>
        <v>2160</v>
      </c>
      <c r="AF325" s="476">
        <f t="shared" ref="AF325:AF342" si="125">IF(ISERROR(M325*AA325+O325*AB325+Q325*AC325),"",M325*AA325+O325*AB325+Q325*AC325)</f>
        <v>2320</v>
      </c>
      <c r="AG325" s="128">
        <f t="shared" si="118"/>
        <v>0.30857142857142855</v>
      </c>
      <c r="AH325" s="128">
        <f t="shared" si="119"/>
        <v>0.33142857142857141</v>
      </c>
      <c r="AI325" s="129">
        <f t="shared" si="120"/>
        <v>0.64</v>
      </c>
      <c r="AJ325" s="426">
        <f t="shared" ref="AJ325:AJ342" si="126">Y325-(AE325+AF325)</f>
        <v>2520</v>
      </c>
      <c r="AK325" s="131">
        <f t="shared" si="105"/>
        <v>840</v>
      </c>
      <c r="AL325" s="477">
        <f>AK325/VLOOKUP(IF(I325&gt;0,I325,1),Preise!$A$3:$B$27,2,FALSE)</f>
        <v>209.99999999999994</v>
      </c>
    </row>
    <row r="326" spans="1:38" s="3" customFormat="1" ht="13.5" customHeight="1" outlineLevel="1" x14ac:dyDescent="0.2">
      <c r="A326" s="5">
        <v>1434</v>
      </c>
      <c r="B326" s="412">
        <v>1434</v>
      </c>
      <c r="C326" s="132" t="str">
        <f>VLOOKUP(B326,Gegenstände!$A418:$B1008,2,FALSE)</f>
        <v>Adamant-Kettenbeinlinge</v>
      </c>
      <c r="D326" s="133">
        <f>VLOOKUP(B326,Gegenstände!$A418:$D1008,4,FALSE)</f>
        <v>17</v>
      </c>
      <c r="E326" s="468">
        <v>30</v>
      </c>
      <c r="F326" s="3">
        <v>240</v>
      </c>
      <c r="G326" s="54">
        <v>4</v>
      </c>
      <c r="H326" s="469">
        <v>62</v>
      </c>
      <c r="I326" s="54">
        <v>16</v>
      </c>
      <c r="J326" s="470"/>
      <c r="K326" s="54">
        <v>11</v>
      </c>
      <c r="L326" s="3" t="s">
        <v>116</v>
      </c>
      <c r="M326" s="85">
        <v>9</v>
      </c>
      <c r="N326" s="83" t="s">
        <v>176</v>
      </c>
      <c r="O326" s="85">
        <v>12</v>
      </c>
      <c r="P326" s="83" t="s">
        <v>185</v>
      </c>
      <c r="Q326" s="85"/>
      <c r="R326" s="83"/>
      <c r="S326" s="170"/>
      <c r="T326" s="170"/>
      <c r="U326" s="471">
        <f>VLOOKUP(D326,Preise!$A$3:$C$27,3)</f>
        <v>9.3576208735366695</v>
      </c>
      <c r="V326" s="523">
        <f>0.2*W326</f>
        <v>9357.6208735366708</v>
      </c>
      <c r="W326" s="131">
        <f t="shared" si="121"/>
        <v>46788.104367683351</v>
      </c>
      <c r="X326" s="472">
        <f t="shared" si="122"/>
        <v>9400</v>
      </c>
      <c r="Y326" s="473">
        <f t="shared" si="123"/>
        <v>9400</v>
      </c>
      <c r="Z326" s="474">
        <f>IF(ISERROR(VLOOKUP(L326,Gegenstände!$B$2:$N$2026,13,FALSE)),0,VLOOKUP(L326,Gegenstände!$B$2:$N$2026,13,FALSE))</f>
        <v>270</v>
      </c>
      <c r="AA326" s="142">
        <f>IF(ISERROR(VLOOKUP(N326,Gegenstände!$B$2:$N$2026,13,FALSE)),0,VLOOKUP(N326,Gegenstände!$B$2:$N$2026,13,FALSE))</f>
        <v>80</v>
      </c>
      <c r="AB326" s="142">
        <f>IF(ISERROR(VLOOKUP(P326,Gegenstände!$B$2:$N$2026,13,FALSE)),0,VLOOKUP(P326,Gegenstände!$B$2:$N$2026,13,FALSE))</f>
        <v>200</v>
      </c>
      <c r="AC326" s="142">
        <f>IF(ISERROR(VLOOKUP(R326,Gegenstände!$B$2:$N$2026,13,FALSE)),0,VLOOKUP(R326,Gegenstände!$B$2:$N$2026,13,FALSE))</f>
        <v>0</v>
      </c>
      <c r="AD326" s="142"/>
      <c r="AE326" s="475">
        <f t="shared" si="124"/>
        <v>2970</v>
      </c>
      <c r="AF326" s="476">
        <f t="shared" si="125"/>
        <v>3120</v>
      </c>
      <c r="AG326" s="128">
        <f t="shared" si="118"/>
        <v>0.31595744680851062</v>
      </c>
      <c r="AH326" s="128">
        <f t="shared" si="119"/>
        <v>0.33191489361702126</v>
      </c>
      <c r="AI326" s="129">
        <f t="shared" si="120"/>
        <v>0.64787234042553188</v>
      </c>
      <c r="AJ326" s="426">
        <f t="shared" si="126"/>
        <v>3310</v>
      </c>
      <c r="AK326" s="131">
        <f t="shared" si="105"/>
        <v>827.5</v>
      </c>
      <c r="AL326" s="477">
        <f>AK326/VLOOKUP(IF(I326&gt;0,I326,1),Preise!$A$3:$B$27,2,FALSE)</f>
        <v>206.87499999999994</v>
      </c>
    </row>
    <row r="327" spans="1:38" s="3" customFormat="1" ht="13.5" customHeight="1" outlineLevel="1" x14ac:dyDescent="0.2">
      <c r="A327" s="5">
        <v>1435</v>
      </c>
      <c r="B327" s="412">
        <v>1435</v>
      </c>
      <c r="C327" s="132" t="str">
        <f>VLOOKUP(B327,Gegenstände!$A419:$B1009,2,FALSE)</f>
        <v>Adamant-Kettenstiefel</v>
      </c>
      <c r="D327" s="133">
        <f>VLOOKUP(B327,Gegenstände!$A419:$D1009,4,FALSE)</f>
        <v>17</v>
      </c>
      <c r="E327" s="468">
        <v>30</v>
      </c>
      <c r="F327" s="3">
        <v>180</v>
      </c>
      <c r="G327" s="54">
        <v>4</v>
      </c>
      <c r="H327" s="469">
        <v>62</v>
      </c>
      <c r="I327" s="54">
        <v>16</v>
      </c>
      <c r="J327" s="470"/>
      <c r="K327" s="54">
        <v>8</v>
      </c>
      <c r="L327" s="3" t="s">
        <v>116</v>
      </c>
      <c r="M327" s="85">
        <v>9</v>
      </c>
      <c r="N327" s="83" t="s">
        <v>176</v>
      </c>
      <c r="O327" s="85">
        <v>8</v>
      </c>
      <c r="P327" s="83" t="s">
        <v>185</v>
      </c>
      <c r="Q327" s="85"/>
      <c r="R327" s="83"/>
      <c r="S327" s="170"/>
      <c r="T327" s="170"/>
      <c r="U327" s="471">
        <f>VLOOKUP(D327,Preise!$A$3:$C$27,3)</f>
        <v>9.3576208735366695</v>
      </c>
      <c r="V327" s="558">
        <f>0.15*W327</f>
        <v>7018.2156551525022</v>
      </c>
      <c r="W327" s="559">
        <f t="shared" si="121"/>
        <v>46788.104367683351</v>
      </c>
      <c r="X327" s="560">
        <f t="shared" si="122"/>
        <v>7000</v>
      </c>
      <c r="Y327" s="473">
        <f t="shared" si="123"/>
        <v>7000</v>
      </c>
      <c r="Z327" s="474">
        <f>IF(ISERROR(VLOOKUP(L327,Gegenstände!$B$2:$N$2026,13,FALSE)),0,VLOOKUP(L327,Gegenstände!$B$2:$N$2026,13,FALSE))</f>
        <v>270</v>
      </c>
      <c r="AA327" s="142">
        <f>IF(ISERROR(VLOOKUP(N327,Gegenstände!$B$2:$N$2026,13,FALSE)),0,VLOOKUP(N327,Gegenstände!$B$2:$N$2026,13,FALSE))</f>
        <v>80</v>
      </c>
      <c r="AB327" s="142">
        <f>IF(ISERROR(VLOOKUP(P327,Gegenstände!$B$2:$N$2026,13,FALSE)),0,VLOOKUP(P327,Gegenstände!$B$2:$N$2026,13,FALSE))</f>
        <v>200</v>
      </c>
      <c r="AC327" s="142">
        <f>IF(ISERROR(VLOOKUP(R327,Gegenstände!$B$2:$N$2026,13,FALSE)),0,VLOOKUP(R327,Gegenstände!$B$2:$N$2026,13,FALSE))</f>
        <v>0</v>
      </c>
      <c r="AD327" s="142"/>
      <c r="AE327" s="475">
        <f t="shared" si="124"/>
        <v>2160</v>
      </c>
      <c r="AF327" s="476">
        <f t="shared" si="125"/>
        <v>2320</v>
      </c>
      <c r="AG327" s="128">
        <f t="shared" si="118"/>
        <v>0.30857142857142855</v>
      </c>
      <c r="AH327" s="128">
        <f t="shared" si="119"/>
        <v>0.33142857142857141</v>
      </c>
      <c r="AI327" s="129">
        <f t="shared" si="120"/>
        <v>0.64</v>
      </c>
      <c r="AJ327" s="426">
        <f t="shared" si="126"/>
        <v>2520</v>
      </c>
      <c r="AK327" s="131">
        <f t="shared" si="105"/>
        <v>840</v>
      </c>
      <c r="AL327" s="477">
        <f>AK327/VLOOKUP(IF(I327&gt;0,I327,1),Preise!$A$3:$B$27,2,FALSE)</f>
        <v>209.99999999999994</v>
      </c>
    </row>
    <row r="328" spans="1:38" s="3" customFormat="1" ht="13.5" customHeight="1" outlineLevel="1" x14ac:dyDescent="0.2">
      <c r="A328" s="5">
        <v>1436</v>
      </c>
      <c r="B328" s="412">
        <v>1436</v>
      </c>
      <c r="C328" s="132" t="str">
        <f>VLOOKUP(B328,Gegenstände!$A420:$B1010,2,FALSE)</f>
        <v>Adamant-Plattenhelm</v>
      </c>
      <c r="D328" s="133">
        <f>VLOOKUP(B328,Gegenstände!$A420:$D1010,4,FALSE)</f>
        <v>19</v>
      </c>
      <c r="E328" s="468">
        <v>30</v>
      </c>
      <c r="F328" s="3">
        <v>240</v>
      </c>
      <c r="G328" s="54">
        <v>4</v>
      </c>
      <c r="H328" s="469">
        <v>62</v>
      </c>
      <c r="I328" s="54">
        <v>18</v>
      </c>
      <c r="J328" s="470"/>
      <c r="K328" s="54">
        <v>15</v>
      </c>
      <c r="L328" s="3" t="s">
        <v>116</v>
      </c>
      <c r="M328" s="85">
        <v>14</v>
      </c>
      <c r="N328" s="83" t="s">
        <v>176</v>
      </c>
      <c r="O328" s="85">
        <v>15</v>
      </c>
      <c r="P328" s="83" t="s">
        <v>185</v>
      </c>
      <c r="Q328" s="85"/>
      <c r="R328" s="83"/>
      <c r="S328" s="170"/>
      <c r="T328" s="170"/>
      <c r="U328" s="471">
        <f>VLOOKUP(D328,Preise!$A$3:$C$27,3)</f>
        <v>12.375453605252243</v>
      </c>
      <c r="V328" s="523">
        <f>0.2*W328</f>
        <v>12375.453605252245</v>
      </c>
      <c r="W328" s="131">
        <f t="shared" si="121"/>
        <v>61877.268026261219</v>
      </c>
      <c r="X328" s="472">
        <f t="shared" si="122"/>
        <v>12400</v>
      </c>
      <c r="Y328" s="473">
        <f t="shared" si="123"/>
        <v>12400</v>
      </c>
      <c r="Z328" s="474">
        <f>IF(ISERROR(VLOOKUP(L328,Gegenstände!$B$2:$N$2026,13,FALSE)),0,VLOOKUP(L328,Gegenstände!$B$2:$N$2026,13,FALSE))</f>
        <v>270</v>
      </c>
      <c r="AA328" s="142">
        <f>IF(ISERROR(VLOOKUP(N328,Gegenstände!$B$2:$N$2026,13,FALSE)),0,VLOOKUP(N328,Gegenstände!$B$2:$N$2026,13,FALSE))</f>
        <v>80</v>
      </c>
      <c r="AB328" s="142">
        <f>IF(ISERROR(VLOOKUP(P328,Gegenstände!$B$2:$N$2026,13,FALSE)),0,VLOOKUP(P328,Gegenstände!$B$2:$N$2026,13,FALSE))</f>
        <v>200</v>
      </c>
      <c r="AC328" s="142">
        <f>IF(ISERROR(VLOOKUP(R328,Gegenstände!$B$2:$N$2026,13,FALSE)),0,VLOOKUP(R328,Gegenstände!$B$2:$N$2026,13,FALSE))</f>
        <v>0</v>
      </c>
      <c r="AD328" s="142"/>
      <c r="AE328" s="475">
        <f t="shared" si="124"/>
        <v>4050</v>
      </c>
      <c r="AF328" s="476">
        <f t="shared" si="125"/>
        <v>4120</v>
      </c>
      <c r="AG328" s="128">
        <f t="shared" si="118"/>
        <v>0.32661290322580644</v>
      </c>
      <c r="AH328" s="128">
        <f t="shared" si="119"/>
        <v>0.33225806451612905</v>
      </c>
      <c r="AI328" s="129">
        <f t="shared" si="120"/>
        <v>0.65887096774193543</v>
      </c>
      <c r="AJ328" s="426">
        <f t="shared" si="126"/>
        <v>4230</v>
      </c>
      <c r="AK328" s="131">
        <f t="shared" si="105"/>
        <v>1057.5</v>
      </c>
      <c r="AL328" s="477">
        <f>AK328/VLOOKUP(IF(I328&gt;0,I328,1),Preise!$A$3:$B$27,2,FALSE)</f>
        <v>240.34090909090904</v>
      </c>
    </row>
    <row r="329" spans="1:38" s="3" customFormat="1" ht="13.5" customHeight="1" outlineLevel="1" x14ac:dyDescent="0.2">
      <c r="A329" s="5">
        <v>1437</v>
      </c>
      <c r="B329" s="412">
        <v>1437</v>
      </c>
      <c r="C329" s="132" t="str">
        <f>VLOOKUP(B329,Gegenstände!$A421:$B1011,2,FALSE)</f>
        <v>Adamant-Plattenpanzer</v>
      </c>
      <c r="D329" s="133">
        <f>VLOOKUP(B329,Gegenstände!$A421:$D1011,4,FALSE)</f>
        <v>19</v>
      </c>
      <c r="E329" s="468">
        <v>30</v>
      </c>
      <c r="F329" s="3">
        <v>360</v>
      </c>
      <c r="G329" s="54">
        <v>4</v>
      </c>
      <c r="H329" s="469">
        <v>62</v>
      </c>
      <c r="I329" s="54">
        <v>18</v>
      </c>
      <c r="J329" s="470"/>
      <c r="K329" s="54">
        <v>23</v>
      </c>
      <c r="L329" s="3" t="s">
        <v>116</v>
      </c>
      <c r="M329" s="85">
        <v>14</v>
      </c>
      <c r="N329" s="83" t="s">
        <v>176</v>
      </c>
      <c r="O329" s="85">
        <v>25</v>
      </c>
      <c r="P329" s="83" t="s">
        <v>185</v>
      </c>
      <c r="Q329" s="85"/>
      <c r="R329" s="83"/>
      <c r="S329" s="170"/>
      <c r="T329" s="170"/>
      <c r="U329" s="471">
        <f>VLOOKUP(D329,Preise!$A$3:$C$27,3)</f>
        <v>12.375453605252243</v>
      </c>
      <c r="V329" s="523">
        <f>0.3*W329</f>
        <v>18563.180407878364</v>
      </c>
      <c r="W329" s="131">
        <f t="shared" si="121"/>
        <v>61877.268026261219</v>
      </c>
      <c r="X329" s="472">
        <f t="shared" si="122"/>
        <v>18600</v>
      </c>
      <c r="Y329" s="473">
        <f t="shared" si="123"/>
        <v>18600</v>
      </c>
      <c r="Z329" s="474">
        <f>IF(ISERROR(VLOOKUP(L329,Gegenstände!$B$2:$N$2026,13,FALSE)),0,VLOOKUP(L329,Gegenstände!$B$2:$N$2026,13,FALSE))</f>
        <v>270</v>
      </c>
      <c r="AA329" s="142">
        <f>IF(ISERROR(VLOOKUP(N329,Gegenstände!$B$2:$N$2026,13,FALSE)),0,VLOOKUP(N329,Gegenstände!$B$2:$N$2026,13,FALSE))</f>
        <v>80</v>
      </c>
      <c r="AB329" s="142">
        <f>IF(ISERROR(VLOOKUP(P329,Gegenstände!$B$2:$N$2026,13,FALSE)),0,VLOOKUP(P329,Gegenstände!$B$2:$N$2026,13,FALSE))</f>
        <v>200</v>
      </c>
      <c r="AC329" s="142">
        <f>IF(ISERROR(VLOOKUP(R329,Gegenstände!$B$2:$N$2026,13,FALSE)),0,VLOOKUP(R329,Gegenstände!$B$2:$N$2026,13,FALSE))</f>
        <v>0</v>
      </c>
      <c r="AD329" s="142"/>
      <c r="AE329" s="475">
        <f t="shared" si="124"/>
        <v>6210</v>
      </c>
      <c r="AF329" s="476">
        <f t="shared" si="125"/>
        <v>6120</v>
      </c>
      <c r="AG329" s="128">
        <f t="shared" si="118"/>
        <v>0.33387096774193548</v>
      </c>
      <c r="AH329" s="128">
        <f t="shared" si="119"/>
        <v>0.32903225806451614</v>
      </c>
      <c r="AI329" s="129">
        <f t="shared" si="120"/>
        <v>0.66290322580645167</v>
      </c>
      <c r="AJ329" s="426">
        <f t="shared" si="126"/>
        <v>6270</v>
      </c>
      <c r="AK329" s="131">
        <f t="shared" si="105"/>
        <v>1045</v>
      </c>
      <c r="AL329" s="477">
        <f>AK329/VLOOKUP(IF(I329&gt;0,I329,1),Preise!$A$3:$B$27,2,FALSE)</f>
        <v>237.49999999999994</v>
      </c>
    </row>
    <row r="330" spans="1:38" s="3" customFormat="1" ht="13.5" customHeight="1" outlineLevel="1" x14ac:dyDescent="0.2">
      <c r="A330" s="5">
        <v>1438</v>
      </c>
      <c r="B330" s="412">
        <v>1438</v>
      </c>
      <c r="C330" s="132" t="str">
        <f>VLOOKUP(B330,Gegenstände!$A422:$B1012,2,FALSE)</f>
        <v>Adamant-Plattenhandschuhe</v>
      </c>
      <c r="D330" s="133">
        <f>VLOOKUP(B330,Gegenstände!$A422:$D1012,4,FALSE)</f>
        <v>20</v>
      </c>
      <c r="E330" s="468">
        <v>30</v>
      </c>
      <c r="F330" s="3">
        <v>180</v>
      </c>
      <c r="G330" s="54">
        <v>4</v>
      </c>
      <c r="H330" s="469">
        <v>62</v>
      </c>
      <c r="I330" s="54">
        <v>19</v>
      </c>
      <c r="J330" s="470"/>
      <c r="K330" s="54">
        <v>13</v>
      </c>
      <c r="L330" s="3" t="s">
        <v>116</v>
      </c>
      <c r="M330" s="85">
        <v>14</v>
      </c>
      <c r="N330" s="83" t="s">
        <v>176</v>
      </c>
      <c r="O330" s="85">
        <v>12</v>
      </c>
      <c r="P330" s="83" t="s">
        <v>185</v>
      </c>
      <c r="Q330" s="85"/>
      <c r="R330" s="83"/>
      <c r="S330" s="170"/>
      <c r="T330" s="170"/>
      <c r="U330" s="471">
        <f>VLOOKUP(D330,Preise!$A$3:$C$27,3)</f>
        <v>14.231771646040078</v>
      </c>
      <c r="V330" s="523">
        <f>0.15*W330</f>
        <v>10673.828734530058</v>
      </c>
      <c r="W330" s="131">
        <f t="shared" si="121"/>
        <v>71158.858230200392</v>
      </c>
      <c r="X330" s="472">
        <f t="shared" si="122"/>
        <v>10700</v>
      </c>
      <c r="Y330" s="473">
        <f t="shared" si="123"/>
        <v>10700</v>
      </c>
      <c r="Z330" s="474">
        <f>IF(ISERROR(VLOOKUP(L330,Gegenstände!$B$2:$N$2026,13,FALSE)),0,VLOOKUP(L330,Gegenstände!$B$2:$N$2026,13,FALSE))</f>
        <v>270</v>
      </c>
      <c r="AA330" s="142">
        <f>IF(ISERROR(VLOOKUP(N330,Gegenstände!$B$2:$N$2026,13,FALSE)),0,VLOOKUP(N330,Gegenstände!$B$2:$N$2026,13,FALSE))</f>
        <v>80</v>
      </c>
      <c r="AB330" s="142">
        <f>IF(ISERROR(VLOOKUP(P330,Gegenstände!$B$2:$N$2026,13,FALSE)),0,VLOOKUP(P330,Gegenstände!$B$2:$N$2026,13,FALSE))</f>
        <v>200</v>
      </c>
      <c r="AC330" s="142">
        <f>IF(ISERROR(VLOOKUP(R330,Gegenstände!$B$2:$N$2026,13,FALSE)),0,VLOOKUP(R330,Gegenstände!$B$2:$N$2026,13,FALSE))</f>
        <v>0</v>
      </c>
      <c r="AD330" s="142"/>
      <c r="AE330" s="475">
        <f t="shared" si="124"/>
        <v>3510</v>
      </c>
      <c r="AF330" s="476">
        <f t="shared" si="125"/>
        <v>3520</v>
      </c>
      <c r="AG330" s="128">
        <f t="shared" si="118"/>
        <v>0.32803738317757009</v>
      </c>
      <c r="AH330" s="128">
        <f t="shared" si="119"/>
        <v>0.32897196261682243</v>
      </c>
      <c r="AI330" s="129">
        <f t="shared" si="120"/>
        <v>0.65700934579439252</v>
      </c>
      <c r="AJ330" s="426">
        <f t="shared" si="126"/>
        <v>3670</v>
      </c>
      <c r="AK330" s="131">
        <f t="shared" ref="AK330:AK393" si="127">(AJ330*60)/F330</f>
        <v>1223.3333333333333</v>
      </c>
      <c r="AL330" s="477">
        <f>AK330/VLOOKUP(IF(I330&gt;0,I330,1),Preise!$A$3:$B$27,2,FALSE)</f>
        <v>265.94202898550714</v>
      </c>
    </row>
    <row r="331" spans="1:38" s="3" customFormat="1" ht="13.5" customHeight="1" outlineLevel="1" x14ac:dyDescent="0.2">
      <c r="A331" s="5">
        <v>1439</v>
      </c>
      <c r="B331" s="412">
        <v>1439</v>
      </c>
      <c r="C331" s="132" t="str">
        <f>VLOOKUP(B331,Gegenstände!$A423:$B1013,2,FALSE)</f>
        <v>Adamant-Plattenbeinlinge</v>
      </c>
      <c r="D331" s="133">
        <f>VLOOKUP(B331,Gegenstände!$A423:$D1013,4,FALSE)</f>
        <v>20</v>
      </c>
      <c r="E331" s="468">
        <v>30</v>
      </c>
      <c r="F331" s="3">
        <v>240</v>
      </c>
      <c r="G331" s="54">
        <v>4</v>
      </c>
      <c r="H331" s="469">
        <v>62</v>
      </c>
      <c r="I331" s="54">
        <v>19</v>
      </c>
      <c r="J331" s="470"/>
      <c r="K331" s="54">
        <v>17</v>
      </c>
      <c r="L331" s="3" t="s">
        <v>116</v>
      </c>
      <c r="M331" s="85">
        <v>14</v>
      </c>
      <c r="N331" s="83" t="s">
        <v>176</v>
      </c>
      <c r="O331" s="85">
        <v>18</v>
      </c>
      <c r="P331" s="83" t="s">
        <v>185</v>
      </c>
      <c r="Q331" s="85"/>
      <c r="R331" s="83"/>
      <c r="S331" s="170"/>
      <c r="T331" s="170"/>
      <c r="U331" s="471">
        <f>VLOOKUP(D331,Preise!$A$3:$C$27,3)</f>
        <v>14.231771646040078</v>
      </c>
      <c r="V331" s="523">
        <f>0.2*W331</f>
        <v>14231.771646040079</v>
      </c>
      <c r="W331" s="131">
        <f t="shared" si="121"/>
        <v>71158.858230200392</v>
      </c>
      <c r="X331" s="472">
        <f t="shared" si="122"/>
        <v>14200</v>
      </c>
      <c r="Y331" s="473">
        <f t="shared" si="123"/>
        <v>14200</v>
      </c>
      <c r="Z331" s="474">
        <f>IF(ISERROR(VLOOKUP(L331,Gegenstände!$B$2:$N$2026,13,FALSE)),0,VLOOKUP(L331,Gegenstände!$B$2:$N$2026,13,FALSE))</f>
        <v>270</v>
      </c>
      <c r="AA331" s="142">
        <f>IF(ISERROR(VLOOKUP(N331,Gegenstände!$B$2:$N$2026,13,FALSE)),0,VLOOKUP(N331,Gegenstände!$B$2:$N$2026,13,FALSE))</f>
        <v>80</v>
      </c>
      <c r="AB331" s="142">
        <f>IF(ISERROR(VLOOKUP(P331,Gegenstände!$B$2:$N$2026,13,FALSE)),0,VLOOKUP(P331,Gegenstände!$B$2:$N$2026,13,FALSE))</f>
        <v>200</v>
      </c>
      <c r="AC331" s="142">
        <f>IF(ISERROR(VLOOKUP(R331,Gegenstände!$B$2:$N$2026,13,FALSE)),0,VLOOKUP(R331,Gegenstände!$B$2:$N$2026,13,FALSE))</f>
        <v>0</v>
      </c>
      <c r="AD331" s="142"/>
      <c r="AE331" s="475">
        <f t="shared" si="124"/>
        <v>4590</v>
      </c>
      <c r="AF331" s="476">
        <f t="shared" si="125"/>
        <v>4720</v>
      </c>
      <c r="AG331" s="128">
        <f t="shared" si="118"/>
        <v>0.32323943661971832</v>
      </c>
      <c r="AH331" s="128">
        <f t="shared" si="119"/>
        <v>0.3323943661971831</v>
      </c>
      <c r="AI331" s="129">
        <f t="shared" si="120"/>
        <v>0.65563380281690142</v>
      </c>
      <c r="AJ331" s="426">
        <f t="shared" si="126"/>
        <v>4890</v>
      </c>
      <c r="AK331" s="131">
        <f t="shared" si="127"/>
        <v>1222.5</v>
      </c>
      <c r="AL331" s="477">
        <f>AK331/VLOOKUP(IF(I331&gt;0,I331,1),Preise!$A$3:$B$27,2,FALSE)</f>
        <v>265.76086956521732</v>
      </c>
    </row>
    <row r="332" spans="1:38" s="3" customFormat="1" ht="13.5" customHeight="1" outlineLevel="1" x14ac:dyDescent="0.2">
      <c r="A332" s="345">
        <v>1440</v>
      </c>
      <c r="B332" s="561">
        <v>1440</v>
      </c>
      <c r="C332" s="413" t="str">
        <f>VLOOKUP(B332,Gegenstände!$A424:$B1014,2,FALSE)</f>
        <v>Adamant-Plattenstiefel</v>
      </c>
      <c r="D332" s="562">
        <f>VLOOKUP(B332,Gegenstände!$A424:$D1014,4,FALSE)</f>
        <v>20</v>
      </c>
      <c r="E332" s="563">
        <v>30</v>
      </c>
      <c r="F332" s="334">
        <v>180</v>
      </c>
      <c r="G332" s="335">
        <v>4</v>
      </c>
      <c r="H332" s="565">
        <v>62</v>
      </c>
      <c r="I332" s="335">
        <v>19</v>
      </c>
      <c r="J332" s="566"/>
      <c r="K332" s="335">
        <v>13</v>
      </c>
      <c r="L332" s="334" t="s">
        <v>116</v>
      </c>
      <c r="M332" s="567">
        <v>14</v>
      </c>
      <c r="N332" s="568" t="s">
        <v>176</v>
      </c>
      <c r="O332" s="567">
        <v>12</v>
      </c>
      <c r="P332" s="568" t="s">
        <v>185</v>
      </c>
      <c r="Q332" s="567"/>
      <c r="R332" s="568"/>
      <c r="S332" s="569"/>
      <c r="T332" s="570"/>
      <c r="U332" s="471">
        <f>VLOOKUP(D332,Preise!$A$3:$C$27,3)</f>
        <v>14.231771646040078</v>
      </c>
      <c r="V332" s="558">
        <f>0.15*W332</f>
        <v>10673.828734530058</v>
      </c>
      <c r="W332" s="559">
        <f t="shared" si="121"/>
        <v>71158.858230200392</v>
      </c>
      <c r="X332" s="472">
        <f t="shared" si="122"/>
        <v>10700</v>
      </c>
      <c r="Y332" s="473">
        <f t="shared" si="123"/>
        <v>10700</v>
      </c>
      <c r="Z332" s="474">
        <f>IF(ISERROR(VLOOKUP(L332,Gegenstände!$B$2:$N$2026,13,FALSE)),0,VLOOKUP(L332,Gegenstände!$B$2:$N$2026,13,FALSE))</f>
        <v>270</v>
      </c>
      <c r="AA332" s="142">
        <f>IF(ISERROR(VLOOKUP(N332,Gegenstände!$B$2:$N$2026,13,FALSE)),0,VLOOKUP(N332,Gegenstände!$B$2:$N$2026,13,FALSE))</f>
        <v>80</v>
      </c>
      <c r="AB332" s="142">
        <f>IF(ISERROR(VLOOKUP(P332,Gegenstände!$B$2:$N$2026,13,FALSE)),0,VLOOKUP(P332,Gegenstände!$B$2:$N$2026,13,FALSE))</f>
        <v>200</v>
      </c>
      <c r="AC332" s="142">
        <f>IF(ISERROR(VLOOKUP(R332,Gegenstände!$B$2:$N$2026,13,FALSE)),0,VLOOKUP(R332,Gegenstände!$B$2:$N$2026,13,FALSE))</f>
        <v>0</v>
      </c>
      <c r="AD332" s="142"/>
      <c r="AE332" s="475">
        <f t="shared" si="124"/>
        <v>3510</v>
      </c>
      <c r="AF332" s="476">
        <f t="shared" si="125"/>
        <v>3520</v>
      </c>
      <c r="AG332" s="128">
        <f t="shared" si="118"/>
        <v>0.32803738317757009</v>
      </c>
      <c r="AH332" s="128">
        <f t="shared" si="119"/>
        <v>0.32897196261682243</v>
      </c>
      <c r="AI332" s="129">
        <f t="shared" si="120"/>
        <v>0.65700934579439252</v>
      </c>
      <c r="AJ332" s="426">
        <f t="shared" si="126"/>
        <v>3670</v>
      </c>
      <c r="AK332" s="131">
        <f t="shared" si="127"/>
        <v>1223.3333333333333</v>
      </c>
      <c r="AL332" s="477">
        <f>AK332/VLOOKUP(IF(I332&gt;0,I332,1),Preise!$A$3:$B$27,2,FALSE)</f>
        <v>265.94202898550714</v>
      </c>
    </row>
    <row r="333" spans="1:38" s="3" customFormat="1" ht="13.5" customHeight="1" outlineLevel="1" x14ac:dyDescent="0.2">
      <c r="A333" s="5">
        <v>1441</v>
      </c>
      <c r="B333" s="412">
        <v>1441</v>
      </c>
      <c r="C333" s="132" t="str">
        <f>VLOOKUP(B333,Gegenstände!$A425:$B1015,2,FALSE)</f>
        <v>Mithril-Kettenhaube</v>
      </c>
      <c r="D333" s="133">
        <f>VLOOKUP(B333,Gegenstände!$A425:$D1015,4,FALSE)</f>
        <v>21</v>
      </c>
      <c r="E333" s="468">
        <v>30</v>
      </c>
      <c r="F333" s="3">
        <v>240</v>
      </c>
      <c r="G333" s="54">
        <v>5</v>
      </c>
      <c r="H333" s="469">
        <v>62</v>
      </c>
      <c r="I333" s="54">
        <v>20</v>
      </c>
      <c r="J333" s="470"/>
      <c r="K333" s="54">
        <v>15</v>
      </c>
      <c r="L333" s="3" t="s">
        <v>117</v>
      </c>
      <c r="M333" s="85">
        <v>8</v>
      </c>
      <c r="N333" s="83" t="s">
        <v>176</v>
      </c>
      <c r="O333" s="85">
        <v>9</v>
      </c>
      <c r="P333" s="83" t="s">
        <v>185</v>
      </c>
      <c r="Q333" s="85">
        <v>6</v>
      </c>
      <c r="R333" s="83" t="s">
        <v>187</v>
      </c>
      <c r="S333" s="170"/>
      <c r="T333" s="170"/>
      <c r="U333" s="471">
        <f>VLOOKUP(D333,Preise!$A$3:$C$27,3)</f>
        <v>16.366537392946089</v>
      </c>
      <c r="V333" s="523">
        <f>0.2*W333</f>
        <v>16366.537392946089</v>
      </c>
      <c r="W333" s="131">
        <f t="shared" si="121"/>
        <v>81832.686964730441</v>
      </c>
      <c r="X333" s="557">
        <f t="shared" si="122"/>
        <v>16400</v>
      </c>
      <c r="Y333" s="473">
        <f t="shared" si="123"/>
        <v>16400</v>
      </c>
      <c r="Z333" s="474">
        <f>IF(ISERROR(VLOOKUP(L333,Gegenstände!$B$2:$N$2026,13,FALSE)),0,VLOOKUP(L333,Gegenstände!$B$2:$N$2026,13,FALSE))</f>
        <v>360</v>
      </c>
      <c r="AA333" s="142">
        <f>IF(ISERROR(VLOOKUP(N333,Gegenstände!$B$2:$N$2026,13,FALSE)),0,VLOOKUP(N333,Gegenstände!$B$2:$N$2026,13,FALSE))</f>
        <v>80</v>
      </c>
      <c r="AB333" s="142">
        <f>IF(ISERROR(VLOOKUP(P333,Gegenstände!$B$2:$N$2026,13,FALSE)),0,VLOOKUP(P333,Gegenstände!$B$2:$N$2026,13,FALSE))</f>
        <v>200</v>
      </c>
      <c r="AC333" s="142">
        <f>IF(ISERROR(VLOOKUP(R333,Gegenstände!$B$2:$N$2026,13,FALSE)),0,VLOOKUP(R333,Gegenstände!$B$2:$N$2026,13,FALSE))</f>
        <v>500</v>
      </c>
      <c r="AD333" s="142"/>
      <c r="AE333" s="475">
        <f t="shared" si="124"/>
        <v>5400</v>
      </c>
      <c r="AF333" s="476">
        <f t="shared" si="125"/>
        <v>5440</v>
      </c>
      <c r="AG333" s="128">
        <f t="shared" si="118"/>
        <v>0.32926829268292684</v>
      </c>
      <c r="AH333" s="128">
        <f t="shared" si="119"/>
        <v>0.33170731707317075</v>
      </c>
      <c r="AI333" s="129">
        <f t="shared" si="120"/>
        <v>0.66097560975609759</v>
      </c>
      <c r="AJ333" s="426">
        <f t="shared" si="126"/>
        <v>5560</v>
      </c>
      <c r="AK333" s="131">
        <f t="shared" si="127"/>
        <v>1390</v>
      </c>
      <c r="AL333" s="477">
        <f>AK333/VLOOKUP(IF(I333&gt;0,I333,1),Preise!$A$3:$B$27,2,FALSE)</f>
        <v>289.58333333333326</v>
      </c>
    </row>
    <row r="334" spans="1:38" s="3" customFormat="1" ht="13.5" customHeight="1" outlineLevel="1" x14ac:dyDescent="0.2">
      <c r="A334" s="5">
        <v>1442</v>
      </c>
      <c r="B334" s="412">
        <v>1442</v>
      </c>
      <c r="C334" s="132" t="str">
        <f>VLOOKUP(B334,Gegenstände!$A426:$B1016,2,FALSE)</f>
        <v>Mithril-Kettenhemd</v>
      </c>
      <c r="D334" s="133">
        <f>VLOOKUP(B334,Gegenstände!$A426:$D1016,4,FALSE)</f>
        <v>21</v>
      </c>
      <c r="E334" s="468">
        <v>30</v>
      </c>
      <c r="F334" s="3">
        <v>360</v>
      </c>
      <c r="G334" s="54">
        <v>5</v>
      </c>
      <c r="H334" s="469">
        <v>62</v>
      </c>
      <c r="I334" s="54">
        <v>20</v>
      </c>
      <c r="J334" s="470"/>
      <c r="K334" s="54">
        <v>22</v>
      </c>
      <c r="L334" s="3" t="s">
        <v>117</v>
      </c>
      <c r="M334" s="85">
        <v>14</v>
      </c>
      <c r="N334" s="83" t="s">
        <v>176</v>
      </c>
      <c r="O334" s="85">
        <v>12</v>
      </c>
      <c r="P334" s="83" t="s">
        <v>185</v>
      </c>
      <c r="Q334" s="85">
        <v>9</v>
      </c>
      <c r="R334" s="83" t="s">
        <v>187</v>
      </c>
      <c r="S334" s="170"/>
      <c r="T334" s="170"/>
      <c r="U334" s="471">
        <f>VLOOKUP(D334,Preise!$A$3:$C$27,3)</f>
        <v>16.366537392946089</v>
      </c>
      <c r="V334" s="523">
        <f>0.3*W334</f>
        <v>24549.806089419133</v>
      </c>
      <c r="W334" s="131">
        <f t="shared" si="121"/>
        <v>81832.686964730441</v>
      </c>
      <c r="X334" s="472">
        <f t="shared" si="122"/>
        <v>24500</v>
      </c>
      <c r="Y334" s="473">
        <f t="shared" si="123"/>
        <v>24500</v>
      </c>
      <c r="Z334" s="474">
        <f>IF(ISERROR(VLOOKUP(L334,Gegenstände!$B$2:$N$2026,13,FALSE)),0,VLOOKUP(L334,Gegenstände!$B$2:$N$2026,13,FALSE))</f>
        <v>360</v>
      </c>
      <c r="AA334" s="142">
        <f>IF(ISERROR(VLOOKUP(N334,Gegenstände!$B$2:$N$2026,13,FALSE)),0,VLOOKUP(N334,Gegenstände!$B$2:$N$2026,13,FALSE))</f>
        <v>80</v>
      </c>
      <c r="AB334" s="142">
        <f>IF(ISERROR(VLOOKUP(P334,Gegenstände!$B$2:$N$2026,13,FALSE)),0,VLOOKUP(P334,Gegenstände!$B$2:$N$2026,13,FALSE))</f>
        <v>200</v>
      </c>
      <c r="AC334" s="142">
        <f>IF(ISERROR(VLOOKUP(R334,Gegenstände!$B$2:$N$2026,13,FALSE)),0,VLOOKUP(R334,Gegenstände!$B$2:$N$2026,13,FALSE))</f>
        <v>500</v>
      </c>
      <c r="AD334" s="142"/>
      <c r="AE334" s="475">
        <f t="shared" si="124"/>
        <v>7920</v>
      </c>
      <c r="AF334" s="476">
        <f t="shared" si="125"/>
        <v>8020</v>
      </c>
      <c r="AG334" s="128">
        <f t="shared" si="118"/>
        <v>0.32326530612244897</v>
      </c>
      <c r="AH334" s="128">
        <f t="shared" si="119"/>
        <v>0.32734693877551019</v>
      </c>
      <c r="AI334" s="129">
        <f t="shared" si="120"/>
        <v>0.65061224489795921</v>
      </c>
      <c r="AJ334" s="426">
        <f t="shared" si="126"/>
        <v>8560</v>
      </c>
      <c r="AK334" s="131">
        <f t="shared" si="127"/>
        <v>1426.6666666666667</v>
      </c>
      <c r="AL334" s="477">
        <f>AK334/VLOOKUP(IF(I334&gt;0,I334,1),Preise!$A$3:$B$27,2,FALSE)</f>
        <v>297.22222222222211</v>
      </c>
    </row>
    <row r="335" spans="1:38" s="3" customFormat="1" ht="13.5" customHeight="1" outlineLevel="1" x14ac:dyDescent="0.2">
      <c r="A335" s="5">
        <v>1443</v>
      </c>
      <c r="B335" s="412">
        <v>1443</v>
      </c>
      <c r="C335" s="132" t="str">
        <f>VLOOKUP(B335,Gegenstände!$A427:$B1017,2,FALSE)</f>
        <v>Mithril-Kettenhandschuhe</v>
      </c>
      <c r="D335" s="133">
        <f>VLOOKUP(B335,Gegenstände!$A427:$D1017,4,FALSE)</f>
        <v>22</v>
      </c>
      <c r="E335" s="468">
        <v>30</v>
      </c>
      <c r="F335" s="3">
        <v>180</v>
      </c>
      <c r="G335" s="54">
        <v>5</v>
      </c>
      <c r="H335" s="469">
        <v>62</v>
      </c>
      <c r="I335" s="54">
        <v>21</v>
      </c>
      <c r="J335" s="470"/>
      <c r="K335" s="54">
        <v>13</v>
      </c>
      <c r="L335" s="3" t="s">
        <v>117</v>
      </c>
      <c r="M335" s="85">
        <v>6</v>
      </c>
      <c r="N335" s="83" t="s">
        <v>176</v>
      </c>
      <c r="O335" s="85">
        <v>6</v>
      </c>
      <c r="P335" s="83" t="s">
        <v>185</v>
      </c>
      <c r="Q335" s="85">
        <v>6</v>
      </c>
      <c r="R335" s="83" t="s">
        <v>187</v>
      </c>
      <c r="S335" s="170"/>
      <c r="T335" s="170"/>
      <c r="U335" s="471">
        <f>VLOOKUP(D335,Preise!$A$3:$C$27,3)</f>
        <v>18.821518001888002</v>
      </c>
      <c r="V335" s="523">
        <f>0.15*W335</f>
        <v>14116.138501416002</v>
      </c>
      <c r="W335" s="131">
        <f t="shared" si="121"/>
        <v>94107.590009440013</v>
      </c>
      <c r="X335" s="472">
        <f t="shared" si="122"/>
        <v>14100</v>
      </c>
      <c r="Y335" s="473">
        <f t="shared" si="123"/>
        <v>14100</v>
      </c>
      <c r="Z335" s="474">
        <f>IF(ISERROR(VLOOKUP(L335,Gegenstände!$B$2:$N$2026,13,FALSE)),0,VLOOKUP(L335,Gegenstände!$B$2:$N$2026,13,FALSE))</f>
        <v>360</v>
      </c>
      <c r="AA335" s="142">
        <f>IF(ISERROR(VLOOKUP(N335,Gegenstände!$B$2:$N$2026,13,FALSE)),0,VLOOKUP(N335,Gegenstände!$B$2:$N$2026,13,FALSE))</f>
        <v>80</v>
      </c>
      <c r="AB335" s="142">
        <f>IF(ISERROR(VLOOKUP(P335,Gegenstände!$B$2:$N$2026,13,FALSE)),0,VLOOKUP(P335,Gegenstände!$B$2:$N$2026,13,FALSE))</f>
        <v>200</v>
      </c>
      <c r="AC335" s="142">
        <f>IF(ISERROR(VLOOKUP(R335,Gegenstände!$B$2:$N$2026,13,FALSE)),0,VLOOKUP(R335,Gegenstände!$B$2:$N$2026,13,FALSE))</f>
        <v>500</v>
      </c>
      <c r="AD335" s="142"/>
      <c r="AE335" s="475">
        <f t="shared" si="124"/>
        <v>4680</v>
      </c>
      <c r="AF335" s="476">
        <f t="shared" si="125"/>
        <v>4680</v>
      </c>
      <c r="AG335" s="128">
        <f t="shared" si="118"/>
        <v>0.33191489361702126</v>
      </c>
      <c r="AH335" s="128">
        <f t="shared" si="119"/>
        <v>0.33191489361702126</v>
      </c>
      <c r="AI335" s="129">
        <f t="shared" si="120"/>
        <v>0.66382978723404251</v>
      </c>
      <c r="AJ335" s="426">
        <f t="shared" si="126"/>
        <v>4740</v>
      </c>
      <c r="AK335" s="131">
        <f t="shared" si="127"/>
        <v>1580</v>
      </c>
      <c r="AL335" s="477">
        <f>AK335/VLOOKUP(IF(I335&gt;0,I335,1),Preise!$A$3:$B$27,2,FALSE)</f>
        <v>315.99999999999989</v>
      </c>
    </row>
    <row r="336" spans="1:38" s="3" customFormat="1" ht="13.5" customHeight="1" outlineLevel="1" x14ac:dyDescent="0.2">
      <c r="A336" s="5">
        <v>1444</v>
      </c>
      <c r="B336" s="412">
        <v>1444</v>
      </c>
      <c r="C336" s="132" t="str">
        <f>VLOOKUP(B336,Gegenstände!$A428:$B1018,2,FALSE)</f>
        <v>Mithril-Kettenbeinlinge</v>
      </c>
      <c r="D336" s="133">
        <f>VLOOKUP(B336,Gegenstände!$A428:$D1018,4,FALSE)</f>
        <v>22</v>
      </c>
      <c r="E336" s="468">
        <v>30</v>
      </c>
      <c r="F336" s="3">
        <v>240</v>
      </c>
      <c r="G336" s="54">
        <v>5</v>
      </c>
      <c r="H336" s="469">
        <v>62</v>
      </c>
      <c r="I336" s="54">
        <v>21</v>
      </c>
      <c r="J336" s="470"/>
      <c r="K336" s="54">
        <v>17</v>
      </c>
      <c r="L336" s="3" t="s">
        <v>117</v>
      </c>
      <c r="M336" s="85">
        <v>6</v>
      </c>
      <c r="N336" s="83" t="s">
        <v>176</v>
      </c>
      <c r="O336" s="85">
        <v>6</v>
      </c>
      <c r="P336" s="83" t="s">
        <v>185</v>
      </c>
      <c r="Q336" s="85">
        <v>9</v>
      </c>
      <c r="R336" s="83" t="s">
        <v>187</v>
      </c>
      <c r="S336" s="170"/>
      <c r="T336" s="170"/>
      <c r="U336" s="471">
        <f>VLOOKUP(D336,Preise!$A$3:$C$27,3)</f>
        <v>18.821518001888002</v>
      </c>
      <c r="V336" s="523">
        <f>0.2*W336</f>
        <v>18821.518001888002</v>
      </c>
      <c r="W336" s="131">
        <f t="shared" si="121"/>
        <v>94107.590009440013</v>
      </c>
      <c r="X336" s="472">
        <f t="shared" si="122"/>
        <v>18800</v>
      </c>
      <c r="Y336" s="473">
        <f t="shared" si="123"/>
        <v>18800</v>
      </c>
      <c r="Z336" s="474">
        <f>IF(ISERROR(VLOOKUP(L336,Gegenstände!$B$2:$N$2026,13,FALSE)),0,VLOOKUP(L336,Gegenstände!$B$2:$N$2026,13,FALSE))</f>
        <v>360</v>
      </c>
      <c r="AA336" s="142">
        <f>IF(ISERROR(VLOOKUP(N336,Gegenstände!$B$2:$N$2026,13,FALSE)),0,VLOOKUP(N336,Gegenstände!$B$2:$N$2026,13,FALSE))</f>
        <v>80</v>
      </c>
      <c r="AB336" s="142">
        <f>IF(ISERROR(VLOOKUP(P336,Gegenstände!$B$2:$N$2026,13,FALSE)),0,VLOOKUP(P336,Gegenstände!$B$2:$N$2026,13,FALSE))</f>
        <v>200</v>
      </c>
      <c r="AC336" s="142">
        <f>IF(ISERROR(VLOOKUP(R336,Gegenstände!$B$2:$N$2026,13,FALSE)),0,VLOOKUP(R336,Gegenstände!$B$2:$N$2026,13,FALSE))</f>
        <v>500</v>
      </c>
      <c r="AD336" s="142"/>
      <c r="AE336" s="475">
        <f t="shared" si="124"/>
        <v>6120</v>
      </c>
      <c r="AF336" s="476">
        <f t="shared" si="125"/>
        <v>6180</v>
      </c>
      <c r="AG336" s="128">
        <f t="shared" si="118"/>
        <v>0.32553191489361705</v>
      </c>
      <c r="AH336" s="128">
        <f t="shared" si="119"/>
        <v>0.32872340425531915</v>
      </c>
      <c r="AI336" s="129">
        <f t="shared" si="120"/>
        <v>0.6542553191489362</v>
      </c>
      <c r="AJ336" s="426">
        <f t="shared" si="126"/>
        <v>6500</v>
      </c>
      <c r="AK336" s="131">
        <f t="shared" si="127"/>
        <v>1625</v>
      </c>
      <c r="AL336" s="477">
        <f>AK336/VLOOKUP(IF(I336&gt;0,I336,1),Preise!$A$3:$B$27,2,FALSE)</f>
        <v>324.99999999999989</v>
      </c>
    </row>
    <row r="337" spans="1:38" s="3" customFormat="1" ht="13.5" customHeight="1" outlineLevel="1" x14ac:dyDescent="0.2">
      <c r="A337" s="5">
        <v>1445</v>
      </c>
      <c r="B337" s="412">
        <v>1445</v>
      </c>
      <c r="C337" s="132" t="str">
        <f>VLOOKUP(B337,Gegenstände!$A429:$B1019,2,FALSE)</f>
        <v>Mithril-Kettenstiefel</v>
      </c>
      <c r="D337" s="133">
        <f>VLOOKUP(B337,Gegenstände!$A429:$D1019,4,FALSE)</f>
        <v>22</v>
      </c>
      <c r="E337" s="468">
        <v>30</v>
      </c>
      <c r="F337" s="3">
        <v>180</v>
      </c>
      <c r="G337" s="54">
        <v>5</v>
      </c>
      <c r="H337" s="469">
        <v>62</v>
      </c>
      <c r="I337" s="54">
        <v>21</v>
      </c>
      <c r="J337" s="470"/>
      <c r="K337" s="54">
        <v>13</v>
      </c>
      <c r="L337" s="3" t="s">
        <v>117</v>
      </c>
      <c r="M337" s="85">
        <v>6</v>
      </c>
      <c r="N337" s="83" t="s">
        <v>176</v>
      </c>
      <c r="O337" s="85">
        <v>6</v>
      </c>
      <c r="P337" s="83" t="s">
        <v>185</v>
      </c>
      <c r="Q337" s="85">
        <v>6</v>
      </c>
      <c r="R337" s="83" t="s">
        <v>187</v>
      </c>
      <c r="S337" s="170"/>
      <c r="T337" s="170"/>
      <c r="U337" s="471">
        <f>VLOOKUP(D337,Preise!$A$3:$C$27,3)</f>
        <v>18.821518001888002</v>
      </c>
      <c r="V337" s="558">
        <f>0.15*W337</f>
        <v>14116.138501416002</v>
      </c>
      <c r="W337" s="559">
        <f t="shared" si="121"/>
        <v>94107.590009440013</v>
      </c>
      <c r="X337" s="560">
        <f t="shared" si="122"/>
        <v>14100</v>
      </c>
      <c r="Y337" s="473">
        <f t="shared" si="123"/>
        <v>14100</v>
      </c>
      <c r="Z337" s="474">
        <f>IF(ISERROR(VLOOKUP(L337,Gegenstände!$B$2:$N$2026,13,FALSE)),0,VLOOKUP(L337,Gegenstände!$B$2:$N$2026,13,FALSE))</f>
        <v>360</v>
      </c>
      <c r="AA337" s="142">
        <f>IF(ISERROR(VLOOKUP(N337,Gegenstände!$B$2:$N$2026,13,FALSE)),0,VLOOKUP(N337,Gegenstände!$B$2:$N$2026,13,FALSE))</f>
        <v>80</v>
      </c>
      <c r="AB337" s="142">
        <f>IF(ISERROR(VLOOKUP(P337,Gegenstände!$B$2:$N$2026,13,FALSE)),0,VLOOKUP(P337,Gegenstände!$B$2:$N$2026,13,FALSE))</f>
        <v>200</v>
      </c>
      <c r="AC337" s="142">
        <f>IF(ISERROR(VLOOKUP(R337,Gegenstände!$B$2:$N$2026,13,FALSE)),0,VLOOKUP(R337,Gegenstände!$B$2:$N$2026,13,FALSE))</f>
        <v>500</v>
      </c>
      <c r="AD337" s="142"/>
      <c r="AE337" s="475">
        <f t="shared" si="124"/>
        <v>4680</v>
      </c>
      <c r="AF337" s="476">
        <f t="shared" si="125"/>
        <v>4680</v>
      </c>
      <c r="AG337" s="128">
        <f t="shared" si="118"/>
        <v>0.33191489361702126</v>
      </c>
      <c r="AH337" s="128">
        <f t="shared" si="119"/>
        <v>0.33191489361702126</v>
      </c>
      <c r="AI337" s="129">
        <f t="shared" si="120"/>
        <v>0.66382978723404251</v>
      </c>
      <c r="AJ337" s="426">
        <f t="shared" si="126"/>
        <v>4740</v>
      </c>
      <c r="AK337" s="131">
        <f t="shared" si="127"/>
        <v>1580</v>
      </c>
      <c r="AL337" s="477">
        <f>AK337/VLOOKUP(IF(I337&gt;0,I337,1),Preise!$A$3:$B$27,2,FALSE)</f>
        <v>315.99999999999989</v>
      </c>
    </row>
    <row r="338" spans="1:38" s="3" customFormat="1" ht="13.5" customHeight="1" outlineLevel="1" x14ac:dyDescent="0.2">
      <c r="A338" s="5">
        <v>1446</v>
      </c>
      <c r="B338" s="412">
        <v>1446</v>
      </c>
      <c r="C338" s="132" t="str">
        <f>VLOOKUP(B338,Gegenstände!$A430:$B1020,2,FALSE)</f>
        <v>Mithril-Plattenhelm</v>
      </c>
      <c r="D338" s="133">
        <f>VLOOKUP(B338,Gegenstände!$A430:$D1020,4,FALSE)</f>
        <v>24</v>
      </c>
      <c r="E338" s="468">
        <v>30</v>
      </c>
      <c r="F338" s="3">
        <v>240</v>
      </c>
      <c r="G338" s="54">
        <v>5</v>
      </c>
      <c r="H338" s="469">
        <v>62</v>
      </c>
      <c r="I338" s="54">
        <v>23</v>
      </c>
      <c r="J338" s="470"/>
      <c r="K338" s="54">
        <v>22</v>
      </c>
      <c r="L338" s="3" t="s">
        <v>117</v>
      </c>
      <c r="M338" s="85">
        <v>8</v>
      </c>
      <c r="N338" s="83" t="s">
        <v>176</v>
      </c>
      <c r="O338" s="85">
        <v>8</v>
      </c>
      <c r="P338" s="83" t="s">
        <v>185</v>
      </c>
      <c r="Q338" s="85">
        <v>12</v>
      </c>
      <c r="R338" s="83" t="s">
        <v>187</v>
      </c>
      <c r="S338" s="170"/>
      <c r="T338" s="170"/>
      <c r="U338" s="471">
        <f>VLOOKUP(D338,Preise!$A$3:$C$27,3)</f>
        <v>24.891457557496878</v>
      </c>
      <c r="V338" s="523">
        <f>0.2*W338</f>
        <v>24891.457557496877</v>
      </c>
      <c r="W338" s="131">
        <f t="shared" si="121"/>
        <v>124457.28778748438</v>
      </c>
      <c r="X338" s="472">
        <f t="shared" si="122"/>
        <v>24900</v>
      </c>
      <c r="Y338" s="473">
        <f t="shared" si="123"/>
        <v>24900</v>
      </c>
      <c r="Z338" s="474">
        <f>IF(ISERROR(VLOOKUP(L338,Gegenstände!$B$2:$N$2026,13,FALSE)),0,VLOOKUP(L338,Gegenstände!$B$2:$N$2026,13,FALSE))</f>
        <v>360</v>
      </c>
      <c r="AA338" s="142">
        <f>IF(ISERROR(VLOOKUP(N338,Gegenstände!$B$2:$N$2026,13,FALSE)),0,VLOOKUP(N338,Gegenstände!$B$2:$N$2026,13,FALSE))</f>
        <v>80</v>
      </c>
      <c r="AB338" s="142">
        <f>IF(ISERROR(VLOOKUP(P338,Gegenstände!$B$2:$N$2026,13,FALSE)),0,VLOOKUP(P338,Gegenstände!$B$2:$N$2026,13,FALSE))</f>
        <v>200</v>
      </c>
      <c r="AC338" s="142">
        <f>IF(ISERROR(VLOOKUP(R338,Gegenstände!$B$2:$N$2026,13,FALSE)),0,VLOOKUP(R338,Gegenstände!$B$2:$N$2026,13,FALSE))</f>
        <v>500</v>
      </c>
      <c r="AD338" s="142"/>
      <c r="AE338" s="475">
        <f t="shared" si="124"/>
        <v>7920</v>
      </c>
      <c r="AF338" s="476">
        <f t="shared" si="125"/>
        <v>8240</v>
      </c>
      <c r="AG338" s="128">
        <f t="shared" si="118"/>
        <v>0.3180722891566265</v>
      </c>
      <c r="AH338" s="128">
        <f t="shared" si="119"/>
        <v>0.33092369477911648</v>
      </c>
      <c r="AI338" s="129">
        <f t="shared" si="120"/>
        <v>0.64899598393574298</v>
      </c>
      <c r="AJ338" s="426">
        <f t="shared" si="126"/>
        <v>8740</v>
      </c>
      <c r="AK338" s="131">
        <f t="shared" si="127"/>
        <v>2185</v>
      </c>
      <c r="AL338" s="477">
        <f>AK338/VLOOKUP(IF(I338&gt;0,I338,1),Preise!$A$3:$B$27,2,FALSE)</f>
        <v>404.62962962962945</v>
      </c>
    </row>
    <row r="339" spans="1:38" s="3" customFormat="1" ht="13.5" customHeight="1" outlineLevel="1" x14ac:dyDescent="0.2">
      <c r="A339" s="5">
        <v>1447</v>
      </c>
      <c r="B339" s="412">
        <v>1447</v>
      </c>
      <c r="C339" s="132" t="str">
        <f>VLOOKUP(B339,Gegenstände!$A431:$B1021,2,FALSE)</f>
        <v>Mithril-Plattenpanzer</v>
      </c>
      <c r="D339" s="133">
        <f>VLOOKUP(B339,Gegenstände!$A431:$D1021,4,FALSE)</f>
        <v>24</v>
      </c>
      <c r="E339" s="468">
        <v>30</v>
      </c>
      <c r="F339" s="3">
        <v>360</v>
      </c>
      <c r="G339" s="54">
        <v>5</v>
      </c>
      <c r="H339" s="469">
        <v>62</v>
      </c>
      <c r="I339" s="54">
        <v>23</v>
      </c>
      <c r="J339" s="470"/>
      <c r="K339" s="54">
        <v>34</v>
      </c>
      <c r="L339" s="3" t="s">
        <v>117</v>
      </c>
      <c r="M339" s="85">
        <v>15</v>
      </c>
      <c r="N339" s="83" t="s">
        <v>176</v>
      </c>
      <c r="O339" s="85">
        <v>10</v>
      </c>
      <c r="P339" s="83" t="s">
        <v>185</v>
      </c>
      <c r="Q339" s="85">
        <v>18</v>
      </c>
      <c r="R339" s="83" t="s">
        <v>187</v>
      </c>
      <c r="S339" s="170"/>
      <c r="T339" s="170"/>
      <c r="U339" s="471">
        <f>VLOOKUP(D339,Preise!$A$3:$C$27,3)</f>
        <v>24.891457557496878</v>
      </c>
      <c r="V339" s="523">
        <f>0.3*W339</f>
        <v>37337.186336245315</v>
      </c>
      <c r="W339" s="131">
        <f t="shared" si="121"/>
        <v>124457.28778748438</v>
      </c>
      <c r="X339" s="472">
        <f t="shared" si="122"/>
        <v>37300</v>
      </c>
      <c r="Y339" s="473">
        <f t="shared" si="123"/>
        <v>37300</v>
      </c>
      <c r="Z339" s="474">
        <f>IF(ISERROR(VLOOKUP(L339,Gegenstände!$B$2:$N$2026,13,FALSE)),0,VLOOKUP(L339,Gegenstände!$B$2:$N$2026,13,FALSE))</f>
        <v>360</v>
      </c>
      <c r="AA339" s="142">
        <f>IF(ISERROR(VLOOKUP(N339,Gegenstände!$B$2:$N$2026,13,FALSE)),0,VLOOKUP(N339,Gegenstände!$B$2:$N$2026,13,FALSE))</f>
        <v>80</v>
      </c>
      <c r="AB339" s="142">
        <f>IF(ISERROR(VLOOKUP(P339,Gegenstände!$B$2:$N$2026,13,FALSE)),0,VLOOKUP(P339,Gegenstände!$B$2:$N$2026,13,FALSE))</f>
        <v>200</v>
      </c>
      <c r="AC339" s="142">
        <f>IF(ISERROR(VLOOKUP(R339,Gegenstände!$B$2:$N$2026,13,FALSE)),0,VLOOKUP(R339,Gegenstände!$B$2:$N$2026,13,FALSE))</f>
        <v>500</v>
      </c>
      <c r="AD339" s="142"/>
      <c r="AE339" s="475">
        <f t="shared" si="124"/>
        <v>12240</v>
      </c>
      <c r="AF339" s="476">
        <f t="shared" si="125"/>
        <v>12200</v>
      </c>
      <c r="AG339" s="128">
        <f t="shared" si="118"/>
        <v>0.32815013404825738</v>
      </c>
      <c r="AH339" s="128">
        <f t="shared" si="119"/>
        <v>0.32707774798927614</v>
      </c>
      <c r="AI339" s="129">
        <f t="shared" si="120"/>
        <v>0.65522788203753346</v>
      </c>
      <c r="AJ339" s="426">
        <f t="shared" si="126"/>
        <v>12860</v>
      </c>
      <c r="AK339" s="131">
        <f t="shared" si="127"/>
        <v>2143.3333333333335</v>
      </c>
      <c r="AL339" s="477">
        <f>AK339/VLOOKUP(IF(I339&gt;0,I339,1),Preise!$A$3:$B$27,2,FALSE)</f>
        <v>396.91358024691345</v>
      </c>
    </row>
    <row r="340" spans="1:38" s="3" customFormat="1" ht="13.5" customHeight="1" outlineLevel="1" x14ac:dyDescent="0.2">
      <c r="A340" s="5">
        <v>1448</v>
      </c>
      <c r="B340" s="412">
        <v>1448</v>
      </c>
      <c r="C340" s="132" t="str">
        <f>VLOOKUP(B340,Gegenstände!$A432:$B1022,2,FALSE)</f>
        <v>Mithril-Plattenhandschuhe</v>
      </c>
      <c r="D340" s="133">
        <f>VLOOKUP(B340,Gegenstände!$A432:$D1022,4,FALSE)</f>
        <v>25</v>
      </c>
      <c r="E340" s="468">
        <v>30</v>
      </c>
      <c r="F340" s="3">
        <v>180</v>
      </c>
      <c r="G340" s="54">
        <v>5</v>
      </c>
      <c r="H340" s="469">
        <v>62</v>
      </c>
      <c r="I340" s="54">
        <v>24</v>
      </c>
      <c r="J340" s="470"/>
      <c r="K340" s="54">
        <v>20</v>
      </c>
      <c r="L340" s="3" t="s">
        <v>117</v>
      </c>
      <c r="M340" s="85">
        <v>6</v>
      </c>
      <c r="N340" s="83" t="s">
        <v>176</v>
      </c>
      <c r="O340" s="85">
        <v>8</v>
      </c>
      <c r="P340" s="83" t="s">
        <v>185</v>
      </c>
      <c r="Q340" s="85">
        <v>10</v>
      </c>
      <c r="R340" s="83" t="s">
        <v>187</v>
      </c>
      <c r="S340" s="170"/>
      <c r="T340" s="170"/>
      <c r="U340" s="471">
        <f>VLOOKUP(D340,Preise!$A$3:$C$27,3)</f>
        <v>28.625176191121408</v>
      </c>
      <c r="V340" s="523">
        <f>0.15*W340</f>
        <v>21468.882143341056</v>
      </c>
      <c r="W340" s="131">
        <f t="shared" si="121"/>
        <v>143125.88095560705</v>
      </c>
      <c r="X340" s="472">
        <f t="shared" si="122"/>
        <v>21500</v>
      </c>
      <c r="Y340" s="473">
        <f t="shared" si="123"/>
        <v>21500</v>
      </c>
      <c r="Z340" s="474">
        <f>IF(ISERROR(VLOOKUP(L340,Gegenstände!$B$2:$N$2026,13,FALSE)),0,VLOOKUP(L340,Gegenstände!$B$2:$N$2026,13,FALSE))</f>
        <v>360</v>
      </c>
      <c r="AA340" s="142">
        <f>IF(ISERROR(VLOOKUP(N340,Gegenstände!$B$2:$N$2026,13,FALSE)),0,VLOOKUP(N340,Gegenstände!$B$2:$N$2026,13,FALSE))</f>
        <v>80</v>
      </c>
      <c r="AB340" s="142">
        <f>IF(ISERROR(VLOOKUP(P340,Gegenstände!$B$2:$N$2026,13,FALSE)),0,VLOOKUP(P340,Gegenstände!$B$2:$N$2026,13,FALSE))</f>
        <v>200</v>
      </c>
      <c r="AC340" s="142">
        <f>IF(ISERROR(VLOOKUP(R340,Gegenstände!$B$2:$N$2026,13,FALSE)),0,VLOOKUP(R340,Gegenstände!$B$2:$N$2026,13,FALSE))</f>
        <v>500</v>
      </c>
      <c r="AD340" s="142"/>
      <c r="AE340" s="475">
        <f t="shared" si="124"/>
        <v>7200</v>
      </c>
      <c r="AF340" s="476">
        <f t="shared" si="125"/>
        <v>7080</v>
      </c>
      <c r="AG340" s="128">
        <f t="shared" si="118"/>
        <v>0.33488372093023255</v>
      </c>
      <c r="AH340" s="128">
        <f t="shared" si="119"/>
        <v>0.32930232558139533</v>
      </c>
      <c r="AI340" s="129">
        <f t="shared" si="120"/>
        <v>0.66418604651162794</v>
      </c>
      <c r="AJ340" s="426">
        <f t="shared" si="126"/>
        <v>7220</v>
      </c>
      <c r="AK340" s="131">
        <f t="shared" si="127"/>
        <v>2406.6666666666665</v>
      </c>
      <c r="AL340" s="477">
        <f>AK340/VLOOKUP(IF(I340&gt;0,I340,1),Preise!$A$3:$B$27,2,FALSE)</f>
        <v>429.76190476190453</v>
      </c>
    </row>
    <row r="341" spans="1:38" s="3" customFormat="1" ht="13.5" customHeight="1" outlineLevel="1" x14ac:dyDescent="0.2">
      <c r="A341" s="5">
        <v>1449</v>
      </c>
      <c r="B341" s="412">
        <v>1449</v>
      </c>
      <c r="C341" s="132" t="str">
        <f>VLOOKUP(B341,Gegenstände!$A433:$B1023,2,FALSE)</f>
        <v>Mithril-Plattenbeinlinge</v>
      </c>
      <c r="D341" s="133">
        <f>VLOOKUP(B341,Gegenstände!$A433:$D1023,4,FALSE)</f>
        <v>25</v>
      </c>
      <c r="E341" s="468">
        <v>30</v>
      </c>
      <c r="F341" s="3">
        <v>240</v>
      </c>
      <c r="G341" s="54">
        <v>5</v>
      </c>
      <c r="H341" s="469">
        <v>62</v>
      </c>
      <c r="I341" s="54">
        <v>24</v>
      </c>
      <c r="J341" s="470"/>
      <c r="K341" s="54">
        <v>26</v>
      </c>
      <c r="L341" s="3" t="s">
        <v>117</v>
      </c>
      <c r="M341" s="85">
        <v>8</v>
      </c>
      <c r="N341" s="83" t="s">
        <v>176</v>
      </c>
      <c r="O341" s="85">
        <v>6</v>
      </c>
      <c r="P341" s="83" t="s">
        <v>185</v>
      </c>
      <c r="Q341" s="85">
        <v>15</v>
      </c>
      <c r="R341" s="83" t="s">
        <v>187</v>
      </c>
      <c r="S341" s="170"/>
      <c r="T341" s="170"/>
      <c r="U341" s="471">
        <f>VLOOKUP(D341,Preise!$A$3:$C$27,3)</f>
        <v>28.625176191121408</v>
      </c>
      <c r="V341" s="523">
        <f>0.2*W341</f>
        <v>28625.176191121413</v>
      </c>
      <c r="W341" s="131">
        <f t="shared" si="121"/>
        <v>143125.88095560705</v>
      </c>
      <c r="X341" s="472">
        <f t="shared" si="122"/>
        <v>28600</v>
      </c>
      <c r="Y341" s="473">
        <f t="shared" si="123"/>
        <v>28600</v>
      </c>
      <c r="Z341" s="474">
        <f>IF(ISERROR(VLOOKUP(L341,Gegenstände!$B$2:$N$2026,13,FALSE)),0,VLOOKUP(L341,Gegenstände!$B$2:$N$2026,13,FALSE))</f>
        <v>360</v>
      </c>
      <c r="AA341" s="142">
        <f>IF(ISERROR(VLOOKUP(N341,Gegenstände!$B$2:$N$2026,13,FALSE)),0,VLOOKUP(N341,Gegenstände!$B$2:$N$2026,13,FALSE))</f>
        <v>80</v>
      </c>
      <c r="AB341" s="142">
        <f>IF(ISERROR(VLOOKUP(P341,Gegenstände!$B$2:$N$2026,13,FALSE)),0,VLOOKUP(P341,Gegenstände!$B$2:$N$2026,13,FALSE))</f>
        <v>200</v>
      </c>
      <c r="AC341" s="142">
        <f>IF(ISERROR(VLOOKUP(R341,Gegenstände!$B$2:$N$2026,13,FALSE)),0,VLOOKUP(R341,Gegenstände!$B$2:$N$2026,13,FALSE))</f>
        <v>500</v>
      </c>
      <c r="AD341" s="142"/>
      <c r="AE341" s="475">
        <f t="shared" si="124"/>
        <v>9360</v>
      </c>
      <c r="AF341" s="476">
        <f t="shared" si="125"/>
        <v>9340</v>
      </c>
      <c r="AG341" s="128">
        <f t="shared" si="118"/>
        <v>0.32727272727272727</v>
      </c>
      <c r="AH341" s="128">
        <f t="shared" si="119"/>
        <v>0.32657342657342658</v>
      </c>
      <c r="AI341" s="129">
        <f t="shared" si="120"/>
        <v>0.65384615384615385</v>
      </c>
      <c r="AJ341" s="426">
        <f t="shared" si="126"/>
        <v>9900</v>
      </c>
      <c r="AK341" s="131">
        <f t="shared" si="127"/>
        <v>2475</v>
      </c>
      <c r="AL341" s="477">
        <f>AK341/VLOOKUP(IF(I341&gt;0,I341,1),Preise!$A$3:$B$27,2,FALSE)</f>
        <v>441.96428571428555</v>
      </c>
    </row>
    <row r="342" spans="1:38" s="3" customFormat="1" ht="13.5" customHeight="1" outlineLevel="1" x14ac:dyDescent="0.2">
      <c r="A342" s="5">
        <v>1450</v>
      </c>
      <c r="B342" s="412">
        <v>1450</v>
      </c>
      <c r="C342" s="132" t="str">
        <f>VLOOKUP(B342,Gegenstände!$A434:$B1024,2,FALSE)</f>
        <v>Mithril-Plattenstiefel</v>
      </c>
      <c r="D342" s="133">
        <f>VLOOKUP(B342,Gegenstände!$A434:$D1024,4,FALSE)</f>
        <v>25</v>
      </c>
      <c r="E342" s="468">
        <v>30</v>
      </c>
      <c r="F342" s="3">
        <v>180</v>
      </c>
      <c r="G342" s="54">
        <v>5</v>
      </c>
      <c r="H342" s="469">
        <v>62</v>
      </c>
      <c r="I342" s="54">
        <v>24</v>
      </c>
      <c r="J342" s="470"/>
      <c r="K342" s="54">
        <v>20</v>
      </c>
      <c r="L342" s="3" t="s">
        <v>117</v>
      </c>
      <c r="M342" s="85">
        <v>6</v>
      </c>
      <c r="N342" s="83" t="s">
        <v>176</v>
      </c>
      <c r="O342" s="85">
        <v>8</v>
      </c>
      <c r="P342" s="83" t="s">
        <v>185</v>
      </c>
      <c r="Q342" s="85">
        <v>10</v>
      </c>
      <c r="R342" s="83" t="s">
        <v>187</v>
      </c>
      <c r="S342" s="170"/>
      <c r="T342" s="578"/>
      <c r="U342" s="471">
        <f>VLOOKUP(D342,Preise!$A$3:$C$27,3)</f>
        <v>28.625176191121408</v>
      </c>
      <c r="V342" s="523">
        <f>0.15*W342</f>
        <v>21468.882143341056</v>
      </c>
      <c r="W342" s="131">
        <f t="shared" si="121"/>
        <v>143125.88095560705</v>
      </c>
      <c r="X342" s="472">
        <f t="shared" si="122"/>
        <v>21500</v>
      </c>
      <c r="Y342" s="473">
        <f t="shared" si="123"/>
        <v>21500</v>
      </c>
      <c r="Z342" s="474">
        <f>IF(ISERROR(VLOOKUP(L342,Gegenstände!$B$2:$N$2026,13,FALSE)),0,VLOOKUP(L342,Gegenstände!$B$2:$N$2026,13,FALSE))</f>
        <v>360</v>
      </c>
      <c r="AA342" s="142">
        <f>IF(ISERROR(VLOOKUP(N342,Gegenstände!$B$2:$N$2026,13,FALSE)),0,VLOOKUP(N342,Gegenstände!$B$2:$N$2026,13,FALSE))</f>
        <v>80</v>
      </c>
      <c r="AB342" s="142">
        <f>IF(ISERROR(VLOOKUP(P342,Gegenstände!$B$2:$N$2026,13,FALSE)),0,VLOOKUP(P342,Gegenstände!$B$2:$N$2026,13,FALSE))</f>
        <v>200</v>
      </c>
      <c r="AC342" s="142">
        <f>IF(ISERROR(VLOOKUP(R342,Gegenstände!$B$2:$N$2026,13,FALSE)),0,VLOOKUP(R342,Gegenstände!$B$2:$N$2026,13,FALSE))</f>
        <v>500</v>
      </c>
      <c r="AD342" s="142"/>
      <c r="AE342" s="475">
        <f t="shared" si="124"/>
        <v>7200</v>
      </c>
      <c r="AF342" s="476">
        <f t="shared" si="125"/>
        <v>7080</v>
      </c>
      <c r="AG342" s="128">
        <f t="shared" si="118"/>
        <v>0.33488372093023255</v>
      </c>
      <c r="AH342" s="128">
        <f t="shared" si="119"/>
        <v>0.32930232558139533</v>
      </c>
      <c r="AI342" s="129">
        <f t="shared" si="120"/>
        <v>0.66418604651162794</v>
      </c>
      <c r="AJ342" s="426">
        <f t="shared" si="126"/>
        <v>7220</v>
      </c>
      <c r="AK342" s="131">
        <f t="shared" si="127"/>
        <v>2406.6666666666665</v>
      </c>
      <c r="AL342" s="477">
        <f>AK342/VLOOKUP(IF(I342&gt;0,I342,1),Preise!$A$3:$B$27,2,FALSE)</f>
        <v>429.76190476190453</v>
      </c>
    </row>
    <row r="343" spans="1:38" s="3" customFormat="1" x14ac:dyDescent="0.2">
      <c r="A343" s="525"/>
      <c r="B343" s="526"/>
      <c r="C343" s="286"/>
      <c r="D343" s="396"/>
      <c r="E343" s="527"/>
      <c r="F343" s="528"/>
      <c r="G343" s="322"/>
      <c r="H343" s="529"/>
      <c r="I343" s="322"/>
      <c r="J343" s="552"/>
      <c r="K343" s="529"/>
      <c r="L343" s="321"/>
      <c r="M343" s="553"/>
      <c r="N343" s="321"/>
      <c r="O343" s="322"/>
      <c r="P343" s="321"/>
      <c r="Q343" s="322"/>
      <c r="R343" s="321"/>
      <c r="S343" s="554"/>
      <c r="T343" s="555"/>
      <c r="U343" s="536"/>
      <c r="V343" s="551">
        <v>1000</v>
      </c>
      <c r="W343" s="579"/>
      <c r="X343" s="539"/>
      <c r="Y343" s="540"/>
      <c r="Z343" s="541"/>
      <c r="AA343" s="542"/>
      <c r="AB343" s="542"/>
      <c r="AC343" s="542"/>
      <c r="AD343" s="542"/>
      <c r="AE343" s="543"/>
      <c r="AF343" s="544"/>
      <c r="AG343" s="545"/>
      <c r="AH343" s="545"/>
      <c r="AI343" s="546"/>
      <c r="AJ343" s="547"/>
      <c r="AK343" s="548"/>
      <c r="AL343" s="549"/>
    </row>
    <row r="344" spans="1:38" s="3" customFormat="1" outlineLevel="1" x14ac:dyDescent="0.2">
      <c r="A344" s="5">
        <v>1501</v>
      </c>
      <c r="B344" s="412">
        <v>1501</v>
      </c>
      <c r="C344" s="132" t="s">
        <v>685</v>
      </c>
      <c r="D344" s="133">
        <f>VLOOKUP(B344,Gegenstände!$A436:$D1026,4,FALSE)</f>
        <v>1</v>
      </c>
      <c r="E344" s="468">
        <v>31</v>
      </c>
      <c r="F344" s="134">
        <v>320</v>
      </c>
      <c r="G344" s="54">
        <v>1</v>
      </c>
      <c r="H344" s="469">
        <v>61</v>
      </c>
      <c r="I344" s="6">
        <v>0</v>
      </c>
      <c r="J344" s="417"/>
      <c r="K344" s="469">
        <v>5</v>
      </c>
      <c r="L344" s="3" t="s">
        <v>163</v>
      </c>
      <c r="M344" s="85">
        <v>4</v>
      </c>
      <c r="N344" s="83" t="s">
        <v>198</v>
      </c>
      <c r="O344" s="85"/>
      <c r="P344" s="1"/>
      <c r="Q344" s="6"/>
      <c r="R344" s="1"/>
      <c r="S344" s="418"/>
      <c r="T344" s="418"/>
      <c r="U344" s="471">
        <f>VLOOKUP(D344,Preise!$A$3:$C$27,3)</f>
        <v>1</v>
      </c>
      <c r="V344" s="523">
        <f t="shared" ref="V344:V353" si="128">U344*$V$343</f>
        <v>1000</v>
      </c>
      <c r="W344" s="131"/>
      <c r="X344" s="472">
        <f t="shared" ref="X344:X353" si="129">ROUND((V344/100),0)*100</f>
        <v>1000</v>
      </c>
      <c r="Y344" s="473">
        <f t="shared" ref="Y344:Y353" si="130">X344*IF(J344&gt;0,J344,1)</f>
        <v>1000</v>
      </c>
      <c r="Z344" s="474">
        <f>IF(ISERROR(VLOOKUP(L344,Gegenstände!$B$2:$N$2026,13,FALSE)),0,VLOOKUP(L344,Gegenstände!$B$2:$N$2026,13,FALSE))</f>
        <v>60</v>
      </c>
      <c r="AA344" s="142">
        <f>IF(ISERROR(VLOOKUP(N344,Gegenstände!$B$2:$N$2026,13,FALSE)),0,VLOOKUP(N344,Gegenstände!$B$2:$N$2026,13,FALSE))</f>
        <v>80</v>
      </c>
      <c r="AB344" s="142">
        <f>IF(ISERROR(VLOOKUP(P344,Gegenstände!$B$2:$N$2026,13,FALSE)),0,VLOOKUP(P344,Gegenstände!$B$2:$N$2026,13,FALSE))</f>
        <v>0</v>
      </c>
      <c r="AC344" s="142">
        <f>IF(ISERROR(VLOOKUP(R344,Gegenstände!$B$2:$N$2026,13,FALSE)),0,VLOOKUP(R344,Gegenstände!$B$2:$N$2026,13,FALSE))</f>
        <v>0</v>
      </c>
      <c r="AD344" s="142"/>
      <c r="AE344" s="475">
        <f t="shared" ref="AE344:AE353" si="131">IF(ISERROR(K344*Z344),"",K344*Z344)</f>
        <v>300</v>
      </c>
      <c r="AF344" s="476">
        <f t="shared" ref="AF344:AF353" si="132">IF(ISERROR(M344*AA344+O344*AB344+Q344*AC344),"",M344*AA344+O344*AB344+Q344*AC344)</f>
        <v>320</v>
      </c>
      <c r="AG344" s="128">
        <f t="shared" si="118"/>
        <v>0.3</v>
      </c>
      <c r="AH344" s="128">
        <f t="shared" si="119"/>
        <v>0.32</v>
      </c>
      <c r="AI344" s="129">
        <f t="shared" si="120"/>
        <v>0.62</v>
      </c>
      <c r="AJ344" s="426">
        <f t="shared" ref="AJ344:AJ353" si="133">Y344-(AE344+AF344)</f>
        <v>380</v>
      </c>
      <c r="AK344" s="131">
        <f t="shared" si="127"/>
        <v>71.25</v>
      </c>
      <c r="AL344" s="477">
        <f>AK344/VLOOKUP(IF(I344&gt;0,I344,1),Preise!$A$3:$B$27,2,FALSE)</f>
        <v>71.25</v>
      </c>
    </row>
    <row r="345" spans="1:38" s="3" customFormat="1" outlineLevel="1" x14ac:dyDescent="0.2">
      <c r="A345" s="5">
        <v>1502</v>
      </c>
      <c r="B345" s="412">
        <v>1502</v>
      </c>
      <c r="C345" s="132" t="str">
        <f>VLOOKUP(B345,Gegenstände!$A437:$B1027,2,FALSE)</f>
        <v>Rundschild</v>
      </c>
      <c r="D345" s="133">
        <f>VLOOKUP(B345,Gegenstände!$A437:$D1027,4,FALSE)</f>
        <v>4</v>
      </c>
      <c r="E345" s="468">
        <v>31</v>
      </c>
      <c r="F345" s="134">
        <v>320</v>
      </c>
      <c r="G345" s="54">
        <v>1</v>
      </c>
      <c r="H345" s="469">
        <v>61</v>
      </c>
      <c r="I345" s="6">
        <v>3</v>
      </c>
      <c r="J345" s="417"/>
      <c r="K345" s="469">
        <v>8</v>
      </c>
      <c r="L345" s="3" t="s">
        <v>163</v>
      </c>
      <c r="M345" s="85">
        <v>6</v>
      </c>
      <c r="N345" s="83" t="s">
        <v>198</v>
      </c>
      <c r="O345" s="85"/>
      <c r="P345" s="1"/>
      <c r="Q345" s="6"/>
      <c r="R345" s="1"/>
      <c r="S345" s="418"/>
      <c r="T345" s="418"/>
      <c r="U345" s="471">
        <f>VLOOKUP(D345,Preise!$A$3:$C$27,3)</f>
        <v>1.5208749999999995</v>
      </c>
      <c r="V345" s="523">
        <f t="shared" si="128"/>
        <v>1520.8749999999995</v>
      </c>
      <c r="W345" s="131"/>
      <c r="X345" s="472">
        <f t="shared" si="129"/>
        <v>1500</v>
      </c>
      <c r="Y345" s="473">
        <f t="shared" si="130"/>
        <v>1500</v>
      </c>
      <c r="Z345" s="474">
        <f>IF(ISERROR(VLOOKUP(L345,Gegenstände!$B$2:$N$2026,13,FALSE)),0,VLOOKUP(L345,Gegenstände!$B$2:$N$2026,13,FALSE))</f>
        <v>60</v>
      </c>
      <c r="AA345" s="142">
        <f>IF(ISERROR(VLOOKUP(N345,Gegenstände!$B$2:$N$2026,13,FALSE)),0,VLOOKUP(N345,Gegenstände!$B$2:$N$2026,13,FALSE))</f>
        <v>80</v>
      </c>
      <c r="AB345" s="142">
        <f>IF(ISERROR(VLOOKUP(P345,Gegenstände!$B$2:$N$2026,13,FALSE)),0,VLOOKUP(P345,Gegenstände!$B$2:$N$2026,13,FALSE))</f>
        <v>0</v>
      </c>
      <c r="AC345" s="142">
        <f>IF(ISERROR(VLOOKUP(R345,Gegenstände!$B$2:$N$2026,13,FALSE)),0,VLOOKUP(R345,Gegenstände!$B$2:$N$2026,13,FALSE))</f>
        <v>0</v>
      </c>
      <c r="AD345" s="142"/>
      <c r="AE345" s="475">
        <f t="shared" si="131"/>
        <v>480</v>
      </c>
      <c r="AF345" s="476">
        <f t="shared" si="132"/>
        <v>480</v>
      </c>
      <c r="AG345" s="128">
        <f t="shared" si="118"/>
        <v>0.32</v>
      </c>
      <c r="AH345" s="128">
        <f t="shared" si="119"/>
        <v>0.32</v>
      </c>
      <c r="AI345" s="129">
        <f t="shared" si="120"/>
        <v>0.64</v>
      </c>
      <c r="AJ345" s="426">
        <f t="shared" si="133"/>
        <v>540</v>
      </c>
      <c r="AK345" s="131">
        <f t="shared" si="127"/>
        <v>101.25</v>
      </c>
      <c r="AL345" s="477">
        <f>AK345/VLOOKUP(IF(I345&gt;0,I345,1),Preise!$A$3:$B$27,2,FALSE)</f>
        <v>72.321428571428569</v>
      </c>
    </row>
    <row r="346" spans="1:38" s="3" customFormat="1" outlineLevel="1" x14ac:dyDescent="0.2">
      <c r="A346" s="5">
        <v>1503</v>
      </c>
      <c r="B346" s="412">
        <v>1503</v>
      </c>
      <c r="C346" s="132" t="str">
        <f>VLOOKUP(B346,Gegenstände!$A438:$B1028,2,FALSE)</f>
        <v>Tartsche</v>
      </c>
      <c r="D346" s="133">
        <f>VLOOKUP(B346,Gegenstände!$A438:$D1028,4,FALSE)</f>
        <v>6</v>
      </c>
      <c r="E346" s="468">
        <v>31</v>
      </c>
      <c r="F346" s="134">
        <v>320</v>
      </c>
      <c r="G346" s="54">
        <v>2</v>
      </c>
      <c r="H346" s="469">
        <v>61</v>
      </c>
      <c r="I346" s="6">
        <v>5</v>
      </c>
      <c r="J346" s="417"/>
      <c r="K346" s="416">
        <v>5</v>
      </c>
      <c r="L346" s="1" t="s">
        <v>164</v>
      </c>
      <c r="M346" s="87">
        <v>8</v>
      </c>
      <c r="N346" s="83" t="s">
        <v>198</v>
      </c>
      <c r="O346" s="85"/>
      <c r="P346" s="1"/>
      <c r="Q346" s="6"/>
      <c r="R346" s="1"/>
      <c r="S346" s="418"/>
      <c r="T346" s="418"/>
      <c r="U346" s="471">
        <f>VLOOKUP(D346,Preise!$A$3:$C$27,3)</f>
        <v>2.0113571874999994</v>
      </c>
      <c r="V346" s="523">
        <f t="shared" si="128"/>
        <v>2011.3571874999993</v>
      </c>
      <c r="W346" s="131"/>
      <c r="X346" s="472">
        <f t="shared" si="129"/>
        <v>2000</v>
      </c>
      <c r="Y346" s="473">
        <f t="shared" si="130"/>
        <v>2000</v>
      </c>
      <c r="Z346" s="474">
        <f>IF(ISERROR(VLOOKUP(L346,Gegenstände!$B$2:$N$2026,13,FALSE)),0,VLOOKUP(L346,Gegenstände!$B$2:$N$2026,13,FALSE))</f>
        <v>120</v>
      </c>
      <c r="AA346" s="142">
        <f>IF(ISERROR(VLOOKUP(N346,Gegenstände!$B$2:$N$2026,13,FALSE)),0,VLOOKUP(N346,Gegenstände!$B$2:$N$2026,13,FALSE))</f>
        <v>80</v>
      </c>
      <c r="AB346" s="142">
        <f>IF(ISERROR(VLOOKUP(P346,Gegenstände!$B$2:$N$2026,13,FALSE)),0,VLOOKUP(P346,Gegenstände!$B$2:$N$2026,13,FALSE))</f>
        <v>0</v>
      </c>
      <c r="AC346" s="142">
        <f>IF(ISERROR(VLOOKUP(R346,Gegenstände!$B$2:$N$2026,13,FALSE)),0,VLOOKUP(R346,Gegenstände!$B$2:$N$2026,13,FALSE))</f>
        <v>0</v>
      </c>
      <c r="AD346" s="142"/>
      <c r="AE346" s="475">
        <f t="shared" si="131"/>
        <v>600</v>
      </c>
      <c r="AF346" s="476">
        <f t="shared" si="132"/>
        <v>640</v>
      </c>
      <c r="AG346" s="128">
        <f t="shared" si="118"/>
        <v>0.3</v>
      </c>
      <c r="AH346" s="128">
        <f t="shared" si="119"/>
        <v>0.32</v>
      </c>
      <c r="AI346" s="129">
        <f t="shared" si="120"/>
        <v>0.62</v>
      </c>
      <c r="AJ346" s="426">
        <f t="shared" si="133"/>
        <v>760</v>
      </c>
      <c r="AK346" s="131">
        <f t="shared" si="127"/>
        <v>142.5</v>
      </c>
      <c r="AL346" s="477">
        <f>AK346/VLOOKUP(IF(I346&gt;0,I346,1),Preise!$A$3:$B$27,2,FALSE)</f>
        <v>79.166666666666671</v>
      </c>
    </row>
    <row r="347" spans="1:38" s="3" customFormat="1" outlineLevel="1" x14ac:dyDescent="0.2">
      <c r="A347" s="5">
        <v>1504</v>
      </c>
      <c r="B347" s="412">
        <v>1504</v>
      </c>
      <c r="C347" s="132" t="str">
        <f>VLOOKUP(B347,Gegenstände!$A439:$B1029,2,FALSE)</f>
        <v>Zirkelschild</v>
      </c>
      <c r="D347" s="133">
        <f>VLOOKUP(B347,Gegenstände!$A439:$D1029,4,FALSE)</f>
        <v>9</v>
      </c>
      <c r="E347" s="468">
        <v>31</v>
      </c>
      <c r="F347" s="134">
        <v>320</v>
      </c>
      <c r="G347" s="54">
        <v>2</v>
      </c>
      <c r="H347" s="469">
        <v>61</v>
      </c>
      <c r="I347" s="6">
        <v>8</v>
      </c>
      <c r="J347" s="417"/>
      <c r="K347" s="416">
        <v>8</v>
      </c>
      <c r="L347" s="1" t="s">
        <v>164</v>
      </c>
      <c r="M347" s="87">
        <v>12</v>
      </c>
      <c r="N347" s="83" t="s">
        <v>198</v>
      </c>
      <c r="O347" s="85"/>
      <c r="P347" s="1"/>
      <c r="Q347" s="6"/>
      <c r="R347" s="1"/>
      <c r="S347" s="418"/>
      <c r="T347" s="418"/>
      <c r="U347" s="471">
        <f>VLOOKUP(D347,Preise!$A$3:$C$27,3)</f>
        <v>3.0590228625390607</v>
      </c>
      <c r="V347" s="523">
        <f t="shared" si="128"/>
        <v>3059.022862539061</v>
      </c>
      <c r="W347" s="131"/>
      <c r="X347" s="472">
        <f t="shared" si="129"/>
        <v>3100</v>
      </c>
      <c r="Y347" s="473">
        <f t="shared" si="130"/>
        <v>3100</v>
      </c>
      <c r="Z347" s="474">
        <f>IF(ISERROR(VLOOKUP(L347,Gegenstände!$B$2:$N$2026,13,FALSE)),0,VLOOKUP(L347,Gegenstände!$B$2:$N$2026,13,FALSE))</f>
        <v>120</v>
      </c>
      <c r="AA347" s="142">
        <f>IF(ISERROR(VLOOKUP(N347,Gegenstände!$B$2:$N$2026,13,FALSE)),0,VLOOKUP(N347,Gegenstände!$B$2:$N$2026,13,FALSE))</f>
        <v>80</v>
      </c>
      <c r="AB347" s="142">
        <f>IF(ISERROR(VLOOKUP(P347,Gegenstände!$B$2:$N$2026,13,FALSE)),0,VLOOKUP(P347,Gegenstände!$B$2:$N$2026,13,FALSE))</f>
        <v>0</v>
      </c>
      <c r="AC347" s="142">
        <f>IF(ISERROR(VLOOKUP(R347,Gegenstände!$B$2:$N$2026,13,FALSE)),0,VLOOKUP(R347,Gegenstände!$B$2:$N$2026,13,FALSE))</f>
        <v>0</v>
      </c>
      <c r="AD347" s="142"/>
      <c r="AE347" s="475">
        <f t="shared" si="131"/>
        <v>960</v>
      </c>
      <c r="AF347" s="476">
        <f t="shared" si="132"/>
        <v>960</v>
      </c>
      <c r="AG347" s="128">
        <f t="shared" si="118"/>
        <v>0.30967741935483872</v>
      </c>
      <c r="AH347" s="128">
        <f t="shared" si="119"/>
        <v>0.30967741935483872</v>
      </c>
      <c r="AI347" s="129">
        <f t="shared" si="120"/>
        <v>0.61935483870967745</v>
      </c>
      <c r="AJ347" s="426">
        <f t="shared" si="133"/>
        <v>1180</v>
      </c>
      <c r="AK347" s="131">
        <f t="shared" si="127"/>
        <v>221.25</v>
      </c>
      <c r="AL347" s="477">
        <f>AK347/VLOOKUP(IF(I347&gt;0,I347,1),Preise!$A$3:$B$27,2,FALSE)</f>
        <v>92.1875</v>
      </c>
    </row>
    <row r="348" spans="1:38" s="3" customFormat="1" outlineLevel="1" x14ac:dyDescent="0.2">
      <c r="A348" s="5">
        <v>1505</v>
      </c>
      <c r="B348" s="412">
        <v>1505</v>
      </c>
      <c r="C348" s="132" t="str">
        <f>VLOOKUP(B348,Gegenstände!$A440:$B1030,2,FALSE)</f>
        <v>Stachelschild</v>
      </c>
      <c r="D348" s="133">
        <f>VLOOKUP(B348,Gegenstände!$A440:$D1030,4,FALSE)</f>
        <v>11</v>
      </c>
      <c r="E348" s="468">
        <v>31</v>
      </c>
      <c r="F348" s="134">
        <v>320</v>
      </c>
      <c r="G348" s="54">
        <v>3</v>
      </c>
      <c r="H348" s="469">
        <v>61</v>
      </c>
      <c r="I348" s="6">
        <v>10</v>
      </c>
      <c r="J348" s="417"/>
      <c r="K348" s="469">
        <v>7</v>
      </c>
      <c r="L348" s="3" t="s">
        <v>165</v>
      </c>
      <c r="M348" s="85">
        <v>9</v>
      </c>
      <c r="N348" s="83" t="s">
        <v>198</v>
      </c>
      <c r="O348" s="85">
        <v>3</v>
      </c>
      <c r="P348" s="83" t="s">
        <v>200</v>
      </c>
      <c r="Q348" s="85"/>
      <c r="R348" s="83"/>
      <c r="S348" s="170"/>
      <c r="T348" s="170"/>
      <c r="U348" s="471">
        <f>VLOOKUP(D348,Preise!$A$3:$C$27,3)</f>
        <v>4.0455577357079076</v>
      </c>
      <c r="V348" s="523">
        <f t="shared" si="128"/>
        <v>4045.5577357079073</v>
      </c>
      <c r="W348" s="131"/>
      <c r="X348" s="472">
        <f t="shared" si="129"/>
        <v>4000</v>
      </c>
      <c r="Y348" s="473">
        <f t="shared" si="130"/>
        <v>4000</v>
      </c>
      <c r="Z348" s="474">
        <f>IF(ISERROR(VLOOKUP(L348,Gegenstände!$B$2:$N$2026,13,FALSE)),0,VLOOKUP(L348,Gegenstände!$B$2:$N$2026,13,FALSE))</f>
        <v>180</v>
      </c>
      <c r="AA348" s="142">
        <f>IF(ISERROR(VLOOKUP(N348,Gegenstände!$B$2:$N$2026,13,FALSE)),0,VLOOKUP(N348,Gegenstände!$B$2:$N$2026,13,FALSE))</f>
        <v>80</v>
      </c>
      <c r="AB348" s="142">
        <f>IF(ISERROR(VLOOKUP(P348,Gegenstände!$B$2:$N$2026,13,FALSE)),0,VLOOKUP(P348,Gegenstände!$B$2:$N$2026,13,FALSE))</f>
        <v>200</v>
      </c>
      <c r="AC348" s="142">
        <f>IF(ISERROR(VLOOKUP(R348,Gegenstände!$B$2:$N$2026,13,FALSE)),0,VLOOKUP(R348,Gegenstände!$B$2:$N$2026,13,FALSE))</f>
        <v>0</v>
      </c>
      <c r="AD348" s="142"/>
      <c r="AE348" s="475">
        <f t="shared" si="131"/>
        <v>1260</v>
      </c>
      <c r="AF348" s="476">
        <f t="shared" si="132"/>
        <v>1320</v>
      </c>
      <c r="AG348" s="128">
        <f t="shared" si="118"/>
        <v>0.315</v>
      </c>
      <c r="AH348" s="128">
        <f t="shared" si="119"/>
        <v>0.33</v>
      </c>
      <c r="AI348" s="129">
        <f t="shared" si="120"/>
        <v>0.64500000000000002</v>
      </c>
      <c r="AJ348" s="426">
        <f t="shared" si="133"/>
        <v>1420</v>
      </c>
      <c r="AK348" s="131">
        <f t="shared" si="127"/>
        <v>266.25</v>
      </c>
      <c r="AL348" s="477">
        <f>AK348/VLOOKUP(IF(I348&gt;0,I348,1),Preise!$A$3:$B$27,2,FALSE)</f>
        <v>95.089285714285708</v>
      </c>
    </row>
    <row r="349" spans="1:38" s="3" customFormat="1" outlineLevel="1" x14ac:dyDescent="0.2">
      <c r="A349" s="5">
        <v>1506</v>
      </c>
      <c r="B349" s="412">
        <v>1506</v>
      </c>
      <c r="C349" s="132" t="str">
        <f>VLOOKUP(B349,Gegenstände!$A441:$B1031,2,FALSE)</f>
        <v>Beschützer</v>
      </c>
      <c r="D349" s="133">
        <f>VLOOKUP(B349,Gegenstände!$A441:$D1031,4,FALSE)</f>
        <v>14</v>
      </c>
      <c r="E349" s="468">
        <v>31</v>
      </c>
      <c r="F349" s="134">
        <v>320</v>
      </c>
      <c r="G349" s="54">
        <v>3</v>
      </c>
      <c r="H349" s="469">
        <v>61</v>
      </c>
      <c r="I349" s="6">
        <v>13</v>
      </c>
      <c r="J349" s="417"/>
      <c r="K349" s="469">
        <v>11</v>
      </c>
      <c r="L349" s="3" t="s">
        <v>165</v>
      </c>
      <c r="M349" s="85">
        <v>8</v>
      </c>
      <c r="N349" s="83" t="s">
        <v>198</v>
      </c>
      <c r="O349" s="85">
        <v>7</v>
      </c>
      <c r="P349" s="83" t="s">
        <v>200</v>
      </c>
      <c r="Q349" s="85"/>
      <c r="R349" s="83"/>
      <c r="S349" s="170"/>
      <c r="T349" s="170"/>
      <c r="U349" s="471">
        <f>VLOOKUP(D349,Preise!$A$3:$C$27,3)</f>
        <v>6.1527876212947623</v>
      </c>
      <c r="V349" s="523">
        <f t="shared" si="128"/>
        <v>6152.7876212947622</v>
      </c>
      <c r="W349" s="131"/>
      <c r="X349" s="472">
        <f t="shared" si="129"/>
        <v>6200</v>
      </c>
      <c r="Y349" s="473">
        <f t="shared" si="130"/>
        <v>6200</v>
      </c>
      <c r="Z349" s="474">
        <f>IF(ISERROR(VLOOKUP(L349,Gegenstände!$B$2:$N$2026,13,FALSE)),0,VLOOKUP(L349,Gegenstände!$B$2:$N$2026,13,FALSE))</f>
        <v>180</v>
      </c>
      <c r="AA349" s="142">
        <f>IF(ISERROR(VLOOKUP(N349,Gegenstände!$B$2:$N$2026,13,FALSE)),0,VLOOKUP(N349,Gegenstände!$B$2:$N$2026,13,FALSE))</f>
        <v>80</v>
      </c>
      <c r="AB349" s="142">
        <f>IF(ISERROR(VLOOKUP(P349,Gegenstände!$B$2:$N$2026,13,FALSE)),0,VLOOKUP(P349,Gegenstände!$B$2:$N$2026,13,FALSE))</f>
        <v>200</v>
      </c>
      <c r="AC349" s="142">
        <f>IF(ISERROR(VLOOKUP(R349,Gegenstände!$B$2:$N$2026,13,FALSE)),0,VLOOKUP(R349,Gegenstände!$B$2:$N$2026,13,FALSE))</f>
        <v>0</v>
      </c>
      <c r="AD349" s="142"/>
      <c r="AE349" s="475">
        <f t="shared" si="131"/>
        <v>1980</v>
      </c>
      <c r="AF349" s="476">
        <f t="shared" si="132"/>
        <v>2040</v>
      </c>
      <c r="AG349" s="128">
        <f t="shared" si="118"/>
        <v>0.3193548387096774</v>
      </c>
      <c r="AH349" s="128">
        <f t="shared" si="119"/>
        <v>0.32903225806451614</v>
      </c>
      <c r="AI349" s="129">
        <f t="shared" si="120"/>
        <v>0.64838709677419359</v>
      </c>
      <c r="AJ349" s="426">
        <f t="shared" si="133"/>
        <v>2180</v>
      </c>
      <c r="AK349" s="131">
        <f t="shared" si="127"/>
        <v>408.75</v>
      </c>
      <c r="AL349" s="477">
        <f>AK349/VLOOKUP(IF(I349&gt;0,I349,1),Preise!$A$3:$B$27,2,FALSE)</f>
        <v>120.22058823529409</v>
      </c>
    </row>
    <row r="350" spans="1:38" s="3" customFormat="1" outlineLevel="1" x14ac:dyDescent="0.2">
      <c r="A350" s="5">
        <v>1507</v>
      </c>
      <c r="B350" s="412">
        <v>1507</v>
      </c>
      <c r="C350" s="132" t="str">
        <f>VLOOKUP(B350,Gegenstände!$A442:$B1032,2,FALSE)</f>
        <v>Dornenschild</v>
      </c>
      <c r="D350" s="133">
        <f>VLOOKUP(B350,Gegenstände!$A442:$D1032,4,FALSE)</f>
        <v>16</v>
      </c>
      <c r="E350" s="468">
        <v>31</v>
      </c>
      <c r="F350" s="134">
        <v>320</v>
      </c>
      <c r="G350" s="54">
        <v>4</v>
      </c>
      <c r="H350" s="469">
        <v>61</v>
      </c>
      <c r="I350" s="6">
        <v>15</v>
      </c>
      <c r="J350" s="417"/>
      <c r="K350" s="469">
        <v>10</v>
      </c>
      <c r="L350" s="3" t="s">
        <v>166</v>
      </c>
      <c r="M350" s="85">
        <v>8</v>
      </c>
      <c r="N350" s="83" t="s">
        <v>198</v>
      </c>
      <c r="O350" s="85">
        <v>5</v>
      </c>
      <c r="P350" s="83" t="s">
        <v>200</v>
      </c>
      <c r="Q350" s="85">
        <v>2</v>
      </c>
      <c r="R350" s="83" t="s">
        <v>201</v>
      </c>
      <c r="S350" s="170"/>
      <c r="T350" s="170"/>
      <c r="U350" s="471">
        <f>VLOOKUP(D350,Preise!$A$3:$C$27,3)</f>
        <v>8.1370616291623215</v>
      </c>
      <c r="V350" s="523">
        <f t="shared" si="128"/>
        <v>8137.0616291623219</v>
      </c>
      <c r="W350" s="131"/>
      <c r="X350" s="472">
        <f t="shared" si="129"/>
        <v>8100</v>
      </c>
      <c r="Y350" s="473">
        <f t="shared" si="130"/>
        <v>8100</v>
      </c>
      <c r="Z350" s="474">
        <f>IF(ISERROR(VLOOKUP(L350,Gegenstände!$B$2:$N$2026,13,FALSE)),0,VLOOKUP(L350,Gegenstände!$B$2:$N$2026,13,FALSE))</f>
        <v>270</v>
      </c>
      <c r="AA350" s="142">
        <f>IF(ISERROR(VLOOKUP(N350,Gegenstände!$B$2:$N$2026,13,FALSE)),0,VLOOKUP(N350,Gegenstände!$B$2:$N$2026,13,FALSE))</f>
        <v>80</v>
      </c>
      <c r="AB350" s="142">
        <f>IF(ISERROR(VLOOKUP(P350,Gegenstände!$B$2:$N$2026,13,FALSE)),0,VLOOKUP(P350,Gegenstände!$B$2:$N$2026,13,FALSE))</f>
        <v>200</v>
      </c>
      <c r="AC350" s="142">
        <f>IF(ISERROR(VLOOKUP(R350,Gegenstände!$B$2:$N$2026,13,FALSE)),0,VLOOKUP(R350,Gegenstände!$B$2:$N$2026,13,FALSE))</f>
        <v>500</v>
      </c>
      <c r="AD350" s="142"/>
      <c r="AE350" s="475">
        <f t="shared" si="131"/>
        <v>2700</v>
      </c>
      <c r="AF350" s="476">
        <f t="shared" si="132"/>
        <v>2640</v>
      </c>
      <c r="AG350" s="128">
        <f t="shared" si="118"/>
        <v>0.33333333333333331</v>
      </c>
      <c r="AH350" s="128">
        <f t="shared" si="119"/>
        <v>0.32592592592592595</v>
      </c>
      <c r="AI350" s="129">
        <f t="shared" si="120"/>
        <v>0.65925925925925921</v>
      </c>
      <c r="AJ350" s="426">
        <f t="shared" si="133"/>
        <v>2760</v>
      </c>
      <c r="AK350" s="131">
        <f t="shared" si="127"/>
        <v>517.5</v>
      </c>
      <c r="AL350" s="477">
        <f>AK350/VLOOKUP(IF(I350&gt;0,I350,1),Preise!$A$3:$B$27,2,FALSE)</f>
        <v>136.18421052631575</v>
      </c>
    </row>
    <row r="351" spans="1:38" s="3" customFormat="1" outlineLevel="1" x14ac:dyDescent="0.2">
      <c r="A351" s="5">
        <v>1508</v>
      </c>
      <c r="B351" s="412">
        <v>1508</v>
      </c>
      <c r="C351" s="132" t="str">
        <f>VLOOKUP(B351,Gegenstände!$A443:$B1033,2,FALSE)</f>
        <v>Nietenschild</v>
      </c>
      <c r="D351" s="133">
        <f>VLOOKUP(B351,Gegenstände!$A443:$D1033,4,FALSE)</f>
        <v>19</v>
      </c>
      <c r="E351" s="468">
        <v>31</v>
      </c>
      <c r="F351" s="134">
        <v>320</v>
      </c>
      <c r="G351" s="54">
        <v>4</v>
      </c>
      <c r="H351" s="469">
        <v>61</v>
      </c>
      <c r="I351" s="6">
        <v>18</v>
      </c>
      <c r="J351" s="417"/>
      <c r="K351" s="469">
        <v>15</v>
      </c>
      <c r="L351" s="3" t="s">
        <v>166</v>
      </c>
      <c r="M351" s="85">
        <v>9</v>
      </c>
      <c r="N351" s="83" t="s">
        <v>198</v>
      </c>
      <c r="O351" s="85">
        <v>7</v>
      </c>
      <c r="P351" s="83" t="s">
        <v>200</v>
      </c>
      <c r="Q351" s="85">
        <v>4</v>
      </c>
      <c r="R351" s="83" t="s">
        <v>201</v>
      </c>
      <c r="S351" s="170"/>
      <c r="T351" s="170"/>
      <c r="U351" s="471">
        <f>VLOOKUP(D351,Preise!$A$3:$C$27,3)</f>
        <v>12.375453605252243</v>
      </c>
      <c r="V351" s="523">
        <f t="shared" si="128"/>
        <v>12375.453605252244</v>
      </c>
      <c r="W351" s="131"/>
      <c r="X351" s="472">
        <f t="shared" si="129"/>
        <v>12400</v>
      </c>
      <c r="Y351" s="473">
        <f t="shared" si="130"/>
        <v>12400</v>
      </c>
      <c r="Z351" s="474">
        <f>IF(ISERROR(VLOOKUP(L351,Gegenstände!$B$2:$N$2026,13,FALSE)),0,VLOOKUP(L351,Gegenstände!$B$2:$N$2026,13,FALSE))</f>
        <v>270</v>
      </c>
      <c r="AA351" s="142">
        <f>IF(ISERROR(VLOOKUP(N351,Gegenstände!$B$2:$N$2026,13,FALSE)),0,VLOOKUP(N351,Gegenstände!$B$2:$N$2026,13,FALSE))</f>
        <v>80</v>
      </c>
      <c r="AB351" s="142">
        <f>IF(ISERROR(VLOOKUP(P351,Gegenstände!$B$2:$N$2026,13,FALSE)),0,VLOOKUP(P351,Gegenstände!$B$2:$N$2026,13,FALSE))</f>
        <v>200</v>
      </c>
      <c r="AC351" s="142">
        <f>IF(ISERROR(VLOOKUP(R351,Gegenstände!$B$2:$N$2026,13,FALSE)),0,VLOOKUP(R351,Gegenstände!$B$2:$N$2026,13,FALSE))</f>
        <v>500</v>
      </c>
      <c r="AD351" s="142"/>
      <c r="AE351" s="475">
        <f t="shared" si="131"/>
        <v>4050</v>
      </c>
      <c r="AF351" s="476">
        <f t="shared" si="132"/>
        <v>4120</v>
      </c>
      <c r="AG351" s="128">
        <f t="shared" si="118"/>
        <v>0.32661290322580644</v>
      </c>
      <c r="AH351" s="128">
        <f t="shared" si="119"/>
        <v>0.33225806451612905</v>
      </c>
      <c r="AI351" s="129">
        <f t="shared" si="120"/>
        <v>0.65887096774193543</v>
      </c>
      <c r="AJ351" s="426">
        <f t="shared" si="133"/>
        <v>4230</v>
      </c>
      <c r="AK351" s="131">
        <f t="shared" si="127"/>
        <v>793.125</v>
      </c>
      <c r="AL351" s="477">
        <f>AK351/VLOOKUP(IF(I351&gt;0,I351,1),Preise!$A$3:$B$27,2,FALSE)</f>
        <v>180.25568181818176</v>
      </c>
    </row>
    <row r="352" spans="1:38" s="3" customFormat="1" outlineLevel="1" x14ac:dyDescent="0.2">
      <c r="A352" s="5">
        <v>1509</v>
      </c>
      <c r="B352" s="412">
        <v>1509</v>
      </c>
      <c r="C352" s="132" t="str">
        <f>VLOOKUP(B352,Gegenstände!$A444:$B1034,2,FALSE)</f>
        <v>Verteidiger</v>
      </c>
      <c r="D352" s="133">
        <f>VLOOKUP(B352,Gegenstände!$A444:$D1034,4,FALSE)</f>
        <v>21</v>
      </c>
      <c r="E352" s="468">
        <v>31</v>
      </c>
      <c r="F352" s="134">
        <v>320</v>
      </c>
      <c r="G352" s="54">
        <v>5</v>
      </c>
      <c r="H352" s="469">
        <v>61</v>
      </c>
      <c r="I352" s="6">
        <v>20</v>
      </c>
      <c r="J352" s="417"/>
      <c r="K352" s="469">
        <v>15</v>
      </c>
      <c r="L352" s="3" t="s">
        <v>167</v>
      </c>
      <c r="M352" s="85">
        <v>6</v>
      </c>
      <c r="N352" s="83" t="s">
        <v>198</v>
      </c>
      <c r="O352" s="85">
        <v>5</v>
      </c>
      <c r="P352" s="83" t="s">
        <v>200</v>
      </c>
      <c r="Q352" s="85">
        <v>8</v>
      </c>
      <c r="R352" s="83" t="s">
        <v>201</v>
      </c>
      <c r="S352" s="170"/>
      <c r="T352" s="170"/>
      <c r="U352" s="471">
        <f>VLOOKUP(D352,Preise!$A$3:$C$27,3)</f>
        <v>16.366537392946089</v>
      </c>
      <c r="V352" s="523">
        <f t="shared" si="128"/>
        <v>16366.537392946089</v>
      </c>
      <c r="W352" s="131"/>
      <c r="X352" s="472">
        <f t="shared" si="129"/>
        <v>16400</v>
      </c>
      <c r="Y352" s="473">
        <f t="shared" si="130"/>
        <v>16400</v>
      </c>
      <c r="Z352" s="474">
        <f>IF(ISERROR(VLOOKUP(L352,Gegenstände!$B$2:$N$2026,13,FALSE)),0,VLOOKUP(L352,Gegenstände!$B$2:$N$2026,13,FALSE))</f>
        <v>360</v>
      </c>
      <c r="AA352" s="142">
        <f>IF(ISERROR(VLOOKUP(N352,Gegenstände!$B$2:$N$2026,13,FALSE)),0,VLOOKUP(N352,Gegenstände!$B$2:$N$2026,13,FALSE))</f>
        <v>80</v>
      </c>
      <c r="AB352" s="142">
        <f>IF(ISERROR(VLOOKUP(P352,Gegenstände!$B$2:$N$2026,13,FALSE)),0,VLOOKUP(P352,Gegenstände!$B$2:$N$2026,13,FALSE))</f>
        <v>200</v>
      </c>
      <c r="AC352" s="142">
        <f>IF(ISERROR(VLOOKUP(R352,Gegenstände!$B$2:$N$2026,13,FALSE)),0,VLOOKUP(R352,Gegenstände!$B$2:$N$2026,13,FALSE))</f>
        <v>500</v>
      </c>
      <c r="AD352" s="142"/>
      <c r="AE352" s="475">
        <f t="shared" si="131"/>
        <v>5400</v>
      </c>
      <c r="AF352" s="476">
        <f t="shared" si="132"/>
        <v>5480</v>
      </c>
      <c r="AG352" s="128">
        <f t="shared" si="118"/>
        <v>0.32926829268292684</v>
      </c>
      <c r="AH352" s="128">
        <f t="shared" si="119"/>
        <v>0.33414634146341465</v>
      </c>
      <c r="AI352" s="129">
        <f t="shared" si="120"/>
        <v>0.6634146341463415</v>
      </c>
      <c r="AJ352" s="426">
        <f t="shared" si="133"/>
        <v>5520</v>
      </c>
      <c r="AK352" s="131">
        <f t="shared" si="127"/>
        <v>1035</v>
      </c>
      <c r="AL352" s="477">
        <f>AK352/VLOOKUP(IF(I352&gt;0,I352,1),Preise!$A$3:$B$27,2,FALSE)</f>
        <v>215.62499999999991</v>
      </c>
    </row>
    <row r="353" spans="1:38" s="3" customFormat="1" outlineLevel="1" x14ac:dyDescent="0.2">
      <c r="A353" s="5">
        <v>1510</v>
      </c>
      <c r="B353" s="412">
        <v>1510</v>
      </c>
      <c r="C353" s="132" t="str">
        <f>VLOOKUP(B353,Gegenstände!$A445:$B1035,2,FALSE)</f>
        <v>Nebelschild</v>
      </c>
      <c r="D353" s="133">
        <f>VLOOKUP(B353,Gegenstände!$A445:$D1035,4,FALSE)</f>
        <v>24</v>
      </c>
      <c r="E353" s="468">
        <v>31</v>
      </c>
      <c r="F353" s="134">
        <v>320</v>
      </c>
      <c r="G353" s="54">
        <v>5</v>
      </c>
      <c r="H353" s="469">
        <v>61</v>
      </c>
      <c r="I353" s="6">
        <v>23</v>
      </c>
      <c r="J353" s="417"/>
      <c r="K353" s="469">
        <v>23</v>
      </c>
      <c r="L353" s="3" t="s">
        <v>167</v>
      </c>
      <c r="M353" s="85">
        <v>8</v>
      </c>
      <c r="N353" s="83" t="s">
        <v>198</v>
      </c>
      <c r="O353" s="85">
        <v>8</v>
      </c>
      <c r="P353" s="83" t="s">
        <v>200</v>
      </c>
      <c r="Q353" s="85">
        <v>12</v>
      </c>
      <c r="R353" s="83" t="s">
        <v>201</v>
      </c>
      <c r="S353" s="170"/>
      <c r="T353" s="170"/>
      <c r="U353" s="471">
        <f>VLOOKUP(D353,Preise!$A$3:$C$27,3)</f>
        <v>24.891457557496878</v>
      </c>
      <c r="V353" s="523">
        <f t="shared" si="128"/>
        <v>24891.457557496877</v>
      </c>
      <c r="W353" s="131"/>
      <c r="X353" s="472">
        <f t="shared" si="129"/>
        <v>24900</v>
      </c>
      <c r="Y353" s="473">
        <f t="shared" si="130"/>
        <v>24900</v>
      </c>
      <c r="Z353" s="474">
        <f>IF(ISERROR(VLOOKUP(L353,Gegenstände!$B$2:$N$2026,13,FALSE)),0,VLOOKUP(L353,Gegenstände!$B$2:$N$2026,13,FALSE))</f>
        <v>360</v>
      </c>
      <c r="AA353" s="142">
        <f>IF(ISERROR(VLOOKUP(N353,Gegenstände!$B$2:$N$2026,13,FALSE)),0,VLOOKUP(N353,Gegenstände!$B$2:$N$2026,13,FALSE))</f>
        <v>80</v>
      </c>
      <c r="AB353" s="142">
        <f>IF(ISERROR(VLOOKUP(P353,Gegenstände!$B$2:$N$2026,13,FALSE)),0,VLOOKUP(P353,Gegenstände!$B$2:$N$2026,13,FALSE))</f>
        <v>200</v>
      </c>
      <c r="AC353" s="142">
        <f>IF(ISERROR(VLOOKUP(R353,Gegenstände!$B$2:$N$2026,13,FALSE)),0,VLOOKUP(R353,Gegenstände!$B$2:$N$2026,13,FALSE))</f>
        <v>500</v>
      </c>
      <c r="AD353" s="142"/>
      <c r="AE353" s="475">
        <f t="shared" si="131"/>
        <v>8280</v>
      </c>
      <c r="AF353" s="476">
        <f t="shared" si="132"/>
        <v>8240</v>
      </c>
      <c r="AG353" s="128">
        <f t="shared" si="118"/>
        <v>0.3325301204819277</v>
      </c>
      <c r="AH353" s="128">
        <f t="shared" si="119"/>
        <v>0.33092369477911648</v>
      </c>
      <c r="AI353" s="129">
        <f t="shared" si="120"/>
        <v>0.66345381526104419</v>
      </c>
      <c r="AJ353" s="426">
        <f t="shared" si="133"/>
        <v>8380</v>
      </c>
      <c r="AK353" s="131">
        <f t="shared" si="127"/>
        <v>1571.25</v>
      </c>
      <c r="AL353" s="477">
        <f>AK353/VLOOKUP(IF(I353&gt;0,I353,1),Preise!$A$3:$B$27,2,FALSE)</f>
        <v>290.97222222222211</v>
      </c>
    </row>
    <row r="354" spans="1:38" s="3" customFormat="1" x14ac:dyDescent="0.2">
      <c r="A354" s="525"/>
      <c r="B354" s="526"/>
      <c r="C354" s="286"/>
      <c r="D354" s="396"/>
      <c r="E354" s="527"/>
      <c r="F354" s="528"/>
      <c r="G354" s="322"/>
      <c r="H354" s="529"/>
      <c r="I354" s="322"/>
      <c r="J354" s="552"/>
      <c r="K354" s="529"/>
      <c r="L354" s="321"/>
      <c r="M354" s="553"/>
      <c r="N354" s="321"/>
      <c r="O354" s="322"/>
      <c r="P354" s="321"/>
      <c r="Q354" s="322"/>
      <c r="R354" s="321"/>
      <c r="S354" s="554"/>
      <c r="T354" s="555"/>
      <c r="U354" s="536"/>
      <c r="V354" s="551">
        <v>1200</v>
      </c>
      <c r="W354" s="579"/>
      <c r="X354" s="580"/>
      <c r="Y354" s="540"/>
      <c r="Z354" s="541"/>
      <c r="AA354" s="542"/>
      <c r="AB354" s="542"/>
      <c r="AC354" s="542"/>
      <c r="AD354" s="542"/>
      <c r="AE354" s="556"/>
      <c r="AF354" s="544"/>
      <c r="AG354" s="545"/>
      <c r="AH354" s="545"/>
      <c r="AI354" s="546"/>
      <c r="AJ354" s="547"/>
      <c r="AK354" s="548"/>
      <c r="AL354" s="549"/>
    </row>
    <row r="355" spans="1:38" s="3" customFormat="1" outlineLevel="1" x14ac:dyDescent="0.2">
      <c r="A355" s="5">
        <v>1511</v>
      </c>
      <c r="B355" s="412">
        <v>1511</v>
      </c>
      <c r="C355" s="132" t="str">
        <f>VLOOKUP(B355,Gegenstände!$A447:$B1037,2,FALSE)</f>
        <v>Eckschild</v>
      </c>
      <c r="D355" s="133">
        <f>VLOOKUP(B355,Gegenstände!$A447:$D1037,4,FALSE)</f>
        <v>2</v>
      </c>
      <c r="E355" s="468">
        <v>30</v>
      </c>
      <c r="F355" s="134">
        <v>320</v>
      </c>
      <c r="G355" s="54">
        <v>1</v>
      </c>
      <c r="H355" s="469">
        <v>62</v>
      </c>
      <c r="I355" s="6">
        <v>1</v>
      </c>
      <c r="J355" s="417"/>
      <c r="K355" s="469">
        <v>8</v>
      </c>
      <c r="L355" s="3" t="s">
        <v>113</v>
      </c>
      <c r="M355" s="85">
        <v>6</v>
      </c>
      <c r="N355" s="83" t="s">
        <v>176</v>
      </c>
      <c r="O355" s="85"/>
      <c r="P355" s="1"/>
      <c r="Q355" s="6"/>
      <c r="R355" s="1"/>
      <c r="S355" s="418"/>
      <c r="T355" s="418"/>
      <c r="U355" s="471">
        <f>VLOOKUP(D355,Preise!$A$3:$C$27,3)</f>
        <v>1.1499999999999999</v>
      </c>
      <c r="V355" s="523">
        <f t="shared" ref="V355:V364" si="134">U355*$V$354</f>
        <v>1380</v>
      </c>
      <c r="W355" s="131"/>
      <c r="X355" s="472">
        <f t="shared" ref="X355:X364" si="135">ROUND((V355/100),0)*100</f>
        <v>1400</v>
      </c>
      <c r="Y355" s="473">
        <f t="shared" ref="Y355:Y364" si="136">X355*IF(J355&gt;0,J355,1)</f>
        <v>1400</v>
      </c>
      <c r="Z355" s="474">
        <f>IF(ISERROR(VLOOKUP(L355,Gegenstände!$B$2:$N$2026,13,FALSE)),0,VLOOKUP(L355,Gegenstände!$B$2:$N$2026,13,FALSE))</f>
        <v>60</v>
      </c>
      <c r="AA355" s="142">
        <f>IF(ISERROR(VLOOKUP(N355,Gegenstände!$B$2:$N$2026,13,FALSE)),0,VLOOKUP(N355,Gegenstände!$B$2:$N$2026,13,FALSE))</f>
        <v>80</v>
      </c>
      <c r="AB355" s="142">
        <f>IF(ISERROR(VLOOKUP(P355,Gegenstände!$B$2:$N$2026,13,FALSE)),0,VLOOKUP(P355,Gegenstände!$B$2:$N$2026,13,FALSE))</f>
        <v>0</v>
      </c>
      <c r="AC355" s="142">
        <f>IF(ISERROR(VLOOKUP(R355,Gegenstände!$B$2:$N$2026,13,FALSE)),0,VLOOKUP(R355,Gegenstände!$B$2:$N$2026,13,FALSE))</f>
        <v>0</v>
      </c>
      <c r="AD355" s="142"/>
      <c r="AE355" s="475">
        <f t="shared" ref="AE355:AE364" si="137">IF(ISERROR(K355*Z355),"",K355*Z355)</f>
        <v>480</v>
      </c>
      <c r="AF355" s="476">
        <f t="shared" ref="AF355:AF364" si="138">IF(ISERROR(M355*AA355+O355*AB355+Q355*AC355),"",M355*AA355+O355*AB355+Q355*AC355)</f>
        <v>480</v>
      </c>
      <c r="AG355" s="128">
        <f t="shared" si="118"/>
        <v>0.34285714285714286</v>
      </c>
      <c r="AH355" s="128">
        <f t="shared" si="119"/>
        <v>0.34285714285714286</v>
      </c>
      <c r="AI355" s="129">
        <f t="shared" si="120"/>
        <v>0.68571428571428572</v>
      </c>
      <c r="AJ355" s="426">
        <f t="shared" ref="AJ355:AJ364" si="139">Y355-(AE355+AF355)</f>
        <v>440</v>
      </c>
      <c r="AK355" s="131">
        <f t="shared" si="127"/>
        <v>82.5</v>
      </c>
      <c r="AL355" s="477">
        <f>AK355/VLOOKUP(IF(I355&gt;0,I355,1),Preise!$A$3:$B$27,2,FALSE)</f>
        <v>82.5</v>
      </c>
    </row>
    <row r="356" spans="1:38" s="3" customFormat="1" outlineLevel="1" x14ac:dyDescent="0.2">
      <c r="A356" s="5">
        <v>1512</v>
      </c>
      <c r="B356" s="412">
        <v>1512</v>
      </c>
      <c r="C356" s="132" t="str">
        <f>VLOOKUP(B356,Gegenstände!$A448:$B1038,2,FALSE)</f>
        <v>Kampfschild</v>
      </c>
      <c r="D356" s="133">
        <f>VLOOKUP(B356,Gegenstände!$A448:$D1038,4,FALSE)</f>
        <v>5</v>
      </c>
      <c r="E356" s="468">
        <v>30</v>
      </c>
      <c r="F356" s="134">
        <v>320</v>
      </c>
      <c r="G356" s="54">
        <v>1</v>
      </c>
      <c r="H356" s="469">
        <v>62</v>
      </c>
      <c r="I356" s="6">
        <v>4</v>
      </c>
      <c r="J356" s="417"/>
      <c r="K356" s="469">
        <v>12</v>
      </c>
      <c r="L356" s="3" t="s">
        <v>113</v>
      </c>
      <c r="M356" s="85">
        <v>9</v>
      </c>
      <c r="N356" s="83" t="s">
        <v>176</v>
      </c>
      <c r="O356" s="85"/>
      <c r="P356" s="1"/>
      <c r="Q356" s="6"/>
      <c r="R356" s="1"/>
      <c r="S356" s="418"/>
      <c r="T356" s="418"/>
      <c r="U356" s="471">
        <f>VLOOKUP(D356,Preise!$A$3:$C$27,3)</f>
        <v>1.7490062499999994</v>
      </c>
      <c r="V356" s="523">
        <f t="shared" si="134"/>
        <v>2098.8074999999994</v>
      </c>
      <c r="W356" s="131"/>
      <c r="X356" s="472">
        <f t="shared" si="135"/>
        <v>2100</v>
      </c>
      <c r="Y356" s="473">
        <f t="shared" si="136"/>
        <v>2100</v>
      </c>
      <c r="Z356" s="474">
        <f>IF(ISERROR(VLOOKUP(L356,Gegenstände!$B$2:$N$2026,13,FALSE)),0,VLOOKUP(L356,Gegenstände!$B$2:$N$2026,13,FALSE))</f>
        <v>60</v>
      </c>
      <c r="AA356" s="142">
        <f>IF(ISERROR(VLOOKUP(N356,Gegenstände!$B$2:$N$2026,13,FALSE)),0,VLOOKUP(N356,Gegenstände!$B$2:$N$2026,13,FALSE))</f>
        <v>80</v>
      </c>
      <c r="AB356" s="142">
        <f>IF(ISERROR(VLOOKUP(P356,Gegenstände!$B$2:$N$2026,13,FALSE)),0,VLOOKUP(P356,Gegenstände!$B$2:$N$2026,13,FALSE))</f>
        <v>0</v>
      </c>
      <c r="AC356" s="142">
        <f>IF(ISERROR(VLOOKUP(R356,Gegenstände!$B$2:$N$2026,13,FALSE)),0,VLOOKUP(R356,Gegenstände!$B$2:$N$2026,13,FALSE))</f>
        <v>0</v>
      </c>
      <c r="AD356" s="142"/>
      <c r="AE356" s="475">
        <f t="shared" si="137"/>
        <v>720</v>
      </c>
      <c r="AF356" s="476">
        <f t="shared" si="138"/>
        <v>720</v>
      </c>
      <c r="AG356" s="128">
        <f t="shared" si="118"/>
        <v>0.34285714285714286</v>
      </c>
      <c r="AH356" s="128">
        <f t="shared" si="119"/>
        <v>0.34285714285714286</v>
      </c>
      <c r="AI356" s="129">
        <f t="shared" si="120"/>
        <v>0.68571428571428572</v>
      </c>
      <c r="AJ356" s="426">
        <f t="shared" si="139"/>
        <v>660</v>
      </c>
      <c r="AK356" s="131">
        <f t="shared" si="127"/>
        <v>123.75</v>
      </c>
      <c r="AL356" s="477">
        <f>AK356/VLOOKUP(IF(I356&gt;0,I356,1),Preise!$A$3:$B$27,2,FALSE)</f>
        <v>77.34375</v>
      </c>
    </row>
    <row r="357" spans="1:38" s="3" customFormat="1" outlineLevel="1" x14ac:dyDescent="0.2">
      <c r="A357" s="5">
        <v>1513</v>
      </c>
      <c r="B357" s="412">
        <v>1513</v>
      </c>
      <c r="C357" s="132" t="str">
        <f>VLOOKUP(B357,Gegenstände!$A449:$B1039,2,FALSE)</f>
        <v>Drachenschild</v>
      </c>
      <c r="D357" s="133">
        <f>VLOOKUP(B357,Gegenstände!$A449:$D1039,4,FALSE)</f>
        <v>7</v>
      </c>
      <c r="E357" s="468">
        <v>30</v>
      </c>
      <c r="F357" s="134">
        <v>320</v>
      </c>
      <c r="G357" s="54">
        <v>2</v>
      </c>
      <c r="H357" s="469">
        <v>62</v>
      </c>
      <c r="I357" s="6">
        <v>6</v>
      </c>
      <c r="J357" s="417"/>
      <c r="K357" s="416">
        <v>8</v>
      </c>
      <c r="L357" s="1" t="s">
        <v>114</v>
      </c>
      <c r="M357" s="87">
        <v>12</v>
      </c>
      <c r="N357" s="83" t="s">
        <v>176</v>
      </c>
      <c r="O357" s="85"/>
      <c r="P357" s="1"/>
      <c r="Q357" s="6"/>
      <c r="R357" s="1"/>
      <c r="S357" s="418"/>
      <c r="T357" s="418"/>
      <c r="U357" s="471">
        <f>VLOOKUP(D357,Preise!$A$3:$C$27,3)</f>
        <v>2.3130607656249991</v>
      </c>
      <c r="V357" s="523">
        <f t="shared" si="134"/>
        <v>2775.6729187499991</v>
      </c>
      <c r="W357" s="131"/>
      <c r="X357" s="472">
        <f t="shared" si="135"/>
        <v>2800</v>
      </c>
      <c r="Y357" s="473">
        <f t="shared" si="136"/>
        <v>2800</v>
      </c>
      <c r="Z357" s="474">
        <f>IF(ISERROR(VLOOKUP(L357,Gegenstände!$B$2:$N$2026,13,FALSE)),0,VLOOKUP(L357,Gegenstände!$B$2:$N$2026,13,FALSE))</f>
        <v>120</v>
      </c>
      <c r="AA357" s="142">
        <f>IF(ISERROR(VLOOKUP(N357,Gegenstände!$B$2:$N$2026,13,FALSE)),0,VLOOKUP(N357,Gegenstände!$B$2:$N$2026,13,FALSE))</f>
        <v>80</v>
      </c>
      <c r="AB357" s="142">
        <f>IF(ISERROR(VLOOKUP(P357,Gegenstände!$B$2:$N$2026,13,FALSE)),0,VLOOKUP(P357,Gegenstände!$B$2:$N$2026,13,FALSE))</f>
        <v>0</v>
      </c>
      <c r="AC357" s="142">
        <f>IF(ISERROR(VLOOKUP(R357,Gegenstände!$B$2:$N$2026,13,FALSE)),0,VLOOKUP(R357,Gegenstände!$B$2:$N$2026,13,FALSE))</f>
        <v>0</v>
      </c>
      <c r="AD357" s="142"/>
      <c r="AE357" s="475">
        <f t="shared" si="137"/>
        <v>960</v>
      </c>
      <c r="AF357" s="476">
        <f t="shared" si="138"/>
        <v>960</v>
      </c>
      <c r="AG357" s="128">
        <f t="shared" si="118"/>
        <v>0.34285714285714286</v>
      </c>
      <c r="AH357" s="128">
        <f t="shared" si="119"/>
        <v>0.34285714285714286</v>
      </c>
      <c r="AI357" s="129">
        <f t="shared" si="120"/>
        <v>0.68571428571428572</v>
      </c>
      <c r="AJ357" s="426">
        <f t="shared" si="139"/>
        <v>880</v>
      </c>
      <c r="AK357" s="131">
        <f t="shared" si="127"/>
        <v>165</v>
      </c>
      <c r="AL357" s="477">
        <f>AK357/VLOOKUP(IF(I357&gt;0,I357,1),Preise!$A$3:$B$27,2,FALSE)</f>
        <v>82.500000000000014</v>
      </c>
    </row>
    <row r="358" spans="1:38" s="3" customFormat="1" outlineLevel="1" x14ac:dyDescent="0.2">
      <c r="A358" s="5">
        <v>1514</v>
      </c>
      <c r="B358" s="412">
        <v>1514</v>
      </c>
      <c r="C358" s="132" t="str">
        <f>VLOOKUP(B358,Gegenstände!$A450:$B1040,2,FALSE)</f>
        <v>Gothika</v>
      </c>
      <c r="D358" s="133">
        <f>VLOOKUP(B358,Gegenstände!$A450:$D1040,4,FALSE)</f>
        <v>10</v>
      </c>
      <c r="E358" s="468">
        <v>30</v>
      </c>
      <c r="F358" s="134">
        <v>320</v>
      </c>
      <c r="G358" s="54">
        <v>2</v>
      </c>
      <c r="H358" s="469">
        <v>62</v>
      </c>
      <c r="I358" s="6">
        <v>9</v>
      </c>
      <c r="J358" s="417"/>
      <c r="K358" s="416">
        <v>12</v>
      </c>
      <c r="L358" s="1" t="s">
        <v>114</v>
      </c>
      <c r="M358" s="87">
        <v>18</v>
      </c>
      <c r="N358" s="83" t="s">
        <v>176</v>
      </c>
      <c r="O358" s="85"/>
      <c r="P358" s="83"/>
      <c r="Q358" s="85"/>
      <c r="R358" s="83"/>
      <c r="S358" s="170"/>
      <c r="T358" s="170"/>
      <c r="U358" s="471">
        <f>VLOOKUP(D358,Preise!$A$3:$C$27,3)</f>
        <v>3.5178762919199196</v>
      </c>
      <c r="V358" s="523">
        <f t="shared" si="134"/>
        <v>4221.4515503039038</v>
      </c>
      <c r="W358" s="131"/>
      <c r="X358" s="472">
        <f t="shared" si="135"/>
        <v>4200</v>
      </c>
      <c r="Y358" s="473">
        <f t="shared" si="136"/>
        <v>4200</v>
      </c>
      <c r="Z358" s="474">
        <f>IF(ISERROR(VLOOKUP(L358,Gegenstände!$B$2:$N$2026,13,FALSE)),0,VLOOKUP(L358,Gegenstände!$B$2:$N$2026,13,FALSE))</f>
        <v>120</v>
      </c>
      <c r="AA358" s="142">
        <f>IF(ISERROR(VLOOKUP(N358,Gegenstände!$B$2:$N$2026,13,FALSE)),0,VLOOKUP(N358,Gegenstände!$B$2:$N$2026,13,FALSE))</f>
        <v>80</v>
      </c>
      <c r="AB358" s="142">
        <f>IF(ISERROR(VLOOKUP(P358,Gegenstände!$B$2:$N$2026,13,FALSE)),0,VLOOKUP(P358,Gegenstände!$B$2:$N$2026,13,FALSE))</f>
        <v>0</v>
      </c>
      <c r="AC358" s="142">
        <f>IF(ISERROR(VLOOKUP(R358,Gegenstände!$B$2:$N$2026,13,FALSE)),0,VLOOKUP(R358,Gegenstände!$B$2:$N$2026,13,FALSE))</f>
        <v>0</v>
      </c>
      <c r="AD358" s="142"/>
      <c r="AE358" s="475">
        <f t="shared" si="137"/>
        <v>1440</v>
      </c>
      <c r="AF358" s="476">
        <f t="shared" si="138"/>
        <v>1440</v>
      </c>
      <c r="AG358" s="128">
        <f t="shared" si="118"/>
        <v>0.34285714285714286</v>
      </c>
      <c r="AH358" s="128">
        <f t="shared" si="119"/>
        <v>0.34285714285714286</v>
      </c>
      <c r="AI358" s="129">
        <f t="shared" si="120"/>
        <v>0.68571428571428572</v>
      </c>
      <c r="AJ358" s="426">
        <f t="shared" si="139"/>
        <v>1320</v>
      </c>
      <c r="AK358" s="131">
        <f t="shared" si="127"/>
        <v>247.5</v>
      </c>
      <c r="AL358" s="477">
        <f>AK358/VLOOKUP(IF(I358&gt;0,I358,1),Preise!$A$3:$B$27,2,FALSE)</f>
        <v>95.192307692307693</v>
      </c>
    </row>
    <row r="359" spans="1:38" s="3" customFormat="1" outlineLevel="1" x14ac:dyDescent="0.2">
      <c r="A359" s="5">
        <v>1515</v>
      </c>
      <c r="B359" s="412">
        <v>1515</v>
      </c>
      <c r="C359" s="132" t="str">
        <f>VLOOKUP(B359,Gegenstände!$A451:$B1041,2,FALSE)</f>
        <v>Pavese</v>
      </c>
      <c r="D359" s="133">
        <f>VLOOKUP(B359,Gegenstände!$A451:$D1041,4,FALSE)</f>
        <v>12</v>
      </c>
      <c r="E359" s="468">
        <v>30</v>
      </c>
      <c r="F359" s="134">
        <v>320</v>
      </c>
      <c r="G359" s="54">
        <v>3</v>
      </c>
      <c r="H359" s="469">
        <v>62</v>
      </c>
      <c r="I359" s="6">
        <v>11</v>
      </c>
      <c r="J359" s="417"/>
      <c r="K359" s="469">
        <v>10</v>
      </c>
      <c r="L359" s="3" t="s">
        <v>115</v>
      </c>
      <c r="M359" s="85">
        <v>8</v>
      </c>
      <c r="N359" s="83" t="s">
        <v>176</v>
      </c>
      <c r="O359" s="85">
        <v>6</v>
      </c>
      <c r="P359" s="83" t="s">
        <v>200</v>
      </c>
      <c r="Q359" s="85"/>
      <c r="R359" s="83"/>
      <c r="S359" s="170"/>
      <c r="T359" s="170"/>
      <c r="U359" s="471">
        <f>VLOOKUP(D359,Preise!$A$3:$C$27,3)</f>
        <v>4.6523913960640932</v>
      </c>
      <c r="V359" s="523">
        <f t="shared" si="134"/>
        <v>5582.8696752769119</v>
      </c>
      <c r="W359" s="131"/>
      <c r="X359" s="472">
        <f t="shared" si="135"/>
        <v>5600</v>
      </c>
      <c r="Y359" s="473">
        <f t="shared" si="136"/>
        <v>5600</v>
      </c>
      <c r="Z359" s="474">
        <f>IF(ISERROR(VLOOKUP(L359,Gegenstände!$B$2:$N$2026,13,FALSE)),0,VLOOKUP(L359,Gegenstände!$B$2:$N$2026,13,FALSE))</f>
        <v>180</v>
      </c>
      <c r="AA359" s="142">
        <f>IF(ISERROR(VLOOKUP(N359,Gegenstände!$B$2:$N$2026,13,FALSE)),0,VLOOKUP(N359,Gegenstände!$B$2:$N$2026,13,FALSE))</f>
        <v>80</v>
      </c>
      <c r="AB359" s="142">
        <f>IF(ISERROR(VLOOKUP(P359,Gegenstände!$B$2:$N$2026,13,FALSE)),0,VLOOKUP(P359,Gegenstände!$B$2:$N$2026,13,FALSE))</f>
        <v>200</v>
      </c>
      <c r="AC359" s="142">
        <f>IF(ISERROR(VLOOKUP(R359,Gegenstände!$B$2:$N$2026,13,FALSE)),0,VLOOKUP(R359,Gegenstände!$B$2:$N$2026,13,FALSE))</f>
        <v>0</v>
      </c>
      <c r="AD359" s="142"/>
      <c r="AE359" s="475">
        <f t="shared" si="137"/>
        <v>1800</v>
      </c>
      <c r="AF359" s="476">
        <f t="shared" si="138"/>
        <v>1840</v>
      </c>
      <c r="AG359" s="128">
        <f t="shared" si="118"/>
        <v>0.32142857142857145</v>
      </c>
      <c r="AH359" s="128">
        <f t="shared" si="119"/>
        <v>0.32857142857142857</v>
      </c>
      <c r="AI359" s="129">
        <f t="shared" si="120"/>
        <v>0.65</v>
      </c>
      <c r="AJ359" s="426">
        <f t="shared" si="139"/>
        <v>1960</v>
      </c>
      <c r="AK359" s="131">
        <f t="shared" si="127"/>
        <v>367.5</v>
      </c>
      <c r="AL359" s="477">
        <f>AK359/VLOOKUP(IF(I359&gt;0,I359,1),Preise!$A$3:$B$27,2,FALSE)</f>
        <v>122.49999999999999</v>
      </c>
    </row>
    <row r="360" spans="1:38" s="3" customFormat="1" outlineLevel="1" x14ac:dyDescent="0.2">
      <c r="A360" s="5">
        <v>1516</v>
      </c>
      <c r="B360" s="412">
        <v>1516</v>
      </c>
      <c r="C360" s="132" t="str">
        <f>VLOOKUP(B360,Gegenstände!$A452:$B1042,2,FALSE)</f>
        <v>Prunkschild</v>
      </c>
      <c r="D360" s="133">
        <f>VLOOKUP(B360,Gegenstände!$A452:$D1042,4,FALSE)</f>
        <v>15</v>
      </c>
      <c r="E360" s="468">
        <v>30</v>
      </c>
      <c r="F360" s="134">
        <v>320</v>
      </c>
      <c r="G360" s="54">
        <v>3</v>
      </c>
      <c r="H360" s="469">
        <v>62</v>
      </c>
      <c r="I360" s="6">
        <v>14</v>
      </c>
      <c r="J360" s="417"/>
      <c r="K360" s="469">
        <v>15</v>
      </c>
      <c r="L360" s="3" t="s">
        <v>115</v>
      </c>
      <c r="M360" s="85">
        <v>10</v>
      </c>
      <c r="N360" s="83" t="s">
        <v>176</v>
      </c>
      <c r="O360" s="85">
        <v>10</v>
      </c>
      <c r="P360" s="83" t="s">
        <v>200</v>
      </c>
      <c r="Q360" s="85"/>
      <c r="R360" s="83"/>
      <c r="S360" s="170"/>
      <c r="T360" s="170"/>
      <c r="U360" s="471">
        <f>VLOOKUP(D360,Preise!$A$3:$C$27,3)</f>
        <v>7.0757057644889763</v>
      </c>
      <c r="V360" s="523">
        <f t="shared" si="134"/>
        <v>8490.8469173867707</v>
      </c>
      <c r="W360" s="131"/>
      <c r="X360" s="472">
        <f t="shared" si="135"/>
        <v>8500</v>
      </c>
      <c r="Y360" s="473">
        <f t="shared" si="136"/>
        <v>8500</v>
      </c>
      <c r="Z360" s="474">
        <f>IF(ISERROR(VLOOKUP(L360,Gegenstände!$B$2:$N$2026,13,FALSE)),0,VLOOKUP(L360,Gegenstände!$B$2:$N$2026,13,FALSE))</f>
        <v>180</v>
      </c>
      <c r="AA360" s="142">
        <f>IF(ISERROR(VLOOKUP(N360,Gegenstände!$B$2:$N$2026,13,FALSE)),0,VLOOKUP(N360,Gegenstände!$B$2:$N$2026,13,FALSE))</f>
        <v>80</v>
      </c>
      <c r="AB360" s="142">
        <f>IF(ISERROR(VLOOKUP(P360,Gegenstände!$B$2:$N$2026,13,FALSE)),0,VLOOKUP(P360,Gegenstände!$B$2:$N$2026,13,FALSE))</f>
        <v>200</v>
      </c>
      <c r="AC360" s="142">
        <f>IF(ISERROR(VLOOKUP(R360,Gegenstände!$B$2:$N$2026,13,FALSE)),0,VLOOKUP(R360,Gegenstände!$B$2:$N$2026,13,FALSE))</f>
        <v>0</v>
      </c>
      <c r="AD360" s="142"/>
      <c r="AE360" s="475">
        <f t="shared" si="137"/>
        <v>2700</v>
      </c>
      <c r="AF360" s="476">
        <f t="shared" si="138"/>
        <v>2800</v>
      </c>
      <c r="AG360" s="128">
        <f t="shared" ref="AG360:AG408" si="140">AE360/Y360</f>
        <v>0.31764705882352939</v>
      </c>
      <c r="AH360" s="128">
        <f t="shared" ref="AH360:AH408" si="141">AF360/Y360</f>
        <v>0.32941176470588235</v>
      </c>
      <c r="AI360" s="129">
        <f t="shared" ref="AI360:AI408" si="142">(AE360+AF360)/Y360</f>
        <v>0.6470588235294118</v>
      </c>
      <c r="AJ360" s="426">
        <f t="shared" si="139"/>
        <v>3000</v>
      </c>
      <c r="AK360" s="131">
        <f t="shared" si="127"/>
        <v>562.5</v>
      </c>
      <c r="AL360" s="477">
        <f>AK360/VLOOKUP(IF(I360&gt;0,I360,1),Preise!$A$3:$B$27,2,FALSE)</f>
        <v>156.24999999999997</v>
      </c>
    </row>
    <row r="361" spans="1:38" s="3" customFormat="1" outlineLevel="1" x14ac:dyDescent="0.2">
      <c r="A361" s="5">
        <v>1517</v>
      </c>
      <c r="B361" s="412">
        <v>1517</v>
      </c>
      <c r="C361" s="132" t="str">
        <f>VLOOKUP(B361,Gegenstände!$A453:$B1043,2,FALSE)</f>
        <v>Wappenschild</v>
      </c>
      <c r="D361" s="133">
        <f>VLOOKUP(B361,Gegenstände!$A453:$D1043,4,FALSE)</f>
        <v>17</v>
      </c>
      <c r="E361" s="468">
        <v>30</v>
      </c>
      <c r="F361" s="134">
        <v>320</v>
      </c>
      <c r="G361" s="54">
        <v>4</v>
      </c>
      <c r="H361" s="469">
        <v>62</v>
      </c>
      <c r="I361" s="6">
        <v>16</v>
      </c>
      <c r="J361" s="417"/>
      <c r="K361" s="469">
        <v>14</v>
      </c>
      <c r="L361" s="3" t="s">
        <v>116</v>
      </c>
      <c r="M361" s="85">
        <v>5</v>
      </c>
      <c r="N361" s="83" t="s">
        <v>176</v>
      </c>
      <c r="O361" s="85">
        <v>4</v>
      </c>
      <c r="P361" s="83" t="s">
        <v>200</v>
      </c>
      <c r="Q361" s="85">
        <v>5</v>
      </c>
      <c r="R361" s="83" t="s">
        <v>201</v>
      </c>
      <c r="S361" s="170"/>
      <c r="T361" s="170"/>
      <c r="U361" s="471">
        <f>VLOOKUP(D361,Preise!$A$3:$C$27,3)</f>
        <v>9.3576208735366695</v>
      </c>
      <c r="V361" s="523">
        <f t="shared" si="134"/>
        <v>11229.145048244003</v>
      </c>
      <c r="W361" s="131"/>
      <c r="X361" s="472">
        <f t="shared" si="135"/>
        <v>11200</v>
      </c>
      <c r="Y361" s="473">
        <f t="shared" si="136"/>
        <v>11200</v>
      </c>
      <c r="Z361" s="474">
        <f>IF(ISERROR(VLOOKUP(L361,Gegenstände!$B$2:$N$2026,13,FALSE)),0,VLOOKUP(L361,Gegenstände!$B$2:$N$2026,13,FALSE))</f>
        <v>270</v>
      </c>
      <c r="AA361" s="142">
        <f>IF(ISERROR(VLOOKUP(N361,Gegenstände!$B$2:$N$2026,13,FALSE)),0,VLOOKUP(N361,Gegenstände!$B$2:$N$2026,13,FALSE))</f>
        <v>80</v>
      </c>
      <c r="AB361" s="142">
        <f>IF(ISERROR(VLOOKUP(P361,Gegenstände!$B$2:$N$2026,13,FALSE)),0,VLOOKUP(P361,Gegenstände!$B$2:$N$2026,13,FALSE))</f>
        <v>200</v>
      </c>
      <c r="AC361" s="142">
        <f>IF(ISERROR(VLOOKUP(R361,Gegenstände!$B$2:$N$2026,13,FALSE)),0,VLOOKUP(R361,Gegenstände!$B$2:$N$2026,13,FALSE))</f>
        <v>500</v>
      </c>
      <c r="AD361" s="142"/>
      <c r="AE361" s="475">
        <f t="shared" si="137"/>
        <v>3780</v>
      </c>
      <c r="AF361" s="476">
        <f t="shared" si="138"/>
        <v>3700</v>
      </c>
      <c r="AG361" s="128">
        <f t="shared" si="140"/>
        <v>0.33750000000000002</v>
      </c>
      <c r="AH361" s="128">
        <f t="shared" si="141"/>
        <v>0.33035714285714285</v>
      </c>
      <c r="AI361" s="129">
        <f t="shared" si="142"/>
        <v>0.66785714285714282</v>
      </c>
      <c r="AJ361" s="426">
        <f t="shared" si="139"/>
        <v>3720</v>
      </c>
      <c r="AK361" s="131">
        <f t="shared" si="127"/>
        <v>697.5</v>
      </c>
      <c r="AL361" s="477">
        <f>AK361/VLOOKUP(IF(I361&gt;0,I361,1),Preise!$A$3:$B$27,2,FALSE)</f>
        <v>174.37499999999997</v>
      </c>
    </row>
    <row r="362" spans="1:38" s="3" customFormat="1" outlineLevel="1" x14ac:dyDescent="0.2">
      <c r="A362" s="5">
        <v>1518</v>
      </c>
      <c r="B362" s="412">
        <v>1518</v>
      </c>
      <c r="C362" s="132" t="str">
        <f>VLOOKUP(B362,Gegenstände!$A454:$B1044,2,FALSE)</f>
        <v>Turmschild</v>
      </c>
      <c r="D362" s="133">
        <f>VLOOKUP(B362,Gegenstände!$A454:$D1044,4,FALSE)</f>
        <v>20</v>
      </c>
      <c r="E362" s="468">
        <v>30</v>
      </c>
      <c r="F362" s="134">
        <v>320</v>
      </c>
      <c r="G362" s="54">
        <v>4</v>
      </c>
      <c r="H362" s="469">
        <v>62</v>
      </c>
      <c r="I362" s="6">
        <v>19</v>
      </c>
      <c r="J362" s="417"/>
      <c r="K362" s="469">
        <v>21</v>
      </c>
      <c r="L362" s="3" t="s">
        <v>116</v>
      </c>
      <c r="M362" s="85">
        <v>6</v>
      </c>
      <c r="N362" s="83" t="s">
        <v>176</v>
      </c>
      <c r="O362" s="85">
        <v>6</v>
      </c>
      <c r="P362" s="83" t="s">
        <v>200</v>
      </c>
      <c r="Q362" s="85">
        <v>8</v>
      </c>
      <c r="R362" s="83" t="s">
        <v>201</v>
      </c>
      <c r="S362" s="170"/>
      <c r="T362" s="170"/>
      <c r="U362" s="471">
        <f>VLOOKUP(D362,Preise!$A$3:$C$27,3)</f>
        <v>14.231771646040078</v>
      </c>
      <c r="V362" s="523">
        <f t="shared" si="134"/>
        <v>17078.125975248095</v>
      </c>
      <c r="W362" s="131"/>
      <c r="X362" s="472">
        <f t="shared" si="135"/>
        <v>17100</v>
      </c>
      <c r="Y362" s="473">
        <f t="shared" si="136"/>
        <v>17100</v>
      </c>
      <c r="Z362" s="474">
        <f>IF(ISERROR(VLOOKUP(L362,Gegenstände!$B$2:$N$2026,13,FALSE)),0,VLOOKUP(L362,Gegenstände!$B$2:$N$2026,13,FALSE))</f>
        <v>270</v>
      </c>
      <c r="AA362" s="142">
        <f>IF(ISERROR(VLOOKUP(N362,Gegenstände!$B$2:$N$2026,13,FALSE)),0,VLOOKUP(N362,Gegenstände!$B$2:$N$2026,13,FALSE))</f>
        <v>80</v>
      </c>
      <c r="AB362" s="142">
        <f>IF(ISERROR(VLOOKUP(P362,Gegenstände!$B$2:$N$2026,13,FALSE)),0,VLOOKUP(P362,Gegenstände!$B$2:$N$2026,13,FALSE))</f>
        <v>200</v>
      </c>
      <c r="AC362" s="142">
        <f>IF(ISERROR(VLOOKUP(R362,Gegenstände!$B$2:$N$2026,13,FALSE)),0,VLOOKUP(R362,Gegenstände!$B$2:$N$2026,13,FALSE))</f>
        <v>500</v>
      </c>
      <c r="AD362" s="142"/>
      <c r="AE362" s="475">
        <f t="shared" si="137"/>
        <v>5670</v>
      </c>
      <c r="AF362" s="476">
        <f t="shared" si="138"/>
        <v>5680</v>
      </c>
      <c r="AG362" s="128">
        <f t="shared" si="140"/>
        <v>0.33157894736842103</v>
      </c>
      <c r="AH362" s="128">
        <f t="shared" si="141"/>
        <v>0.33216374269005849</v>
      </c>
      <c r="AI362" s="129">
        <f t="shared" si="142"/>
        <v>0.66374269005847952</v>
      </c>
      <c r="AJ362" s="426">
        <f t="shared" si="139"/>
        <v>5750</v>
      </c>
      <c r="AK362" s="131">
        <f t="shared" si="127"/>
        <v>1078.125</v>
      </c>
      <c r="AL362" s="477">
        <f>AK362/VLOOKUP(IF(I362&gt;0,I362,1),Preise!$A$3:$B$27,2,FALSE)</f>
        <v>234.37499999999991</v>
      </c>
    </row>
    <row r="363" spans="1:38" s="3" customFormat="1" outlineLevel="1" x14ac:dyDescent="0.2">
      <c r="A363" s="5">
        <v>1519</v>
      </c>
      <c r="B363" s="412">
        <v>1519</v>
      </c>
      <c r="C363" s="132" t="str">
        <f>VLOOKUP(B363,Gegenstände!$A455:$B1045,2,FALSE)</f>
        <v>Wall</v>
      </c>
      <c r="D363" s="133">
        <f>VLOOKUP(B363,Gegenstände!$A455:$D1045,4,FALSE)</f>
        <v>22</v>
      </c>
      <c r="E363" s="468">
        <v>30</v>
      </c>
      <c r="F363" s="134">
        <v>320</v>
      </c>
      <c r="G363" s="54">
        <v>5</v>
      </c>
      <c r="H363" s="469">
        <v>62</v>
      </c>
      <c r="I363" s="6">
        <v>21</v>
      </c>
      <c r="J363" s="417"/>
      <c r="K363" s="469">
        <v>21</v>
      </c>
      <c r="L363" s="3" t="s">
        <v>117</v>
      </c>
      <c r="M363" s="85">
        <v>10</v>
      </c>
      <c r="N363" s="83" t="s">
        <v>176</v>
      </c>
      <c r="O363" s="85">
        <v>8</v>
      </c>
      <c r="P363" s="83" t="s">
        <v>200</v>
      </c>
      <c r="Q363" s="85">
        <v>10</v>
      </c>
      <c r="R363" s="83" t="s">
        <v>201</v>
      </c>
      <c r="S363" s="170"/>
      <c r="T363" s="170"/>
      <c r="U363" s="471">
        <f>VLOOKUP(D363,Preise!$A$3:$C$27,3)</f>
        <v>18.821518001888002</v>
      </c>
      <c r="V363" s="523">
        <f t="shared" si="134"/>
        <v>22585.821602265602</v>
      </c>
      <c r="W363" s="131"/>
      <c r="X363" s="472">
        <f t="shared" si="135"/>
        <v>22600</v>
      </c>
      <c r="Y363" s="473">
        <f t="shared" si="136"/>
        <v>22600</v>
      </c>
      <c r="Z363" s="474">
        <f>IF(ISERROR(VLOOKUP(L363,Gegenstände!$B$2:$N$2026,13,FALSE)),0,VLOOKUP(L363,Gegenstände!$B$2:$N$2026,13,FALSE))</f>
        <v>360</v>
      </c>
      <c r="AA363" s="142">
        <f>IF(ISERROR(VLOOKUP(N363,Gegenstände!$B$2:$N$2026,13,FALSE)),0,VLOOKUP(N363,Gegenstände!$B$2:$N$2026,13,FALSE))</f>
        <v>80</v>
      </c>
      <c r="AB363" s="142">
        <f>IF(ISERROR(VLOOKUP(P363,Gegenstände!$B$2:$N$2026,13,FALSE)),0,VLOOKUP(P363,Gegenstände!$B$2:$N$2026,13,FALSE))</f>
        <v>200</v>
      </c>
      <c r="AC363" s="142">
        <f>IF(ISERROR(VLOOKUP(R363,Gegenstände!$B$2:$N$2026,13,FALSE)),0,VLOOKUP(R363,Gegenstände!$B$2:$N$2026,13,FALSE))</f>
        <v>500</v>
      </c>
      <c r="AD363" s="142"/>
      <c r="AE363" s="475">
        <f t="shared" si="137"/>
        <v>7560</v>
      </c>
      <c r="AF363" s="476">
        <f t="shared" si="138"/>
        <v>7400</v>
      </c>
      <c r="AG363" s="128">
        <f t="shared" si="140"/>
        <v>0.3345132743362832</v>
      </c>
      <c r="AH363" s="128">
        <f t="shared" si="141"/>
        <v>0.32743362831858408</v>
      </c>
      <c r="AI363" s="129">
        <f t="shared" si="142"/>
        <v>0.66194690265486722</v>
      </c>
      <c r="AJ363" s="426">
        <f t="shared" si="139"/>
        <v>7640</v>
      </c>
      <c r="AK363" s="131">
        <f t="shared" si="127"/>
        <v>1432.5</v>
      </c>
      <c r="AL363" s="477">
        <f>AK363/VLOOKUP(IF(I363&gt;0,I363,1),Preise!$A$3:$B$27,2,FALSE)</f>
        <v>286.49999999999989</v>
      </c>
    </row>
    <row r="364" spans="1:38" s="3" customFormat="1" outlineLevel="1" x14ac:dyDescent="0.2">
      <c r="A364" s="5">
        <v>1520</v>
      </c>
      <c r="B364" s="412">
        <v>1520</v>
      </c>
      <c r="C364" s="132" t="str">
        <f>VLOOKUP(B364,Gegenstände!$A456:$B1046,2,FALSE)</f>
        <v>Monarchenschild</v>
      </c>
      <c r="D364" s="133">
        <f>VLOOKUP(B364,Gegenstände!$A456:$D1046,4,FALSE)</f>
        <v>25</v>
      </c>
      <c r="E364" s="563">
        <v>30</v>
      </c>
      <c r="F364" s="134">
        <v>320</v>
      </c>
      <c r="G364" s="54">
        <v>5</v>
      </c>
      <c r="H364" s="469">
        <v>62</v>
      </c>
      <c r="I364" s="6">
        <v>24</v>
      </c>
      <c r="J364" s="417"/>
      <c r="K364" s="469">
        <v>32</v>
      </c>
      <c r="L364" s="3" t="s">
        <v>117</v>
      </c>
      <c r="M364" s="85">
        <v>15</v>
      </c>
      <c r="N364" s="83" t="s">
        <v>176</v>
      </c>
      <c r="O364" s="85">
        <v>10</v>
      </c>
      <c r="P364" s="83" t="s">
        <v>200</v>
      </c>
      <c r="Q364" s="85">
        <v>16</v>
      </c>
      <c r="R364" s="83" t="s">
        <v>201</v>
      </c>
      <c r="S364" s="170"/>
      <c r="T364" s="170"/>
      <c r="U364" s="471">
        <f>VLOOKUP(D364,Preise!$A$3:$C$27,3)</f>
        <v>28.625176191121408</v>
      </c>
      <c r="V364" s="523">
        <f t="shared" si="134"/>
        <v>34350.211429345691</v>
      </c>
      <c r="W364" s="131"/>
      <c r="X364" s="472">
        <f t="shared" si="135"/>
        <v>34400</v>
      </c>
      <c r="Y364" s="473">
        <f t="shared" si="136"/>
        <v>34400</v>
      </c>
      <c r="Z364" s="474">
        <f>IF(ISERROR(VLOOKUP(L364,Gegenstände!$B$2:$N$2026,13,FALSE)),0,VLOOKUP(L364,Gegenstände!$B$2:$N$2026,13,FALSE))</f>
        <v>360</v>
      </c>
      <c r="AA364" s="142">
        <f>IF(ISERROR(VLOOKUP(N364,Gegenstände!$B$2:$N$2026,13,FALSE)),0,VLOOKUP(N364,Gegenstände!$B$2:$N$2026,13,FALSE))</f>
        <v>80</v>
      </c>
      <c r="AB364" s="142">
        <f>IF(ISERROR(VLOOKUP(P364,Gegenstände!$B$2:$N$2026,13,FALSE)),0,VLOOKUP(P364,Gegenstände!$B$2:$N$2026,13,FALSE))</f>
        <v>200</v>
      </c>
      <c r="AC364" s="142">
        <f>IF(ISERROR(VLOOKUP(R364,Gegenstände!$B$2:$N$2026,13,FALSE)),0,VLOOKUP(R364,Gegenstände!$B$2:$N$2026,13,FALSE))</f>
        <v>500</v>
      </c>
      <c r="AD364" s="142"/>
      <c r="AE364" s="475">
        <f t="shared" si="137"/>
        <v>11520</v>
      </c>
      <c r="AF364" s="476">
        <f t="shared" si="138"/>
        <v>11200</v>
      </c>
      <c r="AG364" s="128">
        <f t="shared" si="140"/>
        <v>0.33488372093023255</v>
      </c>
      <c r="AH364" s="128">
        <f t="shared" si="141"/>
        <v>0.32558139534883723</v>
      </c>
      <c r="AI364" s="129">
        <f t="shared" si="142"/>
        <v>0.66046511627906979</v>
      </c>
      <c r="AJ364" s="426">
        <f t="shared" si="139"/>
        <v>11680</v>
      </c>
      <c r="AK364" s="131">
        <f t="shared" si="127"/>
        <v>2190</v>
      </c>
      <c r="AL364" s="477">
        <f>AK364/VLOOKUP(IF(I364&gt;0,I364,1),Preise!$A$3:$B$27,2,FALSE)</f>
        <v>391.07142857142838</v>
      </c>
    </row>
    <row r="365" spans="1:38" s="3" customFormat="1" x14ac:dyDescent="0.2">
      <c r="A365" s="525"/>
      <c r="B365" s="526"/>
      <c r="C365" s="286"/>
      <c r="D365" s="396"/>
      <c r="E365" s="527"/>
      <c r="F365" s="528"/>
      <c r="G365" s="322"/>
      <c r="H365" s="529"/>
      <c r="I365" s="322"/>
      <c r="J365" s="552"/>
      <c r="K365" s="529"/>
      <c r="L365" s="321"/>
      <c r="M365" s="553"/>
      <c r="N365" s="321"/>
      <c r="O365" s="322"/>
      <c r="P365" s="321"/>
      <c r="Q365" s="322"/>
      <c r="R365" s="321"/>
      <c r="S365" s="554"/>
      <c r="T365" s="554"/>
      <c r="U365" s="536"/>
      <c r="V365" s="551">
        <v>2000</v>
      </c>
      <c r="W365" s="579"/>
      <c r="X365" s="580"/>
      <c r="Y365" s="540"/>
      <c r="Z365" s="541"/>
      <c r="AA365" s="542"/>
      <c r="AB365" s="542"/>
      <c r="AC365" s="542"/>
      <c r="AD365" s="542"/>
      <c r="AE365" s="543"/>
      <c r="AF365" s="544"/>
      <c r="AG365" s="545"/>
      <c r="AH365" s="545"/>
      <c r="AI365" s="546"/>
      <c r="AJ365" s="547"/>
      <c r="AK365" s="548"/>
      <c r="AL365" s="549"/>
    </row>
    <row r="366" spans="1:38" s="3" customFormat="1" outlineLevel="1" x14ac:dyDescent="0.2">
      <c r="A366" s="5">
        <v>1601</v>
      </c>
      <c r="B366" s="412">
        <v>1601</v>
      </c>
      <c r="C366" s="132" t="str">
        <f>VLOOKUP(B366,Gegenstände!$A458:$B1048,2,FALSE)</f>
        <v>Feuer-Stecken</v>
      </c>
      <c r="D366" s="133">
        <f>VLOOKUP(B366,Gegenstände!$A458:$D1048,4,FALSE)</f>
        <v>1</v>
      </c>
      <c r="E366" s="468">
        <v>32</v>
      </c>
      <c r="F366" s="134">
        <v>480</v>
      </c>
      <c r="G366" s="54">
        <v>1</v>
      </c>
      <c r="H366" s="469">
        <v>63</v>
      </c>
      <c r="I366" s="6">
        <v>0</v>
      </c>
      <c r="J366" s="417"/>
      <c r="K366" s="6">
        <v>11</v>
      </c>
      <c r="L366" s="1" t="s">
        <v>139</v>
      </c>
      <c r="M366" s="87">
        <v>11</v>
      </c>
      <c r="N366" s="83" t="s">
        <v>202</v>
      </c>
      <c r="O366" s="85"/>
      <c r="P366" s="1"/>
      <c r="Q366" s="6"/>
      <c r="R366" s="1"/>
      <c r="S366" s="418"/>
      <c r="T366" s="418"/>
      <c r="U366" s="471">
        <f>VLOOKUP(D366,Preise!$A$3:$C$27,3)</f>
        <v>1</v>
      </c>
      <c r="V366" s="523">
        <f t="shared" ref="V366:V375" si="143">U366*$V$365</f>
        <v>2000</v>
      </c>
      <c r="W366" s="131"/>
      <c r="X366" s="472">
        <f t="shared" ref="X366:X375" si="144">ROUND((V366/100),0)*100</f>
        <v>2000</v>
      </c>
      <c r="Y366" s="473">
        <f t="shared" ref="Y366:Y375" si="145">X366*IF(J366&gt;0,J366,1)</f>
        <v>2000</v>
      </c>
      <c r="Z366" s="474">
        <f>IF(ISERROR(VLOOKUP(L366,Gegenstände!$B$2:$N$2026,13,FALSE)),0,VLOOKUP(L366,Gegenstände!$B$2:$N$2026,13,FALSE))</f>
        <v>60</v>
      </c>
      <c r="AA366" s="142">
        <f>IF(ISERROR(VLOOKUP(N366,Gegenstände!$B$2:$N$2026,13,FALSE)),0,VLOOKUP(N366,Gegenstände!$B$2:$N$2026,13,FALSE))</f>
        <v>60</v>
      </c>
      <c r="AB366" s="142">
        <f>IF(ISERROR(VLOOKUP(P366,Gegenstände!$B$2:$N$2026,13,FALSE)),0,VLOOKUP(P366,Gegenstände!$B$2:$N$2026,13,FALSE))</f>
        <v>0</v>
      </c>
      <c r="AC366" s="142">
        <f>IF(ISERROR(VLOOKUP(R366,Gegenstände!$B$2:$N$2026,13,FALSE)),0,VLOOKUP(R366,Gegenstände!$B$2:$N$2026,13,FALSE))</f>
        <v>0</v>
      </c>
      <c r="AD366" s="142"/>
      <c r="AE366" s="475">
        <f t="shared" ref="AE366:AE375" si="146">IF(ISERROR(K366*Z366),"",K366*Z366)</f>
        <v>660</v>
      </c>
      <c r="AF366" s="476">
        <f t="shared" ref="AF366:AF375" si="147">IF(ISERROR(M366*AA366+O366*AB366+Q366*AC366),"",M366*AA366+O366*AB366+Q366*AC366)</f>
        <v>660</v>
      </c>
      <c r="AG366" s="128">
        <f t="shared" si="140"/>
        <v>0.33</v>
      </c>
      <c r="AH366" s="128">
        <f t="shared" si="141"/>
        <v>0.33</v>
      </c>
      <c r="AI366" s="129">
        <f t="shared" si="142"/>
        <v>0.66</v>
      </c>
      <c r="AJ366" s="426">
        <f t="shared" ref="AJ366:AJ375" si="148">Y366-(AE366+AF366)</f>
        <v>680</v>
      </c>
      <c r="AK366" s="131">
        <f t="shared" si="127"/>
        <v>85</v>
      </c>
      <c r="AL366" s="477">
        <f>AK366/VLOOKUP(IF(I366&gt;0,I366,1),Preise!$A$3:$B$27,2,FALSE)</f>
        <v>85</v>
      </c>
    </row>
    <row r="367" spans="1:38" s="3" customFormat="1" outlineLevel="1" x14ac:dyDescent="0.2">
      <c r="A367" s="5">
        <v>1602</v>
      </c>
      <c r="B367" s="412">
        <v>1602</v>
      </c>
      <c r="C367" s="132" t="str">
        <f>VLOOKUP(B367,Gegenstände!$A459:$B1049,2,FALSE)</f>
        <v>Feuer-Krummstab</v>
      </c>
      <c r="D367" s="133">
        <f>VLOOKUP(B367,Gegenstände!$A459:$D1049,4,FALSE)</f>
        <v>4</v>
      </c>
      <c r="E367" s="468">
        <v>32</v>
      </c>
      <c r="F367" s="134">
        <v>480</v>
      </c>
      <c r="G367" s="54">
        <v>1</v>
      </c>
      <c r="H367" s="469">
        <v>63</v>
      </c>
      <c r="I367" s="6">
        <v>3</v>
      </c>
      <c r="J367" s="417"/>
      <c r="K367" s="6">
        <v>16</v>
      </c>
      <c r="L367" s="1" t="s">
        <v>139</v>
      </c>
      <c r="M367" s="87">
        <v>16</v>
      </c>
      <c r="N367" s="83" t="s">
        <v>202</v>
      </c>
      <c r="O367" s="85"/>
      <c r="P367" s="1"/>
      <c r="Q367" s="6"/>
      <c r="R367" s="1"/>
      <c r="S367" s="418"/>
      <c r="T367" s="418"/>
      <c r="U367" s="471">
        <f>VLOOKUP(D367,Preise!$A$3:$C$27,3)</f>
        <v>1.5208749999999995</v>
      </c>
      <c r="V367" s="523">
        <f t="shared" si="143"/>
        <v>3041.7499999999991</v>
      </c>
      <c r="W367" s="131"/>
      <c r="X367" s="472">
        <f t="shared" si="144"/>
        <v>3000</v>
      </c>
      <c r="Y367" s="473">
        <f t="shared" si="145"/>
        <v>3000</v>
      </c>
      <c r="Z367" s="474">
        <f>IF(ISERROR(VLOOKUP(L367,Gegenstände!$B$2:$N$2026,13,FALSE)),0,VLOOKUP(L367,Gegenstände!$B$2:$N$2026,13,FALSE))</f>
        <v>60</v>
      </c>
      <c r="AA367" s="142">
        <f>IF(ISERROR(VLOOKUP(N367,Gegenstände!$B$2:$N$2026,13,FALSE)),0,VLOOKUP(N367,Gegenstände!$B$2:$N$2026,13,FALSE))</f>
        <v>60</v>
      </c>
      <c r="AB367" s="142">
        <f>IF(ISERROR(VLOOKUP(P367,Gegenstände!$B$2:$N$2026,13,FALSE)),0,VLOOKUP(P367,Gegenstände!$B$2:$N$2026,13,FALSE))</f>
        <v>0</v>
      </c>
      <c r="AC367" s="142">
        <f>IF(ISERROR(VLOOKUP(R367,Gegenstände!$B$2:$N$2026,13,FALSE)),0,VLOOKUP(R367,Gegenstände!$B$2:$N$2026,13,FALSE))</f>
        <v>0</v>
      </c>
      <c r="AD367" s="142"/>
      <c r="AE367" s="475">
        <f t="shared" si="146"/>
        <v>960</v>
      </c>
      <c r="AF367" s="476">
        <f t="shared" si="147"/>
        <v>960</v>
      </c>
      <c r="AG367" s="128">
        <f t="shared" si="140"/>
        <v>0.32</v>
      </c>
      <c r="AH367" s="128">
        <f t="shared" si="141"/>
        <v>0.32</v>
      </c>
      <c r="AI367" s="129">
        <f t="shared" si="142"/>
        <v>0.64</v>
      </c>
      <c r="AJ367" s="426">
        <f t="shared" si="148"/>
        <v>1080</v>
      </c>
      <c r="AK367" s="131">
        <f t="shared" si="127"/>
        <v>135</v>
      </c>
      <c r="AL367" s="477">
        <f>AK367/VLOOKUP(IF(I367&gt;0,I367,1),Preise!$A$3:$B$27,2,FALSE)</f>
        <v>96.428571428571431</v>
      </c>
    </row>
    <row r="368" spans="1:38" s="3" customFormat="1" outlineLevel="1" x14ac:dyDescent="0.2">
      <c r="A368" s="5">
        <v>1603</v>
      </c>
      <c r="B368" s="412">
        <v>1603</v>
      </c>
      <c r="C368" s="132" t="str">
        <f>VLOOKUP(B368,Gegenstände!$A460:$B1050,2,FALSE)</f>
        <v>Feuer-Langholz</v>
      </c>
      <c r="D368" s="133">
        <f>VLOOKUP(B368,Gegenstände!$A460:$D1050,4,FALSE)</f>
        <v>6</v>
      </c>
      <c r="E368" s="468">
        <v>32</v>
      </c>
      <c r="F368" s="134">
        <v>480</v>
      </c>
      <c r="G368" s="54">
        <v>2</v>
      </c>
      <c r="H368" s="469">
        <v>63</v>
      </c>
      <c r="I368" s="6">
        <v>5</v>
      </c>
      <c r="J368" s="417"/>
      <c r="K368" s="6">
        <v>11</v>
      </c>
      <c r="L368" s="1" t="s">
        <v>140</v>
      </c>
      <c r="M368" s="87">
        <v>22</v>
      </c>
      <c r="N368" s="83" t="s">
        <v>202</v>
      </c>
      <c r="O368" s="85"/>
      <c r="P368" s="1"/>
      <c r="Q368" s="6"/>
      <c r="R368" s="1"/>
      <c r="S368" s="418"/>
      <c r="T368" s="418"/>
      <c r="U368" s="471">
        <f>VLOOKUP(D368,Preise!$A$3:$C$27,3)</f>
        <v>2.0113571874999994</v>
      </c>
      <c r="V368" s="523">
        <f t="shared" si="143"/>
        <v>4022.7143749999987</v>
      </c>
      <c r="W368" s="131"/>
      <c r="X368" s="472">
        <f t="shared" si="144"/>
        <v>4000</v>
      </c>
      <c r="Y368" s="473">
        <f t="shared" si="145"/>
        <v>4000</v>
      </c>
      <c r="Z368" s="474">
        <f>IF(ISERROR(VLOOKUP(L368,Gegenstände!$B$2:$N$2026,13,FALSE)),0,VLOOKUP(L368,Gegenstände!$B$2:$N$2026,13,FALSE))</f>
        <v>120</v>
      </c>
      <c r="AA368" s="142">
        <f>IF(ISERROR(VLOOKUP(N368,Gegenstände!$B$2:$N$2026,13,FALSE)),0,VLOOKUP(N368,Gegenstände!$B$2:$N$2026,13,FALSE))</f>
        <v>60</v>
      </c>
      <c r="AB368" s="142">
        <f>IF(ISERROR(VLOOKUP(P368,Gegenstände!$B$2:$N$2026,13,FALSE)),0,VLOOKUP(P368,Gegenstände!$B$2:$N$2026,13,FALSE))</f>
        <v>0</v>
      </c>
      <c r="AC368" s="142">
        <f>IF(ISERROR(VLOOKUP(R368,Gegenstände!$B$2:$N$2026,13,FALSE)),0,VLOOKUP(R368,Gegenstände!$B$2:$N$2026,13,FALSE))</f>
        <v>0</v>
      </c>
      <c r="AD368" s="142"/>
      <c r="AE368" s="475">
        <f t="shared" si="146"/>
        <v>1320</v>
      </c>
      <c r="AF368" s="476">
        <f t="shared" si="147"/>
        <v>1320</v>
      </c>
      <c r="AG368" s="128">
        <f t="shared" si="140"/>
        <v>0.33</v>
      </c>
      <c r="AH368" s="128">
        <f t="shared" si="141"/>
        <v>0.33</v>
      </c>
      <c r="AI368" s="129">
        <f t="shared" si="142"/>
        <v>0.66</v>
      </c>
      <c r="AJ368" s="426">
        <f t="shared" si="148"/>
        <v>1360</v>
      </c>
      <c r="AK368" s="131">
        <f t="shared" si="127"/>
        <v>170</v>
      </c>
      <c r="AL368" s="477">
        <f>AK368/VLOOKUP(IF(I368&gt;0,I368,1),Preise!$A$3:$B$27,2,FALSE)</f>
        <v>94.444444444444457</v>
      </c>
    </row>
    <row r="369" spans="1:38" s="3" customFormat="1" outlineLevel="1" x14ac:dyDescent="0.2">
      <c r="A369" s="5">
        <v>1604</v>
      </c>
      <c r="B369" s="412">
        <v>1604</v>
      </c>
      <c r="C369" s="132" t="str">
        <f>VLOOKUP(B369,Gegenstände!$A461:$B1051,2,FALSE)</f>
        <v>Feuer-Runenstab</v>
      </c>
      <c r="D369" s="133">
        <f>VLOOKUP(B369,Gegenstände!$A461:$D1051,4,FALSE)</f>
        <v>9</v>
      </c>
      <c r="E369" s="468">
        <v>32</v>
      </c>
      <c r="F369" s="134">
        <v>480</v>
      </c>
      <c r="G369" s="54">
        <v>2</v>
      </c>
      <c r="H369" s="469">
        <v>63</v>
      </c>
      <c r="I369" s="6">
        <v>8</v>
      </c>
      <c r="J369" s="417"/>
      <c r="K369" s="6">
        <v>17</v>
      </c>
      <c r="L369" s="1" t="s">
        <v>140</v>
      </c>
      <c r="M369" s="87">
        <v>34</v>
      </c>
      <c r="N369" s="83" t="s">
        <v>202</v>
      </c>
      <c r="O369" s="85"/>
      <c r="P369" s="1"/>
      <c r="Q369" s="6"/>
      <c r="R369" s="1"/>
      <c r="S369" s="418"/>
      <c r="T369" s="418"/>
      <c r="U369" s="471">
        <f>VLOOKUP(D369,Preise!$A$3:$C$27,3)</f>
        <v>3.0590228625390607</v>
      </c>
      <c r="V369" s="523">
        <f t="shared" si="143"/>
        <v>6118.0457250781219</v>
      </c>
      <c r="W369" s="131"/>
      <c r="X369" s="472">
        <f t="shared" si="144"/>
        <v>6100</v>
      </c>
      <c r="Y369" s="473">
        <f t="shared" si="145"/>
        <v>6100</v>
      </c>
      <c r="Z369" s="474">
        <f>IF(ISERROR(VLOOKUP(L369,Gegenstände!$B$2:$N$2026,13,FALSE)),0,VLOOKUP(L369,Gegenstände!$B$2:$N$2026,13,FALSE))</f>
        <v>120</v>
      </c>
      <c r="AA369" s="142">
        <f>IF(ISERROR(VLOOKUP(N369,Gegenstände!$B$2:$N$2026,13,FALSE)),0,VLOOKUP(N369,Gegenstände!$B$2:$N$2026,13,FALSE))</f>
        <v>60</v>
      </c>
      <c r="AB369" s="142">
        <f>IF(ISERROR(VLOOKUP(P369,Gegenstände!$B$2:$N$2026,13,FALSE)),0,VLOOKUP(P369,Gegenstände!$B$2:$N$2026,13,FALSE))</f>
        <v>0</v>
      </c>
      <c r="AC369" s="142">
        <f>IF(ISERROR(VLOOKUP(R369,Gegenstände!$B$2:$N$2026,13,FALSE)),0,VLOOKUP(R369,Gegenstände!$B$2:$N$2026,13,FALSE))</f>
        <v>0</v>
      </c>
      <c r="AD369" s="142"/>
      <c r="AE369" s="475">
        <f t="shared" si="146"/>
        <v>2040</v>
      </c>
      <c r="AF369" s="476">
        <f t="shared" si="147"/>
        <v>2040</v>
      </c>
      <c r="AG369" s="128">
        <f t="shared" si="140"/>
        <v>0.33442622950819673</v>
      </c>
      <c r="AH369" s="128">
        <f t="shared" si="141"/>
        <v>0.33442622950819673</v>
      </c>
      <c r="AI369" s="129">
        <f t="shared" si="142"/>
        <v>0.66885245901639345</v>
      </c>
      <c r="AJ369" s="426">
        <f t="shared" si="148"/>
        <v>2020</v>
      </c>
      <c r="AK369" s="131">
        <f t="shared" si="127"/>
        <v>252.5</v>
      </c>
      <c r="AL369" s="477">
        <f>AK369/VLOOKUP(IF(I369&gt;0,I369,1),Preise!$A$3:$B$27,2,FALSE)</f>
        <v>105.20833333333334</v>
      </c>
    </row>
    <row r="370" spans="1:38" s="3" customFormat="1" outlineLevel="1" x14ac:dyDescent="0.2">
      <c r="A370" s="5">
        <v>1605</v>
      </c>
      <c r="B370" s="412">
        <v>1605</v>
      </c>
      <c r="C370" s="132" t="str">
        <f>VLOOKUP(B370,Gegenstände!$A462:$B1052,2,FALSE)</f>
        <v>Feuer-Lichtstab</v>
      </c>
      <c r="D370" s="133">
        <f>VLOOKUP(B370,Gegenstände!$A462:$D1052,4,FALSE)</f>
        <v>11</v>
      </c>
      <c r="E370" s="468">
        <v>32</v>
      </c>
      <c r="F370" s="134">
        <v>480</v>
      </c>
      <c r="G370" s="54">
        <v>3</v>
      </c>
      <c r="H370" s="469">
        <v>63</v>
      </c>
      <c r="I370" s="6">
        <v>10</v>
      </c>
      <c r="J370" s="417"/>
      <c r="K370" s="6">
        <v>15</v>
      </c>
      <c r="L370" s="1" t="s">
        <v>141</v>
      </c>
      <c r="M370" s="87">
        <v>5</v>
      </c>
      <c r="N370" s="83" t="s">
        <v>202</v>
      </c>
      <c r="O370" s="85">
        <v>12</v>
      </c>
      <c r="P370" s="84" t="s">
        <v>204</v>
      </c>
      <c r="Q370" s="87"/>
      <c r="R370" s="84"/>
      <c r="S370" s="418"/>
      <c r="T370" s="418"/>
      <c r="U370" s="471">
        <f>VLOOKUP(D370,Preise!$A$3:$C$27,3)</f>
        <v>4.0455577357079076</v>
      </c>
      <c r="V370" s="523">
        <f t="shared" si="143"/>
        <v>8091.1154714158147</v>
      </c>
      <c r="W370" s="131"/>
      <c r="X370" s="472">
        <f t="shared" si="144"/>
        <v>8100</v>
      </c>
      <c r="Y370" s="473">
        <f t="shared" si="145"/>
        <v>8100</v>
      </c>
      <c r="Z370" s="474">
        <f>IF(ISERROR(VLOOKUP(L370,Gegenstände!$B$2:$N$2026,13,FALSE)),0,VLOOKUP(L370,Gegenstände!$B$2:$N$2026,13,FALSE))</f>
        <v>180</v>
      </c>
      <c r="AA370" s="142">
        <f>IF(ISERROR(VLOOKUP(N370,Gegenstände!$B$2:$N$2026,13,FALSE)),0,VLOOKUP(N370,Gegenstände!$B$2:$N$2026,13,FALSE))</f>
        <v>60</v>
      </c>
      <c r="AB370" s="142">
        <f>IF(ISERROR(VLOOKUP(P370,Gegenstände!$B$2:$N$2026,13,FALSE)),0,VLOOKUP(P370,Gegenstände!$B$2:$N$2026,13,FALSE))</f>
        <v>200</v>
      </c>
      <c r="AC370" s="142">
        <f>IF(ISERROR(VLOOKUP(R370,Gegenstände!$B$2:$N$2026,13,FALSE)),0,VLOOKUP(R370,Gegenstände!$B$2:$N$2026,13,FALSE))</f>
        <v>0</v>
      </c>
      <c r="AD370" s="142"/>
      <c r="AE370" s="475">
        <f t="shared" si="146"/>
        <v>2700</v>
      </c>
      <c r="AF370" s="476">
        <f t="shared" si="147"/>
        <v>2700</v>
      </c>
      <c r="AG370" s="128">
        <f t="shared" si="140"/>
        <v>0.33333333333333331</v>
      </c>
      <c r="AH370" s="128">
        <f t="shared" si="141"/>
        <v>0.33333333333333331</v>
      </c>
      <c r="AI370" s="129">
        <f t="shared" si="142"/>
        <v>0.66666666666666663</v>
      </c>
      <c r="AJ370" s="426">
        <f t="shared" si="148"/>
        <v>2700</v>
      </c>
      <c r="AK370" s="131">
        <f t="shared" si="127"/>
        <v>337.5</v>
      </c>
      <c r="AL370" s="477">
        <f>AK370/VLOOKUP(IF(I370&gt;0,I370,1),Preise!$A$3:$B$27,2,FALSE)</f>
        <v>120.53571428571428</v>
      </c>
    </row>
    <row r="371" spans="1:38" s="3" customFormat="1" outlineLevel="1" x14ac:dyDescent="0.2">
      <c r="A371" s="5">
        <v>1606</v>
      </c>
      <c r="B371" s="412">
        <v>1606</v>
      </c>
      <c r="C371" s="132" t="str">
        <f>VLOOKUP(B371,Gegenstände!$A463:$B1053,2,FALSE)</f>
        <v>Feuer-Rute</v>
      </c>
      <c r="D371" s="133">
        <f>VLOOKUP(B371,Gegenstände!$A463:$D1053,4,FALSE)</f>
        <v>14</v>
      </c>
      <c r="E371" s="468">
        <v>32</v>
      </c>
      <c r="F371" s="134">
        <v>480</v>
      </c>
      <c r="G371" s="54">
        <v>3</v>
      </c>
      <c r="H371" s="469">
        <v>63</v>
      </c>
      <c r="I371" s="6">
        <v>13</v>
      </c>
      <c r="J371" s="417"/>
      <c r="K371" s="6">
        <v>22</v>
      </c>
      <c r="L371" s="1" t="s">
        <v>141</v>
      </c>
      <c r="M371" s="87">
        <v>5</v>
      </c>
      <c r="N371" s="83" t="s">
        <v>202</v>
      </c>
      <c r="O371" s="85">
        <v>19</v>
      </c>
      <c r="P371" s="84" t="s">
        <v>204</v>
      </c>
      <c r="Q371" s="87"/>
      <c r="R371" s="84"/>
      <c r="S371" s="418"/>
      <c r="T371" s="418"/>
      <c r="U371" s="471">
        <f>VLOOKUP(D371,Preise!$A$3:$C$27,3)</f>
        <v>6.1527876212947623</v>
      </c>
      <c r="V371" s="523">
        <f t="shared" si="143"/>
        <v>12305.575242589524</v>
      </c>
      <c r="W371" s="131"/>
      <c r="X371" s="472">
        <f t="shared" si="144"/>
        <v>12300</v>
      </c>
      <c r="Y371" s="473">
        <f t="shared" si="145"/>
        <v>12300</v>
      </c>
      <c r="Z371" s="474">
        <f>IF(ISERROR(VLOOKUP(L371,Gegenstände!$B$2:$N$2026,13,FALSE)),0,VLOOKUP(L371,Gegenstände!$B$2:$N$2026,13,FALSE))</f>
        <v>180</v>
      </c>
      <c r="AA371" s="142">
        <f>IF(ISERROR(VLOOKUP(N371,Gegenstände!$B$2:$N$2026,13,FALSE)),0,VLOOKUP(N371,Gegenstände!$B$2:$N$2026,13,FALSE))</f>
        <v>60</v>
      </c>
      <c r="AB371" s="142">
        <f>IF(ISERROR(VLOOKUP(P371,Gegenstände!$B$2:$N$2026,13,FALSE)),0,VLOOKUP(P371,Gegenstände!$B$2:$N$2026,13,FALSE))</f>
        <v>200</v>
      </c>
      <c r="AC371" s="142">
        <f>IF(ISERROR(VLOOKUP(R371,Gegenstände!$B$2:$N$2026,13,FALSE)),0,VLOOKUP(R371,Gegenstände!$B$2:$N$2026,13,FALSE))</f>
        <v>0</v>
      </c>
      <c r="AD371" s="142"/>
      <c r="AE371" s="475">
        <f t="shared" si="146"/>
        <v>3960</v>
      </c>
      <c r="AF371" s="476">
        <f t="shared" si="147"/>
        <v>4100</v>
      </c>
      <c r="AG371" s="128">
        <f t="shared" si="140"/>
        <v>0.32195121951219513</v>
      </c>
      <c r="AH371" s="128">
        <f t="shared" si="141"/>
        <v>0.33333333333333331</v>
      </c>
      <c r="AI371" s="129">
        <f t="shared" si="142"/>
        <v>0.65528455284552845</v>
      </c>
      <c r="AJ371" s="426">
        <f t="shared" si="148"/>
        <v>4240</v>
      </c>
      <c r="AK371" s="131">
        <f t="shared" si="127"/>
        <v>530</v>
      </c>
      <c r="AL371" s="477">
        <f>AK371/VLOOKUP(IF(I371&gt;0,I371,1),Preise!$A$3:$B$27,2,FALSE)</f>
        <v>155.88235294117644</v>
      </c>
    </row>
    <row r="372" spans="1:38" s="3" customFormat="1" outlineLevel="1" x14ac:dyDescent="0.2">
      <c r="A372" s="5">
        <v>1607</v>
      </c>
      <c r="B372" s="412">
        <v>1607</v>
      </c>
      <c r="C372" s="132" t="str">
        <f>VLOOKUP(B372,Gegenstände!$A464:$B1054,2,FALSE)</f>
        <v>Feuer-Spiralstab</v>
      </c>
      <c r="D372" s="133">
        <f>VLOOKUP(B372,Gegenstände!$A464:$D1054,4,FALSE)</f>
        <v>16</v>
      </c>
      <c r="E372" s="468">
        <v>32</v>
      </c>
      <c r="F372" s="134">
        <v>480</v>
      </c>
      <c r="G372" s="54">
        <v>4</v>
      </c>
      <c r="H372" s="469">
        <v>63</v>
      </c>
      <c r="I372" s="6">
        <v>15</v>
      </c>
      <c r="J372" s="417"/>
      <c r="K372" s="6">
        <v>20</v>
      </c>
      <c r="L372" s="1" t="s">
        <v>142</v>
      </c>
      <c r="M372" s="87">
        <v>6</v>
      </c>
      <c r="N372" s="83" t="s">
        <v>202</v>
      </c>
      <c r="O372" s="85">
        <v>25</v>
      </c>
      <c r="P372" s="84" t="s">
        <v>204</v>
      </c>
      <c r="Q372" s="87"/>
      <c r="R372" s="1"/>
      <c r="S372" s="418"/>
      <c r="T372" s="418"/>
      <c r="U372" s="471">
        <f>VLOOKUP(D372,Preise!$A$3:$C$27,3)</f>
        <v>8.1370616291623215</v>
      </c>
      <c r="V372" s="523">
        <f t="shared" si="143"/>
        <v>16274.123258324644</v>
      </c>
      <c r="W372" s="131"/>
      <c r="X372" s="472">
        <f t="shared" si="144"/>
        <v>16300</v>
      </c>
      <c r="Y372" s="473">
        <f t="shared" si="145"/>
        <v>16300</v>
      </c>
      <c r="Z372" s="474">
        <f>IF(ISERROR(VLOOKUP(L372,Gegenstände!$B$2:$N$2026,13,FALSE)),0,VLOOKUP(L372,Gegenstände!$B$2:$N$2026,13,FALSE))</f>
        <v>270</v>
      </c>
      <c r="AA372" s="142">
        <f>IF(ISERROR(VLOOKUP(N372,Gegenstände!$B$2:$N$2026,13,FALSE)),0,VLOOKUP(N372,Gegenstände!$B$2:$N$2026,13,FALSE))</f>
        <v>60</v>
      </c>
      <c r="AB372" s="142">
        <f>IF(ISERROR(VLOOKUP(P372,Gegenstände!$B$2:$N$2026,13,FALSE)),0,VLOOKUP(P372,Gegenstände!$B$2:$N$2026,13,FALSE))</f>
        <v>200</v>
      </c>
      <c r="AC372" s="142">
        <f>IF(ISERROR(VLOOKUP(R372,Gegenstände!$B$2:$N$2026,13,FALSE)),0,VLOOKUP(R372,Gegenstände!$B$2:$N$2026,13,FALSE))</f>
        <v>0</v>
      </c>
      <c r="AD372" s="142"/>
      <c r="AE372" s="475">
        <f t="shared" si="146"/>
        <v>5400</v>
      </c>
      <c r="AF372" s="476">
        <f t="shared" si="147"/>
        <v>5360</v>
      </c>
      <c r="AG372" s="128">
        <f t="shared" si="140"/>
        <v>0.33128834355828218</v>
      </c>
      <c r="AH372" s="128">
        <f t="shared" si="141"/>
        <v>0.32883435582822085</v>
      </c>
      <c r="AI372" s="129">
        <f t="shared" si="142"/>
        <v>0.66012269938650303</v>
      </c>
      <c r="AJ372" s="426">
        <f t="shared" si="148"/>
        <v>5540</v>
      </c>
      <c r="AK372" s="131">
        <f t="shared" si="127"/>
        <v>692.5</v>
      </c>
      <c r="AL372" s="477">
        <f>AK372/VLOOKUP(IF(I372&gt;0,I372,1),Preise!$A$3:$B$27,2,FALSE)</f>
        <v>182.23684210526309</v>
      </c>
    </row>
    <row r="373" spans="1:38" s="3" customFormat="1" outlineLevel="1" x14ac:dyDescent="0.2">
      <c r="A373" s="5">
        <v>1608</v>
      </c>
      <c r="B373" s="412">
        <v>1608</v>
      </c>
      <c r="C373" s="132" t="str">
        <f>VLOOKUP(B373,Gegenstände!$A465:$B1055,2,FALSE)</f>
        <v>Feuer-Eschenstab</v>
      </c>
      <c r="D373" s="133">
        <f>VLOOKUP(B373,Gegenstände!$A465:$D1055,4,FALSE)</f>
        <v>19</v>
      </c>
      <c r="E373" s="468">
        <v>32</v>
      </c>
      <c r="F373" s="134">
        <v>480</v>
      </c>
      <c r="G373" s="54">
        <v>4</v>
      </c>
      <c r="H373" s="469">
        <v>63</v>
      </c>
      <c r="I373" s="6">
        <v>18</v>
      </c>
      <c r="J373" s="417"/>
      <c r="K373" s="6">
        <v>30</v>
      </c>
      <c r="L373" s="1" t="s">
        <v>142</v>
      </c>
      <c r="M373" s="87">
        <v>8</v>
      </c>
      <c r="N373" s="83" t="s">
        <v>202</v>
      </c>
      <c r="O373" s="85">
        <v>38</v>
      </c>
      <c r="P373" s="84" t="s">
        <v>204</v>
      </c>
      <c r="Q373" s="87"/>
      <c r="R373" s="84"/>
      <c r="S373" s="418"/>
      <c r="T373" s="418"/>
      <c r="U373" s="471">
        <f>VLOOKUP(D373,Preise!$A$3:$C$27,3)</f>
        <v>12.375453605252243</v>
      </c>
      <c r="V373" s="523">
        <f t="shared" si="143"/>
        <v>24750.907210504487</v>
      </c>
      <c r="W373" s="131"/>
      <c r="X373" s="472">
        <f t="shared" si="144"/>
        <v>24800</v>
      </c>
      <c r="Y373" s="473">
        <f t="shared" si="145"/>
        <v>24800</v>
      </c>
      <c r="Z373" s="474">
        <f>IF(ISERROR(VLOOKUP(L373,Gegenstände!$B$2:$N$2026,13,FALSE)),0,VLOOKUP(L373,Gegenstände!$B$2:$N$2026,13,FALSE))</f>
        <v>270</v>
      </c>
      <c r="AA373" s="142">
        <f>IF(ISERROR(VLOOKUP(N373,Gegenstände!$B$2:$N$2026,13,FALSE)),0,VLOOKUP(N373,Gegenstände!$B$2:$N$2026,13,FALSE))</f>
        <v>60</v>
      </c>
      <c r="AB373" s="142">
        <f>IF(ISERROR(VLOOKUP(P373,Gegenstände!$B$2:$N$2026,13,FALSE)),0,VLOOKUP(P373,Gegenstände!$B$2:$N$2026,13,FALSE))</f>
        <v>200</v>
      </c>
      <c r="AC373" s="142">
        <f>IF(ISERROR(VLOOKUP(R373,Gegenstände!$B$2:$N$2026,13,FALSE)),0,VLOOKUP(R373,Gegenstände!$B$2:$N$2026,13,FALSE))</f>
        <v>0</v>
      </c>
      <c r="AD373" s="142"/>
      <c r="AE373" s="475">
        <f t="shared" si="146"/>
        <v>8100</v>
      </c>
      <c r="AF373" s="476">
        <f t="shared" si="147"/>
        <v>8080</v>
      </c>
      <c r="AG373" s="128">
        <f t="shared" si="140"/>
        <v>0.32661290322580644</v>
      </c>
      <c r="AH373" s="128">
        <f t="shared" si="141"/>
        <v>0.32580645161290323</v>
      </c>
      <c r="AI373" s="129">
        <f t="shared" si="142"/>
        <v>0.65241935483870972</v>
      </c>
      <c r="AJ373" s="426">
        <f t="shared" si="148"/>
        <v>8620</v>
      </c>
      <c r="AK373" s="131">
        <f t="shared" si="127"/>
        <v>1077.5</v>
      </c>
      <c r="AL373" s="477">
        <f>AK373/VLOOKUP(IF(I373&gt;0,I373,1),Preise!$A$3:$B$27,2,FALSE)</f>
        <v>244.88636363636357</v>
      </c>
    </row>
    <row r="374" spans="1:38" s="3" customFormat="1" outlineLevel="1" x14ac:dyDescent="0.2">
      <c r="A374" s="5">
        <v>1609</v>
      </c>
      <c r="B374" s="412">
        <v>1609</v>
      </c>
      <c r="C374" s="132" t="str">
        <f>VLOOKUP(B374,Gegenstände!$A466:$B1056,2,FALSE)</f>
        <v>Feuer-Eibenlanze</v>
      </c>
      <c r="D374" s="133">
        <f>VLOOKUP(B374,Gegenstände!$A466:$D1056,4,FALSE)</f>
        <v>22</v>
      </c>
      <c r="E374" s="468">
        <v>32</v>
      </c>
      <c r="F374" s="134">
        <v>480</v>
      </c>
      <c r="G374" s="54">
        <v>5</v>
      </c>
      <c r="H374" s="469">
        <v>63</v>
      </c>
      <c r="I374" s="6">
        <v>21</v>
      </c>
      <c r="J374" s="417"/>
      <c r="K374" s="6">
        <v>34</v>
      </c>
      <c r="L374" s="1" t="s">
        <v>143</v>
      </c>
      <c r="M374" s="87">
        <v>6</v>
      </c>
      <c r="N374" s="83" t="s">
        <v>202</v>
      </c>
      <c r="O374" s="85">
        <v>10</v>
      </c>
      <c r="P374" s="84" t="s">
        <v>204</v>
      </c>
      <c r="Q374" s="87">
        <v>20</v>
      </c>
      <c r="R374" s="84" t="s">
        <v>205</v>
      </c>
      <c r="S374" s="418"/>
      <c r="T374" s="418"/>
      <c r="U374" s="471">
        <f>VLOOKUP(D374,Preise!$A$3:$C$27,3)</f>
        <v>18.821518001888002</v>
      </c>
      <c r="V374" s="523">
        <f t="shared" si="143"/>
        <v>37643.036003776004</v>
      </c>
      <c r="W374" s="131"/>
      <c r="X374" s="472">
        <f t="shared" si="144"/>
        <v>37600</v>
      </c>
      <c r="Y374" s="473">
        <f t="shared" si="145"/>
        <v>37600</v>
      </c>
      <c r="Z374" s="474">
        <f>IF(ISERROR(VLOOKUP(L374,Gegenstände!$B$2:$N$2026,13,FALSE)),0,VLOOKUP(L374,Gegenstände!$B$2:$N$2026,13,FALSE))</f>
        <v>360</v>
      </c>
      <c r="AA374" s="142">
        <f>IF(ISERROR(VLOOKUP(N374,Gegenstände!$B$2:$N$2026,13,FALSE)),0,VLOOKUP(N374,Gegenstände!$B$2:$N$2026,13,FALSE))</f>
        <v>60</v>
      </c>
      <c r="AB374" s="142">
        <f>IF(ISERROR(VLOOKUP(P374,Gegenstände!$B$2:$N$2026,13,FALSE)),0,VLOOKUP(P374,Gegenstände!$B$2:$N$2026,13,FALSE))</f>
        <v>200</v>
      </c>
      <c r="AC374" s="142">
        <f>IF(ISERROR(VLOOKUP(R374,Gegenstände!$B$2:$N$2026,13,FALSE)),0,VLOOKUP(R374,Gegenstände!$B$2:$N$2026,13,FALSE))</f>
        <v>500</v>
      </c>
      <c r="AD374" s="142"/>
      <c r="AE374" s="475">
        <f t="shared" si="146"/>
        <v>12240</v>
      </c>
      <c r="AF374" s="476">
        <f t="shared" si="147"/>
        <v>12360</v>
      </c>
      <c r="AG374" s="128">
        <f t="shared" si="140"/>
        <v>0.32553191489361705</v>
      </c>
      <c r="AH374" s="128">
        <f t="shared" si="141"/>
        <v>0.32872340425531915</v>
      </c>
      <c r="AI374" s="129">
        <f t="shared" si="142"/>
        <v>0.6542553191489362</v>
      </c>
      <c r="AJ374" s="426">
        <f t="shared" si="148"/>
        <v>13000</v>
      </c>
      <c r="AK374" s="131">
        <f t="shared" si="127"/>
        <v>1625</v>
      </c>
      <c r="AL374" s="477">
        <f>AK374/VLOOKUP(IF(I374&gt;0,I374,1),Preise!$A$3:$B$27,2,FALSE)</f>
        <v>324.99999999999989</v>
      </c>
    </row>
    <row r="375" spans="1:38" s="3" customFormat="1" outlineLevel="1" x14ac:dyDescent="0.2">
      <c r="A375" s="5">
        <v>1610</v>
      </c>
      <c r="B375" s="412">
        <v>1610</v>
      </c>
      <c r="C375" s="132" t="str">
        <f>VLOOKUP(B375,Gegenstände!$A492:$B1057,2,FALSE)</f>
        <v>Feuer-Wächterstab</v>
      </c>
      <c r="D375" s="133">
        <f>VLOOKUP(B375,Gegenstände!$A492:$D1057,4,FALSE)</f>
        <v>25</v>
      </c>
      <c r="E375" s="468">
        <v>32</v>
      </c>
      <c r="F375" s="134">
        <v>480</v>
      </c>
      <c r="G375" s="54">
        <v>5</v>
      </c>
      <c r="H375" s="469">
        <v>63</v>
      </c>
      <c r="I375" s="6">
        <v>24</v>
      </c>
      <c r="J375" s="417"/>
      <c r="K375" s="6">
        <v>52</v>
      </c>
      <c r="L375" s="1" t="s">
        <v>143</v>
      </c>
      <c r="M375" s="87">
        <v>6</v>
      </c>
      <c r="N375" s="83" t="s">
        <v>202</v>
      </c>
      <c r="O375" s="85">
        <v>12</v>
      </c>
      <c r="P375" s="84" t="s">
        <v>204</v>
      </c>
      <c r="Q375" s="87">
        <v>32</v>
      </c>
      <c r="R375" s="84" t="s">
        <v>205</v>
      </c>
      <c r="S375" s="418"/>
      <c r="T375" s="418"/>
      <c r="U375" s="471">
        <f>VLOOKUP(D375,Preise!$A$3:$C$27,3)</f>
        <v>28.625176191121408</v>
      </c>
      <c r="V375" s="523">
        <f t="shared" si="143"/>
        <v>57250.352382242818</v>
      </c>
      <c r="W375" s="131"/>
      <c r="X375" s="472">
        <f t="shared" si="144"/>
        <v>57300</v>
      </c>
      <c r="Y375" s="473">
        <f t="shared" si="145"/>
        <v>57300</v>
      </c>
      <c r="Z375" s="474">
        <f>IF(ISERROR(VLOOKUP(L375,Gegenstände!$B$2:$N$2026,13,FALSE)),0,VLOOKUP(L375,Gegenstände!$B$2:$N$2026,13,FALSE))</f>
        <v>360</v>
      </c>
      <c r="AA375" s="142">
        <f>IF(ISERROR(VLOOKUP(N375,Gegenstände!$B$2:$N$2026,13,FALSE)),0,VLOOKUP(N375,Gegenstände!$B$2:$N$2026,13,FALSE))</f>
        <v>60</v>
      </c>
      <c r="AB375" s="142">
        <f>IF(ISERROR(VLOOKUP(P375,Gegenstände!$B$2:$N$2026,13,FALSE)),0,VLOOKUP(P375,Gegenstände!$B$2:$N$2026,13,FALSE))</f>
        <v>200</v>
      </c>
      <c r="AC375" s="142">
        <f>IF(ISERROR(VLOOKUP(R375,Gegenstände!$B$2:$N$2026,13,FALSE)),0,VLOOKUP(R375,Gegenstände!$B$2:$N$2026,13,FALSE))</f>
        <v>500</v>
      </c>
      <c r="AD375" s="142"/>
      <c r="AE375" s="475">
        <f t="shared" si="146"/>
        <v>18720</v>
      </c>
      <c r="AF375" s="476">
        <f t="shared" si="147"/>
        <v>18760</v>
      </c>
      <c r="AG375" s="128">
        <f t="shared" si="140"/>
        <v>0.32670157068062827</v>
      </c>
      <c r="AH375" s="128">
        <f t="shared" si="141"/>
        <v>0.3273996509598604</v>
      </c>
      <c r="AI375" s="129">
        <f t="shared" si="142"/>
        <v>0.65410122164048867</v>
      </c>
      <c r="AJ375" s="426">
        <f t="shared" si="148"/>
        <v>19820</v>
      </c>
      <c r="AK375" s="131">
        <f t="shared" si="127"/>
        <v>2477.5</v>
      </c>
      <c r="AL375" s="477">
        <f>AK375/VLOOKUP(IF(I375&gt;0,I375,1),Preise!$A$3:$B$27,2,FALSE)</f>
        <v>442.41071428571411</v>
      </c>
    </row>
    <row r="376" spans="1:38" s="3" customFormat="1" x14ac:dyDescent="0.2">
      <c r="A376" s="525"/>
      <c r="B376" s="526"/>
      <c r="C376" s="286"/>
      <c r="D376" s="396"/>
      <c r="E376" s="527"/>
      <c r="F376" s="528"/>
      <c r="G376" s="322"/>
      <c r="H376" s="529"/>
      <c r="I376" s="322"/>
      <c r="J376" s="552"/>
      <c r="K376" s="529"/>
      <c r="L376" s="321"/>
      <c r="M376" s="553"/>
      <c r="N376" s="321"/>
      <c r="O376" s="322"/>
      <c r="P376" s="321"/>
      <c r="Q376" s="322"/>
      <c r="R376" s="321"/>
      <c r="S376" s="554"/>
      <c r="T376" s="554"/>
      <c r="U376" s="536"/>
      <c r="V376" s="551">
        <v>2000</v>
      </c>
      <c r="W376" s="579"/>
      <c r="X376" s="580"/>
      <c r="Y376" s="540"/>
      <c r="Z376" s="541"/>
      <c r="AA376" s="542"/>
      <c r="AB376" s="542"/>
      <c r="AC376" s="542"/>
      <c r="AD376" s="542"/>
      <c r="AE376" s="543"/>
      <c r="AF376" s="544"/>
      <c r="AG376" s="545"/>
      <c r="AH376" s="545"/>
      <c r="AI376" s="546"/>
      <c r="AJ376" s="547"/>
      <c r="AK376" s="548"/>
      <c r="AL376" s="549"/>
    </row>
    <row r="377" spans="1:38" x14ac:dyDescent="0.2">
      <c r="A377" s="5">
        <v>1611</v>
      </c>
      <c r="B377" s="412">
        <v>1611</v>
      </c>
      <c r="C377" s="132" t="str">
        <f>VLOOKUP(B377,Gegenstände!$A494:$B1059,2,FALSE)</f>
        <v>Wasser-Stecken</v>
      </c>
      <c r="D377" s="133">
        <f>VLOOKUP(B377,Gegenstände!$A494:$D1059,4,FALSE)</f>
        <v>1</v>
      </c>
      <c r="E377" s="468">
        <v>32</v>
      </c>
      <c r="F377" s="134">
        <v>480</v>
      </c>
      <c r="G377" s="54">
        <v>1</v>
      </c>
      <c r="H377" s="469">
        <v>63</v>
      </c>
      <c r="I377" s="6">
        <v>0</v>
      </c>
      <c r="K377" s="6">
        <v>11</v>
      </c>
      <c r="L377" s="1" t="s">
        <v>139</v>
      </c>
      <c r="M377" s="87">
        <v>11</v>
      </c>
      <c r="N377" s="83" t="s">
        <v>202</v>
      </c>
      <c r="O377" s="85"/>
      <c r="U377" s="471">
        <f>VLOOKUP(D377,Preise!$A$3:$C$27,3)</f>
        <v>1</v>
      </c>
      <c r="V377" s="523">
        <f t="shared" ref="V377:V386" si="149">U377*$V$365</f>
        <v>2000</v>
      </c>
      <c r="W377" s="131"/>
      <c r="X377" s="472">
        <f t="shared" ref="X377:X386" si="150">ROUND((V377/100),0)*100</f>
        <v>2000</v>
      </c>
      <c r="Y377" s="473">
        <f t="shared" ref="Y377:Y386" si="151">X377*IF(J377&gt;0,J377,1)</f>
        <v>2000</v>
      </c>
      <c r="Z377" s="474">
        <f>IF(ISERROR(VLOOKUP(L377,Gegenstände!$B$2:$N$2026,13,FALSE)),0,VLOOKUP(L377,Gegenstände!$B$2:$N$2026,13,FALSE))</f>
        <v>60</v>
      </c>
      <c r="AA377" s="142">
        <f>IF(ISERROR(VLOOKUP(N377,Gegenstände!$B$2:$N$2026,13,FALSE)),0,VLOOKUP(N377,Gegenstände!$B$2:$N$2026,13,FALSE))</f>
        <v>60</v>
      </c>
      <c r="AB377" s="142">
        <f>IF(ISERROR(VLOOKUP(P377,Gegenstände!$B$2:$N$2026,13,FALSE)),0,VLOOKUP(P377,Gegenstände!$B$2:$N$2026,13,FALSE))</f>
        <v>0</v>
      </c>
      <c r="AC377" s="142">
        <f>IF(ISERROR(VLOOKUP(R377,Gegenstände!$B$2:$N$2026,13,FALSE)),0,VLOOKUP(R377,Gegenstände!$B$2:$N$2026,13,FALSE))</f>
        <v>0</v>
      </c>
      <c r="AE377" s="475">
        <f t="shared" ref="AE377:AE386" si="152">IF(ISERROR(K377*Z377),"",K377*Z377)</f>
        <v>660</v>
      </c>
      <c r="AF377" s="476">
        <f t="shared" ref="AF377:AF386" si="153">IF(ISERROR(M377*AA377+O377*AB377+Q377*AC377),"",M377*AA377+O377*AB377+Q377*AC377)</f>
        <v>660</v>
      </c>
      <c r="AG377" s="128">
        <f t="shared" si="140"/>
        <v>0.33</v>
      </c>
      <c r="AH377" s="128">
        <f t="shared" si="141"/>
        <v>0.33</v>
      </c>
      <c r="AI377" s="129">
        <f t="shared" si="142"/>
        <v>0.66</v>
      </c>
      <c r="AJ377" s="426">
        <f t="shared" ref="AJ377:AJ386" si="154">Y377-(AE377+AF377)</f>
        <v>680</v>
      </c>
      <c r="AK377" s="131">
        <f t="shared" si="127"/>
        <v>85</v>
      </c>
      <c r="AL377" s="477">
        <f>AK377/VLOOKUP(IF(I377&gt;0,I377,1),Preise!$A$3:$B$27,2,FALSE)</f>
        <v>85</v>
      </c>
    </row>
    <row r="378" spans="1:38" x14ac:dyDescent="0.2">
      <c r="A378" s="5">
        <v>1612</v>
      </c>
      <c r="B378" s="412">
        <v>1612</v>
      </c>
      <c r="C378" s="132" t="str">
        <f>VLOOKUP(B378,Gegenstände!$A495:$B1060,2,FALSE)</f>
        <v>Wasser-Krummstab</v>
      </c>
      <c r="D378" s="133">
        <f>VLOOKUP(B378,Gegenstände!$A495:$D1060,4,FALSE)</f>
        <v>4</v>
      </c>
      <c r="E378" s="468">
        <v>32</v>
      </c>
      <c r="F378" s="134">
        <v>480</v>
      </c>
      <c r="G378" s="54">
        <v>1</v>
      </c>
      <c r="H378" s="469">
        <v>63</v>
      </c>
      <c r="I378" s="6">
        <v>3</v>
      </c>
      <c r="K378" s="6">
        <v>16</v>
      </c>
      <c r="L378" s="1" t="s">
        <v>139</v>
      </c>
      <c r="M378" s="87">
        <v>16</v>
      </c>
      <c r="N378" s="83" t="s">
        <v>202</v>
      </c>
      <c r="O378" s="85"/>
      <c r="U378" s="471">
        <f>VLOOKUP(D378,Preise!$A$3:$C$27,3)</f>
        <v>1.5208749999999995</v>
      </c>
      <c r="V378" s="523">
        <f t="shared" si="149"/>
        <v>3041.7499999999991</v>
      </c>
      <c r="W378" s="131"/>
      <c r="X378" s="472">
        <f t="shared" si="150"/>
        <v>3000</v>
      </c>
      <c r="Y378" s="473">
        <f t="shared" si="151"/>
        <v>3000</v>
      </c>
      <c r="Z378" s="474">
        <f>IF(ISERROR(VLOOKUP(L378,Gegenstände!$B$2:$N$2026,13,FALSE)),0,VLOOKUP(L378,Gegenstände!$B$2:$N$2026,13,FALSE))</f>
        <v>60</v>
      </c>
      <c r="AA378" s="142">
        <f>IF(ISERROR(VLOOKUP(N378,Gegenstände!$B$2:$N$2026,13,FALSE)),0,VLOOKUP(N378,Gegenstände!$B$2:$N$2026,13,FALSE))</f>
        <v>60</v>
      </c>
      <c r="AB378" s="142">
        <f>IF(ISERROR(VLOOKUP(P378,Gegenstände!$B$2:$N$2026,13,FALSE)),0,VLOOKUP(P378,Gegenstände!$B$2:$N$2026,13,FALSE))</f>
        <v>0</v>
      </c>
      <c r="AC378" s="142">
        <f>IF(ISERROR(VLOOKUP(R378,Gegenstände!$B$2:$N$2026,13,FALSE)),0,VLOOKUP(R378,Gegenstände!$B$2:$N$2026,13,FALSE))</f>
        <v>0</v>
      </c>
      <c r="AE378" s="475">
        <f t="shared" si="152"/>
        <v>960</v>
      </c>
      <c r="AF378" s="476">
        <f t="shared" si="153"/>
        <v>960</v>
      </c>
      <c r="AG378" s="128">
        <f t="shared" si="140"/>
        <v>0.32</v>
      </c>
      <c r="AH378" s="128">
        <f t="shared" si="141"/>
        <v>0.32</v>
      </c>
      <c r="AI378" s="129">
        <f t="shared" si="142"/>
        <v>0.64</v>
      </c>
      <c r="AJ378" s="426">
        <f t="shared" si="154"/>
        <v>1080</v>
      </c>
      <c r="AK378" s="131">
        <f t="shared" si="127"/>
        <v>135</v>
      </c>
      <c r="AL378" s="477">
        <f>AK378/VLOOKUP(IF(I378&gt;0,I378,1),Preise!$A$3:$B$27,2,FALSE)</f>
        <v>96.428571428571431</v>
      </c>
    </row>
    <row r="379" spans="1:38" x14ac:dyDescent="0.2">
      <c r="A379" s="5">
        <v>1613</v>
      </c>
      <c r="B379" s="412">
        <v>1613</v>
      </c>
      <c r="C379" s="132" t="str">
        <f>VLOOKUP(B379,Gegenstände!$A496:$B1061,2,FALSE)</f>
        <v>Wasser-Langholz</v>
      </c>
      <c r="D379" s="133">
        <f>VLOOKUP(B379,Gegenstände!$A496:$D1061,4,FALSE)</f>
        <v>6</v>
      </c>
      <c r="E379" s="468">
        <v>32</v>
      </c>
      <c r="F379" s="134">
        <v>480</v>
      </c>
      <c r="G379" s="54">
        <v>2</v>
      </c>
      <c r="H379" s="469">
        <v>63</v>
      </c>
      <c r="I379" s="6">
        <v>5</v>
      </c>
      <c r="K379" s="6">
        <v>11</v>
      </c>
      <c r="L379" s="1" t="s">
        <v>140</v>
      </c>
      <c r="M379" s="87">
        <v>22</v>
      </c>
      <c r="N379" s="83" t="s">
        <v>202</v>
      </c>
      <c r="O379" s="85"/>
      <c r="U379" s="471">
        <f>VLOOKUP(D379,Preise!$A$3:$C$27,3)</f>
        <v>2.0113571874999994</v>
      </c>
      <c r="V379" s="523">
        <f t="shared" si="149"/>
        <v>4022.7143749999987</v>
      </c>
      <c r="W379" s="131"/>
      <c r="X379" s="472">
        <f t="shared" si="150"/>
        <v>4000</v>
      </c>
      <c r="Y379" s="473">
        <f t="shared" si="151"/>
        <v>4000</v>
      </c>
      <c r="Z379" s="474">
        <f>IF(ISERROR(VLOOKUP(L379,Gegenstände!$B$2:$N$2026,13,FALSE)),0,VLOOKUP(L379,Gegenstände!$B$2:$N$2026,13,FALSE))</f>
        <v>120</v>
      </c>
      <c r="AA379" s="142">
        <f>IF(ISERROR(VLOOKUP(N379,Gegenstände!$B$2:$N$2026,13,FALSE)),0,VLOOKUP(N379,Gegenstände!$B$2:$N$2026,13,FALSE))</f>
        <v>60</v>
      </c>
      <c r="AB379" s="142">
        <f>IF(ISERROR(VLOOKUP(P379,Gegenstände!$B$2:$N$2026,13,FALSE)),0,VLOOKUP(P379,Gegenstände!$B$2:$N$2026,13,FALSE))</f>
        <v>0</v>
      </c>
      <c r="AC379" s="142">
        <f>IF(ISERROR(VLOOKUP(R379,Gegenstände!$B$2:$N$2026,13,FALSE)),0,VLOOKUP(R379,Gegenstände!$B$2:$N$2026,13,FALSE))</f>
        <v>0</v>
      </c>
      <c r="AE379" s="475">
        <f t="shared" si="152"/>
        <v>1320</v>
      </c>
      <c r="AF379" s="476">
        <f t="shared" si="153"/>
        <v>1320</v>
      </c>
      <c r="AG379" s="128">
        <f t="shared" si="140"/>
        <v>0.33</v>
      </c>
      <c r="AH379" s="128">
        <f t="shared" si="141"/>
        <v>0.33</v>
      </c>
      <c r="AI379" s="129">
        <f t="shared" si="142"/>
        <v>0.66</v>
      </c>
      <c r="AJ379" s="426">
        <f t="shared" si="154"/>
        <v>1360</v>
      </c>
      <c r="AK379" s="131">
        <f t="shared" si="127"/>
        <v>170</v>
      </c>
      <c r="AL379" s="477">
        <f>AK379/VLOOKUP(IF(I379&gt;0,I379,1),Preise!$A$3:$B$27,2,FALSE)</f>
        <v>94.444444444444457</v>
      </c>
    </row>
    <row r="380" spans="1:38" x14ac:dyDescent="0.2">
      <c r="A380" s="5">
        <v>1614</v>
      </c>
      <c r="B380" s="412">
        <v>1614</v>
      </c>
      <c r="C380" s="132" t="str">
        <f>VLOOKUP(B380,Gegenstände!$A497:$B1062,2,FALSE)</f>
        <v>Wasser-Runenstab</v>
      </c>
      <c r="D380" s="133">
        <f>VLOOKUP(B380,Gegenstände!$A497:$D1062,4,FALSE)</f>
        <v>9</v>
      </c>
      <c r="E380" s="468">
        <v>32</v>
      </c>
      <c r="F380" s="134">
        <v>480</v>
      </c>
      <c r="G380" s="54">
        <v>2</v>
      </c>
      <c r="H380" s="469">
        <v>63</v>
      </c>
      <c r="I380" s="6">
        <v>8</v>
      </c>
      <c r="K380" s="6">
        <v>17</v>
      </c>
      <c r="L380" s="1" t="s">
        <v>140</v>
      </c>
      <c r="M380" s="87">
        <v>34</v>
      </c>
      <c r="N380" s="83" t="s">
        <v>202</v>
      </c>
      <c r="O380" s="85"/>
      <c r="U380" s="471">
        <f>VLOOKUP(D380,Preise!$A$3:$C$27,3)</f>
        <v>3.0590228625390607</v>
      </c>
      <c r="V380" s="523">
        <f t="shared" si="149"/>
        <v>6118.0457250781219</v>
      </c>
      <c r="W380" s="131"/>
      <c r="X380" s="472">
        <f t="shared" si="150"/>
        <v>6100</v>
      </c>
      <c r="Y380" s="473">
        <f t="shared" si="151"/>
        <v>6100</v>
      </c>
      <c r="Z380" s="474">
        <f>IF(ISERROR(VLOOKUP(L380,Gegenstände!$B$2:$N$2026,13,FALSE)),0,VLOOKUP(L380,Gegenstände!$B$2:$N$2026,13,FALSE))</f>
        <v>120</v>
      </c>
      <c r="AA380" s="142">
        <f>IF(ISERROR(VLOOKUP(N380,Gegenstände!$B$2:$N$2026,13,FALSE)),0,VLOOKUP(N380,Gegenstände!$B$2:$N$2026,13,FALSE))</f>
        <v>60</v>
      </c>
      <c r="AB380" s="142">
        <f>IF(ISERROR(VLOOKUP(P380,Gegenstände!$B$2:$N$2026,13,FALSE)),0,VLOOKUP(P380,Gegenstände!$B$2:$N$2026,13,FALSE))</f>
        <v>0</v>
      </c>
      <c r="AC380" s="142">
        <f>IF(ISERROR(VLOOKUP(R380,Gegenstände!$B$2:$N$2026,13,FALSE)),0,VLOOKUP(R380,Gegenstände!$B$2:$N$2026,13,FALSE))</f>
        <v>0</v>
      </c>
      <c r="AE380" s="475">
        <f t="shared" si="152"/>
        <v>2040</v>
      </c>
      <c r="AF380" s="476">
        <f t="shared" si="153"/>
        <v>2040</v>
      </c>
      <c r="AG380" s="128">
        <f t="shared" si="140"/>
        <v>0.33442622950819673</v>
      </c>
      <c r="AH380" s="128">
        <f t="shared" si="141"/>
        <v>0.33442622950819673</v>
      </c>
      <c r="AI380" s="129">
        <f t="shared" si="142"/>
        <v>0.66885245901639345</v>
      </c>
      <c r="AJ380" s="426">
        <f t="shared" si="154"/>
        <v>2020</v>
      </c>
      <c r="AK380" s="131">
        <f t="shared" si="127"/>
        <v>252.5</v>
      </c>
      <c r="AL380" s="477">
        <f>AK380/VLOOKUP(IF(I380&gt;0,I380,1),Preise!$A$3:$B$27,2,FALSE)</f>
        <v>105.20833333333334</v>
      </c>
    </row>
    <row r="381" spans="1:38" x14ac:dyDescent="0.2">
      <c r="A381" s="5">
        <v>1615</v>
      </c>
      <c r="B381" s="412">
        <v>1615</v>
      </c>
      <c r="C381" s="132" t="str">
        <f>VLOOKUP(B381,Gegenstände!$A498:$B1063,2,FALSE)</f>
        <v>Wasser-Lichtstab</v>
      </c>
      <c r="D381" s="133">
        <f>VLOOKUP(B381,Gegenstände!$A498:$D1063,4,FALSE)</f>
        <v>11</v>
      </c>
      <c r="E381" s="468">
        <v>32</v>
      </c>
      <c r="F381" s="134">
        <v>480</v>
      </c>
      <c r="G381" s="54">
        <v>3</v>
      </c>
      <c r="H381" s="469">
        <v>63</v>
      </c>
      <c r="I381" s="6">
        <v>10</v>
      </c>
      <c r="K381" s="6">
        <v>15</v>
      </c>
      <c r="L381" s="1" t="s">
        <v>141</v>
      </c>
      <c r="M381" s="87">
        <v>5</v>
      </c>
      <c r="N381" s="83" t="s">
        <v>202</v>
      </c>
      <c r="O381" s="85">
        <v>12</v>
      </c>
      <c r="P381" s="84" t="s">
        <v>204</v>
      </c>
      <c r="Q381" s="87"/>
      <c r="R381" s="84"/>
      <c r="U381" s="471">
        <f>VLOOKUP(D381,Preise!$A$3:$C$27,3)</f>
        <v>4.0455577357079076</v>
      </c>
      <c r="V381" s="523">
        <f t="shared" si="149"/>
        <v>8091.1154714158147</v>
      </c>
      <c r="W381" s="131"/>
      <c r="X381" s="472">
        <f t="shared" si="150"/>
        <v>8100</v>
      </c>
      <c r="Y381" s="473">
        <f t="shared" si="151"/>
        <v>8100</v>
      </c>
      <c r="Z381" s="474">
        <f>IF(ISERROR(VLOOKUP(L381,Gegenstände!$B$2:$N$2026,13,FALSE)),0,VLOOKUP(L381,Gegenstände!$B$2:$N$2026,13,FALSE))</f>
        <v>180</v>
      </c>
      <c r="AA381" s="142">
        <f>IF(ISERROR(VLOOKUP(N381,Gegenstände!$B$2:$N$2026,13,FALSE)),0,VLOOKUP(N381,Gegenstände!$B$2:$N$2026,13,FALSE))</f>
        <v>60</v>
      </c>
      <c r="AB381" s="142">
        <f>IF(ISERROR(VLOOKUP(P381,Gegenstände!$B$2:$N$2026,13,FALSE)),0,VLOOKUP(P381,Gegenstände!$B$2:$N$2026,13,FALSE))</f>
        <v>200</v>
      </c>
      <c r="AC381" s="142">
        <f>IF(ISERROR(VLOOKUP(R381,Gegenstände!$B$2:$N$2026,13,FALSE)),0,VLOOKUP(R381,Gegenstände!$B$2:$N$2026,13,FALSE))</f>
        <v>0</v>
      </c>
      <c r="AE381" s="475">
        <f t="shared" si="152"/>
        <v>2700</v>
      </c>
      <c r="AF381" s="476">
        <f t="shared" si="153"/>
        <v>2700</v>
      </c>
      <c r="AG381" s="128">
        <f t="shared" si="140"/>
        <v>0.33333333333333331</v>
      </c>
      <c r="AH381" s="128">
        <f t="shared" si="141"/>
        <v>0.33333333333333331</v>
      </c>
      <c r="AI381" s="129">
        <f t="shared" si="142"/>
        <v>0.66666666666666663</v>
      </c>
      <c r="AJ381" s="426">
        <f t="shared" si="154"/>
        <v>2700</v>
      </c>
      <c r="AK381" s="131">
        <f t="shared" si="127"/>
        <v>337.5</v>
      </c>
      <c r="AL381" s="477">
        <f>AK381/VLOOKUP(IF(I381&gt;0,I381,1),Preise!$A$3:$B$27,2,FALSE)</f>
        <v>120.53571428571428</v>
      </c>
    </row>
    <row r="382" spans="1:38" x14ac:dyDescent="0.2">
      <c r="A382" s="5">
        <v>1616</v>
      </c>
      <c r="B382" s="412">
        <v>1616</v>
      </c>
      <c r="C382" s="132" t="str">
        <f>VLOOKUP(B382,Gegenstände!$A499:$B1064,2,FALSE)</f>
        <v>Wasser-Rute</v>
      </c>
      <c r="D382" s="133">
        <f>VLOOKUP(B382,Gegenstände!$A499:$D1064,4,FALSE)</f>
        <v>14</v>
      </c>
      <c r="E382" s="468">
        <v>32</v>
      </c>
      <c r="F382" s="134">
        <v>480</v>
      </c>
      <c r="G382" s="54">
        <v>3</v>
      </c>
      <c r="H382" s="469">
        <v>63</v>
      </c>
      <c r="I382" s="6">
        <v>13</v>
      </c>
      <c r="K382" s="6">
        <v>22</v>
      </c>
      <c r="L382" s="1" t="s">
        <v>141</v>
      </c>
      <c r="M382" s="87">
        <v>5</v>
      </c>
      <c r="N382" s="83" t="s">
        <v>202</v>
      </c>
      <c r="O382" s="85">
        <v>19</v>
      </c>
      <c r="P382" s="84" t="s">
        <v>204</v>
      </c>
      <c r="Q382" s="87"/>
      <c r="R382" s="84"/>
      <c r="U382" s="471">
        <f>VLOOKUP(D382,Preise!$A$3:$C$27,3)</f>
        <v>6.1527876212947623</v>
      </c>
      <c r="V382" s="523">
        <f t="shared" si="149"/>
        <v>12305.575242589524</v>
      </c>
      <c r="W382" s="131"/>
      <c r="X382" s="472">
        <f t="shared" si="150"/>
        <v>12300</v>
      </c>
      <c r="Y382" s="473">
        <f t="shared" si="151"/>
        <v>12300</v>
      </c>
      <c r="Z382" s="474">
        <f>IF(ISERROR(VLOOKUP(L382,Gegenstände!$B$2:$N$2026,13,FALSE)),0,VLOOKUP(L382,Gegenstände!$B$2:$N$2026,13,FALSE))</f>
        <v>180</v>
      </c>
      <c r="AA382" s="142">
        <f>IF(ISERROR(VLOOKUP(N382,Gegenstände!$B$2:$N$2026,13,FALSE)),0,VLOOKUP(N382,Gegenstände!$B$2:$N$2026,13,FALSE))</f>
        <v>60</v>
      </c>
      <c r="AB382" s="142">
        <f>IF(ISERROR(VLOOKUP(P382,Gegenstände!$B$2:$N$2026,13,FALSE)),0,VLOOKUP(P382,Gegenstände!$B$2:$N$2026,13,FALSE))</f>
        <v>200</v>
      </c>
      <c r="AC382" s="142">
        <f>IF(ISERROR(VLOOKUP(R382,Gegenstände!$B$2:$N$2026,13,FALSE)),0,VLOOKUP(R382,Gegenstände!$B$2:$N$2026,13,FALSE))</f>
        <v>0</v>
      </c>
      <c r="AE382" s="475">
        <f t="shared" si="152"/>
        <v>3960</v>
      </c>
      <c r="AF382" s="476">
        <f t="shared" si="153"/>
        <v>4100</v>
      </c>
      <c r="AG382" s="128">
        <f t="shared" si="140"/>
        <v>0.32195121951219513</v>
      </c>
      <c r="AH382" s="128">
        <f t="shared" si="141"/>
        <v>0.33333333333333331</v>
      </c>
      <c r="AI382" s="129">
        <f t="shared" si="142"/>
        <v>0.65528455284552845</v>
      </c>
      <c r="AJ382" s="426">
        <f t="shared" si="154"/>
        <v>4240</v>
      </c>
      <c r="AK382" s="131">
        <f t="shared" si="127"/>
        <v>530</v>
      </c>
      <c r="AL382" s="477">
        <f>AK382/VLOOKUP(IF(I382&gt;0,I382,1),Preise!$A$3:$B$27,2,FALSE)</f>
        <v>155.88235294117644</v>
      </c>
    </row>
    <row r="383" spans="1:38" x14ac:dyDescent="0.2">
      <c r="A383" s="5">
        <v>1617</v>
      </c>
      <c r="B383" s="412">
        <v>1617</v>
      </c>
      <c r="C383" s="132" t="str">
        <f>VLOOKUP(B383,Gegenstände!$A500:$B1065,2,FALSE)</f>
        <v>Wasser-Spiralstab</v>
      </c>
      <c r="D383" s="133">
        <f>VLOOKUP(B383,Gegenstände!$A500:$D1065,4,FALSE)</f>
        <v>16</v>
      </c>
      <c r="E383" s="468">
        <v>32</v>
      </c>
      <c r="F383" s="134">
        <v>480</v>
      </c>
      <c r="G383" s="54">
        <v>4</v>
      </c>
      <c r="H383" s="469">
        <v>63</v>
      </c>
      <c r="I383" s="6">
        <v>15</v>
      </c>
      <c r="K383" s="6">
        <v>20</v>
      </c>
      <c r="L383" s="1" t="s">
        <v>142</v>
      </c>
      <c r="M383" s="87">
        <v>6</v>
      </c>
      <c r="N383" s="83" t="s">
        <v>202</v>
      </c>
      <c r="O383" s="85">
        <v>25</v>
      </c>
      <c r="P383" s="84" t="s">
        <v>204</v>
      </c>
      <c r="Q383" s="87"/>
      <c r="U383" s="471">
        <f>VLOOKUP(D383,Preise!$A$3:$C$27,3)</f>
        <v>8.1370616291623215</v>
      </c>
      <c r="V383" s="523">
        <f t="shared" si="149"/>
        <v>16274.123258324644</v>
      </c>
      <c r="W383" s="131"/>
      <c r="X383" s="472">
        <f t="shared" si="150"/>
        <v>16300</v>
      </c>
      <c r="Y383" s="473">
        <f t="shared" si="151"/>
        <v>16300</v>
      </c>
      <c r="Z383" s="474">
        <f>IF(ISERROR(VLOOKUP(L383,Gegenstände!$B$2:$N$2026,13,FALSE)),0,VLOOKUP(L383,Gegenstände!$B$2:$N$2026,13,FALSE))</f>
        <v>270</v>
      </c>
      <c r="AA383" s="142">
        <f>IF(ISERROR(VLOOKUP(N383,Gegenstände!$B$2:$N$2026,13,FALSE)),0,VLOOKUP(N383,Gegenstände!$B$2:$N$2026,13,FALSE))</f>
        <v>60</v>
      </c>
      <c r="AB383" s="142">
        <f>IF(ISERROR(VLOOKUP(P383,Gegenstände!$B$2:$N$2026,13,FALSE)),0,VLOOKUP(P383,Gegenstände!$B$2:$N$2026,13,FALSE))</f>
        <v>200</v>
      </c>
      <c r="AC383" s="142">
        <f>IF(ISERROR(VLOOKUP(R383,Gegenstände!$B$2:$N$2026,13,FALSE)),0,VLOOKUP(R383,Gegenstände!$B$2:$N$2026,13,FALSE))</f>
        <v>0</v>
      </c>
      <c r="AE383" s="475">
        <f t="shared" si="152"/>
        <v>5400</v>
      </c>
      <c r="AF383" s="476">
        <f t="shared" si="153"/>
        <v>5360</v>
      </c>
      <c r="AG383" s="128">
        <f t="shared" si="140"/>
        <v>0.33128834355828218</v>
      </c>
      <c r="AH383" s="128">
        <f t="shared" si="141"/>
        <v>0.32883435582822085</v>
      </c>
      <c r="AI383" s="129">
        <f t="shared" si="142"/>
        <v>0.66012269938650303</v>
      </c>
      <c r="AJ383" s="426">
        <f t="shared" si="154"/>
        <v>5540</v>
      </c>
      <c r="AK383" s="131">
        <f t="shared" si="127"/>
        <v>692.5</v>
      </c>
      <c r="AL383" s="477">
        <f>AK383/VLOOKUP(IF(I383&gt;0,I383,1),Preise!$A$3:$B$27,2,FALSE)</f>
        <v>182.23684210526309</v>
      </c>
    </row>
    <row r="384" spans="1:38" x14ac:dyDescent="0.2">
      <c r="A384" s="5">
        <v>1618</v>
      </c>
      <c r="B384" s="412">
        <v>1618</v>
      </c>
      <c r="C384" s="132" t="str">
        <f>VLOOKUP(B384,Gegenstände!$A501:$B1066,2,FALSE)</f>
        <v>Wasser-Eschenstab</v>
      </c>
      <c r="D384" s="133">
        <f>VLOOKUP(B384,Gegenstände!$A501:$D1066,4,FALSE)</f>
        <v>19</v>
      </c>
      <c r="E384" s="468">
        <v>32</v>
      </c>
      <c r="F384" s="134">
        <v>480</v>
      </c>
      <c r="G384" s="54">
        <v>4</v>
      </c>
      <c r="H384" s="469">
        <v>63</v>
      </c>
      <c r="I384" s="6">
        <v>18</v>
      </c>
      <c r="K384" s="6">
        <v>30</v>
      </c>
      <c r="L384" s="1" t="s">
        <v>142</v>
      </c>
      <c r="M384" s="87">
        <v>8</v>
      </c>
      <c r="N384" s="83" t="s">
        <v>202</v>
      </c>
      <c r="O384" s="85">
        <v>38</v>
      </c>
      <c r="P384" s="84" t="s">
        <v>204</v>
      </c>
      <c r="Q384" s="87"/>
      <c r="R384" s="84"/>
      <c r="U384" s="471">
        <f>VLOOKUP(D384,Preise!$A$3:$C$27,3)</f>
        <v>12.375453605252243</v>
      </c>
      <c r="V384" s="523">
        <f t="shared" si="149"/>
        <v>24750.907210504487</v>
      </c>
      <c r="W384" s="131"/>
      <c r="X384" s="472">
        <f t="shared" si="150"/>
        <v>24800</v>
      </c>
      <c r="Y384" s="473">
        <f t="shared" si="151"/>
        <v>24800</v>
      </c>
      <c r="Z384" s="474">
        <f>IF(ISERROR(VLOOKUP(L384,Gegenstände!$B$2:$N$2026,13,FALSE)),0,VLOOKUP(L384,Gegenstände!$B$2:$N$2026,13,FALSE))</f>
        <v>270</v>
      </c>
      <c r="AA384" s="142">
        <f>IF(ISERROR(VLOOKUP(N384,Gegenstände!$B$2:$N$2026,13,FALSE)),0,VLOOKUP(N384,Gegenstände!$B$2:$N$2026,13,FALSE))</f>
        <v>60</v>
      </c>
      <c r="AB384" s="142">
        <f>IF(ISERROR(VLOOKUP(P384,Gegenstände!$B$2:$N$2026,13,FALSE)),0,VLOOKUP(P384,Gegenstände!$B$2:$N$2026,13,FALSE))</f>
        <v>200</v>
      </c>
      <c r="AC384" s="142">
        <f>IF(ISERROR(VLOOKUP(R384,Gegenstände!$B$2:$N$2026,13,FALSE)),0,VLOOKUP(R384,Gegenstände!$B$2:$N$2026,13,FALSE))</f>
        <v>0</v>
      </c>
      <c r="AE384" s="475">
        <f t="shared" si="152"/>
        <v>8100</v>
      </c>
      <c r="AF384" s="476">
        <f t="shared" si="153"/>
        <v>8080</v>
      </c>
      <c r="AG384" s="128">
        <f t="shared" si="140"/>
        <v>0.32661290322580644</v>
      </c>
      <c r="AH384" s="128">
        <f t="shared" si="141"/>
        <v>0.32580645161290323</v>
      </c>
      <c r="AI384" s="129">
        <f t="shared" si="142"/>
        <v>0.65241935483870972</v>
      </c>
      <c r="AJ384" s="426">
        <f t="shared" si="154"/>
        <v>8620</v>
      </c>
      <c r="AK384" s="131">
        <f t="shared" si="127"/>
        <v>1077.5</v>
      </c>
      <c r="AL384" s="477">
        <f>AK384/VLOOKUP(IF(I384&gt;0,I384,1),Preise!$A$3:$B$27,2,FALSE)</f>
        <v>244.88636363636357</v>
      </c>
    </row>
    <row r="385" spans="1:38" x14ac:dyDescent="0.2">
      <c r="A385" s="5">
        <v>1619</v>
      </c>
      <c r="B385" s="412">
        <v>1619</v>
      </c>
      <c r="C385" s="132" t="str">
        <f>VLOOKUP(B385,Gegenstände!$A502:$B1067,2,FALSE)</f>
        <v>Wasser-Eibenlanze</v>
      </c>
      <c r="D385" s="133">
        <f>VLOOKUP(B385,Gegenstände!$A502:$D1067,4,FALSE)</f>
        <v>22</v>
      </c>
      <c r="E385" s="468">
        <v>32</v>
      </c>
      <c r="F385" s="134">
        <v>480</v>
      </c>
      <c r="G385" s="54">
        <v>5</v>
      </c>
      <c r="H385" s="469">
        <v>63</v>
      </c>
      <c r="I385" s="6">
        <v>21</v>
      </c>
      <c r="K385" s="6">
        <v>34</v>
      </c>
      <c r="L385" s="1" t="s">
        <v>143</v>
      </c>
      <c r="M385" s="87">
        <v>6</v>
      </c>
      <c r="N385" s="83" t="s">
        <v>202</v>
      </c>
      <c r="O385" s="85">
        <v>10</v>
      </c>
      <c r="P385" s="84" t="s">
        <v>204</v>
      </c>
      <c r="Q385" s="87">
        <v>20</v>
      </c>
      <c r="R385" s="84" t="s">
        <v>205</v>
      </c>
      <c r="U385" s="471">
        <f>VLOOKUP(D385,Preise!$A$3:$C$27,3)</f>
        <v>18.821518001888002</v>
      </c>
      <c r="V385" s="523">
        <f t="shared" si="149"/>
        <v>37643.036003776004</v>
      </c>
      <c r="W385" s="131"/>
      <c r="X385" s="472">
        <f t="shared" si="150"/>
        <v>37600</v>
      </c>
      <c r="Y385" s="473">
        <f t="shared" si="151"/>
        <v>37600</v>
      </c>
      <c r="Z385" s="474">
        <f>IF(ISERROR(VLOOKUP(L385,Gegenstände!$B$2:$N$2026,13,FALSE)),0,VLOOKUP(L385,Gegenstände!$B$2:$N$2026,13,FALSE))</f>
        <v>360</v>
      </c>
      <c r="AA385" s="142">
        <f>IF(ISERROR(VLOOKUP(N385,Gegenstände!$B$2:$N$2026,13,FALSE)),0,VLOOKUP(N385,Gegenstände!$B$2:$N$2026,13,FALSE))</f>
        <v>60</v>
      </c>
      <c r="AB385" s="142">
        <f>IF(ISERROR(VLOOKUP(P385,Gegenstände!$B$2:$N$2026,13,FALSE)),0,VLOOKUP(P385,Gegenstände!$B$2:$N$2026,13,FALSE))</f>
        <v>200</v>
      </c>
      <c r="AC385" s="142">
        <f>IF(ISERROR(VLOOKUP(R385,Gegenstände!$B$2:$N$2026,13,FALSE)),0,VLOOKUP(R385,Gegenstände!$B$2:$N$2026,13,FALSE))</f>
        <v>500</v>
      </c>
      <c r="AE385" s="475">
        <f t="shared" si="152"/>
        <v>12240</v>
      </c>
      <c r="AF385" s="476">
        <f t="shared" si="153"/>
        <v>12360</v>
      </c>
      <c r="AG385" s="128">
        <f t="shared" si="140"/>
        <v>0.32553191489361705</v>
      </c>
      <c r="AH385" s="128">
        <f t="shared" si="141"/>
        <v>0.32872340425531915</v>
      </c>
      <c r="AI385" s="129">
        <f t="shared" si="142"/>
        <v>0.6542553191489362</v>
      </c>
      <c r="AJ385" s="426">
        <f t="shared" si="154"/>
        <v>13000</v>
      </c>
      <c r="AK385" s="131">
        <f t="shared" si="127"/>
        <v>1625</v>
      </c>
      <c r="AL385" s="477">
        <f>AK385/VLOOKUP(IF(I385&gt;0,I385,1),Preise!$A$3:$B$27,2,FALSE)</f>
        <v>324.99999999999989</v>
      </c>
    </row>
    <row r="386" spans="1:38" x14ac:dyDescent="0.2">
      <c r="A386" s="5">
        <v>1620</v>
      </c>
      <c r="B386" s="412">
        <v>1620</v>
      </c>
      <c r="C386" s="132" t="str">
        <f>VLOOKUP(B386,Gegenstände!$A503:$B1068,2,FALSE)</f>
        <v>Wasser-Wächterstab</v>
      </c>
      <c r="D386" s="133">
        <f>VLOOKUP(B386,Gegenstände!$A503:$D1068,4,FALSE)</f>
        <v>25</v>
      </c>
      <c r="E386" s="468">
        <v>32</v>
      </c>
      <c r="F386" s="134">
        <v>480</v>
      </c>
      <c r="G386" s="54">
        <v>5</v>
      </c>
      <c r="H386" s="469">
        <v>63</v>
      </c>
      <c r="I386" s="6">
        <v>24</v>
      </c>
      <c r="K386" s="6">
        <v>52</v>
      </c>
      <c r="L386" s="1" t="s">
        <v>143</v>
      </c>
      <c r="M386" s="87">
        <v>6</v>
      </c>
      <c r="N386" s="83" t="s">
        <v>202</v>
      </c>
      <c r="O386" s="85">
        <v>12</v>
      </c>
      <c r="P386" s="84" t="s">
        <v>204</v>
      </c>
      <c r="Q386" s="87">
        <v>32</v>
      </c>
      <c r="R386" s="84" t="s">
        <v>205</v>
      </c>
      <c r="U386" s="471">
        <f>VLOOKUP(D386,Preise!$A$3:$C$27,3)</f>
        <v>28.625176191121408</v>
      </c>
      <c r="V386" s="523">
        <f t="shared" si="149"/>
        <v>57250.352382242818</v>
      </c>
      <c r="W386" s="131"/>
      <c r="X386" s="472">
        <f t="shared" si="150"/>
        <v>57300</v>
      </c>
      <c r="Y386" s="473">
        <f t="shared" si="151"/>
        <v>57300</v>
      </c>
      <c r="Z386" s="474">
        <f>IF(ISERROR(VLOOKUP(L386,Gegenstände!$B$2:$N$2026,13,FALSE)),0,VLOOKUP(L386,Gegenstände!$B$2:$N$2026,13,FALSE))</f>
        <v>360</v>
      </c>
      <c r="AA386" s="142">
        <f>IF(ISERROR(VLOOKUP(N386,Gegenstände!$B$2:$N$2026,13,FALSE)),0,VLOOKUP(N386,Gegenstände!$B$2:$N$2026,13,FALSE))</f>
        <v>60</v>
      </c>
      <c r="AB386" s="142">
        <f>IF(ISERROR(VLOOKUP(P386,Gegenstände!$B$2:$N$2026,13,FALSE)),0,VLOOKUP(P386,Gegenstände!$B$2:$N$2026,13,FALSE))</f>
        <v>200</v>
      </c>
      <c r="AC386" s="142">
        <f>IF(ISERROR(VLOOKUP(R386,Gegenstände!$B$2:$N$2026,13,FALSE)),0,VLOOKUP(R386,Gegenstände!$B$2:$N$2026,13,FALSE))</f>
        <v>500</v>
      </c>
      <c r="AE386" s="475">
        <f t="shared" si="152"/>
        <v>18720</v>
      </c>
      <c r="AF386" s="476">
        <f t="shared" si="153"/>
        <v>18760</v>
      </c>
      <c r="AG386" s="128">
        <f t="shared" si="140"/>
        <v>0.32670157068062827</v>
      </c>
      <c r="AH386" s="128">
        <f t="shared" si="141"/>
        <v>0.3273996509598604</v>
      </c>
      <c r="AI386" s="129">
        <f t="shared" si="142"/>
        <v>0.65410122164048867</v>
      </c>
      <c r="AJ386" s="426">
        <f t="shared" si="154"/>
        <v>19820</v>
      </c>
      <c r="AK386" s="131">
        <f t="shared" si="127"/>
        <v>2477.5</v>
      </c>
      <c r="AL386" s="477">
        <f>AK386/VLOOKUP(IF(I386&gt;0,I386,1),Preise!$A$3:$B$27,2,FALSE)</f>
        <v>442.41071428571411</v>
      </c>
    </row>
    <row r="387" spans="1:38" x14ac:dyDescent="0.2">
      <c r="A387" s="525"/>
      <c r="B387" s="526"/>
      <c r="C387" s="286"/>
      <c r="D387" s="396"/>
      <c r="E387" s="527"/>
      <c r="F387" s="528"/>
      <c r="G387" s="322"/>
      <c r="H387" s="529"/>
      <c r="I387" s="322"/>
      <c r="J387" s="552"/>
      <c r="K387" s="529"/>
      <c r="L387" s="321"/>
      <c r="M387" s="553"/>
      <c r="N387" s="321"/>
      <c r="O387" s="322"/>
      <c r="P387" s="321"/>
      <c r="Q387" s="322"/>
      <c r="R387" s="321"/>
      <c r="S387" s="554"/>
      <c r="T387" s="554"/>
      <c r="U387" s="536"/>
      <c r="V387" s="551">
        <v>2000</v>
      </c>
      <c r="W387" s="579"/>
      <c r="X387" s="580"/>
      <c r="Y387" s="540"/>
      <c r="Z387" s="541"/>
      <c r="AA387" s="542"/>
      <c r="AB387" s="542"/>
      <c r="AC387" s="542"/>
      <c r="AD387" s="542"/>
      <c r="AE387" s="543"/>
      <c r="AF387" s="544"/>
      <c r="AG387" s="545"/>
      <c r="AH387" s="545"/>
      <c r="AI387" s="546"/>
      <c r="AJ387" s="547"/>
      <c r="AK387" s="548"/>
      <c r="AL387" s="549"/>
    </row>
    <row r="388" spans="1:38" x14ac:dyDescent="0.2">
      <c r="A388" s="5">
        <v>1621</v>
      </c>
      <c r="B388" s="412">
        <v>1621</v>
      </c>
      <c r="C388" s="132" t="str">
        <f>VLOOKUP(B388,Gegenstände!$A505:$B1070,2,FALSE)</f>
        <v>Erde-Stecken</v>
      </c>
      <c r="D388" s="133">
        <f>VLOOKUP(B388,Gegenstände!$A505:$D1070,4,FALSE)</f>
        <v>1</v>
      </c>
      <c r="E388" s="468">
        <v>32</v>
      </c>
      <c r="F388" s="134">
        <v>480</v>
      </c>
      <c r="G388" s="54">
        <v>1</v>
      </c>
      <c r="H388" s="469">
        <v>63</v>
      </c>
      <c r="I388" s="6">
        <v>0</v>
      </c>
      <c r="K388" s="6">
        <v>11</v>
      </c>
      <c r="L388" s="1" t="s">
        <v>139</v>
      </c>
      <c r="M388" s="87">
        <v>11</v>
      </c>
      <c r="N388" s="83" t="s">
        <v>202</v>
      </c>
      <c r="O388" s="85"/>
      <c r="U388" s="471">
        <f>VLOOKUP(D388,Preise!$A$3:$C$27,3)</f>
        <v>1</v>
      </c>
      <c r="V388" s="523">
        <f t="shared" ref="V388:V397" si="155">U388*$V$365</f>
        <v>2000</v>
      </c>
      <c r="W388" s="131"/>
      <c r="X388" s="472">
        <f t="shared" ref="X388:X397" si="156">ROUND((V388/100),0)*100</f>
        <v>2000</v>
      </c>
      <c r="Y388" s="473">
        <f t="shared" ref="Y388:Y397" si="157">X388*IF(J388&gt;0,J388,1)</f>
        <v>2000</v>
      </c>
      <c r="Z388" s="474">
        <f>IF(ISERROR(VLOOKUP(L388,Gegenstände!$B$2:$N$2026,13,FALSE)),0,VLOOKUP(L388,Gegenstände!$B$2:$N$2026,13,FALSE))</f>
        <v>60</v>
      </c>
      <c r="AA388" s="142">
        <f>IF(ISERROR(VLOOKUP(N388,Gegenstände!$B$2:$N$2026,13,FALSE)),0,VLOOKUP(N388,Gegenstände!$B$2:$N$2026,13,FALSE))</f>
        <v>60</v>
      </c>
      <c r="AB388" s="142">
        <f>IF(ISERROR(VLOOKUP(P388,Gegenstände!$B$2:$N$2026,13,FALSE)),0,VLOOKUP(P388,Gegenstände!$B$2:$N$2026,13,FALSE))</f>
        <v>0</v>
      </c>
      <c r="AC388" s="142">
        <f>IF(ISERROR(VLOOKUP(R388,Gegenstände!$B$2:$N$2026,13,FALSE)),0,VLOOKUP(R388,Gegenstände!$B$2:$N$2026,13,FALSE))</f>
        <v>0</v>
      </c>
      <c r="AE388" s="475">
        <f t="shared" ref="AE388:AE397" si="158">IF(ISERROR(K388*Z388),"",K388*Z388)</f>
        <v>660</v>
      </c>
      <c r="AF388" s="476">
        <f t="shared" ref="AF388:AF397" si="159">IF(ISERROR(M388*AA388+O388*AB388+Q388*AC388),"",M388*AA388+O388*AB388+Q388*AC388)</f>
        <v>660</v>
      </c>
      <c r="AG388" s="128">
        <f t="shared" si="140"/>
        <v>0.33</v>
      </c>
      <c r="AH388" s="128">
        <f t="shared" si="141"/>
        <v>0.33</v>
      </c>
      <c r="AI388" s="129">
        <f t="shared" si="142"/>
        <v>0.66</v>
      </c>
      <c r="AJ388" s="426">
        <f t="shared" ref="AJ388:AJ397" si="160">Y388-(AE388+AF388)</f>
        <v>680</v>
      </c>
      <c r="AK388" s="131">
        <f t="shared" si="127"/>
        <v>85</v>
      </c>
      <c r="AL388" s="477">
        <f>AK388/VLOOKUP(IF(I388&gt;0,I388,1),Preise!$A$3:$B$27,2,FALSE)</f>
        <v>85</v>
      </c>
    </row>
    <row r="389" spans="1:38" x14ac:dyDescent="0.2">
      <c r="A389" s="5">
        <v>1622</v>
      </c>
      <c r="B389" s="412">
        <v>1622</v>
      </c>
      <c r="C389" s="132" t="str">
        <f>VLOOKUP(B389,Gegenstände!$A506:$B1071,2,FALSE)</f>
        <v>Erde-Krummstab</v>
      </c>
      <c r="D389" s="133">
        <f>VLOOKUP(B389,Gegenstände!$A506:$D1071,4,FALSE)</f>
        <v>4</v>
      </c>
      <c r="E389" s="468">
        <v>32</v>
      </c>
      <c r="F389" s="134">
        <v>480</v>
      </c>
      <c r="G389" s="54">
        <v>1</v>
      </c>
      <c r="H389" s="469">
        <v>63</v>
      </c>
      <c r="I389" s="6">
        <v>3</v>
      </c>
      <c r="K389" s="6">
        <v>16</v>
      </c>
      <c r="L389" s="1" t="s">
        <v>139</v>
      </c>
      <c r="M389" s="87">
        <v>16</v>
      </c>
      <c r="N389" s="83" t="s">
        <v>202</v>
      </c>
      <c r="O389" s="85"/>
      <c r="U389" s="471">
        <f>VLOOKUP(D389,Preise!$A$3:$C$27,3)</f>
        <v>1.5208749999999995</v>
      </c>
      <c r="V389" s="523">
        <f t="shared" si="155"/>
        <v>3041.7499999999991</v>
      </c>
      <c r="W389" s="131"/>
      <c r="X389" s="472">
        <f t="shared" si="156"/>
        <v>3000</v>
      </c>
      <c r="Y389" s="473">
        <f t="shared" si="157"/>
        <v>3000</v>
      </c>
      <c r="Z389" s="474">
        <f>IF(ISERROR(VLOOKUP(L389,Gegenstände!$B$2:$N$2026,13,FALSE)),0,VLOOKUP(L389,Gegenstände!$B$2:$N$2026,13,FALSE))</f>
        <v>60</v>
      </c>
      <c r="AA389" s="142">
        <f>IF(ISERROR(VLOOKUP(N389,Gegenstände!$B$2:$N$2026,13,FALSE)),0,VLOOKUP(N389,Gegenstände!$B$2:$N$2026,13,FALSE))</f>
        <v>60</v>
      </c>
      <c r="AB389" s="142">
        <f>IF(ISERROR(VLOOKUP(P389,Gegenstände!$B$2:$N$2026,13,FALSE)),0,VLOOKUP(P389,Gegenstände!$B$2:$N$2026,13,FALSE))</f>
        <v>0</v>
      </c>
      <c r="AC389" s="142">
        <f>IF(ISERROR(VLOOKUP(R389,Gegenstände!$B$2:$N$2026,13,FALSE)),0,VLOOKUP(R389,Gegenstände!$B$2:$N$2026,13,FALSE))</f>
        <v>0</v>
      </c>
      <c r="AE389" s="475">
        <f t="shared" si="158"/>
        <v>960</v>
      </c>
      <c r="AF389" s="476">
        <f t="shared" si="159"/>
        <v>960</v>
      </c>
      <c r="AG389" s="128">
        <f t="shared" si="140"/>
        <v>0.32</v>
      </c>
      <c r="AH389" s="128">
        <f t="shared" si="141"/>
        <v>0.32</v>
      </c>
      <c r="AI389" s="129">
        <f t="shared" si="142"/>
        <v>0.64</v>
      </c>
      <c r="AJ389" s="426">
        <f t="shared" si="160"/>
        <v>1080</v>
      </c>
      <c r="AK389" s="131">
        <f t="shared" si="127"/>
        <v>135</v>
      </c>
      <c r="AL389" s="477">
        <f>AK389/VLOOKUP(IF(I389&gt;0,I389,1),Preise!$A$3:$B$27,2,FALSE)</f>
        <v>96.428571428571431</v>
      </c>
    </row>
    <row r="390" spans="1:38" x14ac:dyDescent="0.2">
      <c r="A390" s="5">
        <v>1623</v>
      </c>
      <c r="B390" s="412">
        <v>1623</v>
      </c>
      <c r="C390" s="132" t="str">
        <f>VLOOKUP(B390,Gegenstände!$A507:$B1072,2,FALSE)</f>
        <v>Erde-Langholz</v>
      </c>
      <c r="D390" s="133">
        <f>VLOOKUP(B390,Gegenstände!$A507:$D1072,4,FALSE)</f>
        <v>6</v>
      </c>
      <c r="E390" s="468">
        <v>32</v>
      </c>
      <c r="F390" s="134">
        <v>480</v>
      </c>
      <c r="G390" s="54">
        <v>2</v>
      </c>
      <c r="H390" s="469">
        <v>63</v>
      </c>
      <c r="I390" s="6">
        <v>5</v>
      </c>
      <c r="K390" s="6">
        <v>11</v>
      </c>
      <c r="L390" s="1" t="s">
        <v>140</v>
      </c>
      <c r="M390" s="87">
        <v>22</v>
      </c>
      <c r="N390" s="83" t="s">
        <v>202</v>
      </c>
      <c r="O390" s="85"/>
      <c r="U390" s="471">
        <f>VLOOKUP(D390,Preise!$A$3:$C$27,3)</f>
        <v>2.0113571874999994</v>
      </c>
      <c r="V390" s="523">
        <f t="shared" si="155"/>
        <v>4022.7143749999987</v>
      </c>
      <c r="W390" s="131"/>
      <c r="X390" s="472">
        <f t="shared" si="156"/>
        <v>4000</v>
      </c>
      <c r="Y390" s="473">
        <f t="shared" si="157"/>
        <v>4000</v>
      </c>
      <c r="Z390" s="474">
        <f>IF(ISERROR(VLOOKUP(L390,Gegenstände!$B$2:$N$2026,13,FALSE)),0,VLOOKUP(L390,Gegenstände!$B$2:$N$2026,13,FALSE))</f>
        <v>120</v>
      </c>
      <c r="AA390" s="142">
        <f>IF(ISERROR(VLOOKUP(N390,Gegenstände!$B$2:$N$2026,13,FALSE)),0,VLOOKUP(N390,Gegenstände!$B$2:$N$2026,13,FALSE))</f>
        <v>60</v>
      </c>
      <c r="AB390" s="142">
        <f>IF(ISERROR(VLOOKUP(P390,Gegenstände!$B$2:$N$2026,13,FALSE)),0,VLOOKUP(P390,Gegenstände!$B$2:$N$2026,13,FALSE))</f>
        <v>0</v>
      </c>
      <c r="AC390" s="142">
        <f>IF(ISERROR(VLOOKUP(R390,Gegenstände!$B$2:$N$2026,13,FALSE)),0,VLOOKUP(R390,Gegenstände!$B$2:$N$2026,13,FALSE))</f>
        <v>0</v>
      </c>
      <c r="AE390" s="475">
        <f t="shared" si="158"/>
        <v>1320</v>
      </c>
      <c r="AF390" s="476">
        <f t="shared" si="159"/>
        <v>1320</v>
      </c>
      <c r="AG390" s="128">
        <f t="shared" si="140"/>
        <v>0.33</v>
      </c>
      <c r="AH390" s="128">
        <f t="shared" si="141"/>
        <v>0.33</v>
      </c>
      <c r="AI390" s="129">
        <f t="shared" si="142"/>
        <v>0.66</v>
      </c>
      <c r="AJ390" s="426">
        <f t="shared" si="160"/>
        <v>1360</v>
      </c>
      <c r="AK390" s="131">
        <f t="shared" si="127"/>
        <v>170</v>
      </c>
      <c r="AL390" s="477">
        <f>AK390/VLOOKUP(IF(I390&gt;0,I390,1),Preise!$A$3:$B$27,2,FALSE)</f>
        <v>94.444444444444457</v>
      </c>
    </row>
    <row r="391" spans="1:38" x14ac:dyDescent="0.2">
      <c r="A391" s="5">
        <v>1624</v>
      </c>
      <c r="B391" s="412">
        <v>1624</v>
      </c>
      <c r="C391" s="132" t="str">
        <f>VLOOKUP(B391,Gegenstände!$A508:$B1073,2,FALSE)</f>
        <v>Erde-Runenstab</v>
      </c>
      <c r="D391" s="133">
        <f>VLOOKUP(B391,Gegenstände!$A508:$D1073,4,FALSE)</f>
        <v>9</v>
      </c>
      <c r="E391" s="468">
        <v>32</v>
      </c>
      <c r="F391" s="134">
        <v>480</v>
      </c>
      <c r="G391" s="54">
        <v>2</v>
      </c>
      <c r="H391" s="469">
        <v>63</v>
      </c>
      <c r="I391" s="6">
        <v>8</v>
      </c>
      <c r="K391" s="6">
        <v>17</v>
      </c>
      <c r="L391" s="1" t="s">
        <v>140</v>
      </c>
      <c r="M391" s="87">
        <v>34</v>
      </c>
      <c r="N391" s="83" t="s">
        <v>202</v>
      </c>
      <c r="O391" s="85"/>
      <c r="U391" s="471">
        <f>VLOOKUP(D391,Preise!$A$3:$C$27,3)</f>
        <v>3.0590228625390607</v>
      </c>
      <c r="V391" s="523">
        <f t="shared" si="155"/>
        <v>6118.0457250781219</v>
      </c>
      <c r="W391" s="131"/>
      <c r="X391" s="472">
        <f t="shared" si="156"/>
        <v>6100</v>
      </c>
      <c r="Y391" s="473">
        <f t="shared" si="157"/>
        <v>6100</v>
      </c>
      <c r="Z391" s="474">
        <f>IF(ISERROR(VLOOKUP(L391,Gegenstände!$B$2:$N$2026,13,FALSE)),0,VLOOKUP(L391,Gegenstände!$B$2:$N$2026,13,FALSE))</f>
        <v>120</v>
      </c>
      <c r="AA391" s="142">
        <f>IF(ISERROR(VLOOKUP(N391,Gegenstände!$B$2:$N$2026,13,FALSE)),0,VLOOKUP(N391,Gegenstände!$B$2:$N$2026,13,FALSE))</f>
        <v>60</v>
      </c>
      <c r="AB391" s="142">
        <f>IF(ISERROR(VLOOKUP(P391,Gegenstände!$B$2:$N$2026,13,FALSE)),0,VLOOKUP(P391,Gegenstände!$B$2:$N$2026,13,FALSE))</f>
        <v>0</v>
      </c>
      <c r="AC391" s="142">
        <f>IF(ISERROR(VLOOKUP(R391,Gegenstände!$B$2:$N$2026,13,FALSE)),0,VLOOKUP(R391,Gegenstände!$B$2:$N$2026,13,FALSE))</f>
        <v>0</v>
      </c>
      <c r="AE391" s="475">
        <f t="shared" si="158"/>
        <v>2040</v>
      </c>
      <c r="AF391" s="476">
        <f t="shared" si="159"/>
        <v>2040</v>
      </c>
      <c r="AG391" s="128">
        <f t="shared" si="140"/>
        <v>0.33442622950819673</v>
      </c>
      <c r="AH391" s="128">
        <f t="shared" si="141"/>
        <v>0.33442622950819673</v>
      </c>
      <c r="AI391" s="129">
        <f t="shared" si="142"/>
        <v>0.66885245901639345</v>
      </c>
      <c r="AJ391" s="426">
        <f t="shared" si="160"/>
        <v>2020</v>
      </c>
      <c r="AK391" s="131">
        <f t="shared" si="127"/>
        <v>252.5</v>
      </c>
      <c r="AL391" s="477">
        <f>AK391/VLOOKUP(IF(I391&gt;0,I391,1),Preise!$A$3:$B$27,2,FALSE)</f>
        <v>105.20833333333334</v>
      </c>
    </row>
    <row r="392" spans="1:38" x14ac:dyDescent="0.2">
      <c r="A392" s="5">
        <v>1625</v>
      </c>
      <c r="B392" s="412">
        <v>1625</v>
      </c>
      <c r="C392" s="132" t="str">
        <f>VLOOKUP(B392,Gegenstände!$A509:$B1074,2,FALSE)</f>
        <v>Erde-Lichtstab</v>
      </c>
      <c r="D392" s="133">
        <f>VLOOKUP(B392,Gegenstände!$A509:$D1074,4,FALSE)</f>
        <v>11</v>
      </c>
      <c r="E392" s="468">
        <v>32</v>
      </c>
      <c r="F392" s="134">
        <v>480</v>
      </c>
      <c r="G392" s="54">
        <v>3</v>
      </c>
      <c r="H392" s="469">
        <v>63</v>
      </c>
      <c r="I392" s="6">
        <v>10</v>
      </c>
      <c r="K392" s="6">
        <v>15</v>
      </c>
      <c r="L392" s="1" t="s">
        <v>141</v>
      </c>
      <c r="M392" s="87">
        <v>5</v>
      </c>
      <c r="N392" s="83" t="s">
        <v>202</v>
      </c>
      <c r="O392" s="85">
        <v>12</v>
      </c>
      <c r="P392" s="84" t="s">
        <v>204</v>
      </c>
      <c r="Q392" s="87"/>
      <c r="R392" s="84"/>
      <c r="U392" s="471">
        <f>VLOOKUP(D392,Preise!$A$3:$C$27,3)</f>
        <v>4.0455577357079076</v>
      </c>
      <c r="V392" s="523">
        <f t="shared" si="155"/>
        <v>8091.1154714158147</v>
      </c>
      <c r="W392" s="131"/>
      <c r="X392" s="472">
        <f t="shared" si="156"/>
        <v>8100</v>
      </c>
      <c r="Y392" s="473">
        <f t="shared" si="157"/>
        <v>8100</v>
      </c>
      <c r="Z392" s="474">
        <f>IF(ISERROR(VLOOKUP(L392,Gegenstände!$B$2:$N$2026,13,FALSE)),0,VLOOKUP(L392,Gegenstände!$B$2:$N$2026,13,FALSE))</f>
        <v>180</v>
      </c>
      <c r="AA392" s="142">
        <f>IF(ISERROR(VLOOKUP(N392,Gegenstände!$B$2:$N$2026,13,FALSE)),0,VLOOKUP(N392,Gegenstände!$B$2:$N$2026,13,FALSE))</f>
        <v>60</v>
      </c>
      <c r="AB392" s="142">
        <f>IF(ISERROR(VLOOKUP(P392,Gegenstände!$B$2:$N$2026,13,FALSE)),0,VLOOKUP(P392,Gegenstände!$B$2:$N$2026,13,FALSE))</f>
        <v>200</v>
      </c>
      <c r="AC392" s="142">
        <f>IF(ISERROR(VLOOKUP(R392,Gegenstände!$B$2:$N$2026,13,FALSE)),0,VLOOKUP(R392,Gegenstände!$B$2:$N$2026,13,FALSE))</f>
        <v>0</v>
      </c>
      <c r="AE392" s="475">
        <f t="shared" si="158"/>
        <v>2700</v>
      </c>
      <c r="AF392" s="476">
        <f t="shared" si="159"/>
        <v>2700</v>
      </c>
      <c r="AG392" s="128">
        <f t="shared" si="140"/>
        <v>0.33333333333333331</v>
      </c>
      <c r="AH392" s="128">
        <f t="shared" si="141"/>
        <v>0.33333333333333331</v>
      </c>
      <c r="AI392" s="129">
        <f t="shared" si="142"/>
        <v>0.66666666666666663</v>
      </c>
      <c r="AJ392" s="426">
        <f t="shared" si="160"/>
        <v>2700</v>
      </c>
      <c r="AK392" s="131">
        <f t="shared" si="127"/>
        <v>337.5</v>
      </c>
      <c r="AL392" s="477">
        <f>AK392/VLOOKUP(IF(I392&gt;0,I392,1),Preise!$A$3:$B$27,2,FALSE)</f>
        <v>120.53571428571428</v>
      </c>
    </row>
    <row r="393" spans="1:38" x14ac:dyDescent="0.2">
      <c r="A393" s="5">
        <v>1626</v>
      </c>
      <c r="B393" s="412">
        <v>1626</v>
      </c>
      <c r="C393" s="132" t="str">
        <f>VLOOKUP(B393,Gegenstände!$A510:$B1075,2,FALSE)</f>
        <v>Erde-Rute</v>
      </c>
      <c r="D393" s="133">
        <f>VLOOKUP(B393,Gegenstände!$A510:$D1075,4,FALSE)</f>
        <v>14</v>
      </c>
      <c r="E393" s="468">
        <v>32</v>
      </c>
      <c r="F393" s="134">
        <v>480</v>
      </c>
      <c r="G393" s="54">
        <v>3</v>
      </c>
      <c r="H393" s="469">
        <v>63</v>
      </c>
      <c r="I393" s="6">
        <v>13</v>
      </c>
      <c r="K393" s="6">
        <v>22</v>
      </c>
      <c r="L393" s="1" t="s">
        <v>141</v>
      </c>
      <c r="M393" s="87">
        <v>5</v>
      </c>
      <c r="N393" s="83" t="s">
        <v>202</v>
      </c>
      <c r="O393" s="85">
        <v>19</v>
      </c>
      <c r="P393" s="84" t="s">
        <v>204</v>
      </c>
      <c r="Q393" s="87"/>
      <c r="R393" s="84"/>
      <c r="U393" s="471">
        <f>VLOOKUP(D393,Preise!$A$3:$C$27,3)</f>
        <v>6.1527876212947623</v>
      </c>
      <c r="V393" s="523">
        <f t="shared" si="155"/>
        <v>12305.575242589524</v>
      </c>
      <c r="W393" s="131"/>
      <c r="X393" s="472">
        <f t="shared" si="156"/>
        <v>12300</v>
      </c>
      <c r="Y393" s="473">
        <f t="shared" si="157"/>
        <v>12300</v>
      </c>
      <c r="Z393" s="474">
        <f>IF(ISERROR(VLOOKUP(L393,Gegenstände!$B$2:$N$2026,13,FALSE)),0,VLOOKUP(L393,Gegenstände!$B$2:$N$2026,13,FALSE))</f>
        <v>180</v>
      </c>
      <c r="AA393" s="142">
        <f>IF(ISERROR(VLOOKUP(N393,Gegenstände!$B$2:$N$2026,13,FALSE)),0,VLOOKUP(N393,Gegenstände!$B$2:$N$2026,13,FALSE))</f>
        <v>60</v>
      </c>
      <c r="AB393" s="142">
        <f>IF(ISERROR(VLOOKUP(P393,Gegenstände!$B$2:$N$2026,13,FALSE)),0,VLOOKUP(P393,Gegenstände!$B$2:$N$2026,13,FALSE))</f>
        <v>200</v>
      </c>
      <c r="AC393" s="142">
        <f>IF(ISERROR(VLOOKUP(R393,Gegenstände!$B$2:$N$2026,13,FALSE)),0,VLOOKUP(R393,Gegenstände!$B$2:$N$2026,13,FALSE))</f>
        <v>0</v>
      </c>
      <c r="AE393" s="475">
        <f t="shared" si="158"/>
        <v>3960</v>
      </c>
      <c r="AF393" s="476">
        <f t="shared" si="159"/>
        <v>4100</v>
      </c>
      <c r="AG393" s="128">
        <f t="shared" si="140"/>
        <v>0.32195121951219513</v>
      </c>
      <c r="AH393" s="128">
        <f t="shared" si="141"/>
        <v>0.33333333333333331</v>
      </c>
      <c r="AI393" s="129">
        <f t="shared" si="142"/>
        <v>0.65528455284552845</v>
      </c>
      <c r="AJ393" s="426">
        <f t="shared" si="160"/>
        <v>4240</v>
      </c>
      <c r="AK393" s="131">
        <f t="shared" si="127"/>
        <v>530</v>
      </c>
      <c r="AL393" s="477">
        <f>AK393/VLOOKUP(IF(I393&gt;0,I393,1),Preise!$A$3:$B$27,2,FALSE)</f>
        <v>155.88235294117644</v>
      </c>
    </row>
    <row r="394" spans="1:38" x14ac:dyDescent="0.2">
      <c r="A394" s="5">
        <v>1627</v>
      </c>
      <c r="B394" s="412">
        <v>1627</v>
      </c>
      <c r="C394" s="132" t="str">
        <f>VLOOKUP(B394,Gegenstände!$A511:$B1076,2,FALSE)</f>
        <v>Erde-Spiralstab</v>
      </c>
      <c r="D394" s="133">
        <f>VLOOKUP(B394,Gegenstände!$A511:$D1076,4,FALSE)</f>
        <v>16</v>
      </c>
      <c r="E394" s="468">
        <v>32</v>
      </c>
      <c r="F394" s="134">
        <v>480</v>
      </c>
      <c r="G394" s="54">
        <v>4</v>
      </c>
      <c r="H394" s="469">
        <v>63</v>
      </c>
      <c r="I394" s="6">
        <v>15</v>
      </c>
      <c r="K394" s="6">
        <v>20</v>
      </c>
      <c r="L394" s="1" t="s">
        <v>142</v>
      </c>
      <c r="M394" s="87">
        <v>6</v>
      </c>
      <c r="N394" s="83" t="s">
        <v>202</v>
      </c>
      <c r="O394" s="85">
        <v>25</v>
      </c>
      <c r="P394" s="84" t="s">
        <v>204</v>
      </c>
      <c r="Q394" s="87"/>
      <c r="U394" s="471">
        <f>VLOOKUP(D394,Preise!$A$3:$C$27,3)</f>
        <v>8.1370616291623215</v>
      </c>
      <c r="V394" s="523">
        <f t="shared" si="155"/>
        <v>16274.123258324644</v>
      </c>
      <c r="W394" s="131"/>
      <c r="X394" s="472">
        <f t="shared" si="156"/>
        <v>16300</v>
      </c>
      <c r="Y394" s="473">
        <f t="shared" si="157"/>
        <v>16300</v>
      </c>
      <c r="Z394" s="474">
        <f>IF(ISERROR(VLOOKUP(L394,Gegenstände!$B$2:$N$2026,13,FALSE)),0,VLOOKUP(L394,Gegenstände!$B$2:$N$2026,13,FALSE))</f>
        <v>270</v>
      </c>
      <c r="AA394" s="142">
        <f>IF(ISERROR(VLOOKUP(N394,Gegenstände!$B$2:$N$2026,13,FALSE)),0,VLOOKUP(N394,Gegenstände!$B$2:$N$2026,13,FALSE))</f>
        <v>60</v>
      </c>
      <c r="AB394" s="142">
        <f>IF(ISERROR(VLOOKUP(P394,Gegenstände!$B$2:$N$2026,13,FALSE)),0,VLOOKUP(P394,Gegenstände!$B$2:$N$2026,13,FALSE))</f>
        <v>200</v>
      </c>
      <c r="AC394" s="142">
        <f>IF(ISERROR(VLOOKUP(R394,Gegenstände!$B$2:$N$2026,13,FALSE)),0,VLOOKUP(R394,Gegenstände!$B$2:$N$2026,13,FALSE))</f>
        <v>0</v>
      </c>
      <c r="AE394" s="475">
        <f t="shared" si="158"/>
        <v>5400</v>
      </c>
      <c r="AF394" s="476">
        <f t="shared" si="159"/>
        <v>5360</v>
      </c>
      <c r="AG394" s="128">
        <f t="shared" si="140"/>
        <v>0.33128834355828218</v>
      </c>
      <c r="AH394" s="128">
        <f t="shared" si="141"/>
        <v>0.32883435582822085</v>
      </c>
      <c r="AI394" s="129">
        <f t="shared" si="142"/>
        <v>0.66012269938650303</v>
      </c>
      <c r="AJ394" s="426">
        <f t="shared" si="160"/>
        <v>5540</v>
      </c>
      <c r="AK394" s="131">
        <f t="shared" ref="AK394:AK408" si="161">(AJ394*60)/F394</f>
        <v>692.5</v>
      </c>
      <c r="AL394" s="477">
        <f>AK394/VLOOKUP(IF(I394&gt;0,I394,1),Preise!$A$3:$B$27,2,FALSE)</f>
        <v>182.23684210526309</v>
      </c>
    </row>
    <row r="395" spans="1:38" x14ac:dyDescent="0.2">
      <c r="A395" s="5">
        <v>1628</v>
      </c>
      <c r="B395" s="412">
        <v>1628</v>
      </c>
      <c r="C395" s="132" t="str">
        <f>VLOOKUP(B395,Gegenstände!$A512:$B1077,2,FALSE)</f>
        <v>Erde-Eschenstab</v>
      </c>
      <c r="D395" s="133">
        <f>VLOOKUP(B395,Gegenstände!$A512:$D1077,4,FALSE)</f>
        <v>19</v>
      </c>
      <c r="E395" s="468">
        <v>32</v>
      </c>
      <c r="F395" s="134">
        <v>480</v>
      </c>
      <c r="G395" s="54">
        <v>4</v>
      </c>
      <c r="H395" s="469">
        <v>63</v>
      </c>
      <c r="I395" s="6">
        <v>18</v>
      </c>
      <c r="K395" s="6">
        <v>30</v>
      </c>
      <c r="L395" s="1" t="s">
        <v>142</v>
      </c>
      <c r="M395" s="87">
        <v>8</v>
      </c>
      <c r="N395" s="83" t="s">
        <v>202</v>
      </c>
      <c r="O395" s="85">
        <v>38</v>
      </c>
      <c r="P395" s="84" t="s">
        <v>204</v>
      </c>
      <c r="Q395" s="87"/>
      <c r="R395" s="84"/>
      <c r="U395" s="471">
        <f>VLOOKUP(D395,Preise!$A$3:$C$27,3)</f>
        <v>12.375453605252243</v>
      </c>
      <c r="V395" s="523">
        <f t="shared" si="155"/>
        <v>24750.907210504487</v>
      </c>
      <c r="W395" s="131"/>
      <c r="X395" s="472">
        <f t="shared" si="156"/>
        <v>24800</v>
      </c>
      <c r="Y395" s="473">
        <f t="shared" si="157"/>
        <v>24800</v>
      </c>
      <c r="Z395" s="474">
        <f>IF(ISERROR(VLOOKUP(L395,Gegenstände!$B$2:$N$2026,13,FALSE)),0,VLOOKUP(L395,Gegenstände!$B$2:$N$2026,13,FALSE))</f>
        <v>270</v>
      </c>
      <c r="AA395" s="142">
        <f>IF(ISERROR(VLOOKUP(N395,Gegenstände!$B$2:$N$2026,13,FALSE)),0,VLOOKUP(N395,Gegenstände!$B$2:$N$2026,13,FALSE))</f>
        <v>60</v>
      </c>
      <c r="AB395" s="142">
        <f>IF(ISERROR(VLOOKUP(P395,Gegenstände!$B$2:$N$2026,13,FALSE)),0,VLOOKUP(P395,Gegenstände!$B$2:$N$2026,13,FALSE))</f>
        <v>200</v>
      </c>
      <c r="AC395" s="142">
        <f>IF(ISERROR(VLOOKUP(R395,Gegenstände!$B$2:$N$2026,13,FALSE)),0,VLOOKUP(R395,Gegenstände!$B$2:$N$2026,13,FALSE))</f>
        <v>0</v>
      </c>
      <c r="AE395" s="475">
        <f t="shared" si="158"/>
        <v>8100</v>
      </c>
      <c r="AF395" s="476">
        <f t="shared" si="159"/>
        <v>8080</v>
      </c>
      <c r="AG395" s="128">
        <f t="shared" si="140"/>
        <v>0.32661290322580644</v>
      </c>
      <c r="AH395" s="128">
        <f t="shared" si="141"/>
        <v>0.32580645161290323</v>
      </c>
      <c r="AI395" s="129">
        <f t="shared" si="142"/>
        <v>0.65241935483870972</v>
      </c>
      <c r="AJ395" s="426">
        <f t="shared" si="160"/>
        <v>8620</v>
      </c>
      <c r="AK395" s="131">
        <f t="shared" si="161"/>
        <v>1077.5</v>
      </c>
      <c r="AL395" s="477">
        <f>AK395/VLOOKUP(IF(I395&gt;0,I395,1),Preise!$A$3:$B$27,2,FALSE)</f>
        <v>244.88636363636357</v>
      </c>
    </row>
    <row r="396" spans="1:38" x14ac:dyDescent="0.2">
      <c r="A396" s="5">
        <v>1629</v>
      </c>
      <c r="B396" s="412">
        <v>1629</v>
      </c>
      <c r="C396" s="132" t="str">
        <f>VLOOKUP(B396,Gegenstände!$A513:$B1078,2,FALSE)</f>
        <v>Erde-Eibenlanze</v>
      </c>
      <c r="D396" s="133">
        <f>VLOOKUP(B396,Gegenstände!$A513:$D1078,4,FALSE)</f>
        <v>22</v>
      </c>
      <c r="E396" s="468">
        <v>32</v>
      </c>
      <c r="F396" s="134">
        <v>480</v>
      </c>
      <c r="G396" s="54">
        <v>5</v>
      </c>
      <c r="H396" s="469">
        <v>63</v>
      </c>
      <c r="I396" s="6">
        <v>21</v>
      </c>
      <c r="K396" s="6">
        <v>34</v>
      </c>
      <c r="L396" s="1" t="s">
        <v>143</v>
      </c>
      <c r="M396" s="87">
        <v>6</v>
      </c>
      <c r="N396" s="83" t="s">
        <v>202</v>
      </c>
      <c r="O396" s="85">
        <v>10</v>
      </c>
      <c r="P396" s="84" t="s">
        <v>204</v>
      </c>
      <c r="Q396" s="87">
        <v>20</v>
      </c>
      <c r="R396" s="84" t="s">
        <v>205</v>
      </c>
      <c r="U396" s="471">
        <f>VLOOKUP(D396,Preise!$A$3:$C$27,3)</f>
        <v>18.821518001888002</v>
      </c>
      <c r="V396" s="523">
        <f t="shared" si="155"/>
        <v>37643.036003776004</v>
      </c>
      <c r="W396" s="131"/>
      <c r="X396" s="472">
        <f t="shared" si="156"/>
        <v>37600</v>
      </c>
      <c r="Y396" s="473">
        <f t="shared" si="157"/>
        <v>37600</v>
      </c>
      <c r="Z396" s="474">
        <f>IF(ISERROR(VLOOKUP(L396,Gegenstände!$B$2:$N$2026,13,FALSE)),0,VLOOKUP(L396,Gegenstände!$B$2:$N$2026,13,FALSE))</f>
        <v>360</v>
      </c>
      <c r="AA396" s="142">
        <f>IF(ISERROR(VLOOKUP(N396,Gegenstände!$B$2:$N$2026,13,FALSE)),0,VLOOKUP(N396,Gegenstände!$B$2:$N$2026,13,FALSE))</f>
        <v>60</v>
      </c>
      <c r="AB396" s="142">
        <f>IF(ISERROR(VLOOKUP(P396,Gegenstände!$B$2:$N$2026,13,FALSE)),0,VLOOKUP(P396,Gegenstände!$B$2:$N$2026,13,FALSE))</f>
        <v>200</v>
      </c>
      <c r="AC396" s="142">
        <f>IF(ISERROR(VLOOKUP(R396,Gegenstände!$B$2:$N$2026,13,FALSE)),0,VLOOKUP(R396,Gegenstände!$B$2:$N$2026,13,FALSE))</f>
        <v>500</v>
      </c>
      <c r="AE396" s="475">
        <f t="shared" si="158"/>
        <v>12240</v>
      </c>
      <c r="AF396" s="476">
        <f t="shared" si="159"/>
        <v>12360</v>
      </c>
      <c r="AG396" s="128">
        <f t="shared" si="140"/>
        <v>0.32553191489361705</v>
      </c>
      <c r="AH396" s="128">
        <f t="shared" si="141"/>
        <v>0.32872340425531915</v>
      </c>
      <c r="AI396" s="129">
        <f t="shared" si="142"/>
        <v>0.6542553191489362</v>
      </c>
      <c r="AJ396" s="426">
        <f t="shared" si="160"/>
        <v>13000</v>
      </c>
      <c r="AK396" s="131">
        <f t="shared" si="161"/>
        <v>1625</v>
      </c>
      <c r="AL396" s="477">
        <f>AK396/VLOOKUP(IF(I396&gt;0,I396,1),Preise!$A$3:$B$27,2,FALSE)</f>
        <v>324.99999999999989</v>
      </c>
    </row>
    <row r="397" spans="1:38" x14ac:dyDescent="0.2">
      <c r="A397" s="5">
        <v>1630</v>
      </c>
      <c r="B397" s="412">
        <v>1630</v>
      </c>
      <c r="C397" s="132" t="str">
        <f>VLOOKUP(B397,Gegenstände!$A514:$B1079,2,FALSE)</f>
        <v>Erde-Wächterstab</v>
      </c>
      <c r="D397" s="133">
        <f>VLOOKUP(B397,Gegenstände!$A514:$D1079,4,FALSE)</f>
        <v>25</v>
      </c>
      <c r="E397" s="468">
        <v>32</v>
      </c>
      <c r="F397" s="134">
        <v>480</v>
      </c>
      <c r="G397" s="54">
        <v>5</v>
      </c>
      <c r="H397" s="469">
        <v>63</v>
      </c>
      <c r="I397" s="6">
        <v>24</v>
      </c>
      <c r="K397" s="6">
        <v>52</v>
      </c>
      <c r="L397" s="1" t="s">
        <v>143</v>
      </c>
      <c r="M397" s="87">
        <v>6</v>
      </c>
      <c r="N397" s="83" t="s">
        <v>202</v>
      </c>
      <c r="O397" s="85">
        <v>12</v>
      </c>
      <c r="P397" s="84" t="s">
        <v>204</v>
      </c>
      <c r="Q397" s="87">
        <v>32</v>
      </c>
      <c r="R397" s="84" t="s">
        <v>205</v>
      </c>
      <c r="U397" s="471">
        <f>VLOOKUP(D397,Preise!$A$3:$C$27,3)</f>
        <v>28.625176191121408</v>
      </c>
      <c r="V397" s="523">
        <f t="shared" si="155"/>
        <v>57250.352382242818</v>
      </c>
      <c r="W397" s="131"/>
      <c r="X397" s="472">
        <f t="shared" si="156"/>
        <v>57300</v>
      </c>
      <c r="Y397" s="473">
        <f t="shared" si="157"/>
        <v>57300</v>
      </c>
      <c r="Z397" s="474">
        <f>IF(ISERROR(VLOOKUP(L397,Gegenstände!$B$2:$N$2026,13,FALSE)),0,VLOOKUP(L397,Gegenstände!$B$2:$N$2026,13,FALSE))</f>
        <v>360</v>
      </c>
      <c r="AA397" s="142">
        <f>IF(ISERROR(VLOOKUP(N397,Gegenstände!$B$2:$N$2026,13,FALSE)),0,VLOOKUP(N397,Gegenstände!$B$2:$N$2026,13,FALSE))</f>
        <v>60</v>
      </c>
      <c r="AB397" s="142">
        <f>IF(ISERROR(VLOOKUP(P397,Gegenstände!$B$2:$N$2026,13,FALSE)),0,VLOOKUP(P397,Gegenstände!$B$2:$N$2026,13,FALSE))</f>
        <v>200</v>
      </c>
      <c r="AC397" s="142">
        <f>IF(ISERROR(VLOOKUP(R397,Gegenstände!$B$2:$N$2026,13,FALSE)),0,VLOOKUP(R397,Gegenstände!$B$2:$N$2026,13,FALSE))</f>
        <v>500</v>
      </c>
      <c r="AE397" s="475">
        <f t="shared" si="158"/>
        <v>18720</v>
      </c>
      <c r="AF397" s="476">
        <f t="shared" si="159"/>
        <v>18760</v>
      </c>
      <c r="AG397" s="128">
        <f t="shared" si="140"/>
        <v>0.32670157068062827</v>
      </c>
      <c r="AH397" s="128">
        <f t="shared" si="141"/>
        <v>0.3273996509598604</v>
      </c>
      <c r="AI397" s="129">
        <f t="shared" si="142"/>
        <v>0.65410122164048867</v>
      </c>
      <c r="AJ397" s="426">
        <f t="shared" si="160"/>
        <v>19820</v>
      </c>
      <c r="AK397" s="131">
        <f t="shared" si="161"/>
        <v>2477.5</v>
      </c>
      <c r="AL397" s="477">
        <f>AK397/VLOOKUP(IF(I397&gt;0,I397,1),Preise!$A$3:$B$27,2,FALSE)</f>
        <v>442.41071428571411</v>
      </c>
    </row>
    <row r="398" spans="1:38" x14ac:dyDescent="0.2">
      <c r="A398" s="525"/>
      <c r="B398" s="526"/>
      <c r="C398" s="286"/>
      <c r="D398" s="396"/>
      <c r="E398" s="527"/>
      <c r="F398" s="528"/>
      <c r="G398" s="322"/>
      <c r="H398" s="529"/>
      <c r="I398" s="322"/>
      <c r="J398" s="552"/>
      <c r="K398" s="529"/>
      <c r="L398" s="321"/>
      <c r="M398" s="553"/>
      <c r="N398" s="321"/>
      <c r="O398" s="322"/>
      <c r="P398" s="321"/>
      <c r="Q398" s="322"/>
      <c r="R398" s="321"/>
      <c r="S398" s="554"/>
      <c r="T398" s="555"/>
      <c r="U398" s="536"/>
      <c r="V398" s="551">
        <v>2000</v>
      </c>
      <c r="W398" s="579"/>
      <c r="X398" s="580"/>
      <c r="Y398" s="540"/>
      <c r="Z398" s="541"/>
      <c r="AA398" s="542"/>
      <c r="AB398" s="542"/>
      <c r="AC398" s="542"/>
      <c r="AD398" s="542"/>
      <c r="AE398" s="543"/>
      <c r="AF398" s="544"/>
      <c r="AG398" s="545"/>
      <c r="AH398" s="545"/>
      <c r="AI398" s="546"/>
      <c r="AJ398" s="547"/>
      <c r="AK398" s="548"/>
      <c r="AL398" s="549"/>
    </row>
    <row r="399" spans="1:38" x14ac:dyDescent="0.2">
      <c r="A399" s="5">
        <v>1631</v>
      </c>
      <c r="B399" s="412">
        <v>1631</v>
      </c>
      <c r="C399" s="132" t="str">
        <f>VLOOKUP(B399,Gegenstände!$A516:$B1081,2,FALSE)</f>
        <v>Luft-Stecken</v>
      </c>
      <c r="D399" s="133">
        <f>VLOOKUP(B399,Gegenstände!$A516:$D1081,4,FALSE)</f>
        <v>1</v>
      </c>
      <c r="E399" s="468">
        <v>32</v>
      </c>
      <c r="F399" s="134">
        <v>480</v>
      </c>
      <c r="G399" s="54">
        <v>1</v>
      </c>
      <c r="H399" s="469">
        <v>63</v>
      </c>
      <c r="I399" s="6">
        <v>0</v>
      </c>
      <c r="K399" s="6">
        <v>11</v>
      </c>
      <c r="L399" s="1" t="s">
        <v>139</v>
      </c>
      <c r="M399" s="87">
        <v>11</v>
      </c>
      <c r="N399" s="83" t="s">
        <v>202</v>
      </c>
      <c r="O399" s="85"/>
      <c r="U399" s="471">
        <f>VLOOKUP(D399,Preise!$A$3:$C$27,3)</f>
        <v>1</v>
      </c>
      <c r="V399" s="523">
        <f t="shared" ref="V399:V408" si="162">U399*$V$365</f>
        <v>2000</v>
      </c>
      <c r="W399" s="131"/>
      <c r="X399" s="472">
        <f t="shared" ref="X399:X408" si="163">ROUND((V399/100),0)*100</f>
        <v>2000</v>
      </c>
      <c r="Y399" s="473">
        <f t="shared" ref="Y399:Y408" si="164">X399*IF(J399&gt;0,J399,1)</f>
        <v>2000</v>
      </c>
      <c r="Z399" s="474">
        <f>IF(ISERROR(VLOOKUP(L399,Gegenstände!$B$2:$N$2026,13,FALSE)),0,VLOOKUP(L399,Gegenstände!$B$2:$N$2026,13,FALSE))</f>
        <v>60</v>
      </c>
      <c r="AA399" s="142">
        <f>IF(ISERROR(VLOOKUP(N399,Gegenstände!$B$2:$N$2026,13,FALSE)),0,VLOOKUP(N399,Gegenstände!$B$2:$N$2026,13,FALSE))</f>
        <v>60</v>
      </c>
      <c r="AB399" s="142">
        <f>IF(ISERROR(VLOOKUP(P399,Gegenstände!$B$2:$N$2026,13,FALSE)),0,VLOOKUP(P399,Gegenstände!$B$2:$N$2026,13,FALSE))</f>
        <v>0</v>
      </c>
      <c r="AC399" s="142">
        <f>IF(ISERROR(VLOOKUP(R399,Gegenstände!$B$2:$N$2026,13,FALSE)),0,VLOOKUP(R399,Gegenstände!$B$2:$N$2026,13,FALSE))</f>
        <v>0</v>
      </c>
      <c r="AE399" s="144">
        <f t="shared" ref="AE399:AE408" si="165">IF(ISERROR(K399*Z399),"",K399*Z399)</f>
        <v>660</v>
      </c>
      <c r="AF399" s="476">
        <f t="shared" ref="AF399:AF408" si="166">IF(ISERROR(M399*AA399+O399*AB399+Q399*AC399),"",M399*AA399+O399*AB399+Q399*AC399)</f>
        <v>660</v>
      </c>
      <c r="AG399" s="128">
        <f t="shared" si="140"/>
        <v>0.33</v>
      </c>
      <c r="AH399" s="128">
        <f t="shared" si="141"/>
        <v>0.33</v>
      </c>
      <c r="AI399" s="129">
        <f t="shared" si="142"/>
        <v>0.66</v>
      </c>
      <c r="AJ399" s="426">
        <f t="shared" ref="AJ399:AJ408" si="167">Y399-(AE399+AF399)</f>
        <v>680</v>
      </c>
      <c r="AK399" s="131">
        <f t="shared" si="161"/>
        <v>85</v>
      </c>
      <c r="AL399" s="477">
        <f>AK399/VLOOKUP(IF(I399&gt;0,I399,1),Preise!$A$3:$B$27,2,FALSE)</f>
        <v>85</v>
      </c>
    </row>
    <row r="400" spans="1:38" x14ac:dyDescent="0.2">
      <c r="A400" s="5">
        <v>1632</v>
      </c>
      <c r="B400" s="412">
        <v>1632</v>
      </c>
      <c r="C400" s="132" t="str">
        <f>VLOOKUP(B400,Gegenstände!$A517:$B1082,2,FALSE)</f>
        <v>Luft-Krummstab</v>
      </c>
      <c r="D400" s="133">
        <f>VLOOKUP(B400,Gegenstände!$A517:$D1082,4,FALSE)</f>
        <v>4</v>
      </c>
      <c r="E400" s="468">
        <v>32</v>
      </c>
      <c r="F400" s="134">
        <v>480</v>
      </c>
      <c r="G400" s="54">
        <v>1</v>
      </c>
      <c r="H400" s="469">
        <v>63</v>
      </c>
      <c r="I400" s="6">
        <v>3</v>
      </c>
      <c r="K400" s="6">
        <v>16</v>
      </c>
      <c r="L400" s="1" t="s">
        <v>139</v>
      </c>
      <c r="M400" s="87">
        <v>16</v>
      </c>
      <c r="N400" s="83" t="s">
        <v>202</v>
      </c>
      <c r="O400" s="85"/>
      <c r="U400" s="471">
        <f>VLOOKUP(D400,Preise!$A$3:$C$27,3)</f>
        <v>1.5208749999999995</v>
      </c>
      <c r="V400" s="523">
        <f t="shared" si="162"/>
        <v>3041.7499999999991</v>
      </c>
      <c r="W400" s="131"/>
      <c r="X400" s="472">
        <f t="shared" si="163"/>
        <v>3000</v>
      </c>
      <c r="Y400" s="473">
        <f t="shared" si="164"/>
        <v>3000</v>
      </c>
      <c r="Z400" s="474">
        <f>IF(ISERROR(VLOOKUP(L400,Gegenstände!$B$2:$N$2026,13,FALSE)),0,VLOOKUP(L400,Gegenstände!$B$2:$N$2026,13,FALSE))</f>
        <v>60</v>
      </c>
      <c r="AA400" s="142">
        <f>IF(ISERROR(VLOOKUP(N400,Gegenstände!$B$2:$N$2026,13,FALSE)),0,VLOOKUP(N400,Gegenstände!$B$2:$N$2026,13,FALSE))</f>
        <v>60</v>
      </c>
      <c r="AB400" s="142">
        <f>IF(ISERROR(VLOOKUP(P400,Gegenstände!$B$2:$N$2026,13,FALSE)),0,VLOOKUP(P400,Gegenstände!$B$2:$N$2026,13,FALSE))</f>
        <v>0</v>
      </c>
      <c r="AC400" s="142">
        <f>IF(ISERROR(VLOOKUP(R400,Gegenstände!$B$2:$N$2026,13,FALSE)),0,VLOOKUP(R400,Gegenstände!$B$2:$N$2026,13,FALSE))</f>
        <v>0</v>
      </c>
      <c r="AE400" s="475">
        <f t="shared" si="165"/>
        <v>960</v>
      </c>
      <c r="AF400" s="476">
        <f t="shared" si="166"/>
        <v>960</v>
      </c>
      <c r="AG400" s="128">
        <f t="shared" si="140"/>
        <v>0.32</v>
      </c>
      <c r="AH400" s="128">
        <f t="shared" si="141"/>
        <v>0.32</v>
      </c>
      <c r="AI400" s="129">
        <f t="shared" si="142"/>
        <v>0.64</v>
      </c>
      <c r="AJ400" s="426">
        <f t="shared" si="167"/>
        <v>1080</v>
      </c>
      <c r="AK400" s="131">
        <f t="shared" si="161"/>
        <v>135</v>
      </c>
      <c r="AL400" s="477">
        <f>AK400/VLOOKUP(IF(I400&gt;0,I400,1),Preise!$A$3:$B$27,2,FALSE)</f>
        <v>96.428571428571431</v>
      </c>
    </row>
    <row r="401" spans="1:38" x14ac:dyDescent="0.2">
      <c r="A401" s="5">
        <v>1633</v>
      </c>
      <c r="B401" s="412">
        <v>1633</v>
      </c>
      <c r="C401" s="132" t="str">
        <f>VLOOKUP(B401,Gegenstände!$A518:$B1083,2,FALSE)</f>
        <v>Luft-Langholz</v>
      </c>
      <c r="D401" s="133">
        <f>VLOOKUP(B401,Gegenstände!$A518:$D1083,4,FALSE)</f>
        <v>6</v>
      </c>
      <c r="E401" s="468">
        <v>32</v>
      </c>
      <c r="F401" s="134">
        <v>480</v>
      </c>
      <c r="G401" s="54">
        <v>2</v>
      </c>
      <c r="H401" s="469">
        <v>63</v>
      </c>
      <c r="I401" s="6">
        <v>5</v>
      </c>
      <c r="K401" s="6">
        <v>11</v>
      </c>
      <c r="L401" s="1" t="s">
        <v>140</v>
      </c>
      <c r="M401" s="87">
        <v>22</v>
      </c>
      <c r="N401" s="83" t="s">
        <v>202</v>
      </c>
      <c r="O401" s="85"/>
      <c r="U401" s="471">
        <f>VLOOKUP(D401,Preise!$A$3:$C$27,3)</f>
        <v>2.0113571874999994</v>
      </c>
      <c r="V401" s="523">
        <f t="shared" si="162"/>
        <v>4022.7143749999987</v>
      </c>
      <c r="W401" s="131"/>
      <c r="X401" s="472">
        <f t="shared" si="163"/>
        <v>4000</v>
      </c>
      <c r="Y401" s="473">
        <f t="shared" si="164"/>
        <v>4000</v>
      </c>
      <c r="Z401" s="474">
        <f>IF(ISERROR(VLOOKUP(L401,Gegenstände!$B$2:$N$2026,13,FALSE)),0,VLOOKUP(L401,Gegenstände!$B$2:$N$2026,13,FALSE))</f>
        <v>120</v>
      </c>
      <c r="AA401" s="142">
        <f>IF(ISERROR(VLOOKUP(N401,Gegenstände!$B$2:$N$2026,13,FALSE)),0,VLOOKUP(N401,Gegenstände!$B$2:$N$2026,13,FALSE))</f>
        <v>60</v>
      </c>
      <c r="AB401" s="142">
        <f>IF(ISERROR(VLOOKUP(P401,Gegenstände!$B$2:$N$2026,13,FALSE)),0,VLOOKUP(P401,Gegenstände!$B$2:$N$2026,13,FALSE))</f>
        <v>0</v>
      </c>
      <c r="AC401" s="142">
        <f>IF(ISERROR(VLOOKUP(R401,Gegenstände!$B$2:$N$2026,13,FALSE)),0,VLOOKUP(R401,Gegenstände!$B$2:$N$2026,13,FALSE))</f>
        <v>0</v>
      </c>
      <c r="AE401" s="475">
        <f t="shared" si="165"/>
        <v>1320</v>
      </c>
      <c r="AF401" s="476">
        <f t="shared" si="166"/>
        <v>1320</v>
      </c>
      <c r="AG401" s="128">
        <f t="shared" si="140"/>
        <v>0.33</v>
      </c>
      <c r="AH401" s="128">
        <f t="shared" si="141"/>
        <v>0.33</v>
      </c>
      <c r="AI401" s="129">
        <f t="shared" si="142"/>
        <v>0.66</v>
      </c>
      <c r="AJ401" s="426">
        <f t="shared" si="167"/>
        <v>1360</v>
      </c>
      <c r="AK401" s="131">
        <f t="shared" si="161"/>
        <v>170</v>
      </c>
      <c r="AL401" s="477">
        <f>AK401/VLOOKUP(IF(I401&gt;0,I401,1),Preise!$A$3:$B$27,2,FALSE)</f>
        <v>94.444444444444457</v>
      </c>
    </row>
    <row r="402" spans="1:38" x14ac:dyDescent="0.2">
      <c r="A402" s="5">
        <v>1634</v>
      </c>
      <c r="B402" s="412">
        <v>1634</v>
      </c>
      <c r="C402" s="132" t="str">
        <f>VLOOKUP(B402,Gegenstände!$A519:$B1084,2,FALSE)</f>
        <v>Luft-Runenstab</v>
      </c>
      <c r="D402" s="133">
        <f>VLOOKUP(B402,Gegenstände!$A519:$D1084,4,FALSE)</f>
        <v>9</v>
      </c>
      <c r="E402" s="468">
        <v>32</v>
      </c>
      <c r="F402" s="134">
        <v>480</v>
      </c>
      <c r="G402" s="54">
        <v>2</v>
      </c>
      <c r="H402" s="469">
        <v>63</v>
      </c>
      <c r="I402" s="6">
        <v>8</v>
      </c>
      <c r="K402" s="6">
        <v>17</v>
      </c>
      <c r="L402" s="1" t="s">
        <v>140</v>
      </c>
      <c r="M402" s="87">
        <v>34</v>
      </c>
      <c r="N402" s="83" t="s">
        <v>202</v>
      </c>
      <c r="O402" s="85"/>
      <c r="U402" s="471">
        <f>VLOOKUP(D402,Preise!$A$3:$C$27,3)</f>
        <v>3.0590228625390607</v>
      </c>
      <c r="V402" s="523">
        <f t="shared" si="162"/>
        <v>6118.0457250781219</v>
      </c>
      <c r="W402" s="131"/>
      <c r="X402" s="472">
        <f t="shared" si="163"/>
        <v>6100</v>
      </c>
      <c r="Y402" s="473">
        <f t="shared" si="164"/>
        <v>6100</v>
      </c>
      <c r="Z402" s="474">
        <f>IF(ISERROR(VLOOKUP(L402,Gegenstände!$B$2:$N$2026,13,FALSE)),0,VLOOKUP(L402,Gegenstände!$B$2:$N$2026,13,FALSE))</f>
        <v>120</v>
      </c>
      <c r="AA402" s="142">
        <f>IF(ISERROR(VLOOKUP(N402,Gegenstände!$B$2:$N$2026,13,FALSE)),0,VLOOKUP(N402,Gegenstände!$B$2:$N$2026,13,FALSE))</f>
        <v>60</v>
      </c>
      <c r="AB402" s="142">
        <f>IF(ISERROR(VLOOKUP(P402,Gegenstände!$B$2:$N$2026,13,FALSE)),0,VLOOKUP(P402,Gegenstände!$B$2:$N$2026,13,FALSE))</f>
        <v>0</v>
      </c>
      <c r="AC402" s="142">
        <f>IF(ISERROR(VLOOKUP(R402,Gegenstände!$B$2:$N$2026,13,FALSE)),0,VLOOKUP(R402,Gegenstände!$B$2:$N$2026,13,FALSE))</f>
        <v>0</v>
      </c>
      <c r="AE402" s="475">
        <f t="shared" si="165"/>
        <v>2040</v>
      </c>
      <c r="AF402" s="476">
        <f t="shared" si="166"/>
        <v>2040</v>
      </c>
      <c r="AG402" s="128">
        <f t="shared" si="140"/>
        <v>0.33442622950819673</v>
      </c>
      <c r="AH402" s="128">
        <f t="shared" si="141"/>
        <v>0.33442622950819673</v>
      </c>
      <c r="AI402" s="129">
        <f t="shared" si="142"/>
        <v>0.66885245901639345</v>
      </c>
      <c r="AJ402" s="426">
        <f t="shared" si="167"/>
        <v>2020</v>
      </c>
      <c r="AK402" s="131">
        <f t="shared" si="161"/>
        <v>252.5</v>
      </c>
      <c r="AL402" s="477">
        <f>AK402/VLOOKUP(IF(I402&gt;0,I402,1),Preise!$A$3:$B$27,2,FALSE)</f>
        <v>105.20833333333334</v>
      </c>
    </row>
    <row r="403" spans="1:38" x14ac:dyDescent="0.2">
      <c r="A403" s="5">
        <v>1635</v>
      </c>
      <c r="B403" s="412">
        <v>1635</v>
      </c>
      <c r="C403" s="132" t="str">
        <f>VLOOKUP(B403,Gegenstände!$A520:$B1085,2,FALSE)</f>
        <v>Luft-Lichtstab</v>
      </c>
      <c r="D403" s="133">
        <f>VLOOKUP(B403,Gegenstände!$A520:$D1085,4,FALSE)</f>
        <v>11</v>
      </c>
      <c r="E403" s="468">
        <v>32</v>
      </c>
      <c r="F403" s="134">
        <v>480</v>
      </c>
      <c r="G403" s="54">
        <v>3</v>
      </c>
      <c r="H403" s="469">
        <v>63</v>
      </c>
      <c r="I403" s="6">
        <v>10</v>
      </c>
      <c r="K403" s="6">
        <v>15</v>
      </c>
      <c r="L403" s="1" t="s">
        <v>141</v>
      </c>
      <c r="M403" s="87">
        <v>5</v>
      </c>
      <c r="N403" s="83" t="s">
        <v>202</v>
      </c>
      <c r="O403" s="85">
        <v>12</v>
      </c>
      <c r="P403" s="84" t="s">
        <v>204</v>
      </c>
      <c r="Q403" s="87"/>
      <c r="R403" s="84"/>
      <c r="U403" s="471">
        <f>VLOOKUP(D403,Preise!$A$3:$C$27,3)</f>
        <v>4.0455577357079076</v>
      </c>
      <c r="V403" s="523">
        <f t="shared" si="162"/>
        <v>8091.1154714158147</v>
      </c>
      <c r="W403" s="131"/>
      <c r="X403" s="472">
        <f t="shared" si="163"/>
        <v>8100</v>
      </c>
      <c r="Y403" s="473">
        <f t="shared" si="164"/>
        <v>8100</v>
      </c>
      <c r="Z403" s="474">
        <f>IF(ISERROR(VLOOKUP(L403,Gegenstände!$B$2:$N$2026,13,FALSE)),0,VLOOKUP(L403,Gegenstände!$B$2:$N$2026,13,FALSE))</f>
        <v>180</v>
      </c>
      <c r="AA403" s="142">
        <f>IF(ISERROR(VLOOKUP(N403,Gegenstände!$B$2:$N$2026,13,FALSE)),0,VLOOKUP(N403,Gegenstände!$B$2:$N$2026,13,FALSE))</f>
        <v>60</v>
      </c>
      <c r="AB403" s="142">
        <f>IF(ISERROR(VLOOKUP(P403,Gegenstände!$B$2:$N$2026,13,FALSE)),0,VLOOKUP(P403,Gegenstände!$B$2:$N$2026,13,FALSE))</f>
        <v>200</v>
      </c>
      <c r="AC403" s="142">
        <f>IF(ISERROR(VLOOKUP(R403,Gegenstände!$B$2:$N$2026,13,FALSE)),0,VLOOKUP(R403,Gegenstände!$B$2:$N$2026,13,FALSE))</f>
        <v>0</v>
      </c>
      <c r="AE403" s="475">
        <f t="shared" si="165"/>
        <v>2700</v>
      </c>
      <c r="AF403" s="476">
        <f t="shared" si="166"/>
        <v>2700</v>
      </c>
      <c r="AG403" s="128">
        <f t="shared" si="140"/>
        <v>0.33333333333333331</v>
      </c>
      <c r="AH403" s="128">
        <f t="shared" si="141"/>
        <v>0.33333333333333331</v>
      </c>
      <c r="AI403" s="129">
        <f t="shared" si="142"/>
        <v>0.66666666666666663</v>
      </c>
      <c r="AJ403" s="426">
        <f t="shared" si="167"/>
        <v>2700</v>
      </c>
      <c r="AK403" s="131">
        <f t="shared" si="161"/>
        <v>337.5</v>
      </c>
      <c r="AL403" s="477">
        <f>AK403/VLOOKUP(IF(I403&gt;0,I403,1),Preise!$A$3:$B$27,2,FALSE)</f>
        <v>120.53571428571428</v>
      </c>
    </row>
    <row r="404" spans="1:38" x14ac:dyDescent="0.2">
      <c r="A404" s="5">
        <v>1636</v>
      </c>
      <c r="B404" s="412">
        <v>1636</v>
      </c>
      <c r="C404" s="132" t="str">
        <f>VLOOKUP(B404,Gegenstände!$A521:$B1086,2,FALSE)</f>
        <v>Luft-Rute</v>
      </c>
      <c r="D404" s="133">
        <f>VLOOKUP(B404,Gegenstände!$A521:$D1086,4,FALSE)</f>
        <v>14</v>
      </c>
      <c r="E404" s="468">
        <v>32</v>
      </c>
      <c r="F404" s="134">
        <v>480</v>
      </c>
      <c r="G404" s="54">
        <v>3</v>
      </c>
      <c r="H404" s="469">
        <v>63</v>
      </c>
      <c r="I404" s="6">
        <v>13</v>
      </c>
      <c r="K404" s="6">
        <v>22</v>
      </c>
      <c r="L404" s="1" t="s">
        <v>141</v>
      </c>
      <c r="M404" s="87">
        <v>5</v>
      </c>
      <c r="N404" s="83" t="s">
        <v>202</v>
      </c>
      <c r="O404" s="85">
        <v>19</v>
      </c>
      <c r="P404" s="84" t="s">
        <v>204</v>
      </c>
      <c r="Q404" s="87"/>
      <c r="R404" s="84"/>
      <c r="U404" s="471">
        <f>VLOOKUP(D404,Preise!$A$3:$C$27,3)</f>
        <v>6.1527876212947623</v>
      </c>
      <c r="V404" s="523">
        <f t="shared" si="162"/>
        <v>12305.575242589524</v>
      </c>
      <c r="W404" s="131"/>
      <c r="X404" s="472">
        <f t="shared" si="163"/>
        <v>12300</v>
      </c>
      <c r="Y404" s="473">
        <f t="shared" si="164"/>
        <v>12300</v>
      </c>
      <c r="Z404" s="474">
        <f>IF(ISERROR(VLOOKUP(L404,Gegenstände!$B$2:$N$2026,13,FALSE)),0,VLOOKUP(L404,Gegenstände!$B$2:$N$2026,13,FALSE))</f>
        <v>180</v>
      </c>
      <c r="AA404" s="142">
        <f>IF(ISERROR(VLOOKUP(N404,Gegenstände!$B$2:$N$2026,13,FALSE)),0,VLOOKUP(N404,Gegenstände!$B$2:$N$2026,13,FALSE))</f>
        <v>60</v>
      </c>
      <c r="AB404" s="142">
        <f>IF(ISERROR(VLOOKUP(P404,Gegenstände!$B$2:$N$2026,13,FALSE)),0,VLOOKUP(P404,Gegenstände!$B$2:$N$2026,13,FALSE))</f>
        <v>200</v>
      </c>
      <c r="AC404" s="142">
        <f>IF(ISERROR(VLOOKUP(R404,Gegenstände!$B$2:$N$2026,13,FALSE)),0,VLOOKUP(R404,Gegenstände!$B$2:$N$2026,13,FALSE))</f>
        <v>0</v>
      </c>
      <c r="AE404" s="475">
        <f t="shared" si="165"/>
        <v>3960</v>
      </c>
      <c r="AF404" s="476">
        <f t="shared" si="166"/>
        <v>4100</v>
      </c>
      <c r="AG404" s="128">
        <f t="shared" si="140"/>
        <v>0.32195121951219513</v>
      </c>
      <c r="AH404" s="128">
        <f t="shared" si="141"/>
        <v>0.33333333333333331</v>
      </c>
      <c r="AI404" s="129">
        <f t="shared" si="142"/>
        <v>0.65528455284552845</v>
      </c>
      <c r="AJ404" s="426">
        <f t="shared" si="167"/>
        <v>4240</v>
      </c>
      <c r="AK404" s="131">
        <f t="shared" si="161"/>
        <v>530</v>
      </c>
      <c r="AL404" s="477">
        <f>AK404/VLOOKUP(IF(I404&gt;0,I404,1),Preise!$A$3:$B$27,2,FALSE)</f>
        <v>155.88235294117644</v>
      </c>
    </row>
    <row r="405" spans="1:38" x14ac:dyDescent="0.2">
      <c r="A405" s="5">
        <v>1637</v>
      </c>
      <c r="B405" s="412">
        <v>1637</v>
      </c>
      <c r="C405" s="132" t="str">
        <f>VLOOKUP(B405,Gegenstände!$A522:$B1087,2,FALSE)</f>
        <v>Luft-Spiralstab</v>
      </c>
      <c r="D405" s="133">
        <f>VLOOKUP(B405,Gegenstände!$A522:$D1087,4,FALSE)</f>
        <v>16</v>
      </c>
      <c r="E405" s="468">
        <v>32</v>
      </c>
      <c r="F405" s="134">
        <v>480</v>
      </c>
      <c r="G405" s="54">
        <v>4</v>
      </c>
      <c r="H405" s="469">
        <v>63</v>
      </c>
      <c r="I405" s="6">
        <v>15</v>
      </c>
      <c r="K405" s="6">
        <v>20</v>
      </c>
      <c r="L405" s="1" t="s">
        <v>142</v>
      </c>
      <c r="M405" s="87">
        <v>6</v>
      </c>
      <c r="N405" s="83" t="s">
        <v>202</v>
      </c>
      <c r="O405" s="85">
        <v>25</v>
      </c>
      <c r="P405" s="84" t="s">
        <v>204</v>
      </c>
      <c r="Q405" s="87"/>
      <c r="U405" s="471">
        <f>VLOOKUP(D405,Preise!$A$3:$C$27,3)</f>
        <v>8.1370616291623215</v>
      </c>
      <c r="V405" s="523">
        <f t="shared" si="162"/>
        <v>16274.123258324644</v>
      </c>
      <c r="W405" s="131"/>
      <c r="X405" s="472">
        <f t="shared" si="163"/>
        <v>16300</v>
      </c>
      <c r="Y405" s="473">
        <f t="shared" si="164"/>
        <v>16300</v>
      </c>
      <c r="Z405" s="474">
        <f>IF(ISERROR(VLOOKUP(L405,Gegenstände!$B$2:$N$2026,13,FALSE)),0,VLOOKUP(L405,Gegenstände!$B$2:$N$2026,13,FALSE))</f>
        <v>270</v>
      </c>
      <c r="AA405" s="142">
        <f>IF(ISERROR(VLOOKUP(N405,Gegenstände!$B$2:$N$2026,13,FALSE)),0,VLOOKUP(N405,Gegenstände!$B$2:$N$2026,13,FALSE))</f>
        <v>60</v>
      </c>
      <c r="AB405" s="142">
        <f>IF(ISERROR(VLOOKUP(P405,Gegenstände!$B$2:$N$2026,13,FALSE)),0,VLOOKUP(P405,Gegenstände!$B$2:$N$2026,13,FALSE))</f>
        <v>200</v>
      </c>
      <c r="AC405" s="142">
        <f>IF(ISERROR(VLOOKUP(R405,Gegenstände!$B$2:$N$2026,13,FALSE)),0,VLOOKUP(R405,Gegenstände!$B$2:$N$2026,13,FALSE))</f>
        <v>0</v>
      </c>
      <c r="AE405" s="475">
        <f t="shared" si="165"/>
        <v>5400</v>
      </c>
      <c r="AF405" s="476">
        <f t="shared" si="166"/>
        <v>5360</v>
      </c>
      <c r="AG405" s="128">
        <f t="shared" si="140"/>
        <v>0.33128834355828218</v>
      </c>
      <c r="AH405" s="128">
        <f t="shared" si="141"/>
        <v>0.32883435582822085</v>
      </c>
      <c r="AI405" s="129">
        <f t="shared" si="142"/>
        <v>0.66012269938650303</v>
      </c>
      <c r="AJ405" s="426">
        <f t="shared" si="167"/>
        <v>5540</v>
      </c>
      <c r="AK405" s="131">
        <f t="shared" si="161"/>
        <v>692.5</v>
      </c>
      <c r="AL405" s="477">
        <f>AK405/VLOOKUP(IF(I405&gt;0,I405,1),Preise!$A$3:$B$27,2,FALSE)</f>
        <v>182.23684210526309</v>
      </c>
    </row>
    <row r="406" spans="1:38" x14ac:dyDescent="0.2">
      <c r="A406" s="5">
        <v>1638</v>
      </c>
      <c r="B406" s="412">
        <v>1638</v>
      </c>
      <c r="C406" s="132" t="str">
        <f>VLOOKUP(B406,Gegenstände!$A523:$B1088,2,FALSE)</f>
        <v>Luft-Eschenstab</v>
      </c>
      <c r="D406" s="133">
        <f>VLOOKUP(B406,Gegenstände!$A523:$D1088,4,FALSE)</f>
        <v>19</v>
      </c>
      <c r="E406" s="468">
        <v>32</v>
      </c>
      <c r="F406" s="134">
        <v>480</v>
      </c>
      <c r="G406" s="54">
        <v>4</v>
      </c>
      <c r="H406" s="469">
        <v>63</v>
      </c>
      <c r="I406" s="6">
        <v>18</v>
      </c>
      <c r="K406" s="6">
        <v>30</v>
      </c>
      <c r="L406" s="1" t="s">
        <v>142</v>
      </c>
      <c r="M406" s="87">
        <v>8</v>
      </c>
      <c r="N406" s="83" t="s">
        <v>202</v>
      </c>
      <c r="O406" s="85">
        <v>38</v>
      </c>
      <c r="P406" s="84" t="s">
        <v>204</v>
      </c>
      <c r="Q406" s="87"/>
      <c r="R406" s="84"/>
      <c r="U406" s="471">
        <f>VLOOKUP(D406,Preise!$A$3:$C$27,3)</f>
        <v>12.375453605252243</v>
      </c>
      <c r="V406" s="523">
        <f t="shared" si="162"/>
        <v>24750.907210504487</v>
      </c>
      <c r="W406" s="131"/>
      <c r="X406" s="472">
        <f t="shared" si="163"/>
        <v>24800</v>
      </c>
      <c r="Y406" s="473">
        <f t="shared" si="164"/>
        <v>24800</v>
      </c>
      <c r="Z406" s="474">
        <f>IF(ISERROR(VLOOKUP(L406,Gegenstände!$B$2:$N$2026,13,FALSE)),0,VLOOKUP(L406,Gegenstände!$B$2:$N$2026,13,FALSE))</f>
        <v>270</v>
      </c>
      <c r="AA406" s="142">
        <f>IF(ISERROR(VLOOKUP(N406,Gegenstände!$B$2:$N$2026,13,FALSE)),0,VLOOKUP(N406,Gegenstände!$B$2:$N$2026,13,FALSE))</f>
        <v>60</v>
      </c>
      <c r="AB406" s="142">
        <f>IF(ISERROR(VLOOKUP(P406,Gegenstände!$B$2:$N$2026,13,FALSE)),0,VLOOKUP(P406,Gegenstände!$B$2:$N$2026,13,FALSE))</f>
        <v>200</v>
      </c>
      <c r="AC406" s="142">
        <f>IF(ISERROR(VLOOKUP(R406,Gegenstände!$B$2:$N$2026,13,FALSE)),0,VLOOKUP(R406,Gegenstände!$B$2:$N$2026,13,FALSE))</f>
        <v>0</v>
      </c>
      <c r="AE406" s="475">
        <f t="shared" si="165"/>
        <v>8100</v>
      </c>
      <c r="AF406" s="476">
        <f t="shared" si="166"/>
        <v>8080</v>
      </c>
      <c r="AG406" s="128">
        <f t="shared" si="140"/>
        <v>0.32661290322580644</v>
      </c>
      <c r="AH406" s="128">
        <f t="shared" si="141"/>
        <v>0.32580645161290323</v>
      </c>
      <c r="AI406" s="129">
        <f t="shared" si="142"/>
        <v>0.65241935483870972</v>
      </c>
      <c r="AJ406" s="426">
        <f t="shared" si="167"/>
        <v>8620</v>
      </c>
      <c r="AK406" s="131">
        <f t="shared" si="161"/>
        <v>1077.5</v>
      </c>
      <c r="AL406" s="477">
        <f>AK406/VLOOKUP(IF(I406&gt;0,I406,1),Preise!$A$3:$B$27,2,FALSE)</f>
        <v>244.88636363636357</v>
      </c>
    </row>
    <row r="407" spans="1:38" x14ac:dyDescent="0.2">
      <c r="A407" s="5">
        <v>1639</v>
      </c>
      <c r="B407" s="412">
        <v>1639</v>
      </c>
      <c r="C407" s="132" t="str">
        <f>VLOOKUP(B407,Gegenstände!$A524:$B1089,2,FALSE)</f>
        <v>Luft-Eibenlanze</v>
      </c>
      <c r="D407" s="133">
        <f>VLOOKUP(B407,Gegenstände!$A524:$D1089,4,FALSE)</f>
        <v>22</v>
      </c>
      <c r="E407" s="468">
        <v>32</v>
      </c>
      <c r="F407" s="134">
        <v>480</v>
      </c>
      <c r="G407" s="54">
        <v>5</v>
      </c>
      <c r="H407" s="469">
        <v>63</v>
      </c>
      <c r="I407" s="6">
        <v>21</v>
      </c>
      <c r="K407" s="6">
        <v>34</v>
      </c>
      <c r="L407" s="1" t="s">
        <v>143</v>
      </c>
      <c r="M407" s="87">
        <v>6</v>
      </c>
      <c r="N407" s="83" t="s">
        <v>202</v>
      </c>
      <c r="O407" s="85">
        <v>10</v>
      </c>
      <c r="P407" s="84" t="s">
        <v>204</v>
      </c>
      <c r="Q407" s="87">
        <v>20</v>
      </c>
      <c r="R407" s="84" t="s">
        <v>205</v>
      </c>
      <c r="U407" s="471">
        <f>VLOOKUP(D407,Preise!$A$3:$C$27,3)</f>
        <v>18.821518001888002</v>
      </c>
      <c r="V407" s="523">
        <f t="shared" si="162"/>
        <v>37643.036003776004</v>
      </c>
      <c r="W407" s="131"/>
      <c r="X407" s="472">
        <f t="shared" si="163"/>
        <v>37600</v>
      </c>
      <c r="Y407" s="473">
        <f t="shared" si="164"/>
        <v>37600</v>
      </c>
      <c r="Z407" s="474">
        <f>IF(ISERROR(VLOOKUP(L407,Gegenstände!$B$2:$N$2026,13,FALSE)),0,VLOOKUP(L407,Gegenstände!$B$2:$N$2026,13,FALSE))</f>
        <v>360</v>
      </c>
      <c r="AA407" s="142">
        <f>IF(ISERROR(VLOOKUP(N407,Gegenstände!$B$2:$N$2026,13,FALSE)),0,VLOOKUP(N407,Gegenstände!$B$2:$N$2026,13,FALSE))</f>
        <v>60</v>
      </c>
      <c r="AB407" s="142">
        <f>IF(ISERROR(VLOOKUP(P407,Gegenstände!$B$2:$N$2026,13,FALSE)),0,VLOOKUP(P407,Gegenstände!$B$2:$N$2026,13,FALSE))</f>
        <v>200</v>
      </c>
      <c r="AC407" s="142">
        <f>IF(ISERROR(VLOOKUP(R407,Gegenstände!$B$2:$N$2026,13,FALSE)),0,VLOOKUP(R407,Gegenstände!$B$2:$N$2026,13,FALSE))</f>
        <v>500</v>
      </c>
      <c r="AE407" s="475">
        <f t="shared" si="165"/>
        <v>12240</v>
      </c>
      <c r="AF407" s="476">
        <f t="shared" si="166"/>
        <v>12360</v>
      </c>
      <c r="AG407" s="128">
        <f t="shared" si="140"/>
        <v>0.32553191489361705</v>
      </c>
      <c r="AH407" s="128">
        <f t="shared" si="141"/>
        <v>0.32872340425531915</v>
      </c>
      <c r="AI407" s="129">
        <f t="shared" si="142"/>
        <v>0.6542553191489362</v>
      </c>
      <c r="AJ407" s="426">
        <f t="shared" si="167"/>
        <v>13000</v>
      </c>
      <c r="AK407" s="131">
        <f t="shared" si="161"/>
        <v>1625</v>
      </c>
      <c r="AL407" s="477">
        <f>AK407/VLOOKUP(IF(I407&gt;0,I407,1),Preise!$A$3:$B$27,2,FALSE)</f>
        <v>324.99999999999989</v>
      </c>
    </row>
    <row r="408" spans="1:38" x14ac:dyDescent="0.2">
      <c r="A408" s="5">
        <v>1640</v>
      </c>
      <c r="B408" s="412">
        <v>1640</v>
      </c>
      <c r="C408" s="132" t="str">
        <f>VLOOKUP(B408,Gegenstände!$A525:$B1090,2,FALSE)</f>
        <v>Luft-Wächterstab</v>
      </c>
      <c r="D408" s="133">
        <f>VLOOKUP(B408,Gegenstände!$A525:$D1090,4,FALSE)</f>
        <v>25</v>
      </c>
      <c r="E408" s="468">
        <v>32</v>
      </c>
      <c r="F408" s="134">
        <v>480</v>
      </c>
      <c r="G408" s="54">
        <v>5</v>
      </c>
      <c r="H408" s="469">
        <v>63</v>
      </c>
      <c r="I408" s="6">
        <v>24</v>
      </c>
      <c r="K408" s="6">
        <v>52</v>
      </c>
      <c r="L408" s="1" t="s">
        <v>143</v>
      </c>
      <c r="M408" s="87">
        <v>6</v>
      </c>
      <c r="N408" s="83" t="s">
        <v>202</v>
      </c>
      <c r="O408" s="85">
        <v>12</v>
      </c>
      <c r="P408" s="84" t="s">
        <v>204</v>
      </c>
      <c r="Q408" s="87">
        <v>32</v>
      </c>
      <c r="R408" s="84" t="s">
        <v>205</v>
      </c>
      <c r="U408" s="471">
        <f>VLOOKUP(D408,Preise!$A$3:$C$27,3)</f>
        <v>28.625176191121408</v>
      </c>
      <c r="V408" s="523">
        <f t="shared" si="162"/>
        <v>57250.352382242818</v>
      </c>
      <c r="W408" s="131"/>
      <c r="X408" s="472">
        <f t="shared" si="163"/>
        <v>57300</v>
      </c>
      <c r="Y408" s="473">
        <f t="shared" si="164"/>
        <v>57300</v>
      </c>
      <c r="Z408" s="474">
        <f>IF(ISERROR(VLOOKUP(L408,Gegenstände!$B$2:$N$2026,13,FALSE)),0,VLOOKUP(L408,Gegenstände!$B$2:$N$2026,13,FALSE))</f>
        <v>360</v>
      </c>
      <c r="AA408" s="142">
        <f>IF(ISERROR(VLOOKUP(N408,Gegenstände!$B$2:$N$2026,13,FALSE)),0,VLOOKUP(N408,Gegenstände!$B$2:$N$2026,13,FALSE))</f>
        <v>60</v>
      </c>
      <c r="AB408" s="142">
        <f>IF(ISERROR(VLOOKUP(P408,Gegenstände!$B$2:$N$2026,13,FALSE)),0,VLOOKUP(P408,Gegenstände!$B$2:$N$2026,13,FALSE))</f>
        <v>200</v>
      </c>
      <c r="AC408" s="142">
        <f>IF(ISERROR(VLOOKUP(R408,Gegenstände!$B$2:$N$2026,13,FALSE)),0,VLOOKUP(R408,Gegenstände!$B$2:$N$2026,13,FALSE))</f>
        <v>500</v>
      </c>
      <c r="AE408" s="475">
        <f t="shared" si="165"/>
        <v>18720</v>
      </c>
      <c r="AF408" s="476">
        <f t="shared" si="166"/>
        <v>18760</v>
      </c>
      <c r="AG408" s="128">
        <f t="shared" si="140"/>
        <v>0.32670157068062827</v>
      </c>
      <c r="AH408" s="128">
        <f t="shared" si="141"/>
        <v>0.3273996509598604</v>
      </c>
      <c r="AI408" s="129">
        <f t="shared" si="142"/>
        <v>0.65410122164048867</v>
      </c>
      <c r="AJ408" s="426">
        <f t="shared" si="167"/>
        <v>19820</v>
      </c>
      <c r="AK408" s="131">
        <f t="shared" si="161"/>
        <v>2477.5</v>
      </c>
      <c r="AL408" s="477">
        <f>AK408/VLOOKUP(IF(I408&gt;0,I408,1),Preise!$A$3:$B$27,2,FALSE)</f>
        <v>442.41071428571411</v>
      </c>
    </row>
    <row r="409" spans="1:38" s="3" customFormat="1" x14ac:dyDescent="0.2">
      <c r="A409" s="581"/>
      <c r="B409" s="399"/>
      <c r="C409" s="193"/>
      <c r="D409" s="194"/>
      <c r="E409" s="582"/>
      <c r="F409" s="197"/>
      <c r="G409" s="194"/>
      <c r="H409" s="583"/>
      <c r="I409" s="584"/>
      <c r="J409" s="585"/>
      <c r="K409" s="584"/>
      <c r="L409" s="192"/>
      <c r="M409" s="584"/>
      <c r="N409" s="192"/>
      <c r="O409" s="584"/>
      <c r="P409" s="192"/>
      <c r="Q409" s="584"/>
      <c r="R409" s="192"/>
      <c r="S409" s="586"/>
      <c r="T409" s="587"/>
      <c r="U409" s="588"/>
      <c r="V409" s="589">
        <v>1200</v>
      </c>
      <c r="W409" s="590"/>
      <c r="X409" s="591"/>
      <c r="Y409" s="400"/>
      <c r="Z409" s="400"/>
      <c r="AA409" s="193"/>
      <c r="AB409" s="193"/>
      <c r="AC409" s="193"/>
      <c r="AD409" s="193"/>
      <c r="AE409" s="201"/>
      <c r="AF409" s="592"/>
      <c r="AG409" s="593"/>
      <c r="AH409" s="593"/>
      <c r="AI409" s="594"/>
      <c r="AJ409" s="595"/>
      <c r="AK409" s="200"/>
      <c r="AL409" s="596"/>
    </row>
    <row r="410" spans="1:38" s="3" customFormat="1" outlineLevel="1" x14ac:dyDescent="0.2">
      <c r="A410" s="5">
        <v>2101</v>
      </c>
      <c r="B410" s="412">
        <v>2101</v>
      </c>
      <c r="C410" s="132" t="str">
        <f>VLOOKUP(B410,Gegenstände!$A$2:$B$2026,2,FALSE)</f>
        <v>Kristall-Schwert</v>
      </c>
      <c r="D410" s="133">
        <f>VLOOKUP(B410,Gegenstände!$A$2:$D$2026,4,FALSE)</f>
        <v>4</v>
      </c>
      <c r="E410" s="468">
        <v>30</v>
      </c>
      <c r="F410" s="134">
        <v>420</v>
      </c>
      <c r="G410" s="54"/>
      <c r="H410" s="469">
        <v>56</v>
      </c>
      <c r="I410" s="12">
        <f>D410-1</f>
        <v>3</v>
      </c>
      <c r="J410" s="417"/>
      <c r="K410" s="6">
        <v>10</v>
      </c>
      <c r="L410" s="1" t="s">
        <v>113</v>
      </c>
      <c r="M410" s="87">
        <v>7</v>
      </c>
      <c r="N410" s="83" t="s">
        <v>176</v>
      </c>
      <c r="O410" s="85"/>
      <c r="P410" s="83"/>
      <c r="Q410" s="85"/>
      <c r="R410" s="83"/>
      <c r="S410" s="170">
        <v>2</v>
      </c>
      <c r="T410" s="170" t="s">
        <v>237</v>
      </c>
      <c r="U410" s="471">
        <f>VLOOKUP(D410,Preise!$A$3:$C$28,3)</f>
        <v>1.5208749999999995</v>
      </c>
      <c r="V410" s="523">
        <f>U410*$V$409</f>
        <v>1825.0499999999995</v>
      </c>
      <c r="W410" s="131"/>
      <c r="X410" s="472">
        <f>(ROUND((V410/100),0)*100)+($S410*$AD410)</f>
        <v>2800</v>
      </c>
      <c r="Y410" s="473">
        <f>X410*IF(J410&gt;0,J410,1)-($S410*$AD410)</f>
        <v>1800</v>
      </c>
      <c r="Z410" s="474">
        <f>IF(ISERROR(VLOOKUP(L410,Gegenstände!$B$2:$N$2026,13,FALSE)),0,VLOOKUP(L410,Gegenstände!$B$2:$N$2026,13,FALSE))</f>
        <v>60</v>
      </c>
      <c r="AA410" s="142">
        <f>IF(ISERROR(VLOOKUP(N410,Gegenstände!$B$2:$N$2026,13,FALSE)),0,VLOOKUP(N410,Gegenstände!$B$2:$N$2026,13,FALSE))</f>
        <v>80</v>
      </c>
      <c r="AB410" s="142">
        <f>IF(ISERROR(VLOOKUP(P410,Gegenstände!$B$2:$N$2026,13,FALSE)),0,VLOOKUP(P410,Gegenstände!$B$2:$N$2026,13,FALSE))</f>
        <v>0</v>
      </c>
      <c r="AC410" s="142">
        <f>IF(ISERROR(VLOOKUP(R410,Gegenstände!$B$2:$N$2026,13,FALSE)),0,VLOOKUP(R410,Gegenstände!$B$2:$N$2026,13,FALSE))</f>
        <v>0</v>
      </c>
      <c r="AD410" s="142">
        <f>IF(ISERROR(VLOOKUP(T410,Gegenstände!$B$2:$N$2026,13,FALSE)),0,VLOOKUP(T410,Gegenstände!$B$2:$N$2026,13,FALSE))</f>
        <v>500</v>
      </c>
      <c r="AE410" s="475">
        <f>IF(ISERROR(K410*Z410),"",K410*Z410)</f>
        <v>600</v>
      </c>
      <c r="AF410" s="476">
        <f>IF(ISERROR(M410*AA410+O410*AB410+Q410*AC410),"",M410*AA410+O410*AB410+Q410*AC410)</f>
        <v>560</v>
      </c>
      <c r="AG410" s="128">
        <f>AE410/Y410</f>
        <v>0.33333333333333331</v>
      </c>
      <c r="AH410" s="128">
        <f>AF410/Y410</f>
        <v>0.31111111111111112</v>
      </c>
      <c r="AI410" s="129">
        <f>(AE410+AF410)/Y410</f>
        <v>0.64444444444444449</v>
      </c>
      <c r="AJ410" s="426">
        <f>Y410-(AE410+AF410)</f>
        <v>640</v>
      </c>
      <c r="AK410" s="131">
        <f>(AJ410*60)/F410</f>
        <v>91.428571428571431</v>
      </c>
      <c r="AL410" s="477">
        <f>AK410/VLOOKUP(IF(I410&gt;0,I410,1),Preise!$A$3:$B$27,2,FALSE)</f>
        <v>65.306122448979593</v>
      </c>
    </row>
    <row r="411" spans="1:38" s="3" customFormat="1" outlineLevel="1" x14ac:dyDescent="0.2">
      <c r="A411" s="5">
        <v>2102</v>
      </c>
      <c r="B411" s="412">
        <v>2102</v>
      </c>
      <c r="C411" s="132" t="str">
        <f>VLOOKUP(B411,Gegenstände!$A$2:$B$2026,2,FALSE)</f>
        <v>Quarz-Schwert</v>
      </c>
      <c r="D411" s="133">
        <f>VLOOKUP(B411,Gegenstände!$A$2:$D$2026,4,FALSE)</f>
        <v>9</v>
      </c>
      <c r="E411" s="468">
        <v>30</v>
      </c>
      <c r="F411" s="134">
        <v>420</v>
      </c>
      <c r="G411" s="54"/>
      <c r="H411" s="469">
        <v>56</v>
      </c>
      <c r="I411" s="12">
        <f t="shared" ref="I411:I474" si="168">D411-1</f>
        <v>8</v>
      </c>
      <c r="J411" s="417"/>
      <c r="K411" s="6">
        <v>10</v>
      </c>
      <c r="L411" s="1" t="s">
        <v>114</v>
      </c>
      <c r="M411" s="87">
        <v>15</v>
      </c>
      <c r="N411" s="83" t="s">
        <v>176</v>
      </c>
      <c r="O411" s="85"/>
      <c r="P411" s="83"/>
      <c r="Q411" s="85"/>
      <c r="R411" s="83"/>
      <c r="S411" s="170">
        <v>2</v>
      </c>
      <c r="T411" s="170" t="s">
        <v>238</v>
      </c>
      <c r="U411" s="471">
        <f>VLOOKUP(D411,Preise!$A$3:$C$28,3)</f>
        <v>3.0590228625390607</v>
      </c>
      <c r="V411" s="523">
        <f>U411*$V$409</f>
        <v>3670.8274350468728</v>
      </c>
      <c r="W411" s="131"/>
      <c r="X411" s="472">
        <f t="shared" ref="X411:X474" si="169">(ROUND((V411/100),0)*100)+($S411*$AD411)</f>
        <v>5700</v>
      </c>
      <c r="Y411" s="473">
        <f t="shared" ref="Y411:Y474" si="170">X411*IF(J411&gt;0,J411,1)-($S411*$AD411)</f>
        <v>3700</v>
      </c>
      <c r="Z411" s="474">
        <f>IF(ISERROR(VLOOKUP(L411,Gegenstände!$B$2:$N$2026,13,FALSE)),0,VLOOKUP(L411,Gegenstände!$B$2:$N$2026,13,FALSE))</f>
        <v>120</v>
      </c>
      <c r="AA411" s="142">
        <f>IF(ISERROR(VLOOKUP(N411,Gegenstände!$B$2:$N$2026,13,FALSE)),0,VLOOKUP(N411,Gegenstände!$B$2:$N$2026,13,FALSE))</f>
        <v>80</v>
      </c>
      <c r="AB411" s="142">
        <f>IF(ISERROR(VLOOKUP(P411,Gegenstände!$B$2:$N$2026,13,FALSE)),0,VLOOKUP(P411,Gegenstände!$B$2:$N$2026,13,FALSE))</f>
        <v>0</v>
      </c>
      <c r="AC411" s="142">
        <f>IF(ISERROR(VLOOKUP(R411,Gegenstände!$B$2:$N$2026,13,FALSE)),0,VLOOKUP(R411,Gegenstände!$B$2:$N$2026,13,FALSE))</f>
        <v>0</v>
      </c>
      <c r="AD411" s="142">
        <f>IF(ISERROR(VLOOKUP(T411,Gegenstände!$B$2:$N$2026,13,FALSE)),0,VLOOKUP(T411,Gegenstände!$B$2:$N$2026,13,FALSE))</f>
        <v>1000</v>
      </c>
      <c r="AE411" s="475">
        <f t="shared" ref="AE411:AE474" si="171">IF(ISERROR(K411*Z411),"",K411*Z411)</f>
        <v>1200</v>
      </c>
      <c r="AF411" s="476">
        <f t="shared" ref="AF411:AF474" si="172">IF(ISERROR(M411*AA411+O411*AB411+Q411*AC411),"",M411*AA411+O411*AB411+Q411*AC411)</f>
        <v>1200</v>
      </c>
      <c r="AG411" s="128">
        <f t="shared" ref="AG411:AG474" si="173">AE411/Y411</f>
        <v>0.32432432432432434</v>
      </c>
      <c r="AH411" s="128">
        <f t="shared" ref="AH411:AH474" si="174">AF411/Y411</f>
        <v>0.32432432432432434</v>
      </c>
      <c r="AI411" s="129">
        <f>(AE411+AF411)/Y411</f>
        <v>0.64864864864864868</v>
      </c>
      <c r="AJ411" s="426">
        <f>Y411-(AE411+AF411)</f>
        <v>1300</v>
      </c>
      <c r="AK411" s="131">
        <f>(AJ411*60)/F411</f>
        <v>185.71428571428572</v>
      </c>
      <c r="AL411" s="477">
        <f>AK411/VLOOKUP(IF(I411&gt;0,I411,1),Preise!$A$3:$B$27,2,FALSE)</f>
        <v>77.380952380952394</v>
      </c>
    </row>
    <row r="412" spans="1:38" s="3" customFormat="1" outlineLevel="1" x14ac:dyDescent="0.2">
      <c r="A412" s="5">
        <v>2103</v>
      </c>
      <c r="B412" s="412">
        <v>2103</v>
      </c>
      <c r="C412" s="132" t="str">
        <f>VLOOKUP(B412,Gegenstände!$A$2:$B$2026,2,FALSE)</f>
        <v>Smaragd-Schwert</v>
      </c>
      <c r="D412" s="133">
        <f>VLOOKUP(B412,Gegenstände!$A$2:$D$2026,4,FALSE)</f>
        <v>14</v>
      </c>
      <c r="E412" s="468">
        <v>30</v>
      </c>
      <c r="F412" s="134">
        <v>420</v>
      </c>
      <c r="G412" s="54"/>
      <c r="H412" s="469">
        <v>56</v>
      </c>
      <c r="I412" s="12">
        <f t="shared" si="168"/>
        <v>13</v>
      </c>
      <c r="J412" s="417"/>
      <c r="K412" s="6">
        <v>14</v>
      </c>
      <c r="L412" s="1" t="s">
        <v>115</v>
      </c>
      <c r="M412" s="87">
        <v>3</v>
      </c>
      <c r="N412" s="83" t="s">
        <v>176</v>
      </c>
      <c r="O412" s="85">
        <v>11</v>
      </c>
      <c r="P412" s="83" t="s">
        <v>179</v>
      </c>
      <c r="Q412" s="85"/>
      <c r="R412" s="83"/>
      <c r="S412" s="170">
        <v>2</v>
      </c>
      <c r="T412" s="170" t="s">
        <v>50</v>
      </c>
      <c r="U412" s="471">
        <f>VLOOKUP(D412,Preise!$A$3:$C$28,3)</f>
        <v>6.1527876212947623</v>
      </c>
      <c r="V412" s="523">
        <f>U412*$V$409</f>
        <v>7383.3451455537152</v>
      </c>
      <c r="W412" s="131"/>
      <c r="X412" s="472">
        <f t="shared" si="169"/>
        <v>11400</v>
      </c>
      <c r="Y412" s="473">
        <f t="shared" si="170"/>
        <v>7400</v>
      </c>
      <c r="Z412" s="474">
        <f>IF(ISERROR(VLOOKUP(L412,Gegenstände!$B$2:$N$2026,13,FALSE)),0,VLOOKUP(L412,Gegenstände!$B$2:$N$2026,13,FALSE))</f>
        <v>180</v>
      </c>
      <c r="AA412" s="142">
        <f>IF(ISERROR(VLOOKUP(N412,Gegenstände!$B$2:$N$2026,13,FALSE)),0,VLOOKUP(N412,Gegenstände!$B$2:$N$2026,13,FALSE))</f>
        <v>80</v>
      </c>
      <c r="AB412" s="142">
        <f>IF(ISERROR(VLOOKUP(P412,Gegenstände!$B$2:$N$2026,13,FALSE)),0,VLOOKUP(P412,Gegenstände!$B$2:$N$2026,13,FALSE))</f>
        <v>200</v>
      </c>
      <c r="AC412" s="142">
        <f>IF(ISERROR(VLOOKUP(R412,Gegenstände!$B$2:$N$2026,13,FALSE)),0,VLOOKUP(R412,Gegenstände!$B$2:$N$2026,13,FALSE))</f>
        <v>0</v>
      </c>
      <c r="AD412" s="142">
        <f>IF(ISERROR(VLOOKUP(T412,Gegenstände!$B$2:$N$2026,13,FALSE)),0,VLOOKUP(T412,Gegenstände!$B$2:$N$2026,13,FALSE))</f>
        <v>2000</v>
      </c>
      <c r="AE412" s="475">
        <f t="shared" si="171"/>
        <v>2520</v>
      </c>
      <c r="AF412" s="476">
        <f t="shared" si="172"/>
        <v>2440</v>
      </c>
      <c r="AG412" s="128">
        <f t="shared" si="173"/>
        <v>0.34054054054054056</v>
      </c>
      <c r="AH412" s="128">
        <f t="shared" si="174"/>
        <v>0.32972972972972975</v>
      </c>
      <c r="AI412" s="129">
        <f>(AE412+AF412)/Y412</f>
        <v>0.67027027027027031</v>
      </c>
      <c r="AJ412" s="426">
        <f>Y412-(AE412+AF412)</f>
        <v>2440</v>
      </c>
      <c r="AK412" s="131">
        <f>(AJ412*60)/F412</f>
        <v>348.57142857142856</v>
      </c>
      <c r="AL412" s="477">
        <f>AK412/VLOOKUP(IF(I412&gt;0,I412,1),Preise!$A$3:$B$27,2,FALSE)</f>
        <v>102.52100840336132</v>
      </c>
    </row>
    <row r="413" spans="1:38" s="3" customFormat="1" outlineLevel="1" x14ac:dyDescent="0.2">
      <c r="A413" s="5">
        <v>2104</v>
      </c>
      <c r="B413" s="412">
        <v>2104</v>
      </c>
      <c r="C413" s="132" t="str">
        <f>VLOOKUP(B413,Gegenstände!$A$2:$B$2026,2,FALSE)</f>
        <v>Rubin-Schwert</v>
      </c>
      <c r="D413" s="133">
        <f>VLOOKUP(B413,Gegenstände!$A$2:$D$2026,4,FALSE)</f>
        <v>19</v>
      </c>
      <c r="E413" s="468">
        <v>30</v>
      </c>
      <c r="F413" s="134">
        <v>420</v>
      </c>
      <c r="G413" s="54"/>
      <c r="H413" s="469">
        <v>56</v>
      </c>
      <c r="I413" s="12">
        <f t="shared" si="168"/>
        <v>18</v>
      </c>
      <c r="J413" s="417"/>
      <c r="K413" s="6">
        <v>18</v>
      </c>
      <c r="L413" s="1" t="s">
        <v>116</v>
      </c>
      <c r="M413" s="87">
        <v>6</v>
      </c>
      <c r="N413" s="83" t="s">
        <v>176</v>
      </c>
      <c r="O413" s="85">
        <v>22</v>
      </c>
      <c r="P413" s="83" t="s">
        <v>179</v>
      </c>
      <c r="Q413" s="85"/>
      <c r="R413" s="83"/>
      <c r="S413" s="170">
        <v>2</v>
      </c>
      <c r="T413" s="170" t="s">
        <v>44</v>
      </c>
      <c r="U413" s="471">
        <f>VLOOKUP(D413,Preise!$A$3:$C$28,3)</f>
        <v>12.375453605252243</v>
      </c>
      <c r="V413" s="523">
        <f>U413*$V$409</f>
        <v>14850.544326302692</v>
      </c>
      <c r="W413" s="131"/>
      <c r="X413" s="472">
        <f t="shared" si="169"/>
        <v>21900</v>
      </c>
      <c r="Y413" s="473">
        <f t="shared" si="170"/>
        <v>14900</v>
      </c>
      <c r="Z413" s="474">
        <f>IF(ISERROR(VLOOKUP(L413,Gegenstände!$B$2:$N$2026,13,FALSE)),0,VLOOKUP(L413,Gegenstände!$B$2:$N$2026,13,FALSE))</f>
        <v>270</v>
      </c>
      <c r="AA413" s="142">
        <f>IF(ISERROR(VLOOKUP(N413,Gegenstände!$B$2:$N$2026,13,FALSE)),0,VLOOKUP(N413,Gegenstände!$B$2:$N$2026,13,FALSE))</f>
        <v>80</v>
      </c>
      <c r="AB413" s="142">
        <f>IF(ISERROR(VLOOKUP(P413,Gegenstände!$B$2:$N$2026,13,FALSE)),0,VLOOKUP(P413,Gegenstände!$B$2:$N$2026,13,FALSE))</f>
        <v>200</v>
      </c>
      <c r="AC413" s="142">
        <f>IF(ISERROR(VLOOKUP(R413,Gegenstände!$B$2:$N$2026,13,FALSE)),0,VLOOKUP(R413,Gegenstände!$B$2:$N$2026,13,FALSE))</f>
        <v>0</v>
      </c>
      <c r="AD413" s="142">
        <f>IF(ISERROR(VLOOKUP(T413,Gegenstände!$B$2:$N$2026,13,FALSE)),0,VLOOKUP(T413,Gegenstände!$B$2:$N$2026,13,FALSE))</f>
        <v>3500</v>
      </c>
      <c r="AE413" s="475">
        <f t="shared" si="171"/>
        <v>4860</v>
      </c>
      <c r="AF413" s="476">
        <f t="shared" si="172"/>
        <v>4880</v>
      </c>
      <c r="AG413" s="128">
        <f t="shared" si="173"/>
        <v>0.32617449664429532</v>
      </c>
      <c r="AH413" s="128">
        <f t="shared" si="174"/>
        <v>0.32751677852348993</v>
      </c>
      <c r="AI413" s="129">
        <f>(AE413+AF413)/Y413</f>
        <v>0.65369127516778525</v>
      </c>
      <c r="AJ413" s="426">
        <f>Y413-(AE413+AF413)</f>
        <v>5160</v>
      </c>
      <c r="AK413" s="131">
        <f>(AJ413*60)/F413</f>
        <v>737.14285714285711</v>
      </c>
      <c r="AL413" s="477">
        <f>AK413/VLOOKUP(IF(I413&gt;0,I413,1),Preise!$A$3:$B$27,2,FALSE)</f>
        <v>167.53246753246748</v>
      </c>
    </row>
    <row r="414" spans="1:38" s="3" customFormat="1" outlineLevel="1" x14ac:dyDescent="0.2">
      <c r="A414" s="5">
        <v>2105</v>
      </c>
      <c r="B414" s="412">
        <v>2105</v>
      </c>
      <c r="C414" s="132" t="str">
        <f>VLOOKUP(B414,Gegenstände!$A$2:$B$2026,2,FALSE)</f>
        <v>Obsidian-Schwert</v>
      </c>
      <c r="D414" s="133">
        <f>VLOOKUP(B414,Gegenstände!$A$2:$D$2026,4,FALSE)</f>
        <v>25</v>
      </c>
      <c r="E414" s="468">
        <v>30</v>
      </c>
      <c r="F414" s="134">
        <v>420</v>
      </c>
      <c r="G414" s="54"/>
      <c r="H414" s="469">
        <v>56</v>
      </c>
      <c r="I414" s="12">
        <f t="shared" si="168"/>
        <v>24</v>
      </c>
      <c r="J414" s="417"/>
      <c r="K414" s="6">
        <v>32</v>
      </c>
      <c r="L414" s="1" t="s">
        <v>117</v>
      </c>
      <c r="M414" s="87">
        <v>6</v>
      </c>
      <c r="N414" s="83" t="s">
        <v>176</v>
      </c>
      <c r="O414" s="85">
        <v>14</v>
      </c>
      <c r="P414" s="83" t="s">
        <v>179</v>
      </c>
      <c r="Q414" s="85">
        <v>16</v>
      </c>
      <c r="R414" s="83" t="s">
        <v>181</v>
      </c>
      <c r="S414" s="170">
        <v>2</v>
      </c>
      <c r="T414" s="170" t="s">
        <v>36</v>
      </c>
      <c r="U414" s="471">
        <f>VLOOKUP(D414,Preise!$A$3:$C$28,3)</f>
        <v>28.625176191121408</v>
      </c>
      <c r="V414" s="523">
        <f>U414*$V$409</f>
        <v>34350.211429345691</v>
      </c>
      <c r="W414" s="131"/>
      <c r="X414" s="472">
        <f t="shared" si="169"/>
        <v>44400</v>
      </c>
      <c r="Y414" s="473">
        <f t="shared" si="170"/>
        <v>34400</v>
      </c>
      <c r="Z414" s="474">
        <f>IF(ISERROR(VLOOKUP(L414,Gegenstände!$B$2:$N$2026,13,FALSE)),0,VLOOKUP(L414,Gegenstände!$B$2:$N$2026,13,FALSE))</f>
        <v>360</v>
      </c>
      <c r="AA414" s="142">
        <f>IF(ISERROR(VLOOKUP(N414,Gegenstände!$B$2:$N$2026,13,FALSE)),0,VLOOKUP(N414,Gegenstände!$B$2:$N$2026,13,FALSE))</f>
        <v>80</v>
      </c>
      <c r="AB414" s="142">
        <f>IF(ISERROR(VLOOKUP(P414,Gegenstände!$B$2:$N$2026,13,FALSE)),0,VLOOKUP(P414,Gegenstände!$B$2:$N$2026,13,FALSE))</f>
        <v>200</v>
      </c>
      <c r="AC414" s="142">
        <f>IF(ISERROR(VLOOKUP(R414,Gegenstände!$B$2:$N$2026,13,FALSE)),0,VLOOKUP(R414,Gegenstände!$B$2:$N$2026,13,FALSE))</f>
        <v>500</v>
      </c>
      <c r="AD414" s="142">
        <f>IF(ISERROR(VLOOKUP(T414,Gegenstände!$B$2:$N$2026,13,FALSE)),0,VLOOKUP(T414,Gegenstände!$B$2:$N$2026,13,FALSE))</f>
        <v>5000</v>
      </c>
      <c r="AE414" s="475">
        <f t="shared" si="171"/>
        <v>11520</v>
      </c>
      <c r="AF414" s="476">
        <f t="shared" si="172"/>
        <v>11280</v>
      </c>
      <c r="AG414" s="128">
        <f t="shared" si="173"/>
        <v>0.33488372093023255</v>
      </c>
      <c r="AH414" s="128">
        <f t="shared" si="174"/>
        <v>0.32790697674418606</v>
      </c>
      <c r="AI414" s="129">
        <f>(AE414+AF414)/Y414</f>
        <v>0.66279069767441856</v>
      </c>
      <c r="AJ414" s="426">
        <f>Y414-(AE414+AF414)</f>
        <v>11600</v>
      </c>
      <c r="AK414" s="131">
        <f>(AJ414*60)/F414</f>
        <v>1657.1428571428571</v>
      </c>
      <c r="AL414" s="477">
        <f>AK414/VLOOKUP(IF(I414&gt;0,I414,1),Preise!$A$3:$B$27,2,FALSE)</f>
        <v>295.91836734693862</v>
      </c>
    </row>
    <row r="415" spans="1:38" s="3" customFormat="1" x14ac:dyDescent="0.2">
      <c r="A415" s="581"/>
      <c r="B415" s="399"/>
      <c r="C415" s="193"/>
      <c r="D415" s="194"/>
      <c r="E415" s="582"/>
      <c r="F415" s="197"/>
      <c r="G415" s="194"/>
      <c r="H415" s="583"/>
      <c r="I415" s="597"/>
      <c r="J415" s="585"/>
      <c r="K415" s="584"/>
      <c r="L415" s="192"/>
      <c r="M415" s="584"/>
      <c r="N415" s="192"/>
      <c r="O415" s="584"/>
      <c r="P415" s="192"/>
      <c r="Q415" s="584"/>
      <c r="R415" s="192"/>
      <c r="S415" s="586"/>
      <c r="T415" s="586"/>
      <c r="U415" s="598"/>
      <c r="V415" s="589">
        <v>2000</v>
      </c>
      <c r="W415" s="590"/>
      <c r="X415" s="599"/>
      <c r="Y415" s="600"/>
      <c r="Z415" s="400"/>
      <c r="AA415" s="193"/>
      <c r="AB415" s="193"/>
      <c r="AC415" s="193"/>
      <c r="AD415" s="601"/>
      <c r="AE415" s="602"/>
      <c r="AF415" s="603"/>
      <c r="AG415" s="604"/>
      <c r="AH415" s="604"/>
      <c r="AI415" s="594"/>
      <c r="AJ415" s="595"/>
      <c r="AK415" s="200"/>
      <c r="AL415" s="596"/>
    </row>
    <row r="416" spans="1:38" s="3" customFormat="1" outlineLevel="1" x14ac:dyDescent="0.2">
      <c r="A416" s="5">
        <v>2111</v>
      </c>
      <c r="B416" s="412">
        <v>2111</v>
      </c>
      <c r="C416" s="132" t="str">
        <f>VLOOKUP(B416,Gegenstände!$A$2:$B$2026,2,FALSE)</f>
        <v>Quarz-Prunkschwert</v>
      </c>
      <c r="D416" s="133">
        <f>VLOOKUP(B416,Gegenstände!$A$2:$D$2026,4,FALSE)</f>
        <v>10</v>
      </c>
      <c r="E416" s="468">
        <v>30</v>
      </c>
      <c r="F416" s="134">
        <v>540</v>
      </c>
      <c r="G416" s="54"/>
      <c r="H416" s="469">
        <v>56</v>
      </c>
      <c r="I416" s="12">
        <f t="shared" si="168"/>
        <v>9</v>
      </c>
      <c r="J416" s="417"/>
      <c r="K416" s="6">
        <v>19</v>
      </c>
      <c r="L416" s="1" t="s">
        <v>114</v>
      </c>
      <c r="M416" s="87">
        <v>29</v>
      </c>
      <c r="N416" s="83" t="s">
        <v>176</v>
      </c>
      <c r="O416" s="85"/>
      <c r="P416" s="83"/>
      <c r="Q416" s="85"/>
      <c r="R416" s="83"/>
      <c r="S416" s="170">
        <v>5</v>
      </c>
      <c r="T416" s="170" t="s">
        <v>238</v>
      </c>
      <c r="U416" s="471">
        <f>VLOOKUP(D416,Preise!$A$3:$C$28,3)</f>
        <v>3.5178762919199196</v>
      </c>
      <c r="V416" s="523">
        <f>U416*$V$415</f>
        <v>7035.7525838398387</v>
      </c>
      <c r="W416" s="131"/>
      <c r="X416" s="472">
        <f t="shared" si="169"/>
        <v>12000</v>
      </c>
      <c r="Y416" s="473">
        <f t="shared" si="170"/>
        <v>7000</v>
      </c>
      <c r="Z416" s="474">
        <f>IF(ISERROR(VLOOKUP(L416,Gegenstände!$B$2:$N$2026,13,FALSE)),0,VLOOKUP(L416,Gegenstände!$B$2:$N$2026,13,FALSE))</f>
        <v>120</v>
      </c>
      <c r="AA416" s="142">
        <f>IF(ISERROR(VLOOKUP(N416,Gegenstände!$B$2:$N$2026,13,FALSE)),0,VLOOKUP(N416,Gegenstände!$B$2:$N$2026,13,FALSE))</f>
        <v>80</v>
      </c>
      <c r="AB416" s="142">
        <f>IF(ISERROR(VLOOKUP(P416,Gegenstände!$B$2:$N$2026,13,FALSE)),0,VLOOKUP(P416,Gegenstände!$B$2:$N$2026,13,FALSE))</f>
        <v>0</v>
      </c>
      <c r="AC416" s="142">
        <f>IF(ISERROR(VLOOKUP(R416,Gegenstände!$B$2:$N$2026,13,FALSE)),0,VLOOKUP(R416,Gegenstände!$B$2:$N$2026,13,FALSE))</f>
        <v>0</v>
      </c>
      <c r="AD416" s="142">
        <f>IF(ISERROR(VLOOKUP(T416,Gegenstände!$B$2:$N$2026,13,FALSE)),0,VLOOKUP(T416,Gegenstände!$B$2:$N$2026,13,FALSE))</f>
        <v>1000</v>
      </c>
      <c r="AE416" s="475">
        <f t="shared" si="171"/>
        <v>2280</v>
      </c>
      <c r="AF416" s="476">
        <f t="shared" si="172"/>
        <v>2320</v>
      </c>
      <c r="AG416" s="128">
        <f t="shared" si="173"/>
        <v>0.32571428571428573</v>
      </c>
      <c r="AH416" s="128">
        <f t="shared" si="174"/>
        <v>0.33142857142857141</v>
      </c>
      <c r="AI416" s="129">
        <f>(AE416+AF416)/Y416</f>
        <v>0.65714285714285714</v>
      </c>
      <c r="AJ416" s="426">
        <f>Y416-(AE416+AF416)</f>
        <v>2400</v>
      </c>
      <c r="AK416" s="131">
        <f>(AJ416*60)/F416</f>
        <v>266.66666666666669</v>
      </c>
      <c r="AL416" s="477">
        <f>AK416/VLOOKUP(IF(I416&gt;0,I416,1),Preise!$A$3:$B$27,2,FALSE)</f>
        <v>102.56410256410257</v>
      </c>
    </row>
    <row r="417" spans="1:38" s="3" customFormat="1" outlineLevel="1" x14ac:dyDescent="0.2">
      <c r="A417" s="5">
        <v>2112</v>
      </c>
      <c r="B417" s="412">
        <v>2112</v>
      </c>
      <c r="C417" s="132" t="str">
        <f>VLOOKUP(B417,Gegenstände!$A$2:$B$2026,2,FALSE)</f>
        <v>Smaragd-Prunkschwert</v>
      </c>
      <c r="D417" s="133">
        <f>VLOOKUP(B417,Gegenstände!$A$2:$D$2026,4,FALSE)</f>
        <v>15</v>
      </c>
      <c r="E417" s="468">
        <v>30</v>
      </c>
      <c r="F417" s="134">
        <v>540</v>
      </c>
      <c r="G417" s="54"/>
      <c r="H417" s="469">
        <v>56</v>
      </c>
      <c r="I417" s="12">
        <f t="shared" si="168"/>
        <v>14</v>
      </c>
      <c r="J417" s="417"/>
      <c r="K417" s="6">
        <v>26</v>
      </c>
      <c r="L417" s="1" t="s">
        <v>115</v>
      </c>
      <c r="M417" s="87">
        <v>6</v>
      </c>
      <c r="N417" s="83" t="s">
        <v>176</v>
      </c>
      <c r="O417" s="85">
        <v>21</v>
      </c>
      <c r="P417" s="83" t="s">
        <v>179</v>
      </c>
      <c r="Q417" s="85"/>
      <c r="R417" s="83"/>
      <c r="S417" s="170">
        <v>5</v>
      </c>
      <c r="T417" s="170" t="s">
        <v>50</v>
      </c>
      <c r="U417" s="471">
        <f>VLOOKUP(D417,Preise!$A$3:$C$28,3)</f>
        <v>7.0757057644889763</v>
      </c>
      <c r="V417" s="523">
        <f>U417*$V$415</f>
        <v>14151.411528977953</v>
      </c>
      <c r="W417" s="131"/>
      <c r="X417" s="472">
        <f t="shared" si="169"/>
        <v>24200</v>
      </c>
      <c r="Y417" s="473">
        <f t="shared" si="170"/>
        <v>14200</v>
      </c>
      <c r="Z417" s="474">
        <f>IF(ISERROR(VLOOKUP(L417,Gegenstände!$B$2:$N$2026,13,FALSE)),0,VLOOKUP(L417,Gegenstände!$B$2:$N$2026,13,FALSE))</f>
        <v>180</v>
      </c>
      <c r="AA417" s="142">
        <f>IF(ISERROR(VLOOKUP(N417,Gegenstände!$B$2:$N$2026,13,FALSE)),0,VLOOKUP(N417,Gegenstände!$B$2:$N$2026,13,FALSE))</f>
        <v>80</v>
      </c>
      <c r="AB417" s="142">
        <f>IF(ISERROR(VLOOKUP(P417,Gegenstände!$B$2:$N$2026,13,FALSE)),0,VLOOKUP(P417,Gegenstände!$B$2:$N$2026,13,FALSE))</f>
        <v>200</v>
      </c>
      <c r="AC417" s="142">
        <f>IF(ISERROR(VLOOKUP(R417,Gegenstände!$B$2:$N$2026,13,FALSE)),0,VLOOKUP(R417,Gegenstände!$B$2:$N$2026,13,FALSE))</f>
        <v>0</v>
      </c>
      <c r="AD417" s="142">
        <f>IF(ISERROR(VLOOKUP(T417,Gegenstände!$B$2:$N$2026,13,FALSE)),0,VLOOKUP(T417,Gegenstände!$B$2:$N$2026,13,FALSE))</f>
        <v>2000</v>
      </c>
      <c r="AE417" s="475">
        <f t="shared" si="171"/>
        <v>4680</v>
      </c>
      <c r="AF417" s="476">
        <f t="shared" si="172"/>
        <v>4680</v>
      </c>
      <c r="AG417" s="128">
        <f t="shared" si="173"/>
        <v>0.3295774647887324</v>
      </c>
      <c r="AH417" s="128">
        <f t="shared" si="174"/>
        <v>0.3295774647887324</v>
      </c>
      <c r="AI417" s="129">
        <f>(AE417+AF417)/Y417</f>
        <v>0.6591549295774648</v>
      </c>
      <c r="AJ417" s="426">
        <f>Y417-(AE417+AF417)</f>
        <v>4840</v>
      </c>
      <c r="AK417" s="131">
        <f>(AJ417*60)/F417</f>
        <v>537.77777777777783</v>
      </c>
      <c r="AL417" s="477">
        <f>AK417/VLOOKUP(IF(I417&gt;0,I417,1),Preise!$A$3:$B$27,2,FALSE)</f>
        <v>149.38271604938268</v>
      </c>
    </row>
    <row r="418" spans="1:38" s="3" customFormat="1" outlineLevel="1" x14ac:dyDescent="0.2">
      <c r="A418" s="5">
        <v>2113</v>
      </c>
      <c r="B418" s="412">
        <v>2113</v>
      </c>
      <c r="C418" s="132" t="str">
        <f>VLOOKUP(B418,Gegenstände!$A$2:$B$2026,2,FALSE)</f>
        <v>Rubin-Prunkschwert</v>
      </c>
      <c r="D418" s="133">
        <f>VLOOKUP(B418,Gegenstände!$A$2:$D$2026,4,FALSE)</f>
        <v>20</v>
      </c>
      <c r="E418" s="468">
        <v>30</v>
      </c>
      <c r="F418" s="134">
        <v>540</v>
      </c>
      <c r="G418" s="54"/>
      <c r="H418" s="469">
        <v>56</v>
      </c>
      <c r="I418" s="12">
        <f t="shared" si="168"/>
        <v>19</v>
      </c>
      <c r="J418" s="417"/>
      <c r="K418" s="6">
        <v>35</v>
      </c>
      <c r="L418" s="1" t="s">
        <v>116</v>
      </c>
      <c r="M418" s="87">
        <v>16</v>
      </c>
      <c r="N418" s="83" t="s">
        <v>176</v>
      </c>
      <c r="O418" s="85">
        <v>40</v>
      </c>
      <c r="P418" s="83" t="s">
        <v>179</v>
      </c>
      <c r="Q418" s="85"/>
      <c r="R418" s="83"/>
      <c r="S418" s="170">
        <v>5</v>
      </c>
      <c r="T418" s="170" t="s">
        <v>44</v>
      </c>
      <c r="U418" s="471">
        <f>VLOOKUP(D418,Preise!$A$3:$C$28,3)</f>
        <v>14.231771646040078</v>
      </c>
      <c r="V418" s="523">
        <f>U418*$V$415</f>
        <v>28463.543292080158</v>
      </c>
      <c r="W418" s="131"/>
      <c r="X418" s="472">
        <f t="shared" si="169"/>
        <v>46000</v>
      </c>
      <c r="Y418" s="473">
        <f t="shared" si="170"/>
        <v>28500</v>
      </c>
      <c r="Z418" s="474">
        <f>IF(ISERROR(VLOOKUP(L418,Gegenstände!$B$2:$N$2026,13,FALSE)),0,VLOOKUP(L418,Gegenstände!$B$2:$N$2026,13,FALSE))</f>
        <v>270</v>
      </c>
      <c r="AA418" s="142">
        <f>IF(ISERROR(VLOOKUP(N418,Gegenstände!$B$2:$N$2026,13,FALSE)),0,VLOOKUP(N418,Gegenstände!$B$2:$N$2026,13,FALSE))</f>
        <v>80</v>
      </c>
      <c r="AB418" s="142">
        <f>IF(ISERROR(VLOOKUP(P418,Gegenstände!$B$2:$N$2026,13,FALSE)),0,VLOOKUP(P418,Gegenstände!$B$2:$N$2026,13,FALSE))</f>
        <v>200</v>
      </c>
      <c r="AC418" s="142">
        <f>IF(ISERROR(VLOOKUP(R418,Gegenstände!$B$2:$N$2026,13,FALSE)),0,VLOOKUP(R418,Gegenstände!$B$2:$N$2026,13,FALSE))</f>
        <v>0</v>
      </c>
      <c r="AD418" s="142">
        <f>IF(ISERROR(VLOOKUP(T418,Gegenstände!$B$2:$N$2026,13,FALSE)),0,VLOOKUP(T418,Gegenstände!$B$2:$N$2026,13,FALSE))</f>
        <v>3500</v>
      </c>
      <c r="AE418" s="475">
        <f t="shared" si="171"/>
        <v>9450</v>
      </c>
      <c r="AF418" s="476">
        <f t="shared" si="172"/>
        <v>9280</v>
      </c>
      <c r="AG418" s="128">
        <f t="shared" si="173"/>
        <v>0.33157894736842103</v>
      </c>
      <c r="AH418" s="128">
        <f t="shared" si="174"/>
        <v>0.3256140350877193</v>
      </c>
      <c r="AI418" s="129">
        <f>(AE418+AF418)/Y418</f>
        <v>0.65719298245614033</v>
      </c>
      <c r="AJ418" s="426">
        <f>Y418-(AE418+AF418)</f>
        <v>9770</v>
      </c>
      <c r="AK418" s="131">
        <f>(AJ418*60)/F418</f>
        <v>1085.5555555555557</v>
      </c>
      <c r="AL418" s="477">
        <f>AK418/VLOOKUP(IF(I418&gt;0,I418,1),Preise!$A$3:$B$27,2,FALSE)</f>
        <v>235.99033816425117</v>
      </c>
    </row>
    <row r="419" spans="1:38" s="3" customFormat="1" outlineLevel="1" x14ac:dyDescent="0.2">
      <c r="A419" s="5">
        <v>2114</v>
      </c>
      <c r="B419" s="412">
        <v>2114</v>
      </c>
      <c r="C419" s="132" t="str">
        <f>VLOOKUP(B419,Gegenstände!$A$2:$B$2026,2,FALSE)</f>
        <v>Obsidian-Prunkschwert</v>
      </c>
      <c r="D419" s="133">
        <f>VLOOKUP(B419,Gegenstände!$A$2:$D$2026,4,FALSE)</f>
        <v>25</v>
      </c>
      <c r="E419" s="468">
        <v>30</v>
      </c>
      <c r="F419" s="134">
        <v>540</v>
      </c>
      <c r="G419" s="54"/>
      <c r="H419" s="469">
        <v>56</v>
      </c>
      <c r="I419" s="12">
        <f t="shared" si="168"/>
        <v>24</v>
      </c>
      <c r="J419" s="417"/>
      <c r="K419" s="6">
        <v>52</v>
      </c>
      <c r="L419" s="1" t="s">
        <v>117</v>
      </c>
      <c r="M419" s="87">
        <v>6</v>
      </c>
      <c r="N419" s="83" t="s">
        <v>176</v>
      </c>
      <c r="O419" s="85">
        <v>8</v>
      </c>
      <c r="P419" s="83" t="s">
        <v>179</v>
      </c>
      <c r="Q419" s="85">
        <v>34</v>
      </c>
      <c r="R419" s="83" t="s">
        <v>181</v>
      </c>
      <c r="S419" s="170">
        <v>5</v>
      </c>
      <c r="T419" s="170" t="s">
        <v>36</v>
      </c>
      <c r="U419" s="471">
        <f>VLOOKUP(D419,Preise!$A$3:$C$28,3)</f>
        <v>28.625176191121408</v>
      </c>
      <c r="V419" s="523">
        <f>U419*$V$415</f>
        <v>57250.352382242818</v>
      </c>
      <c r="W419" s="131"/>
      <c r="X419" s="472">
        <f t="shared" si="169"/>
        <v>82300</v>
      </c>
      <c r="Y419" s="473">
        <f t="shared" si="170"/>
        <v>57300</v>
      </c>
      <c r="Z419" s="474">
        <f>IF(ISERROR(VLOOKUP(L419,Gegenstände!$B$2:$N$2026,13,FALSE)),0,VLOOKUP(L419,Gegenstände!$B$2:$N$2026,13,FALSE))</f>
        <v>360</v>
      </c>
      <c r="AA419" s="142">
        <f>IF(ISERROR(VLOOKUP(N419,Gegenstände!$B$2:$N$2026,13,FALSE)),0,VLOOKUP(N419,Gegenstände!$B$2:$N$2026,13,FALSE))</f>
        <v>80</v>
      </c>
      <c r="AB419" s="142">
        <f>IF(ISERROR(VLOOKUP(P419,Gegenstände!$B$2:$N$2026,13,FALSE)),0,VLOOKUP(P419,Gegenstände!$B$2:$N$2026,13,FALSE))</f>
        <v>200</v>
      </c>
      <c r="AC419" s="142">
        <f>IF(ISERROR(VLOOKUP(R419,Gegenstände!$B$2:$N$2026,13,FALSE)),0,VLOOKUP(R419,Gegenstände!$B$2:$N$2026,13,FALSE))</f>
        <v>500</v>
      </c>
      <c r="AD419" s="142">
        <f>IF(ISERROR(VLOOKUP(T419,Gegenstände!$B$2:$N$2026,13,FALSE)),0,VLOOKUP(T419,Gegenstände!$B$2:$N$2026,13,FALSE))</f>
        <v>5000</v>
      </c>
      <c r="AE419" s="475">
        <f t="shared" si="171"/>
        <v>18720</v>
      </c>
      <c r="AF419" s="476">
        <f t="shared" si="172"/>
        <v>19080</v>
      </c>
      <c r="AG419" s="128">
        <f t="shared" si="173"/>
        <v>0.32670157068062827</v>
      </c>
      <c r="AH419" s="128">
        <f t="shared" si="174"/>
        <v>0.33298429319371725</v>
      </c>
      <c r="AI419" s="129">
        <f>(AE419+AF419)/Y419</f>
        <v>0.65968586387434558</v>
      </c>
      <c r="AJ419" s="426">
        <f>Y419-(AE419+AF419)</f>
        <v>19500</v>
      </c>
      <c r="AK419" s="131">
        <f>(AJ419*60)/F419</f>
        <v>2166.6666666666665</v>
      </c>
      <c r="AL419" s="477">
        <f>AK419/VLOOKUP(IF(I419&gt;0,I419,1),Preise!$A$3:$B$27,2,FALSE)</f>
        <v>386.9047619047617</v>
      </c>
    </row>
    <row r="420" spans="1:38" s="3" customFormat="1" x14ac:dyDescent="0.2">
      <c r="A420" s="581"/>
      <c r="B420" s="399"/>
      <c r="C420" s="193"/>
      <c r="D420" s="194"/>
      <c r="E420" s="582"/>
      <c r="F420" s="197"/>
      <c r="G420" s="194"/>
      <c r="H420" s="583"/>
      <c r="I420" s="597"/>
      <c r="J420" s="585"/>
      <c r="K420" s="584"/>
      <c r="L420" s="192"/>
      <c r="M420" s="584"/>
      <c r="N420" s="192"/>
      <c r="O420" s="584"/>
      <c r="P420" s="192"/>
      <c r="Q420" s="584"/>
      <c r="R420" s="192"/>
      <c r="S420" s="586"/>
      <c r="T420" s="586"/>
      <c r="U420" s="598"/>
      <c r="V420" s="589">
        <v>1200</v>
      </c>
      <c r="W420" s="590"/>
      <c r="X420" s="599"/>
      <c r="Y420" s="600"/>
      <c r="Z420" s="400"/>
      <c r="AA420" s="193"/>
      <c r="AB420" s="193"/>
      <c r="AC420" s="193"/>
      <c r="AD420" s="601"/>
      <c r="AE420" s="602"/>
      <c r="AF420" s="603"/>
      <c r="AG420" s="604"/>
      <c r="AH420" s="604"/>
      <c r="AI420" s="605"/>
      <c r="AJ420" s="595"/>
      <c r="AK420" s="200"/>
      <c r="AL420" s="596"/>
    </row>
    <row r="421" spans="1:38" s="3" customFormat="1" outlineLevel="1" x14ac:dyDescent="0.2">
      <c r="A421" s="5">
        <v>2121</v>
      </c>
      <c r="B421" s="412">
        <v>2121</v>
      </c>
      <c r="C421" s="132" t="str">
        <f>VLOOKUP(B421,Gegenstände!$A$2:$B$2026,2,FALSE)</f>
        <v>Kristall-Dolch</v>
      </c>
      <c r="D421" s="133">
        <f>VLOOKUP(B421,Gegenstände!$A$2:$D$2026,4,FALSE)</f>
        <v>4</v>
      </c>
      <c r="E421" s="468">
        <v>30</v>
      </c>
      <c r="F421" s="134">
        <v>420</v>
      </c>
      <c r="G421" s="54"/>
      <c r="H421" s="469">
        <v>57</v>
      </c>
      <c r="I421" s="12">
        <f t="shared" si="168"/>
        <v>3</v>
      </c>
      <c r="J421" s="417"/>
      <c r="K421" s="6">
        <v>10</v>
      </c>
      <c r="L421" s="1" t="s">
        <v>113</v>
      </c>
      <c r="M421" s="87">
        <v>7</v>
      </c>
      <c r="N421" s="83" t="s">
        <v>176</v>
      </c>
      <c r="O421" s="85"/>
      <c r="P421" s="83"/>
      <c r="Q421" s="85"/>
      <c r="R421" s="83"/>
      <c r="S421" s="170">
        <v>2</v>
      </c>
      <c r="T421" s="170" t="s">
        <v>237</v>
      </c>
      <c r="U421" s="471">
        <f>VLOOKUP(D421,Preise!$A$3:$C$28,3)</f>
        <v>1.5208749999999995</v>
      </c>
      <c r="V421" s="523">
        <f>U421*$V$420</f>
        <v>1825.0499999999995</v>
      </c>
      <c r="W421" s="131"/>
      <c r="X421" s="472">
        <f t="shared" si="169"/>
        <v>2800</v>
      </c>
      <c r="Y421" s="473">
        <f t="shared" si="170"/>
        <v>1800</v>
      </c>
      <c r="Z421" s="474">
        <f>IF(ISERROR(VLOOKUP(L421,Gegenstände!$B$2:$N$2026,13,FALSE)),0,VLOOKUP(L421,Gegenstände!$B$2:$N$2026,13,FALSE))</f>
        <v>60</v>
      </c>
      <c r="AA421" s="142">
        <f>IF(ISERROR(VLOOKUP(N421,Gegenstände!$B$2:$N$2026,13,FALSE)),0,VLOOKUP(N421,Gegenstände!$B$2:$N$2026,13,FALSE))</f>
        <v>80</v>
      </c>
      <c r="AB421" s="142">
        <f>IF(ISERROR(VLOOKUP(P421,Gegenstände!$B$2:$N$2026,13,FALSE)),0,VLOOKUP(P421,Gegenstände!$B$2:$N$2026,13,FALSE))</f>
        <v>0</v>
      </c>
      <c r="AC421" s="142">
        <f>IF(ISERROR(VLOOKUP(R421,Gegenstände!$B$2:$N$2026,13,FALSE)),0,VLOOKUP(R421,Gegenstände!$B$2:$N$2026,13,FALSE))</f>
        <v>0</v>
      </c>
      <c r="AD421" s="142">
        <f>IF(ISERROR(VLOOKUP(T421,Gegenstände!$B$2:$N$2026,13,FALSE)),0,VLOOKUP(T421,Gegenstände!$B$2:$N$2026,13,FALSE))</f>
        <v>500</v>
      </c>
      <c r="AE421" s="475">
        <f t="shared" si="171"/>
        <v>600</v>
      </c>
      <c r="AF421" s="476">
        <f t="shared" si="172"/>
        <v>560</v>
      </c>
      <c r="AG421" s="128">
        <f t="shared" si="173"/>
        <v>0.33333333333333331</v>
      </c>
      <c r="AH421" s="128">
        <f t="shared" si="174"/>
        <v>0.31111111111111112</v>
      </c>
      <c r="AI421" s="129">
        <f>(AE421+AF421)/Y421</f>
        <v>0.64444444444444449</v>
      </c>
      <c r="AJ421" s="426">
        <f>Y421-(AE421+AF421)</f>
        <v>640</v>
      </c>
      <c r="AK421" s="131">
        <f>(AJ421*60)/F421</f>
        <v>91.428571428571431</v>
      </c>
      <c r="AL421" s="477">
        <f>AK421/VLOOKUP(IF(I421&gt;0,I421,1),Preise!$A$3:$B$27,2,FALSE)</f>
        <v>65.306122448979593</v>
      </c>
    </row>
    <row r="422" spans="1:38" s="3" customFormat="1" outlineLevel="1" x14ac:dyDescent="0.2">
      <c r="A422" s="5">
        <v>2122</v>
      </c>
      <c r="B422" s="412">
        <v>2122</v>
      </c>
      <c r="C422" s="132" t="str">
        <f>VLOOKUP(B422,Gegenstände!$A$2:$B$2026,2,FALSE)</f>
        <v>Quarz-Dolch</v>
      </c>
      <c r="D422" s="133">
        <f>VLOOKUP(B422,Gegenstände!$A$2:$D$2026,4,FALSE)</f>
        <v>9</v>
      </c>
      <c r="E422" s="468">
        <v>30</v>
      </c>
      <c r="F422" s="134">
        <v>420</v>
      </c>
      <c r="G422" s="54"/>
      <c r="H422" s="469">
        <v>57</v>
      </c>
      <c r="I422" s="12">
        <f t="shared" si="168"/>
        <v>8</v>
      </c>
      <c r="J422" s="417"/>
      <c r="K422" s="6">
        <v>10</v>
      </c>
      <c r="L422" s="1" t="s">
        <v>114</v>
      </c>
      <c r="M422" s="87">
        <v>15</v>
      </c>
      <c r="N422" s="83" t="s">
        <v>176</v>
      </c>
      <c r="O422" s="85"/>
      <c r="P422" s="83"/>
      <c r="Q422" s="85"/>
      <c r="R422" s="83"/>
      <c r="S422" s="170">
        <v>2</v>
      </c>
      <c r="T422" s="170" t="s">
        <v>238</v>
      </c>
      <c r="U422" s="471">
        <f>VLOOKUP(D422,Preise!$A$3:$C$28,3)</f>
        <v>3.0590228625390607</v>
      </c>
      <c r="V422" s="523">
        <f>U422*$V$420</f>
        <v>3670.8274350468728</v>
      </c>
      <c r="W422" s="131"/>
      <c r="X422" s="472">
        <f t="shared" si="169"/>
        <v>5700</v>
      </c>
      <c r="Y422" s="473">
        <f t="shared" si="170"/>
        <v>3700</v>
      </c>
      <c r="Z422" s="474">
        <f>IF(ISERROR(VLOOKUP(L422,Gegenstände!$B$2:$N$2026,13,FALSE)),0,VLOOKUP(L422,Gegenstände!$B$2:$N$2026,13,FALSE))</f>
        <v>120</v>
      </c>
      <c r="AA422" s="142">
        <f>IF(ISERROR(VLOOKUP(N422,Gegenstände!$B$2:$N$2026,13,FALSE)),0,VLOOKUP(N422,Gegenstände!$B$2:$N$2026,13,FALSE))</f>
        <v>80</v>
      </c>
      <c r="AB422" s="142">
        <f>IF(ISERROR(VLOOKUP(P422,Gegenstände!$B$2:$N$2026,13,FALSE)),0,VLOOKUP(P422,Gegenstände!$B$2:$N$2026,13,FALSE))</f>
        <v>0</v>
      </c>
      <c r="AC422" s="142">
        <f>IF(ISERROR(VLOOKUP(R422,Gegenstände!$B$2:$N$2026,13,FALSE)),0,VLOOKUP(R422,Gegenstände!$B$2:$N$2026,13,FALSE))</f>
        <v>0</v>
      </c>
      <c r="AD422" s="142">
        <f>IF(ISERROR(VLOOKUP(T422,Gegenstände!$B$2:$N$2026,13,FALSE)),0,VLOOKUP(T422,Gegenstände!$B$2:$N$2026,13,FALSE))</f>
        <v>1000</v>
      </c>
      <c r="AE422" s="475">
        <f t="shared" si="171"/>
        <v>1200</v>
      </c>
      <c r="AF422" s="476">
        <f t="shared" si="172"/>
        <v>1200</v>
      </c>
      <c r="AG422" s="128">
        <f t="shared" si="173"/>
        <v>0.32432432432432434</v>
      </c>
      <c r="AH422" s="128">
        <f t="shared" si="174"/>
        <v>0.32432432432432434</v>
      </c>
      <c r="AI422" s="129">
        <f>(AE422+AF422)/Y422</f>
        <v>0.64864864864864868</v>
      </c>
      <c r="AJ422" s="426">
        <f>Y422-(AE422+AF422)</f>
        <v>1300</v>
      </c>
      <c r="AK422" s="131">
        <f>(AJ422*60)/F422</f>
        <v>185.71428571428572</v>
      </c>
      <c r="AL422" s="477">
        <f>AK422/VLOOKUP(IF(I422&gt;0,I422,1),Preise!$A$3:$B$27,2,FALSE)</f>
        <v>77.380952380952394</v>
      </c>
    </row>
    <row r="423" spans="1:38" s="3" customFormat="1" outlineLevel="1" x14ac:dyDescent="0.2">
      <c r="A423" s="5">
        <v>2123</v>
      </c>
      <c r="B423" s="412">
        <v>2123</v>
      </c>
      <c r="C423" s="132" t="str">
        <f>VLOOKUP(B423,Gegenstände!$A$2:$B$2026,2,FALSE)</f>
        <v>Smaragd-Dolch</v>
      </c>
      <c r="D423" s="133">
        <f>VLOOKUP(B423,Gegenstände!$A$2:$D$2026,4,FALSE)</f>
        <v>14</v>
      </c>
      <c r="E423" s="468">
        <v>30</v>
      </c>
      <c r="F423" s="134">
        <v>420</v>
      </c>
      <c r="G423" s="54"/>
      <c r="H423" s="469">
        <v>57</v>
      </c>
      <c r="I423" s="12">
        <f t="shared" si="168"/>
        <v>13</v>
      </c>
      <c r="J423" s="417"/>
      <c r="K423" s="6">
        <v>14</v>
      </c>
      <c r="L423" s="1" t="s">
        <v>115</v>
      </c>
      <c r="M423" s="87">
        <v>3</v>
      </c>
      <c r="N423" s="83" t="s">
        <v>176</v>
      </c>
      <c r="O423" s="85">
        <v>11</v>
      </c>
      <c r="P423" s="83" t="s">
        <v>179</v>
      </c>
      <c r="Q423" s="85"/>
      <c r="R423" s="83"/>
      <c r="S423" s="170">
        <v>2</v>
      </c>
      <c r="T423" s="170" t="s">
        <v>50</v>
      </c>
      <c r="U423" s="471">
        <f>VLOOKUP(D423,Preise!$A$3:$C$28,3)</f>
        <v>6.1527876212947623</v>
      </c>
      <c r="V423" s="523">
        <f>U423*$V$420</f>
        <v>7383.3451455537152</v>
      </c>
      <c r="W423" s="131"/>
      <c r="X423" s="472">
        <f t="shared" si="169"/>
        <v>11400</v>
      </c>
      <c r="Y423" s="473">
        <f t="shared" si="170"/>
        <v>7400</v>
      </c>
      <c r="Z423" s="474">
        <f>IF(ISERROR(VLOOKUP(L423,Gegenstände!$B$2:$N$2026,13,FALSE)),0,VLOOKUP(L423,Gegenstände!$B$2:$N$2026,13,FALSE))</f>
        <v>180</v>
      </c>
      <c r="AA423" s="142">
        <f>IF(ISERROR(VLOOKUP(N423,Gegenstände!$B$2:$N$2026,13,FALSE)),0,VLOOKUP(N423,Gegenstände!$B$2:$N$2026,13,FALSE))</f>
        <v>80</v>
      </c>
      <c r="AB423" s="142">
        <f>IF(ISERROR(VLOOKUP(P423,Gegenstände!$B$2:$N$2026,13,FALSE)),0,VLOOKUP(P423,Gegenstände!$B$2:$N$2026,13,FALSE))</f>
        <v>200</v>
      </c>
      <c r="AC423" s="142">
        <f>IF(ISERROR(VLOOKUP(R423,Gegenstände!$B$2:$N$2026,13,FALSE)),0,VLOOKUP(R423,Gegenstände!$B$2:$N$2026,13,FALSE))</f>
        <v>0</v>
      </c>
      <c r="AD423" s="142">
        <f>IF(ISERROR(VLOOKUP(T423,Gegenstände!$B$2:$N$2026,13,FALSE)),0,VLOOKUP(T423,Gegenstände!$B$2:$N$2026,13,FALSE))</f>
        <v>2000</v>
      </c>
      <c r="AE423" s="475">
        <f t="shared" si="171"/>
        <v>2520</v>
      </c>
      <c r="AF423" s="476">
        <f t="shared" si="172"/>
        <v>2440</v>
      </c>
      <c r="AG423" s="128">
        <f t="shared" si="173"/>
        <v>0.34054054054054056</v>
      </c>
      <c r="AH423" s="128">
        <f t="shared" si="174"/>
        <v>0.32972972972972975</v>
      </c>
      <c r="AI423" s="129">
        <f>(AE423+AF423)/Y423</f>
        <v>0.67027027027027031</v>
      </c>
      <c r="AJ423" s="426">
        <f>Y423-(AE423+AF423)</f>
        <v>2440</v>
      </c>
      <c r="AK423" s="131">
        <f>(AJ423*60)/F423</f>
        <v>348.57142857142856</v>
      </c>
      <c r="AL423" s="477">
        <f>AK423/VLOOKUP(IF(I423&gt;0,I423,1),Preise!$A$3:$B$27,2,FALSE)</f>
        <v>102.52100840336132</v>
      </c>
    </row>
    <row r="424" spans="1:38" s="3" customFormat="1" outlineLevel="1" x14ac:dyDescent="0.2">
      <c r="A424" s="5">
        <v>2124</v>
      </c>
      <c r="B424" s="412">
        <v>2124</v>
      </c>
      <c r="C424" s="132" t="str">
        <f>VLOOKUP(B424,Gegenstände!$A$2:$B$2026,2,FALSE)</f>
        <v>Rubin-Dolch</v>
      </c>
      <c r="D424" s="133">
        <f>VLOOKUP(B424,Gegenstände!$A$2:$D$2026,4,FALSE)</f>
        <v>19</v>
      </c>
      <c r="E424" s="468">
        <v>30</v>
      </c>
      <c r="F424" s="134">
        <v>420</v>
      </c>
      <c r="G424" s="54"/>
      <c r="H424" s="469">
        <v>57</v>
      </c>
      <c r="I424" s="12">
        <f t="shared" si="168"/>
        <v>18</v>
      </c>
      <c r="J424" s="417"/>
      <c r="K424" s="6">
        <v>18</v>
      </c>
      <c r="L424" s="1" t="s">
        <v>116</v>
      </c>
      <c r="M424" s="87">
        <v>6</v>
      </c>
      <c r="N424" s="83" t="s">
        <v>176</v>
      </c>
      <c r="O424" s="85">
        <v>22</v>
      </c>
      <c r="P424" s="83" t="s">
        <v>179</v>
      </c>
      <c r="Q424" s="85"/>
      <c r="R424" s="83"/>
      <c r="S424" s="170">
        <v>2</v>
      </c>
      <c r="T424" s="170" t="s">
        <v>44</v>
      </c>
      <c r="U424" s="471">
        <f>VLOOKUP(D424,Preise!$A$3:$C$28,3)</f>
        <v>12.375453605252243</v>
      </c>
      <c r="V424" s="523">
        <f>U424*$V$420</f>
        <v>14850.544326302692</v>
      </c>
      <c r="W424" s="131"/>
      <c r="X424" s="472">
        <f t="shared" si="169"/>
        <v>21900</v>
      </c>
      <c r="Y424" s="473">
        <f t="shared" si="170"/>
        <v>14900</v>
      </c>
      <c r="Z424" s="474">
        <f>IF(ISERROR(VLOOKUP(L424,Gegenstände!$B$2:$N$2026,13,FALSE)),0,VLOOKUP(L424,Gegenstände!$B$2:$N$2026,13,FALSE))</f>
        <v>270</v>
      </c>
      <c r="AA424" s="142">
        <f>IF(ISERROR(VLOOKUP(N424,Gegenstände!$B$2:$N$2026,13,FALSE)),0,VLOOKUP(N424,Gegenstände!$B$2:$N$2026,13,FALSE))</f>
        <v>80</v>
      </c>
      <c r="AB424" s="142">
        <f>IF(ISERROR(VLOOKUP(P424,Gegenstände!$B$2:$N$2026,13,FALSE)),0,VLOOKUP(P424,Gegenstände!$B$2:$N$2026,13,FALSE))</f>
        <v>200</v>
      </c>
      <c r="AC424" s="142">
        <f>IF(ISERROR(VLOOKUP(R424,Gegenstände!$B$2:$N$2026,13,FALSE)),0,VLOOKUP(R424,Gegenstände!$B$2:$N$2026,13,FALSE))</f>
        <v>0</v>
      </c>
      <c r="AD424" s="142">
        <f>IF(ISERROR(VLOOKUP(T424,Gegenstände!$B$2:$N$2026,13,FALSE)),0,VLOOKUP(T424,Gegenstände!$B$2:$N$2026,13,FALSE))</f>
        <v>3500</v>
      </c>
      <c r="AE424" s="475">
        <f t="shared" si="171"/>
        <v>4860</v>
      </c>
      <c r="AF424" s="476">
        <f t="shared" si="172"/>
        <v>4880</v>
      </c>
      <c r="AG424" s="128">
        <f t="shared" si="173"/>
        <v>0.32617449664429532</v>
      </c>
      <c r="AH424" s="128">
        <f t="shared" si="174"/>
        <v>0.32751677852348993</v>
      </c>
      <c r="AI424" s="129">
        <f>(AE424+AF424)/Y424</f>
        <v>0.65369127516778525</v>
      </c>
      <c r="AJ424" s="426">
        <f>Y424-(AE424+AF424)</f>
        <v>5160</v>
      </c>
      <c r="AK424" s="131">
        <f>(AJ424*60)/F424</f>
        <v>737.14285714285711</v>
      </c>
      <c r="AL424" s="477">
        <f>AK424/VLOOKUP(IF(I424&gt;0,I424,1),Preise!$A$3:$B$27,2,FALSE)</f>
        <v>167.53246753246748</v>
      </c>
    </row>
    <row r="425" spans="1:38" s="3" customFormat="1" outlineLevel="1" x14ac:dyDescent="0.2">
      <c r="A425" s="5">
        <v>2125</v>
      </c>
      <c r="B425" s="412">
        <v>2125</v>
      </c>
      <c r="C425" s="132" t="str">
        <f>VLOOKUP(B425,Gegenstände!$A$2:$B$2026,2,FALSE)</f>
        <v>Obsidian-Dolch</v>
      </c>
      <c r="D425" s="133">
        <f>VLOOKUP(B425,Gegenstände!$A$2:$D$2026,4,FALSE)</f>
        <v>25</v>
      </c>
      <c r="E425" s="468">
        <v>30</v>
      </c>
      <c r="F425" s="134">
        <v>420</v>
      </c>
      <c r="G425" s="54"/>
      <c r="H425" s="469">
        <v>57</v>
      </c>
      <c r="I425" s="12">
        <f t="shared" si="168"/>
        <v>24</v>
      </c>
      <c r="J425" s="417"/>
      <c r="K425" s="6">
        <v>32</v>
      </c>
      <c r="L425" s="1" t="s">
        <v>117</v>
      </c>
      <c r="M425" s="87">
        <v>6</v>
      </c>
      <c r="N425" s="83" t="s">
        <v>176</v>
      </c>
      <c r="O425" s="85">
        <v>14</v>
      </c>
      <c r="P425" s="83" t="s">
        <v>179</v>
      </c>
      <c r="Q425" s="85">
        <v>16</v>
      </c>
      <c r="R425" s="83" t="s">
        <v>181</v>
      </c>
      <c r="S425" s="170">
        <v>2</v>
      </c>
      <c r="T425" s="170" t="s">
        <v>36</v>
      </c>
      <c r="U425" s="471">
        <f>VLOOKUP(D425,Preise!$A$3:$C$28,3)</f>
        <v>28.625176191121408</v>
      </c>
      <c r="V425" s="523">
        <f>U425*$V$420</f>
        <v>34350.211429345691</v>
      </c>
      <c r="W425" s="131"/>
      <c r="X425" s="472">
        <f t="shared" si="169"/>
        <v>44400</v>
      </c>
      <c r="Y425" s="473">
        <f t="shared" si="170"/>
        <v>34400</v>
      </c>
      <c r="Z425" s="474">
        <f>IF(ISERROR(VLOOKUP(L425,Gegenstände!$B$2:$N$2026,13,FALSE)),0,VLOOKUP(L425,Gegenstände!$B$2:$N$2026,13,FALSE))</f>
        <v>360</v>
      </c>
      <c r="AA425" s="142">
        <f>IF(ISERROR(VLOOKUP(N425,Gegenstände!$B$2:$N$2026,13,FALSE)),0,VLOOKUP(N425,Gegenstände!$B$2:$N$2026,13,FALSE))</f>
        <v>80</v>
      </c>
      <c r="AB425" s="142">
        <f>IF(ISERROR(VLOOKUP(P425,Gegenstände!$B$2:$N$2026,13,FALSE)),0,VLOOKUP(P425,Gegenstände!$B$2:$N$2026,13,FALSE))</f>
        <v>200</v>
      </c>
      <c r="AC425" s="142">
        <f>IF(ISERROR(VLOOKUP(R425,Gegenstände!$B$2:$N$2026,13,FALSE)),0,VLOOKUP(R425,Gegenstände!$B$2:$N$2026,13,FALSE))</f>
        <v>500</v>
      </c>
      <c r="AD425" s="142">
        <f>IF(ISERROR(VLOOKUP(T425,Gegenstände!$B$2:$N$2026,13,FALSE)),0,VLOOKUP(T425,Gegenstände!$B$2:$N$2026,13,FALSE))</f>
        <v>5000</v>
      </c>
      <c r="AE425" s="475">
        <f t="shared" si="171"/>
        <v>11520</v>
      </c>
      <c r="AF425" s="476">
        <f t="shared" si="172"/>
        <v>11280</v>
      </c>
      <c r="AG425" s="128">
        <f t="shared" si="173"/>
        <v>0.33488372093023255</v>
      </c>
      <c r="AH425" s="128">
        <f t="shared" si="174"/>
        <v>0.32790697674418606</v>
      </c>
      <c r="AI425" s="129">
        <f>(AE425+AF425)/Y425</f>
        <v>0.66279069767441856</v>
      </c>
      <c r="AJ425" s="426">
        <f>Y425-(AE425+AF425)</f>
        <v>11600</v>
      </c>
      <c r="AK425" s="131">
        <f>(AJ425*60)/F425</f>
        <v>1657.1428571428571</v>
      </c>
      <c r="AL425" s="477">
        <f>AK425/VLOOKUP(IF(I425&gt;0,I425,1),Preise!$A$3:$B$27,2,FALSE)</f>
        <v>295.91836734693862</v>
      </c>
    </row>
    <row r="426" spans="1:38" s="3" customFormat="1" x14ac:dyDescent="0.2">
      <c r="A426" s="581"/>
      <c r="B426" s="399"/>
      <c r="C426" s="193"/>
      <c r="D426" s="194"/>
      <c r="E426" s="582"/>
      <c r="F426" s="197"/>
      <c r="G426" s="194"/>
      <c r="H426" s="583"/>
      <c r="I426" s="597"/>
      <c r="J426" s="585"/>
      <c r="K426" s="584"/>
      <c r="L426" s="192"/>
      <c r="M426" s="584"/>
      <c r="N426" s="192"/>
      <c r="O426" s="584"/>
      <c r="P426" s="192"/>
      <c r="Q426" s="584"/>
      <c r="R426" s="192"/>
      <c r="S426" s="586"/>
      <c r="T426" s="586"/>
      <c r="U426" s="598"/>
      <c r="V426" s="589">
        <v>1200</v>
      </c>
      <c r="W426" s="590"/>
      <c r="X426" s="599"/>
      <c r="Y426" s="600"/>
      <c r="Z426" s="400"/>
      <c r="AA426" s="193"/>
      <c r="AB426" s="193"/>
      <c r="AC426" s="193"/>
      <c r="AD426" s="601"/>
      <c r="AE426" s="602"/>
      <c r="AF426" s="603"/>
      <c r="AG426" s="604"/>
      <c r="AH426" s="604"/>
      <c r="AI426" s="594"/>
      <c r="AJ426" s="595"/>
      <c r="AK426" s="200"/>
      <c r="AL426" s="596"/>
    </row>
    <row r="427" spans="1:38" s="3" customFormat="1" outlineLevel="1" x14ac:dyDescent="0.2">
      <c r="A427" s="5">
        <v>2131</v>
      </c>
      <c r="B427" s="412">
        <v>2131</v>
      </c>
      <c r="C427" s="132" t="str">
        <f>VLOOKUP(B427,Gegenstände!$A$2:$B$2026,2,FALSE)</f>
        <v>Kristall-Axt</v>
      </c>
      <c r="D427" s="133">
        <f>VLOOKUP(B427,Gegenstände!$A$2:$D$2026,4,FALSE)</f>
        <v>4</v>
      </c>
      <c r="E427" s="468">
        <v>30</v>
      </c>
      <c r="F427" s="134">
        <v>420</v>
      </c>
      <c r="G427" s="54"/>
      <c r="H427" s="469">
        <v>58</v>
      </c>
      <c r="I427" s="12">
        <f t="shared" si="168"/>
        <v>3</v>
      </c>
      <c r="J427" s="417"/>
      <c r="K427" s="6">
        <v>10</v>
      </c>
      <c r="L427" s="1" t="s">
        <v>113</v>
      </c>
      <c r="M427" s="87">
        <v>7</v>
      </c>
      <c r="N427" s="83" t="s">
        <v>176</v>
      </c>
      <c r="O427" s="85"/>
      <c r="P427" s="83"/>
      <c r="Q427" s="85"/>
      <c r="R427" s="83"/>
      <c r="S427" s="170">
        <v>2</v>
      </c>
      <c r="T427" s="170" t="s">
        <v>237</v>
      </c>
      <c r="U427" s="471">
        <f>VLOOKUP(D427,Preise!$A$3:$C$28,3)</f>
        <v>1.5208749999999995</v>
      </c>
      <c r="V427" s="523">
        <f>U427*$V$426</f>
        <v>1825.0499999999995</v>
      </c>
      <c r="W427" s="131"/>
      <c r="X427" s="472">
        <f t="shared" si="169"/>
        <v>2800</v>
      </c>
      <c r="Y427" s="473">
        <f t="shared" si="170"/>
        <v>1800</v>
      </c>
      <c r="Z427" s="474">
        <f>IF(ISERROR(VLOOKUP(L427,Gegenstände!$B$2:$N$2026,13,FALSE)),0,VLOOKUP(L427,Gegenstände!$B$2:$N$2026,13,FALSE))</f>
        <v>60</v>
      </c>
      <c r="AA427" s="142">
        <f>IF(ISERROR(VLOOKUP(N427,Gegenstände!$B$2:$N$2026,13,FALSE)),0,VLOOKUP(N427,Gegenstände!$B$2:$N$2026,13,FALSE))</f>
        <v>80</v>
      </c>
      <c r="AB427" s="142">
        <f>IF(ISERROR(VLOOKUP(P427,Gegenstände!$B$2:$N$2026,13,FALSE)),0,VLOOKUP(P427,Gegenstände!$B$2:$N$2026,13,FALSE))</f>
        <v>0</v>
      </c>
      <c r="AC427" s="142">
        <f>IF(ISERROR(VLOOKUP(R427,Gegenstände!$B$2:$N$2026,13,FALSE)),0,VLOOKUP(R427,Gegenstände!$B$2:$N$2026,13,FALSE))</f>
        <v>0</v>
      </c>
      <c r="AD427" s="142">
        <f>IF(ISERROR(VLOOKUP(T427,Gegenstände!$B$2:$N$2026,13,FALSE)),0,VLOOKUP(T427,Gegenstände!$B$2:$N$2026,13,FALSE))</f>
        <v>500</v>
      </c>
      <c r="AE427" s="475">
        <f t="shared" si="171"/>
        <v>600</v>
      </c>
      <c r="AF427" s="476">
        <f t="shared" si="172"/>
        <v>560</v>
      </c>
      <c r="AG427" s="128">
        <f t="shared" si="173"/>
        <v>0.33333333333333331</v>
      </c>
      <c r="AH427" s="128">
        <f t="shared" si="174"/>
        <v>0.31111111111111112</v>
      </c>
      <c r="AI427" s="129">
        <f>(AE427+AF427)/Y427</f>
        <v>0.64444444444444449</v>
      </c>
      <c r="AJ427" s="426">
        <f>Y427-(AE427+AF427)</f>
        <v>640</v>
      </c>
      <c r="AK427" s="131">
        <f>(AJ427*60)/F427</f>
        <v>91.428571428571431</v>
      </c>
      <c r="AL427" s="477">
        <f>AK427/VLOOKUP(IF(I427&gt;0,I427,1),Preise!$A$3:$B$27,2,FALSE)</f>
        <v>65.306122448979593</v>
      </c>
    </row>
    <row r="428" spans="1:38" s="3" customFormat="1" outlineLevel="1" x14ac:dyDescent="0.2">
      <c r="A428" s="5">
        <v>2132</v>
      </c>
      <c r="B428" s="412">
        <v>2132</v>
      </c>
      <c r="C428" s="132" t="str">
        <f>VLOOKUP(B428,Gegenstände!$A$2:$B$2026,2,FALSE)</f>
        <v>Quarz-Axt</v>
      </c>
      <c r="D428" s="133">
        <f>VLOOKUP(B428,Gegenstände!$A$2:$D$2026,4,FALSE)</f>
        <v>9</v>
      </c>
      <c r="E428" s="468">
        <v>30</v>
      </c>
      <c r="F428" s="134">
        <v>420</v>
      </c>
      <c r="G428" s="54"/>
      <c r="H428" s="469">
        <v>58</v>
      </c>
      <c r="I428" s="12">
        <f t="shared" si="168"/>
        <v>8</v>
      </c>
      <c r="J428" s="417"/>
      <c r="K428" s="6">
        <v>10</v>
      </c>
      <c r="L428" s="1" t="s">
        <v>114</v>
      </c>
      <c r="M428" s="87">
        <v>15</v>
      </c>
      <c r="N428" s="83" t="s">
        <v>176</v>
      </c>
      <c r="O428" s="85"/>
      <c r="P428" s="83"/>
      <c r="Q428" s="85"/>
      <c r="R428" s="83"/>
      <c r="S428" s="170">
        <v>2</v>
      </c>
      <c r="T428" s="170" t="s">
        <v>238</v>
      </c>
      <c r="U428" s="471">
        <f>VLOOKUP(D428,Preise!$A$3:$C$28,3)</f>
        <v>3.0590228625390607</v>
      </c>
      <c r="V428" s="523">
        <f>U428*$V$426</f>
        <v>3670.8274350468728</v>
      </c>
      <c r="W428" s="131"/>
      <c r="X428" s="472">
        <f t="shared" si="169"/>
        <v>5700</v>
      </c>
      <c r="Y428" s="473">
        <f t="shared" si="170"/>
        <v>3700</v>
      </c>
      <c r="Z428" s="474">
        <f>IF(ISERROR(VLOOKUP(L428,Gegenstände!$B$2:$N$2026,13,FALSE)),0,VLOOKUP(L428,Gegenstände!$B$2:$N$2026,13,FALSE))</f>
        <v>120</v>
      </c>
      <c r="AA428" s="142">
        <f>IF(ISERROR(VLOOKUP(N428,Gegenstände!$B$2:$N$2026,13,FALSE)),0,VLOOKUP(N428,Gegenstände!$B$2:$N$2026,13,FALSE))</f>
        <v>80</v>
      </c>
      <c r="AB428" s="142">
        <f>IF(ISERROR(VLOOKUP(P428,Gegenstände!$B$2:$N$2026,13,FALSE)),0,VLOOKUP(P428,Gegenstände!$B$2:$N$2026,13,FALSE))</f>
        <v>0</v>
      </c>
      <c r="AC428" s="142">
        <f>IF(ISERROR(VLOOKUP(R428,Gegenstände!$B$2:$N$2026,13,FALSE)),0,VLOOKUP(R428,Gegenstände!$B$2:$N$2026,13,FALSE))</f>
        <v>0</v>
      </c>
      <c r="AD428" s="142">
        <f>IF(ISERROR(VLOOKUP(T428,Gegenstände!$B$2:$N$2026,13,FALSE)),0,VLOOKUP(T428,Gegenstände!$B$2:$N$2026,13,FALSE))</f>
        <v>1000</v>
      </c>
      <c r="AE428" s="475">
        <f t="shared" si="171"/>
        <v>1200</v>
      </c>
      <c r="AF428" s="476">
        <f t="shared" si="172"/>
        <v>1200</v>
      </c>
      <c r="AG428" s="128">
        <f t="shared" si="173"/>
        <v>0.32432432432432434</v>
      </c>
      <c r="AH428" s="128">
        <f t="shared" si="174"/>
        <v>0.32432432432432434</v>
      </c>
      <c r="AI428" s="129">
        <f>(AE428+AF428)/Y428</f>
        <v>0.64864864864864868</v>
      </c>
      <c r="AJ428" s="426">
        <f>Y428-(AE428+AF428)</f>
        <v>1300</v>
      </c>
      <c r="AK428" s="131">
        <f>(AJ428*60)/F428</f>
        <v>185.71428571428572</v>
      </c>
      <c r="AL428" s="477">
        <f>AK428/VLOOKUP(IF(I428&gt;0,I428,1),Preise!$A$3:$B$27,2,FALSE)</f>
        <v>77.380952380952394</v>
      </c>
    </row>
    <row r="429" spans="1:38" s="3" customFormat="1" outlineLevel="1" x14ac:dyDescent="0.2">
      <c r="A429" s="5">
        <v>2133</v>
      </c>
      <c r="B429" s="412">
        <v>2133</v>
      </c>
      <c r="C429" s="132" t="str">
        <f>VLOOKUP(B429,Gegenstände!$A$2:$B$2026,2,FALSE)</f>
        <v>Smaragd-Axt</v>
      </c>
      <c r="D429" s="133">
        <f>VLOOKUP(B429,Gegenstände!$A$2:$D$2026,4,FALSE)</f>
        <v>14</v>
      </c>
      <c r="E429" s="468">
        <v>30</v>
      </c>
      <c r="F429" s="134">
        <v>420</v>
      </c>
      <c r="G429" s="54"/>
      <c r="H429" s="469">
        <v>58</v>
      </c>
      <c r="I429" s="12">
        <f t="shared" si="168"/>
        <v>13</v>
      </c>
      <c r="J429" s="417"/>
      <c r="K429" s="6">
        <v>14</v>
      </c>
      <c r="L429" s="1" t="s">
        <v>115</v>
      </c>
      <c r="M429" s="87">
        <v>3</v>
      </c>
      <c r="N429" s="83" t="s">
        <v>176</v>
      </c>
      <c r="O429" s="85">
        <v>11</v>
      </c>
      <c r="P429" s="83" t="s">
        <v>179</v>
      </c>
      <c r="Q429" s="85"/>
      <c r="R429" s="83"/>
      <c r="S429" s="170">
        <v>2</v>
      </c>
      <c r="T429" s="170" t="s">
        <v>50</v>
      </c>
      <c r="U429" s="471">
        <f>VLOOKUP(D429,Preise!$A$3:$C$28,3)</f>
        <v>6.1527876212947623</v>
      </c>
      <c r="V429" s="523">
        <f>U429*$V$426</f>
        <v>7383.3451455537152</v>
      </c>
      <c r="W429" s="131"/>
      <c r="X429" s="472">
        <f t="shared" si="169"/>
        <v>11400</v>
      </c>
      <c r="Y429" s="473">
        <f t="shared" si="170"/>
        <v>7400</v>
      </c>
      <c r="Z429" s="474">
        <f>IF(ISERROR(VLOOKUP(L429,Gegenstände!$B$2:$N$2026,13,FALSE)),0,VLOOKUP(L429,Gegenstände!$B$2:$N$2026,13,FALSE))</f>
        <v>180</v>
      </c>
      <c r="AA429" s="142">
        <f>IF(ISERROR(VLOOKUP(N429,Gegenstände!$B$2:$N$2026,13,FALSE)),0,VLOOKUP(N429,Gegenstände!$B$2:$N$2026,13,FALSE))</f>
        <v>80</v>
      </c>
      <c r="AB429" s="142">
        <f>IF(ISERROR(VLOOKUP(P429,Gegenstände!$B$2:$N$2026,13,FALSE)),0,VLOOKUP(P429,Gegenstände!$B$2:$N$2026,13,FALSE))</f>
        <v>200</v>
      </c>
      <c r="AC429" s="142">
        <f>IF(ISERROR(VLOOKUP(R429,Gegenstände!$B$2:$N$2026,13,FALSE)),0,VLOOKUP(R429,Gegenstände!$B$2:$N$2026,13,FALSE))</f>
        <v>0</v>
      </c>
      <c r="AD429" s="142">
        <f>IF(ISERROR(VLOOKUP(T429,Gegenstände!$B$2:$N$2026,13,FALSE)),0,VLOOKUP(T429,Gegenstände!$B$2:$N$2026,13,FALSE))</f>
        <v>2000</v>
      </c>
      <c r="AE429" s="475">
        <f t="shared" si="171"/>
        <v>2520</v>
      </c>
      <c r="AF429" s="476">
        <f t="shared" si="172"/>
        <v>2440</v>
      </c>
      <c r="AG429" s="128">
        <f t="shared" si="173"/>
        <v>0.34054054054054056</v>
      </c>
      <c r="AH429" s="128">
        <f t="shared" si="174"/>
        <v>0.32972972972972975</v>
      </c>
      <c r="AI429" s="129">
        <f>(AE429+AF429)/Y429</f>
        <v>0.67027027027027031</v>
      </c>
      <c r="AJ429" s="426">
        <f>Y429-(AE429+AF429)</f>
        <v>2440</v>
      </c>
      <c r="AK429" s="131">
        <f>(AJ429*60)/F429</f>
        <v>348.57142857142856</v>
      </c>
      <c r="AL429" s="477">
        <f>AK429/VLOOKUP(IF(I429&gt;0,I429,1),Preise!$A$3:$B$27,2,FALSE)</f>
        <v>102.52100840336132</v>
      </c>
    </row>
    <row r="430" spans="1:38" s="3" customFormat="1" outlineLevel="1" x14ac:dyDescent="0.2">
      <c r="A430" s="5">
        <v>2134</v>
      </c>
      <c r="B430" s="412">
        <v>2134</v>
      </c>
      <c r="C430" s="132" t="str">
        <f>VLOOKUP(B430,Gegenstände!$A$2:$B$2026,2,FALSE)</f>
        <v>Rubin-Axt</v>
      </c>
      <c r="D430" s="133">
        <f>VLOOKUP(B430,Gegenstände!$A$2:$D$2026,4,FALSE)</f>
        <v>19</v>
      </c>
      <c r="E430" s="468">
        <v>30</v>
      </c>
      <c r="F430" s="134">
        <v>420</v>
      </c>
      <c r="G430" s="54"/>
      <c r="H430" s="469">
        <v>58</v>
      </c>
      <c r="I430" s="12">
        <f t="shared" si="168"/>
        <v>18</v>
      </c>
      <c r="J430" s="417"/>
      <c r="K430" s="6">
        <v>18</v>
      </c>
      <c r="L430" s="1" t="s">
        <v>116</v>
      </c>
      <c r="M430" s="87">
        <v>6</v>
      </c>
      <c r="N430" s="83" t="s">
        <v>176</v>
      </c>
      <c r="O430" s="85">
        <v>22</v>
      </c>
      <c r="P430" s="83" t="s">
        <v>179</v>
      </c>
      <c r="Q430" s="85"/>
      <c r="R430" s="83"/>
      <c r="S430" s="170">
        <v>2</v>
      </c>
      <c r="T430" s="170" t="s">
        <v>44</v>
      </c>
      <c r="U430" s="471">
        <f>VLOOKUP(D430,Preise!$A$3:$C$28,3)</f>
        <v>12.375453605252243</v>
      </c>
      <c r="V430" s="523">
        <f>U430*$V$426</f>
        <v>14850.544326302692</v>
      </c>
      <c r="W430" s="131"/>
      <c r="X430" s="472">
        <f t="shared" si="169"/>
        <v>21900</v>
      </c>
      <c r="Y430" s="473">
        <f t="shared" si="170"/>
        <v>14900</v>
      </c>
      <c r="Z430" s="474">
        <f>IF(ISERROR(VLOOKUP(L430,Gegenstände!$B$2:$N$2026,13,FALSE)),0,VLOOKUP(L430,Gegenstände!$B$2:$N$2026,13,FALSE))</f>
        <v>270</v>
      </c>
      <c r="AA430" s="142">
        <f>IF(ISERROR(VLOOKUP(N430,Gegenstände!$B$2:$N$2026,13,FALSE)),0,VLOOKUP(N430,Gegenstände!$B$2:$N$2026,13,FALSE))</f>
        <v>80</v>
      </c>
      <c r="AB430" s="142">
        <f>IF(ISERROR(VLOOKUP(P430,Gegenstände!$B$2:$N$2026,13,FALSE)),0,VLOOKUP(P430,Gegenstände!$B$2:$N$2026,13,FALSE))</f>
        <v>200</v>
      </c>
      <c r="AC430" s="142">
        <f>IF(ISERROR(VLOOKUP(R430,Gegenstände!$B$2:$N$2026,13,FALSE)),0,VLOOKUP(R430,Gegenstände!$B$2:$N$2026,13,FALSE))</f>
        <v>0</v>
      </c>
      <c r="AD430" s="142">
        <f>IF(ISERROR(VLOOKUP(T430,Gegenstände!$B$2:$N$2026,13,FALSE)),0,VLOOKUP(T430,Gegenstände!$B$2:$N$2026,13,FALSE))</f>
        <v>3500</v>
      </c>
      <c r="AE430" s="475">
        <f t="shared" si="171"/>
        <v>4860</v>
      </c>
      <c r="AF430" s="476">
        <f t="shared" si="172"/>
        <v>4880</v>
      </c>
      <c r="AG430" s="128">
        <f t="shared" si="173"/>
        <v>0.32617449664429532</v>
      </c>
      <c r="AH430" s="128">
        <f t="shared" si="174"/>
        <v>0.32751677852348993</v>
      </c>
      <c r="AI430" s="129">
        <f>(AE430+AF430)/Y430</f>
        <v>0.65369127516778525</v>
      </c>
      <c r="AJ430" s="426">
        <f>Y430-(AE430+AF430)</f>
        <v>5160</v>
      </c>
      <c r="AK430" s="131">
        <f>(AJ430*60)/F430</f>
        <v>737.14285714285711</v>
      </c>
      <c r="AL430" s="477">
        <f>AK430/VLOOKUP(IF(I430&gt;0,I430,1),Preise!$A$3:$B$27,2,FALSE)</f>
        <v>167.53246753246748</v>
      </c>
    </row>
    <row r="431" spans="1:38" s="3" customFormat="1" outlineLevel="1" x14ac:dyDescent="0.2">
      <c r="A431" s="5">
        <v>2135</v>
      </c>
      <c r="B431" s="412">
        <v>2135</v>
      </c>
      <c r="C431" s="132" t="str">
        <f>VLOOKUP(B431,Gegenstände!$A$2:$B$2026,2,FALSE)</f>
        <v>Obsidian-Axt</v>
      </c>
      <c r="D431" s="133">
        <f>VLOOKUP(B431,Gegenstände!$A$2:$D$2026,4,FALSE)</f>
        <v>25</v>
      </c>
      <c r="E431" s="468">
        <v>30</v>
      </c>
      <c r="F431" s="134">
        <v>420</v>
      </c>
      <c r="G431" s="54"/>
      <c r="H431" s="469">
        <v>58</v>
      </c>
      <c r="I431" s="12">
        <f t="shared" si="168"/>
        <v>24</v>
      </c>
      <c r="J431" s="417"/>
      <c r="K431" s="6">
        <v>32</v>
      </c>
      <c r="L431" s="1" t="s">
        <v>117</v>
      </c>
      <c r="M431" s="87">
        <v>6</v>
      </c>
      <c r="N431" s="83" t="s">
        <v>176</v>
      </c>
      <c r="O431" s="85">
        <v>14</v>
      </c>
      <c r="P431" s="83" t="s">
        <v>179</v>
      </c>
      <c r="Q431" s="85">
        <v>16</v>
      </c>
      <c r="R431" s="83" t="s">
        <v>181</v>
      </c>
      <c r="S431" s="170">
        <v>2</v>
      </c>
      <c r="T431" s="170" t="s">
        <v>36</v>
      </c>
      <c r="U431" s="471">
        <f>VLOOKUP(D431,Preise!$A$3:$C$28,3)</f>
        <v>28.625176191121408</v>
      </c>
      <c r="V431" s="523">
        <f>U431*$V$426</f>
        <v>34350.211429345691</v>
      </c>
      <c r="W431" s="131"/>
      <c r="X431" s="472">
        <f t="shared" si="169"/>
        <v>44400</v>
      </c>
      <c r="Y431" s="473">
        <f t="shared" si="170"/>
        <v>34400</v>
      </c>
      <c r="Z431" s="474">
        <f>IF(ISERROR(VLOOKUP(L431,Gegenstände!$B$2:$N$2026,13,FALSE)),0,VLOOKUP(L431,Gegenstände!$B$2:$N$2026,13,FALSE))</f>
        <v>360</v>
      </c>
      <c r="AA431" s="142">
        <f>IF(ISERROR(VLOOKUP(N431,Gegenstände!$B$2:$N$2026,13,FALSE)),0,VLOOKUP(N431,Gegenstände!$B$2:$N$2026,13,FALSE))</f>
        <v>80</v>
      </c>
      <c r="AB431" s="142">
        <f>IF(ISERROR(VLOOKUP(P431,Gegenstände!$B$2:$N$2026,13,FALSE)),0,VLOOKUP(P431,Gegenstände!$B$2:$N$2026,13,FALSE))</f>
        <v>200</v>
      </c>
      <c r="AC431" s="142">
        <f>IF(ISERROR(VLOOKUP(R431,Gegenstände!$B$2:$N$2026,13,FALSE)),0,VLOOKUP(R431,Gegenstände!$B$2:$N$2026,13,FALSE))</f>
        <v>500</v>
      </c>
      <c r="AD431" s="142">
        <f>IF(ISERROR(VLOOKUP(T431,Gegenstände!$B$2:$N$2026,13,FALSE)),0,VLOOKUP(T431,Gegenstände!$B$2:$N$2026,13,FALSE))</f>
        <v>5000</v>
      </c>
      <c r="AE431" s="475">
        <f t="shared" si="171"/>
        <v>11520</v>
      </c>
      <c r="AF431" s="476">
        <f t="shared" si="172"/>
        <v>11280</v>
      </c>
      <c r="AG431" s="128">
        <f t="shared" si="173"/>
        <v>0.33488372093023255</v>
      </c>
      <c r="AH431" s="128">
        <f t="shared" si="174"/>
        <v>0.32790697674418606</v>
      </c>
      <c r="AI431" s="129">
        <f>(AE431+AF431)/Y431</f>
        <v>0.66279069767441856</v>
      </c>
      <c r="AJ431" s="426">
        <f>Y431-(AE431+AF431)</f>
        <v>11600</v>
      </c>
      <c r="AK431" s="131">
        <f>(AJ431*60)/F431</f>
        <v>1657.1428571428571</v>
      </c>
      <c r="AL431" s="477">
        <f>AK431/VLOOKUP(IF(I431&gt;0,I431,1),Preise!$A$3:$B$27,2,FALSE)</f>
        <v>295.91836734693862</v>
      </c>
    </row>
    <row r="432" spans="1:38" s="3" customFormat="1" x14ac:dyDescent="0.2">
      <c r="A432" s="581"/>
      <c r="B432" s="399"/>
      <c r="C432" s="193"/>
      <c r="D432" s="194"/>
      <c r="E432" s="582"/>
      <c r="F432" s="197"/>
      <c r="G432" s="194"/>
      <c r="H432" s="583"/>
      <c r="I432" s="597"/>
      <c r="J432" s="585"/>
      <c r="K432" s="584"/>
      <c r="L432" s="192"/>
      <c r="M432" s="584"/>
      <c r="N432" s="192"/>
      <c r="O432" s="584"/>
      <c r="P432" s="192"/>
      <c r="Q432" s="584"/>
      <c r="R432" s="192"/>
      <c r="S432" s="586"/>
      <c r="T432" s="586"/>
      <c r="U432" s="598"/>
      <c r="V432" s="589">
        <v>2000</v>
      </c>
      <c r="W432" s="590"/>
      <c r="X432" s="599"/>
      <c r="Y432" s="600"/>
      <c r="Z432" s="400"/>
      <c r="AA432" s="193"/>
      <c r="AB432" s="193"/>
      <c r="AC432" s="193"/>
      <c r="AD432" s="601"/>
      <c r="AE432" s="602"/>
      <c r="AF432" s="603"/>
      <c r="AG432" s="604"/>
      <c r="AH432" s="604"/>
      <c r="AI432" s="594"/>
      <c r="AJ432" s="595"/>
      <c r="AK432" s="200"/>
      <c r="AL432" s="596"/>
    </row>
    <row r="433" spans="1:38" s="3" customFormat="1" outlineLevel="1" x14ac:dyDescent="0.2">
      <c r="A433" s="5">
        <v>2141</v>
      </c>
      <c r="B433" s="412">
        <v>2141</v>
      </c>
      <c r="C433" s="132" t="str">
        <f>VLOOKUP(B433,Gegenstände!$A$2:$B$2026,2,FALSE)</f>
        <v>Quarz-Prunkaxt</v>
      </c>
      <c r="D433" s="133">
        <f>VLOOKUP(B433,Gegenstände!$A$2:$D$2026,4,FALSE)</f>
        <v>10</v>
      </c>
      <c r="E433" s="468">
        <v>30</v>
      </c>
      <c r="F433" s="134">
        <v>540</v>
      </c>
      <c r="G433" s="54"/>
      <c r="H433" s="469">
        <v>58</v>
      </c>
      <c r="I433" s="12">
        <f t="shared" si="168"/>
        <v>9</v>
      </c>
      <c r="J433" s="417"/>
      <c r="K433" s="6">
        <v>19</v>
      </c>
      <c r="L433" s="1" t="s">
        <v>114</v>
      </c>
      <c r="M433" s="87">
        <v>29</v>
      </c>
      <c r="N433" s="83" t="s">
        <v>176</v>
      </c>
      <c r="O433" s="85"/>
      <c r="P433" s="83"/>
      <c r="Q433" s="85"/>
      <c r="R433" s="83"/>
      <c r="S433" s="170">
        <v>5</v>
      </c>
      <c r="T433" s="170" t="s">
        <v>238</v>
      </c>
      <c r="U433" s="471">
        <f>VLOOKUP(D433,Preise!$A$3:$C$28,3)</f>
        <v>3.5178762919199196</v>
      </c>
      <c r="V433" s="523">
        <f>U433*$V$432</f>
        <v>7035.7525838398387</v>
      </c>
      <c r="W433" s="131"/>
      <c r="X433" s="472">
        <f t="shared" si="169"/>
        <v>12000</v>
      </c>
      <c r="Y433" s="473">
        <f t="shared" si="170"/>
        <v>7000</v>
      </c>
      <c r="Z433" s="474">
        <f>IF(ISERROR(VLOOKUP(L433,Gegenstände!$B$2:$N$2026,13,FALSE)),0,VLOOKUP(L433,Gegenstände!$B$2:$N$2026,13,FALSE))</f>
        <v>120</v>
      </c>
      <c r="AA433" s="142">
        <f>IF(ISERROR(VLOOKUP(N433,Gegenstände!$B$2:$N$2026,13,FALSE)),0,VLOOKUP(N433,Gegenstände!$B$2:$N$2026,13,FALSE))</f>
        <v>80</v>
      </c>
      <c r="AB433" s="142">
        <f>IF(ISERROR(VLOOKUP(P433,Gegenstände!$B$2:$N$2026,13,FALSE)),0,VLOOKUP(P433,Gegenstände!$B$2:$N$2026,13,FALSE))</f>
        <v>0</v>
      </c>
      <c r="AC433" s="142">
        <f>IF(ISERROR(VLOOKUP(R433,Gegenstände!$B$2:$N$2026,13,FALSE)),0,VLOOKUP(R433,Gegenstände!$B$2:$N$2026,13,FALSE))</f>
        <v>0</v>
      </c>
      <c r="AD433" s="142">
        <f>IF(ISERROR(VLOOKUP(T433,Gegenstände!$B$2:$N$2026,13,FALSE)),0,VLOOKUP(T433,Gegenstände!$B$2:$N$2026,13,FALSE))</f>
        <v>1000</v>
      </c>
      <c r="AE433" s="475">
        <f t="shared" si="171"/>
        <v>2280</v>
      </c>
      <c r="AF433" s="476">
        <f t="shared" si="172"/>
        <v>2320</v>
      </c>
      <c r="AG433" s="128">
        <f t="shared" si="173"/>
        <v>0.32571428571428573</v>
      </c>
      <c r="AH433" s="128">
        <f t="shared" si="174"/>
        <v>0.33142857142857141</v>
      </c>
      <c r="AI433" s="129">
        <f>(AE433+AF433)/Y433</f>
        <v>0.65714285714285714</v>
      </c>
      <c r="AJ433" s="426">
        <f>Y433-(AE433+AF433)</f>
        <v>2400</v>
      </c>
      <c r="AK433" s="131">
        <f>(AJ433*60)/F433</f>
        <v>266.66666666666669</v>
      </c>
      <c r="AL433" s="477">
        <f>AK433/VLOOKUP(IF(I433&gt;0,I433,1),Preise!$A$3:$B$27,2,FALSE)</f>
        <v>102.56410256410257</v>
      </c>
    </row>
    <row r="434" spans="1:38" s="3" customFormat="1" outlineLevel="1" x14ac:dyDescent="0.2">
      <c r="A434" s="5">
        <v>2142</v>
      </c>
      <c r="B434" s="412">
        <v>2142</v>
      </c>
      <c r="C434" s="132" t="str">
        <f>VLOOKUP(B434,Gegenstände!$A$2:$B$2026,2,FALSE)</f>
        <v>Smaragd-Prunkaxt</v>
      </c>
      <c r="D434" s="133">
        <f>VLOOKUP(B434,Gegenstände!$A$2:$D$2026,4,FALSE)</f>
        <v>15</v>
      </c>
      <c r="E434" s="468">
        <v>30</v>
      </c>
      <c r="F434" s="134">
        <v>540</v>
      </c>
      <c r="G434" s="54"/>
      <c r="H434" s="469">
        <v>58</v>
      </c>
      <c r="I434" s="12">
        <f t="shared" si="168"/>
        <v>14</v>
      </c>
      <c r="J434" s="417"/>
      <c r="K434" s="6">
        <v>26</v>
      </c>
      <c r="L434" s="1" t="s">
        <v>115</v>
      </c>
      <c r="M434" s="87">
        <v>6</v>
      </c>
      <c r="N434" s="83" t="s">
        <v>176</v>
      </c>
      <c r="O434" s="85">
        <v>21</v>
      </c>
      <c r="P434" s="83" t="s">
        <v>179</v>
      </c>
      <c r="Q434" s="85"/>
      <c r="R434" s="83"/>
      <c r="S434" s="170">
        <v>5</v>
      </c>
      <c r="T434" s="170" t="s">
        <v>50</v>
      </c>
      <c r="U434" s="471">
        <f>VLOOKUP(D434,Preise!$A$3:$C$28,3)</f>
        <v>7.0757057644889763</v>
      </c>
      <c r="V434" s="523">
        <f>U434*$V$432</f>
        <v>14151.411528977953</v>
      </c>
      <c r="W434" s="131"/>
      <c r="X434" s="472">
        <f t="shared" si="169"/>
        <v>24200</v>
      </c>
      <c r="Y434" s="473">
        <f t="shared" si="170"/>
        <v>14200</v>
      </c>
      <c r="Z434" s="474">
        <f>IF(ISERROR(VLOOKUP(L434,Gegenstände!$B$2:$N$2026,13,FALSE)),0,VLOOKUP(L434,Gegenstände!$B$2:$N$2026,13,FALSE))</f>
        <v>180</v>
      </c>
      <c r="AA434" s="142">
        <f>IF(ISERROR(VLOOKUP(N434,Gegenstände!$B$2:$N$2026,13,FALSE)),0,VLOOKUP(N434,Gegenstände!$B$2:$N$2026,13,FALSE))</f>
        <v>80</v>
      </c>
      <c r="AB434" s="142">
        <f>IF(ISERROR(VLOOKUP(P434,Gegenstände!$B$2:$N$2026,13,FALSE)),0,VLOOKUP(P434,Gegenstände!$B$2:$N$2026,13,FALSE))</f>
        <v>200</v>
      </c>
      <c r="AC434" s="142">
        <f>IF(ISERROR(VLOOKUP(R434,Gegenstände!$B$2:$N$2026,13,FALSE)),0,VLOOKUP(R434,Gegenstände!$B$2:$N$2026,13,FALSE))</f>
        <v>0</v>
      </c>
      <c r="AD434" s="142">
        <f>IF(ISERROR(VLOOKUP(T434,Gegenstände!$B$2:$N$2026,13,FALSE)),0,VLOOKUP(T434,Gegenstände!$B$2:$N$2026,13,FALSE))</f>
        <v>2000</v>
      </c>
      <c r="AE434" s="475">
        <f t="shared" si="171"/>
        <v>4680</v>
      </c>
      <c r="AF434" s="476">
        <f t="shared" si="172"/>
        <v>4680</v>
      </c>
      <c r="AG434" s="128">
        <f t="shared" si="173"/>
        <v>0.3295774647887324</v>
      </c>
      <c r="AH434" s="128">
        <f t="shared" si="174"/>
        <v>0.3295774647887324</v>
      </c>
      <c r="AI434" s="129">
        <f>(AE434+AF434)/Y434</f>
        <v>0.6591549295774648</v>
      </c>
      <c r="AJ434" s="426">
        <f>Y434-(AE434+AF434)</f>
        <v>4840</v>
      </c>
      <c r="AK434" s="131">
        <f>(AJ434*60)/F434</f>
        <v>537.77777777777783</v>
      </c>
      <c r="AL434" s="477">
        <f>AK434/VLOOKUP(IF(I434&gt;0,I434,1),Preise!$A$3:$B$27,2,FALSE)</f>
        <v>149.38271604938268</v>
      </c>
    </row>
    <row r="435" spans="1:38" s="3" customFormat="1" outlineLevel="1" x14ac:dyDescent="0.2">
      <c r="A435" s="5">
        <v>2143</v>
      </c>
      <c r="B435" s="412">
        <v>2143</v>
      </c>
      <c r="C435" s="132" t="str">
        <f>VLOOKUP(B435,Gegenstände!$A$2:$B$2026,2,FALSE)</f>
        <v>Rubin-Prunkaxt</v>
      </c>
      <c r="D435" s="133">
        <f>VLOOKUP(B435,Gegenstände!$A$2:$D$2026,4,FALSE)</f>
        <v>20</v>
      </c>
      <c r="E435" s="468">
        <v>30</v>
      </c>
      <c r="F435" s="134">
        <v>540</v>
      </c>
      <c r="G435" s="54"/>
      <c r="H435" s="469">
        <v>58</v>
      </c>
      <c r="I435" s="12">
        <f t="shared" si="168"/>
        <v>19</v>
      </c>
      <c r="J435" s="417"/>
      <c r="K435" s="6">
        <v>35</v>
      </c>
      <c r="L435" s="1" t="s">
        <v>116</v>
      </c>
      <c r="M435" s="87">
        <v>16</v>
      </c>
      <c r="N435" s="83" t="s">
        <v>176</v>
      </c>
      <c r="O435" s="85">
        <v>40</v>
      </c>
      <c r="P435" s="83" t="s">
        <v>179</v>
      </c>
      <c r="Q435" s="85"/>
      <c r="R435" s="83"/>
      <c r="S435" s="170">
        <v>5</v>
      </c>
      <c r="T435" s="170" t="s">
        <v>44</v>
      </c>
      <c r="U435" s="471">
        <f>VLOOKUP(D435,Preise!$A$3:$C$28,3)</f>
        <v>14.231771646040078</v>
      </c>
      <c r="V435" s="523">
        <f>U435*$V$432</f>
        <v>28463.543292080158</v>
      </c>
      <c r="W435" s="131"/>
      <c r="X435" s="472">
        <f t="shared" si="169"/>
        <v>46000</v>
      </c>
      <c r="Y435" s="473">
        <f t="shared" si="170"/>
        <v>28500</v>
      </c>
      <c r="Z435" s="474">
        <f>IF(ISERROR(VLOOKUP(L435,Gegenstände!$B$2:$N$2026,13,FALSE)),0,VLOOKUP(L435,Gegenstände!$B$2:$N$2026,13,FALSE))</f>
        <v>270</v>
      </c>
      <c r="AA435" s="142">
        <f>IF(ISERROR(VLOOKUP(N435,Gegenstände!$B$2:$N$2026,13,FALSE)),0,VLOOKUP(N435,Gegenstände!$B$2:$N$2026,13,FALSE))</f>
        <v>80</v>
      </c>
      <c r="AB435" s="142">
        <f>IF(ISERROR(VLOOKUP(P435,Gegenstände!$B$2:$N$2026,13,FALSE)),0,VLOOKUP(P435,Gegenstände!$B$2:$N$2026,13,FALSE))</f>
        <v>200</v>
      </c>
      <c r="AC435" s="142">
        <f>IF(ISERROR(VLOOKUP(R435,Gegenstände!$B$2:$N$2026,13,FALSE)),0,VLOOKUP(R435,Gegenstände!$B$2:$N$2026,13,FALSE))</f>
        <v>0</v>
      </c>
      <c r="AD435" s="142">
        <f>IF(ISERROR(VLOOKUP(T435,Gegenstände!$B$2:$N$2026,13,FALSE)),0,VLOOKUP(T435,Gegenstände!$B$2:$N$2026,13,FALSE))</f>
        <v>3500</v>
      </c>
      <c r="AE435" s="475">
        <f t="shared" si="171"/>
        <v>9450</v>
      </c>
      <c r="AF435" s="476">
        <f t="shared" si="172"/>
        <v>9280</v>
      </c>
      <c r="AG435" s="128">
        <f t="shared" si="173"/>
        <v>0.33157894736842103</v>
      </c>
      <c r="AH435" s="128">
        <f t="shared" si="174"/>
        <v>0.3256140350877193</v>
      </c>
      <c r="AI435" s="129">
        <f>(AE435+AF435)/Y435</f>
        <v>0.65719298245614033</v>
      </c>
      <c r="AJ435" s="426">
        <f>Y435-(AE435+AF435)</f>
        <v>9770</v>
      </c>
      <c r="AK435" s="131">
        <f>(AJ435*60)/F435</f>
        <v>1085.5555555555557</v>
      </c>
      <c r="AL435" s="477">
        <f>AK435/VLOOKUP(IF(I435&gt;0,I435,1),Preise!$A$3:$B$27,2,FALSE)</f>
        <v>235.99033816425117</v>
      </c>
    </row>
    <row r="436" spans="1:38" s="3" customFormat="1" outlineLevel="1" x14ac:dyDescent="0.2">
      <c r="A436" s="5">
        <v>2144</v>
      </c>
      <c r="B436" s="412">
        <v>2144</v>
      </c>
      <c r="C436" s="132" t="str">
        <f>VLOOKUP(B436,Gegenstände!$A$2:$B$2026,2,FALSE)</f>
        <v>Obsidian-Prunkaxt</v>
      </c>
      <c r="D436" s="133">
        <f>VLOOKUP(B436,Gegenstände!$A$2:$D$2026,4,FALSE)</f>
        <v>25</v>
      </c>
      <c r="E436" s="468">
        <v>30</v>
      </c>
      <c r="F436" s="134">
        <v>540</v>
      </c>
      <c r="G436" s="54"/>
      <c r="H436" s="469">
        <v>58</v>
      </c>
      <c r="I436" s="12">
        <f t="shared" si="168"/>
        <v>24</v>
      </c>
      <c r="J436" s="417"/>
      <c r="K436" s="6">
        <v>52</v>
      </c>
      <c r="L436" s="1" t="s">
        <v>117</v>
      </c>
      <c r="M436" s="87">
        <v>6</v>
      </c>
      <c r="N436" s="83" t="s">
        <v>176</v>
      </c>
      <c r="O436" s="85">
        <v>8</v>
      </c>
      <c r="P436" s="83" t="s">
        <v>179</v>
      </c>
      <c r="Q436" s="85">
        <v>34</v>
      </c>
      <c r="R436" s="83" t="s">
        <v>181</v>
      </c>
      <c r="S436" s="170">
        <v>5</v>
      </c>
      <c r="T436" s="170" t="s">
        <v>36</v>
      </c>
      <c r="U436" s="471">
        <f>VLOOKUP(D436,Preise!$A$3:$C$28,3)</f>
        <v>28.625176191121408</v>
      </c>
      <c r="V436" s="523">
        <f>U436*$V$432</f>
        <v>57250.352382242818</v>
      </c>
      <c r="W436" s="131"/>
      <c r="X436" s="472">
        <f t="shared" si="169"/>
        <v>82300</v>
      </c>
      <c r="Y436" s="473">
        <f t="shared" si="170"/>
        <v>57300</v>
      </c>
      <c r="Z436" s="474">
        <f>IF(ISERROR(VLOOKUP(L436,Gegenstände!$B$2:$N$2026,13,FALSE)),0,VLOOKUP(L436,Gegenstände!$B$2:$N$2026,13,FALSE))</f>
        <v>360</v>
      </c>
      <c r="AA436" s="142">
        <f>IF(ISERROR(VLOOKUP(N436,Gegenstände!$B$2:$N$2026,13,FALSE)),0,VLOOKUP(N436,Gegenstände!$B$2:$N$2026,13,FALSE))</f>
        <v>80</v>
      </c>
      <c r="AB436" s="142">
        <f>IF(ISERROR(VLOOKUP(P436,Gegenstände!$B$2:$N$2026,13,FALSE)),0,VLOOKUP(P436,Gegenstände!$B$2:$N$2026,13,FALSE))</f>
        <v>200</v>
      </c>
      <c r="AC436" s="142">
        <f>IF(ISERROR(VLOOKUP(R436,Gegenstände!$B$2:$N$2026,13,FALSE)),0,VLOOKUP(R436,Gegenstände!$B$2:$N$2026,13,FALSE))</f>
        <v>500</v>
      </c>
      <c r="AD436" s="142">
        <f>IF(ISERROR(VLOOKUP(T436,Gegenstände!$B$2:$N$2026,13,FALSE)),0,VLOOKUP(T436,Gegenstände!$B$2:$N$2026,13,FALSE))</f>
        <v>5000</v>
      </c>
      <c r="AE436" s="475">
        <f t="shared" si="171"/>
        <v>18720</v>
      </c>
      <c r="AF436" s="476">
        <f t="shared" si="172"/>
        <v>19080</v>
      </c>
      <c r="AG436" s="128">
        <f t="shared" si="173"/>
        <v>0.32670157068062827</v>
      </c>
      <c r="AH436" s="128">
        <f t="shared" si="174"/>
        <v>0.33298429319371725</v>
      </c>
      <c r="AI436" s="129">
        <f>(AE436+AF436)/Y436</f>
        <v>0.65968586387434558</v>
      </c>
      <c r="AJ436" s="426">
        <f>Y436-(AE436+AF436)</f>
        <v>19500</v>
      </c>
      <c r="AK436" s="131">
        <f>(AJ436*60)/F436</f>
        <v>2166.6666666666665</v>
      </c>
      <c r="AL436" s="477">
        <f>AK436/VLOOKUP(IF(I436&gt;0,I436,1),Preise!$A$3:$B$27,2,FALSE)</f>
        <v>386.9047619047617</v>
      </c>
    </row>
    <row r="437" spans="1:38" s="3" customFormat="1" x14ac:dyDescent="0.2">
      <c r="A437" s="581"/>
      <c r="B437" s="399"/>
      <c r="C437" s="193"/>
      <c r="D437" s="194"/>
      <c r="E437" s="582"/>
      <c r="F437" s="197"/>
      <c r="G437" s="194"/>
      <c r="H437" s="583"/>
      <c r="I437" s="597"/>
      <c r="J437" s="585"/>
      <c r="K437" s="584"/>
      <c r="L437" s="192"/>
      <c r="M437" s="584"/>
      <c r="N437" s="192"/>
      <c r="O437" s="584"/>
      <c r="P437" s="192"/>
      <c r="Q437" s="584"/>
      <c r="R437" s="192"/>
      <c r="S437" s="586"/>
      <c r="T437" s="586"/>
      <c r="U437" s="598"/>
      <c r="V437" s="589">
        <v>1200</v>
      </c>
      <c r="W437" s="590"/>
      <c r="X437" s="599"/>
      <c r="Y437" s="600"/>
      <c r="Z437" s="400"/>
      <c r="AA437" s="193"/>
      <c r="AB437" s="193"/>
      <c r="AC437" s="193"/>
      <c r="AD437" s="601"/>
      <c r="AE437" s="602"/>
      <c r="AF437" s="603"/>
      <c r="AG437" s="604"/>
      <c r="AH437" s="604"/>
      <c r="AI437" s="594"/>
      <c r="AJ437" s="595"/>
      <c r="AK437" s="200"/>
      <c r="AL437" s="596"/>
    </row>
    <row r="438" spans="1:38" s="3" customFormat="1" outlineLevel="1" x14ac:dyDescent="0.2">
      <c r="A438" s="5">
        <v>2151</v>
      </c>
      <c r="B438" s="412">
        <v>2151</v>
      </c>
      <c r="C438" s="132" t="str">
        <f>VLOOKUP(B438,Gegenstände!$A$2:$B$2026,2,FALSE)</f>
        <v>Kristall-Hammer</v>
      </c>
      <c r="D438" s="133">
        <f>VLOOKUP(B438,Gegenstände!$A$2:$D$2026,4,FALSE)</f>
        <v>4</v>
      </c>
      <c r="E438" s="468">
        <v>30</v>
      </c>
      <c r="F438" s="134">
        <v>420</v>
      </c>
      <c r="G438" s="54"/>
      <c r="H438" s="469">
        <v>59</v>
      </c>
      <c r="I438" s="12">
        <f t="shared" si="168"/>
        <v>3</v>
      </c>
      <c r="J438" s="417"/>
      <c r="K438" s="6">
        <v>10</v>
      </c>
      <c r="L438" s="1" t="s">
        <v>113</v>
      </c>
      <c r="M438" s="87">
        <v>7</v>
      </c>
      <c r="N438" s="83" t="s">
        <v>176</v>
      </c>
      <c r="O438" s="85"/>
      <c r="P438" s="83"/>
      <c r="Q438" s="85"/>
      <c r="R438" s="83"/>
      <c r="S438" s="170">
        <v>2</v>
      </c>
      <c r="T438" s="170" t="s">
        <v>237</v>
      </c>
      <c r="U438" s="471">
        <f>VLOOKUP(D438,Preise!$A$3:$C$28,3)</f>
        <v>1.5208749999999995</v>
      </c>
      <c r="V438" s="523">
        <f>U438*$V$437</f>
        <v>1825.0499999999995</v>
      </c>
      <c r="W438" s="131"/>
      <c r="X438" s="472">
        <f t="shared" si="169"/>
        <v>2800</v>
      </c>
      <c r="Y438" s="473">
        <f t="shared" si="170"/>
        <v>1800</v>
      </c>
      <c r="Z438" s="474">
        <f>IF(ISERROR(VLOOKUP(L438,Gegenstände!$B$2:$N$2026,13,FALSE)),0,VLOOKUP(L438,Gegenstände!$B$2:$N$2026,13,FALSE))</f>
        <v>60</v>
      </c>
      <c r="AA438" s="142">
        <f>IF(ISERROR(VLOOKUP(N438,Gegenstände!$B$2:$N$2026,13,FALSE)),0,VLOOKUP(N438,Gegenstände!$B$2:$N$2026,13,FALSE))</f>
        <v>80</v>
      </c>
      <c r="AB438" s="142">
        <f>IF(ISERROR(VLOOKUP(P438,Gegenstände!$B$2:$N$2026,13,FALSE)),0,VLOOKUP(P438,Gegenstände!$B$2:$N$2026,13,FALSE))</f>
        <v>0</v>
      </c>
      <c r="AC438" s="142">
        <f>IF(ISERROR(VLOOKUP(R438,Gegenstände!$B$2:$N$2026,13,FALSE)),0,VLOOKUP(R438,Gegenstände!$B$2:$N$2026,13,FALSE))</f>
        <v>0</v>
      </c>
      <c r="AD438" s="142">
        <f>IF(ISERROR(VLOOKUP(T438,Gegenstände!$B$2:$N$2026,13,FALSE)),0,VLOOKUP(T438,Gegenstände!$B$2:$N$2026,13,FALSE))</f>
        <v>500</v>
      </c>
      <c r="AE438" s="475">
        <f t="shared" si="171"/>
        <v>600</v>
      </c>
      <c r="AF438" s="476">
        <f t="shared" si="172"/>
        <v>560</v>
      </c>
      <c r="AG438" s="128">
        <f t="shared" si="173"/>
        <v>0.33333333333333331</v>
      </c>
      <c r="AH438" s="128">
        <f t="shared" si="174"/>
        <v>0.31111111111111112</v>
      </c>
      <c r="AI438" s="129">
        <f>(AE438+AF438)/Y438</f>
        <v>0.64444444444444449</v>
      </c>
      <c r="AJ438" s="426">
        <f>Y438-(AE438+AF438)</f>
        <v>640</v>
      </c>
      <c r="AK438" s="131">
        <f>(AJ438*60)/F438</f>
        <v>91.428571428571431</v>
      </c>
      <c r="AL438" s="477">
        <f>AK438/VLOOKUP(IF(I438&gt;0,I438,1),Preise!$A$3:$B$27,2,FALSE)</f>
        <v>65.306122448979593</v>
      </c>
    </row>
    <row r="439" spans="1:38" s="3" customFormat="1" outlineLevel="1" x14ac:dyDescent="0.2">
      <c r="A439" s="5">
        <v>2152</v>
      </c>
      <c r="B439" s="412">
        <v>2152</v>
      </c>
      <c r="C439" s="132" t="str">
        <f>VLOOKUP(B439,Gegenstände!$A$2:$B$2026,2,FALSE)</f>
        <v>Quarz-Hammer</v>
      </c>
      <c r="D439" s="133">
        <f>VLOOKUP(B439,Gegenstände!$A$2:$D$2026,4,FALSE)</f>
        <v>9</v>
      </c>
      <c r="E439" s="468">
        <v>30</v>
      </c>
      <c r="F439" s="134">
        <v>420</v>
      </c>
      <c r="G439" s="54"/>
      <c r="H439" s="469">
        <v>59</v>
      </c>
      <c r="I439" s="12">
        <f t="shared" si="168"/>
        <v>8</v>
      </c>
      <c r="J439" s="417"/>
      <c r="K439" s="6">
        <v>10</v>
      </c>
      <c r="L439" s="1" t="s">
        <v>114</v>
      </c>
      <c r="M439" s="87">
        <v>15</v>
      </c>
      <c r="N439" s="83" t="s">
        <v>176</v>
      </c>
      <c r="O439" s="85"/>
      <c r="P439" s="83"/>
      <c r="Q439" s="85"/>
      <c r="R439" s="83"/>
      <c r="S439" s="170">
        <v>2</v>
      </c>
      <c r="T439" s="170" t="s">
        <v>238</v>
      </c>
      <c r="U439" s="471">
        <f>VLOOKUP(D439,Preise!$A$3:$C$28,3)</f>
        <v>3.0590228625390607</v>
      </c>
      <c r="V439" s="523">
        <f>U439*$V$437</f>
        <v>3670.8274350468728</v>
      </c>
      <c r="W439" s="131"/>
      <c r="X439" s="472">
        <f t="shared" si="169"/>
        <v>5700</v>
      </c>
      <c r="Y439" s="473">
        <f t="shared" si="170"/>
        <v>3700</v>
      </c>
      <c r="Z439" s="474">
        <f>IF(ISERROR(VLOOKUP(L439,Gegenstände!$B$2:$N$2026,13,FALSE)),0,VLOOKUP(L439,Gegenstände!$B$2:$N$2026,13,FALSE))</f>
        <v>120</v>
      </c>
      <c r="AA439" s="142">
        <f>IF(ISERROR(VLOOKUP(N439,Gegenstände!$B$2:$N$2026,13,FALSE)),0,VLOOKUP(N439,Gegenstände!$B$2:$N$2026,13,FALSE))</f>
        <v>80</v>
      </c>
      <c r="AB439" s="142">
        <f>IF(ISERROR(VLOOKUP(P439,Gegenstände!$B$2:$N$2026,13,FALSE)),0,VLOOKUP(P439,Gegenstände!$B$2:$N$2026,13,FALSE))</f>
        <v>0</v>
      </c>
      <c r="AC439" s="142">
        <f>IF(ISERROR(VLOOKUP(R439,Gegenstände!$B$2:$N$2026,13,FALSE)),0,VLOOKUP(R439,Gegenstände!$B$2:$N$2026,13,FALSE))</f>
        <v>0</v>
      </c>
      <c r="AD439" s="142">
        <f>IF(ISERROR(VLOOKUP(T439,Gegenstände!$B$2:$N$2026,13,FALSE)),0,VLOOKUP(T439,Gegenstände!$B$2:$N$2026,13,FALSE))</f>
        <v>1000</v>
      </c>
      <c r="AE439" s="475">
        <f t="shared" si="171"/>
        <v>1200</v>
      </c>
      <c r="AF439" s="476">
        <f t="shared" si="172"/>
        <v>1200</v>
      </c>
      <c r="AG439" s="128">
        <f t="shared" si="173"/>
        <v>0.32432432432432434</v>
      </c>
      <c r="AH439" s="128">
        <f t="shared" si="174"/>
        <v>0.32432432432432434</v>
      </c>
      <c r="AI439" s="129">
        <f>(AE439+AF439)/Y439</f>
        <v>0.64864864864864868</v>
      </c>
      <c r="AJ439" s="426">
        <f>Y439-(AE439+AF439)</f>
        <v>1300</v>
      </c>
      <c r="AK439" s="131">
        <f>(AJ439*60)/F439</f>
        <v>185.71428571428572</v>
      </c>
      <c r="AL439" s="477">
        <f>AK439/VLOOKUP(IF(I439&gt;0,I439,1),Preise!$A$3:$B$27,2,FALSE)</f>
        <v>77.380952380952394</v>
      </c>
    </row>
    <row r="440" spans="1:38" s="3" customFormat="1" outlineLevel="1" x14ac:dyDescent="0.2">
      <c r="A440" s="5">
        <v>2153</v>
      </c>
      <c r="B440" s="412">
        <v>2153</v>
      </c>
      <c r="C440" s="132" t="str">
        <f>VLOOKUP(B440,Gegenstände!$A$2:$B$2026,2,FALSE)</f>
        <v>Smaragd-Hammer</v>
      </c>
      <c r="D440" s="133">
        <f>VLOOKUP(B440,Gegenstände!$A$2:$D$2026,4,FALSE)</f>
        <v>14</v>
      </c>
      <c r="E440" s="468">
        <v>30</v>
      </c>
      <c r="F440" s="134">
        <v>420</v>
      </c>
      <c r="G440" s="54"/>
      <c r="H440" s="469">
        <v>59</v>
      </c>
      <c r="I440" s="12">
        <f t="shared" si="168"/>
        <v>13</v>
      </c>
      <c r="J440" s="417"/>
      <c r="K440" s="6">
        <v>14</v>
      </c>
      <c r="L440" s="1" t="s">
        <v>115</v>
      </c>
      <c r="M440" s="87">
        <v>3</v>
      </c>
      <c r="N440" s="83" t="s">
        <v>176</v>
      </c>
      <c r="O440" s="85">
        <v>11</v>
      </c>
      <c r="P440" s="83" t="s">
        <v>179</v>
      </c>
      <c r="Q440" s="85"/>
      <c r="R440" s="83"/>
      <c r="S440" s="170">
        <v>2</v>
      </c>
      <c r="T440" s="170" t="s">
        <v>50</v>
      </c>
      <c r="U440" s="471">
        <f>VLOOKUP(D440,Preise!$A$3:$C$28,3)</f>
        <v>6.1527876212947623</v>
      </c>
      <c r="V440" s="523">
        <f>U440*$V$437</f>
        <v>7383.3451455537152</v>
      </c>
      <c r="W440" s="131"/>
      <c r="X440" s="472">
        <f t="shared" si="169"/>
        <v>11400</v>
      </c>
      <c r="Y440" s="473">
        <f t="shared" si="170"/>
        <v>7400</v>
      </c>
      <c r="Z440" s="474">
        <f>IF(ISERROR(VLOOKUP(L440,Gegenstände!$B$2:$N$2026,13,FALSE)),0,VLOOKUP(L440,Gegenstände!$B$2:$N$2026,13,FALSE))</f>
        <v>180</v>
      </c>
      <c r="AA440" s="142">
        <f>IF(ISERROR(VLOOKUP(N440,Gegenstände!$B$2:$N$2026,13,FALSE)),0,VLOOKUP(N440,Gegenstände!$B$2:$N$2026,13,FALSE))</f>
        <v>80</v>
      </c>
      <c r="AB440" s="142">
        <f>IF(ISERROR(VLOOKUP(P440,Gegenstände!$B$2:$N$2026,13,FALSE)),0,VLOOKUP(P440,Gegenstände!$B$2:$N$2026,13,FALSE))</f>
        <v>200</v>
      </c>
      <c r="AC440" s="142">
        <f>IF(ISERROR(VLOOKUP(R440,Gegenstände!$B$2:$N$2026,13,FALSE)),0,VLOOKUP(R440,Gegenstände!$B$2:$N$2026,13,FALSE))</f>
        <v>0</v>
      </c>
      <c r="AD440" s="142">
        <f>IF(ISERROR(VLOOKUP(T440,Gegenstände!$B$2:$N$2026,13,FALSE)),0,VLOOKUP(T440,Gegenstände!$B$2:$N$2026,13,FALSE))</f>
        <v>2000</v>
      </c>
      <c r="AE440" s="475">
        <f t="shared" si="171"/>
        <v>2520</v>
      </c>
      <c r="AF440" s="476">
        <f t="shared" si="172"/>
        <v>2440</v>
      </c>
      <c r="AG440" s="128">
        <f t="shared" si="173"/>
        <v>0.34054054054054056</v>
      </c>
      <c r="AH440" s="128">
        <f t="shared" si="174"/>
        <v>0.32972972972972975</v>
      </c>
      <c r="AI440" s="129">
        <f>(AE440+AF440)/Y440</f>
        <v>0.67027027027027031</v>
      </c>
      <c r="AJ440" s="426">
        <f>Y440-(AE440+AF440)</f>
        <v>2440</v>
      </c>
      <c r="AK440" s="131">
        <f>(AJ440*60)/F440</f>
        <v>348.57142857142856</v>
      </c>
      <c r="AL440" s="477">
        <f>AK440/VLOOKUP(IF(I440&gt;0,I440,1),Preise!$A$3:$B$27,2,FALSE)</f>
        <v>102.52100840336132</v>
      </c>
    </row>
    <row r="441" spans="1:38" s="3" customFormat="1" outlineLevel="1" x14ac:dyDescent="0.2">
      <c r="A441" s="5">
        <v>2154</v>
      </c>
      <c r="B441" s="412">
        <v>2154</v>
      </c>
      <c r="C441" s="132" t="str">
        <f>VLOOKUP(B441,Gegenstände!$A$2:$B$2026,2,FALSE)</f>
        <v>Rubin-Hammer</v>
      </c>
      <c r="D441" s="133">
        <f>VLOOKUP(B441,Gegenstände!$A$2:$D$2026,4,FALSE)</f>
        <v>19</v>
      </c>
      <c r="E441" s="468">
        <v>30</v>
      </c>
      <c r="F441" s="134">
        <v>420</v>
      </c>
      <c r="G441" s="54"/>
      <c r="H441" s="469">
        <v>59</v>
      </c>
      <c r="I441" s="12">
        <f t="shared" si="168"/>
        <v>18</v>
      </c>
      <c r="J441" s="417"/>
      <c r="K441" s="6">
        <v>18</v>
      </c>
      <c r="L441" s="1" t="s">
        <v>116</v>
      </c>
      <c r="M441" s="87">
        <v>6</v>
      </c>
      <c r="N441" s="83" t="s">
        <v>176</v>
      </c>
      <c r="O441" s="85">
        <v>22</v>
      </c>
      <c r="P441" s="83" t="s">
        <v>179</v>
      </c>
      <c r="Q441" s="85"/>
      <c r="R441" s="83"/>
      <c r="S441" s="170">
        <v>2</v>
      </c>
      <c r="T441" s="170" t="s">
        <v>44</v>
      </c>
      <c r="U441" s="471">
        <f>VLOOKUP(D441,Preise!$A$3:$C$28,3)</f>
        <v>12.375453605252243</v>
      </c>
      <c r="V441" s="523">
        <f>U441*$V$437</f>
        <v>14850.544326302692</v>
      </c>
      <c r="W441" s="131"/>
      <c r="X441" s="472">
        <f t="shared" si="169"/>
        <v>21900</v>
      </c>
      <c r="Y441" s="473">
        <f t="shared" si="170"/>
        <v>14900</v>
      </c>
      <c r="Z441" s="474">
        <f>IF(ISERROR(VLOOKUP(L441,Gegenstände!$B$2:$N$2026,13,FALSE)),0,VLOOKUP(L441,Gegenstände!$B$2:$N$2026,13,FALSE))</f>
        <v>270</v>
      </c>
      <c r="AA441" s="142">
        <f>IF(ISERROR(VLOOKUP(N441,Gegenstände!$B$2:$N$2026,13,FALSE)),0,VLOOKUP(N441,Gegenstände!$B$2:$N$2026,13,FALSE))</f>
        <v>80</v>
      </c>
      <c r="AB441" s="142">
        <f>IF(ISERROR(VLOOKUP(P441,Gegenstände!$B$2:$N$2026,13,FALSE)),0,VLOOKUP(P441,Gegenstände!$B$2:$N$2026,13,FALSE))</f>
        <v>200</v>
      </c>
      <c r="AC441" s="142">
        <f>IF(ISERROR(VLOOKUP(R441,Gegenstände!$B$2:$N$2026,13,FALSE)),0,VLOOKUP(R441,Gegenstände!$B$2:$N$2026,13,FALSE))</f>
        <v>0</v>
      </c>
      <c r="AD441" s="142">
        <f>IF(ISERROR(VLOOKUP(T441,Gegenstände!$B$2:$N$2026,13,FALSE)),0,VLOOKUP(T441,Gegenstände!$B$2:$N$2026,13,FALSE))</f>
        <v>3500</v>
      </c>
      <c r="AE441" s="475">
        <f t="shared" si="171"/>
        <v>4860</v>
      </c>
      <c r="AF441" s="476">
        <f t="shared" si="172"/>
        <v>4880</v>
      </c>
      <c r="AG441" s="128">
        <f t="shared" si="173"/>
        <v>0.32617449664429532</v>
      </c>
      <c r="AH441" s="128">
        <f t="shared" si="174"/>
        <v>0.32751677852348993</v>
      </c>
      <c r="AI441" s="129">
        <f>(AE441+AF441)/Y441</f>
        <v>0.65369127516778525</v>
      </c>
      <c r="AJ441" s="426">
        <f>Y441-(AE441+AF441)</f>
        <v>5160</v>
      </c>
      <c r="AK441" s="131">
        <f>(AJ441*60)/F441</f>
        <v>737.14285714285711</v>
      </c>
      <c r="AL441" s="477">
        <f>AK441/VLOOKUP(IF(I441&gt;0,I441,1),Preise!$A$3:$B$27,2,FALSE)</f>
        <v>167.53246753246748</v>
      </c>
    </row>
    <row r="442" spans="1:38" s="3" customFormat="1" outlineLevel="1" x14ac:dyDescent="0.2">
      <c r="A442" s="5">
        <v>2155</v>
      </c>
      <c r="B442" s="412">
        <v>2155</v>
      </c>
      <c r="C442" s="132" t="str">
        <f>VLOOKUP(B442,Gegenstände!$A$2:$B$2026,2,FALSE)</f>
        <v>Obsidian-Hammer</v>
      </c>
      <c r="D442" s="133">
        <f>VLOOKUP(B442,Gegenstände!$A$2:$D$2026,4,FALSE)</f>
        <v>25</v>
      </c>
      <c r="E442" s="468">
        <v>30</v>
      </c>
      <c r="F442" s="134">
        <v>420</v>
      </c>
      <c r="G442" s="54"/>
      <c r="H442" s="469">
        <v>59</v>
      </c>
      <c r="I442" s="12">
        <f t="shared" si="168"/>
        <v>24</v>
      </c>
      <c r="J442" s="417"/>
      <c r="K442" s="6">
        <v>32</v>
      </c>
      <c r="L442" s="1" t="s">
        <v>117</v>
      </c>
      <c r="M442" s="87">
        <v>6</v>
      </c>
      <c r="N442" s="83" t="s">
        <v>176</v>
      </c>
      <c r="O442" s="85">
        <v>14</v>
      </c>
      <c r="P442" s="83" t="s">
        <v>179</v>
      </c>
      <c r="Q442" s="85">
        <v>16</v>
      </c>
      <c r="R442" s="83" t="s">
        <v>181</v>
      </c>
      <c r="S442" s="170">
        <v>2</v>
      </c>
      <c r="T442" s="170" t="s">
        <v>36</v>
      </c>
      <c r="U442" s="471">
        <f>VLOOKUP(D442,Preise!$A$3:$C$28,3)</f>
        <v>28.625176191121408</v>
      </c>
      <c r="V442" s="523">
        <f>U442*$V$437</f>
        <v>34350.211429345691</v>
      </c>
      <c r="W442" s="131"/>
      <c r="X442" s="472">
        <f t="shared" si="169"/>
        <v>44400</v>
      </c>
      <c r="Y442" s="473">
        <f t="shared" si="170"/>
        <v>34400</v>
      </c>
      <c r="Z442" s="474">
        <f>IF(ISERROR(VLOOKUP(L442,Gegenstände!$B$2:$N$2026,13,FALSE)),0,VLOOKUP(L442,Gegenstände!$B$2:$N$2026,13,FALSE))</f>
        <v>360</v>
      </c>
      <c r="AA442" s="142">
        <f>IF(ISERROR(VLOOKUP(N442,Gegenstände!$B$2:$N$2026,13,FALSE)),0,VLOOKUP(N442,Gegenstände!$B$2:$N$2026,13,FALSE))</f>
        <v>80</v>
      </c>
      <c r="AB442" s="142">
        <f>IF(ISERROR(VLOOKUP(P442,Gegenstände!$B$2:$N$2026,13,FALSE)),0,VLOOKUP(P442,Gegenstände!$B$2:$N$2026,13,FALSE))</f>
        <v>200</v>
      </c>
      <c r="AC442" s="142">
        <f>IF(ISERROR(VLOOKUP(R442,Gegenstände!$B$2:$N$2026,13,FALSE)),0,VLOOKUP(R442,Gegenstände!$B$2:$N$2026,13,FALSE))</f>
        <v>500</v>
      </c>
      <c r="AD442" s="142">
        <f>IF(ISERROR(VLOOKUP(T442,Gegenstände!$B$2:$N$2026,13,FALSE)),0,VLOOKUP(T442,Gegenstände!$B$2:$N$2026,13,FALSE))</f>
        <v>5000</v>
      </c>
      <c r="AE442" s="475">
        <f t="shared" si="171"/>
        <v>11520</v>
      </c>
      <c r="AF442" s="476">
        <f t="shared" si="172"/>
        <v>11280</v>
      </c>
      <c r="AG442" s="128">
        <f t="shared" si="173"/>
        <v>0.33488372093023255</v>
      </c>
      <c r="AH442" s="128">
        <f t="shared" si="174"/>
        <v>0.32790697674418606</v>
      </c>
      <c r="AI442" s="129">
        <f>(AE442+AF442)/Y442</f>
        <v>0.66279069767441856</v>
      </c>
      <c r="AJ442" s="426">
        <f>Y442-(AE442+AF442)</f>
        <v>11600</v>
      </c>
      <c r="AK442" s="131">
        <f>(AJ442*60)/F442</f>
        <v>1657.1428571428571</v>
      </c>
      <c r="AL442" s="477">
        <f>AK442/VLOOKUP(IF(I442&gt;0,I442,1),Preise!$A$3:$B$27,2,FALSE)</f>
        <v>295.91836734693862</v>
      </c>
    </row>
    <row r="443" spans="1:38" s="3" customFormat="1" x14ac:dyDescent="0.2">
      <c r="A443" s="581"/>
      <c r="B443" s="399"/>
      <c r="C443" s="193"/>
      <c r="D443" s="194"/>
      <c r="E443" s="582"/>
      <c r="F443" s="197"/>
      <c r="G443" s="194"/>
      <c r="H443" s="583"/>
      <c r="I443" s="597"/>
      <c r="J443" s="585"/>
      <c r="K443" s="584"/>
      <c r="L443" s="192"/>
      <c r="M443" s="584"/>
      <c r="N443" s="192"/>
      <c r="O443" s="584"/>
      <c r="P443" s="192"/>
      <c r="Q443" s="584"/>
      <c r="R443" s="192"/>
      <c r="S443" s="586"/>
      <c r="T443" s="586"/>
      <c r="U443" s="598"/>
      <c r="V443" s="589">
        <v>2000</v>
      </c>
      <c r="W443" s="590"/>
      <c r="X443" s="599"/>
      <c r="Y443" s="600"/>
      <c r="Z443" s="400"/>
      <c r="AA443" s="193"/>
      <c r="AB443" s="193"/>
      <c r="AC443" s="193"/>
      <c r="AD443" s="601"/>
      <c r="AE443" s="602"/>
      <c r="AF443" s="603"/>
      <c r="AG443" s="604"/>
      <c r="AH443" s="604"/>
      <c r="AI443" s="594"/>
      <c r="AJ443" s="595"/>
      <c r="AK443" s="200"/>
      <c r="AL443" s="596"/>
    </row>
    <row r="444" spans="1:38" s="3" customFormat="1" outlineLevel="1" x14ac:dyDescent="0.2">
      <c r="A444" s="5">
        <v>2161</v>
      </c>
      <c r="B444" s="412">
        <v>2161</v>
      </c>
      <c r="C444" s="132" t="str">
        <f>VLOOKUP(B444,Gegenstände!$A$2:$B$2026,2,FALSE)</f>
        <v>Quarz-Kriegshammer</v>
      </c>
      <c r="D444" s="133">
        <f>VLOOKUP(B444,Gegenstände!$A$2:$D$2026,4,FALSE)</f>
        <v>10</v>
      </c>
      <c r="E444" s="468">
        <v>30</v>
      </c>
      <c r="F444" s="134">
        <v>540</v>
      </c>
      <c r="G444" s="54"/>
      <c r="H444" s="469">
        <v>59</v>
      </c>
      <c r="I444" s="12">
        <f t="shared" si="168"/>
        <v>9</v>
      </c>
      <c r="J444" s="417"/>
      <c r="K444" s="6">
        <v>19</v>
      </c>
      <c r="L444" s="1" t="s">
        <v>114</v>
      </c>
      <c r="M444" s="87">
        <v>29</v>
      </c>
      <c r="N444" s="83" t="s">
        <v>176</v>
      </c>
      <c r="O444" s="85"/>
      <c r="P444" s="83"/>
      <c r="Q444" s="85"/>
      <c r="R444" s="83"/>
      <c r="S444" s="170">
        <v>5</v>
      </c>
      <c r="T444" s="170" t="s">
        <v>238</v>
      </c>
      <c r="U444" s="471">
        <f>VLOOKUP(D444,Preise!$A$3:$C$28,3)</f>
        <v>3.5178762919199196</v>
      </c>
      <c r="V444" s="523">
        <f>U444*$V$443</f>
        <v>7035.7525838398387</v>
      </c>
      <c r="W444" s="131"/>
      <c r="X444" s="472">
        <f t="shared" si="169"/>
        <v>12000</v>
      </c>
      <c r="Y444" s="473">
        <f t="shared" si="170"/>
        <v>7000</v>
      </c>
      <c r="Z444" s="474">
        <f>IF(ISERROR(VLOOKUP(L444,Gegenstände!$B$2:$N$2026,13,FALSE)),0,VLOOKUP(L444,Gegenstände!$B$2:$N$2026,13,FALSE))</f>
        <v>120</v>
      </c>
      <c r="AA444" s="142">
        <f>IF(ISERROR(VLOOKUP(N444,Gegenstände!$B$2:$N$2026,13,FALSE)),0,VLOOKUP(N444,Gegenstände!$B$2:$N$2026,13,FALSE))</f>
        <v>80</v>
      </c>
      <c r="AB444" s="142">
        <f>IF(ISERROR(VLOOKUP(P444,Gegenstände!$B$2:$N$2026,13,FALSE)),0,VLOOKUP(P444,Gegenstände!$B$2:$N$2026,13,FALSE))</f>
        <v>0</v>
      </c>
      <c r="AC444" s="142">
        <f>IF(ISERROR(VLOOKUP(R444,Gegenstände!$B$2:$N$2026,13,FALSE)),0,VLOOKUP(R444,Gegenstände!$B$2:$N$2026,13,FALSE))</f>
        <v>0</v>
      </c>
      <c r="AD444" s="142">
        <f>IF(ISERROR(VLOOKUP(T444,Gegenstände!$B$2:$N$2026,13,FALSE)),0,VLOOKUP(T444,Gegenstände!$B$2:$N$2026,13,FALSE))</f>
        <v>1000</v>
      </c>
      <c r="AE444" s="475">
        <f t="shared" si="171"/>
        <v>2280</v>
      </c>
      <c r="AF444" s="476">
        <f t="shared" si="172"/>
        <v>2320</v>
      </c>
      <c r="AG444" s="128">
        <f t="shared" si="173"/>
        <v>0.32571428571428573</v>
      </c>
      <c r="AH444" s="128">
        <f t="shared" si="174"/>
        <v>0.33142857142857141</v>
      </c>
      <c r="AI444" s="129">
        <f>(AE444+AF444)/Y444</f>
        <v>0.65714285714285714</v>
      </c>
      <c r="AJ444" s="426">
        <f>Y444-(AE444+AF444)</f>
        <v>2400</v>
      </c>
      <c r="AK444" s="131">
        <f>(AJ444*60)/F444</f>
        <v>266.66666666666669</v>
      </c>
      <c r="AL444" s="477">
        <f>AK444/VLOOKUP(IF(I444&gt;0,I444,1),Preise!$A$3:$B$27,2,FALSE)</f>
        <v>102.56410256410257</v>
      </c>
    </row>
    <row r="445" spans="1:38" s="3" customFormat="1" outlineLevel="1" x14ac:dyDescent="0.2">
      <c r="A445" s="5">
        <v>2162</v>
      </c>
      <c r="B445" s="412">
        <v>2162</v>
      </c>
      <c r="C445" s="132" t="str">
        <f>VLOOKUP(B445,Gegenstände!$A$2:$B$2026,2,FALSE)</f>
        <v>Smaragd-Kriegshammer</v>
      </c>
      <c r="D445" s="133">
        <f>VLOOKUP(B445,Gegenstände!$A$2:$D$2026,4,FALSE)</f>
        <v>15</v>
      </c>
      <c r="E445" s="468">
        <v>30</v>
      </c>
      <c r="F445" s="134">
        <v>540</v>
      </c>
      <c r="G445" s="54"/>
      <c r="H445" s="469">
        <v>59</v>
      </c>
      <c r="I445" s="12">
        <f t="shared" si="168"/>
        <v>14</v>
      </c>
      <c r="J445" s="417"/>
      <c r="K445" s="6">
        <v>26</v>
      </c>
      <c r="L445" s="1" t="s">
        <v>115</v>
      </c>
      <c r="M445" s="87">
        <v>6</v>
      </c>
      <c r="N445" s="83" t="s">
        <v>176</v>
      </c>
      <c r="O445" s="85">
        <v>21</v>
      </c>
      <c r="P445" s="83" t="s">
        <v>179</v>
      </c>
      <c r="Q445" s="85"/>
      <c r="R445" s="83"/>
      <c r="S445" s="170">
        <v>5</v>
      </c>
      <c r="T445" s="170" t="s">
        <v>50</v>
      </c>
      <c r="U445" s="471">
        <f>VLOOKUP(D445,Preise!$A$3:$C$28,3)</f>
        <v>7.0757057644889763</v>
      </c>
      <c r="V445" s="523">
        <f>U445*$V$443</f>
        <v>14151.411528977953</v>
      </c>
      <c r="W445" s="131"/>
      <c r="X445" s="472">
        <f t="shared" si="169"/>
        <v>24200</v>
      </c>
      <c r="Y445" s="473">
        <f t="shared" si="170"/>
        <v>14200</v>
      </c>
      <c r="Z445" s="474">
        <f>IF(ISERROR(VLOOKUP(L445,Gegenstände!$B$2:$N$2026,13,FALSE)),0,VLOOKUP(L445,Gegenstände!$B$2:$N$2026,13,FALSE))</f>
        <v>180</v>
      </c>
      <c r="AA445" s="142">
        <f>IF(ISERROR(VLOOKUP(N445,Gegenstände!$B$2:$N$2026,13,FALSE)),0,VLOOKUP(N445,Gegenstände!$B$2:$N$2026,13,FALSE))</f>
        <v>80</v>
      </c>
      <c r="AB445" s="142">
        <f>IF(ISERROR(VLOOKUP(P445,Gegenstände!$B$2:$N$2026,13,FALSE)),0,VLOOKUP(P445,Gegenstände!$B$2:$N$2026,13,FALSE))</f>
        <v>200</v>
      </c>
      <c r="AC445" s="142">
        <f>IF(ISERROR(VLOOKUP(R445,Gegenstände!$B$2:$N$2026,13,FALSE)),0,VLOOKUP(R445,Gegenstände!$B$2:$N$2026,13,FALSE))</f>
        <v>0</v>
      </c>
      <c r="AD445" s="142">
        <f>IF(ISERROR(VLOOKUP(T445,Gegenstände!$B$2:$N$2026,13,FALSE)),0,VLOOKUP(T445,Gegenstände!$B$2:$N$2026,13,FALSE))</f>
        <v>2000</v>
      </c>
      <c r="AE445" s="475">
        <f t="shared" si="171"/>
        <v>4680</v>
      </c>
      <c r="AF445" s="476">
        <f t="shared" si="172"/>
        <v>4680</v>
      </c>
      <c r="AG445" s="128">
        <f t="shared" si="173"/>
        <v>0.3295774647887324</v>
      </c>
      <c r="AH445" s="128">
        <f t="shared" si="174"/>
        <v>0.3295774647887324</v>
      </c>
      <c r="AI445" s="129">
        <f>(AE445+AF445)/Y445</f>
        <v>0.6591549295774648</v>
      </c>
      <c r="AJ445" s="426">
        <f>Y445-(AE445+AF445)</f>
        <v>4840</v>
      </c>
      <c r="AK445" s="131">
        <f>(AJ445*60)/F445</f>
        <v>537.77777777777783</v>
      </c>
      <c r="AL445" s="477">
        <f>AK445/VLOOKUP(IF(I445&gt;0,I445,1),Preise!$A$3:$B$27,2,FALSE)</f>
        <v>149.38271604938268</v>
      </c>
    </row>
    <row r="446" spans="1:38" s="3" customFormat="1" outlineLevel="1" x14ac:dyDescent="0.2">
      <c r="A446" s="5">
        <v>2163</v>
      </c>
      <c r="B446" s="412">
        <v>2163</v>
      </c>
      <c r="C446" s="132" t="str">
        <f>VLOOKUP(B446,Gegenstände!$A$2:$B$2026,2,FALSE)</f>
        <v>Rubin-Kriegshammer</v>
      </c>
      <c r="D446" s="133">
        <f>VLOOKUP(B446,Gegenstände!$A$2:$D$2026,4,FALSE)</f>
        <v>20</v>
      </c>
      <c r="E446" s="468">
        <v>30</v>
      </c>
      <c r="F446" s="134">
        <v>540</v>
      </c>
      <c r="G446" s="54"/>
      <c r="H446" s="469">
        <v>59</v>
      </c>
      <c r="I446" s="12">
        <f t="shared" si="168"/>
        <v>19</v>
      </c>
      <c r="J446" s="417"/>
      <c r="K446" s="6">
        <v>35</v>
      </c>
      <c r="L446" s="1" t="s">
        <v>116</v>
      </c>
      <c r="M446" s="87">
        <v>16</v>
      </c>
      <c r="N446" s="83" t="s">
        <v>176</v>
      </c>
      <c r="O446" s="85">
        <v>40</v>
      </c>
      <c r="P446" s="83" t="s">
        <v>179</v>
      </c>
      <c r="Q446" s="85"/>
      <c r="R446" s="83"/>
      <c r="S446" s="170">
        <v>5</v>
      </c>
      <c r="T446" s="170" t="s">
        <v>44</v>
      </c>
      <c r="U446" s="471">
        <f>VLOOKUP(D446,Preise!$A$3:$C$28,3)</f>
        <v>14.231771646040078</v>
      </c>
      <c r="V446" s="523">
        <f>U446*$V$443</f>
        <v>28463.543292080158</v>
      </c>
      <c r="W446" s="131"/>
      <c r="X446" s="472">
        <f t="shared" si="169"/>
        <v>46000</v>
      </c>
      <c r="Y446" s="473">
        <f t="shared" si="170"/>
        <v>28500</v>
      </c>
      <c r="Z446" s="474">
        <f>IF(ISERROR(VLOOKUP(L446,Gegenstände!$B$2:$N$2026,13,FALSE)),0,VLOOKUP(L446,Gegenstände!$B$2:$N$2026,13,FALSE))</f>
        <v>270</v>
      </c>
      <c r="AA446" s="142">
        <f>IF(ISERROR(VLOOKUP(N446,Gegenstände!$B$2:$N$2026,13,FALSE)),0,VLOOKUP(N446,Gegenstände!$B$2:$N$2026,13,FALSE))</f>
        <v>80</v>
      </c>
      <c r="AB446" s="142">
        <f>IF(ISERROR(VLOOKUP(P446,Gegenstände!$B$2:$N$2026,13,FALSE)),0,VLOOKUP(P446,Gegenstände!$B$2:$N$2026,13,FALSE))</f>
        <v>200</v>
      </c>
      <c r="AC446" s="142">
        <f>IF(ISERROR(VLOOKUP(R446,Gegenstände!$B$2:$N$2026,13,FALSE)),0,VLOOKUP(R446,Gegenstände!$B$2:$N$2026,13,FALSE))</f>
        <v>0</v>
      </c>
      <c r="AD446" s="142">
        <f>IF(ISERROR(VLOOKUP(T446,Gegenstände!$B$2:$N$2026,13,FALSE)),0,VLOOKUP(T446,Gegenstände!$B$2:$N$2026,13,FALSE))</f>
        <v>3500</v>
      </c>
      <c r="AE446" s="475">
        <f t="shared" si="171"/>
        <v>9450</v>
      </c>
      <c r="AF446" s="476">
        <f t="shared" si="172"/>
        <v>9280</v>
      </c>
      <c r="AG446" s="128">
        <f t="shared" si="173"/>
        <v>0.33157894736842103</v>
      </c>
      <c r="AH446" s="128">
        <f t="shared" si="174"/>
        <v>0.3256140350877193</v>
      </c>
      <c r="AI446" s="129">
        <f>(AE446+AF446)/Y446</f>
        <v>0.65719298245614033</v>
      </c>
      <c r="AJ446" s="426">
        <f>Y446-(AE446+AF446)</f>
        <v>9770</v>
      </c>
      <c r="AK446" s="131">
        <f>(AJ446*60)/F446</f>
        <v>1085.5555555555557</v>
      </c>
      <c r="AL446" s="477">
        <f>AK446/VLOOKUP(IF(I446&gt;0,I446,1),Preise!$A$3:$B$27,2,FALSE)</f>
        <v>235.99033816425117</v>
      </c>
    </row>
    <row r="447" spans="1:38" s="3" customFormat="1" outlineLevel="1" x14ac:dyDescent="0.2">
      <c r="A447" s="5">
        <v>2164</v>
      </c>
      <c r="B447" s="412">
        <v>2164</v>
      </c>
      <c r="C447" s="132" t="str">
        <f>VLOOKUP(B447,Gegenstände!$A$2:$B$2026,2,FALSE)</f>
        <v>Obsidian-Kriegshammer</v>
      </c>
      <c r="D447" s="133">
        <f>VLOOKUP(B447,Gegenstände!$A$2:$D$2026,4,FALSE)</f>
        <v>25</v>
      </c>
      <c r="E447" s="468">
        <v>30</v>
      </c>
      <c r="F447" s="134">
        <v>540</v>
      </c>
      <c r="G447" s="54"/>
      <c r="H447" s="469">
        <v>59</v>
      </c>
      <c r="I447" s="12">
        <f t="shared" si="168"/>
        <v>24</v>
      </c>
      <c r="J447" s="417"/>
      <c r="K447" s="6">
        <v>52</v>
      </c>
      <c r="L447" s="1" t="s">
        <v>117</v>
      </c>
      <c r="M447" s="87">
        <v>6</v>
      </c>
      <c r="N447" s="83" t="s">
        <v>176</v>
      </c>
      <c r="O447" s="85">
        <v>8</v>
      </c>
      <c r="P447" s="83" t="s">
        <v>179</v>
      </c>
      <c r="Q447" s="85">
        <v>34</v>
      </c>
      <c r="R447" s="83" t="s">
        <v>181</v>
      </c>
      <c r="S447" s="170">
        <v>5</v>
      </c>
      <c r="T447" s="170" t="s">
        <v>36</v>
      </c>
      <c r="U447" s="471">
        <f>VLOOKUP(D447,Preise!$A$3:$C$28,3)</f>
        <v>28.625176191121408</v>
      </c>
      <c r="V447" s="523">
        <f>U447*$V$443</f>
        <v>57250.352382242818</v>
      </c>
      <c r="W447" s="131"/>
      <c r="X447" s="472">
        <f t="shared" si="169"/>
        <v>82300</v>
      </c>
      <c r="Y447" s="473">
        <f t="shared" si="170"/>
        <v>57300</v>
      </c>
      <c r="Z447" s="474">
        <f>IF(ISERROR(VLOOKUP(L447,Gegenstände!$B$2:$N$2026,13,FALSE)),0,VLOOKUP(L447,Gegenstände!$B$2:$N$2026,13,FALSE))</f>
        <v>360</v>
      </c>
      <c r="AA447" s="142">
        <f>IF(ISERROR(VLOOKUP(N447,Gegenstände!$B$2:$N$2026,13,FALSE)),0,VLOOKUP(N447,Gegenstände!$B$2:$N$2026,13,FALSE))</f>
        <v>80</v>
      </c>
      <c r="AB447" s="142">
        <f>IF(ISERROR(VLOOKUP(P447,Gegenstände!$B$2:$N$2026,13,FALSE)),0,VLOOKUP(P447,Gegenstände!$B$2:$N$2026,13,FALSE))</f>
        <v>200</v>
      </c>
      <c r="AC447" s="142">
        <f>IF(ISERROR(VLOOKUP(R447,Gegenstände!$B$2:$N$2026,13,FALSE)),0,VLOOKUP(R447,Gegenstände!$B$2:$N$2026,13,FALSE))</f>
        <v>500</v>
      </c>
      <c r="AD447" s="142">
        <f>IF(ISERROR(VLOOKUP(T447,Gegenstände!$B$2:$N$2026,13,FALSE)),0,VLOOKUP(T447,Gegenstände!$B$2:$N$2026,13,FALSE))</f>
        <v>5000</v>
      </c>
      <c r="AE447" s="475">
        <f t="shared" si="171"/>
        <v>18720</v>
      </c>
      <c r="AF447" s="476">
        <f t="shared" si="172"/>
        <v>19080</v>
      </c>
      <c r="AG447" s="128">
        <f t="shared" si="173"/>
        <v>0.32670157068062827</v>
      </c>
      <c r="AH447" s="128">
        <f t="shared" si="174"/>
        <v>0.33298429319371725</v>
      </c>
      <c r="AI447" s="129">
        <f>(AE447+AF447)/Y447</f>
        <v>0.65968586387434558</v>
      </c>
      <c r="AJ447" s="426">
        <f>Y447-(AE447+AF447)</f>
        <v>19500</v>
      </c>
      <c r="AK447" s="131">
        <f>(AJ447*60)/F447</f>
        <v>2166.6666666666665</v>
      </c>
      <c r="AL447" s="477">
        <f>AK447/VLOOKUP(IF(I447&gt;0,I447,1),Preise!$A$3:$B$27,2,FALSE)</f>
        <v>386.9047619047617</v>
      </c>
    </row>
    <row r="448" spans="1:38" s="3" customFormat="1" x14ac:dyDescent="0.2">
      <c r="A448" s="581"/>
      <c r="B448" s="399"/>
      <c r="C448" s="193"/>
      <c r="D448" s="194"/>
      <c r="E448" s="582"/>
      <c r="F448" s="197"/>
      <c r="G448" s="194"/>
      <c r="H448" s="583"/>
      <c r="I448" s="597"/>
      <c r="J448" s="585"/>
      <c r="K448" s="584"/>
      <c r="L448" s="192"/>
      <c r="M448" s="584"/>
      <c r="N448" s="192"/>
      <c r="O448" s="584"/>
      <c r="P448" s="192"/>
      <c r="Q448" s="584"/>
      <c r="R448" s="192"/>
      <c r="S448" s="586"/>
      <c r="T448" s="586"/>
      <c r="U448" s="598"/>
      <c r="V448" s="589">
        <v>2000</v>
      </c>
      <c r="W448" s="590"/>
      <c r="X448" s="606"/>
      <c r="Y448" s="607"/>
      <c r="Z448" s="400"/>
      <c r="AA448" s="193"/>
      <c r="AB448" s="193"/>
      <c r="AC448" s="193"/>
      <c r="AD448" s="601"/>
      <c r="AE448" s="602"/>
      <c r="AF448" s="603"/>
      <c r="AG448" s="604"/>
      <c r="AH448" s="604"/>
      <c r="AI448" s="594"/>
      <c r="AJ448" s="595"/>
      <c r="AK448" s="200"/>
      <c r="AL448" s="596"/>
    </row>
    <row r="449" spans="1:38" s="3" customFormat="1" outlineLevel="1" x14ac:dyDescent="0.2">
      <c r="A449" s="5">
        <v>2171</v>
      </c>
      <c r="B449" s="412">
        <v>2171</v>
      </c>
      <c r="C449" s="132" t="str">
        <f>VLOOKUP(B449,Gegenstände!$A$2:$B$2026,2,FALSE)</f>
        <v>Kristall-Pike</v>
      </c>
      <c r="D449" s="133">
        <f>VLOOKUP(B449,Gegenstände!$A$2:$D$2026,4,FALSE)</f>
        <v>4</v>
      </c>
      <c r="E449" s="468">
        <v>30</v>
      </c>
      <c r="F449" s="134">
        <v>540</v>
      </c>
      <c r="G449" s="54"/>
      <c r="H449" s="469">
        <v>60</v>
      </c>
      <c r="I449" s="12">
        <f t="shared" si="168"/>
        <v>3</v>
      </c>
      <c r="J449" s="417"/>
      <c r="K449" s="6">
        <v>16</v>
      </c>
      <c r="L449" s="1" t="s">
        <v>113</v>
      </c>
      <c r="M449" s="87">
        <v>12</v>
      </c>
      <c r="N449" s="83" t="s">
        <v>176</v>
      </c>
      <c r="O449" s="85"/>
      <c r="P449" s="83"/>
      <c r="Q449" s="85"/>
      <c r="R449" s="83"/>
      <c r="S449" s="170">
        <v>5</v>
      </c>
      <c r="T449" s="170" t="s">
        <v>237</v>
      </c>
      <c r="U449" s="471">
        <f>VLOOKUP(D449,Preise!$A$3:$C$28,3)</f>
        <v>1.5208749999999995</v>
      </c>
      <c r="V449" s="523">
        <f>U449*$V$448</f>
        <v>3041.7499999999991</v>
      </c>
      <c r="W449" s="131"/>
      <c r="X449" s="472">
        <f t="shared" si="169"/>
        <v>5500</v>
      </c>
      <c r="Y449" s="473">
        <f t="shared" si="170"/>
        <v>3000</v>
      </c>
      <c r="Z449" s="474">
        <f>IF(ISERROR(VLOOKUP(L449,Gegenstände!$B$2:$N$2026,13,FALSE)),0,VLOOKUP(L449,Gegenstände!$B$2:$N$2026,13,FALSE))</f>
        <v>60</v>
      </c>
      <c r="AA449" s="142">
        <f>IF(ISERROR(VLOOKUP(N449,Gegenstände!$B$2:$N$2026,13,FALSE)),0,VLOOKUP(N449,Gegenstände!$B$2:$N$2026,13,FALSE))</f>
        <v>80</v>
      </c>
      <c r="AB449" s="142">
        <f>IF(ISERROR(VLOOKUP(P449,Gegenstände!$B$2:$N$2026,13,FALSE)),0,VLOOKUP(P449,Gegenstände!$B$2:$N$2026,13,FALSE))</f>
        <v>0</v>
      </c>
      <c r="AC449" s="142">
        <f>IF(ISERROR(VLOOKUP(R449,Gegenstände!$B$2:$N$2026,13,FALSE)),0,VLOOKUP(R449,Gegenstände!$B$2:$N$2026,13,FALSE))</f>
        <v>0</v>
      </c>
      <c r="AD449" s="142">
        <f>IF(ISERROR(VLOOKUP(T449,Gegenstände!$B$2:$N$2026,13,FALSE)),0,VLOOKUP(T449,Gegenstände!$B$2:$N$2026,13,FALSE))</f>
        <v>500</v>
      </c>
      <c r="AE449" s="475">
        <f t="shared" si="171"/>
        <v>960</v>
      </c>
      <c r="AF449" s="476">
        <f t="shared" si="172"/>
        <v>960</v>
      </c>
      <c r="AG449" s="128">
        <f t="shared" si="173"/>
        <v>0.32</v>
      </c>
      <c r="AH449" s="128">
        <f t="shared" si="174"/>
        <v>0.32</v>
      </c>
      <c r="AI449" s="129">
        <f>(AE449+AF449)/Y449</f>
        <v>0.64</v>
      </c>
      <c r="AJ449" s="426">
        <f>Y449-(AE449+AF449)</f>
        <v>1080</v>
      </c>
      <c r="AK449" s="131">
        <f>(AJ449*60)/F449</f>
        <v>120</v>
      </c>
      <c r="AL449" s="477">
        <f>AK449/VLOOKUP(IF(I449&gt;0,I449,1),Preise!$A$3:$B$27,2,FALSE)</f>
        <v>85.714285714285722</v>
      </c>
    </row>
    <row r="450" spans="1:38" s="3" customFormat="1" outlineLevel="1" x14ac:dyDescent="0.2">
      <c r="A450" s="5">
        <v>2172</v>
      </c>
      <c r="B450" s="412">
        <v>2172</v>
      </c>
      <c r="C450" s="132" t="str">
        <f>VLOOKUP(B450,Gegenstände!$A$2:$B$2026,2,FALSE)</f>
        <v>Quarz-Pike</v>
      </c>
      <c r="D450" s="133">
        <f>VLOOKUP(B450,Gegenstände!$A$2:$D$2026,4,FALSE)</f>
        <v>9</v>
      </c>
      <c r="E450" s="468">
        <v>30</v>
      </c>
      <c r="F450" s="134">
        <v>540</v>
      </c>
      <c r="G450" s="54"/>
      <c r="H450" s="469">
        <v>60</v>
      </c>
      <c r="I450" s="12">
        <f t="shared" si="168"/>
        <v>8</v>
      </c>
      <c r="J450" s="417"/>
      <c r="K450" s="6">
        <v>16</v>
      </c>
      <c r="L450" s="1" t="s">
        <v>114</v>
      </c>
      <c r="M450" s="87">
        <v>25</v>
      </c>
      <c r="N450" s="83" t="s">
        <v>176</v>
      </c>
      <c r="O450" s="85"/>
      <c r="P450" s="83"/>
      <c r="Q450" s="85"/>
      <c r="R450" s="83"/>
      <c r="S450" s="170">
        <v>5</v>
      </c>
      <c r="T450" s="170" t="s">
        <v>238</v>
      </c>
      <c r="U450" s="471">
        <f>VLOOKUP(D450,Preise!$A$3:$C$28,3)</f>
        <v>3.0590228625390607</v>
      </c>
      <c r="V450" s="523">
        <f>U450*$V$448</f>
        <v>6118.0457250781219</v>
      </c>
      <c r="W450" s="131"/>
      <c r="X450" s="472">
        <f t="shared" si="169"/>
        <v>11100</v>
      </c>
      <c r="Y450" s="473">
        <f t="shared" si="170"/>
        <v>6100</v>
      </c>
      <c r="Z450" s="474">
        <f>IF(ISERROR(VLOOKUP(L450,Gegenstände!$B$2:$N$2026,13,FALSE)),0,VLOOKUP(L450,Gegenstände!$B$2:$N$2026,13,FALSE))</f>
        <v>120</v>
      </c>
      <c r="AA450" s="142">
        <f>IF(ISERROR(VLOOKUP(N450,Gegenstände!$B$2:$N$2026,13,FALSE)),0,VLOOKUP(N450,Gegenstände!$B$2:$N$2026,13,FALSE))</f>
        <v>80</v>
      </c>
      <c r="AB450" s="142">
        <f>IF(ISERROR(VLOOKUP(P450,Gegenstände!$B$2:$N$2026,13,FALSE)),0,VLOOKUP(P450,Gegenstände!$B$2:$N$2026,13,FALSE))</f>
        <v>0</v>
      </c>
      <c r="AC450" s="142">
        <f>IF(ISERROR(VLOOKUP(R450,Gegenstände!$B$2:$N$2026,13,FALSE)),0,VLOOKUP(R450,Gegenstände!$B$2:$N$2026,13,FALSE))</f>
        <v>0</v>
      </c>
      <c r="AD450" s="142">
        <f>IF(ISERROR(VLOOKUP(T450,Gegenstände!$B$2:$N$2026,13,FALSE)),0,VLOOKUP(T450,Gegenstände!$B$2:$N$2026,13,FALSE))</f>
        <v>1000</v>
      </c>
      <c r="AE450" s="475">
        <f t="shared" si="171"/>
        <v>1920</v>
      </c>
      <c r="AF450" s="476">
        <f t="shared" si="172"/>
        <v>2000</v>
      </c>
      <c r="AG450" s="128">
        <f t="shared" si="173"/>
        <v>0.31475409836065577</v>
      </c>
      <c r="AH450" s="128">
        <f t="shared" si="174"/>
        <v>0.32786885245901637</v>
      </c>
      <c r="AI450" s="129">
        <f>(AE450+AF450)/Y450</f>
        <v>0.64262295081967213</v>
      </c>
      <c r="AJ450" s="426">
        <f>Y450-(AE450+AF450)</f>
        <v>2180</v>
      </c>
      <c r="AK450" s="131">
        <f>(AJ450*60)/F450</f>
        <v>242.22222222222223</v>
      </c>
      <c r="AL450" s="477">
        <f>AK450/VLOOKUP(IF(I450&gt;0,I450,1),Preise!$A$3:$B$27,2,FALSE)</f>
        <v>100.92592592592594</v>
      </c>
    </row>
    <row r="451" spans="1:38" s="3" customFormat="1" outlineLevel="1" x14ac:dyDescent="0.2">
      <c r="A451" s="5">
        <v>2173</v>
      </c>
      <c r="B451" s="412">
        <v>2173</v>
      </c>
      <c r="C451" s="132" t="str">
        <f>VLOOKUP(B451,Gegenstände!$A$2:$B$2026,2,FALSE)</f>
        <v>Smaragd-Pike</v>
      </c>
      <c r="D451" s="133">
        <f>VLOOKUP(B451,Gegenstände!$A$2:$D$2026,4,FALSE)</f>
        <v>14</v>
      </c>
      <c r="E451" s="468">
        <v>30</v>
      </c>
      <c r="F451" s="134">
        <v>540</v>
      </c>
      <c r="G451" s="54"/>
      <c r="H451" s="469">
        <v>60</v>
      </c>
      <c r="I451" s="12">
        <f t="shared" si="168"/>
        <v>13</v>
      </c>
      <c r="J451" s="417"/>
      <c r="K451" s="6">
        <v>22</v>
      </c>
      <c r="L451" s="1" t="s">
        <v>115</v>
      </c>
      <c r="M451" s="87">
        <v>10</v>
      </c>
      <c r="N451" s="83" t="s">
        <v>176</v>
      </c>
      <c r="O451" s="85">
        <v>16</v>
      </c>
      <c r="P451" s="83" t="s">
        <v>179</v>
      </c>
      <c r="Q451" s="85"/>
      <c r="R451" s="83"/>
      <c r="S451" s="170">
        <v>5</v>
      </c>
      <c r="T451" s="170" t="s">
        <v>50</v>
      </c>
      <c r="U451" s="471">
        <f>VLOOKUP(D451,Preise!$A$3:$C$28,3)</f>
        <v>6.1527876212947623</v>
      </c>
      <c r="V451" s="523">
        <f>U451*$V$448</f>
        <v>12305.575242589524</v>
      </c>
      <c r="W451" s="131"/>
      <c r="X451" s="472">
        <f t="shared" si="169"/>
        <v>22300</v>
      </c>
      <c r="Y451" s="473">
        <f t="shared" si="170"/>
        <v>12300</v>
      </c>
      <c r="Z451" s="474">
        <f>IF(ISERROR(VLOOKUP(L451,Gegenstände!$B$2:$N$2026,13,FALSE)),0,VLOOKUP(L451,Gegenstände!$B$2:$N$2026,13,FALSE))</f>
        <v>180</v>
      </c>
      <c r="AA451" s="142">
        <f>IF(ISERROR(VLOOKUP(N451,Gegenstände!$B$2:$N$2026,13,FALSE)),0,VLOOKUP(N451,Gegenstände!$B$2:$N$2026,13,FALSE))</f>
        <v>80</v>
      </c>
      <c r="AB451" s="142">
        <f>IF(ISERROR(VLOOKUP(P451,Gegenstände!$B$2:$N$2026,13,FALSE)),0,VLOOKUP(P451,Gegenstände!$B$2:$N$2026,13,FALSE))</f>
        <v>200</v>
      </c>
      <c r="AC451" s="142">
        <f>IF(ISERROR(VLOOKUP(R451,Gegenstände!$B$2:$N$2026,13,FALSE)),0,VLOOKUP(R451,Gegenstände!$B$2:$N$2026,13,FALSE))</f>
        <v>0</v>
      </c>
      <c r="AD451" s="142">
        <f>IF(ISERROR(VLOOKUP(T451,Gegenstände!$B$2:$N$2026,13,FALSE)),0,VLOOKUP(T451,Gegenstände!$B$2:$N$2026,13,FALSE))</f>
        <v>2000</v>
      </c>
      <c r="AE451" s="475">
        <f t="shared" si="171"/>
        <v>3960</v>
      </c>
      <c r="AF451" s="476">
        <f t="shared" si="172"/>
        <v>4000</v>
      </c>
      <c r="AG451" s="128">
        <f t="shared" si="173"/>
        <v>0.32195121951219513</v>
      </c>
      <c r="AH451" s="128">
        <f t="shared" si="174"/>
        <v>0.32520325203252032</v>
      </c>
      <c r="AI451" s="129">
        <f>(AE451+AF451)/Y451</f>
        <v>0.64715447154471539</v>
      </c>
      <c r="AJ451" s="426">
        <f>Y451-(AE451+AF451)</f>
        <v>4340</v>
      </c>
      <c r="AK451" s="131">
        <f>(AJ451*60)/F451</f>
        <v>482.22222222222223</v>
      </c>
      <c r="AL451" s="477">
        <f>AK451/VLOOKUP(IF(I451&gt;0,I451,1),Preise!$A$3:$B$27,2,FALSE)</f>
        <v>141.83006535947709</v>
      </c>
    </row>
    <row r="452" spans="1:38" s="3" customFormat="1" outlineLevel="1" x14ac:dyDescent="0.2">
      <c r="A452" s="5">
        <v>2174</v>
      </c>
      <c r="B452" s="412">
        <v>2174</v>
      </c>
      <c r="C452" s="132" t="str">
        <f>VLOOKUP(B452,Gegenstände!$A$2:$B$2026,2,FALSE)</f>
        <v>Rubin-Pike</v>
      </c>
      <c r="D452" s="133">
        <f>VLOOKUP(B452,Gegenstände!$A$2:$D$2026,4,FALSE)</f>
        <v>19</v>
      </c>
      <c r="E452" s="468">
        <v>30</v>
      </c>
      <c r="F452" s="134">
        <v>540</v>
      </c>
      <c r="G452" s="54"/>
      <c r="H452" s="469">
        <v>60</v>
      </c>
      <c r="I452" s="12">
        <f t="shared" si="168"/>
        <v>18</v>
      </c>
      <c r="J452" s="417"/>
      <c r="K452" s="6">
        <v>30</v>
      </c>
      <c r="L452" s="1" t="s">
        <v>116</v>
      </c>
      <c r="M452" s="87">
        <v>14</v>
      </c>
      <c r="N452" s="83" t="s">
        <v>176</v>
      </c>
      <c r="O452" s="85">
        <v>35</v>
      </c>
      <c r="P452" s="83" t="s">
        <v>179</v>
      </c>
      <c r="Q452" s="85"/>
      <c r="R452" s="83"/>
      <c r="S452" s="170">
        <v>5</v>
      </c>
      <c r="T452" s="170" t="s">
        <v>44</v>
      </c>
      <c r="U452" s="471">
        <f>VLOOKUP(D452,Preise!$A$3:$C$28,3)</f>
        <v>12.375453605252243</v>
      </c>
      <c r="V452" s="523">
        <f>U452*$V$448</f>
        <v>24750.907210504487</v>
      </c>
      <c r="W452" s="131"/>
      <c r="X452" s="472">
        <f t="shared" si="169"/>
        <v>42300</v>
      </c>
      <c r="Y452" s="473">
        <f t="shared" si="170"/>
        <v>24800</v>
      </c>
      <c r="Z452" s="474">
        <f>IF(ISERROR(VLOOKUP(L452,Gegenstände!$B$2:$N$2026,13,FALSE)),0,VLOOKUP(L452,Gegenstände!$B$2:$N$2026,13,FALSE))</f>
        <v>270</v>
      </c>
      <c r="AA452" s="142">
        <f>IF(ISERROR(VLOOKUP(N452,Gegenstände!$B$2:$N$2026,13,FALSE)),0,VLOOKUP(N452,Gegenstände!$B$2:$N$2026,13,FALSE))</f>
        <v>80</v>
      </c>
      <c r="AB452" s="142">
        <f>IF(ISERROR(VLOOKUP(P452,Gegenstände!$B$2:$N$2026,13,FALSE)),0,VLOOKUP(P452,Gegenstände!$B$2:$N$2026,13,FALSE))</f>
        <v>200</v>
      </c>
      <c r="AC452" s="142">
        <f>IF(ISERROR(VLOOKUP(R452,Gegenstände!$B$2:$N$2026,13,FALSE)),0,VLOOKUP(R452,Gegenstände!$B$2:$N$2026,13,FALSE))</f>
        <v>0</v>
      </c>
      <c r="AD452" s="142">
        <f>IF(ISERROR(VLOOKUP(T452,Gegenstände!$B$2:$N$2026,13,FALSE)),0,VLOOKUP(T452,Gegenstände!$B$2:$N$2026,13,FALSE))</f>
        <v>3500</v>
      </c>
      <c r="AE452" s="475">
        <f t="shared" si="171"/>
        <v>8100</v>
      </c>
      <c r="AF452" s="476">
        <f t="shared" si="172"/>
        <v>8120</v>
      </c>
      <c r="AG452" s="128">
        <f t="shared" si="173"/>
        <v>0.32661290322580644</v>
      </c>
      <c r="AH452" s="128">
        <f t="shared" si="174"/>
        <v>0.32741935483870965</v>
      </c>
      <c r="AI452" s="129">
        <f>(AE452+AF452)/Y452</f>
        <v>0.65403225806451615</v>
      </c>
      <c r="AJ452" s="426">
        <f>Y452-(AE452+AF452)</f>
        <v>8580</v>
      </c>
      <c r="AK452" s="131">
        <f>(AJ452*60)/F452</f>
        <v>953.33333333333337</v>
      </c>
      <c r="AL452" s="477">
        <f>AK452/VLOOKUP(IF(I452&gt;0,I452,1),Preise!$A$3:$B$27,2,FALSE)</f>
        <v>216.6666666666666</v>
      </c>
    </row>
    <row r="453" spans="1:38" s="3" customFormat="1" outlineLevel="1" x14ac:dyDescent="0.2">
      <c r="A453" s="5">
        <v>2175</v>
      </c>
      <c r="B453" s="412">
        <v>2175</v>
      </c>
      <c r="C453" s="132" t="str">
        <f>VLOOKUP(B453,Gegenstände!$A$2:$B$2026,2,FALSE)</f>
        <v>Obsidian-Pike</v>
      </c>
      <c r="D453" s="133">
        <f>VLOOKUP(B453,Gegenstände!$A$2:$D$2026,4,FALSE)</f>
        <v>25</v>
      </c>
      <c r="E453" s="468">
        <v>30</v>
      </c>
      <c r="F453" s="134">
        <v>540</v>
      </c>
      <c r="G453" s="54"/>
      <c r="H453" s="469">
        <v>60</v>
      </c>
      <c r="I453" s="12">
        <f t="shared" si="168"/>
        <v>24</v>
      </c>
      <c r="J453" s="417"/>
      <c r="K453" s="6">
        <v>52</v>
      </c>
      <c r="L453" s="1" t="s">
        <v>117</v>
      </c>
      <c r="M453" s="87">
        <v>6</v>
      </c>
      <c r="N453" s="83" t="s">
        <v>176</v>
      </c>
      <c r="O453" s="85">
        <v>12</v>
      </c>
      <c r="P453" s="83" t="s">
        <v>179</v>
      </c>
      <c r="Q453" s="85">
        <v>32</v>
      </c>
      <c r="R453" s="83" t="s">
        <v>181</v>
      </c>
      <c r="S453" s="170">
        <v>5</v>
      </c>
      <c r="T453" s="170" t="s">
        <v>36</v>
      </c>
      <c r="U453" s="471">
        <f>VLOOKUP(D453,Preise!$A$3:$C$28,3)</f>
        <v>28.625176191121408</v>
      </c>
      <c r="V453" s="523">
        <f>U453*$V$448</f>
        <v>57250.352382242818</v>
      </c>
      <c r="W453" s="131"/>
      <c r="X453" s="472">
        <f t="shared" si="169"/>
        <v>82300</v>
      </c>
      <c r="Y453" s="473">
        <f t="shared" si="170"/>
        <v>57300</v>
      </c>
      <c r="Z453" s="474">
        <f>IF(ISERROR(VLOOKUP(L453,Gegenstände!$B$2:$N$2026,13,FALSE)),0,VLOOKUP(L453,Gegenstände!$B$2:$N$2026,13,FALSE))</f>
        <v>360</v>
      </c>
      <c r="AA453" s="142">
        <f>IF(ISERROR(VLOOKUP(N453,Gegenstände!$B$2:$N$2026,13,FALSE)),0,VLOOKUP(N453,Gegenstände!$B$2:$N$2026,13,FALSE))</f>
        <v>80</v>
      </c>
      <c r="AB453" s="142">
        <f>IF(ISERROR(VLOOKUP(P453,Gegenstände!$B$2:$N$2026,13,FALSE)),0,VLOOKUP(P453,Gegenstände!$B$2:$N$2026,13,FALSE))</f>
        <v>200</v>
      </c>
      <c r="AC453" s="142">
        <f>IF(ISERROR(VLOOKUP(R453,Gegenstände!$B$2:$N$2026,13,FALSE)),0,VLOOKUP(R453,Gegenstände!$B$2:$N$2026,13,FALSE))</f>
        <v>500</v>
      </c>
      <c r="AD453" s="142">
        <f>IF(ISERROR(VLOOKUP(T453,Gegenstände!$B$2:$N$2026,13,FALSE)),0,VLOOKUP(T453,Gegenstände!$B$2:$N$2026,13,FALSE))</f>
        <v>5000</v>
      </c>
      <c r="AE453" s="475">
        <f t="shared" si="171"/>
        <v>18720</v>
      </c>
      <c r="AF453" s="476">
        <f t="shared" si="172"/>
        <v>18880</v>
      </c>
      <c r="AG453" s="128">
        <f t="shared" si="173"/>
        <v>0.32670157068062827</v>
      </c>
      <c r="AH453" s="128">
        <f t="shared" si="174"/>
        <v>0.32949389179755673</v>
      </c>
      <c r="AI453" s="129">
        <f>(AE453+AF453)/Y453</f>
        <v>0.65619546247818494</v>
      </c>
      <c r="AJ453" s="426">
        <f>Y453-(AE453+AF453)</f>
        <v>19700</v>
      </c>
      <c r="AK453" s="131">
        <f>(AJ453*60)/F453</f>
        <v>2188.8888888888887</v>
      </c>
      <c r="AL453" s="477">
        <f>AK453/VLOOKUP(IF(I453&gt;0,I453,1),Preise!$A$3:$B$27,2,FALSE)</f>
        <v>390.87301587301567</v>
      </c>
    </row>
    <row r="454" spans="1:38" s="3" customFormat="1" x14ac:dyDescent="0.2">
      <c r="A454" s="581"/>
      <c r="B454" s="399"/>
      <c r="C454" s="193"/>
      <c r="D454" s="194"/>
      <c r="E454" s="582"/>
      <c r="F454" s="197"/>
      <c r="G454" s="194"/>
      <c r="H454" s="583"/>
      <c r="I454" s="597"/>
      <c r="J454" s="585"/>
      <c r="K454" s="584"/>
      <c r="L454" s="192"/>
      <c r="M454" s="584"/>
      <c r="N454" s="192"/>
      <c r="O454" s="584"/>
      <c r="P454" s="192"/>
      <c r="Q454" s="584"/>
      <c r="R454" s="192"/>
      <c r="S454" s="586"/>
      <c r="T454" s="586"/>
      <c r="U454" s="598"/>
      <c r="V454" s="589">
        <v>2000</v>
      </c>
      <c r="W454" s="590"/>
      <c r="X454" s="599"/>
      <c r="Y454" s="600"/>
      <c r="Z454" s="400"/>
      <c r="AA454" s="193"/>
      <c r="AB454" s="193"/>
      <c r="AC454" s="193"/>
      <c r="AD454" s="601"/>
      <c r="AE454" s="602"/>
      <c r="AF454" s="603"/>
      <c r="AG454" s="604"/>
      <c r="AH454" s="604"/>
      <c r="AI454" s="594"/>
      <c r="AJ454" s="595"/>
      <c r="AK454" s="200"/>
      <c r="AL454" s="596"/>
    </row>
    <row r="455" spans="1:38" s="3" customFormat="1" outlineLevel="1" x14ac:dyDescent="0.2">
      <c r="A455" s="5">
        <v>2181</v>
      </c>
      <c r="B455" s="412">
        <v>2181</v>
      </c>
      <c r="C455" s="132" t="str">
        <f>VLOOKUP(B455,Gegenstände!$A$2:$B$2026,2,FALSE)</f>
        <v>Achat-Bogen</v>
      </c>
      <c r="D455" s="133">
        <f>VLOOKUP(B455,Gegenstände!$A$2:$D$2026,4,FALSE)</f>
        <v>4</v>
      </c>
      <c r="E455" s="468">
        <v>32</v>
      </c>
      <c r="F455" s="134">
        <v>480</v>
      </c>
      <c r="G455" s="54"/>
      <c r="H455" s="469">
        <v>64</v>
      </c>
      <c r="I455" s="12">
        <f t="shared" si="168"/>
        <v>3</v>
      </c>
      <c r="J455" s="417"/>
      <c r="K455" s="6">
        <v>16</v>
      </c>
      <c r="L455" s="1" t="s">
        <v>139</v>
      </c>
      <c r="M455" s="87">
        <v>12</v>
      </c>
      <c r="N455" s="83" t="s">
        <v>182</v>
      </c>
      <c r="O455" s="85"/>
      <c r="P455" s="83"/>
      <c r="Q455" s="85"/>
      <c r="R455" s="83"/>
      <c r="S455" s="170">
        <v>5</v>
      </c>
      <c r="T455" s="170" t="s">
        <v>239</v>
      </c>
      <c r="U455" s="471">
        <f>VLOOKUP(D455,Preise!$A$3:$C$28,3)</f>
        <v>1.5208749999999995</v>
      </c>
      <c r="V455" s="523">
        <f>U455*$V$454</f>
        <v>3041.7499999999991</v>
      </c>
      <c r="W455" s="131"/>
      <c r="X455" s="472">
        <f t="shared" si="169"/>
        <v>5500</v>
      </c>
      <c r="Y455" s="473">
        <f t="shared" si="170"/>
        <v>3000</v>
      </c>
      <c r="Z455" s="474">
        <f>IF(ISERROR(VLOOKUP(L455,Gegenstände!$B$2:$N$2026,13,FALSE)),0,VLOOKUP(L455,Gegenstände!$B$2:$N$2026,13,FALSE))</f>
        <v>60</v>
      </c>
      <c r="AA455" s="142">
        <f>IF(ISERROR(VLOOKUP(N455,Gegenstände!$B$2:$N$2026,13,FALSE)),0,VLOOKUP(N455,Gegenstände!$B$2:$N$2026,13,FALSE))</f>
        <v>80</v>
      </c>
      <c r="AB455" s="142">
        <f>IF(ISERROR(VLOOKUP(P455,Gegenstände!$B$2:$N$2026,13,FALSE)),0,VLOOKUP(P455,Gegenstände!$B$2:$N$2026,13,FALSE))</f>
        <v>0</v>
      </c>
      <c r="AC455" s="142">
        <f>IF(ISERROR(VLOOKUP(R455,Gegenstände!$B$2:$N$2026,13,FALSE)),0,VLOOKUP(R455,Gegenstände!$B$2:$N$2026,13,FALSE))</f>
        <v>0</v>
      </c>
      <c r="AD455" s="142">
        <f>IF(ISERROR(VLOOKUP(T455,Gegenstände!$B$2:$N$2026,13,FALSE)),0,VLOOKUP(T455,Gegenstände!$B$2:$N$2026,13,FALSE))</f>
        <v>500</v>
      </c>
      <c r="AE455" s="475">
        <f t="shared" si="171"/>
        <v>960</v>
      </c>
      <c r="AF455" s="476">
        <f t="shared" si="172"/>
        <v>960</v>
      </c>
      <c r="AG455" s="128">
        <f t="shared" si="173"/>
        <v>0.32</v>
      </c>
      <c r="AH455" s="128">
        <f t="shared" si="174"/>
        <v>0.32</v>
      </c>
      <c r="AI455" s="129">
        <f>(AE455+AF455)/Y455</f>
        <v>0.64</v>
      </c>
      <c r="AJ455" s="426">
        <f>Y455-(AE455+AF455)</f>
        <v>1080</v>
      </c>
      <c r="AK455" s="131">
        <f>(AJ455*60)/F455</f>
        <v>135</v>
      </c>
      <c r="AL455" s="477">
        <f>AK455/VLOOKUP(IF(I455&gt;0,I455,1),Preise!$A$3:$B$27,2,FALSE)</f>
        <v>96.428571428571431</v>
      </c>
    </row>
    <row r="456" spans="1:38" s="3" customFormat="1" outlineLevel="1" x14ac:dyDescent="0.2">
      <c r="A456" s="5">
        <v>2182</v>
      </c>
      <c r="B456" s="412">
        <v>2182</v>
      </c>
      <c r="C456" s="132" t="str">
        <f>VLOOKUP(B456,Gegenstände!$A$2:$B$2026,2,FALSE)</f>
        <v>Topas-Bogen</v>
      </c>
      <c r="D456" s="133">
        <f>VLOOKUP(B456,Gegenstände!$A$2:$D$2026,4,FALSE)</f>
        <v>9</v>
      </c>
      <c r="E456" s="468">
        <v>32</v>
      </c>
      <c r="F456" s="134">
        <v>480</v>
      </c>
      <c r="G456" s="54"/>
      <c r="H456" s="469">
        <v>64</v>
      </c>
      <c r="I456" s="12">
        <f t="shared" si="168"/>
        <v>8</v>
      </c>
      <c r="J456" s="417"/>
      <c r="K456" s="6">
        <v>16</v>
      </c>
      <c r="L456" s="1" t="s">
        <v>140</v>
      </c>
      <c r="M456" s="87">
        <v>25</v>
      </c>
      <c r="N456" s="83" t="s">
        <v>182</v>
      </c>
      <c r="O456" s="85"/>
      <c r="P456" s="83"/>
      <c r="Q456" s="85"/>
      <c r="R456" s="83"/>
      <c r="S456" s="170">
        <v>5</v>
      </c>
      <c r="T456" s="170" t="s">
        <v>240</v>
      </c>
      <c r="U456" s="471">
        <f>VLOOKUP(D456,Preise!$A$3:$C$28,3)</f>
        <v>3.0590228625390607</v>
      </c>
      <c r="V456" s="523">
        <f>U456*$V$454</f>
        <v>6118.0457250781219</v>
      </c>
      <c r="W456" s="131"/>
      <c r="X456" s="472">
        <f t="shared" si="169"/>
        <v>11100</v>
      </c>
      <c r="Y456" s="473">
        <f t="shared" si="170"/>
        <v>6100</v>
      </c>
      <c r="Z456" s="474">
        <f>IF(ISERROR(VLOOKUP(L456,Gegenstände!$B$2:$N$2026,13,FALSE)),0,VLOOKUP(L456,Gegenstände!$B$2:$N$2026,13,FALSE))</f>
        <v>120</v>
      </c>
      <c r="AA456" s="142">
        <f>IF(ISERROR(VLOOKUP(N456,Gegenstände!$B$2:$N$2026,13,FALSE)),0,VLOOKUP(N456,Gegenstände!$B$2:$N$2026,13,FALSE))</f>
        <v>80</v>
      </c>
      <c r="AB456" s="142">
        <f>IF(ISERROR(VLOOKUP(P456,Gegenstände!$B$2:$N$2026,13,FALSE)),0,VLOOKUP(P456,Gegenstände!$B$2:$N$2026,13,FALSE))</f>
        <v>0</v>
      </c>
      <c r="AC456" s="142">
        <f>IF(ISERROR(VLOOKUP(R456,Gegenstände!$B$2:$N$2026,13,FALSE)),0,VLOOKUP(R456,Gegenstände!$B$2:$N$2026,13,FALSE))</f>
        <v>0</v>
      </c>
      <c r="AD456" s="142">
        <f>IF(ISERROR(VLOOKUP(T456,Gegenstände!$B$2:$N$2026,13,FALSE)),0,VLOOKUP(T456,Gegenstände!$B$2:$N$2026,13,FALSE))</f>
        <v>1000</v>
      </c>
      <c r="AE456" s="475">
        <f t="shared" si="171"/>
        <v>1920</v>
      </c>
      <c r="AF456" s="476">
        <f t="shared" si="172"/>
        <v>2000</v>
      </c>
      <c r="AG456" s="128">
        <f t="shared" si="173"/>
        <v>0.31475409836065577</v>
      </c>
      <c r="AH456" s="128">
        <f t="shared" si="174"/>
        <v>0.32786885245901637</v>
      </c>
      <c r="AI456" s="129">
        <f>(AE456+AF456)/Y456</f>
        <v>0.64262295081967213</v>
      </c>
      <c r="AJ456" s="426">
        <f>Y456-(AE456+AF456)</f>
        <v>2180</v>
      </c>
      <c r="AK456" s="131">
        <f>(AJ456*60)/F456</f>
        <v>272.5</v>
      </c>
      <c r="AL456" s="477">
        <f>AK456/VLOOKUP(IF(I456&gt;0,I456,1),Preise!$A$3:$B$27,2,FALSE)</f>
        <v>113.54166666666667</v>
      </c>
    </row>
    <row r="457" spans="1:38" s="3" customFormat="1" outlineLevel="1" x14ac:dyDescent="0.2">
      <c r="A457" s="5">
        <v>2183</v>
      </c>
      <c r="B457" s="412">
        <v>2183</v>
      </c>
      <c r="C457" s="132" t="str">
        <f>VLOOKUP(B457,Gegenstände!$A$2:$B$2026,2,FALSE)</f>
        <v>Saphir-Bogen</v>
      </c>
      <c r="D457" s="133">
        <f>VLOOKUP(B457,Gegenstände!$A$2:$D$2026,4,FALSE)</f>
        <v>14</v>
      </c>
      <c r="E457" s="468">
        <v>32</v>
      </c>
      <c r="F457" s="134">
        <v>480</v>
      </c>
      <c r="G457" s="54"/>
      <c r="H457" s="469">
        <v>64</v>
      </c>
      <c r="I457" s="12">
        <f t="shared" si="168"/>
        <v>13</v>
      </c>
      <c r="J457" s="417"/>
      <c r="K457" s="6">
        <v>22</v>
      </c>
      <c r="L457" s="1" t="s">
        <v>141</v>
      </c>
      <c r="M457" s="87">
        <v>10</v>
      </c>
      <c r="N457" s="83" t="s">
        <v>182</v>
      </c>
      <c r="O457" s="85">
        <v>16</v>
      </c>
      <c r="P457" s="83" t="s">
        <v>184</v>
      </c>
      <c r="Q457" s="85"/>
      <c r="R457" s="83"/>
      <c r="S457" s="170">
        <v>5</v>
      </c>
      <c r="T457" s="170" t="s">
        <v>241</v>
      </c>
      <c r="U457" s="471">
        <f>VLOOKUP(D457,Preise!$A$3:$C$28,3)</f>
        <v>6.1527876212947623</v>
      </c>
      <c r="V457" s="523">
        <f>U457*$V$454</f>
        <v>12305.575242589524</v>
      </c>
      <c r="W457" s="131"/>
      <c r="X457" s="472">
        <f t="shared" si="169"/>
        <v>22300</v>
      </c>
      <c r="Y457" s="473">
        <f t="shared" si="170"/>
        <v>12300</v>
      </c>
      <c r="Z457" s="474">
        <f>IF(ISERROR(VLOOKUP(L457,Gegenstände!$B$2:$N$2026,13,FALSE)),0,VLOOKUP(L457,Gegenstände!$B$2:$N$2026,13,FALSE))</f>
        <v>180</v>
      </c>
      <c r="AA457" s="142">
        <f>IF(ISERROR(VLOOKUP(N457,Gegenstände!$B$2:$N$2026,13,FALSE)),0,VLOOKUP(N457,Gegenstände!$B$2:$N$2026,13,FALSE))</f>
        <v>80</v>
      </c>
      <c r="AB457" s="142">
        <f>IF(ISERROR(VLOOKUP(P457,Gegenstände!$B$2:$N$2026,13,FALSE)),0,VLOOKUP(P457,Gegenstände!$B$2:$N$2026,13,FALSE))</f>
        <v>200</v>
      </c>
      <c r="AC457" s="142">
        <f>IF(ISERROR(VLOOKUP(R457,Gegenstände!$B$2:$N$2026,13,FALSE)),0,VLOOKUP(R457,Gegenstände!$B$2:$N$2026,13,FALSE))</f>
        <v>0</v>
      </c>
      <c r="AD457" s="142">
        <f>IF(ISERROR(VLOOKUP(T457,Gegenstände!$B$2:$N$2026,13,FALSE)),0,VLOOKUP(T457,Gegenstände!$B$2:$N$2026,13,FALSE))</f>
        <v>2000</v>
      </c>
      <c r="AE457" s="475">
        <f t="shared" si="171"/>
        <v>3960</v>
      </c>
      <c r="AF457" s="476">
        <f t="shared" si="172"/>
        <v>4000</v>
      </c>
      <c r="AG457" s="128">
        <f t="shared" si="173"/>
        <v>0.32195121951219513</v>
      </c>
      <c r="AH457" s="128">
        <f t="shared" si="174"/>
        <v>0.32520325203252032</v>
      </c>
      <c r="AI457" s="129">
        <f>(AE457+AF457)/Y457</f>
        <v>0.64715447154471539</v>
      </c>
      <c r="AJ457" s="426">
        <f>Y457-(AE457+AF457)</f>
        <v>4340</v>
      </c>
      <c r="AK457" s="131">
        <f>(AJ457*60)/F457</f>
        <v>542.5</v>
      </c>
      <c r="AL457" s="477">
        <f>AK457/VLOOKUP(IF(I457&gt;0,I457,1),Preise!$A$3:$B$27,2,FALSE)</f>
        <v>159.55882352941174</v>
      </c>
    </row>
    <row r="458" spans="1:38" s="3" customFormat="1" outlineLevel="1" x14ac:dyDescent="0.2">
      <c r="A458" s="5">
        <v>2184</v>
      </c>
      <c r="B458" s="412">
        <v>2184</v>
      </c>
      <c r="C458" s="132" t="str">
        <f>VLOOKUP(B458,Gegenstände!$A$2:$B$2026,2,FALSE)</f>
        <v>Lapis-Bogen</v>
      </c>
      <c r="D458" s="133">
        <f>VLOOKUP(B458,Gegenstände!$A$2:$D$2026,4,FALSE)</f>
        <v>19</v>
      </c>
      <c r="E458" s="468">
        <v>32</v>
      </c>
      <c r="F458" s="134">
        <v>480</v>
      </c>
      <c r="G458" s="54"/>
      <c r="H458" s="469">
        <v>64</v>
      </c>
      <c r="I458" s="12">
        <f t="shared" si="168"/>
        <v>18</v>
      </c>
      <c r="J458" s="417"/>
      <c r="K458" s="6">
        <v>30</v>
      </c>
      <c r="L458" s="1" t="s">
        <v>142</v>
      </c>
      <c r="M458" s="87">
        <v>14</v>
      </c>
      <c r="N458" s="83" t="s">
        <v>182</v>
      </c>
      <c r="O458" s="85">
        <v>35</v>
      </c>
      <c r="P458" s="83" t="s">
        <v>184</v>
      </c>
      <c r="Q458" s="85"/>
      <c r="R458" s="83"/>
      <c r="S458" s="170">
        <v>5</v>
      </c>
      <c r="T458" s="170" t="s">
        <v>242</v>
      </c>
      <c r="U458" s="471">
        <f>VLOOKUP(D458,Preise!$A$3:$C$28,3)</f>
        <v>12.375453605252243</v>
      </c>
      <c r="V458" s="523">
        <f>U458*$V$454</f>
        <v>24750.907210504487</v>
      </c>
      <c r="W458" s="131"/>
      <c r="X458" s="472">
        <f t="shared" si="169"/>
        <v>42300</v>
      </c>
      <c r="Y458" s="473">
        <f t="shared" si="170"/>
        <v>24800</v>
      </c>
      <c r="Z458" s="474">
        <f>IF(ISERROR(VLOOKUP(L458,Gegenstände!$B$2:$N$2026,13,FALSE)),0,VLOOKUP(L458,Gegenstände!$B$2:$N$2026,13,FALSE))</f>
        <v>270</v>
      </c>
      <c r="AA458" s="142">
        <f>IF(ISERROR(VLOOKUP(N458,Gegenstände!$B$2:$N$2026,13,FALSE)),0,VLOOKUP(N458,Gegenstände!$B$2:$N$2026,13,FALSE))</f>
        <v>80</v>
      </c>
      <c r="AB458" s="142">
        <f>IF(ISERROR(VLOOKUP(P458,Gegenstände!$B$2:$N$2026,13,FALSE)),0,VLOOKUP(P458,Gegenstände!$B$2:$N$2026,13,FALSE))</f>
        <v>200</v>
      </c>
      <c r="AC458" s="142">
        <f>IF(ISERROR(VLOOKUP(R458,Gegenstände!$B$2:$N$2026,13,FALSE)),0,VLOOKUP(R458,Gegenstände!$B$2:$N$2026,13,FALSE))</f>
        <v>0</v>
      </c>
      <c r="AD458" s="142">
        <f>IF(ISERROR(VLOOKUP(T458,Gegenstände!$B$2:$N$2026,13,FALSE)),0,VLOOKUP(T458,Gegenstände!$B$2:$N$2026,13,FALSE))</f>
        <v>3500</v>
      </c>
      <c r="AE458" s="475">
        <f t="shared" si="171"/>
        <v>8100</v>
      </c>
      <c r="AF458" s="476">
        <f t="shared" si="172"/>
        <v>8120</v>
      </c>
      <c r="AG458" s="128">
        <f t="shared" si="173"/>
        <v>0.32661290322580644</v>
      </c>
      <c r="AH458" s="128">
        <f t="shared" si="174"/>
        <v>0.32741935483870965</v>
      </c>
      <c r="AI458" s="129">
        <f>(AE458+AF458)/Y458</f>
        <v>0.65403225806451615</v>
      </c>
      <c r="AJ458" s="426">
        <f>Y458-(AE458+AF458)</f>
        <v>8580</v>
      </c>
      <c r="AK458" s="131">
        <f>(AJ458*60)/F458</f>
        <v>1072.5</v>
      </c>
      <c r="AL458" s="477">
        <f>AK458/VLOOKUP(IF(I458&gt;0,I458,1),Preise!$A$3:$B$27,2,FALSE)</f>
        <v>243.74999999999994</v>
      </c>
    </row>
    <row r="459" spans="1:38" s="3" customFormat="1" outlineLevel="1" x14ac:dyDescent="0.2">
      <c r="A459" s="345">
        <v>2185</v>
      </c>
      <c r="B459" s="412">
        <v>2185</v>
      </c>
      <c r="C459" s="132" t="str">
        <f>VLOOKUP(B459,Gegenstände!$A$2:$B$2026,2,FALSE)</f>
        <v>Diamant-Bogen</v>
      </c>
      <c r="D459" s="133">
        <f>VLOOKUP(B459,Gegenstände!$A$2:$D$2026,4,FALSE)</f>
        <v>25</v>
      </c>
      <c r="E459" s="468">
        <v>32</v>
      </c>
      <c r="F459" s="134">
        <v>480</v>
      </c>
      <c r="G459" s="54"/>
      <c r="H459" s="469">
        <v>64</v>
      </c>
      <c r="I459" s="12">
        <f t="shared" si="168"/>
        <v>24</v>
      </c>
      <c r="J459" s="417"/>
      <c r="K459" s="6">
        <v>52</v>
      </c>
      <c r="L459" s="1" t="s">
        <v>143</v>
      </c>
      <c r="M459" s="87">
        <v>6</v>
      </c>
      <c r="N459" s="83" t="s">
        <v>182</v>
      </c>
      <c r="O459" s="85">
        <v>12</v>
      </c>
      <c r="P459" s="83" t="s">
        <v>184</v>
      </c>
      <c r="Q459" s="85">
        <v>32</v>
      </c>
      <c r="R459" s="83" t="s">
        <v>181</v>
      </c>
      <c r="S459" s="170">
        <v>5</v>
      </c>
      <c r="T459" s="170" t="s">
        <v>243</v>
      </c>
      <c r="U459" s="471">
        <f>VLOOKUP(D459,Preise!$A$3:$C$28,3)</f>
        <v>28.625176191121408</v>
      </c>
      <c r="V459" s="523">
        <f>U459*$V$454</f>
        <v>57250.352382242818</v>
      </c>
      <c r="W459" s="131"/>
      <c r="X459" s="472">
        <f t="shared" si="169"/>
        <v>82300</v>
      </c>
      <c r="Y459" s="473">
        <f t="shared" si="170"/>
        <v>57300</v>
      </c>
      <c r="Z459" s="474">
        <f>IF(ISERROR(VLOOKUP(L459,Gegenstände!$B$2:$N$2026,13,FALSE)),0,VLOOKUP(L459,Gegenstände!$B$2:$N$2026,13,FALSE))</f>
        <v>360</v>
      </c>
      <c r="AA459" s="142">
        <f>IF(ISERROR(VLOOKUP(N459,Gegenstände!$B$2:$N$2026,13,FALSE)),0,VLOOKUP(N459,Gegenstände!$B$2:$N$2026,13,FALSE))</f>
        <v>80</v>
      </c>
      <c r="AB459" s="142">
        <f>IF(ISERROR(VLOOKUP(P459,Gegenstände!$B$2:$N$2026,13,FALSE)),0,VLOOKUP(P459,Gegenstände!$B$2:$N$2026,13,FALSE))</f>
        <v>200</v>
      </c>
      <c r="AC459" s="142">
        <f>IF(ISERROR(VLOOKUP(R459,Gegenstände!$B$2:$N$2026,13,FALSE)),0,VLOOKUP(R459,Gegenstände!$B$2:$N$2026,13,FALSE))</f>
        <v>500</v>
      </c>
      <c r="AD459" s="142">
        <f>IF(ISERROR(VLOOKUP(T459,Gegenstände!$B$2:$N$2026,13,FALSE)),0,VLOOKUP(T459,Gegenstände!$B$2:$N$2026,13,FALSE))</f>
        <v>5000</v>
      </c>
      <c r="AE459" s="475">
        <f t="shared" si="171"/>
        <v>18720</v>
      </c>
      <c r="AF459" s="476">
        <f t="shared" si="172"/>
        <v>18880</v>
      </c>
      <c r="AG459" s="128">
        <f t="shared" si="173"/>
        <v>0.32670157068062827</v>
      </c>
      <c r="AH459" s="128">
        <f t="shared" si="174"/>
        <v>0.32949389179755673</v>
      </c>
      <c r="AI459" s="129">
        <f>(AE459+AF459)/Y459</f>
        <v>0.65619546247818494</v>
      </c>
      <c r="AJ459" s="426">
        <f>Y459-(AE459+AF459)</f>
        <v>19700</v>
      </c>
      <c r="AK459" s="131">
        <f>(AJ459*60)/F459</f>
        <v>2462.5</v>
      </c>
      <c r="AL459" s="477">
        <f>AK459/VLOOKUP(IF(I459&gt;0,I459,1),Preise!$A$3:$B$27,2,FALSE)</f>
        <v>439.73214285714266</v>
      </c>
    </row>
    <row r="460" spans="1:38" s="3" customFormat="1" x14ac:dyDescent="0.2">
      <c r="A460" s="581"/>
      <c r="B460" s="399"/>
      <c r="C460" s="193"/>
      <c r="D460" s="194"/>
      <c r="E460" s="582"/>
      <c r="F460" s="197"/>
      <c r="G460" s="194"/>
      <c r="H460" s="583"/>
      <c r="I460" s="597"/>
      <c r="J460" s="585"/>
      <c r="K460" s="584"/>
      <c r="L460" s="192"/>
      <c r="M460" s="584"/>
      <c r="N460" s="192"/>
      <c r="O460" s="584"/>
      <c r="P460" s="192"/>
      <c r="Q460" s="584"/>
      <c r="R460" s="192"/>
      <c r="S460" s="586"/>
      <c r="T460" s="586"/>
      <c r="U460" s="598"/>
      <c r="V460" s="589">
        <v>2000</v>
      </c>
      <c r="W460" s="590"/>
      <c r="X460" s="599"/>
      <c r="Y460" s="600"/>
      <c r="Z460" s="400"/>
      <c r="AA460" s="193"/>
      <c r="AB460" s="193"/>
      <c r="AC460" s="193"/>
      <c r="AD460" s="601"/>
      <c r="AE460" s="602"/>
      <c r="AF460" s="603"/>
      <c r="AG460" s="604"/>
      <c r="AH460" s="604"/>
      <c r="AI460" s="594"/>
      <c r="AJ460" s="595"/>
      <c r="AK460" s="200"/>
      <c r="AL460" s="596"/>
    </row>
    <row r="461" spans="1:38" s="3" customFormat="1" outlineLevel="1" x14ac:dyDescent="0.2">
      <c r="A461" s="5">
        <v>2191</v>
      </c>
      <c r="B461" s="412">
        <v>2191</v>
      </c>
      <c r="C461" s="132" t="str">
        <f>VLOOKUP(B461,Gegenstände!$A$2:$B$2026,2,FALSE)</f>
        <v>Achat-Armbrust</v>
      </c>
      <c r="D461" s="133">
        <f>VLOOKUP(B461,Gegenstände!$A$2:$D$2026,4,FALSE)</f>
        <v>4</v>
      </c>
      <c r="E461" s="468">
        <v>32</v>
      </c>
      <c r="F461" s="134">
        <v>480</v>
      </c>
      <c r="G461" s="54"/>
      <c r="H461" s="469">
        <v>65</v>
      </c>
      <c r="I461" s="12">
        <f t="shared" si="168"/>
        <v>3</v>
      </c>
      <c r="J461" s="417"/>
      <c r="K461" s="6">
        <v>16</v>
      </c>
      <c r="L461" s="1" t="s">
        <v>139</v>
      </c>
      <c r="M461" s="87">
        <v>12</v>
      </c>
      <c r="N461" s="83" t="s">
        <v>182</v>
      </c>
      <c r="O461" s="85"/>
      <c r="P461" s="83"/>
      <c r="Q461" s="85"/>
      <c r="R461" s="83"/>
      <c r="S461" s="170">
        <v>5</v>
      </c>
      <c r="T461" s="170" t="s">
        <v>239</v>
      </c>
      <c r="U461" s="471">
        <f>VLOOKUP(D461,Preise!$A$3:$C$28,3)</f>
        <v>1.5208749999999995</v>
      </c>
      <c r="V461" s="523">
        <f>U461*$V$460</f>
        <v>3041.7499999999991</v>
      </c>
      <c r="W461" s="131"/>
      <c r="X461" s="472">
        <f t="shared" si="169"/>
        <v>5500</v>
      </c>
      <c r="Y461" s="473">
        <f t="shared" si="170"/>
        <v>3000</v>
      </c>
      <c r="Z461" s="474">
        <f>IF(ISERROR(VLOOKUP(L461,Gegenstände!$B$2:$N$2026,13,FALSE)),0,VLOOKUP(L461,Gegenstände!$B$2:$N$2026,13,FALSE))</f>
        <v>60</v>
      </c>
      <c r="AA461" s="142">
        <f>IF(ISERROR(VLOOKUP(N461,Gegenstände!$B$2:$N$2026,13,FALSE)),0,VLOOKUP(N461,Gegenstände!$B$2:$N$2026,13,FALSE))</f>
        <v>80</v>
      </c>
      <c r="AB461" s="142">
        <f>IF(ISERROR(VLOOKUP(P461,Gegenstände!$B$2:$N$2026,13,FALSE)),0,VLOOKUP(P461,Gegenstände!$B$2:$N$2026,13,FALSE))</f>
        <v>0</v>
      </c>
      <c r="AC461" s="142">
        <f>IF(ISERROR(VLOOKUP(R461,Gegenstände!$B$2:$N$2026,13,FALSE)),0,VLOOKUP(R461,Gegenstände!$B$2:$N$2026,13,FALSE))</f>
        <v>0</v>
      </c>
      <c r="AD461" s="142">
        <f>IF(ISERROR(VLOOKUP(T461,Gegenstände!$B$2:$N$2026,13,FALSE)),0,VLOOKUP(T461,Gegenstände!$B$2:$N$2026,13,FALSE))</f>
        <v>500</v>
      </c>
      <c r="AE461" s="475">
        <f t="shared" si="171"/>
        <v>960</v>
      </c>
      <c r="AF461" s="476">
        <f t="shared" si="172"/>
        <v>960</v>
      </c>
      <c r="AG461" s="128">
        <f t="shared" si="173"/>
        <v>0.32</v>
      </c>
      <c r="AH461" s="128">
        <f t="shared" si="174"/>
        <v>0.32</v>
      </c>
      <c r="AI461" s="129">
        <f>(AE461+AF461)/Y461</f>
        <v>0.64</v>
      </c>
      <c r="AJ461" s="426">
        <f>Y461-(AE461+AF461)</f>
        <v>1080</v>
      </c>
      <c r="AK461" s="131">
        <f>(AJ461*60)/F461</f>
        <v>135</v>
      </c>
      <c r="AL461" s="477">
        <f>AK461/VLOOKUP(IF(I461&gt;0,I461,1),Preise!$A$3:$B$27,2,FALSE)</f>
        <v>96.428571428571431</v>
      </c>
    </row>
    <row r="462" spans="1:38" s="3" customFormat="1" outlineLevel="1" x14ac:dyDescent="0.2">
      <c r="A462" s="5">
        <v>2192</v>
      </c>
      <c r="B462" s="412">
        <v>2192</v>
      </c>
      <c r="C462" s="132" t="str">
        <f>VLOOKUP(B462,Gegenstände!$A$2:$B$2026,2,FALSE)</f>
        <v>Topas-Armbrust</v>
      </c>
      <c r="D462" s="133">
        <f>VLOOKUP(B462,Gegenstände!$A$2:$D$2026,4,FALSE)</f>
        <v>9</v>
      </c>
      <c r="E462" s="468">
        <v>32</v>
      </c>
      <c r="F462" s="134">
        <v>480</v>
      </c>
      <c r="G462" s="54"/>
      <c r="H462" s="469">
        <v>65</v>
      </c>
      <c r="I462" s="12">
        <f t="shared" si="168"/>
        <v>8</v>
      </c>
      <c r="J462" s="417"/>
      <c r="K462" s="6">
        <v>16</v>
      </c>
      <c r="L462" s="1" t="s">
        <v>140</v>
      </c>
      <c r="M462" s="87">
        <v>25</v>
      </c>
      <c r="N462" s="83" t="s">
        <v>182</v>
      </c>
      <c r="O462" s="85"/>
      <c r="P462" s="83"/>
      <c r="Q462" s="85"/>
      <c r="R462" s="83"/>
      <c r="S462" s="170">
        <v>5</v>
      </c>
      <c r="T462" s="170" t="s">
        <v>240</v>
      </c>
      <c r="U462" s="471">
        <f>VLOOKUP(D462,Preise!$A$3:$C$28,3)</f>
        <v>3.0590228625390607</v>
      </c>
      <c r="V462" s="523">
        <f>U462*$V$460</f>
        <v>6118.0457250781219</v>
      </c>
      <c r="W462" s="131"/>
      <c r="X462" s="472">
        <f t="shared" si="169"/>
        <v>11100</v>
      </c>
      <c r="Y462" s="473">
        <f t="shared" si="170"/>
        <v>6100</v>
      </c>
      <c r="Z462" s="474">
        <f>IF(ISERROR(VLOOKUP(L462,Gegenstände!$B$2:$N$2026,13,FALSE)),0,VLOOKUP(L462,Gegenstände!$B$2:$N$2026,13,FALSE))</f>
        <v>120</v>
      </c>
      <c r="AA462" s="142">
        <f>IF(ISERROR(VLOOKUP(N462,Gegenstände!$B$2:$N$2026,13,FALSE)),0,VLOOKUP(N462,Gegenstände!$B$2:$N$2026,13,FALSE))</f>
        <v>80</v>
      </c>
      <c r="AB462" s="142">
        <f>IF(ISERROR(VLOOKUP(P462,Gegenstände!$B$2:$N$2026,13,FALSE)),0,VLOOKUP(P462,Gegenstände!$B$2:$N$2026,13,FALSE))</f>
        <v>0</v>
      </c>
      <c r="AC462" s="142">
        <f>IF(ISERROR(VLOOKUP(R462,Gegenstände!$B$2:$N$2026,13,FALSE)),0,VLOOKUP(R462,Gegenstände!$B$2:$N$2026,13,FALSE))</f>
        <v>0</v>
      </c>
      <c r="AD462" s="142">
        <f>IF(ISERROR(VLOOKUP(T462,Gegenstände!$B$2:$N$2026,13,FALSE)),0,VLOOKUP(T462,Gegenstände!$B$2:$N$2026,13,FALSE))</f>
        <v>1000</v>
      </c>
      <c r="AE462" s="475">
        <f t="shared" si="171"/>
        <v>1920</v>
      </c>
      <c r="AF462" s="476">
        <f t="shared" si="172"/>
        <v>2000</v>
      </c>
      <c r="AG462" s="128">
        <f t="shared" si="173"/>
        <v>0.31475409836065577</v>
      </c>
      <c r="AH462" s="128">
        <f t="shared" si="174"/>
        <v>0.32786885245901637</v>
      </c>
      <c r="AI462" s="129">
        <f>(AE462+AF462)/Y462</f>
        <v>0.64262295081967213</v>
      </c>
      <c r="AJ462" s="426">
        <f>Y462-(AE462+AF462)</f>
        <v>2180</v>
      </c>
      <c r="AK462" s="131">
        <f>(AJ462*60)/F462</f>
        <v>272.5</v>
      </c>
      <c r="AL462" s="477">
        <f>AK462/VLOOKUP(IF(I462&gt;0,I462,1),Preise!$A$3:$B$27,2,FALSE)</f>
        <v>113.54166666666667</v>
      </c>
    </row>
    <row r="463" spans="1:38" s="3" customFormat="1" outlineLevel="1" x14ac:dyDescent="0.2">
      <c r="A463" s="5">
        <v>2193</v>
      </c>
      <c r="B463" s="412">
        <v>2193</v>
      </c>
      <c r="C463" s="132" t="str">
        <f>VLOOKUP(B463,Gegenstände!$A$2:$B$2026,2,FALSE)</f>
        <v>Saphir-Armbrust</v>
      </c>
      <c r="D463" s="133">
        <f>VLOOKUP(B463,Gegenstände!$A$2:$D$2026,4,FALSE)</f>
        <v>14</v>
      </c>
      <c r="E463" s="468">
        <v>32</v>
      </c>
      <c r="F463" s="134">
        <v>480</v>
      </c>
      <c r="G463" s="54"/>
      <c r="H463" s="469">
        <v>65</v>
      </c>
      <c r="I463" s="12">
        <f t="shared" si="168"/>
        <v>13</v>
      </c>
      <c r="J463" s="417"/>
      <c r="K463" s="6">
        <v>22</v>
      </c>
      <c r="L463" s="1" t="s">
        <v>141</v>
      </c>
      <c r="M463" s="87">
        <v>10</v>
      </c>
      <c r="N463" s="83" t="s">
        <v>182</v>
      </c>
      <c r="O463" s="85">
        <v>16</v>
      </c>
      <c r="P463" s="83" t="s">
        <v>184</v>
      </c>
      <c r="Q463" s="85"/>
      <c r="R463" s="83"/>
      <c r="S463" s="170">
        <v>5</v>
      </c>
      <c r="T463" s="170" t="s">
        <v>241</v>
      </c>
      <c r="U463" s="471">
        <f>VLOOKUP(D463,Preise!$A$3:$C$28,3)</f>
        <v>6.1527876212947623</v>
      </c>
      <c r="V463" s="523">
        <f>U463*$V$460</f>
        <v>12305.575242589524</v>
      </c>
      <c r="W463" s="131"/>
      <c r="X463" s="472">
        <f t="shared" si="169"/>
        <v>22300</v>
      </c>
      <c r="Y463" s="473">
        <f t="shared" si="170"/>
        <v>12300</v>
      </c>
      <c r="Z463" s="474">
        <f>IF(ISERROR(VLOOKUP(L463,Gegenstände!$B$2:$N$2026,13,FALSE)),0,VLOOKUP(L463,Gegenstände!$B$2:$N$2026,13,FALSE))</f>
        <v>180</v>
      </c>
      <c r="AA463" s="142">
        <f>IF(ISERROR(VLOOKUP(N463,Gegenstände!$B$2:$N$2026,13,FALSE)),0,VLOOKUP(N463,Gegenstände!$B$2:$N$2026,13,FALSE))</f>
        <v>80</v>
      </c>
      <c r="AB463" s="142">
        <f>IF(ISERROR(VLOOKUP(P463,Gegenstände!$B$2:$N$2026,13,FALSE)),0,VLOOKUP(P463,Gegenstände!$B$2:$N$2026,13,FALSE))</f>
        <v>200</v>
      </c>
      <c r="AC463" s="142">
        <f>IF(ISERROR(VLOOKUP(R463,Gegenstände!$B$2:$N$2026,13,FALSE)),0,VLOOKUP(R463,Gegenstände!$B$2:$N$2026,13,FALSE))</f>
        <v>0</v>
      </c>
      <c r="AD463" s="142">
        <f>IF(ISERROR(VLOOKUP(T463,Gegenstände!$B$2:$N$2026,13,FALSE)),0,VLOOKUP(T463,Gegenstände!$B$2:$N$2026,13,FALSE))</f>
        <v>2000</v>
      </c>
      <c r="AE463" s="475">
        <f t="shared" si="171"/>
        <v>3960</v>
      </c>
      <c r="AF463" s="476">
        <f t="shared" si="172"/>
        <v>4000</v>
      </c>
      <c r="AG463" s="128">
        <f t="shared" si="173"/>
        <v>0.32195121951219513</v>
      </c>
      <c r="AH463" s="128">
        <f t="shared" si="174"/>
        <v>0.32520325203252032</v>
      </c>
      <c r="AI463" s="129">
        <f>(AE463+AF463)/Y463</f>
        <v>0.64715447154471539</v>
      </c>
      <c r="AJ463" s="426">
        <f>Y463-(AE463+AF463)</f>
        <v>4340</v>
      </c>
      <c r="AK463" s="131">
        <f>(AJ463*60)/F463</f>
        <v>542.5</v>
      </c>
      <c r="AL463" s="477">
        <f>AK463/VLOOKUP(IF(I463&gt;0,I463,1),Preise!$A$3:$B$27,2,FALSE)</f>
        <v>159.55882352941174</v>
      </c>
    </row>
    <row r="464" spans="1:38" s="3" customFormat="1" outlineLevel="1" x14ac:dyDescent="0.2">
      <c r="A464" s="5">
        <v>2194</v>
      </c>
      <c r="B464" s="412">
        <v>2194</v>
      </c>
      <c r="C464" s="132" t="str">
        <f>VLOOKUP(B464,Gegenstände!$A$2:$B$2026,2,FALSE)</f>
        <v>Lapis-Armbrust</v>
      </c>
      <c r="D464" s="133">
        <f>VLOOKUP(B464,Gegenstände!$A$2:$D$2026,4,FALSE)</f>
        <v>19</v>
      </c>
      <c r="E464" s="468">
        <v>32</v>
      </c>
      <c r="F464" s="134">
        <v>480</v>
      </c>
      <c r="G464" s="54"/>
      <c r="H464" s="469">
        <v>65</v>
      </c>
      <c r="I464" s="12">
        <f t="shared" si="168"/>
        <v>18</v>
      </c>
      <c r="J464" s="417"/>
      <c r="K464" s="6">
        <v>30</v>
      </c>
      <c r="L464" s="1" t="s">
        <v>142</v>
      </c>
      <c r="M464" s="87">
        <v>14</v>
      </c>
      <c r="N464" s="83" t="s">
        <v>182</v>
      </c>
      <c r="O464" s="85">
        <v>35</v>
      </c>
      <c r="P464" s="83" t="s">
        <v>184</v>
      </c>
      <c r="Q464" s="85"/>
      <c r="R464" s="83"/>
      <c r="S464" s="170">
        <v>5</v>
      </c>
      <c r="T464" s="170" t="s">
        <v>242</v>
      </c>
      <c r="U464" s="471">
        <f>VLOOKUP(D464,Preise!$A$3:$C$28,3)</f>
        <v>12.375453605252243</v>
      </c>
      <c r="V464" s="523">
        <f>U464*$V$460</f>
        <v>24750.907210504487</v>
      </c>
      <c r="W464" s="131"/>
      <c r="X464" s="472">
        <f t="shared" si="169"/>
        <v>42300</v>
      </c>
      <c r="Y464" s="473">
        <f t="shared" si="170"/>
        <v>24800</v>
      </c>
      <c r="Z464" s="474">
        <f>IF(ISERROR(VLOOKUP(L464,Gegenstände!$B$2:$N$2026,13,FALSE)),0,VLOOKUP(L464,Gegenstände!$B$2:$N$2026,13,FALSE))</f>
        <v>270</v>
      </c>
      <c r="AA464" s="142">
        <f>IF(ISERROR(VLOOKUP(N464,Gegenstände!$B$2:$N$2026,13,FALSE)),0,VLOOKUP(N464,Gegenstände!$B$2:$N$2026,13,FALSE))</f>
        <v>80</v>
      </c>
      <c r="AB464" s="142">
        <f>IF(ISERROR(VLOOKUP(P464,Gegenstände!$B$2:$N$2026,13,FALSE)),0,VLOOKUP(P464,Gegenstände!$B$2:$N$2026,13,FALSE))</f>
        <v>200</v>
      </c>
      <c r="AC464" s="142">
        <f>IF(ISERROR(VLOOKUP(R464,Gegenstände!$B$2:$N$2026,13,FALSE)),0,VLOOKUP(R464,Gegenstände!$B$2:$N$2026,13,FALSE))</f>
        <v>0</v>
      </c>
      <c r="AD464" s="142">
        <f>IF(ISERROR(VLOOKUP(T464,Gegenstände!$B$2:$N$2026,13,FALSE)),0,VLOOKUP(T464,Gegenstände!$B$2:$N$2026,13,FALSE))</f>
        <v>3500</v>
      </c>
      <c r="AE464" s="475">
        <f t="shared" si="171"/>
        <v>8100</v>
      </c>
      <c r="AF464" s="476">
        <f t="shared" si="172"/>
        <v>8120</v>
      </c>
      <c r="AG464" s="128">
        <f t="shared" si="173"/>
        <v>0.32661290322580644</v>
      </c>
      <c r="AH464" s="128">
        <f t="shared" si="174"/>
        <v>0.32741935483870965</v>
      </c>
      <c r="AI464" s="129">
        <f>(AE464+AF464)/Y464</f>
        <v>0.65403225806451615</v>
      </c>
      <c r="AJ464" s="426">
        <f>Y464-(AE464+AF464)</f>
        <v>8580</v>
      </c>
      <c r="AK464" s="131">
        <f>(AJ464*60)/F464</f>
        <v>1072.5</v>
      </c>
      <c r="AL464" s="477">
        <f>AK464/VLOOKUP(IF(I464&gt;0,I464,1),Preise!$A$3:$B$27,2,FALSE)</f>
        <v>243.74999999999994</v>
      </c>
    </row>
    <row r="465" spans="1:38" s="3" customFormat="1" outlineLevel="1" x14ac:dyDescent="0.2">
      <c r="A465" s="345">
        <v>2195</v>
      </c>
      <c r="B465" s="561">
        <v>2195</v>
      </c>
      <c r="C465" s="132" t="str">
        <f>VLOOKUP(B465,Gegenstände!$A$2:$B$2026,2,FALSE)</f>
        <v>Diamant-Armbrust</v>
      </c>
      <c r="D465" s="133">
        <f>VLOOKUP(B465,Gegenstände!$A$2:$D$2026,4,FALSE)</f>
        <v>25</v>
      </c>
      <c r="E465" s="468">
        <v>32</v>
      </c>
      <c r="F465" s="134">
        <v>480</v>
      </c>
      <c r="G465" s="54"/>
      <c r="H465" s="469">
        <v>65</v>
      </c>
      <c r="I465" s="12">
        <f t="shared" si="168"/>
        <v>24</v>
      </c>
      <c r="J465" s="417"/>
      <c r="K465" s="6">
        <v>52</v>
      </c>
      <c r="L465" s="1" t="s">
        <v>143</v>
      </c>
      <c r="M465" s="87">
        <v>6</v>
      </c>
      <c r="N465" s="83" t="s">
        <v>182</v>
      </c>
      <c r="O465" s="85">
        <v>12</v>
      </c>
      <c r="P465" s="83" t="s">
        <v>184</v>
      </c>
      <c r="Q465" s="85">
        <v>32</v>
      </c>
      <c r="R465" s="83" t="s">
        <v>181</v>
      </c>
      <c r="S465" s="170">
        <v>5</v>
      </c>
      <c r="T465" s="170" t="s">
        <v>243</v>
      </c>
      <c r="U465" s="471">
        <f>VLOOKUP(D465,Preise!$A$3:$C$28,3)</f>
        <v>28.625176191121408</v>
      </c>
      <c r="V465" s="523">
        <f>U465*$V$460</f>
        <v>57250.352382242818</v>
      </c>
      <c r="W465" s="131"/>
      <c r="X465" s="472">
        <f t="shared" si="169"/>
        <v>82300</v>
      </c>
      <c r="Y465" s="473">
        <f t="shared" si="170"/>
        <v>57300</v>
      </c>
      <c r="Z465" s="474">
        <f>IF(ISERROR(VLOOKUP(L465,Gegenstände!$B$2:$N$2026,13,FALSE)),0,VLOOKUP(L465,Gegenstände!$B$2:$N$2026,13,FALSE))</f>
        <v>360</v>
      </c>
      <c r="AA465" s="142">
        <f>IF(ISERROR(VLOOKUP(N465,Gegenstände!$B$2:$N$2026,13,FALSE)),0,VLOOKUP(N465,Gegenstände!$B$2:$N$2026,13,FALSE))</f>
        <v>80</v>
      </c>
      <c r="AB465" s="142">
        <f>IF(ISERROR(VLOOKUP(P465,Gegenstände!$B$2:$N$2026,13,FALSE)),0,VLOOKUP(P465,Gegenstände!$B$2:$N$2026,13,FALSE))</f>
        <v>200</v>
      </c>
      <c r="AC465" s="142">
        <f>IF(ISERROR(VLOOKUP(R465,Gegenstände!$B$2:$N$2026,13,FALSE)),0,VLOOKUP(R465,Gegenstände!$B$2:$N$2026,13,FALSE))</f>
        <v>500</v>
      </c>
      <c r="AD465" s="142">
        <f>IF(ISERROR(VLOOKUP(T465,Gegenstände!$B$2:$N$2026,13,FALSE)),0,VLOOKUP(T465,Gegenstände!$B$2:$N$2026,13,FALSE))</f>
        <v>5000</v>
      </c>
      <c r="AE465" s="475">
        <f t="shared" si="171"/>
        <v>18720</v>
      </c>
      <c r="AF465" s="476">
        <f t="shared" si="172"/>
        <v>18880</v>
      </c>
      <c r="AG465" s="128">
        <f t="shared" si="173"/>
        <v>0.32670157068062827</v>
      </c>
      <c r="AH465" s="128">
        <f t="shared" si="174"/>
        <v>0.32949389179755673</v>
      </c>
      <c r="AI465" s="129">
        <f>(AE465+AF465)/Y465</f>
        <v>0.65619546247818494</v>
      </c>
      <c r="AJ465" s="426">
        <f>Y465-(AE465+AF465)</f>
        <v>19700</v>
      </c>
      <c r="AK465" s="131">
        <f>(AJ465*60)/F465</f>
        <v>2462.5</v>
      </c>
      <c r="AL465" s="477">
        <f>AK465/VLOOKUP(IF(I465&gt;0,I465,1),Preise!$A$3:$B$27,2,FALSE)</f>
        <v>439.73214285714266</v>
      </c>
    </row>
    <row r="466" spans="1:38" s="3" customFormat="1" x14ac:dyDescent="0.2">
      <c r="A466" s="608"/>
      <c r="B466" s="609"/>
      <c r="C466" s="193"/>
      <c r="D466" s="194"/>
      <c r="E466" s="582"/>
      <c r="F466" s="197"/>
      <c r="G466" s="194"/>
      <c r="H466" s="583"/>
      <c r="I466" s="597"/>
      <c r="J466" s="585"/>
      <c r="K466" s="584"/>
      <c r="L466" s="192"/>
      <c r="M466" s="584"/>
      <c r="N466" s="192"/>
      <c r="O466" s="584"/>
      <c r="P466" s="192"/>
      <c r="Q466" s="584"/>
      <c r="R466" s="192"/>
      <c r="S466" s="586"/>
      <c r="T466" s="586"/>
      <c r="U466" s="598"/>
      <c r="V466" s="589">
        <v>5000</v>
      </c>
      <c r="W466" s="590"/>
      <c r="X466" s="599"/>
      <c r="Y466" s="607"/>
      <c r="Z466" s="400"/>
      <c r="AA466" s="193"/>
      <c r="AB466" s="193"/>
      <c r="AC466" s="193"/>
      <c r="AD466" s="601"/>
      <c r="AE466" s="602"/>
      <c r="AF466" s="603"/>
      <c r="AG466" s="604"/>
      <c r="AH466" s="604"/>
      <c r="AI466" s="594"/>
      <c r="AJ466" s="595"/>
      <c r="AK466" s="200"/>
      <c r="AL466" s="596"/>
    </row>
    <row r="467" spans="1:38" s="3" customFormat="1" ht="13.5" customHeight="1" outlineLevel="1" x14ac:dyDescent="0.2">
      <c r="A467" s="5">
        <v>2201</v>
      </c>
      <c r="B467" s="412">
        <v>2201</v>
      </c>
      <c r="C467" s="132" t="str">
        <f>VLOOKUP(B467,Gegenstände!$A$2:$B$2026,2,FALSE)</f>
        <v>Pyrit-Haube</v>
      </c>
      <c r="D467" s="133">
        <f>VLOOKUP(B467,Gegenstände!$A$2:$D$2026,4,FALSE)</f>
        <v>4</v>
      </c>
      <c r="E467" s="468">
        <v>33</v>
      </c>
      <c r="F467" s="3">
        <v>240</v>
      </c>
      <c r="G467" s="54"/>
      <c r="H467" s="469">
        <v>66</v>
      </c>
      <c r="I467" s="12">
        <f t="shared" si="168"/>
        <v>3</v>
      </c>
      <c r="J467" s="470"/>
      <c r="K467" s="54">
        <v>8</v>
      </c>
      <c r="L467" s="3" t="s">
        <v>151</v>
      </c>
      <c r="M467" s="85">
        <v>6</v>
      </c>
      <c r="N467" s="83" t="s">
        <v>194</v>
      </c>
      <c r="O467" s="85"/>
      <c r="P467" s="83"/>
      <c r="Q467" s="85"/>
      <c r="R467" s="83"/>
      <c r="S467" s="170">
        <v>1</v>
      </c>
      <c r="T467" s="170" t="s">
        <v>244</v>
      </c>
      <c r="U467" s="471">
        <f>VLOOKUP(D467,Preise!$A$3:$C$28,3)</f>
        <v>1.5208749999999995</v>
      </c>
      <c r="V467" s="523">
        <f>0.2*W467</f>
        <v>1520.8749999999995</v>
      </c>
      <c r="W467" s="131">
        <f>U467*$V$466</f>
        <v>7604.3749999999973</v>
      </c>
      <c r="X467" s="472">
        <f t="shared" si="169"/>
        <v>2000</v>
      </c>
      <c r="Y467" s="473">
        <f t="shared" si="170"/>
        <v>1500</v>
      </c>
      <c r="Z467" s="474">
        <f>IF(ISERROR(VLOOKUP(L467,Gegenstände!$B$2:$N$2026,13,FALSE)),0,VLOOKUP(L467,Gegenstände!$B$2:$N$2026,13,FALSE))</f>
        <v>60</v>
      </c>
      <c r="AA467" s="142">
        <f>IF(ISERROR(VLOOKUP(N467,Gegenstände!$B$2:$N$2026,13,FALSE)),0,VLOOKUP(N467,Gegenstände!$B$2:$N$2026,13,FALSE))</f>
        <v>80</v>
      </c>
      <c r="AB467" s="142">
        <f>IF(ISERROR(VLOOKUP(P467,Gegenstände!$B$2:$N$2026,13,FALSE)),0,VLOOKUP(P467,Gegenstände!$B$2:$N$2026,13,FALSE))</f>
        <v>0</v>
      </c>
      <c r="AC467" s="142">
        <f>IF(ISERROR(VLOOKUP(R467,Gegenstände!$B$2:$N$2026,13,FALSE)),0,VLOOKUP(R467,Gegenstände!$B$2:$N$2026,13,FALSE))</f>
        <v>0</v>
      </c>
      <c r="AD467" s="142">
        <f>IF(ISERROR(VLOOKUP(T467,Gegenstände!$B$2:$N$2026,13,FALSE)),0,VLOOKUP(T467,Gegenstände!$B$2:$N$2026,13,FALSE))</f>
        <v>500</v>
      </c>
      <c r="AE467" s="475">
        <f t="shared" si="171"/>
        <v>480</v>
      </c>
      <c r="AF467" s="476">
        <f t="shared" si="172"/>
        <v>480</v>
      </c>
      <c r="AG467" s="128">
        <f t="shared" si="173"/>
        <v>0.32</v>
      </c>
      <c r="AH467" s="128">
        <f t="shared" si="174"/>
        <v>0.32</v>
      </c>
      <c r="AI467" s="129">
        <f t="shared" ref="AI467:AI491" si="175">(AE467+AF467)/Y467</f>
        <v>0.64</v>
      </c>
      <c r="AJ467" s="426">
        <f t="shared" ref="AJ467:AJ491" si="176">Y467-(AE467+AF467)</f>
        <v>540</v>
      </c>
      <c r="AK467" s="131">
        <f t="shared" ref="AK467:AK491" si="177">(AJ467*60)/F467</f>
        <v>135</v>
      </c>
      <c r="AL467" s="477">
        <f>AK467/VLOOKUP(IF(I467&gt;0,I467,1),Preise!$A$3:$B$27,2,FALSE)</f>
        <v>96.428571428571431</v>
      </c>
    </row>
    <row r="468" spans="1:38" s="3" customFormat="1" ht="13.5" customHeight="1" outlineLevel="1" x14ac:dyDescent="0.2">
      <c r="A468" s="5">
        <v>2202</v>
      </c>
      <c r="B468" s="412">
        <v>2202</v>
      </c>
      <c r="C468" s="132" t="str">
        <f>VLOOKUP(B468,Gegenstände!$A$2:$B$2026,2,FALSE)</f>
        <v>Pyrit-Robe</v>
      </c>
      <c r="D468" s="133">
        <f>VLOOKUP(B468,Gegenstände!$A$2:$D$2026,4,FALSE)</f>
        <v>4</v>
      </c>
      <c r="E468" s="468">
        <v>33</v>
      </c>
      <c r="F468" s="3">
        <v>360</v>
      </c>
      <c r="G468" s="54"/>
      <c r="H468" s="469">
        <v>66</v>
      </c>
      <c r="I468" s="12">
        <f t="shared" si="168"/>
        <v>3</v>
      </c>
      <c r="J468" s="470"/>
      <c r="K468" s="54">
        <v>12</v>
      </c>
      <c r="L468" s="3" t="s">
        <v>151</v>
      </c>
      <c r="M468" s="85">
        <v>9</v>
      </c>
      <c r="N468" s="83" t="s">
        <v>194</v>
      </c>
      <c r="O468" s="85"/>
      <c r="P468" s="83"/>
      <c r="Q468" s="85"/>
      <c r="R468" s="83"/>
      <c r="S468" s="170">
        <v>1</v>
      </c>
      <c r="T468" s="170" t="s">
        <v>244</v>
      </c>
      <c r="U468" s="471">
        <f>VLOOKUP(D468,Preise!$A$3:$C$28,3)</f>
        <v>1.5208749999999995</v>
      </c>
      <c r="V468" s="523">
        <f>0.3*W468</f>
        <v>2281.3124999999991</v>
      </c>
      <c r="W468" s="131">
        <f t="shared" ref="W468:W491" si="178">U468*$V$466</f>
        <v>7604.3749999999973</v>
      </c>
      <c r="X468" s="472">
        <f t="shared" si="169"/>
        <v>2800</v>
      </c>
      <c r="Y468" s="473">
        <f t="shared" si="170"/>
        <v>2300</v>
      </c>
      <c r="Z468" s="474">
        <f>IF(ISERROR(VLOOKUP(L468,Gegenstände!$B$2:$N$2026,13,FALSE)),0,VLOOKUP(L468,Gegenstände!$B$2:$N$2026,13,FALSE))</f>
        <v>60</v>
      </c>
      <c r="AA468" s="142">
        <f>IF(ISERROR(VLOOKUP(N468,Gegenstände!$B$2:$N$2026,13,FALSE)),0,VLOOKUP(N468,Gegenstände!$B$2:$N$2026,13,FALSE))</f>
        <v>80</v>
      </c>
      <c r="AB468" s="142">
        <f>IF(ISERROR(VLOOKUP(P468,Gegenstände!$B$2:$N$2026,13,FALSE)),0,VLOOKUP(P468,Gegenstände!$B$2:$N$2026,13,FALSE))</f>
        <v>0</v>
      </c>
      <c r="AC468" s="142">
        <f>IF(ISERROR(VLOOKUP(R468,Gegenstände!$B$2:$N$2026,13,FALSE)),0,VLOOKUP(R468,Gegenstände!$B$2:$N$2026,13,FALSE))</f>
        <v>0</v>
      </c>
      <c r="AD468" s="142">
        <f>IF(ISERROR(VLOOKUP(T468,Gegenstände!$B$2:$N$2026,13,FALSE)),0,VLOOKUP(T468,Gegenstände!$B$2:$N$2026,13,FALSE))</f>
        <v>500</v>
      </c>
      <c r="AE468" s="475">
        <f t="shared" si="171"/>
        <v>720</v>
      </c>
      <c r="AF468" s="476">
        <f t="shared" si="172"/>
        <v>720</v>
      </c>
      <c r="AG468" s="128">
        <f t="shared" si="173"/>
        <v>0.31304347826086959</v>
      </c>
      <c r="AH468" s="128">
        <f t="shared" si="174"/>
        <v>0.31304347826086959</v>
      </c>
      <c r="AI468" s="129">
        <f t="shared" si="175"/>
        <v>0.62608695652173918</v>
      </c>
      <c r="AJ468" s="426">
        <f t="shared" si="176"/>
        <v>860</v>
      </c>
      <c r="AK468" s="131">
        <f t="shared" si="177"/>
        <v>143.33333333333334</v>
      </c>
      <c r="AL468" s="477">
        <f>AK468/VLOOKUP(IF(I468&gt;0,I468,1),Preise!$A$3:$B$27,2,FALSE)</f>
        <v>102.38095238095239</v>
      </c>
    </row>
    <row r="469" spans="1:38" s="3" customFormat="1" ht="13.5" customHeight="1" outlineLevel="1" x14ac:dyDescent="0.2">
      <c r="A469" s="5">
        <v>2203</v>
      </c>
      <c r="B469" s="412">
        <v>2203</v>
      </c>
      <c r="C469" s="132" t="str">
        <f>VLOOKUP(B469,Gegenstände!$A$2:$B$2026,2,FALSE)</f>
        <v>Pyrit-Handschuhe</v>
      </c>
      <c r="D469" s="133">
        <f>VLOOKUP(B469,Gegenstände!$A$2:$D$2026,4,FALSE)</f>
        <v>5</v>
      </c>
      <c r="E469" s="468">
        <v>33</v>
      </c>
      <c r="F469" s="3">
        <v>180</v>
      </c>
      <c r="G469" s="54"/>
      <c r="H469" s="469">
        <v>66</v>
      </c>
      <c r="I469" s="12">
        <f t="shared" si="168"/>
        <v>4</v>
      </c>
      <c r="J469" s="470"/>
      <c r="K469" s="54">
        <v>7</v>
      </c>
      <c r="L469" s="3" t="s">
        <v>151</v>
      </c>
      <c r="M469" s="85">
        <v>5</v>
      </c>
      <c r="N469" s="83" t="s">
        <v>194</v>
      </c>
      <c r="O469" s="85"/>
      <c r="P469" s="83"/>
      <c r="Q469" s="85"/>
      <c r="R469" s="83"/>
      <c r="S469" s="170">
        <v>1</v>
      </c>
      <c r="T469" s="170" t="s">
        <v>244</v>
      </c>
      <c r="U469" s="471">
        <f>VLOOKUP(D469,Preise!$A$3:$C$28,3)</f>
        <v>1.7490062499999994</v>
      </c>
      <c r="V469" s="523">
        <f>0.15*W469</f>
        <v>1311.7546874999994</v>
      </c>
      <c r="W469" s="131">
        <f t="shared" si="178"/>
        <v>8745.0312499999964</v>
      </c>
      <c r="X469" s="472">
        <f t="shared" si="169"/>
        <v>1800</v>
      </c>
      <c r="Y469" s="473">
        <f t="shared" si="170"/>
        <v>1300</v>
      </c>
      <c r="Z469" s="474">
        <f>IF(ISERROR(VLOOKUP(L469,Gegenstände!$B$2:$N$2026,13,FALSE)),0,VLOOKUP(L469,Gegenstände!$B$2:$N$2026,13,FALSE))</f>
        <v>60</v>
      </c>
      <c r="AA469" s="142">
        <f>IF(ISERROR(VLOOKUP(N469,Gegenstände!$B$2:$N$2026,13,FALSE)),0,VLOOKUP(N469,Gegenstände!$B$2:$N$2026,13,FALSE))</f>
        <v>80</v>
      </c>
      <c r="AB469" s="142">
        <f>IF(ISERROR(VLOOKUP(P469,Gegenstände!$B$2:$N$2026,13,FALSE)),0,VLOOKUP(P469,Gegenstände!$B$2:$N$2026,13,FALSE))</f>
        <v>0</v>
      </c>
      <c r="AC469" s="142">
        <f>IF(ISERROR(VLOOKUP(R469,Gegenstände!$B$2:$N$2026,13,FALSE)),0,VLOOKUP(R469,Gegenstände!$B$2:$N$2026,13,FALSE))</f>
        <v>0</v>
      </c>
      <c r="AD469" s="142">
        <f>IF(ISERROR(VLOOKUP(T469,Gegenstände!$B$2:$N$2026,13,FALSE)),0,VLOOKUP(T469,Gegenstände!$B$2:$N$2026,13,FALSE))</f>
        <v>500</v>
      </c>
      <c r="AE469" s="475">
        <f t="shared" si="171"/>
        <v>420</v>
      </c>
      <c r="AF469" s="476">
        <f t="shared" si="172"/>
        <v>400</v>
      </c>
      <c r="AG469" s="128">
        <f t="shared" si="173"/>
        <v>0.32307692307692309</v>
      </c>
      <c r="AH469" s="128">
        <f t="shared" si="174"/>
        <v>0.30769230769230771</v>
      </c>
      <c r="AI469" s="129">
        <f t="shared" si="175"/>
        <v>0.63076923076923075</v>
      </c>
      <c r="AJ469" s="426">
        <f t="shared" si="176"/>
        <v>480</v>
      </c>
      <c r="AK469" s="131">
        <f t="shared" si="177"/>
        <v>160</v>
      </c>
      <c r="AL469" s="477">
        <f>AK469/VLOOKUP(IF(I469&gt;0,I469,1),Preise!$A$3:$B$27,2,FALSE)</f>
        <v>100.00000000000001</v>
      </c>
    </row>
    <row r="470" spans="1:38" s="3" customFormat="1" ht="13.5" customHeight="1" outlineLevel="1" x14ac:dyDescent="0.2">
      <c r="A470" s="5">
        <v>2204</v>
      </c>
      <c r="B470" s="412">
        <v>2204</v>
      </c>
      <c r="C470" s="132" t="str">
        <f>VLOOKUP(B470,Gegenstände!$A$2:$B$2026,2,FALSE)</f>
        <v>Pyrit-Hose</v>
      </c>
      <c r="D470" s="133">
        <f>VLOOKUP(B470,Gegenstände!$A$2:$D$2026,4,FALSE)</f>
        <v>5</v>
      </c>
      <c r="E470" s="468">
        <v>33</v>
      </c>
      <c r="F470" s="3">
        <v>240</v>
      </c>
      <c r="G470" s="54"/>
      <c r="H470" s="469">
        <v>66</v>
      </c>
      <c r="I470" s="12">
        <f t="shared" si="168"/>
        <v>4</v>
      </c>
      <c r="J470" s="470"/>
      <c r="K470" s="54">
        <v>10</v>
      </c>
      <c r="L470" s="3" t="s">
        <v>151</v>
      </c>
      <c r="M470" s="85">
        <v>7</v>
      </c>
      <c r="N470" s="83" t="s">
        <v>194</v>
      </c>
      <c r="O470" s="85"/>
      <c r="P470" s="83"/>
      <c r="Q470" s="85"/>
      <c r="R470" s="83"/>
      <c r="S470" s="170">
        <v>1</v>
      </c>
      <c r="T470" s="170" t="s">
        <v>244</v>
      </c>
      <c r="U470" s="471">
        <f>VLOOKUP(D470,Preise!$A$3:$C$28,3)</f>
        <v>1.7490062499999994</v>
      </c>
      <c r="V470" s="523">
        <f>0.2*W470</f>
        <v>1749.0062499999995</v>
      </c>
      <c r="W470" s="131">
        <f t="shared" si="178"/>
        <v>8745.0312499999964</v>
      </c>
      <c r="X470" s="472">
        <f t="shared" si="169"/>
        <v>2200</v>
      </c>
      <c r="Y470" s="473">
        <f t="shared" si="170"/>
        <v>1700</v>
      </c>
      <c r="Z470" s="474">
        <f>IF(ISERROR(VLOOKUP(L470,Gegenstände!$B$2:$N$2026,13,FALSE)),0,VLOOKUP(L470,Gegenstände!$B$2:$N$2026,13,FALSE))</f>
        <v>60</v>
      </c>
      <c r="AA470" s="142">
        <f>IF(ISERROR(VLOOKUP(N470,Gegenstände!$B$2:$N$2026,13,FALSE)),0,VLOOKUP(N470,Gegenstände!$B$2:$N$2026,13,FALSE))</f>
        <v>80</v>
      </c>
      <c r="AB470" s="142">
        <f>IF(ISERROR(VLOOKUP(P470,Gegenstände!$B$2:$N$2026,13,FALSE)),0,VLOOKUP(P470,Gegenstände!$B$2:$N$2026,13,FALSE))</f>
        <v>0</v>
      </c>
      <c r="AC470" s="142">
        <f>IF(ISERROR(VLOOKUP(R470,Gegenstände!$B$2:$N$2026,13,FALSE)),0,VLOOKUP(R470,Gegenstände!$B$2:$N$2026,13,FALSE))</f>
        <v>0</v>
      </c>
      <c r="AD470" s="142">
        <f>IF(ISERROR(VLOOKUP(T470,Gegenstände!$B$2:$N$2026,13,FALSE)),0,VLOOKUP(T470,Gegenstände!$B$2:$N$2026,13,FALSE))</f>
        <v>500</v>
      </c>
      <c r="AE470" s="475">
        <f t="shared" si="171"/>
        <v>600</v>
      </c>
      <c r="AF470" s="476">
        <f t="shared" si="172"/>
        <v>560</v>
      </c>
      <c r="AG470" s="128">
        <f t="shared" si="173"/>
        <v>0.35294117647058826</v>
      </c>
      <c r="AH470" s="128">
        <f t="shared" si="174"/>
        <v>0.32941176470588235</v>
      </c>
      <c r="AI470" s="129">
        <f t="shared" si="175"/>
        <v>0.68235294117647061</v>
      </c>
      <c r="AJ470" s="426">
        <f t="shared" si="176"/>
        <v>540</v>
      </c>
      <c r="AK470" s="131">
        <f t="shared" si="177"/>
        <v>135</v>
      </c>
      <c r="AL470" s="477">
        <f>AK470/VLOOKUP(IF(I470&gt;0,I470,1),Preise!$A$3:$B$27,2,FALSE)</f>
        <v>84.375</v>
      </c>
    </row>
    <row r="471" spans="1:38" s="3" customFormat="1" ht="13.5" customHeight="1" outlineLevel="1" x14ac:dyDescent="0.2">
      <c r="A471" s="345">
        <v>2205</v>
      </c>
      <c r="B471" s="561">
        <v>2205</v>
      </c>
      <c r="C471" s="413" t="str">
        <f>VLOOKUP(B471,Gegenstände!$A$2:$B$2026,2,FALSE)</f>
        <v>Pyrit-Schuhe</v>
      </c>
      <c r="D471" s="562">
        <f>VLOOKUP(B471,Gegenstände!$A$2:$D$2026,4,FALSE)</f>
        <v>5</v>
      </c>
      <c r="E471" s="563">
        <v>33</v>
      </c>
      <c r="F471" s="334">
        <v>180</v>
      </c>
      <c r="G471" s="335"/>
      <c r="H471" s="565">
        <v>66</v>
      </c>
      <c r="I471" s="610">
        <f t="shared" si="168"/>
        <v>4</v>
      </c>
      <c r="J471" s="566"/>
      <c r="K471" s="335">
        <v>7</v>
      </c>
      <c r="L471" s="334" t="s">
        <v>151</v>
      </c>
      <c r="M471" s="567">
        <v>5</v>
      </c>
      <c r="N471" s="568" t="s">
        <v>194</v>
      </c>
      <c r="O471" s="567"/>
      <c r="P471" s="568"/>
      <c r="Q471" s="567"/>
      <c r="R471" s="568"/>
      <c r="S471" s="569">
        <v>1</v>
      </c>
      <c r="T471" s="569" t="s">
        <v>244</v>
      </c>
      <c r="U471" s="611">
        <f>VLOOKUP(D471,Preise!$A$3:$C$28,3)</f>
        <v>1.7490062499999994</v>
      </c>
      <c r="V471" s="558">
        <f>0.15*W471</f>
        <v>1311.7546874999994</v>
      </c>
      <c r="W471" s="559">
        <f t="shared" si="178"/>
        <v>8745.0312499999964</v>
      </c>
      <c r="X471" s="560">
        <f t="shared" si="169"/>
        <v>1800</v>
      </c>
      <c r="Y471" s="612">
        <f t="shared" si="170"/>
        <v>1300</v>
      </c>
      <c r="Z471" s="613">
        <f>IF(ISERROR(VLOOKUP(L471,Gegenstände!$B$2:$N$2026,13,FALSE)),0,VLOOKUP(L471,Gegenstände!$B$2:$N$2026,13,FALSE))</f>
        <v>60</v>
      </c>
      <c r="AA471" s="614">
        <f>IF(ISERROR(VLOOKUP(N471,Gegenstände!$B$2:$N$2026,13,FALSE)),0,VLOOKUP(N471,Gegenstände!$B$2:$N$2026,13,FALSE))</f>
        <v>80</v>
      </c>
      <c r="AB471" s="614">
        <f>IF(ISERROR(VLOOKUP(P471,Gegenstände!$B$2:$N$2026,13,FALSE)),0,VLOOKUP(P471,Gegenstände!$B$2:$N$2026,13,FALSE))</f>
        <v>0</v>
      </c>
      <c r="AC471" s="614">
        <f>IF(ISERROR(VLOOKUP(R471,Gegenstände!$B$2:$N$2026,13,FALSE)),0,VLOOKUP(R471,Gegenstände!$B$2:$N$2026,13,FALSE))</f>
        <v>0</v>
      </c>
      <c r="AD471" s="614">
        <f>IF(ISERROR(VLOOKUP(T471,Gegenstände!$B$2:$N$2026,13,FALSE)),0,VLOOKUP(T471,Gegenstände!$B$2:$N$2026,13,FALSE))</f>
        <v>500</v>
      </c>
      <c r="AE471" s="615">
        <f t="shared" si="171"/>
        <v>420</v>
      </c>
      <c r="AF471" s="616">
        <f t="shared" si="172"/>
        <v>400</v>
      </c>
      <c r="AG471" s="617">
        <f t="shared" si="173"/>
        <v>0.32307692307692309</v>
      </c>
      <c r="AH471" s="617">
        <f t="shared" si="174"/>
        <v>0.30769230769230771</v>
      </c>
      <c r="AI471" s="618">
        <f t="shared" si="175"/>
        <v>0.63076923076923075</v>
      </c>
      <c r="AJ471" s="619">
        <f t="shared" si="176"/>
        <v>480</v>
      </c>
      <c r="AK471" s="559">
        <f t="shared" si="177"/>
        <v>160</v>
      </c>
      <c r="AL471" s="620">
        <f>AK471/VLOOKUP(IF(I471&gt;0,I471,1),Preise!$A$3:$B$27,2,FALSE)</f>
        <v>100.00000000000001</v>
      </c>
    </row>
    <row r="472" spans="1:38" s="3" customFormat="1" outlineLevel="1" x14ac:dyDescent="0.2">
      <c r="A472" s="412">
        <v>2211</v>
      </c>
      <c r="B472" s="412">
        <v>2211</v>
      </c>
      <c r="C472" s="132" t="str">
        <f>VLOOKUP(B472,Gegenstände!$A$2:$B$2026,2,FALSE)</f>
        <v>Jaspis-Haube</v>
      </c>
      <c r="D472" s="133">
        <f>VLOOKUP(B472,Gegenstände!$A$2:$D$2026,4,FALSE)</f>
        <v>9</v>
      </c>
      <c r="E472" s="468">
        <v>33</v>
      </c>
      <c r="F472" s="3">
        <v>240</v>
      </c>
      <c r="G472" s="54"/>
      <c r="H472" s="469">
        <v>66</v>
      </c>
      <c r="I472" s="12">
        <f t="shared" si="168"/>
        <v>8</v>
      </c>
      <c r="J472" s="470"/>
      <c r="K472" s="54">
        <v>8</v>
      </c>
      <c r="L472" s="3" t="s">
        <v>152</v>
      </c>
      <c r="M472" s="85">
        <v>12</v>
      </c>
      <c r="N472" s="83" t="s">
        <v>194</v>
      </c>
      <c r="O472" s="85"/>
      <c r="P472" s="83"/>
      <c r="Q472" s="85"/>
      <c r="R472" s="83"/>
      <c r="S472" s="170">
        <v>1</v>
      </c>
      <c r="T472" s="170" t="s">
        <v>245</v>
      </c>
      <c r="U472" s="471">
        <f>VLOOKUP(D472,Preise!$A$3:$C$28,3)</f>
        <v>3.0590228625390607</v>
      </c>
      <c r="V472" s="523">
        <f>0.2*W472</f>
        <v>3059.022862539061</v>
      </c>
      <c r="W472" s="131">
        <f>U472*$V$466</f>
        <v>15295.114312695303</v>
      </c>
      <c r="X472" s="472">
        <f t="shared" si="169"/>
        <v>4100</v>
      </c>
      <c r="Y472" s="473">
        <f t="shared" si="170"/>
        <v>3100</v>
      </c>
      <c r="Z472" s="474">
        <f>IF(ISERROR(VLOOKUP(L472,Gegenstände!$B$2:$N$2026,13,FALSE)),0,VLOOKUP(L472,Gegenstände!$B$2:$N$2026,13,FALSE))</f>
        <v>120</v>
      </c>
      <c r="AA472" s="142">
        <f>IF(ISERROR(VLOOKUP(N472,Gegenstände!$B$2:$N$2026,13,FALSE)),0,VLOOKUP(N472,Gegenstände!$B$2:$N$2026,13,FALSE))</f>
        <v>80</v>
      </c>
      <c r="AB472" s="142">
        <f>IF(ISERROR(VLOOKUP(P472,Gegenstände!$B$2:$N$2026,13,FALSE)),0,VLOOKUP(P472,Gegenstände!$B$2:$N$2026,13,FALSE))</f>
        <v>0</v>
      </c>
      <c r="AC472" s="142">
        <f>IF(ISERROR(VLOOKUP(R472,Gegenstände!$B$2:$N$2026,13,FALSE)),0,VLOOKUP(R472,Gegenstände!$B$2:$N$2026,13,FALSE))</f>
        <v>0</v>
      </c>
      <c r="AD472" s="142">
        <f>IF(ISERROR(VLOOKUP(T472,Gegenstände!$B$2:$N$2026,13,FALSE)),0,VLOOKUP(T472,Gegenstände!$B$2:$N$2026,13,FALSE))</f>
        <v>1000</v>
      </c>
      <c r="AE472" s="475">
        <f t="shared" si="171"/>
        <v>960</v>
      </c>
      <c r="AF472" s="476">
        <f t="shared" si="172"/>
        <v>960</v>
      </c>
      <c r="AG472" s="128">
        <f t="shared" si="173"/>
        <v>0.30967741935483872</v>
      </c>
      <c r="AH472" s="128">
        <f t="shared" si="174"/>
        <v>0.30967741935483872</v>
      </c>
      <c r="AI472" s="129">
        <f t="shared" si="175"/>
        <v>0.61935483870967745</v>
      </c>
      <c r="AJ472" s="426">
        <f t="shared" si="176"/>
        <v>1180</v>
      </c>
      <c r="AK472" s="131">
        <f t="shared" si="177"/>
        <v>295</v>
      </c>
      <c r="AL472" s="477">
        <f>AK472/VLOOKUP(IF(I472&gt;0,I472,1),Preise!$A$3:$B$27,2,FALSE)</f>
        <v>122.91666666666667</v>
      </c>
    </row>
    <row r="473" spans="1:38" s="3" customFormat="1" outlineLevel="1" x14ac:dyDescent="0.2">
      <c r="A473" s="412">
        <v>2212</v>
      </c>
      <c r="B473" s="412">
        <v>2212</v>
      </c>
      <c r="C473" s="132" t="str">
        <f>VLOOKUP(B473,Gegenstände!$A$2:$B$2026,2,FALSE)</f>
        <v>Jaspis-Robe</v>
      </c>
      <c r="D473" s="133">
        <f>VLOOKUP(B473,Gegenstände!$A$2:$D$2026,4,FALSE)</f>
        <v>9</v>
      </c>
      <c r="E473" s="468">
        <v>33</v>
      </c>
      <c r="F473" s="3">
        <v>360</v>
      </c>
      <c r="G473" s="54"/>
      <c r="H473" s="469">
        <v>66</v>
      </c>
      <c r="I473" s="12">
        <f t="shared" si="168"/>
        <v>8</v>
      </c>
      <c r="J473" s="470"/>
      <c r="K473" s="54">
        <v>12</v>
      </c>
      <c r="L473" s="3" t="s">
        <v>152</v>
      </c>
      <c r="M473" s="85">
        <v>18</v>
      </c>
      <c r="N473" s="83" t="s">
        <v>194</v>
      </c>
      <c r="O473" s="85"/>
      <c r="P473" s="83"/>
      <c r="Q473" s="85"/>
      <c r="R473" s="83"/>
      <c r="S473" s="170">
        <v>1</v>
      </c>
      <c r="T473" s="170" t="s">
        <v>245</v>
      </c>
      <c r="U473" s="471">
        <f>VLOOKUP(D473,Preise!$A$3:$C$28,3)</f>
        <v>3.0590228625390607</v>
      </c>
      <c r="V473" s="523">
        <f>0.3*W473</f>
        <v>4588.5342938085905</v>
      </c>
      <c r="W473" s="131">
        <f t="shared" si="178"/>
        <v>15295.114312695303</v>
      </c>
      <c r="X473" s="472">
        <f t="shared" si="169"/>
        <v>5600</v>
      </c>
      <c r="Y473" s="473">
        <f t="shared" si="170"/>
        <v>4600</v>
      </c>
      <c r="Z473" s="474">
        <f>IF(ISERROR(VLOOKUP(L473,Gegenstände!$B$2:$N$2026,13,FALSE)),0,VLOOKUP(L473,Gegenstände!$B$2:$N$2026,13,FALSE))</f>
        <v>120</v>
      </c>
      <c r="AA473" s="142">
        <f>IF(ISERROR(VLOOKUP(N473,Gegenstände!$B$2:$N$2026,13,FALSE)),0,VLOOKUP(N473,Gegenstände!$B$2:$N$2026,13,FALSE))</f>
        <v>80</v>
      </c>
      <c r="AB473" s="142">
        <f>IF(ISERROR(VLOOKUP(P473,Gegenstände!$B$2:$N$2026,13,FALSE)),0,VLOOKUP(P473,Gegenstände!$B$2:$N$2026,13,FALSE))</f>
        <v>0</v>
      </c>
      <c r="AC473" s="142">
        <f>IF(ISERROR(VLOOKUP(R473,Gegenstände!$B$2:$N$2026,13,FALSE)),0,VLOOKUP(R473,Gegenstände!$B$2:$N$2026,13,FALSE))</f>
        <v>0</v>
      </c>
      <c r="AD473" s="142">
        <f>IF(ISERROR(VLOOKUP(T473,Gegenstände!$B$2:$N$2026,13,FALSE)),0,VLOOKUP(T473,Gegenstände!$B$2:$N$2026,13,FALSE))</f>
        <v>1000</v>
      </c>
      <c r="AE473" s="475">
        <f t="shared" si="171"/>
        <v>1440</v>
      </c>
      <c r="AF473" s="476">
        <f t="shared" si="172"/>
        <v>1440</v>
      </c>
      <c r="AG473" s="128">
        <f t="shared" si="173"/>
        <v>0.31304347826086959</v>
      </c>
      <c r="AH473" s="128">
        <f t="shared" si="174"/>
        <v>0.31304347826086959</v>
      </c>
      <c r="AI473" s="129">
        <f t="shared" si="175"/>
        <v>0.62608695652173918</v>
      </c>
      <c r="AJ473" s="426">
        <f t="shared" si="176"/>
        <v>1720</v>
      </c>
      <c r="AK473" s="131">
        <f t="shared" si="177"/>
        <v>286.66666666666669</v>
      </c>
      <c r="AL473" s="477">
        <f>AK473/VLOOKUP(IF(I473&gt;0,I473,1),Preise!$A$3:$B$27,2,FALSE)</f>
        <v>119.44444444444446</v>
      </c>
    </row>
    <row r="474" spans="1:38" s="3" customFormat="1" outlineLevel="1" x14ac:dyDescent="0.2">
      <c r="A474" s="412">
        <v>2213</v>
      </c>
      <c r="B474" s="412">
        <v>2213</v>
      </c>
      <c r="C474" s="132" t="str">
        <f>VLOOKUP(B474,Gegenstände!$A$2:$B$2026,2,FALSE)</f>
        <v>Jaspis-Handschuhe</v>
      </c>
      <c r="D474" s="133">
        <f>VLOOKUP(B474,Gegenstände!$A$2:$D$2026,4,FALSE)</f>
        <v>10</v>
      </c>
      <c r="E474" s="468">
        <v>33</v>
      </c>
      <c r="F474" s="3">
        <v>180</v>
      </c>
      <c r="G474" s="54"/>
      <c r="H474" s="469">
        <v>66</v>
      </c>
      <c r="I474" s="12">
        <f t="shared" si="168"/>
        <v>9</v>
      </c>
      <c r="J474" s="470"/>
      <c r="K474" s="54">
        <v>7</v>
      </c>
      <c r="L474" s="3" t="s">
        <v>152</v>
      </c>
      <c r="M474" s="85">
        <v>10</v>
      </c>
      <c r="N474" s="83" t="s">
        <v>194</v>
      </c>
      <c r="O474" s="85"/>
      <c r="P474" s="83"/>
      <c r="Q474" s="85"/>
      <c r="R474" s="83"/>
      <c r="S474" s="170">
        <v>1</v>
      </c>
      <c r="T474" s="170" t="s">
        <v>245</v>
      </c>
      <c r="U474" s="471">
        <f>VLOOKUP(D474,Preise!$A$3:$C$28,3)</f>
        <v>3.5178762919199196</v>
      </c>
      <c r="V474" s="523">
        <f>0.15*W474</f>
        <v>2638.4072189399394</v>
      </c>
      <c r="W474" s="131">
        <f t="shared" si="178"/>
        <v>17589.381459599597</v>
      </c>
      <c r="X474" s="472">
        <f t="shared" si="169"/>
        <v>3600</v>
      </c>
      <c r="Y474" s="473">
        <f t="shared" si="170"/>
        <v>2600</v>
      </c>
      <c r="Z474" s="474">
        <f>IF(ISERROR(VLOOKUP(L474,Gegenstände!$B$2:$N$2026,13,FALSE)),0,VLOOKUP(L474,Gegenstände!$B$2:$N$2026,13,FALSE))</f>
        <v>120</v>
      </c>
      <c r="AA474" s="142">
        <f>IF(ISERROR(VLOOKUP(N474,Gegenstände!$B$2:$N$2026,13,FALSE)),0,VLOOKUP(N474,Gegenstände!$B$2:$N$2026,13,FALSE))</f>
        <v>80</v>
      </c>
      <c r="AB474" s="142">
        <f>IF(ISERROR(VLOOKUP(P474,Gegenstände!$B$2:$N$2026,13,FALSE)),0,VLOOKUP(P474,Gegenstände!$B$2:$N$2026,13,FALSE))</f>
        <v>0</v>
      </c>
      <c r="AC474" s="142">
        <f>IF(ISERROR(VLOOKUP(R474,Gegenstände!$B$2:$N$2026,13,FALSE)),0,VLOOKUP(R474,Gegenstände!$B$2:$N$2026,13,FALSE))</f>
        <v>0</v>
      </c>
      <c r="AD474" s="142">
        <f>IF(ISERROR(VLOOKUP(T474,Gegenstände!$B$2:$N$2026,13,FALSE)),0,VLOOKUP(T474,Gegenstände!$B$2:$N$2026,13,FALSE))</f>
        <v>1000</v>
      </c>
      <c r="AE474" s="475">
        <f t="shared" si="171"/>
        <v>840</v>
      </c>
      <c r="AF474" s="476">
        <f t="shared" si="172"/>
        <v>800</v>
      </c>
      <c r="AG474" s="128">
        <f t="shared" si="173"/>
        <v>0.32307692307692309</v>
      </c>
      <c r="AH474" s="128">
        <f t="shared" si="174"/>
        <v>0.30769230769230771</v>
      </c>
      <c r="AI474" s="129">
        <f t="shared" si="175"/>
        <v>0.63076923076923075</v>
      </c>
      <c r="AJ474" s="426">
        <f t="shared" si="176"/>
        <v>960</v>
      </c>
      <c r="AK474" s="131">
        <f t="shared" si="177"/>
        <v>320</v>
      </c>
      <c r="AL474" s="477">
        <f>AK474/VLOOKUP(IF(I474&gt;0,I474,1),Preise!$A$3:$B$27,2,FALSE)</f>
        <v>123.07692307692307</v>
      </c>
    </row>
    <row r="475" spans="1:38" s="3" customFormat="1" outlineLevel="1" x14ac:dyDescent="0.2">
      <c r="A475" s="412">
        <v>2214</v>
      </c>
      <c r="B475" s="412">
        <v>2214</v>
      </c>
      <c r="C475" s="132" t="str">
        <f>VLOOKUP(B475,Gegenstände!$A$2:$B$2026,2,FALSE)</f>
        <v>Jaspis-Hose</v>
      </c>
      <c r="D475" s="133">
        <f>VLOOKUP(B475,Gegenstände!$A$2:$D$2026,4,FALSE)</f>
        <v>10</v>
      </c>
      <c r="E475" s="468">
        <v>33</v>
      </c>
      <c r="F475" s="3">
        <v>240</v>
      </c>
      <c r="G475" s="54"/>
      <c r="H475" s="469">
        <v>66</v>
      </c>
      <c r="I475" s="12">
        <f t="shared" ref="I475:I538" si="179">D475-1</f>
        <v>9</v>
      </c>
      <c r="J475" s="470"/>
      <c r="K475" s="54">
        <v>10</v>
      </c>
      <c r="L475" s="3" t="s">
        <v>152</v>
      </c>
      <c r="M475" s="85">
        <v>14</v>
      </c>
      <c r="N475" s="83" t="s">
        <v>194</v>
      </c>
      <c r="O475" s="85"/>
      <c r="P475" s="83"/>
      <c r="Q475" s="85"/>
      <c r="R475" s="83"/>
      <c r="S475" s="170">
        <v>1</v>
      </c>
      <c r="T475" s="170" t="s">
        <v>245</v>
      </c>
      <c r="U475" s="471">
        <f>VLOOKUP(D475,Preise!$A$3:$C$28,3)</f>
        <v>3.5178762919199196</v>
      </c>
      <c r="V475" s="523">
        <f>0.2*W475</f>
        <v>3517.8762919199198</v>
      </c>
      <c r="W475" s="131">
        <f t="shared" si="178"/>
        <v>17589.381459599597</v>
      </c>
      <c r="X475" s="472">
        <f t="shared" ref="X475:X538" si="180">(ROUND((V475/100),0)*100)+($S475*$AD475)</f>
        <v>4500</v>
      </c>
      <c r="Y475" s="473">
        <f t="shared" ref="Y475:Y538" si="181">X475*IF(J475&gt;0,J475,1)-($S475*$AD475)</f>
        <v>3500</v>
      </c>
      <c r="Z475" s="474">
        <f>IF(ISERROR(VLOOKUP(L475,Gegenstände!$B$2:$N$2026,13,FALSE)),0,VLOOKUP(L475,Gegenstände!$B$2:$N$2026,13,FALSE))</f>
        <v>120</v>
      </c>
      <c r="AA475" s="142">
        <f>IF(ISERROR(VLOOKUP(N475,Gegenstände!$B$2:$N$2026,13,FALSE)),0,VLOOKUP(N475,Gegenstände!$B$2:$N$2026,13,FALSE))</f>
        <v>80</v>
      </c>
      <c r="AB475" s="142">
        <f>IF(ISERROR(VLOOKUP(P475,Gegenstände!$B$2:$N$2026,13,FALSE)),0,VLOOKUP(P475,Gegenstände!$B$2:$N$2026,13,FALSE))</f>
        <v>0</v>
      </c>
      <c r="AC475" s="142">
        <f>IF(ISERROR(VLOOKUP(R475,Gegenstände!$B$2:$N$2026,13,FALSE)),0,VLOOKUP(R475,Gegenstände!$B$2:$N$2026,13,FALSE))</f>
        <v>0</v>
      </c>
      <c r="AD475" s="142">
        <f>IF(ISERROR(VLOOKUP(T475,Gegenstände!$B$2:$N$2026,13,FALSE)),0,VLOOKUP(T475,Gegenstände!$B$2:$N$2026,13,FALSE))</f>
        <v>1000</v>
      </c>
      <c r="AE475" s="475">
        <f t="shared" ref="AE475:AE538" si="182">IF(ISERROR(K475*Z475),"",K475*Z475)</f>
        <v>1200</v>
      </c>
      <c r="AF475" s="476">
        <f t="shared" ref="AF475:AF538" si="183">IF(ISERROR(M475*AA475+O475*AB475+Q475*AC475),"",M475*AA475+O475*AB475+Q475*AC475)</f>
        <v>1120</v>
      </c>
      <c r="AG475" s="128">
        <f t="shared" ref="AG475:AG538" si="184">AE475/Y475</f>
        <v>0.34285714285714286</v>
      </c>
      <c r="AH475" s="128">
        <f t="shared" ref="AH475:AH538" si="185">AF475/Y475</f>
        <v>0.32</v>
      </c>
      <c r="AI475" s="129">
        <f t="shared" si="175"/>
        <v>0.66285714285714281</v>
      </c>
      <c r="AJ475" s="426">
        <f t="shared" si="176"/>
        <v>1180</v>
      </c>
      <c r="AK475" s="131">
        <f t="shared" si="177"/>
        <v>295</v>
      </c>
      <c r="AL475" s="477">
        <f>AK475/VLOOKUP(IF(I475&gt;0,I475,1),Preise!$A$3:$B$27,2,FALSE)</f>
        <v>113.46153846153845</v>
      </c>
    </row>
    <row r="476" spans="1:38" s="3" customFormat="1" outlineLevel="1" x14ac:dyDescent="0.2">
      <c r="A476" s="561">
        <v>2215</v>
      </c>
      <c r="B476" s="561">
        <v>2215</v>
      </c>
      <c r="C476" s="413" t="str">
        <f>VLOOKUP(B476,Gegenstände!$A$2:$B$2026,2,FALSE)</f>
        <v>Jaspis-Schuhe</v>
      </c>
      <c r="D476" s="562">
        <f>VLOOKUP(B476,Gegenstände!$A$2:$D$2026,4,FALSE)</f>
        <v>10</v>
      </c>
      <c r="E476" s="563">
        <v>33</v>
      </c>
      <c r="F476" s="334">
        <v>180</v>
      </c>
      <c r="G476" s="335"/>
      <c r="H476" s="565">
        <v>66</v>
      </c>
      <c r="I476" s="610">
        <f t="shared" si="179"/>
        <v>9</v>
      </c>
      <c r="J476" s="566"/>
      <c r="K476" s="335">
        <v>7</v>
      </c>
      <c r="L476" s="334" t="s">
        <v>152</v>
      </c>
      <c r="M476" s="567">
        <v>10</v>
      </c>
      <c r="N476" s="568" t="s">
        <v>194</v>
      </c>
      <c r="O476" s="567"/>
      <c r="P476" s="568"/>
      <c r="Q476" s="567"/>
      <c r="R476" s="568"/>
      <c r="S476" s="569">
        <v>1</v>
      </c>
      <c r="T476" s="569" t="s">
        <v>245</v>
      </c>
      <c r="U476" s="611">
        <f>VLOOKUP(D476,Preise!$A$3:$C$28,3)</f>
        <v>3.5178762919199196</v>
      </c>
      <c r="V476" s="558">
        <f>0.15*W476</f>
        <v>2638.4072189399394</v>
      </c>
      <c r="W476" s="559">
        <f t="shared" si="178"/>
        <v>17589.381459599597</v>
      </c>
      <c r="X476" s="560">
        <f t="shared" si="180"/>
        <v>3600</v>
      </c>
      <c r="Y476" s="612">
        <f t="shared" si="181"/>
        <v>2600</v>
      </c>
      <c r="Z476" s="613">
        <f>IF(ISERROR(VLOOKUP(L476,Gegenstände!$B$2:$N$2026,13,FALSE)),0,VLOOKUP(L476,Gegenstände!$B$2:$N$2026,13,FALSE))</f>
        <v>120</v>
      </c>
      <c r="AA476" s="614">
        <f>IF(ISERROR(VLOOKUP(N476,Gegenstände!$B$2:$N$2026,13,FALSE)),0,VLOOKUP(N476,Gegenstände!$B$2:$N$2026,13,FALSE))</f>
        <v>80</v>
      </c>
      <c r="AB476" s="614">
        <f>IF(ISERROR(VLOOKUP(P476,Gegenstände!$B$2:$N$2026,13,FALSE)),0,VLOOKUP(P476,Gegenstände!$B$2:$N$2026,13,FALSE))</f>
        <v>0</v>
      </c>
      <c r="AC476" s="614">
        <f>IF(ISERROR(VLOOKUP(R476,Gegenstände!$B$2:$N$2026,13,FALSE)),0,VLOOKUP(R476,Gegenstände!$B$2:$N$2026,13,FALSE))</f>
        <v>0</v>
      </c>
      <c r="AD476" s="614">
        <f>IF(ISERROR(VLOOKUP(T476,Gegenstände!$B$2:$N$2026,13,FALSE)),0,VLOOKUP(T476,Gegenstände!$B$2:$N$2026,13,FALSE))</f>
        <v>1000</v>
      </c>
      <c r="AE476" s="615">
        <f t="shared" si="182"/>
        <v>840</v>
      </c>
      <c r="AF476" s="616">
        <f t="shared" si="183"/>
        <v>800</v>
      </c>
      <c r="AG476" s="617">
        <f t="shared" si="184"/>
        <v>0.32307692307692309</v>
      </c>
      <c r="AH476" s="617">
        <f t="shared" si="185"/>
        <v>0.30769230769230771</v>
      </c>
      <c r="AI476" s="618">
        <f t="shared" si="175"/>
        <v>0.63076923076923075</v>
      </c>
      <c r="AJ476" s="619">
        <f t="shared" si="176"/>
        <v>960</v>
      </c>
      <c r="AK476" s="559">
        <f t="shared" si="177"/>
        <v>320</v>
      </c>
      <c r="AL476" s="620">
        <f>AK476/VLOOKUP(IF(I476&gt;0,I476,1),Preise!$A$3:$B$27,2,FALSE)</f>
        <v>123.07692307692307</v>
      </c>
    </row>
    <row r="477" spans="1:38" s="3" customFormat="1" outlineLevel="1" x14ac:dyDescent="0.2">
      <c r="A477" s="412">
        <v>2221</v>
      </c>
      <c r="B477" s="412">
        <v>2221</v>
      </c>
      <c r="C477" s="132" t="str">
        <f>VLOOKUP(B477,Gegenstände!$A$2:$B$2026,2,FALSE)</f>
        <v>Perlmutt-Haube</v>
      </c>
      <c r="D477" s="133">
        <f>VLOOKUP(B477,Gegenstände!$A$2:$D$2026,4,FALSE)</f>
        <v>14</v>
      </c>
      <c r="E477" s="468">
        <v>33</v>
      </c>
      <c r="F477" s="3">
        <v>240</v>
      </c>
      <c r="G477" s="54"/>
      <c r="H477" s="469">
        <v>66</v>
      </c>
      <c r="I477" s="12">
        <f t="shared" si="179"/>
        <v>13</v>
      </c>
      <c r="J477" s="470"/>
      <c r="K477" s="54">
        <v>11</v>
      </c>
      <c r="L477" s="3" t="s">
        <v>153</v>
      </c>
      <c r="M477" s="85">
        <v>8</v>
      </c>
      <c r="N477" s="83" t="s">
        <v>194</v>
      </c>
      <c r="O477" s="85">
        <v>7</v>
      </c>
      <c r="P477" s="83" t="s">
        <v>196</v>
      </c>
      <c r="Q477" s="85"/>
      <c r="R477" s="83"/>
      <c r="S477" s="170">
        <v>1</v>
      </c>
      <c r="T477" s="170" t="s">
        <v>246</v>
      </c>
      <c r="U477" s="471">
        <f>VLOOKUP(D477,Preise!$A$3:$C$28,3)</f>
        <v>6.1527876212947623</v>
      </c>
      <c r="V477" s="523">
        <f>0.2*W477</f>
        <v>6152.7876212947631</v>
      </c>
      <c r="W477" s="131">
        <f>U477*$V$466</f>
        <v>30763.938106473812</v>
      </c>
      <c r="X477" s="472">
        <f t="shared" si="180"/>
        <v>8200</v>
      </c>
      <c r="Y477" s="473">
        <f t="shared" si="181"/>
        <v>6200</v>
      </c>
      <c r="Z477" s="474">
        <f>IF(ISERROR(VLOOKUP(L477,Gegenstände!$B$2:$N$2026,13,FALSE)),0,VLOOKUP(L477,Gegenstände!$B$2:$N$2026,13,FALSE))</f>
        <v>180</v>
      </c>
      <c r="AA477" s="142">
        <f>IF(ISERROR(VLOOKUP(N477,Gegenstände!$B$2:$N$2026,13,FALSE)),0,VLOOKUP(N477,Gegenstände!$B$2:$N$2026,13,FALSE))</f>
        <v>80</v>
      </c>
      <c r="AB477" s="142">
        <f>IF(ISERROR(VLOOKUP(P477,Gegenstände!$B$2:$N$2026,13,FALSE)),0,VLOOKUP(P477,Gegenstände!$B$2:$N$2026,13,FALSE))</f>
        <v>200</v>
      </c>
      <c r="AC477" s="142">
        <f>IF(ISERROR(VLOOKUP(R477,Gegenstände!$B$2:$N$2026,13,FALSE)),0,VLOOKUP(R477,Gegenstände!$B$2:$N$2026,13,FALSE))</f>
        <v>0</v>
      </c>
      <c r="AD477" s="142">
        <f>IF(ISERROR(VLOOKUP(T477,Gegenstände!$B$2:$N$2026,13,FALSE)),0,VLOOKUP(T477,Gegenstände!$B$2:$N$2026,13,FALSE))</f>
        <v>2000</v>
      </c>
      <c r="AE477" s="475">
        <f t="shared" si="182"/>
        <v>1980</v>
      </c>
      <c r="AF477" s="476">
        <f t="shared" si="183"/>
        <v>2040</v>
      </c>
      <c r="AG477" s="128">
        <f t="shared" si="184"/>
        <v>0.3193548387096774</v>
      </c>
      <c r="AH477" s="128">
        <f t="shared" si="185"/>
        <v>0.32903225806451614</v>
      </c>
      <c r="AI477" s="129">
        <f t="shared" si="175"/>
        <v>0.64838709677419359</v>
      </c>
      <c r="AJ477" s="426">
        <f t="shared" si="176"/>
        <v>2180</v>
      </c>
      <c r="AK477" s="131">
        <f t="shared" si="177"/>
        <v>545</v>
      </c>
      <c r="AL477" s="477">
        <f>AK477/VLOOKUP(IF(I477&gt;0,I477,1),Preise!$A$3:$B$27,2,FALSE)</f>
        <v>160.29411764705878</v>
      </c>
    </row>
    <row r="478" spans="1:38" s="3" customFormat="1" outlineLevel="1" x14ac:dyDescent="0.2">
      <c r="A478" s="412">
        <v>2222</v>
      </c>
      <c r="B478" s="412">
        <v>2222</v>
      </c>
      <c r="C478" s="132" t="str">
        <f>VLOOKUP(B478,Gegenstände!$A$2:$B$2026,2,FALSE)</f>
        <v>Perlmutt-Robe</v>
      </c>
      <c r="D478" s="133">
        <f>VLOOKUP(B478,Gegenstände!$A$2:$D$2026,4,FALSE)</f>
        <v>14</v>
      </c>
      <c r="E478" s="468">
        <v>33</v>
      </c>
      <c r="F478" s="3">
        <v>360</v>
      </c>
      <c r="G478" s="54"/>
      <c r="H478" s="469">
        <v>66</v>
      </c>
      <c r="I478" s="12">
        <f t="shared" si="179"/>
        <v>13</v>
      </c>
      <c r="J478" s="470"/>
      <c r="K478" s="54">
        <v>17</v>
      </c>
      <c r="L478" s="3" t="s">
        <v>153</v>
      </c>
      <c r="M478" s="85">
        <v>13</v>
      </c>
      <c r="N478" s="83" t="s">
        <v>194</v>
      </c>
      <c r="O478" s="85">
        <v>10</v>
      </c>
      <c r="P478" s="83" t="s">
        <v>196</v>
      </c>
      <c r="Q478" s="85"/>
      <c r="R478" s="83"/>
      <c r="S478" s="170">
        <v>1</v>
      </c>
      <c r="T478" s="170" t="s">
        <v>246</v>
      </c>
      <c r="U478" s="471">
        <f>VLOOKUP(D478,Preise!$A$3:$C$28,3)</f>
        <v>6.1527876212947623</v>
      </c>
      <c r="V478" s="523">
        <f>0.3*W478</f>
        <v>9229.1814319421428</v>
      </c>
      <c r="W478" s="131">
        <f t="shared" si="178"/>
        <v>30763.938106473812</v>
      </c>
      <c r="X478" s="472">
        <f t="shared" si="180"/>
        <v>11200</v>
      </c>
      <c r="Y478" s="473">
        <f t="shared" si="181"/>
        <v>9200</v>
      </c>
      <c r="Z478" s="474">
        <f>IF(ISERROR(VLOOKUP(L478,Gegenstände!$B$2:$N$2026,13,FALSE)),0,VLOOKUP(L478,Gegenstände!$B$2:$N$2026,13,FALSE))</f>
        <v>180</v>
      </c>
      <c r="AA478" s="142">
        <f>IF(ISERROR(VLOOKUP(N478,Gegenstände!$B$2:$N$2026,13,FALSE)),0,VLOOKUP(N478,Gegenstände!$B$2:$N$2026,13,FALSE))</f>
        <v>80</v>
      </c>
      <c r="AB478" s="142">
        <f>IF(ISERROR(VLOOKUP(P478,Gegenstände!$B$2:$N$2026,13,FALSE)),0,VLOOKUP(P478,Gegenstände!$B$2:$N$2026,13,FALSE))</f>
        <v>200</v>
      </c>
      <c r="AC478" s="142">
        <f>IF(ISERROR(VLOOKUP(R478,Gegenstände!$B$2:$N$2026,13,FALSE)),0,VLOOKUP(R478,Gegenstände!$B$2:$N$2026,13,FALSE))</f>
        <v>0</v>
      </c>
      <c r="AD478" s="142">
        <f>IF(ISERROR(VLOOKUP(T478,Gegenstände!$B$2:$N$2026,13,FALSE)),0,VLOOKUP(T478,Gegenstände!$B$2:$N$2026,13,FALSE))</f>
        <v>2000</v>
      </c>
      <c r="AE478" s="475">
        <f t="shared" si="182"/>
        <v>3060</v>
      </c>
      <c r="AF478" s="476">
        <f t="shared" si="183"/>
        <v>3040</v>
      </c>
      <c r="AG478" s="128">
        <f t="shared" si="184"/>
        <v>0.33260869565217394</v>
      </c>
      <c r="AH478" s="128">
        <f t="shared" si="185"/>
        <v>0.33043478260869563</v>
      </c>
      <c r="AI478" s="129">
        <f t="shared" si="175"/>
        <v>0.66304347826086951</v>
      </c>
      <c r="AJ478" s="426">
        <f t="shared" si="176"/>
        <v>3100</v>
      </c>
      <c r="AK478" s="131">
        <f t="shared" si="177"/>
        <v>516.66666666666663</v>
      </c>
      <c r="AL478" s="477">
        <f>AK478/VLOOKUP(IF(I478&gt;0,I478,1),Preise!$A$3:$B$27,2,FALSE)</f>
        <v>151.96078431372544</v>
      </c>
    </row>
    <row r="479" spans="1:38" s="3" customFormat="1" outlineLevel="1" x14ac:dyDescent="0.2">
      <c r="A479" s="412">
        <v>2223</v>
      </c>
      <c r="B479" s="412">
        <v>2223</v>
      </c>
      <c r="C479" s="132" t="str">
        <f>VLOOKUP(B479,Gegenstände!$A$2:$B$2026,2,FALSE)</f>
        <v>Perlmutt-Handschuhe</v>
      </c>
      <c r="D479" s="133">
        <f>VLOOKUP(B479,Gegenstände!$A$2:$D$2026,4,FALSE)</f>
        <v>15</v>
      </c>
      <c r="E479" s="468">
        <v>33</v>
      </c>
      <c r="F479" s="3">
        <v>180</v>
      </c>
      <c r="G479" s="54"/>
      <c r="H479" s="469">
        <v>66</v>
      </c>
      <c r="I479" s="12">
        <f t="shared" si="179"/>
        <v>14</v>
      </c>
      <c r="J479" s="470"/>
      <c r="K479" s="54">
        <v>10</v>
      </c>
      <c r="L479" s="3" t="s">
        <v>153</v>
      </c>
      <c r="M479" s="85">
        <v>12</v>
      </c>
      <c r="N479" s="83" t="s">
        <v>194</v>
      </c>
      <c r="O479" s="85">
        <v>4</v>
      </c>
      <c r="P479" s="83" t="s">
        <v>196</v>
      </c>
      <c r="Q479" s="85"/>
      <c r="R479" s="83"/>
      <c r="S479" s="170">
        <v>1</v>
      </c>
      <c r="T479" s="170" t="s">
        <v>246</v>
      </c>
      <c r="U479" s="471">
        <f>VLOOKUP(D479,Preise!$A$3:$C$28,3)</f>
        <v>7.0757057644889763</v>
      </c>
      <c r="V479" s="523">
        <f>0.15*W479</f>
        <v>5306.7793233667317</v>
      </c>
      <c r="W479" s="131">
        <f t="shared" si="178"/>
        <v>35378.528822444881</v>
      </c>
      <c r="X479" s="472">
        <f t="shared" si="180"/>
        <v>7300</v>
      </c>
      <c r="Y479" s="473">
        <f t="shared" si="181"/>
        <v>5300</v>
      </c>
      <c r="Z479" s="474">
        <f>IF(ISERROR(VLOOKUP(L479,Gegenstände!$B$2:$N$2026,13,FALSE)),0,VLOOKUP(L479,Gegenstände!$B$2:$N$2026,13,FALSE))</f>
        <v>180</v>
      </c>
      <c r="AA479" s="142">
        <f>IF(ISERROR(VLOOKUP(N479,Gegenstände!$B$2:$N$2026,13,FALSE)),0,VLOOKUP(N479,Gegenstände!$B$2:$N$2026,13,FALSE))</f>
        <v>80</v>
      </c>
      <c r="AB479" s="142">
        <f>IF(ISERROR(VLOOKUP(P479,Gegenstände!$B$2:$N$2026,13,FALSE)),0,VLOOKUP(P479,Gegenstände!$B$2:$N$2026,13,FALSE))</f>
        <v>200</v>
      </c>
      <c r="AC479" s="142">
        <f>IF(ISERROR(VLOOKUP(R479,Gegenstände!$B$2:$N$2026,13,FALSE)),0,VLOOKUP(R479,Gegenstände!$B$2:$N$2026,13,FALSE))</f>
        <v>0</v>
      </c>
      <c r="AD479" s="142">
        <f>IF(ISERROR(VLOOKUP(T479,Gegenstände!$B$2:$N$2026,13,FALSE)),0,VLOOKUP(T479,Gegenstände!$B$2:$N$2026,13,FALSE))</f>
        <v>2000</v>
      </c>
      <c r="AE479" s="475">
        <f t="shared" si="182"/>
        <v>1800</v>
      </c>
      <c r="AF479" s="476">
        <f t="shared" si="183"/>
        <v>1760</v>
      </c>
      <c r="AG479" s="128">
        <f t="shared" si="184"/>
        <v>0.33962264150943394</v>
      </c>
      <c r="AH479" s="128">
        <f t="shared" si="185"/>
        <v>0.33207547169811319</v>
      </c>
      <c r="AI479" s="129">
        <f t="shared" si="175"/>
        <v>0.67169811320754713</v>
      </c>
      <c r="AJ479" s="426">
        <f t="shared" si="176"/>
        <v>1740</v>
      </c>
      <c r="AK479" s="131">
        <f t="shared" si="177"/>
        <v>580</v>
      </c>
      <c r="AL479" s="477">
        <f>AK479/VLOOKUP(IF(I479&gt;0,I479,1),Preise!$A$3:$B$27,2,FALSE)</f>
        <v>161.11111111111106</v>
      </c>
    </row>
    <row r="480" spans="1:38" s="3" customFormat="1" outlineLevel="1" x14ac:dyDescent="0.2">
      <c r="A480" s="412">
        <v>2224</v>
      </c>
      <c r="B480" s="412">
        <v>2224</v>
      </c>
      <c r="C480" s="132" t="str">
        <f>VLOOKUP(B480,Gegenstände!$A$2:$B$2026,2,FALSE)</f>
        <v>Perlmutt-Hose</v>
      </c>
      <c r="D480" s="133">
        <f>VLOOKUP(B480,Gegenstände!$A$2:$D$2026,4,FALSE)</f>
        <v>15</v>
      </c>
      <c r="E480" s="468">
        <v>33</v>
      </c>
      <c r="F480" s="3">
        <v>240</v>
      </c>
      <c r="G480" s="54"/>
      <c r="H480" s="469">
        <v>66</v>
      </c>
      <c r="I480" s="12">
        <f t="shared" si="179"/>
        <v>14</v>
      </c>
      <c r="J480" s="470"/>
      <c r="K480" s="54">
        <v>13</v>
      </c>
      <c r="L480" s="3" t="s">
        <v>153</v>
      </c>
      <c r="M480" s="85">
        <v>12</v>
      </c>
      <c r="N480" s="83" t="s">
        <v>194</v>
      </c>
      <c r="O480" s="85">
        <v>7</v>
      </c>
      <c r="P480" s="83" t="s">
        <v>196</v>
      </c>
      <c r="Q480" s="85"/>
      <c r="R480" s="83"/>
      <c r="S480" s="170">
        <v>1</v>
      </c>
      <c r="T480" s="170" t="s">
        <v>246</v>
      </c>
      <c r="U480" s="471">
        <f>VLOOKUP(D480,Preise!$A$3:$C$28,3)</f>
        <v>7.0757057644889763</v>
      </c>
      <c r="V480" s="523">
        <f>0.2*W480</f>
        <v>7075.7057644889765</v>
      </c>
      <c r="W480" s="131">
        <f t="shared" si="178"/>
        <v>35378.528822444881</v>
      </c>
      <c r="X480" s="472">
        <f t="shared" si="180"/>
        <v>9100</v>
      </c>
      <c r="Y480" s="473">
        <f t="shared" si="181"/>
        <v>7100</v>
      </c>
      <c r="Z480" s="474">
        <f>IF(ISERROR(VLOOKUP(L480,Gegenstände!$B$2:$N$2026,13,FALSE)),0,VLOOKUP(L480,Gegenstände!$B$2:$N$2026,13,FALSE))</f>
        <v>180</v>
      </c>
      <c r="AA480" s="142">
        <f>IF(ISERROR(VLOOKUP(N480,Gegenstände!$B$2:$N$2026,13,FALSE)),0,VLOOKUP(N480,Gegenstände!$B$2:$N$2026,13,FALSE))</f>
        <v>80</v>
      </c>
      <c r="AB480" s="142">
        <f>IF(ISERROR(VLOOKUP(P480,Gegenstände!$B$2:$N$2026,13,FALSE)),0,VLOOKUP(P480,Gegenstände!$B$2:$N$2026,13,FALSE))</f>
        <v>200</v>
      </c>
      <c r="AC480" s="142">
        <f>IF(ISERROR(VLOOKUP(R480,Gegenstände!$B$2:$N$2026,13,FALSE)),0,VLOOKUP(R480,Gegenstände!$B$2:$N$2026,13,FALSE))</f>
        <v>0</v>
      </c>
      <c r="AD480" s="142">
        <f>IF(ISERROR(VLOOKUP(T480,Gegenstände!$B$2:$N$2026,13,FALSE)),0,VLOOKUP(T480,Gegenstände!$B$2:$N$2026,13,FALSE))</f>
        <v>2000</v>
      </c>
      <c r="AE480" s="475">
        <f t="shared" si="182"/>
        <v>2340</v>
      </c>
      <c r="AF480" s="476">
        <f t="shared" si="183"/>
        <v>2360</v>
      </c>
      <c r="AG480" s="128">
        <f t="shared" si="184"/>
        <v>0.3295774647887324</v>
      </c>
      <c r="AH480" s="128">
        <f t="shared" si="185"/>
        <v>0.3323943661971831</v>
      </c>
      <c r="AI480" s="129">
        <f t="shared" si="175"/>
        <v>0.6619718309859155</v>
      </c>
      <c r="AJ480" s="426">
        <f t="shared" si="176"/>
        <v>2400</v>
      </c>
      <c r="AK480" s="131">
        <f t="shared" si="177"/>
        <v>600</v>
      </c>
      <c r="AL480" s="477">
        <f>AK480/VLOOKUP(IF(I480&gt;0,I480,1),Preise!$A$3:$B$27,2,FALSE)</f>
        <v>166.66666666666663</v>
      </c>
    </row>
    <row r="481" spans="1:38" s="3" customFormat="1" outlineLevel="1" x14ac:dyDescent="0.2">
      <c r="A481" s="561">
        <v>2225</v>
      </c>
      <c r="B481" s="561">
        <v>2225</v>
      </c>
      <c r="C481" s="413" t="str">
        <f>VLOOKUP(B481,Gegenstände!$A$2:$B$2026,2,FALSE)</f>
        <v>Perlmutt-Schuhe</v>
      </c>
      <c r="D481" s="562">
        <f>VLOOKUP(B481,Gegenstände!$A$2:$D$2026,4,FALSE)</f>
        <v>15</v>
      </c>
      <c r="E481" s="563">
        <v>33</v>
      </c>
      <c r="F481" s="334">
        <v>180</v>
      </c>
      <c r="G481" s="335"/>
      <c r="H481" s="565">
        <v>66</v>
      </c>
      <c r="I481" s="610">
        <f t="shared" si="179"/>
        <v>14</v>
      </c>
      <c r="J481" s="566"/>
      <c r="K481" s="335">
        <v>10</v>
      </c>
      <c r="L481" s="334" t="s">
        <v>153</v>
      </c>
      <c r="M481" s="567">
        <v>12</v>
      </c>
      <c r="N481" s="568" t="s">
        <v>194</v>
      </c>
      <c r="O481" s="567">
        <v>4</v>
      </c>
      <c r="P481" s="568" t="s">
        <v>196</v>
      </c>
      <c r="Q481" s="567"/>
      <c r="R481" s="568"/>
      <c r="S481" s="569">
        <v>1</v>
      </c>
      <c r="T481" s="569" t="s">
        <v>246</v>
      </c>
      <c r="U481" s="611">
        <f>VLOOKUP(D481,Preise!$A$3:$C$28,3)</f>
        <v>7.0757057644889763</v>
      </c>
      <c r="V481" s="558">
        <f>0.15*W481</f>
        <v>5306.7793233667317</v>
      </c>
      <c r="W481" s="559">
        <f t="shared" si="178"/>
        <v>35378.528822444881</v>
      </c>
      <c r="X481" s="560">
        <f t="shared" si="180"/>
        <v>7300</v>
      </c>
      <c r="Y481" s="612">
        <f t="shared" si="181"/>
        <v>5300</v>
      </c>
      <c r="Z481" s="613">
        <f>IF(ISERROR(VLOOKUP(L481,Gegenstände!$B$2:$N$2026,13,FALSE)),0,VLOOKUP(L481,Gegenstände!$B$2:$N$2026,13,FALSE))</f>
        <v>180</v>
      </c>
      <c r="AA481" s="614">
        <f>IF(ISERROR(VLOOKUP(N481,Gegenstände!$B$2:$N$2026,13,FALSE)),0,VLOOKUP(N481,Gegenstände!$B$2:$N$2026,13,FALSE))</f>
        <v>80</v>
      </c>
      <c r="AB481" s="614">
        <f>IF(ISERROR(VLOOKUP(P481,Gegenstände!$B$2:$N$2026,13,FALSE)),0,VLOOKUP(P481,Gegenstände!$B$2:$N$2026,13,FALSE))</f>
        <v>200</v>
      </c>
      <c r="AC481" s="614">
        <f>IF(ISERROR(VLOOKUP(R481,Gegenstände!$B$2:$N$2026,13,FALSE)),0,VLOOKUP(R481,Gegenstände!$B$2:$N$2026,13,FALSE))</f>
        <v>0</v>
      </c>
      <c r="AD481" s="614">
        <f>IF(ISERROR(VLOOKUP(T481,Gegenstände!$B$2:$N$2026,13,FALSE)),0,VLOOKUP(T481,Gegenstände!$B$2:$N$2026,13,FALSE))</f>
        <v>2000</v>
      </c>
      <c r="AE481" s="615">
        <f t="shared" si="182"/>
        <v>1800</v>
      </c>
      <c r="AF481" s="616">
        <f t="shared" si="183"/>
        <v>1760</v>
      </c>
      <c r="AG481" s="617">
        <f t="shared" si="184"/>
        <v>0.33962264150943394</v>
      </c>
      <c r="AH481" s="617">
        <f t="shared" si="185"/>
        <v>0.33207547169811319</v>
      </c>
      <c r="AI481" s="618">
        <f t="shared" si="175"/>
        <v>0.67169811320754713</v>
      </c>
      <c r="AJ481" s="619">
        <f t="shared" si="176"/>
        <v>1740</v>
      </c>
      <c r="AK481" s="559">
        <f t="shared" si="177"/>
        <v>580</v>
      </c>
      <c r="AL481" s="620">
        <f>AK481/VLOOKUP(IF(I481&gt;0,I481,1),Preise!$A$3:$B$27,2,FALSE)</f>
        <v>161.11111111111106</v>
      </c>
    </row>
    <row r="482" spans="1:38" s="3" customFormat="1" outlineLevel="1" x14ac:dyDescent="0.2">
      <c r="A482" s="412">
        <v>2231</v>
      </c>
      <c r="B482" s="412">
        <v>2231</v>
      </c>
      <c r="C482" s="132" t="str">
        <f>VLOOKUP(B482,Gegenstände!$A$2:$B$2026,2,FALSE)</f>
        <v>Jade-Haube</v>
      </c>
      <c r="D482" s="133">
        <f>VLOOKUP(B482,Gegenstände!$A$2:$D$2026,4,FALSE)</f>
        <v>19</v>
      </c>
      <c r="E482" s="468">
        <v>33</v>
      </c>
      <c r="F482" s="3">
        <v>240</v>
      </c>
      <c r="G482" s="54"/>
      <c r="H482" s="469">
        <v>66</v>
      </c>
      <c r="I482" s="12">
        <f t="shared" si="179"/>
        <v>18</v>
      </c>
      <c r="J482" s="470"/>
      <c r="K482" s="54">
        <v>15</v>
      </c>
      <c r="L482" s="3" t="s">
        <v>154</v>
      </c>
      <c r="M482" s="85">
        <v>14</v>
      </c>
      <c r="N482" s="83" t="s">
        <v>194</v>
      </c>
      <c r="O482" s="85">
        <v>15</v>
      </c>
      <c r="P482" s="83" t="s">
        <v>196</v>
      </c>
      <c r="Q482" s="85"/>
      <c r="R482" s="83"/>
      <c r="S482" s="170">
        <v>1</v>
      </c>
      <c r="T482" s="170" t="s">
        <v>247</v>
      </c>
      <c r="U482" s="471">
        <f>VLOOKUP(D482,Preise!$A$3:$C$28,3)</f>
        <v>12.375453605252243</v>
      </c>
      <c r="V482" s="523">
        <f>0.2*W482</f>
        <v>12375.453605252245</v>
      </c>
      <c r="W482" s="131">
        <f>U482*$V$466</f>
        <v>61877.268026261219</v>
      </c>
      <c r="X482" s="472">
        <f t="shared" si="180"/>
        <v>15900</v>
      </c>
      <c r="Y482" s="473">
        <f t="shared" si="181"/>
        <v>12400</v>
      </c>
      <c r="Z482" s="474">
        <f>IF(ISERROR(VLOOKUP(L482,Gegenstände!$B$2:$N$2026,13,FALSE)),0,VLOOKUP(L482,Gegenstände!$B$2:$N$2026,13,FALSE))</f>
        <v>270</v>
      </c>
      <c r="AA482" s="142">
        <f>IF(ISERROR(VLOOKUP(N482,Gegenstände!$B$2:$N$2026,13,FALSE)),0,VLOOKUP(N482,Gegenstände!$B$2:$N$2026,13,FALSE))</f>
        <v>80</v>
      </c>
      <c r="AB482" s="142">
        <f>IF(ISERROR(VLOOKUP(P482,Gegenstände!$B$2:$N$2026,13,FALSE)),0,VLOOKUP(P482,Gegenstände!$B$2:$N$2026,13,FALSE))</f>
        <v>200</v>
      </c>
      <c r="AC482" s="142">
        <f>IF(ISERROR(VLOOKUP(R482,Gegenstände!$B$2:$N$2026,13,FALSE)),0,VLOOKUP(R482,Gegenstände!$B$2:$N$2026,13,FALSE))</f>
        <v>0</v>
      </c>
      <c r="AD482" s="142">
        <f>IF(ISERROR(VLOOKUP(T482,Gegenstände!$B$2:$N$2026,13,FALSE)),0,VLOOKUP(T482,Gegenstände!$B$2:$N$2026,13,FALSE))</f>
        <v>3500</v>
      </c>
      <c r="AE482" s="475">
        <f t="shared" si="182"/>
        <v>4050</v>
      </c>
      <c r="AF482" s="476">
        <f t="shared" si="183"/>
        <v>4120</v>
      </c>
      <c r="AG482" s="128">
        <f t="shared" si="184"/>
        <v>0.32661290322580644</v>
      </c>
      <c r="AH482" s="128">
        <f t="shared" si="185"/>
        <v>0.33225806451612905</v>
      </c>
      <c r="AI482" s="129">
        <f t="shared" si="175"/>
        <v>0.65887096774193543</v>
      </c>
      <c r="AJ482" s="426">
        <f t="shared" si="176"/>
        <v>4230</v>
      </c>
      <c r="AK482" s="131">
        <f t="shared" si="177"/>
        <v>1057.5</v>
      </c>
      <c r="AL482" s="477">
        <f>AK482/VLOOKUP(IF(I482&gt;0,I482,1),Preise!$A$3:$B$27,2,FALSE)</f>
        <v>240.34090909090904</v>
      </c>
    </row>
    <row r="483" spans="1:38" s="3" customFormat="1" outlineLevel="1" x14ac:dyDescent="0.2">
      <c r="A483" s="412">
        <v>2232</v>
      </c>
      <c r="B483" s="412">
        <v>2232</v>
      </c>
      <c r="C483" s="132" t="str">
        <f>VLOOKUP(B483,Gegenstände!$A$2:$B$2026,2,FALSE)</f>
        <v>Jade-Robe</v>
      </c>
      <c r="D483" s="133">
        <f>VLOOKUP(B483,Gegenstände!$A$2:$D$2026,4,FALSE)</f>
        <v>19</v>
      </c>
      <c r="E483" s="468">
        <v>33</v>
      </c>
      <c r="F483" s="3">
        <v>360</v>
      </c>
      <c r="G483" s="54"/>
      <c r="H483" s="469">
        <v>66</v>
      </c>
      <c r="I483" s="12">
        <f t="shared" si="179"/>
        <v>18</v>
      </c>
      <c r="J483" s="470"/>
      <c r="K483" s="54">
        <v>23</v>
      </c>
      <c r="L483" s="3" t="s">
        <v>154</v>
      </c>
      <c r="M483" s="85">
        <v>14</v>
      </c>
      <c r="N483" s="83" t="s">
        <v>194</v>
      </c>
      <c r="O483" s="85">
        <v>25</v>
      </c>
      <c r="P483" s="83" t="s">
        <v>196</v>
      </c>
      <c r="Q483" s="85"/>
      <c r="R483" s="83"/>
      <c r="S483" s="170">
        <v>1</v>
      </c>
      <c r="T483" s="170" t="s">
        <v>247</v>
      </c>
      <c r="U483" s="471">
        <f>VLOOKUP(D483,Preise!$A$3:$C$28,3)</f>
        <v>12.375453605252243</v>
      </c>
      <c r="V483" s="523">
        <f>0.3*W483</f>
        <v>18563.180407878364</v>
      </c>
      <c r="W483" s="131">
        <f t="shared" si="178"/>
        <v>61877.268026261219</v>
      </c>
      <c r="X483" s="472">
        <f t="shared" si="180"/>
        <v>22100</v>
      </c>
      <c r="Y483" s="473">
        <f t="shared" si="181"/>
        <v>18600</v>
      </c>
      <c r="Z483" s="474">
        <f>IF(ISERROR(VLOOKUP(L483,Gegenstände!$B$2:$N$2026,13,FALSE)),0,VLOOKUP(L483,Gegenstände!$B$2:$N$2026,13,FALSE))</f>
        <v>270</v>
      </c>
      <c r="AA483" s="142">
        <f>IF(ISERROR(VLOOKUP(N483,Gegenstände!$B$2:$N$2026,13,FALSE)),0,VLOOKUP(N483,Gegenstände!$B$2:$N$2026,13,FALSE))</f>
        <v>80</v>
      </c>
      <c r="AB483" s="142">
        <f>IF(ISERROR(VLOOKUP(P483,Gegenstände!$B$2:$N$2026,13,FALSE)),0,VLOOKUP(P483,Gegenstände!$B$2:$N$2026,13,FALSE))</f>
        <v>200</v>
      </c>
      <c r="AC483" s="142">
        <f>IF(ISERROR(VLOOKUP(R483,Gegenstände!$B$2:$N$2026,13,FALSE)),0,VLOOKUP(R483,Gegenstände!$B$2:$N$2026,13,FALSE))</f>
        <v>0</v>
      </c>
      <c r="AD483" s="142">
        <f>IF(ISERROR(VLOOKUP(T483,Gegenstände!$B$2:$N$2026,13,FALSE)),0,VLOOKUP(T483,Gegenstände!$B$2:$N$2026,13,FALSE))</f>
        <v>3500</v>
      </c>
      <c r="AE483" s="475">
        <f t="shared" si="182"/>
        <v>6210</v>
      </c>
      <c r="AF483" s="476">
        <f t="shared" si="183"/>
        <v>6120</v>
      </c>
      <c r="AG483" s="128">
        <f t="shared" si="184"/>
        <v>0.33387096774193548</v>
      </c>
      <c r="AH483" s="128">
        <f t="shared" si="185"/>
        <v>0.32903225806451614</v>
      </c>
      <c r="AI483" s="129">
        <f t="shared" si="175"/>
        <v>0.66290322580645167</v>
      </c>
      <c r="AJ483" s="426">
        <f t="shared" si="176"/>
        <v>6270</v>
      </c>
      <c r="AK483" s="131">
        <f t="shared" si="177"/>
        <v>1045</v>
      </c>
      <c r="AL483" s="477">
        <f>AK483/VLOOKUP(IF(I483&gt;0,I483,1),Preise!$A$3:$B$27,2,FALSE)</f>
        <v>237.49999999999994</v>
      </c>
    </row>
    <row r="484" spans="1:38" s="3" customFormat="1" outlineLevel="1" x14ac:dyDescent="0.2">
      <c r="A484" s="412">
        <v>2233</v>
      </c>
      <c r="B484" s="412">
        <v>2233</v>
      </c>
      <c r="C484" s="132" t="str">
        <f>VLOOKUP(B484,Gegenstände!$A$2:$B$2026,2,FALSE)</f>
        <v>Jade-Handschuhe</v>
      </c>
      <c r="D484" s="133">
        <f>VLOOKUP(B484,Gegenstände!$A$2:$D$2026,4,FALSE)</f>
        <v>20</v>
      </c>
      <c r="E484" s="468">
        <v>33</v>
      </c>
      <c r="F484" s="3">
        <v>180</v>
      </c>
      <c r="G484" s="54"/>
      <c r="H484" s="469">
        <v>66</v>
      </c>
      <c r="I484" s="12">
        <f t="shared" si="179"/>
        <v>19</v>
      </c>
      <c r="J484" s="470"/>
      <c r="K484" s="54">
        <v>13</v>
      </c>
      <c r="L484" s="3" t="s">
        <v>154</v>
      </c>
      <c r="M484" s="85">
        <v>14</v>
      </c>
      <c r="N484" s="83" t="s">
        <v>194</v>
      </c>
      <c r="O484" s="85">
        <v>12</v>
      </c>
      <c r="P484" s="83" t="s">
        <v>196</v>
      </c>
      <c r="Q484" s="85"/>
      <c r="R484" s="83"/>
      <c r="S484" s="170">
        <v>1</v>
      </c>
      <c r="T484" s="170" t="s">
        <v>247</v>
      </c>
      <c r="U484" s="471">
        <f>VLOOKUP(D484,Preise!$A$3:$C$28,3)</f>
        <v>14.231771646040078</v>
      </c>
      <c r="V484" s="523">
        <f>0.15*W484</f>
        <v>10673.828734530058</v>
      </c>
      <c r="W484" s="131">
        <f t="shared" si="178"/>
        <v>71158.858230200392</v>
      </c>
      <c r="X484" s="472">
        <f t="shared" si="180"/>
        <v>14200</v>
      </c>
      <c r="Y484" s="473">
        <f t="shared" si="181"/>
        <v>10700</v>
      </c>
      <c r="Z484" s="474">
        <f>IF(ISERROR(VLOOKUP(L484,Gegenstände!$B$2:$N$2026,13,FALSE)),0,VLOOKUP(L484,Gegenstände!$B$2:$N$2026,13,FALSE))</f>
        <v>270</v>
      </c>
      <c r="AA484" s="142">
        <f>IF(ISERROR(VLOOKUP(N484,Gegenstände!$B$2:$N$2026,13,FALSE)),0,VLOOKUP(N484,Gegenstände!$B$2:$N$2026,13,FALSE))</f>
        <v>80</v>
      </c>
      <c r="AB484" s="142">
        <f>IF(ISERROR(VLOOKUP(P484,Gegenstände!$B$2:$N$2026,13,FALSE)),0,VLOOKUP(P484,Gegenstände!$B$2:$N$2026,13,FALSE))</f>
        <v>200</v>
      </c>
      <c r="AC484" s="142">
        <f>IF(ISERROR(VLOOKUP(R484,Gegenstände!$B$2:$N$2026,13,FALSE)),0,VLOOKUP(R484,Gegenstände!$B$2:$N$2026,13,FALSE))</f>
        <v>0</v>
      </c>
      <c r="AD484" s="142">
        <f>IF(ISERROR(VLOOKUP(T484,Gegenstände!$B$2:$N$2026,13,FALSE)),0,VLOOKUP(T484,Gegenstände!$B$2:$N$2026,13,FALSE))</f>
        <v>3500</v>
      </c>
      <c r="AE484" s="475">
        <f t="shared" si="182"/>
        <v>3510</v>
      </c>
      <c r="AF484" s="476">
        <f t="shared" si="183"/>
        <v>3520</v>
      </c>
      <c r="AG484" s="128">
        <f t="shared" si="184"/>
        <v>0.32803738317757009</v>
      </c>
      <c r="AH484" s="128">
        <f t="shared" si="185"/>
        <v>0.32897196261682243</v>
      </c>
      <c r="AI484" s="129">
        <f t="shared" si="175"/>
        <v>0.65700934579439252</v>
      </c>
      <c r="AJ484" s="426">
        <f t="shared" si="176"/>
        <v>3670</v>
      </c>
      <c r="AK484" s="131">
        <f t="shared" si="177"/>
        <v>1223.3333333333333</v>
      </c>
      <c r="AL484" s="477">
        <f>AK484/VLOOKUP(IF(I484&gt;0,I484,1),Preise!$A$3:$B$27,2,FALSE)</f>
        <v>265.94202898550714</v>
      </c>
    </row>
    <row r="485" spans="1:38" s="3" customFormat="1" outlineLevel="1" x14ac:dyDescent="0.2">
      <c r="A485" s="412">
        <v>2234</v>
      </c>
      <c r="B485" s="412">
        <v>2234</v>
      </c>
      <c r="C485" s="132" t="str">
        <f>VLOOKUP(B485,Gegenstände!$A$2:$B$2026,2,FALSE)</f>
        <v>Jade-Hose</v>
      </c>
      <c r="D485" s="133">
        <f>VLOOKUP(B485,Gegenstände!$A$2:$D$2026,4,FALSE)</f>
        <v>20</v>
      </c>
      <c r="E485" s="468">
        <v>33</v>
      </c>
      <c r="F485" s="3">
        <v>240</v>
      </c>
      <c r="G485" s="54"/>
      <c r="H485" s="469">
        <v>66</v>
      </c>
      <c r="I485" s="12">
        <f t="shared" si="179"/>
        <v>19</v>
      </c>
      <c r="J485" s="470"/>
      <c r="K485" s="54">
        <v>17</v>
      </c>
      <c r="L485" s="3" t="s">
        <v>154</v>
      </c>
      <c r="M485" s="85">
        <v>14</v>
      </c>
      <c r="N485" s="83" t="s">
        <v>194</v>
      </c>
      <c r="O485" s="85">
        <v>18</v>
      </c>
      <c r="P485" s="83" t="s">
        <v>196</v>
      </c>
      <c r="Q485" s="85"/>
      <c r="R485" s="83"/>
      <c r="S485" s="170">
        <v>1</v>
      </c>
      <c r="T485" s="170" t="s">
        <v>247</v>
      </c>
      <c r="U485" s="471">
        <f>VLOOKUP(D485,Preise!$A$3:$C$28,3)</f>
        <v>14.231771646040078</v>
      </c>
      <c r="V485" s="523">
        <f>0.2*W485</f>
        <v>14231.771646040079</v>
      </c>
      <c r="W485" s="131">
        <f t="shared" si="178"/>
        <v>71158.858230200392</v>
      </c>
      <c r="X485" s="472">
        <f t="shared" si="180"/>
        <v>17700</v>
      </c>
      <c r="Y485" s="473">
        <f t="shared" si="181"/>
        <v>14200</v>
      </c>
      <c r="Z485" s="474">
        <f>IF(ISERROR(VLOOKUP(L485,Gegenstände!$B$2:$N$2026,13,FALSE)),0,VLOOKUP(L485,Gegenstände!$B$2:$N$2026,13,FALSE))</f>
        <v>270</v>
      </c>
      <c r="AA485" s="142">
        <f>IF(ISERROR(VLOOKUP(N485,Gegenstände!$B$2:$N$2026,13,FALSE)),0,VLOOKUP(N485,Gegenstände!$B$2:$N$2026,13,FALSE))</f>
        <v>80</v>
      </c>
      <c r="AB485" s="142">
        <f>IF(ISERROR(VLOOKUP(P485,Gegenstände!$B$2:$N$2026,13,FALSE)),0,VLOOKUP(P485,Gegenstände!$B$2:$N$2026,13,FALSE))</f>
        <v>200</v>
      </c>
      <c r="AC485" s="142">
        <f>IF(ISERROR(VLOOKUP(R485,Gegenstände!$B$2:$N$2026,13,FALSE)),0,VLOOKUP(R485,Gegenstände!$B$2:$N$2026,13,FALSE))</f>
        <v>0</v>
      </c>
      <c r="AD485" s="142">
        <f>IF(ISERROR(VLOOKUP(T485,Gegenstände!$B$2:$N$2026,13,FALSE)),0,VLOOKUP(T485,Gegenstände!$B$2:$N$2026,13,FALSE))</f>
        <v>3500</v>
      </c>
      <c r="AE485" s="475">
        <f t="shared" si="182"/>
        <v>4590</v>
      </c>
      <c r="AF485" s="476">
        <f t="shared" si="183"/>
        <v>4720</v>
      </c>
      <c r="AG485" s="128">
        <f t="shared" si="184"/>
        <v>0.32323943661971832</v>
      </c>
      <c r="AH485" s="128">
        <f t="shared" si="185"/>
        <v>0.3323943661971831</v>
      </c>
      <c r="AI485" s="129">
        <f t="shared" si="175"/>
        <v>0.65563380281690142</v>
      </c>
      <c r="AJ485" s="426">
        <f t="shared" si="176"/>
        <v>4890</v>
      </c>
      <c r="AK485" s="131">
        <f t="shared" si="177"/>
        <v>1222.5</v>
      </c>
      <c r="AL485" s="477">
        <f>AK485/VLOOKUP(IF(I485&gt;0,I485,1),Preise!$A$3:$B$27,2,FALSE)</f>
        <v>265.76086956521732</v>
      </c>
    </row>
    <row r="486" spans="1:38" s="3" customFormat="1" outlineLevel="1" x14ac:dyDescent="0.2">
      <c r="A486" s="561">
        <v>2235</v>
      </c>
      <c r="B486" s="561">
        <v>2235</v>
      </c>
      <c r="C486" s="413" t="str">
        <f>VLOOKUP(B486,Gegenstände!$A$2:$B$2026,2,FALSE)</f>
        <v>Jade-Schuhe</v>
      </c>
      <c r="D486" s="562">
        <f>VLOOKUP(B486,Gegenstände!$A$2:$D$2026,4,FALSE)</f>
        <v>20</v>
      </c>
      <c r="E486" s="563">
        <v>33</v>
      </c>
      <c r="F486" s="334">
        <v>180</v>
      </c>
      <c r="G486" s="335"/>
      <c r="H486" s="565">
        <v>66</v>
      </c>
      <c r="I486" s="610">
        <f t="shared" si="179"/>
        <v>19</v>
      </c>
      <c r="J486" s="566"/>
      <c r="K486" s="335">
        <v>13</v>
      </c>
      <c r="L486" s="334" t="s">
        <v>154</v>
      </c>
      <c r="M486" s="567">
        <v>14</v>
      </c>
      <c r="N486" s="568" t="s">
        <v>194</v>
      </c>
      <c r="O486" s="567">
        <v>12</v>
      </c>
      <c r="P486" s="568" t="s">
        <v>196</v>
      </c>
      <c r="Q486" s="567"/>
      <c r="R486" s="568"/>
      <c r="S486" s="569">
        <v>1</v>
      </c>
      <c r="T486" s="569" t="s">
        <v>247</v>
      </c>
      <c r="U486" s="611">
        <f>VLOOKUP(D486,Preise!$A$3:$C$28,3)</f>
        <v>14.231771646040078</v>
      </c>
      <c r="V486" s="558">
        <f>0.15*W486</f>
        <v>10673.828734530058</v>
      </c>
      <c r="W486" s="559">
        <f t="shared" si="178"/>
        <v>71158.858230200392</v>
      </c>
      <c r="X486" s="560">
        <f t="shared" si="180"/>
        <v>14200</v>
      </c>
      <c r="Y486" s="612">
        <f t="shared" si="181"/>
        <v>10700</v>
      </c>
      <c r="Z486" s="613">
        <f>IF(ISERROR(VLOOKUP(L486,Gegenstände!$B$2:$N$2026,13,FALSE)),0,VLOOKUP(L486,Gegenstände!$B$2:$N$2026,13,FALSE))</f>
        <v>270</v>
      </c>
      <c r="AA486" s="614">
        <f>IF(ISERROR(VLOOKUP(N486,Gegenstände!$B$2:$N$2026,13,FALSE)),0,VLOOKUP(N486,Gegenstände!$B$2:$N$2026,13,FALSE))</f>
        <v>80</v>
      </c>
      <c r="AB486" s="614">
        <f>IF(ISERROR(VLOOKUP(P486,Gegenstände!$B$2:$N$2026,13,FALSE)),0,VLOOKUP(P486,Gegenstände!$B$2:$N$2026,13,FALSE))</f>
        <v>200</v>
      </c>
      <c r="AC486" s="614">
        <f>IF(ISERROR(VLOOKUP(R486,Gegenstände!$B$2:$N$2026,13,FALSE)),0,VLOOKUP(R486,Gegenstände!$B$2:$N$2026,13,FALSE))</f>
        <v>0</v>
      </c>
      <c r="AD486" s="614">
        <f>IF(ISERROR(VLOOKUP(T486,Gegenstände!$B$2:$N$2026,13,FALSE)),0,VLOOKUP(T486,Gegenstände!$B$2:$N$2026,13,FALSE))</f>
        <v>3500</v>
      </c>
      <c r="AE486" s="615">
        <f t="shared" si="182"/>
        <v>3510</v>
      </c>
      <c r="AF486" s="616">
        <f t="shared" si="183"/>
        <v>3520</v>
      </c>
      <c r="AG486" s="617">
        <f t="shared" si="184"/>
        <v>0.32803738317757009</v>
      </c>
      <c r="AH486" s="617">
        <f t="shared" si="185"/>
        <v>0.32897196261682243</v>
      </c>
      <c r="AI486" s="618">
        <f t="shared" si="175"/>
        <v>0.65700934579439252</v>
      </c>
      <c r="AJ486" s="619">
        <f t="shared" si="176"/>
        <v>3670</v>
      </c>
      <c r="AK486" s="559">
        <f t="shared" si="177"/>
        <v>1223.3333333333333</v>
      </c>
      <c r="AL486" s="620">
        <f>AK486/VLOOKUP(IF(I486&gt;0,I486,1),Preise!$A$3:$B$27,2,FALSE)</f>
        <v>265.94202898550714</v>
      </c>
    </row>
    <row r="487" spans="1:38" s="3" customFormat="1" outlineLevel="1" x14ac:dyDescent="0.2">
      <c r="A487" s="412">
        <v>2241</v>
      </c>
      <c r="B487" s="412">
        <v>2241</v>
      </c>
      <c r="C487" s="132" t="str">
        <f>VLOOKUP(B487,Gegenstände!$A$2:$B$2026,2,FALSE)</f>
        <v>Onyx-Haube</v>
      </c>
      <c r="D487" s="133">
        <f>VLOOKUP(B487,Gegenstände!$A$2:$D$2026,4,FALSE)</f>
        <v>24</v>
      </c>
      <c r="E487" s="468">
        <v>33</v>
      </c>
      <c r="F487" s="3">
        <v>240</v>
      </c>
      <c r="G487" s="54"/>
      <c r="H487" s="469">
        <v>66</v>
      </c>
      <c r="I487" s="12">
        <f t="shared" si="179"/>
        <v>23</v>
      </c>
      <c r="J487" s="470"/>
      <c r="K487" s="54">
        <v>22</v>
      </c>
      <c r="L487" s="3" t="s">
        <v>155</v>
      </c>
      <c r="M487" s="85">
        <v>8</v>
      </c>
      <c r="N487" s="83" t="s">
        <v>194</v>
      </c>
      <c r="O487" s="85">
        <v>8</v>
      </c>
      <c r="P487" s="83" t="s">
        <v>196</v>
      </c>
      <c r="Q487" s="85">
        <v>12</v>
      </c>
      <c r="R487" s="83" t="s">
        <v>197</v>
      </c>
      <c r="S487" s="170">
        <v>1</v>
      </c>
      <c r="T487" s="170" t="s">
        <v>248</v>
      </c>
      <c r="U487" s="471">
        <f>VLOOKUP(D487,Preise!$A$3:$C$28,3)</f>
        <v>24.891457557496878</v>
      </c>
      <c r="V487" s="523">
        <f>0.2*W487</f>
        <v>24891.457557496877</v>
      </c>
      <c r="W487" s="131">
        <f>U487*$V$466</f>
        <v>124457.28778748438</v>
      </c>
      <c r="X487" s="472">
        <f t="shared" si="180"/>
        <v>29900</v>
      </c>
      <c r="Y487" s="473">
        <f t="shared" si="181"/>
        <v>24900</v>
      </c>
      <c r="Z487" s="474">
        <f>IF(ISERROR(VLOOKUP(L487,Gegenstände!$B$2:$N$2026,13,FALSE)),0,VLOOKUP(L487,Gegenstände!$B$2:$N$2026,13,FALSE))</f>
        <v>360</v>
      </c>
      <c r="AA487" s="142">
        <f>IF(ISERROR(VLOOKUP(N487,Gegenstände!$B$2:$N$2026,13,FALSE)),0,VLOOKUP(N487,Gegenstände!$B$2:$N$2026,13,FALSE))</f>
        <v>80</v>
      </c>
      <c r="AB487" s="142">
        <f>IF(ISERROR(VLOOKUP(P487,Gegenstände!$B$2:$N$2026,13,FALSE)),0,VLOOKUP(P487,Gegenstände!$B$2:$N$2026,13,FALSE))</f>
        <v>200</v>
      </c>
      <c r="AC487" s="142">
        <f>IF(ISERROR(VLOOKUP(R487,Gegenstände!$B$2:$N$2026,13,FALSE)),0,VLOOKUP(R487,Gegenstände!$B$2:$N$2026,13,FALSE))</f>
        <v>500</v>
      </c>
      <c r="AD487" s="142">
        <f>IF(ISERROR(VLOOKUP(T487,Gegenstände!$B$2:$N$2026,13,FALSE)),0,VLOOKUP(T487,Gegenstände!$B$2:$N$2026,13,FALSE))</f>
        <v>5000</v>
      </c>
      <c r="AE487" s="475">
        <f t="shared" si="182"/>
        <v>7920</v>
      </c>
      <c r="AF487" s="476">
        <f t="shared" si="183"/>
        <v>8240</v>
      </c>
      <c r="AG487" s="128">
        <f t="shared" si="184"/>
        <v>0.3180722891566265</v>
      </c>
      <c r="AH487" s="128">
        <f t="shared" si="185"/>
        <v>0.33092369477911648</v>
      </c>
      <c r="AI487" s="129">
        <f t="shared" si="175"/>
        <v>0.64899598393574298</v>
      </c>
      <c r="AJ487" s="426">
        <f t="shared" si="176"/>
        <v>8740</v>
      </c>
      <c r="AK487" s="131">
        <f t="shared" si="177"/>
        <v>2185</v>
      </c>
      <c r="AL487" s="477">
        <f>AK487/VLOOKUP(IF(I487&gt;0,I487,1),Preise!$A$3:$B$27,2,FALSE)</f>
        <v>404.62962962962945</v>
      </c>
    </row>
    <row r="488" spans="1:38" s="3" customFormat="1" outlineLevel="1" x14ac:dyDescent="0.2">
      <c r="A488" s="412">
        <v>2242</v>
      </c>
      <c r="B488" s="412">
        <v>2242</v>
      </c>
      <c r="C488" s="132" t="str">
        <f>VLOOKUP(B488,Gegenstände!$A$2:$B$2026,2,FALSE)</f>
        <v>Onyx-Robe</v>
      </c>
      <c r="D488" s="133">
        <f>VLOOKUP(B488,Gegenstände!$A$2:$D$2026,4,FALSE)</f>
        <v>24</v>
      </c>
      <c r="E488" s="468">
        <v>33</v>
      </c>
      <c r="F488" s="3">
        <v>360</v>
      </c>
      <c r="G488" s="54"/>
      <c r="H488" s="469">
        <v>66</v>
      </c>
      <c r="I488" s="12">
        <f t="shared" si="179"/>
        <v>23</v>
      </c>
      <c r="J488" s="470"/>
      <c r="K488" s="54">
        <v>34</v>
      </c>
      <c r="L488" s="3" t="s">
        <v>155</v>
      </c>
      <c r="M488" s="85">
        <v>15</v>
      </c>
      <c r="N488" s="83" t="s">
        <v>194</v>
      </c>
      <c r="O488" s="85">
        <v>10</v>
      </c>
      <c r="P488" s="83" t="s">
        <v>196</v>
      </c>
      <c r="Q488" s="85">
        <v>18</v>
      </c>
      <c r="R488" s="83" t="s">
        <v>197</v>
      </c>
      <c r="S488" s="170">
        <v>1</v>
      </c>
      <c r="T488" s="170" t="s">
        <v>248</v>
      </c>
      <c r="U488" s="471">
        <f>VLOOKUP(D488,Preise!$A$3:$C$28,3)</f>
        <v>24.891457557496878</v>
      </c>
      <c r="V488" s="523">
        <f>0.3*W488</f>
        <v>37337.186336245315</v>
      </c>
      <c r="W488" s="131">
        <f t="shared" si="178"/>
        <v>124457.28778748438</v>
      </c>
      <c r="X488" s="472">
        <f t="shared" si="180"/>
        <v>42300</v>
      </c>
      <c r="Y488" s="473">
        <f t="shared" si="181"/>
        <v>37300</v>
      </c>
      <c r="Z488" s="474">
        <f>IF(ISERROR(VLOOKUP(L488,Gegenstände!$B$2:$N$2026,13,FALSE)),0,VLOOKUP(L488,Gegenstände!$B$2:$N$2026,13,FALSE))</f>
        <v>360</v>
      </c>
      <c r="AA488" s="142">
        <f>IF(ISERROR(VLOOKUP(N488,Gegenstände!$B$2:$N$2026,13,FALSE)),0,VLOOKUP(N488,Gegenstände!$B$2:$N$2026,13,FALSE))</f>
        <v>80</v>
      </c>
      <c r="AB488" s="142">
        <f>IF(ISERROR(VLOOKUP(P488,Gegenstände!$B$2:$N$2026,13,FALSE)),0,VLOOKUP(P488,Gegenstände!$B$2:$N$2026,13,FALSE))</f>
        <v>200</v>
      </c>
      <c r="AC488" s="142">
        <f>IF(ISERROR(VLOOKUP(R488,Gegenstände!$B$2:$N$2026,13,FALSE)),0,VLOOKUP(R488,Gegenstände!$B$2:$N$2026,13,FALSE))</f>
        <v>500</v>
      </c>
      <c r="AD488" s="142">
        <f>IF(ISERROR(VLOOKUP(T488,Gegenstände!$B$2:$N$2026,13,FALSE)),0,VLOOKUP(T488,Gegenstände!$B$2:$N$2026,13,FALSE))</f>
        <v>5000</v>
      </c>
      <c r="AE488" s="475">
        <f t="shared" si="182"/>
        <v>12240</v>
      </c>
      <c r="AF488" s="476">
        <f t="shared" si="183"/>
        <v>12200</v>
      </c>
      <c r="AG488" s="128">
        <f t="shared" si="184"/>
        <v>0.32815013404825738</v>
      </c>
      <c r="AH488" s="128">
        <f t="shared" si="185"/>
        <v>0.32707774798927614</v>
      </c>
      <c r="AI488" s="129">
        <f t="shared" si="175"/>
        <v>0.65522788203753346</v>
      </c>
      <c r="AJ488" s="426">
        <f t="shared" si="176"/>
        <v>12860</v>
      </c>
      <c r="AK488" s="131">
        <f t="shared" si="177"/>
        <v>2143.3333333333335</v>
      </c>
      <c r="AL488" s="477">
        <f>AK488/VLOOKUP(IF(I488&gt;0,I488,1),Preise!$A$3:$B$27,2,FALSE)</f>
        <v>396.91358024691345</v>
      </c>
    </row>
    <row r="489" spans="1:38" s="3" customFormat="1" outlineLevel="1" x14ac:dyDescent="0.2">
      <c r="A489" s="412">
        <v>2243</v>
      </c>
      <c r="B489" s="412">
        <v>2243</v>
      </c>
      <c r="C489" s="132" t="str">
        <f>VLOOKUP(B489,Gegenstände!$A$2:$B$2026,2,FALSE)</f>
        <v>Onyx-Handschuhe</v>
      </c>
      <c r="D489" s="133">
        <f>VLOOKUP(B489,Gegenstände!$A$2:$D$2026,4,FALSE)</f>
        <v>25</v>
      </c>
      <c r="E489" s="468">
        <v>33</v>
      </c>
      <c r="F489" s="3">
        <v>180</v>
      </c>
      <c r="G489" s="54"/>
      <c r="H489" s="469">
        <v>66</v>
      </c>
      <c r="I489" s="12">
        <f t="shared" si="179"/>
        <v>24</v>
      </c>
      <c r="J489" s="470"/>
      <c r="K489" s="54">
        <v>20</v>
      </c>
      <c r="L489" s="3" t="s">
        <v>155</v>
      </c>
      <c r="M489" s="85">
        <v>6</v>
      </c>
      <c r="N489" s="83" t="s">
        <v>194</v>
      </c>
      <c r="O489" s="85">
        <v>8</v>
      </c>
      <c r="P489" s="83" t="s">
        <v>196</v>
      </c>
      <c r="Q489" s="85">
        <v>10</v>
      </c>
      <c r="R489" s="83" t="s">
        <v>197</v>
      </c>
      <c r="S489" s="170">
        <v>1</v>
      </c>
      <c r="T489" s="170" t="s">
        <v>248</v>
      </c>
      <c r="U489" s="471">
        <f>VLOOKUP(D489,Preise!$A$3:$C$28,3)</f>
        <v>28.625176191121408</v>
      </c>
      <c r="V489" s="523">
        <f>0.15*W489</f>
        <v>21468.882143341056</v>
      </c>
      <c r="W489" s="131">
        <f t="shared" si="178"/>
        <v>143125.88095560705</v>
      </c>
      <c r="X489" s="472">
        <f t="shared" si="180"/>
        <v>26500</v>
      </c>
      <c r="Y489" s="473">
        <f t="shared" si="181"/>
        <v>21500</v>
      </c>
      <c r="Z489" s="474">
        <f>IF(ISERROR(VLOOKUP(L489,Gegenstände!$B$2:$N$2026,13,FALSE)),0,VLOOKUP(L489,Gegenstände!$B$2:$N$2026,13,FALSE))</f>
        <v>360</v>
      </c>
      <c r="AA489" s="142">
        <f>IF(ISERROR(VLOOKUP(N489,Gegenstände!$B$2:$N$2026,13,FALSE)),0,VLOOKUP(N489,Gegenstände!$B$2:$N$2026,13,FALSE))</f>
        <v>80</v>
      </c>
      <c r="AB489" s="142">
        <f>IF(ISERROR(VLOOKUP(P489,Gegenstände!$B$2:$N$2026,13,FALSE)),0,VLOOKUP(P489,Gegenstände!$B$2:$N$2026,13,FALSE))</f>
        <v>200</v>
      </c>
      <c r="AC489" s="142">
        <f>IF(ISERROR(VLOOKUP(R489,Gegenstände!$B$2:$N$2026,13,FALSE)),0,VLOOKUP(R489,Gegenstände!$B$2:$N$2026,13,FALSE))</f>
        <v>500</v>
      </c>
      <c r="AD489" s="142">
        <f>IF(ISERROR(VLOOKUP(T489,Gegenstände!$B$2:$N$2026,13,FALSE)),0,VLOOKUP(T489,Gegenstände!$B$2:$N$2026,13,FALSE))</f>
        <v>5000</v>
      </c>
      <c r="AE489" s="475">
        <f t="shared" si="182"/>
        <v>7200</v>
      </c>
      <c r="AF489" s="476">
        <f t="shared" si="183"/>
        <v>7080</v>
      </c>
      <c r="AG489" s="128">
        <f t="shared" si="184"/>
        <v>0.33488372093023255</v>
      </c>
      <c r="AH489" s="128">
        <f t="shared" si="185"/>
        <v>0.32930232558139533</v>
      </c>
      <c r="AI489" s="129">
        <f t="shared" si="175"/>
        <v>0.66418604651162794</v>
      </c>
      <c r="AJ489" s="426">
        <f t="shared" si="176"/>
        <v>7220</v>
      </c>
      <c r="AK489" s="131">
        <f t="shared" si="177"/>
        <v>2406.6666666666665</v>
      </c>
      <c r="AL489" s="477">
        <f>AK489/VLOOKUP(IF(I489&gt;0,I489,1),Preise!$A$3:$B$27,2,FALSE)</f>
        <v>429.76190476190453</v>
      </c>
    </row>
    <row r="490" spans="1:38" s="3" customFormat="1" outlineLevel="1" x14ac:dyDescent="0.2">
      <c r="A490" s="412">
        <v>2244</v>
      </c>
      <c r="B490" s="412">
        <v>2244</v>
      </c>
      <c r="C490" s="132" t="str">
        <f>VLOOKUP(B490,Gegenstände!$A$2:$B$2026,2,FALSE)</f>
        <v>Onyx-Hose</v>
      </c>
      <c r="D490" s="133">
        <f>VLOOKUP(B490,Gegenstände!$A$2:$D$2026,4,FALSE)</f>
        <v>25</v>
      </c>
      <c r="E490" s="468">
        <v>33</v>
      </c>
      <c r="F490" s="3">
        <v>240</v>
      </c>
      <c r="G490" s="54"/>
      <c r="H490" s="469">
        <v>66</v>
      </c>
      <c r="I490" s="12">
        <f t="shared" si="179"/>
        <v>24</v>
      </c>
      <c r="J490" s="470"/>
      <c r="K490" s="54">
        <v>26</v>
      </c>
      <c r="L490" s="3" t="s">
        <v>155</v>
      </c>
      <c r="M490" s="85">
        <v>8</v>
      </c>
      <c r="N490" s="83" t="s">
        <v>194</v>
      </c>
      <c r="O490" s="85">
        <v>6</v>
      </c>
      <c r="P490" s="83" t="s">
        <v>196</v>
      </c>
      <c r="Q490" s="85">
        <v>15</v>
      </c>
      <c r="R490" s="83" t="s">
        <v>197</v>
      </c>
      <c r="S490" s="170">
        <v>1</v>
      </c>
      <c r="T490" s="170" t="s">
        <v>248</v>
      </c>
      <c r="U490" s="471">
        <f>VLOOKUP(D490,Preise!$A$3:$C$28,3)</f>
        <v>28.625176191121408</v>
      </c>
      <c r="V490" s="523">
        <f>0.2*W490</f>
        <v>28625.176191121413</v>
      </c>
      <c r="W490" s="131">
        <f t="shared" si="178"/>
        <v>143125.88095560705</v>
      </c>
      <c r="X490" s="472">
        <f t="shared" si="180"/>
        <v>33600</v>
      </c>
      <c r="Y490" s="473">
        <f t="shared" si="181"/>
        <v>28600</v>
      </c>
      <c r="Z490" s="474">
        <f>IF(ISERROR(VLOOKUP(L490,Gegenstände!$B$2:$N$2026,13,FALSE)),0,VLOOKUP(L490,Gegenstände!$B$2:$N$2026,13,FALSE))</f>
        <v>360</v>
      </c>
      <c r="AA490" s="142">
        <f>IF(ISERROR(VLOOKUP(N490,Gegenstände!$B$2:$N$2026,13,FALSE)),0,VLOOKUP(N490,Gegenstände!$B$2:$N$2026,13,FALSE))</f>
        <v>80</v>
      </c>
      <c r="AB490" s="142">
        <f>IF(ISERROR(VLOOKUP(P490,Gegenstände!$B$2:$N$2026,13,FALSE)),0,VLOOKUP(P490,Gegenstände!$B$2:$N$2026,13,FALSE))</f>
        <v>200</v>
      </c>
      <c r="AC490" s="142">
        <f>IF(ISERROR(VLOOKUP(R490,Gegenstände!$B$2:$N$2026,13,FALSE)),0,VLOOKUP(R490,Gegenstände!$B$2:$N$2026,13,FALSE))</f>
        <v>500</v>
      </c>
      <c r="AD490" s="142">
        <f>IF(ISERROR(VLOOKUP(T490,Gegenstände!$B$2:$N$2026,13,FALSE)),0,VLOOKUP(T490,Gegenstände!$B$2:$N$2026,13,FALSE))</f>
        <v>5000</v>
      </c>
      <c r="AE490" s="475">
        <f t="shared" si="182"/>
        <v>9360</v>
      </c>
      <c r="AF490" s="476">
        <f t="shared" si="183"/>
        <v>9340</v>
      </c>
      <c r="AG490" s="128">
        <f t="shared" si="184"/>
        <v>0.32727272727272727</v>
      </c>
      <c r="AH490" s="128">
        <f t="shared" si="185"/>
        <v>0.32657342657342658</v>
      </c>
      <c r="AI490" s="129">
        <f t="shared" si="175"/>
        <v>0.65384615384615385</v>
      </c>
      <c r="AJ490" s="426">
        <f t="shared" si="176"/>
        <v>9900</v>
      </c>
      <c r="AK490" s="131">
        <f t="shared" si="177"/>
        <v>2475</v>
      </c>
      <c r="AL490" s="477">
        <f>AK490/VLOOKUP(IF(I490&gt;0,I490,1),Preise!$A$3:$B$27,2,FALSE)</f>
        <v>441.96428571428555</v>
      </c>
    </row>
    <row r="491" spans="1:38" s="3" customFormat="1" outlineLevel="1" x14ac:dyDescent="0.2">
      <c r="A491" s="561">
        <v>2245</v>
      </c>
      <c r="B491" s="561">
        <v>2245</v>
      </c>
      <c r="C491" s="413" t="str">
        <f>VLOOKUP(B491,Gegenstände!$A$2:$B$2026,2,FALSE)</f>
        <v>Onyx-Schuhe</v>
      </c>
      <c r="D491" s="562">
        <f>VLOOKUP(B491,Gegenstände!$A$2:$D$2026,4,FALSE)</f>
        <v>25</v>
      </c>
      <c r="E491" s="563">
        <v>33</v>
      </c>
      <c r="F491" s="334">
        <v>180</v>
      </c>
      <c r="G491" s="335"/>
      <c r="H491" s="565">
        <v>66</v>
      </c>
      <c r="I491" s="12">
        <f t="shared" si="179"/>
        <v>24</v>
      </c>
      <c r="J491" s="566"/>
      <c r="K491" s="335">
        <v>20</v>
      </c>
      <c r="L491" s="334" t="s">
        <v>155</v>
      </c>
      <c r="M491" s="567">
        <v>6</v>
      </c>
      <c r="N491" s="568" t="s">
        <v>194</v>
      </c>
      <c r="O491" s="567">
        <v>8</v>
      </c>
      <c r="P491" s="568" t="s">
        <v>196</v>
      </c>
      <c r="Q491" s="567">
        <v>10</v>
      </c>
      <c r="R491" s="568" t="s">
        <v>197</v>
      </c>
      <c r="S491" s="569">
        <v>1</v>
      </c>
      <c r="T491" s="569" t="s">
        <v>248</v>
      </c>
      <c r="U491" s="471">
        <f>VLOOKUP(D491,Preise!$A$3:$C$28,3)</f>
        <v>28.625176191121408</v>
      </c>
      <c r="V491" s="558">
        <f>0.15*W491</f>
        <v>21468.882143341056</v>
      </c>
      <c r="W491" s="559">
        <f t="shared" si="178"/>
        <v>143125.88095560705</v>
      </c>
      <c r="X491" s="472">
        <f t="shared" si="180"/>
        <v>26500</v>
      </c>
      <c r="Y491" s="473">
        <f t="shared" si="181"/>
        <v>21500</v>
      </c>
      <c r="Z491" s="613">
        <f>IF(ISERROR(VLOOKUP(L491,Gegenstände!$B$2:$N$2026,13,FALSE)),0,VLOOKUP(L491,Gegenstände!$B$2:$N$2026,13,FALSE))</f>
        <v>360</v>
      </c>
      <c r="AA491" s="614">
        <f>IF(ISERROR(VLOOKUP(N491,Gegenstände!$B$2:$N$2026,13,FALSE)),0,VLOOKUP(N491,Gegenstände!$B$2:$N$2026,13,FALSE))</f>
        <v>80</v>
      </c>
      <c r="AB491" s="614">
        <f>IF(ISERROR(VLOOKUP(P491,Gegenstände!$B$2:$N$2026,13,FALSE)),0,VLOOKUP(P491,Gegenstände!$B$2:$N$2026,13,FALSE))</f>
        <v>200</v>
      </c>
      <c r="AC491" s="614">
        <f>IF(ISERROR(VLOOKUP(R491,Gegenstände!$B$2:$N$2026,13,FALSE)),0,VLOOKUP(R491,Gegenstände!$B$2:$N$2026,13,FALSE))</f>
        <v>500</v>
      </c>
      <c r="AD491" s="142">
        <f>IF(ISERROR(VLOOKUP(T491,Gegenstände!$B$2:$N$2026,13,FALSE)),0,VLOOKUP(T491,Gegenstände!$B$2:$N$2026,13,FALSE))</f>
        <v>5000</v>
      </c>
      <c r="AE491" s="475">
        <f t="shared" si="182"/>
        <v>7200</v>
      </c>
      <c r="AF491" s="476">
        <f t="shared" si="183"/>
        <v>7080</v>
      </c>
      <c r="AG491" s="128">
        <f t="shared" si="184"/>
        <v>0.33488372093023255</v>
      </c>
      <c r="AH491" s="128">
        <f t="shared" si="185"/>
        <v>0.32930232558139533</v>
      </c>
      <c r="AI491" s="618">
        <f t="shared" si="175"/>
        <v>0.66418604651162794</v>
      </c>
      <c r="AJ491" s="619">
        <f t="shared" si="176"/>
        <v>7220</v>
      </c>
      <c r="AK491" s="559">
        <f t="shared" si="177"/>
        <v>2406.6666666666665</v>
      </c>
      <c r="AL491" s="620">
        <f>AK491/VLOOKUP(IF(I491&gt;0,I491,1),Preise!$A$3:$B$27,2,FALSE)</f>
        <v>429.76190476190453</v>
      </c>
    </row>
    <row r="492" spans="1:38" s="3" customFormat="1" x14ac:dyDescent="0.2">
      <c r="A492" s="581"/>
      <c r="B492" s="399"/>
      <c r="C492" s="193"/>
      <c r="D492" s="194"/>
      <c r="E492" s="582"/>
      <c r="F492" s="197"/>
      <c r="G492" s="194"/>
      <c r="H492" s="583"/>
      <c r="I492" s="597"/>
      <c r="J492" s="585"/>
      <c r="K492" s="584"/>
      <c r="L492" s="192"/>
      <c r="M492" s="584"/>
      <c r="N492" s="192"/>
      <c r="O492" s="584"/>
      <c r="P492" s="192"/>
      <c r="Q492" s="584"/>
      <c r="R492" s="192"/>
      <c r="S492" s="586"/>
      <c r="T492" s="587"/>
      <c r="U492" s="598"/>
      <c r="V492" s="589">
        <v>5000</v>
      </c>
      <c r="W492" s="590"/>
      <c r="X492" s="599"/>
      <c r="Y492" s="621"/>
      <c r="Z492" s="400"/>
      <c r="AA492" s="193"/>
      <c r="AB492" s="193"/>
      <c r="AC492" s="193"/>
      <c r="AD492" s="601"/>
      <c r="AE492" s="602"/>
      <c r="AF492" s="603"/>
      <c r="AG492" s="604"/>
      <c r="AH492" s="604"/>
      <c r="AI492" s="594"/>
      <c r="AJ492" s="595"/>
      <c r="AK492" s="200"/>
      <c r="AL492" s="596"/>
    </row>
    <row r="493" spans="1:38" s="3" customFormat="1" ht="13.5" customHeight="1" outlineLevel="1" x14ac:dyDescent="0.2">
      <c r="A493" s="412">
        <v>2301</v>
      </c>
      <c r="B493" s="412">
        <v>2301</v>
      </c>
      <c r="C493" s="132" t="str">
        <f>VLOOKUP(B493,Gegenstände!$A$2:$B$2026,2,FALSE)</f>
        <v>Achat-Lederhelm</v>
      </c>
      <c r="D493" s="133">
        <f>VLOOKUP(B493,Gegenstände!$A$2:$D$2026,4,FALSE)</f>
        <v>4</v>
      </c>
      <c r="E493" s="468">
        <v>31</v>
      </c>
      <c r="F493" s="3">
        <v>240</v>
      </c>
      <c r="G493" s="54"/>
      <c r="H493" s="469">
        <v>61</v>
      </c>
      <c r="I493" s="12">
        <f t="shared" si="179"/>
        <v>3</v>
      </c>
      <c r="J493" s="470"/>
      <c r="K493" s="54">
        <v>8</v>
      </c>
      <c r="L493" s="3" t="s">
        <v>163</v>
      </c>
      <c r="M493" s="85">
        <v>6</v>
      </c>
      <c r="N493" s="83" t="s">
        <v>198</v>
      </c>
      <c r="O493" s="85"/>
      <c r="P493" s="83"/>
      <c r="Q493" s="85"/>
      <c r="R493" s="83"/>
      <c r="S493" s="170">
        <v>1</v>
      </c>
      <c r="T493" s="170" t="s">
        <v>239</v>
      </c>
      <c r="U493" s="471">
        <f>VLOOKUP(D493,Preise!$A$3:$C$28,3)</f>
        <v>1.5208749999999995</v>
      </c>
      <c r="V493" s="523">
        <f>0.2*W493</f>
        <v>1520.8749999999995</v>
      </c>
      <c r="W493" s="131">
        <f t="shared" ref="W493:W508" si="186">U493*$V$466</f>
        <v>7604.3749999999973</v>
      </c>
      <c r="X493" s="472">
        <f t="shared" si="180"/>
        <v>2000</v>
      </c>
      <c r="Y493" s="473">
        <f t="shared" si="181"/>
        <v>1500</v>
      </c>
      <c r="Z493" s="474">
        <f>IF(ISERROR(VLOOKUP(L493,Gegenstände!$B$2:$N$2026,13,FALSE)),0,VLOOKUP(L493,Gegenstände!$B$2:$N$2026,13,FALSE))</f>
        <v>60</v>
      </c>
      <c r="AA493" s="142">
        <f>IF(ISERROR(VLOOKUP(N493,Gegenstände!$B$2:$N$2026,13,FALSE)),0,VLOOKUP(N493,Gegenstände!$B$2:$N$2026,13,FALSE))</f>
        <v>80</v>
      </c>
      <c r="AB493" s="142">
        <f>IF(ISERROR(VLOOKUP(P493,Gegenstände!$B$2:$N$2026,13,FALSE)),0,VLOOKUP(P493,Gegenstände!$B$2:$N$2026,13,FALSE))</f>
        <v>0</v>
      </c>
      <c r="AC493" s="142">
        <f>IF(ISERROR(VLOOKUP(R493,Gegenstände!$B$2:$N$2026,13,FALSE)),0,VLOOKUP(R493,Gegenstände!$B$2:$N$2026,13,FALSE))</f>
        <v>0</v>
      </c>
      <c r="AD493" s="142">
        <f>IF(ISERROR(VLOOKUP(T493,Gegenstände!$B$2:$N$2026,13,FALSE)),0,VLOOKUP(T493,Gegenstände!$B$2:$N$2026,13,FALSE))</f>
        <v>500</v>
      </c>
      <c r="AE493" s="475">
        <f t="shared" si="182"/>
        <v>480</v>
      </c>
      <c r="AF493" s="476">
        <f t="shared" si="183"/>
        <v>480</v>
      </c>
      <c r="AG493" s="128">
        <f t="shared" si="184"/>
        <v>0.32</v>
      </c>
      <c r="AH493" s="128">
        <f t="shared" si="185"/>
        <v>0.32</v>
      </c>
      <c r="AI493" s="129">
        <f t="shared" ref="AI493:AI517" si="187">(AE493+AF493)/Y493</f>
        <v>0.64</v>
      </c>
      <c r="AJ493" s="426">
        <f t="shared" ref="AJ493:AJ517" si="188">Y493-(AE493+AF493)</f>
        <v>540</v>
      </c>
      <c r="AK493" s="131">
        <f t="shared" ref="AK493:AK517" si="189">(AJ493*60)/F493</f>
        <v>135</v>
      </c>
      <c r="AL493" s="477">
        <f>AK493/VLOOKUP(IF(I493&gt;0,I493,1),Preise!$A$3:$B$27,2,FALSE)</f>
        <v>96.428571428571431</v>
      </c>
    </row>
    <row r="494" spans="1:38" s="3" customFormat="1" ht="13.5" customHeight="1" outlineLevel="1" x14ac:dyDescent="0.2">
      <c r="A494" s="412">
        <v>2302</v>
      </c>
      <c r="B494" s="412">
        <v>2302</v>
      </c>
      <c r="C494" s="132" t="str">
        <f>VLOOKUP(B494,Gegenstände!$A$2:$B$2026,2,FALSE)</f>
        <v>Achat-Lederharnisch</v>
      </c>
      <c r="D494" s="133">
        <f>VLOOKUP(B494,Gegenstände!$A$2:$D$2026,4,FALSE)</f>
        <v>4</v>
      </c>
      <c r="E494" s="468">
        <v>31</v>
      </c>
      <c r="F494" s="3">
        <v>360</v>
      </c>
      <c r="G494" s="54"/>
      <c r="H494" s="469">
        <v>61</v>
      </c>
      <c r="I494" s="12">
        <f t="shared" si="179"/>
        <v>3</v>
      </c>
      <c r="J494" s="470"/>
      <c r="K494" s="54">
        <v>12</v>
      </c>
      <c r="L494" s="3" t="s">
        <v>163</v>
      </c>
      <c r="M494" s="85">
        <v>9</v>
      </c>
      <c r="N494" s="83" t="s">
        <v>198</v>
      </c>
      <c r="O494" s="85"/>
      <c r="P494" s="83"/>
      <c r="Q494" s="85"/>
      <c r="R494" s="83"/>
      <c r="S494" s="170">
        <v>1</v>
      </c>
      <c r="T494" s="170" t="s">
        <v>239</v>
      </c>
      <c r="U494" s="471">
        <f>VLOOKUP(D494,Preise!$A$3:$C$28,3)</f>
        <v>1.5208749999999995</v>
      </c>
      <c r="V494" s="523">
        <f>0.3*W494</f>
        <v>2281.3124999999991</v>
      </c>
      <c r="W494" s="131">
        <f t="shared" si="186"/>
        <v>7604.3749999999973</v>
      </c>
      <c r="X494" s="472">
        <f t="shared" si="180"/>
        <v>2800</v>
      </c>
      <c r="Y494" s="473">
        <f t="shared" si="181"/>
        <v>2300</v>
      </c>
      <c r="Z494" s="474">
        <f>IF(ISERROR(VLOOKUP(L494,Gegenstände!$B$2:$N$2026,13,FALSE)),0,VLOOKUP(L494,Gegenstände!$B$2:$N$2026,13,FALSE))</f>
        <v>60</v>
      </c>
      <c r="AA494" s="142">
        <f>IF(ISERROR(VLOOKUP(N494,Gegenstände!$B$2:$N$2026,13,FALSE)),0,VLOOKUP(N494,Gegenstände!$B$2:$N$2026,13,FALSE))</f>
        <v>80</v>
      </c>
      <c r="AB494" s="142">
        <f>IF(ISERROR(VLOOKUP(P494,Gegenstände!$B$2:$N$2026,13,FALSE)),0,VLOOKUP(P494,Gegenstände!$B$2:$N$2026,13,FALSE))</f>
        <v>0</v>
      </c>
      <c r="AC494" s="142">
        <f>IF(ISERROR(VLOOKUP(R494,Gegenstände!$B$2:$N$2026,13,FALSE)),0,VLOOKUP(R494,Gegenstände!$B$2:$N$2026,13,FALSE))</f>
        <v>0</v>
      </c>
      <c r="AD494" s="142">
        <f>IF(ISERROR(VLOOKUP(T494,Gegenstände!$B$2:$N$2026,13,FALSE)),0,VLOOKUP(T494,Gegenstände!$B$2:$N$2026,13,FALSE))</f>
        <v>500</v>
      </c>
      <c r="AE494" s="475">
        <f t="shared" si="182"/>
        <v>720</v>
      </c>
      <c r="AF494" s="476">
        <f t="shared" si="183"/>
        <v>720</v>
      </c>
      <c r="AG494" s="128">
        <f t="shared" si="184"/>
        <v>0.31304347826086959</v>
      </c>
      <c r="AH494" s="128">
        <f t="shared" si="185"/>
        <v>0.31304347826086959</v>
      </c>
      <c r="AI494" s="129">
        <f t="shared" si="187"/>
        <v>0.62608695652173918</v>
      </c>
      <c r="AJ494" s="426">
        <f t="shared" si="188"/>
        <v>860</v>
      </c>
      <c r="AK494" s="131">
        <f t="shared" si="189"/>
        <v>143.33333333333334</v>
      </c>
      <c r="AL494" s="477">
        <f>AK494/VLOOKUP(IF(I494&gt;0,I494,1),Preise!$A$3:$B$27,2,FALSE)</f>
        <v>102.38095238095239</v>
      </c>
    </row>
    <row r="495" spans="1:38" s="3" customFormat="1" ht="13.5" customHeight="1" outlineLevel="1" x14ac:dyDescent="0.2">
      <c r="A495" s="412">
        <v>2303</v>
      </c>
      <c r="B495" s="412">
        <v>2303</v>
      </c>
      <c r="C495" s="132" t="str">
        <f>VLOOKUP(B495,Gegenstände!$A$2:$B$2026,2,FALSE)</f>
        <v>Achat-Lederstulpen</v>
      </c>
      <c r="D495" s="133">
        <f>VLOOKUP(B495,Gegenstände!$A$2:$D$2026,4,FALSE)</f>
        <v>5</v>
      </c>
      <c r="E495" s="468">
        <v>31</v>
      </c>
      <c r="F495" s="3">
        <v>180</v>
      </c>
      <c r="G495" s="54"/>
      <c r="H495" s="469">
        <v>61</v>
      </c>
      <c r="I495" s="12">
        <f t="shared" si="179"/>
        <v>4</v>
      </c>
      <c r="J495" s="470"/>
      <c r="K495" s="54">
        <v>7</v>
      </c>
      <c r="L495" s="3" t="s">
        <v>163</v>
      </c>
      <c r="M495" s="85">
        <v>5</v>
      </c>
      <c r="N495" s="83" t="s">
        <v>198</v>
      </c>
      <c r="O495" s="85"/>
      <c r="P495" s="83"/>
      <c r="Q495" s="85"/>
      <c r="R495" s="83"/>
      <c r="S495" s="170">
        <v>1</v>
      </c>
      <c r="T495" s="170" t="s">
        <v>239</v>
      </c>
      <c r="U495" s="471">
        <f>VLOOKUP(D495,Preise!$A$3:$C$28,3)</f>
        <v>1.7490062499999994</v>
      </c>
      <c r="V495" s="523">
        <f>0.15*W495</f>
        <v>1311.7546874999994</v>
      </c>
      <c r="W495" s="131">
        <f t="shared" si="186"/>
        <v>8745.0312499999964</v>
      </c>
      <c r="X495" s="472">
        <f t="shared" si="180"/>
        <v>1800</v>
      </c>
      <c r="Y495" s="473">
        <f t="shared" si="181"/>
        <v>1300</v>
      </c>
      <c r="Z495" s="474">
        <f>IF(ISERROR(VLOOKUP(L495,Gegenstände!$B$2:$N$2026,13,FALSE)),0,VLOOKUP(L495,Gegenstände!$B$2:$N$2026,13,FALSE))</f>
        <v>60</v>
      </c>
      <c r="AA495" s="142">
        <f>IF(ISERROR(VLOOKUP(N495,Gegenstände!$B$2:$N$2026,13,FALSE)),0,VLOOKUP(N495,Gegenstände!$B$2:$N$2026,13,FALSE))</f>
        <v>80</v>
      </c>
      <c r="AB495" s="142">
        <f>IF(ISERROR(VLOOKUP(P495,Gegenstände!$B$2:$N$2026,13,FALSE)),0,VLOOKUP(P495,Gegenstände!$B$2:$N$2026,13,FALSE))</f>
        <v>0</v>
      </c>
      <c r="AC495" s="142">
        <f>IF(ISERROR(VLOOKUP(R495,Gegenstände!$B$2:$N$2026,13,FALSE)),0,VLOOKUP(R495,Gegenstände!$B$2:$N$2026,13,FALSE))</f>
        <v>0</v>
      </c>
      <c r="AD495" s="142">
        <f>IF(ISERROR(VLOOKUP(T495,Gegenstände!$B$2:$N$2026,13,FALSE)),0,VLOOKUP(T495,Gegenstände!$B$2:$N$2026,13,FALSE))</f>
        <v>500</v>
      </c>
      <c r="AE495" s="475">
        <f t="shared" si="182"/>
        <v>420</v>
      </c>
      <c r="AF495" s="476">
        <f t="shared" si="183"/>
        <v>400</v>
      </c>
      <c r="AG495" s="128">
        <f t="shared" si="184"/>
        <v>0.32307692307692309</v>
      </c>
      <c r="AH495" s="128">
        <f t="shared" si="185"/>
        <v>0.30769230769230771</v>
      </c>
      <c r="AI495" s="129">
        <f t="shared" si="187"/>
        <v>0.63076923076923075</v>
      </c>
      <c r="AJ495" s="426">
        <f t="shared" si="188"/>
        <v>480</v>
      </c>
      <c r="AK495" s="131">
        <f t="shared" si="189"/>
        <v>160</v>
      </c>
      <c r="AL495" s="477">
        <f>AK495/VLOOKUP(IF(I495&gt;0,I495,1),Preise!$A$3:$B$27,2,FALSE)</f>
        <v>100.00000000000001</v>
      </c>
    </row>
    <row r="496" spans="1:38" s="3" customFormat="1" ht="13.5" customHeight="1" outlineLevel="1" x14ac:dyDescent="0.2">
      <c r="A496" s="412">
        <v>2304</v>
      </c>
      <c r="B496" s="412">
        <v>2304</v>
      </c>
      <c r="C496" s="132" t="str">
        <f>VLOOKUP(B496,Gegenstände!$A$2:$B$2026,2,FALSE)</f>
        <v>Achat-Lederbeinlinge</v>
      </c>
      <c r="D496" s="133">
        <f>VLOOKUP(B496,Gegenstände!$A$2:$D$2026,4,FALSE)</f>
        <v>5</v>
      </c>
      <c r="E496" s="468">
        <v>31</v>
      </c>
      <c r="F496" s="3">
        <v>240</v>
      </c>
      <c r="G496" s="54"/>
      <c r="H496" s="469">
        <v>61</v>
      </c>
      <c r="I496" s="12">
        <f t="shared" si="179"/>
        <v>4</v>
      </c>
      <c r="J496" s="470"/>
      <c r="K496" s="54">
        <v>10</v>
      </c>
      <c r="L496" s="3" t="s">
        <v>163</v>
      </c>
      <c r="M496" s="85">
        <v>7</v>
      </c>
      <c r="N496" s="83" t="s">
        <v>198</v>
      </c>
      <c r="O496" s="85"/>
      <c r="P496" s="83"/>
      <c r="Q496" s="85"/>
      <c r="R496" s="83"/>
      <c r="S496" s="170">
        <v>1</v>
      </c>
      <c r="T496" s="170" t="s">
        <v>239</v>
      </c>
      <c r="U496" s="471">
        <f>VLOOKUP(D496,Preise!$A$3:$C$28,3)</f>
        <v>1.7490062499999994</v>
      </c>
      <c r="V496" s="523">
        <f>0.2*W496</f>
        <v>1749.0062499999995</v>
      </c>
      <c r="W496" s="131">
        <f t="shared" si="186"/>
        <v>8745.0312499999964</v>
      </c>
      <c r="X496" s="472">
        <f t="shared" si="180"/>
        <v>2200</v>
      </c>
      <c r="Y496" s="473">
        <f t="shared" si="181"/>
        <v>1700</v>
      </c>
      <c r="Z496" s="474">
        <f>IF(ISERROR(VLOOKUP(L496,Gegenstände!$B$2:$N$2026,13,FALSE)),0,VLOOKUP(L496,Gegenstände!$B$2:$N$2026,13,FALSE))</f>
        <v>60</v>
      </c>
      <c r="AA496" s="142">
        <f>IF(ISERROR(VLOOKUP(N496,Gegenstände!$B$2:$N$2026,13,FALSE)),0,VLOOKUP(N496,Gegenstände!$B$2:$N$2026,13,FALSE))</f>
        <v>80</v>
      </c>
      <c r="AB496" s="142">
        <f>IF(ISERROR(VLOOKUP(P496,Gegenstände!$B$2:$N$2026,13,FALSE)),0,VLOOKUP(P496,Gegenstände!$B$2:$N$2026,13,FALSE))</f>
        <v>0</v>
      </c>
      <c r="AC496" s="142">
        <f>IF(ISERROR(VLOOKUP(R496,Gegenstände!$B$2:$N$2026,13,FALSE)),0,VLOOKUP(R496,Gegenstände!$B$2:$N$2026,13,FALSE))</f>
        <v>0</v>
      </c>
      <c r="AD496" s="142">
        <f>IF(ISERROR(VLOOKUP(T496,Gegenstände!$B$2:$N$2026,13,FALSE)),0,VLOOKUP(T496,Gegenstände!$B$2:$N$2026,13,FALSE))</f>
        <v>500</v>
      </c>
      <c r="AE496" s="475">
        <f t="shared" si="182"/>
        <v>600</v>
      </c>
      <c r="AF496" s="476">
        <f t="shared" si="183"/>
        <v>560</v>
      </c>
      <c r="AG496" s="128">
        <f t="shared" si="184"/>
        <v>0.35294117647058826</v>
      </c>
      <c r="AH496" s="128">
        <f t="shared" si="185"/>
        <v>0.32941176470588235</v>
      </c>
      <c r="AI496" s="129">
        <f t="shared" si="187"/>
        <v>0.68235294117647061</v>
      </c>
      <c r="AJ496" s="426">
        <f t="shared" si="188"/>
        <v>540</v>
      </c>
      <c r="AK496" s="131">
        <f t="shared" si="189"/>
        <v>135</v>
      </c>
      <c r="AL496" s="477">
        <f>AK496/VLOOKUP(IF(I496&gt;0,I496,1),Preise!$A$3:$B$27,2,FALSE)</f>
        <v>84.375</v>
      </c>
    </row>
    <row r="497" spans="1:38" s="3" customFormat="1" ht="13.5" customHeight="1" outlineLevel="1" x14ac:dyDescent="0.2">
      <c r="A497" s="561">
        <v>2305</v>
      </c>
      <c r="B497" s="561">
        <v>2305</v>
      </c>
      <c r="C497" s="413" t="str">
        <f>VLOOKUP(B497,Gegenstände!$A$2:$B$2026,2,FALSE)</f>
        <v>Achat-Lederstiefel</v>
      </c>
      <c r="D497" s="562">
        <f>VLOOKUP(B497,Gegenstände!$A$2:$D$2026,4,FALSE)</f>
        <v>5</v>
      </c>
      <c r="E497" s="563">
        <v>31</v>
      </c>
      <c r="F497" s="334">
        <v>180</v>
      </c>
      <c r="G497" s="335"/>
      <c r="H497" s="565">
        <v>61</v>
      </c>
      <c r="I497" s="610">
        <f t="shared" si="179"/>
        <v>4</v>
      </c>
      <c r="J497" s="566"/>
      <c r="K497" s="335">
        <v>7</v>
      </c>
      <c r="L497" s="334" t="s">
        <v>163</v>
      </c>
      <c r="M497" s="567">
        <v>5</v>
      </c>
      <c r="N497" s="568" t="s">
        <v>198</v>
      </c>
      <c r="O497" s="567"/>
      <c r="P497" s="568"/>
      <c r="Q497" s="567"/>
      <c r="R497" s="568"/>
      <c r="S497" s="569">
        <v>1</v>
      </c>
      <c r="T497" s="569" t="s">
        <v>239</v>
      </c>
      <c r="U497" s="471">
        <f>VLOOKUP(D497,Preise!$A$3:$C$28,3)</f>
        <v>1.7490062499999994</v>
      </c>
      <c r="V497" s="558">
        <f>0.15*W497</f>
        <v>1311.7546874999994</v>
      </c>
      <c r="W497" s="559">
        <f t="shared" si="186"/>
        <v>8745.0312499999964</v>
      </c>
      <c r="X497" s="472">
        <f t="shared" si="180"/>
        <v>1800</v>
      </c>
      <c r="Y497" s="473">
        <f t="shared" si="181"/>
        <v>1300</v>
      </c>
      <c r="Z497" s="613">
        <f>IF(ISERROR(VLOOKUP(L497,Gegenstände!$B$2:$N$2026,13,FALSE)),0,VLOOKUP(L497,Gegenstände!$B$2:$N$2026,13,FALSE))</f>
        <v>60</v>
      </c>
      <c r="AA497" s="614">
        <f>IF(ISERROR(VLOOKUP(N497,Gegenstände!$B$2:$N$2026,13,FALSE)),0,VLOOKUP(N497,Gegenstände!$B$2:$N$2026,13,FALSE))</f>
        <v>80</v>
      </c>
      <c r="AB497" s="614">
        <f>IF(ISERROR(VLOOKUP(P497,Gegenstände!$B$2:$N$2026,13,FALSE)),0,VLOOKUP(P497,Gegenstände!$B$2:$N$2026,13,FALSE))</f>
        <v>0</v>
      </c>
      <c r="AC497" s="614">
        <f>IF(ISERROR(VLOOKUP(R497,Gegenstände!$B$2:$N$2026,13,FALSE)),0,VLOOKUP(R497,Gegenstände!$B$2:$N$2026,13,FALSE))</f>
        <v>0</v>
      </c>
      <c r="AD497" s="142">
        <f>IF(ISERROR(VLOOKUP(T497,Gegenstände!$B$2:$N$2026,13,FALSE)),0,VLOOKUP(T497,Gegenstände!$B$2:$N$2026,13,FALSE))</f>
        <v>500</v>
      </c>
      <c r="AE497" s="475">
        <f t="shared" si="182"/>
        <v>420</v>
      </c>
      <c r="AF497" s="476">
        <f t="shared" si="183"/>
        <v>400</v>
      </c>
      <c r="AG497" s="128">
        <f t="shared" si="184"/>
        <v>0.32307692307692309</v>
      </c>
      <c r="AH497" s="128">
        <f t="shared" si="185"/>
        <v>0.30769230769230771</v>
      </c>
      <c r="AI497" s="618">
        <f t="shared" si="187"/>
        <v>0.63076923076923075</v>
      </c>
      <c r="AJ497" s="619">
        <f t="shared" si="188"/>
        <v>480</v>
      </c>
      <c r="AK497" s="559">
        <f t="shared" si="189"/>
        <v>160</v>
      </c>
      <c r="AL497" s="620">
        <f>AK497/VLOOKUP(IF(I497&gt;0,I497,1),Preise!$A$3:$B$27,2,FALSE)</f>
        <v>100.00000000000001</v>
      </c>
    </row>
    <row r="498" spans="1:38" s="3" customFormat="1" outlineLevel="1" x14ac:dyDescent="0.2">
      <c r="A498" s="412">
        <v>2311</v>
      </c>
      <c r="B498" s="412">
        <v>2311</v>
      </c>
      <c r="C498" s="132" t="str">
        <f>VLOOKUP(B498,Gegenstände!$A$2:$B$2026,2,FALSE)</f>
        <v>Topas-Lederhelm</v>
      </c>
      <c r="D498" s="133">
        <f>VLOOKUP(B498,Gegenstände!$A$2:$D$2026,4,FALSE)</f>
        <v>9</v>
      </c>
      <c r="E498" s="468">
        <v>31</v>
      </c>
      <c r="F498" s="3">
        <v>240</v>
      </c>
      <c r="G498" s="54"/>
      <c r="H498" s="469">
        <v>61</v>
      </c>
      <c r="I498" s="12">
        <f t="shared" si="179"/>
        <v>8</v>
      </c>
      <c r="J498" s="470"/>
      <c r="K498" s="54">
        <v>8</v>
      </c>
      <c r="L498" s="3" t="s">
        <v>164</v>
      </c>
      <c r="M498" s="85">
        <v>12</v>
      </c>
      <c r="N498" s="83" t="s">
        <v>198</v>
      </c>
      <c r="O498" s="85"/>
      <c r="P498" s="83"/>
      <c r="Q498" s="85"/>
      <c r="R498" s="83"/>
      <c r="S498" s="170">
        <v>1</v>
      </c>
      <c r="T498" s="170" t="s">
        <v>240</v>
      </c>
      <c r="U498" s="471">
        <f>VLOOKUP(D498,Preise!$A$3:$C$28,3)</f>
        <v>3.0590228625390607</v>
      </c>
      <c r="V498" s="523">
        <f>0.2*W498</f>
        <v>3059.022862539061</v>
      </c>
      <c r="W498" s="131">
        <f t="shared" si="186"/>
        <v>15295.114312695303</v>
      </c>
      <c r="X498" s="472">
        <f t="shared" si="180"/>
        <v>4100</v>
      </c>
      <c r="Y498" s="473">
        <f t="shared" si="181"/>
        <v>3100</v>
      </c>
      <c r="Z498" s="474">
        <f>IF(ISERROR(VLOOKUP(L498,Gegenstände!$B$2:$N$2026,13,FALSE)),0,VLOOKUP(L498,Gegenstände!$B$2:$N$2026,13,FALSE))</f>
        <v>120</v>
      </c>
      <c r="AA498" s="142">
        <f>IF(ISERROR(VLOOKUP(N498,Gegenstände!$B$2:$N$2026,13,FALSE)),0,VLOOKUP(N498,Gegenstände!$B$2:$N$2026,13,FALSE))</f>
        <v>80</v>
      </c>
      <c r="AB498" s="142">
        <f>IF(ISERROR(VLOOKUP(P498,Gegenstände!$B$2:$N$2026,13,FALSE)),0,VLOOKUP(P498,Gegenstände!$B$2:$N$2026,13,FALSE))</f>
        <v>0</v>
      </c>
      <c r="AC498" s="142">
        <f>IF(ISERROR(VLOOKUP(R498,Gegenstände!$B$2:$N$2026,13,FALSE)),0,VLOOKUP(R498,Gegenstände!$B$2:$N$2026,13,FALSE))</f>
        <v>0</v>
      </c>
      <c r="AD498" s="142">
        <f>IF(ISERROR(VLOOKUP(T498,Gegenstände!$B$2:$N$2026,13,FALSE)),0,VLOOKUP(T498,Gegenstände!$B$2:$N$2026,13,FALSE))</f>
        <v>1000</v>
      </c>
      <c r="AE498" s="475">
        <f t="shared" si="182"/>
        <v>960</v>
      </c>
      <c r="AF498" s="476">
        <f t="shared" si="183"/>
        <v>960</v>
      </c>
      <c r="AG498" s="128">
        <f t="shared" si="184"/>
        <v>0.30967741935483872</v>
      </c>
      <c r="AH498" s="128">
        <f t="shared" si="185"/>
        <v>0.30967741935483872</v>
      </c>
      <c r="AI498" s="129">
        <f t="shared" si="187"/>
        <v>0.61935483870967745</v>
      </c>
      <c r="AJ498" s="426">
        <f t="shared" si="188"/>
        <v>1180</v>
      </c>
      <c r="AK498" s="131">
        <f t="shared" si="189"/>
        <v>295</v>
      </c>
      <c r="AL498" s="477">
        <f>AK498/VLOOKUP(IF(I498&gt;0,I498,1),Preise!$A$3:$B$27,2,FALSE)</f>
        <v>122.91666666666667</v>
      </c>
    </row>
    <row r="499" spans="1:38" s="3" customFormat="1" outlineLevel="1" x14ac:dyDescent="0.2">
      <c r="A499" s="412">
        <v>2312</v>
      </c>
      <c r="B499" s="412">
        <v>2312</v>
      </c>
      <c r="C499" s="132" t="str">
        <f>VLOOKUP(B499,Gegenstände!$A$2:$B$2026,2,FALSE)</f>
        <v>Topas-Lederharnisch</v>
      </c>
      <c r="D499" s="133">
        <f>VLOOKUP(B499,Gegenstände!$A$2:$D$2026,4,FALSE)</f>
        <v>9</v>
      </c>
      <c r="E499" s="468">
        <v>31</v>
      </c>
      <c r="F499" s="3">
        <v>360</v>
      </c>
      <c r="G499" s="54"/>
      <c r="H499" s="469">
        <v>61</v>
      </c>
      <c r="I499" s="12">
        <f t="shared" si="179"/>
        <v>8</v>
      </c>
      <c r="J499" s="470"/>
      <c r="K499" s="54">
        <v>12</v>
      </c>
      <c r="L499" s="3" t="s">
        <v>164</v>
      </c>
      <c r="M499" s="85">
        <v>18</v>
      </c>
      <c r="N499" s="83" t="s">
        <v>198</v>
      </c>
      <c r="O499" s="85"/>
      <c r="P499" s="83"/>
      <c r="Q499" s="85"/>
      <c r="R499" s="83"/>
      <c r="S499" s="170">
        <v>1</v>
      </c>
      <c r="T499" s="170" t="s">
        <v>240</v>
      </c>
      <c r="U499" s="471">
        <f>VLOOKUP(D499,Preise!$A$3:$C$28,3)</f>
        <v>3.0590228625390607</v>
      </c>
      <c r="V499" s="523">
        <f>0.3*W499</f>
        <v>4588.5342938085905</v>
      </c>
      <c r="W499" s="131">
        <f t="shared" si="186"/>
        <v>15295.114312695303</v>
      </c>
      <c r="X499" s="472">
        <f t="shared" si="180"/>
        <v>5600</v>
      </c>
      <c r="Y499" s="473">
        <f t="shared" si="181"/>
        <v>4600</v>
      </c>
      <c r="Z499" s="474">
        <f>IF(ISERROR(VLOOKUP(L499,Gegenstände!$B$2:$N$2026,13,FALSE)),0,VLOOKUP(L499,Gegenstände!$B$2:$N$2026,13,FALSE))</f>
        <v>120</v>
      </c>
      <c r="AA499" s="142">
        <f>IF(ISERROR(VLOOKUP(N499,Gegenstände!$B$2:$N$2026,13,FALSE)),0,VLOOKUP(N499,Gegenstände!$B$2:$N$2026,13,FALSE))</f>
        <v>80</v>
      </c>
      <c r="AB499" s="142">
        <f>IF(ISERROR(VLOOKUP(P499,Gegenstände!$B$2:$N$2026,13,FALSE)),0,VLOOKUP(P499,Gegenstände!$B$2:$N$2026,13,FALSE))</f>
        <v>0</v>
      </c>
      <c r="AC499" s="142">
        <f>IF(ISERROR(VLOOKUP(R499,Gegenstände!$B$2:$N$2026,13,FALSE)),0,VLOOKUP(R499,Gegenstände!$B$2:$N$2026,13,FALSE))</f>
        <v>0</v>
      </c>
      <c r="AD499" s="142">
        <f>IF(ISERROR(VLOOKUP(T499,Gegenstände!$B$2:$N$2026,13,FALSE)),0,VLOOKUP(T499,Gegenstände!$B$2:$N$2026,13,FALSE))</f>
        <v>1000</v>
      </c>
      <c r="AE499" s="475">
        <f t="shared" si="182"/>
        <v>1440</v>
      </c>
      <c r="AF499" s="476">
        <f t="shared" si="183"/>
        <v>1440</v>
      </c>
      <c r="AG499" s="128">
        <f t="shared" si="184"/>
        <v>0.31304347826086959</v>
      </c>
      <c r="AH499" s="128">
        <f t="shared" si="185"/>
        <v>0.31304347826086959</v>
      </c>
      <c r="AI499" s="129">
        <f t="shared" si="187"/>
        <v>0.62608695652173918</v>
      </c>
      <c r="AJ499" s="426">
        <f t="shared" si="188"/>
        <v>1720</v>
      </c>
      <c r="AK499" s="131">
        <f t="shared" si="189"/>
        <v>286.66666666666669</v>
      </c>
      <c r="AL499" s="477">
        <f>AK499/VLOOKUP(IF(I499&gt;0,I499,1),Preise!$A$3:$B$27,2,FALSE)</f>
        <v>119.44444444444446</v>
      </c>
    </row>
    <row r="500" spans="1:38" s="3" customFormat="1" outlineLevel="1" x14ac:dyDescent="0.2">
      <c r="A500" s="412">
        <v>2313</v>
      </c>
      <c r="B500" s="412">
        <v>2313</v>
      </c>
      <c r="C500" s="132" t="str">
        <f>VLOOKUP(B500,Gegenstände!$A$2:$B$2026,2,FALSE)</f>
        <v>Topas-Lederstulpen</v>
      </c>
      <c r="D500" s="133">
        <f>VLOOKUP(B500,Gegenstände!$A$2:$D$2026,4,FALSE)</f>
        <v>10</v>
      </c>
      <c r="E500" s="468">
        <v>31</v>
      </c>
      <c r="F500" s="3">
        <v>180</v>
      </c>
      <c r="G500" s="54"/>
      <c r="H500" s="469">
        <v>61</v>
      </c>
      <c r="I500" s="12">
        <f t="shared" si="179"/>
        <v>9</v>
      </c>
      <c r="J500" s="470"/>
      <c r="K500" s="54">
        <v>7</v>
      </c>
      <c r="L500" s="3" t="s">
        <v>164</v>
      </c>
      <c r="M500" s="85">
        <v>10</v>
      </c>
      <c r="N500" s="83" t="s">
        <v>198</v>
      </c>
      <c r="O500" s="85"/>
      <c r="P500" s="83"/>
      <c r="Q500" s="85"/>
      <c r="R500" s="83"/>
      <c r="S500" s="170">
        <v>1</v>
      </c>
      <c r="T500" s="170" t="s">
        <v>240</v>
      </c>
      <c r="U500" s="471">
        <f>VLOOKUP(D500,Preise!$A$3:$C$28,3)</f>
        <v>3.5178762919199196</v>
      </c>
      <c r="V500" s="523">
        <f>0.15*W500</f>
        <v>2638.4072189399394</v>
      </c>
      <c r="W500" s="131">
        <f t="shared" si="186"/>
        <v>17589.381459599597</v>
      </c>
      <c r="X500" s="472">
        <f t="shared" si="180"/>
        <v>3600</v>
      </c>
      <c r="Y500" s="473">
        <f t="shared" si="181"/>
        <v>2600</v>
      </c>
      <c r="Z500" s="474">
        <f>IF(ISERROR(VLOOKUP(L500,Gegenstände!$B$2:$N$2026,13,FALSE)),0,VLOOKUP(L500,Gegenstände!$B$2:$N$2026,13,FALSE))</f>
        <v>120</v>
      </c>
      <c r="AA500" s="142">
        <f>IF(ISERROR(VLOOKUP(N500,Gegenstände!$B$2:$N$2026,13,FALSE)),0,VLOOKUP(N500,Gegenstände!$B$2:$N$2026,13,FALSE))</f>
        <v>80</v>
      </c>
      <c r="AB500" s="142">
        <f>IF(ISERROR(VLOOKUP(P500,Gegenstände!$B$2:$N$2026,13,FALSE)),0,VLOOKUP(P500,Gegenstände!$B$2:$N$2026,13,FALSE))</f>
        <v>0</v>
      </c>
      <c r="AC500" s="142">
        <f>IF(ISERROR(VLOOKUP(R500,Gegenstände!$B$2:$N$2026,13,FALSE)),0,VLOOKUP(R500,Gegenstände!$B$2:$N$2026,13,FALSE))</f>
        <v>0</v>
      </c>
      <c r="AD500" s="142">
        <f>IF(ISERROR(VLOOKUP(T500,Gegenstände!$B$2:$N$2026,13,FALSE)),0,VLOOKUP(T500,Gegenstände!$B$2:$N$2026,13,FALSE))</f>
        <v>1000</v>
      </c>
      <c r="AE500" s="475">
        <f t="shared" si="182"/>
        <v>840</v>
      </c>
      <c r="AF500" s="476">
        <f t="shared" si="183"/>
        <v>800</v>
      </c>
      <c r="AG500" s="128">
        <f t="shared" si="184"/>
        <v>0.32307692307692309</v>
      </c>
      <c r="AH500" s="128">
        <f t="shared" si="185"/>
        <v>0.30769230769230771</v>
      </c>
      <c r="AI500" s="129">
        <f t="shared" si="187"/>
        <v>0.63076923076923075</v>
      </c>
      <c r="AJ500" s="426">
        <f t="shared" si="188"/>
        <v>960</v>
      </c>
      <c r="AK500" s="131">
        <f t="shared" si="189"/>
        <v>320</v>
      </c>
      <c r="AL500" s="477">
        <f>AK500/VLOOKUP(IF(I500&gt;0,I500,1),Preise!$A$3:$B$27,2,FALSE)</f>
        <v>123.07692307692307</v>
      </c>
    </row>
    <row r="501" spans="1:38" s="3" customFormat="1" outlineLevel="1" x14ac:dyDescent="0.2">
      <c r="A501" s="412">
        <v>2314</v>
      </c>
      <c r="B501" s="412">
        <v>2314</v>
      </c>
      <c r="C501" s="132" t="str">
        <f>VLOOKUP(B501,Gegenstände!$A$2:$B$2026,2,FALSE)</f>
        <v>Topas-Lederbeinlinge</v>
      </c>
      <c r="D501" s="133">
        <f>VLOOKUP(B501,Gegenstände!$A$2:$D$2026,4,FALSE)</f>
        <v>10</v>
      </c>
      <c r="E501" s="468">
        <v>31</v>
      </c>
      <c r="F501" s="3">
        <v>240</v>
      </c>
      <c r="G501" s="54"/>
      <c r="H501" s="469">
        <v>61</v>
      </c>
      <c r="I501" s="12">
        <f t="shared" si="179"/>
        <v>9</v>
      </c>
      <c r="J501" s="470"/>
      <c r="K501" s="54">
        <v>10</v>
      </c>
      <c r="L501" s="3" t="s">
        <v>164</v>
      </c>
      <c r="M501" s="85">
        <v>14</v>
      </c>
      <c r="N501" s="83" t="s">
        <v>198</v>
      </c>
      <c r="O501" s="85"/>
      <c r="P501" s="83"/>
      <c r="Q501" s="85"/>
      <c r="R501" s="83"/>
      <c r="S501" s="170">
        <v>1</v>
      </c>
      <c r="T501" s="170" t="s">
        <v>240</v>
      </c>
      <c r="U501" s="471">
        <f>VLOOKUP(D501,Preise!$A$3:$C$28,3)</f>
        <v>3.5178762919199196</v>
      </c>
      <c r="V501" s="523">
        <f>0.2*W501</f>
        <v>3517.8762919199198</v>
      </c>
      <c r="W501" s="131">
        <f t="shared" si="186"/>
        <v>17589.381459599597</v>
      </c>
      <c r="X501" s="472">
        <f t="shared" si="180"/>
        <v>4500</v>
      </c>
      <c r="Y501" s="473">
        <f t="shared" si="181"/>
        <v>3500</v>
      </c>
      <c r="Z501" s="474">
        <f>IF(ISERROR(VLOOKUP(L501,Gegenstände!$B$2:$N$2026,13,FALSE)),0,VLOOKUP(L501,Gegenstände!$B$2:$N$2026,13,FALSE))</f>
        <v>120</v>
      </c>
      <c r="AA501" s="142">
        <f>IF(ISERROR(VLOOKUP(N501,Gegenstände!$B$2:$N$2026,13,FALSE)),0,VLOOKUP(N501,Gegenstände!$B$2:$N$2026,13,FALSE))</f>
        <v>80</v>
      </c>
      <c r="AB501" s="142">
        <f>IF(ISERROR(VLOOKUP(P501,Gegenstände!$B$2:$N$2026,13,FALSE)),0,VLOOKUP(P501,Gegenstände!$B$2:$N$2026,13,FALSE))</f>
        <v>0</v>
      </c>
      <c r="AC501" s="142">
        <f>IF(ISERROR(VLOOKUP(R501,Gegenstände!$B$2:$N$2026,13,FALSE)),0,VLOOKUP(R501,Gegenstände!$B$2:$N$2026,13,FALSE))</f>
        <v>0</v>
      </c>
      <c r="AD501" s="142">
        <f>IF(ISERROR(VLOOKUP(T501,Gegenstände!$B$2:$N$2026,13,FALSE)),0,VLOOKUP(T501,Gegenstände!$B$2:$N$2026,13,FALSE))</f>
        <v>1000</v>
      </c>
      <c r="AE501" s="475">
        <f t="shared" si="182"/>
        <v>1200</v>
      </c>
      <c r="AF501" s="476">
        <f t="shared" si="183"/>
        <v>1120</v>
      </c>
      <c r="AG501" s="128">
        <f t="shared" si="184"/>
        <v>0.34285714285714286</v>
      </c>
      <c r="AH501" s="128">
        <f t="shared" si="185"/>
        <v>0.32</v>
      </c>
      <c r="AI501" s="129">
        <f t="shared" si="187"/>
        <v>0.66285714285714281</v>
      </c>
      <c r="AJ501" s="426">
        <f t="shared" si="188"/>
        <v>1180</v>
      </c>
      <c r="AK501" s="131">
        <f t="shared" si="189"/>
        <v>295</v>
      </c>
      <c r="AL501" s="477">
        <f>AK501/VLOOKUP(IF(I501&gt;0,I501,1),Preise!$A$3:$B$27,2,FALSE)</f>
        <v>113.46153846153845</v>
      </c>
    </row>
    <row r="502" spans="1:38" s="3" customFormat="1" outlineLevel="1" x14ac:dyDescent="0.2">
      <c r="A502" s="561">
        <v>2315</v>
      </c>
      <c r="B502" s="561">
        <v>2315</v>
      </c>
      <c r="C502" s="413" t="str">
        <f>VLOOKUP(B502,Gegenstände!$A$2:$B$2026,2,FALSE)</f>
        <v>Topas-Lederstiefel</v>
      </c>
      <c r="D502" s="562">
        <f>VLOOKUP(B502,Gegenstände!$A$2:$D$2026,4,FALSE)</f>
        <v>10</v>
      </c>
      <c r="E502" s="563">
        <v>31</v>
      </c>
      <c r="F502" s="334">
        <v>180</v>
      </c>
      <c r="G502" s="335"/>
      <c r="H502" s="565">
        <v>61</v>
      </c>
      <c r="I502" s="610">
        <f t="shared" si="179"/>
        <v>9</v>
      </c>
      <c r="J502" s="566"/>
      <c r="K502" s="335">
        <v>7</v>
      </c>
      <c r="L502" s="334" t="s">
        <v>164</v>
      </c>
      <c r="M502" s="567">
        <v>10</v>
      </c>
      <c r="N502" s="568" t="s">
        <v>198</v>
      </c>
      <c r="O502" s="567"/>
      <c r="P502" s="568"/>
      <c r="Q502" s="567"/>
      <c r="R502" s="568"/>
      <c r="S502" s="569">
        <v>1</v>
      </c>
      <c r="T502" s="569" t="s">
        <v>240</v>
      </c>
      <c r="U502" s="471">
        <f>VLOOKUP(D502,Preise!$A$3:$C$28,3)</f>
        <v>3.5178762919199196</v>
      </c>
      <c r="V502" s="558">
        <f>0.15*W502</f>
        <v>2638.4072189399394</v>
      </c>
      <c r="W502" s="559">
        <f t="shared" si="186"/>
        <v>17589.381459599597</v>
      </c>
      <c r="X502" s="472">
        <f t="shared" si="180"/>
        <v>3600</v>
      </c>
      <c r="Y502" s="473">
        <f t="shared" si="181"/>
        <v>2600</v>
      </c>
      <c r="Z502" s="613">
        <f>IF(ISERROR(VLOOKUP(L502,Gegenstände!$B$2:$N$2026,13,FALSE)),0,VLOOKUP(L502,Gegenstände!$B$2:$N$2026,13,FALSE))</f>
        <v>120</v>
      </c>
      <c r="AA502" s="614">
        <f>IF(ISERROR(VLOOKUP(N502,Gegenstände!$B$2:$N$2026,13,FALSE)),0,VLOOKUP(N502,Gegenstände!$B$2:$N$2026,13,FALSE))</f>
        <v>80</v>
      </c>
      <c r="AB502" s="614">
        <f>IF(ISERROR(VLOOKUP(P502,Gegenstände!$B$2:$N$2026,13,FALSE)),0,VLOOKUP(P502,Gegenstände!$B$2:$N$2026,13,FALSE))</f>
        <v>0</v>
      </c>
      <c r="AC502" s="614">
        <f>IF(ISERROR(VLOOKUP(R502,Gegenstände!$B$2:$N$2026,13,FALSE)),0,VLOOKUP(R502,Gegenstände!$B$2:$N$2026,13,FALSE))</f>
        <v>0</v>
      </c>
      <c r="AD502" s="142">
        <f>IF(ISERROR(VLOOKUP(T502,Gegenstände!$B$2:$N$2026,13,FALSE)),0,VLOOKUP(T502,Gegenstände!$B$2:$N$2026,13,FALSE))</f>
        <v>1000</v>
      </c>
      <c r="AE502" s="475">
        <f t="shared" si="182"/>
        <v>840</v>
      </c>
      <c r="AF502" s="476">
        <f t="shared" si="183"/>
        <v>800</v>
      </c>
      <c r="AG502" s="128">
        <f t="shared" si="184"/>
        <v>0.32307692307692309</v>
      </c>
      <c r="AH502" s="128">
        <f t="shared" si="185"/>
        <v>0.30769230769230771</v>
      </c>
      <c r="AI502" s="618">
        <f t="shared" si="187"/>
        <v>0.63076923076923075</v>
      </c>
      <c r="AJ502" s="619">
        <f t="shared" si="188"/>
        <v>960</v>
      </c>
      <c r="AK502" s="559">
        <f t="shared" si="189"/>
        <v>320</v>
      </c>
      <c r="AL502" s="620">
        <f>AK502/VLOOKUP(IF(I502&gt;0,I502,1),Preise!$A$3:$B$27,2,FALSE)</f>
        <v>123.07692307692307</v>
      </c>
    </row>
    <row r="503" spans="1:38" s="3" customFormat="1" outlineLevel="1" x14ac:dyDescent="0.2">
      <c r="A503" s="412">
        <v>2321</v>
      </c>
      <c r="B503" s="412">
        <v>2321</v>
      </c>
      <c r="C503" s="132" t="str">
        <f>VLOOKUP(B503,Gegenstände!$A$2:$B$2026,2,FALSE)</f>
        <v>Saphir-Lederhelm</v>
      </c>
      <c r="D503" s="133">
        <f>VLOOKUP(B503,Gegenstände!$A$2:$D$2026,4,FALSE)</f>
        <v>14</v>
      </c>
      <c r="E503" s="468">
        <v>31</v>
      </c>
      <c r="F503" s="3">
        <v>240</v>
      </c>
      <c r="G503" s="54"/>
      <c r="H503" s="469">
        <v>61</v>
      </c>
      <c r="I503" s="12">
        <f t="shared" si="179"/>
        <v>13</v>
      </c>
      <c r="J503" s="470"/>
      <c r="K503" s="54">
        <v>11</v>
      </c>
      <c r="L503" s="3" t="s">
        <v>165</v>
      </c>
      <c r="M503" s="85">
        <v>8</v>
      </c>
      <c r="N503" s="83" t="s">
        <v>198</v>
      </c>
      <c r="O503" s="85">
        <v>7</v>
      </c>
      <c r="P503" s="83" t="s">
        <v>200</v>
      </c>
      <c r="Q503" s="85"/>
      <c r="R503" s="83"/>
      <c r="S503" s="170">
        <v>1</v>
      </c>
      <c r="T503" s="170" t="s">
        <v>241</v>
      </c>
      <c r="U503" s="471">
        <f>VLOOKUP(D503,Preise!$A$3:$C$28,3)</f>
        <v>6.1527876212947623</v>
      </c>
      <c r="V503" s="523">
        <f>0.2*W503</f>
        <v>6152.7876212947631</v>
      </c>
      <c r="W503" s="131">
        <f t="shared" si="186"/>
        <v>30763.938106473812</v>
      </c>
      <c r="X503" s="472">
        <f t="shared" si="180"/>
        <v>8200</v>
      </c>
      <c r="Y503" s="473">
        <f t="shared" si="181"/>
        <v>6200</v>
      </c>
      <c r="Z503" s="474">
        <f>IF(ISERROR(VLOOKUP(L503,Gegenstände!$B$2:$N$2026,13,FALSE)),0,VLOOKUP(L503,Gegenstände!$B$2:$N$2026,13,FALSE))</f>
        <v>180</v>
      </c>
      <c r="AA503" s="142">
        <f>IF(ISERROR(VLOOKUP(N503,Gegenstände!$B$2:$N$2026,13,FALSE)),0,VLOOKUP(N503,Gegenstände!$B$2:$N$2026,13,FALSE))</f>
        <v>80</v>
      </c>
      <c r="AB503" s="142">
        <f>IF(ISERROR(VLOOKUP(P503,Gegenstände!$B$2:$N$2026,13,FALSE)),0,VLOOKUP(P503,Gegenstände!$B$2:$N$2026,13,FALSE))</f>
        <v>200</v>
      </c>
      <c r="AC503" s="142">
        <f>IF(ISERROR(VLOOKUP(R503,Gegenstände!$B$2:$N$2026,13,FALSE)),0,VLOOKUP(R503,Gegenstände!$B$2:$N$2026,13,FALSE))</f>
        <v>0</v>
      </c>
      <c r="AD503" s="142">
        <f>IF(ISERROR(VLOOKUP(T503,Gegenstände!$B$2:$N$2026,13,FALSE)),0,VLOOKUP(T503,Gegenstände!$B$2:$N$2026,13,FALSE))</f>
        <v>2000</v>
      </c>
      <c r="AE503" s="475">
        <f t="shared" si="182"/>
        <v>1980</v>
      </c>
      <c r="AF503" s="476">
        <f t="shared" si="183"/>
        <v>2040</v>
      </c>
      <c r="AG503" s="128">
        <f t="shared" si="184"/>
        <v>0.3193548387096774</v>
      </c>
      <c r="AH503" s="128">
        <f t="shared" si="185"/>
        <v>0.32903225806451614</v>
      </c>
      <c r="AI503" s="129">
        <f t="shared" si="187"/>
        <v>0.64838709677419359</v>
      </c>
      <c r="AJ503" s="426">
        <f t="shared" si="188"/>
        <v>2180</v>
      </c>
      <c r="AK503" s="131">
        <f t="shared" si="189"/>
        <v>545</v>
      </c>
      <c r="AL503" s="477">
        <f>AK503/VLOOKUP(IF(I503&gt;0,I503,1),Preise!$A$3:$B$27,2,FALSE)</f>
        <v>160.29411764705878</v>
      </c>
    </row>
    <row r="504" spans="1:38" s="3" customFormat="1" outlineLevel="1" x14ac:dyDescent="0.2">
      <c r="A504" s="412">
        <v>2322</v>
      </c>
      <c r="B504" s="412">
        <v>2322</v>
      </c>
      <c r="C504" s="132" t="str">
        <f>VLOOKUP(B504,Gegenstände!$A$2:$B$2026,2,FALSE)</f>
        <v>Saphir-Lederharnisch</v>
      </c>
      <c r="D504" s="133">
        <f>VLOOKUP(B504,Gegenstände!$A$2:$D$2026,4,FALSE)</f>
        <v>14</v>
      </c>
      <c r="E504" s="468">
        <v>31</v>
      </c>
      <c r="F504" s="3">
        <v>360</v>
      </c>
      <c r="G504" s="54"/>
      <c r="H504" s="469">
        <v>61</v>
      </c>
      <c r="I504" s="12">
        <f t="shared" si="179"/>
        <v>13</v>
      </c>
      <c r="J504" s="470"/>
      <c r="K504" s="54">
        <v>17</v>
      </c>
      <c r="L504" s="3" t="s">
        <v>165</v>
      </c>
      <c r="M504" s="85">
        <v>13</v>
      </c>
      <c r="N504" s="83" t="s">
        <v>198</v>
      </c>
      <c r="O504" s="85">
        <v>10</v>
      </c>
      <c r="P504" s="83" t="s">
        <v>200</v>
      </c>
      <c r="Q504" s="85"/>
      <c r="R504" s="83"/>
      <c r="S504" s="170">
        <v>1</v>
      </c>
      <c r="T504" s="170" t="s">
        <v>241</v>
      </c>
      <c r="U504" s="471">
        <f>VLOOKUP(D504,Preise!$A$3:$C$28,3)</f>
        <v>6.1527876212947623</v>
      </c>
      <c r="V504" s="523">
        <f>0.3*W504</f>
        <v>9229.1814319421428</v>
      </c>
      <c r="W504" s="131">
        <f t="shared" si="186"/>
        <v>30763.938106473812</v>
      </c>
      <c r="X504" s="472">
        <f t="shared" si="180"/>
        <v>11200</v>
      </c>
      <c r="Y504" s="473">
        <f t="shared" si="181"/>
        <v>9200</v>
      </c>
      <c r="Z504" s="474">
        <f>IF(ISERROR(VLOOKUP(L504,Gegenstände!$B$2:$N$2026,13,FALSE)),0,VLOOKUP(L504,Gegenstände!$B$2:$N$2026,13,FALSE))</f>
        <v>180</v>
      </c>
      <c r="AA504" s="142">
        <f>IF(ISERROR(VLOOKUP(N504,Gegenstände!$B$2:$N$2026,13,FALSE)),0,VLOOKUP(N504,Gegenstände!$B$2:$N$2026,13,FALSE))</f>
        <v>80</v>
      </c>
      <c r="AB504" s="142">
        <f>IF(ISERROR(VLOOKUP(P504,Gegenstände!$B$2:$N$2026,13,FALSE)),0,VLOOKUP(P504,Gegenstände!$B$2:$N$2026,13,FALSE))</f>
        <v>200</v>
      </c>
      <c r="AC504" s="142">
        <f>IF(ISERROR(VLOOKUP(R504,Gegenstände!$B$2:$N$2026,13,FALSE)),0,VLOOKUP(R504,Gegenstände!$B$2:$N$2026,13,FALSE))</f>
        <v>0</v>
      </c>
      <c r="AD504" s="142">
        <f>IF(ISERROR(VLOOKUP(T504,Gegenstände!$B$2:$N$2026,13,FALSE)),0,VLOOKUP(T504,Gegenstände!$B$2:$N$2026,13,FALSE))</f>
        <v>2000</v>
      </c>
      <c r="AE504" s="475">
        <f t="shared" si="182"/>
        <v>3060</v>
      </c>
      <c r="AF504" s="476">
        <f t="shared" si="183"/>
        <v>3040</v>
      </c>
      <c r="AG504" s="128">
        <f t="shared" si="184"/>
        <v>0.33260869565217394</v>
      </c>
      <c r="AH504" s="128">
        <f t="shared" si="185"/>
        <v>0.33043478260869563</v>
      </c>
      <c r="AI504" s="129">
        <f t="shared" si="187"/>
        <v>0.66304347826086951</v>
      </c>
      <c r="AJ504" s="426">
        <f t="shared" si="188"/>
        <v>3100</v>
      </c>
      <c r="AK504" s="131">
        <f t="shared" si="189"/>
        <v>516.66666666666663</v>
      </c>
      <c r="AL504" s="477">
        <f>AK504/VLOOKUP(IF(I504&gt;0,I504,1),Preise!$A$3:$B$27,2,FALSE)</f>
        <v>151.96078431372544</v>
      </c>
    </row>
    <row r="505" spans="1:38" s="3" customFormat="1" outlineLevel="1" x14ac:dyDescent="0.2">
      <c r="A505" s="412">
        <v>2323</v>
      </c>
      <c r="B505" s="412">
        <v>2323</v>
      </c>
      <c r="C505" s="132" t="str">
        <f>VLOOKUP(B505,Gegenstände!$A$2:$B$2026,2,FALSE)</f>
        <v>Saphir-Lederstulpen</v>
      </c>
      <c r="D505" s="133">
        <f>VLOOKUP(B505,Gegenstände!$A$2:$D$2026,4,FALSE)</f>
        <v>15</v>
      </c>
      <c r="E505" s="468">
        <v>31</v>
      </c>
      <c r="F505" s="3">
        <v>180</v>
      </c>
      <c r="G505" s="54"/>
      <c r="H505" s="469">
        <v>61</v>
      </c>
      <c r="I505" s="12">
        <f t="shared" si="179"/>
        <v>14</v>
      </c>
      <c r="J505" s="470"/>
      <c r="K505" s="54">
        <v>10</v>
      </c>
      <c r="L505" s="3" t="s">
        <v>165</v>
      </c>
      <c r="M505" s="85">
        <v>12</v>
      </c>
      <c r="N505" s="83" t="s">
        <v>198</v>
      </c>
      <c r="O505" s="85">
        <v>4</v>
      </c>
      <c r="P505" s="83" t="s">
        <v>200</v>
      </c>
      <c r="Q505" s="85"/>
      <c r="R505" s="83"/>
      <c r="S505" s="170">
        <v>1</v>
      </c>
      <c r="T505" s="170" t="s">
        <v>241</v>
      </c>
      <c r="U505" s="471">
        <f>VLOOKUP(D505,Preise!$A$3:$C$28,3)</f>
        <v>7.0757057644889763</v>
      </c>
      <c r="V505" s="523">
        <f>0.15*W505</f>
        <v>5306.7793233667317</v>
      </c>
      <c r="W505" s="131">
        <f t="shared" si="186"/>
        <v>35378.528822444881</v>
      </c>
      <c r="X505" s="472">
        <f t="shared" si="180"/>
        <v>7300</v>
      </c>
      <c r="Y505" s="473">
        <f t="shared" si="181"/>
        <v>5300</v>
      </c>
      <c r="Z505" s="474">
        <f>IF(ISERROR(VLOOKUP(L505,Gegenstände!$B$2:$N$2026,13,FALSE)),0,VLOOKUP(L505,Gegenstände!$B$2:$N$2026,13,FALSE))</f>
        <v>180</v>
      </c>
      <c r="AA505" s="142">
        <f>IF(ISERROR(VLOOKUP(N505,Gegenstände!$B$2:$N$2026,13,FALSE)),0,VLOOKUP(N505,Gegenstände!$B$2:$N$2026,13,FALSE))</f>
        <v>80</v>
      </c>
      <c r="AB505" s="142">
        <f>IF(ISERROR(VLOOKUP(P505,Gegenstände!$B$2:$N$2026,13,FALSE)),0,VLOOKUP(P505,Gegenstände!$B$2:$N$2026,13,FALSE))</f>
        <v>200</v>
      </c>
      <c r="AC505" s="142">
        <f>IF(ISERROR(VLOOKUP(R505,Gegenstände!$B$2:$N$2026,13,FALSE)),0,VLOOKUP(R505,Gegenstände!$B$2:$N$2026,13,FALSE))</f>
        <v>0</v>
      </c>
      <c r="AD505" s="142">
        <f>IF(ISERROR(VLOOKUP(T505,Gegenstände!$B$2:$N$2026,13,FALSE)),0,VLOOKUP(T505,Gegenstände!$B$2:$N$2026,13,FALSE))</f>
        <v>2000</v>
      </c>
      <c r="AE505" s="475">
        <f t="shared" si="182"/>
        <v>1800</v>
      </c>
      <c r="AF505" s="476">
        <f t="shared" si="183"/>
        <v>1760</v>
      </c>
      <c r="AG505" s="128">
        <f t="shared" si="184"/>
        <v>0.33962264150943394</v>
      </c>
      <c r="AH505" s="128">
        <f t="shared" si="185"/>
        <v>0.33207547169811319</v>
      </c>
      <c r="AI505" s="129">
        <f t="shared" si="187"/>
        <v>0.67169811320754713</v>
      </c>
      <c r="AJ505" s="426">
        <f t="shared" si="188"/>
        <v>1740</v>
      </c>
      <c r="AK505" s="131">
        <f t="shared" si="189"/>
        <v>580</v>
      </c>
      <c r="AL505" s="477">
        <f>AK505/VLOOKUP(IF(I505&gt;0,I505,1),Preise!$A$3:$B$27,2,FALSE)</f>
        <v>161.11111111111106</v>
      </c>
    </row>
    <row r="506" spans="1:38" s="3" customFormat="1" outlineLevel="1" x14ac:dyDescent="0.2">
      <c r="A506" s="412">
        <v>2324</v>
      </c>
      <c r="B506" s="412">
        <v>2324</v>
      </c>
      <c r="C506" s="132" t="str">
        <f>VLOOKUP(B506,Gegenstände!$A$2:$B$2026,2,FALSE)</f>
        <v>Saphir-Lederbeinlinge</v>
      </c>
      <c r="D506" s="133">
        <f>VLOOKUP(B506,Gegenstände!$A$2:$D$2026,4,FALSE)</f>
        <v>15</v>
      </c>
      <c r="E506" s="468">
        <v>31</v>
      </c>
      <c r="F506" s="3">
        <v>240</v>
      </c>
      <c r="G506" s="54"/>
      <c r="H506" s="469">
        <v>61</v>
      </c>
      <c r="I506" s="12">
        <f t="shared" si="179"/>
        <v>14</v>
      </c>
      <c r="J506" s="470"/>
      <c r="K506" s="54">
        <v>13</v>
      </c>
      <c r="L506" s="3" t="s">
        <v>165</v>
      </c>
      <c r="M506" s="85">
        <v>12</v>
      </c>
      <c r="N506" s="83" t="s">
        <v>198</v>
      </c>
      <c r="O506" s="85">
        <v>7</v>
      </c>
      <c r="P506" s="83" t="s">
        <v>200</v>
      </c>
      <c r="Q506" s="85"/>
      <c r="R506" s="83"/>
      <c r="S506" s="170">
        <v>1</v>
      </c>
      <c r="T506" s="170" t="s">
        <v>241</v>
      </c>
      <c r="U506" s="471">
        <f>VLOOKUP(D506,Preise!$A$3:$C$28,3)</f>
        <v>7.0757057644889763</v>
      </c>
      <c r="V506" s="523">
        <f>0.2*W506</f>
        <v>7075.7057644889765</v>
      </c>
      <c r="W506" s="131">
        <f t="shared" si="186"/>
        <v>35378.528822444881</v>
      </c>
      <c r="X506" s="472">
        <f t="shared" si="180"/>
        <v>9100</v>
      </c>
      <c r="Y506" s="473">
        <f t="shared" si="181"/>
        <v>7100</v>
      </c>
      <c r="Z506" s="474">
        <f>IF(ISERROR(VLOOKUP(L506,Gegenstände!$B$2:$N$2026,13,FALSE)),0,VLOOKUP(L506,Gegenstände!$B$2:$N$2026,13,FALSE))</f>
        <v>180</v>
      </c>
      <c r="AA506" s="142">
        <f>IF(ISERROR(VLOOKUP(N506,Gegenstände!$B$2:$N$2026,13,FALSE)),0,VLOOKUP(N506,Gegenstände!$B$2:$N$2026,13,FALSE))</f>
        <v>80</v>
      </c>
      <c r="AB506" s="142">
        <f>IF(ISERROR(VLOOKUP(P506,Gegenstände!$B$2:$N$2026,13,FALSE)),0,VLOOKUP(P506,Gegenstände!$B$2:$N$2026,13,FALSE))</f>
        <v>200</v>
      </c>
      <c r="AC506" s="142">
        <f>IF(ISERROR(VLOOKUP(R506,Gegenstände!$B$2:$N$2026,13,FALSE)),0,VLOOKUP(R506,Gegenstände!$B$2:$N$2026,13,FALSE))</f>
        <v>0</v>
      </c>
      <c r="AD506" s="142">
        <f>IF(ISERROR(VLOOKUP(T506,Gegenstände!$B$2:$N$2026,13,FALSE)),0,VLOOKUP(T506,Gegenstände!$B$2:$N$2026,13,FALSE))</f>
        <v>2000</v>
      </c>
      <c r="AE506" s="475">
        <f t="shared" si="182"/>
        <v>2340</v>
      </c>
      <c r="AF506" s="476">
        <f t="shared" si="183"/>
        <v>2360</v>
      </c>
      <c r="AG506" s="128">
        <f t="shared" si="184"/>
        <v>0.3295774647887324</v>
      </c>
      <c r="AH506" s="128">
        <f t="shared" si="185"/>
        <v>0.3323943661971831</v>
      </c>
      <c r="AI506" s="129">
        <f t="shared" si="187"/>
        <v>0.6619718309859155</v>
      </c>
      <c r="AJ506" s="426">
        <f t="shared" si="188"/>
        <v>2400</v>
      </c>
      <c r="AK506" s="131">
        <f t="shared" si="189"/>
        <v>600</v>
      </c>
      <c r="AL506" s="477">
        <f>AK506/VLOOKUP(IF(I506&gt;0,I506,1),Preise!$A$3:$B$27,2,FALSE)</f>
        <v>166.66666666666663</v>
      </c>
    </row>
    <row r="507" spans="1:38" s="3" customFormat="1" outlineLevel="1" x14ac:dyDescent="0.2">
      <c r="A507" s="561">
        <v>2325</v>
      </c>
      <c r="B507" s="561">
        <v>2325</v>
      </c>
      <c r="C507" s="413" t="str">
        <f>VLOOKUP(B507,Gegenstände!$A$2:$B$2026,2,FALSE)</f>
        <v>Saphir-Lederstiefel</v>
      </c>
      <c r="D507" s="562">
        <f>VLOOKUP(B507,Gegenstände!$A$2:$D$2026,4,FALSE)</f>
        <v>15</v>
      </c>
      <c r="E507" s="563">
        <v>31</v>
      </c>
      <c r="F507" s="334">
        <v>180</v>
      </c>
      <c r="G507" s="335"/>
      <c r="H507" s="565">
        <v>61</v>
      </c>
      <c r="I507" s="610">
        <f t="shared" si="179"/>
        <v>14</v>
      </c>
      <c r="J507" s="566"/>
      <c r="K507" s="335">
        <v>10</v>
      </c>
      <c r="L507" s="334" t="s">
        <v>165</v>
      </c>
      <c r="M507" s="567">
        <v>12</v>
      </c>
      <c r="N507" s="568" t="s">
        <v>198</v>
      </c>
      <c r="O507" s="567">
        <v>4</v>
      </c>
      <c r="P507" s="568" t="s">
        <v>200</v>
      </c>
      <c r="Q507" s="567"/>
      <c r="R507" s="568"/>
      <c r="S507" s="569">
        <v>1</v>
      </c>
      <c r="T507" s="569" t="s">
        <v>241</v>
      </c>
      <c r="U507" s="471">
        <f>VLOOKUP(D507,Preise!$A$3:$C$28,3)</f>
        <v>7.0757057644889763</v>
      </c>
      <c r="V507" s="558">
        <f>0.15*W507</f>
        <v>5306.7793233667317</v>
      </c>
      <c r="W507" s="559">
        <f t="shared" si="186"/>
        <v>35378.528822444881</v>
      </c>
      <c r="X507" s="472">
        <f t="shared" si="180"/>
        <v>7300</v>
      </c>
      <c r="Y507" s="473">
        <f t="shared" si="181"/>
        <v>5300</v>
      </c>
      <c r="Z507" s="613">
        <f>IF(ISERROR(VLOOKUP(L507,Gegenstände!$B$2:$N$2026,13,FALSE)),0,VLOOKUP(L507,Gegenstände!$B$2:$N$2026,13,FALSE))</f>
        <v>180</v>
      </c>
      <c r="AA507" s="614">
        <f>IF(ISERROR(VLOOKUP(N507,Gegenstände!$B$2:$N$2026,13,FALSE)),0,VLOOKUP(N507,Gegenstände!$B$2:$N$2026,13,FALSE))</f>
        <v>80</v>
      </c>
      <c r="AB507" s="614">
        <f>IF(ISERROR(VLOOKUP(P507,Gegenstände!$B$2:$N$2026,13,FALSE)),0,VLOOKUP(P507,Gegenstände!$B$2:$N$2026,13,FALSE))</f>
        <v>200</v>
      </c>
      <c r="AC507" s="614">
        <f>IF(ISERROR(VLOOKUP(R507,Gegenstände!$B$2:$N$2026,13,FALSE)),0,VLOOKUP(R507,Gegenstände!$B$2:$N$2026,13,FALSE))</f>
        <v>0</v>
      </c>
      <c r="AD507" s="142">
        <f>IF(ISERROR(VLOOKUP(T507,Gegenstände!$B$2:$N$2026,13,FALSE)),0,VLOOKUP(T507,Gegenstände!$B$2:$N$2026,13,FALSE))</f>
        <v>2000</v>
      </c>
      <c r="AE507" s="475">
        <f t="shared" si="182"/>
        <v>1800</v>
      </c>
      <c r="AF507" s="476">
        <f t="shared" si="183"/>
        <v>1760</v>
      </c>
      <c r="AG507" s="128">
        <f t="shared" si="184"/>
        <v>0.33962264150943394</v>
      </c>
      <c r="AH507" s="128">
        <f t="shared" si="185"/>
        <v>0.33207547169811319</v>
      </c>
      <c r="AI507" s="618">
        <f t="shared" si="187"/>
        <v>0.67169811320754713</v>
      </c>
      <c r="AJ507" s="619">
        <f t="shared" si="188"/>
        <v>1740</v>
      </c>
      <c r="AK507" s="559">
        <f t="shared" si="189"/>
        <v>580</v>
      </c>
      <c r="AL507" s="620">
        <f>AK507/VLOOKUP(IF(I507&gt;0,I507,1),Preise!$A$3:$B$27,2,FALSE)</f>
        <v>161.11111111111106</v>
      </c>
    </row>
    <row r="508" spans="1:38" s="3" customFormat="1" outlineLevel="1" x14ac:dyDescent="0.2">
      <c r="A508" s="412">
        <v>2331</v>
      </c>
      <c r="B508" s="412">
        <v>2331</v>
      </c>
      <c r="C508" s="132" t="str">
        <f>VLOOKUP(B508,Gegenstände!$A$2:$B$2026,2,FALSE)</f>
        <v>Lapis-Lederhelm</v>
      </c>
      <c r="D508" s="133">
        <f>VLOOKUP(B508,Gegenstände!$A$2:$D$2026,4,FALSE)</f>
        <v>19</v>
      </c>
      <c r="E508" s="468">
        <v>31</v>
      </c>
      <c r="F508" s="3">
        <v>240</v>
      </c>
      <c r="G508" s="54"/>
      <c r="H508" s="469">
        <v>61</v>
      </c>
      <c r="I508" s="12">
        <f t="shared" si="179"/>
        <v>18</v>
      </c>
      <c r="J508" s="470"/>
      <c r="K508" s="54">
        <v>15</v>
      </c>
      <c r="L508" s="3" t="s">
        <v>166</v>
      </c>
      <c r="M508" s="85">
        <v>14</v>
      </c>
      <c r="N508" s="83" t="s">
        <v>198</v>
      </c>
      <c r="O508" s="85">
        <v>15</v>
      </c>
      <c r="P508" s="83" t="s">
        <v>200</v>
      </c>
      <c r="Q508" s="85"/>
      <c r="R508" s="83"/>
      <c r="S508" s="170">
        <v>1</v>
      </c>
      <c r="T508" s="170" t="s">
        <v>242</v>
      </c>
      <c r="U508" s="471">
        <f>VLOOKUP(D508,Preise!$A$3:$C$28,3)</f>
        <v>12.375453605252243</v>
      </c>
      <c r="V508" s="523">
        <f>0.2*W508</f>
        <v>12375.453605252245</v>
      </c>
      <c r="W508" s="131">
        <f t="shared" si="186"/>
        <v>61877.268026261219</v>
      </c>
      <c r="X508" s="472">
        <f t="shared" si="180"/>
        <v>15900</v>
      </c>
      <c r="Y508" s="473">
        <f t="shared" si="181"/>
        <v>12400</v>
      </c>
      <c r="Z508" s="474">
        <f>IF(ISERROR(VLOOKUP(L508,Gegenstände!$B$2:$N$2026,13,FALSE)),0,VLOOKUP(L508,Gegenstände!$B$2:$N$2026,13,FALSE))</f>
        <v>270</v>
      </c>
      <c r="AA508" s="142">
        <f>IF(ISERROR(VLOOKUP(N508,Gegenstände!$B$2:$N$2026,13,FALSE)),0,VLOOKUP(N508,Gegenstände!$B$2:$N$2026,13,FALSE))</f>
        <v>80</v>
      </c>
      <c r="AB508" s="142">
        <f>IF(ISERROR(VLOOKUP(P508,Gegenstände!$B$2:$N$2026,13,FALSE)),0,VLOOKUP(P508,Gegenstände!$B$2:$N$2026,13,FALSE))</f>
        <v>200</v>
      </c>
      <c r="AC508" s="142">
        <f>IF(ISERROR(VLOOKUP(R508,Gegenstände!$B$2:$N$2026,13,FALSE)),0,VLOOKUP(R508,Gegenstände!$B$2:$N$2026,13,FALSE))</f>
        <v>0</v>
      </c>
      <c r="AD508" s="142">
        <f>IF(ISERROR(VLOOKUP(T508,Gegenstände!$B$2:$N$2026,13,FALSE)),0,VLOOKUP(T508,Gegenstände!$B$2:$N$2026,13,FALSE))</f>
        <v>3500</v>
      </c>
      <c r="AE508" s="475">
        <f t="shared" si="182"/>
        <v>4050</v>
      </c>
      <c r="AF508" s="476">
        <f t="shared" si="183"/>
        <v>4120</v>
      </c>
      <c r="AG508" s="128">
        <f t="shared" si="184"/>
        <v>0.32661290322580644</v>
      </c>
      <c r="AH508" s="128">
        <f t="shared" si="185"/>
        <v>0.33225806451612905</v>
      </c>
      <c r="AI508" s="129">
        <f t="shared" si="187"/>
        <v>0.65887096774193543</v>
      </c>
      <c r="AJ508" s="426">
        <f t="shared" si="188"/>
        <v>4230</v>
      </c>
      <c r="AK508" s="131">
        <f t="shared" si="189"/>
        <v>1057.5</v>
      </c>
      <c r="AL508" s="477">
        <f>AK508/VLOOKUP(IF(I508&gt;0,I508,1),Preise!$A$3:$B$27,2,FALSE)</f>
        <v>240.34090909090904</v>
      </c>
    </row>
    <row r="509" spans="1:38" s="3" customFormat="1" outlineLevel="1" x14ac:dyDescent="0.2">
      <c r="A509" s="412">
        <v>2332</v>
      </c>
      <c r="B509" s="412">
        <v>2332</v>
      </c>
      <c r="C509" s="132" t="str">
        <f>VLOOKUP(B509,Gegenstände!$A$2:$B$2026,2,FALSE)</f>
        <v>Lapis-Lederharnisch</v>
      </c>
      <c r="D509" s="133">
        <f>VLOOKUP(B509,Gegenstände!$A$2:$D$2026,4,FALSE)</f>
        <v>19</v>
      </c>
      <c r="E509" s="468">
        <v>31</v>
      </c>
      <c r="F509" s="3">
        <v>360</v>
      </c>
      <c r="G509" s="54"/>
      <c r="H509" s="469">
        <v>61</v>
      </c>
      <c r="I509" s="12">
        <f t="shared" si="179"/>
        <v>18</v>
      </c>
      <c r="J509" s="470"/>
      <c r="K509" s="54">
        <v>23</v>
      </c>
      <c r="L509" s="3" t="s">
        <v>166</v>
      </c>
      <c r="M509" s="85">
        <v>14</v>
      </c>
      <c r="N509" s="83" t="s">
        <v>198</v>
      </c>
      <c r="O509" s="85">
        <v>25</v>
      </c>
      <c r="P509" s="83" t="s">
        <v>200</v>
      </c>
      <c r="Q509" s="85"/>
      <c r="R509" s="83"/>
      <c r="S509" s="170">
        <v>1</v>
      </c>
      <c r="T509" s="170" t="s">
        <v>242</v>
      </c>
      <c r="U509" s="471">
        <f>VLOOKUP(D509,Preise!$A$3:$C$28,3)</f>
        <v>12.375453605252243</v>
      </c>
      <c r="V509" s="523">
        <f>0.3*W509</f>
        <v>18563.180407878364</v>
      </c>
      <c r="W509" s="131">
        <f t="shared" ref="W509:W517" si="190">U509*$V$466</f>
        <v>61877.268026261219</v>
      </c>
      <c r="X509" s="472">
        <f t="shared" si="180"/>
        <v>22100</v>
      </c>
      <c r="Y509" s="473">
        <f t="shared" si="181"/>
        <v>18600</v>
      </c>
      <c r="Z509" s="474">
        <f>IF(ISERROR(VLOOKUP(L509,Gegenstände!$B$2:$N$2026,13,FALSE)),0,VLOOKUP(L509,Gegenstände!$B$2:$N$2026,13,FALSE))</f>
        <v>270</v>
      </c>
      <c r="AA509" s="142">
        <f>IF(ISERROR(VLOOKUP(N509,Gegenstände!$B$2:$N$2026,13,FALSE)),0,VLOOKUP(N509,Gegenstände!$B$2:$N$2026,13,FALSE))</f>
        <v>80</v>
      </c>
      <c r="AB509" s="142">
        <f>IF(ISERROR(VLOOKUP(P509,Gegenstände!$B$2:$N$2026,13,FALSE)),0,VLOOKUP(P509,Gegenstände!$B$2:$N$2026,13,FALSE))</f>
        <v>200</v>
      </c>
      <c r="AC509" s="142">
        <f>IF(ISERROR(VLOOKUP(R509,Gegenstände!$B$2:$N$2026,13,FALSE)),0,VLOOKUP(R509,Gegenstände!$B$2:$N$2026,13,FALSE))</f>
        <v>0</v>
      </c>
      <c r="AD509" s="142">
        <f>IF(ISERROR(VLOOKUP(T509,Gegenstände!$B$2:$N$2026,13,FALSE)),0,VLOOKUP(T509,Gegenstände!$B$2:$N$2026,13,FALSE))</f>
        <v>3500</v>
      </c>
      <c r="AE509" s="475">
        <f t="shared" si="182"/>
        <v>6210</v>
      </c>
      <c r="AF509" s="476">
        <f t="shared" si="183"/>
        <v>6120</v>
      </c>
      <c r="AG509" s="128">
        <f t="shared" si="184"/>
        <v>0.33387096774193548</v>
      </c>
      <c r="AH509" s="128">
        <f t="shared" si="185"/>
        <v>0.32903225806451614</v>
      </c>
      <c r="AI509" s="129">
        <f t="shared" si="187"/>
        <v>0.66290322580645167</v>
      </c>
      <c r="AJ509" s="426">
        <f t="shared" si="188"/>
        <v>6270</v>
      </c>
      <c r="AK509" s="131">
        <f t="shared" si="189"/>
        <v>1045</v>
      </c>
      <c r="AL509" s="477">
        <f>AK509/VLOOKUP(IF(I509&gt;0,I509,1),Preise!$A$3:$B$27,2,FALSE)</f>
        <v>237.49999999999994</v>
      </c>
    </row>
    <row r="510" spans="1:38" s="3" customFormat="1" outlineLevel="1" x14ac:dyDescent="0.2">
      <c r="A510" s="412">
        <v>2333</v>
      </c>
      <c r="B510" s="412">
        <v>2333</v>
      </c>
      <c r="C510" s="132" t="str">
        <f>VLOOKUP(B510,Gegenstände!$A$2:$B$2026,2,FALSE)</f>
        <v>Lapis-Lederstulpen</v>
      </c>
      <c r="D510" s="133">
        <f>VLOOKUP(B510,Gegenstände!$A$2:$D$2026,4,FALSE)</f>
        <v>20</v>
      </c>
      <c r="E510" s="468">
        <v>31</v>
      </c>
      <c r="F510" s="3">
        <v>180</v>
      </c>
      <c r="G510" s="54"/>
      <c r="H510" s="469">
        <v>61</v>
      </c>
      <c r="I510" s="12">
        <f t="shared" si="179"/>
        <v>19</v>
      </c>
      <c r="J510" s="470"/>
      <c r="K510" s="54">
        <v>13</v>
      </c>
      <c r="L510" s="3" t="s">
        <v>166</v>
      </c>
      <c r="M510" s="85">
        <v>14</v>
      </c>
      <c r="N510" s="83" t="s">
        <v>198</v>
      </c>
      <c r="O510" s="85">
        <v>12</v>
      </c>
      <c r="P510" s="83" t="s">
        <v>200</v>
      </c>
      <c r="Q510" s="85"/>
      <c r="R510" s="83"/>
      <c r="S510" s="170">
        <v>1</v>
      </c>
      <c r="T510" s="170" t="s">
        <v>242</v>
      </c>
      <c r="U510" s="471">
        <f>VLOOKUP(D510,Preise!$A$3:$C$28,3)</f>
        <v>14.231771646040078</v>
      </c>
      <c r="V510" s="523">
        <f>0.15*W510</f>
        <v>10673.828734530058</v>
      </c>
      <c r="W510" s="131">
        <f t="shared" si="190"/>
        <v>71158.858230200392</v>
      </c>
      <c r="X510" s="472">
        <f t="shared" si="180"/>
        <v>14200</v>
      </c>
      <c r="Y510" s="473">
        <f t="shared" si="181"/>
        <v>10700</v>
      </c>
      <c r="Z510" s="474">
        <f>IF(ISERROR(VLOOKUP(L510,Gegenstände!$B$2:$N$2026,13,FALSE)),0,VLOOKUP(L510,Gegenstände!$B$2:$N$2026,13,FALSE))</f>
        <v>270</v>
      </c>
      <c r="AA510" s="142">
        <f>IF(ISERROR(VLOOKUP(N510,Gegenstände!$B$2:$N$2026,13,FALSE)),0,VLOOKUP(N510,Gegenstände!$B$2:$N$2026,13,FALSE))</f>
        <v>80</v>
      </c>
      <c r="AB510" s="142">
        <f>IF(ISERROR(VLOOKUP(P510,Gegenstände!$B$2:$N$2026,13,FALSE)),0,VLOOKUP(P510,Gegenstände!$B$2:$N$2026,13,FALSE))</f>
        <v>200</v>
      </c>
      <c r="AC510" s="142">
        <f>IF(ISERROR(VLOOKUP(R510,Gegenstände!$B$2:$N$2026,13,FALSE)),0,VLOOKUP(R510,Gegenstände!$B$2:$N$2026,13,FALSE))</f>
        <v>0</v>
      </c>
      <c r="AD510" s="142">
        <f>IF(ISERROR(VLOOKUP(T510,Gegenstände!$B$2:$N$2026,13,FALSE)),0,VLOOKUP(T510,Gegenstände!$B$2:$N$2026,13,FALSE))</f>
        <v>3500</v>
      </c>
      <c r="AE510" s="475">
        <f t="shared" si="182"/>
        <v>3510</v>
      </c>
      <c r="AF510" s="476">
        <f t="shared" si="183"/>
        <v>3520</v>
      </c>
      <c r="AG510" s="128">
        <f t="shared" si="184"/>
        <v>0.32803738317757009</v>
      </c>
      <c r="AH510" s="128">
        <f t="shared" si="185"/>
        <v>0.32897196261682243</v>
      </c>
      <c r="AI510" s="129">
        <f t="shared" si="187"/>
        <v>0.65700934579439252</v>
      </c>
      <c r="AJ510" s="426">
        <f t="shared" si="188"/>
        <v>3670</v>
      </c>
      <c r="AK510" s="131">
        <f t="shared" si="189"/>
        <v>1223.3333333333333</v>
      </c>
      <c r="AL510" s="477">
        <f>AK510/VLOOKUP(IF(I510&gt;0,I510,1),Preise!$A$3:$B$27,2,FALSE)</f>
        <v>265.94202898550714</v>
      </c>
    </row>
    <row r="511" spans="1:38" s="3" customFormat="1" outlineLevel="1" x14ac:dyDescent="0.2">
      <c r="A511" s="412">
        <v>2334</v>
      </c>
      <c r="B511" s="412">
        <v>2334</v>
      </c>
      <c r="C511" s="132" t="str">
        <f>VLOOKUP(B511,Gegenstände!$A$2:$B$2026,2,FALSE)</f>
        <v>Lapis-Lederbeinlinge</v>
      </c>
      <c r="D511" s="133">
        <f>VLOOKUP(B511,Gegenstände!$A$2:$D$2026,4,FALSE)</f>
        <v>20</v>
      </c>
      <c r="E511" s="468">
        <v>31</v>
      </c>
      <c r="F511" s="3">
        <v>240</v>
      </c>
      <c r="G511" s="54"/>
      <c r="H511" s="469">
        <v>61</v>
      </c>
      <c r="I511" s="12">
        <f t="shared" si="179"/>
        <v>19</v>
      </c>
      <c r="J511" s="470"/>
      <c r="K511" s="54">
        <v>17</v>
      </c>
      <c r="L511" s="3" t="s">
        <v>166</v>
      </c>
      <c r="M511" s="85">
        <v>14</v>
      </c>
      <c r="N511" s="83" t="s">
        <v>198</v>
      </c>
      <c r="O511" s="85">
        <v>18</v>
      </c>
      <c r="P511" s="83" t="s">
        <v>200</v>
      </c>
      <c r="Q511" s="85"/>
      <c r="R511" s="83"/>
      <c r="S511" s="170">
        <v>1</v>
      </c>
      <c r="T511" s="170" t="s">
        <v>242</v>
      </c>
      <c r="U511" s="471">
        <f>VLOOKUP(D511,Preise!$A$3:$C$28,3)</f>
        <v>14.231771646040078</v>
      </c>
      <c r="V511" s="523">
        <f>0.2*W511</f>
        <v>14231.771646040079</v>
      </c>
      <c r="W511" s="131">
        <f t="shared" si="190"/>
        <v>71158.858230200392</v>
      </c>
      <c r="X511" s="472">
        <f t="shared" si="180"/>
        <v>17700</v>
      </c>
      <c r="Y511" s="473">
        <f t="shared" si="181"/>
        <v>14200</v>
      </c>
      <c r="Z511" s="474">
        <f>IF(ISERROR(VLOOKUP(L511,Gegenstände!$B$2:$N$2026,13,FALSE)),0,VLOOKUP(L511,Gegenstände!$B$2:$N$2026,13,FALSE))</f>
        <v>270</v>
      </c>
      <c r="AA511" s="142">
        <f>IF(ISERROR(VLOOKUP(N511,Gegenstände!$B$2:$N$2026,13,FALSE)),0,VLOOKUP(N511,Gegenstände!$B$2:$N$2026,13,FALSE))</f>
        <v>80</v>
      </c>
      <c r="AB511" s="142">
        <f>IF(ISERROR(VLOOKUP(P511,Gegenstände!$B$2:$N$2026,13,FALSE)),0,VLOOKUP(P511,Gegenstände!$B$2:$N$2026,13,FALSE))</f>
        <v>200</v>
      </c>
      <c r="AC511" s="142">
        <f>IF(ISERROR(VLOOKUP(R511,Gegenstände!$B$2:$N$2026,13,FALSE)),0,VLOOKUP(R511,Gegenstände!$B$2:$N$2026,13,FALSE))</f>
        <v>0</v>
      </c>
      <c r="AD511" s="142">
        <f>IF(ISERROR(VLOOKUP(T511,Gegenstände!$B$2:$N$2026,13,FALSE)),0,VLOOKUP(T511,Gegenstände!$B$2:$N$2026,13,FALSE))</f>
        <v>3500</v>
      </c>
      <c r="AE511" s="475">
        <f t="shared" si="182"/>
        <v>4590</v>
      </c>
      <c r="AF511" s="476">
        <f t="shared" si="183"/>
        <v>4720</v>
      </c>
      <c r="AG511" s="128">
        <f t="shared" si="184"/>
        <v>0.32323943661971832</v>
      </c>
      <c r="AH511" s="128">
        <f t="shared" si="185"/>
        <v>0.3323943661971831</v>
      </c>
      <c r="AI511" s="129">
        <f t="shared" si="187"/>
        <v>0.65563380281690142</v>
      </c>
      <c r="AJ511" s="426">
        <f t="shared" si="188"/>
        <v>4890</v>
      </c>
      <c r="AK511" s="131">
        <f t="shared" si="189"/>
        <v>1222.5</v>
      </c>
      <c r="AL511" s="477">
        <f>AK511/VLOOKUP(IF(I511&gt;0,I511,1),Preise!$A$3:$B$27,2,FALSE)</f>
        <v>265.76086956521732</v>
      </c>
    </row>
    <row r="512" spans="1:38" s="3" customFormat="1" outlineLevel="1" x14ac:dyDescent="0.2">
      <c r="A512" s="561">
        <v>2335</v>
      </c>
      <c r="B512" s="561">
        <v>2335</v>
      </c>
      <c r="C512" s="413" t="str">
        <f>VLOOKUP(B512,Gegenstände!$A$2:$B$2026,2,FALSE)</f>
        <v>Lapis-Lederstiefel</v>
      </c>
      <c r="D512" s="562">
        <f>VLOOKUP(B512,Gegenstände!$A$2:$D$2026,4,FALSE)</f>
        <v>20</v>
      </c>
      <c r="E512" s="563">
        <v>31</v>
      </c>
      <c r="F512" s="334">
        <v>180</v>
      </c>
      <c r="G512" s="335"/>
      <c r="H512" s="565">
        <v>61</v>
      </c>
      <c r="I512" s="610">
        <f t="shared" si="179"/>
        <v>19</v>
      </c>
      <c r="J512" s="566"/>
      <c r="K512" s="335">
        <v>13</v>
      </c>
      <c r="L512" s="334" t="s">
        <v>166</v>
      </c>
      <c r="M512" s="567">
        <v>14</v>
      </c>
      <c r="N512" s="568" t="s">
        <v>198</v>
      </c>
      <c r="O512" s="567">
        <v>12</v>
      </c>
      <c r="P512" s="568" t="s">
        <v>200</v>
      </c>
      <c r="Q512" s="567"/>
      <c r="R512" s="568"/>
      <c r="S512" s="569">
        <v>1</v>
      </c>
      <c r="T512" s="569" t="s">
        <v>242</v>
      </c>
      <c r="U512" s="471">
        <f>VLOOKUP(D512,Preise!$A$3:$C$28,3)</f>
        <v>14.231771646040078</v>
      </c>
      <c r="V512" s="558">
        <f>0.15*W512</f>
        <v>10673.828734530058</v>
      </c>
      <c r="W512" s="559">
        <f t="shared" si="190"/>
        <v>71158.858230200392</v>
      </c>
      <c r="X512" s="472">
        <f t="shared" si="180"/>
        <v>14200</v>
      </c>
      <c r="Y512" s="473">
        <f t="shared" si="181"/>
        <v>10700</v>
      </c>
      <c r="Z512" s="613">
        <f>IF(ISERROR(VLOOKUP(L512,Gegenstände!$B$2:$N$2026,13,FALSE)),0,VLOOKUP(L512,Gegenstände!$B$2:$N$2026,13,FALSE))</f>
        <v>270</v>
      </c>
      <c r="AA512" s="614">
        <f>IF(ISERROR(VLOOKUP(N512,Gegenstände!$B$2:$N$2026,13,FALSE)),0,VLOOKUP(N512,Gegenstände!$B$2:$N$2026,13,FALSE))</f>
        <v>80</v>
      </c>
      <c r="AB512" s="614">
        <f>IF(ISERROR(VLOOKUP(P512,Gegenstände!$B$2:$N$2026,13,FALSE)),0,VLOOKUP(P512,Gegenstände!$B$2:$N$2026,13,FALSE))</f>
        <v>200</v>
      </c>
      <c r="AC512" s="614">
        <f>IF(ISERROR(VLOOKUP(R512,Gegenstände!$B$2:$N$2026,13,FALSE)),0,VLOOKUP(R512,Gegenstände!$B$2:$N$2026,13,FALSE))</f>
        <v>0</v>
      </c>
      <c r="AD512" s="142">
        <f>IF(ISERROR(VLOOKUP(T512,Gegenstände!$B$2:$N$2026,13,FALSE)),0,VLOOKUP(T512,Gegenstände!$B$2:$N$2026,13,FALSE))</f>
        <v>3500</v>
      </c>
      <c r="AE512" s="475">
        <f t="shared" si="182"/>
        <v>3510</v>
      </c>
      <c r="AF512" s="476">
        <f t="shared" si="183"/>
        <v>3520</v>
      </c>
      <c r="AG512" s="128">
        <f t="shared" si="184"/>
        <v>0.32803738317757009</v>
      </c>
      <c r="AH512" s="128">
        <f t="shared" si="185"/>
        <v>0.32897196261682243</v>
      </c>
      <c r="AI512" s="618">
        <f t="shared" si="187"/>
        <v>0.65700934579439252</v>
      </c>
      <c r="AJ512" s="619">
        <f t="shared" si="188"/>
        <v>3670</v>
      </c>
      <c r="AK512" s="559">
        <f t="shared" si="189"/>
        <v>1223.3333333333333</v>
      </c>
      <c r="AL512" s="620">
        <f>AK512/VLOOKUP(IF(I512&gt;0,I512,1),Preise!$A$3:$B$27,2,FALSE)</f>
        <v>265.94202898550714</v>
      </c>
    </row>
    <row r="513" spans="1:38" s="3" customFormat="1" outlineLevel="1" x14ac:dyDescent="0.2">
      <c r="A513" s="412">
        <v>2341</v>
      </c>
      <c r="B513" s="412">
        <v>2341</v>
      </c>
      <c r="C513" s="132" t="str">
        <f>VLOOKUP(B513,Gegenstände!$A$2:$B$2026,2,FALSE)</f>
        <v>Diamant-Lederhelm</v>
      </c>
      <c r="D513" s="133">
        <f>VLOOKUP(B513,Gegenstände!$A$2:$D$2026,4,FALSE)</f>
        <v>24</v>
      </c>
      <c r="E513" s="468">
        <v>31</v>
      </c>
      <c r="F513" s="3">
        <v>240</v>
      </c>
      <c r="G513" s="54"/>
      <c r="H513" s="469">
        <v>61</v>
      </c>
      <c r="I513" s="12">
        <f t="shared" si="179"/>
        <v>23</v>
      </c>
      <c r="J513" s="470"/>
      <c r="K513" s="54">
        <v>22</v>
      </c>
      <c r="L513" s="3" t="s">
        <v>167</v>
      </c>
      <c r="M513" s="85">
        <v>8</v>
      </c>
      <c r="N513" s="83" t="s">
        <v>198</v>
      </c>
      <c r="O513" s="85">
        <v>8</v>
      </c>
      <c r="P513" s="83" t="s">
        <v>200</v>
      </c>
      <c r="Q513" s="85">
        <v>12</v>
      </c>
      <c r="R513" s="83" t="s">
        <v>201</v>
      </c>
      <c r="S513" s="170">
        <v>1</v>
      </c>
      <c r="T513" s="170" t="s">
        <v>243</v>
      </c>
      <c r="U513" s="471">
        <f>VLOOKUP(D513,Preise!$A$3:$C$28,3)</f>
        <v>24.891457557496878</v>
      </c>
      <c r="V513" s="523">
        <f>0.2*W513</f>
        <v>24891.457557496877</v>
      </c>
      <c r="W513" s="131">
        <f t="shared" si="190"/>
        <v>124457.28778748438</v>
      </c>
      <c r="X513" s="472">
        <f t="shared" si="180"/>
        <v>29900</v>
      </c>
      <c r="Y513" s="473">
        <f t="shared" si="181"/>
        <v>24900</v>
      </c>
      <c r="Z513" s="474">
        <f>IF(ISERROR(VLOOKUP(L513,Gegenstände!$B$2:$N$2026,13,FALSE)),0,VLOOKUP(L513,Gegenstände!$B$2:$N$2026,13,FALSE))</f>
        <v>360</v>
      </c>
      <c r="AA513" s="142">
        <f>IF(ISERROR(VLOOKUP(N513,Gegenstände!$B$2:$N$2026,13,FALSE)),0,VLOOKUP(N513,Gegenstände!$B$2:$N$2026,13,FALSE))</f>
        <v>80</v>
      </c>
      <c r="AB513" s="142">
        <f>IF(ISERROR(VLOOKUP(P513,Gegenstände!$B$2:$N$2026,13,FALSE)),0,VLOOKUP(P513,Gegenstände!$B$2:$N$2026,13,FALSE))</f>
        <v>200</v>
      </c>
      <c r="AC513" s="142">
        <f>IF(ISERROR(VLOOKUP(R513,Gegenstände!$B$2:$N$2026,13,FALSE)),0,VLOOKUP(R513,Gegenstände!$B$2:$N$2026,13,FALSE))</f>
        <v>500</v>
      </c>
      <c r="AD513" s="142">
        <f>IF(ISERROR(VLOOKUP(T513,Gegenstände!$B$2:$N$2026,13,FALSE)),0,VLOOKUP(T513,Gegenstände!$B$2:$N$2026,13,FALSE))</f>
        <v>5000</v>
      </c>
      <c r="AE513" s="475">
        <f t="shared" si="182"/>
        <v>7920</v>
      </c>
      <c r="AF513" s="476">
        <f t="shared" si="183"/>
        <v>8240</v>
      </c>
      <c r="AG513" s="128">
        <f t="shared" si="184"/>
        <v>0.3180722891566265</v>
      </c>
      <c r="AH513" s="128">
        <f t="shared" si="185"/>
        <v>0.33092369477911648</v>
      </c>
      <c r="AI513" s="129">
        <f t="shared" si="187"/>
        <v>0.64899598393574298</v>
      </c>
      <c r="AJ513" s="426">
        <f t="shared" si="188"/>
        <v>8740</v>
      </c>
      <c r="AK513" s="131">
        <f t="shared" si="189"/>
        <v>2185</v>
      </c>
      <c r="AL513" s="477">
        <f>AK513/VLOOKUP(IF(I513&gt;0,I513,1),Preise!$A$3:$B$27,2,FALSE)</f>
        <v>404.62962962962945</v>
      </c>
    </row>
    <row r="514" spans="1:38" s="3" customFormat="1" outlineLevel="1" x14ac:dyDescent="0.2">
      <c r="A514" s="412">
        <v>2342</v>
      </c>
      <c r="B514" s="412">
        <v>2342</v>
      </c>
      <c r="C514" s="132" t="str">
        <f>VLOOKUP(B514,Gegenstände!$A$2:$B$2026,2,FALSE)</f>
        <v>Diamant-Lederharnisch</v>
      </c>
      <c r="D514" s="133">
        <f>VLOOKUP(B514,Gegenstände!$A$2:$D$2026,4,FALSE)</f>
        <v>24</v>
      </c>
      <c r="E514" s="468">
        <v>31</v>
      </c>
      <c r="F514" s="3">
        <v>360</v>
      </c>
      <c r="G514" s="54"/>
      <c r="H514" s="469">
        <v>61</v>
      </c>
      <c r="I514" s="12">
        <f t="shared" si="179"/>
        <v>23</v>
      </c>
      <c r="J514" s="470"/>
      <c r="K514" s="54">
        <v>34</v>
      </c>
      <c r="L514" s="3" t="s">
        <v>167</v>
      </c>
      <c r="M514" s="85">
        <v>15</v>
      </c>
      <c r="N514" s="83" t="s">
        <v>198</v>
      </c>
      <c r="O514" s="85">
        <v>10</v>
      </c>
      <c r="P514" s="83" t="s">
        <v>200</v>
      </c>
      <c r="Q514" s="85">
        <v>18</v>
      </c>
      <c r="R514" s="83" t="s">
        <v>201</v>
      </c>
      <c r="S514" s="170">
        <v>1</v>
      </c>
      <c r="T514" s="170" t="s">
        <v>243</v>
      </c>
      <c r="U514" s="471">
        <f>VLOOKUP(D514,Preise!$A$3:$C$28,3)</f>
        <v>24.891457557496878</v>
      </c>
      <c r="V514" s="523">
        <f>0.3*W514</f>
        <v>37337.186336245315</v>
      </c>
      <c r="W514" s="131">
        <f t="shared" si="190"/>
        <v>124457.28778748438</v>
      </c>
      <c r="X514" s="472">
        <f t="shared" si="180"/>
        <v>42300</v>
      </c>
      <c r="Y514" s="473">
        <f t="shared" si="181"/>
        <v>37300</v>
      </c>
      <c r="Z514" s="474">
        <f>IF(ISERROR(VLOOKUP(L514,Gegenstände!$B$2:$N$2026,13,FALSE)),0,VLOOKUP(L514,Gegenstände!$B$2:$N$2026,13,FALSE))</f>
        <v>360</v>
      </c>
      <c r="AA514" s="142">
        <f>IF(ISERROR(VLOOKUP(N514,Gegenstände!$B$2:$N$2026,13,FALSE)),0,VLOOKUP(N514,Gegenstände!$B$2:$N$2026,13,FALSE))</f>
        <v>80</v>
      </c>
      <c r="AB514" s="142">
        <f>IF(ISERROR(VLOOKUP(P514,Gegenstände!$B$2:$N$2026,13,FALSE)),0,VLOOKUP(P514,Gegenstände!$B$2:$N$2026,13,FALSE))</f>
        <v>200</v>
      </c>
      <c r="AC514" s="142">
        <f>IF(ISERROR(VLOOKUP(R514,Gegenstände!$B$2:$N$2026,13,FALSE)),0,VLOOKUP(R514,Gegenstände!$B$2:$N$2026,13,FALSE))</f>
        <v>500</v>
      </c>
      <c r="AD514" s="142">
        <f>IF(ISERROR(VLOOKUP(T514,Gegenstände!$B$2:$N$2026,13,FALSE)),0,VLOOKUP(T514,Gegenstände!$B$2:$N$2026,13,FALSE))</f>
        <v>5000</v>
      </c>
      <c r="AE514" s="475">
        <f t="shared" si="182"/>
        <v>12240</v>
      </c>
      <c r="AF514" s="476">
        <f t="shared" si="183"/>
        <v>12200</v>
      </c>
      <c r="AG514" s="128">
        <f t="shared" si="184"/>
        <v>0.32815013404825738</v>
      </c>
      <c r="AH514" s="128">
        <f t="shared" si="185"/>
        <v>0.32707774798927614</v>
      </c>
      <c r="AI514" s="129">
        <f t="shared" si="187"/>
        <v>0.65522788203753346</v>
      </c>
      <c r="AJ514" s="426">
        <f t="shared" si="188"/>
        <v>12860</v>
      </c>
      <c r="AK514" s="131">
        <f t="shared" si="189"/>
        <v>2143.3333333333335</v>
      </c>
      <c r="AL514" s="477">
        <f>AK514/VLOOKUP(IF(I514&gt;0,I514,1),Preise!$A$3:$B$27,2,FALSE)</f>
        <v>396.91358024691345</v>
      </c>
    </row>
    <row r="515" spans="1:38" s="3" customFormat="1" outlineLevel="1" x14ac:dyDescent="0.2">
      <c r="A515" s="412">
        <v>2343</v>
      </c>
      <c r="B515" s="412">
        <v>2343</v>
      </c>
      <c r="C515" s="132" t="str">
        <f>VLOOKUP(B515,Gegenstände!$A$2:$B$2026,2,FALSE)</f>
        <v>Diamant-Lederstulpen</v>
      </c>
      <c r="D515" s="133">
        <f>VLOOKUP(B515,Gegenstände!$A$2:$D$2026,4,FALSE)</f>
        <v>25</v>
      </c>
      <c r="E515" s="468">
        <v>31</v>
      </c>
      <c r="F515" s="3">
        <v>180</v>
      </c>
      <c r="G515" s="54"/>
      <c r="H515" s="469">
        <v>61</v>
      </c>
      <c r="I515" s="12">
        <f t="shared" si="179"/>
        <v>24</v>
      </c>
      <c r="J515" s="470"/>
      <c r="K515" s="54">
        <v>20</v>
      </c>
      <c r="L515" s="3" t="s">
        <v>167</v>
      </c>
      <c r="M515" s="85">
        <v>6</v>
      </c>
      <c r="N515" s="83" t="s">
        <v>198</v>
      </c>
      <c r="O515" s="85">
        <v>8</v>
      </c>
      <c r="P515" s="83" t="s">
        <v>200</v>
      </c>
      <c r="Q515" s="85">
        <v>10</v>
      </c>
      <c r="R515" s="83" t="s">
        <v>201</v>
      </c>
      <c r="S515" s="170">
        <v>1</v>
      </c>
      <c r="T515" s="170" t="s">
        <v>243</v>
      </c>
      <c r="U515" s="471">
        <f>VLOOKUP(D515,Preise!$A$3:$C$28,3)</f>
        <v>28.625176191121408</v>
      </c>
      <c r="V515" s="523">
        <f>0.15*W515</f>
        <v>21468.882143341056</v>
      </c>
      <c r="W515" s="131">
        <f t="shared" si="190"/>
        <v>143125.88095560705</v>
      </c>
      <c r="X515" s="472">
        <f t="shared" si="180"/>
        <v>26500</v>
      </c>
      <c r="Y515" s="473">
        <f t="shared" si="181"/>
        <v>21500</v>
      </c>
      <c r="Z515" s="474">
        <f>IF(ISERROR(VLOOKUP(L515,Gegenstände!$B$2:$N$2026,13,FALSE)),0,VLOOKUP(L515,Gegenstände!$B$2:$N$2026,13,FALSE))</f>
        <v>360</v>
      </c>
      <c r="AA515" s="142">
        <f>IF(ISERROR(VLOOKUP(N515,Gegenstände!$B$2:$N$2026,13,FALSE)),0,VLOOKUP(N515,Gegenstände!$B$2:$N$2026,13,FALSE))</f>
        <v>80</v>
      </c>
      <c r="AB515" s="142">
        <f>IF(ISERROR(VLOOKUP(P515,Gegenstände!$B$2:$N$2026,13,FALSE)),0,VLOOKUP(P515,Gegenstände!$B$2:$N$2026,13,FALSE))</f>
        <v>200</v>
      </c>
      <c r="AC515" s="142">
        <f>IF(ISERROR(VLOOKUP(R515,Gegenstände!$B$2:$N$2026,13,FALSE)),0,VLOOKUP(R515,Gegenstände!$B$2:$N$2026,13,FALSE))</f>
        <v>500</v>
      </c>
      <c r="AD515" s="142">
        <f>IF(ISERROR(VLOOKUP(T515,Gegenstände!$B$2:$N$2026,13,FALSE)),0,VLOOKUP(T515,Gegenstände!$B$2:$N$2026,13,FALSE))</f>
        <v>5000</v>
      </c>
      <c r="AE515" s="475">
        <f t="shared" si="182"/>
        <v>7200</v>
      </c>
      <c r="AF515" s="476">
        <f t="shared" si="183"/>
        <v>7080</v>
      </c>
      <c r="AG515" s="128">
        <f t="shared" si="184"/>
        <v>0.33488372093023255</v>
      </c>
      <c r="AH515" s="128">
        <f t="shared" si="185"/>
        <v>0.32930232558139533</v>
      </c>
      <c r="AI515" s="129">
        <f t="shared" si="187"/>
        <v>0.66418604651162794</v>
      </c>
      <c r="AJ515" s="426">
        <f t="shared" si="188"/>
        <v>7220</v>
      </c>
      <c r="AK515" s="131">
        <f t="shared" si="189"/>
        <v>2406.6666666666665</v>
      </c>
      <c r="AL515" s="477">
        <f>AK515/VLOOKUP(IF(I515&gt;0,I515,1),Preise!$A$3:$B$27,2,FALSE)</f>
        <v>429.76190476190453</v>
      </c>
    </row>
    <row r="516" spans="1:38" s="3" customFormat="1" outlineLevel="1" x14ac:dyDescent="0.2">
      <c r="A516" s="412">
        <v>2344</v>
      </c>
      <c r="B516" s="412">
        <v>2344</v>
      </c>
      <c r="C516" s="132" t="str">
        <f>VLOOKUP(B516,Gegenstände!$A$2:$B$2026,2,FALSE)</f>
        <v>Diamant-Lederbeinlinge</v>
      </c>
      <c r="D516" s="133">
        <f>VLOOKUP(B516,Gegenstände!$A$2:$D$2026,4,FALSE)</f>
        <v>25</v>
      </c>
      <c r="E516" s="468">
        <v>31</v>
      </c>
      <c r="F516" s="3">
        <v>240</v>
      </c>
      <c r="G516" s="54"/>
      <c r="H516" s="469">
        <v>61</v>
      </c>
      <c r="I516" s="12">
        <f t="shared" si="179"/>
        <v>24</v>
      </c>
      <c r="J516" s="470"/>
      <c r="K516" s="54">
        <v>26</v>
      </c>
      <c r="L516" s="3" t="s">
        <v>167</v>
      </c>
      <c r="M516" s="85">
        <v>8</v>
      </c>
      <c r="N516" s="83" t="s">
        <v>198</v>
      </c>
      <c r="O516" s="85">
        <v>6</v>
      </c>
      <c r="P516" s="83" t="s">
        <v>200</v>
      </c>
      <c r="Q516" s="85">
        <v>15</v>
      </c>
      <c r="R516" s="83" t="s">
        <v>201</v>
      </c>
      <c r="S516" s="170">
        <v>1</v>
      </c>
      <c r="T516" s="170" t="s">
        <v>243</v>
      </c>
      <c r="U516" s="471">
        <f>VLOOKUP(D516,Preise!$A$3:$C$28,3)</f>
        <v>28.625176191121408</v>
      </c>
      <c r="V516" s="523">
        <f>0.2*W516</f>
        <v>28625.176191121413</v>
      </c>
      <c r="W516" s="131">
        <f t="shared" si="190"/>
        <v>143125.88095560705</v>
      </c>
      <c r="X516" s="472">
        <f t="shared" si="180"/>
        <v>33600</v>
      </c>
      <c r="Y516" s="473">
        <f t="shared" si="181"/>
        <v>28600</v>
      </c>
      <c r="Z516" s="474">
        <f>IF(ISERROR(VLOOKUP(L516,Gegenstände!$B$2:$N$2026,13,FALSE)),0,VLOOKUP(L516,Gegenstände!$B$2:$N$2026,13,FALSE))</f>
        <v>360</v>
      </c>
      <c r="AA516" s="142">
        <f>IF(ISERROR(VLOOKUP(N516,Gegenstände!$B$2:$N$2026,13,FALSE)),0,VLOOKUP(N516,Gegenstände!$B$2:$N$2026,13,FALSE))</f>
        <v>80</v>
      </c>
      <c r="AB516" s="142">
        <f>IF(ISERROR(VLOOKUP(P516,Gegenstände!$B$2:$N$2026,13,FALSE)),0,VLOOKUP(P516,Gegenstände!$B$2:$N$2026,13,FALSE))</f>
        <v>200</v>
      </c>
      <c r="AC516" s="142">
        <f>IF(ISERROR(VLOOKUP(R516,Gegenstände!$B$2:$N$2026,13,FALSE)),0,VLOOKUP(R516,Gegenstände!$B$2:$N$2026,13,FALSE))</f>
        <v>500</v>
      </c>
      <c r="AD516" s="142">
        <f>IF(ISERROR(VLOOKUP(T516,Gegenstände!$B$2:$N$2026,13,FALSE)),0,VLOOKUP(T516,Gegenstände!$B$2:$N$2026,13,FALSE))</f>
        <v>5000</v>
      </c>
      <c r="AE516" s="475">
        <f t="shared" si="182"/>
        <v>9360</v>
      </c>
      <c r="AF516" s="476">
        <f t="shared" si="183"/>
        <v>9340</v>
      </c>
      <c r="AG516" s="128">
        <f t="shared" si="184"/>
        <v>0.32727272727272727</v>
      </c>
      <c r="AH516" s="128">
        <f t="shared" si="185"/>
        <v>0.32657342657342658</v>
      </c>
      <c r="AI516" s="129">
        <f t="shared" si="187"/>
        <v>0.65384615384615385</v>
      </c>
      <c r="AJ516" s="426">
        <f t="shared" si="188"/>
        <v>9900</v>
      </c>
      <c r="AK516" s="131">
        <f t="shared" si="189"/>
        <v>2475</v>
      </c>
      <c r="AL516" s="477">
        <f>AK516/VLOOKUP(IF(I516&gt;0,I516,1),Preise!$A$3:$B$27,2,FALSE)</f>
        <v>441.96428571428555</v>
      </c>
    </row>
    <row r="517" spans="1:38" s="3" customFormat="1" outlineLevel="1" x14ac:dyDescent="0.2">
      <c r="A517" s="561">
        <v>2345</v>
      </c>
      <c r="B517" s="561">
        <v>2345</v>
      </c>
      <c r="C517" s="413" t="str">
        <f>VLOOKUP(B517,Gegenstände!$A$2:$B$2026,2,FALSE)</f>
        <v>Diamant-Lederstiefel</v>
      </c>
      <c r="D517" s="562">
        <f>VLOOKUP(B517,Gegenstände!$A$2:$D$2026,4,FALSE)</f>
        <v>25</v>
      </c>
      <c r="E517" s="563">
        <v>31</v>
      </c>
      <c r="F517" s="334">
        <v>180</v>
      </c>
      <c r="G517" s="335"/>
      <c r="H517" s="565">
        <v>61</v>
      </c>
      <c r="I517" s="12">
        <f t="shared" si="179"/>
        <v>24</v>
      </c>
      <c r="J517" s="566"/>
      <c r="K517" s="335">
        <v>20</v>
      </c>
      <c r="L517" s="334" t="s">
        <v>167</v>
      </c>
      <c r="M517" s="567">
        <v>6</v>
      </c>
      <c r="N517" s="568" t="s">
        <v>198</v>
      </c>
      <c r="O517" s="567">
        <v>8</v>
      </c>
      <c r="P517" s="568" t="s">
        <v>200</v>
      </c>
      <c r="Q517" s="567">
        <v>10</v>
      </c>
      <c r="R517" s="568" t="s">
        <v>201</v>
      </c>
      <c r="S517" s="569">
        <v>1</v>
      </c>
      <c r="T517" s="569" t="s">
        <v>243</v>
      </c>
      <c r="U517" s="471">
        <f>VLOOKUP(D517,Preise!$A$3:$C$28,3)</f>
        <v>28.625176191121408</v>
      </c>
      <c r="V517" s="558">
        <f>0.15*W517</f>
        <v>21468.882143341056</v>
      </c>
      <c r="W517" s="559">
        <f t="shared" si="190"/>
        <v>143125.88095560705</v>
      </c>
      <c r="X517" s="472">
        <f t="shared" si="180"/>
        <v>26500</v>
      </c>
      <c r="Y517" s="473">
        <f t="shared" si="181"/>
        <v>21500</v>
      </c>
      <c r="Z517" s="613">
        <f>IF(ISERROR(VLOOKUP(L517,Gegenstände!$B$2:$N$2026,13,FALSE)),0,VLOOKUP(L517,Gegenstände!$B$2:$N$2026,13,FALSE))</f>
        <v>360</v>
      </c>
      <c r="AA517" s="614">
        <f>IF(ISERROR(VLOOKUP(N517,Gegenstände!$B$2:$N$2026,13,FALSE)),0,VLOOKUP(N517,Gegenstände!$B$2:$N$2026,13,FALSE))</f>
        <v>80</v>
      </c>
      <c r="AB517" s="614">
        <f>IF(ISERROR(VLOOKUP(P517,Gegenstände!$B$2:$N$2026,13,FALSE)),0,VLOOKUP(P517,Gegenstände!$B$2:$N$2026,13,FALSE))</f>
        <v>200</v>
      </c>
      <c r="AC517" s="614">
        <f>IF(ISERROR(VLOOKUP(R517,Gegenstände!$B$2:$N$2026,13,FALSE)),0,VLOOKUP(R517,Gegenstände!$B$2:$N$2026,13,FALSE))</f>
        <v>500</v>
      </c>
      <c r="AD517" s="142">
        <f>IF(ISERROR(VLOOKUP(T517,Gegenstände!$B$2:$N$2026,13,FALSE)),0,VLOOKUP(T517,Gegenstände!$B$2:$N$2026,13,FALSE))</f>
        <v>5000</v>
      </c>
      <c r="AE517" s="475">
        <f t="shared" si="182"/>
        <v>7200</v>
      </c>
      <c r="AF517" s="476">
        <f t="shared" si="183"/>
        <v>7080</v>
      </c>
      <c r="AG517" s="128">
        <f t="shared" si="184"/>
        <v>0.33488372093023255</v>
      </c>
      <c r="AH517" s="128">
        <f t="shared" si="185"/>
        <v>0.32930232558139533</v>
      </c>
      <c r="AI517" s="618">
        <f t="shared" si="187"/>
        <v>0.66418604651162794</v>
      </c>
      <c r="AJ517" s="619">
        <f t="shared" si="188"/>
        <v>7220</v>
      </c>
      <c r="AK517" s="559">
        <f t="shared" si="189"/>
        <v>2406.6666666666665</v>
      </c>
      <c r="AL517" s="620">
        <f>AK517/VLOOKUP(IF(I517&gt;0,I517,1),Preise!$A$3:$B$27,2,FALSE)</f>
        <v>429.76190476190453</v>
      </c>
    </row>
    <row r="518" spans="1:38" s="3" customFormat="1" x14ac:dyDescent="0.2">
      <c r="A518" s="581"/>
      <c r="B518" s="399"/>
      <c r="C518" s="193"/>
      <c r="D518" s="194"/>
      <c r="E518" s="582"/>
      <c r="F518" s="197"/>
      <c r="G518" s="194"/>
      <c r="H518" s="583"/>
      <c r="I518" s="597"/>
      <c r="J518" s="585"/>
      <c r="K518" s="584"/>
      <c r="L518" s="192"/>
      <c r="M518" s="584"/>
      <c r="N518" s="192"/>
      <c r="O518" s="584"/>
      <c r="P518" s="192"/>
      <c r="Q518" s="584"/>
      <c r="R518" s="192"/>
      <c r="S518" s="586"/>
      <c r="T518" s="587"/>
      <c r="U518" s="598"/>
      <c r="V518" s="589">
        <v>5000</v>
      </c>
      <c r="W518" s="590"/>
      <c r="X518" s="599"/>
      <c r="Y518" s="621"/>
      <c r="Z518" s="400"/>
      <c r="AA518" s="193"/>
      <c r="AB518" s="193"/>
      <c r="AC518" s="193"/>
      <c r="AD518" s="601"/>
      <c r="AE518" s="602"/>
      <c r="AF518" s="603"/>
      <c r="AG518" s="604"/>
      <c r="AH518" s="604"/>
      <c r="AI518" s="594"/>
      <c r="AJ518" s="595"/>
      <c r="AK518" s="200"/>
      <c r="AL518" s="596"/>
    </row>
    <row r="519" spans="1:38" s="3" customFormat="1" ht="13.5" customHeight="1" outlineLevel="1" x14ac:dyDescent="0.2">
      <c r="A519" s="412">
        <v>2401</v>
      </c>
      <c r="B519" s="412">
        <v>2401</v>
      </c>
      <c r="C519" s="132" t="str">
        <f>VLOOKUP(B519,Gegenstände!$A$2:$B$2026,2,FALSE)</f>
        <v>Kristall-Plattenhelm</v>
      </c>
      <c r="D519" s="133">
        <f>VLOOKUP(B519,Gegenstände!$A$2:$D$2026,4,FALSE)</f>
        <v>4</v>
      </c>
      <c r="E519" s="468">
        <v>30</v>
      </c>
      <c r="F519" s="3">
        <v>240</v>
      </c>
      <c r="G519" s="54"/>
      <c r="H519" s="469">
        <v>62</v>
      </c>
      <c r="I519" s="12">
        <f t="shared" si="179"/>
        <v>3</v>
      </c>
      <c r="J519" s="470"/>
      <c r="K519" s="54">
        <v>8</v>
      </c>
      <c r="L519" s="3" t="s">
        <v>113</v>
      </c>
      <c r="M519" s="85">
        <v>6</v>
      </c>
      <c r="N519" s="83" t="s">
        <v>176</v>
      </c>
      <c r="O519" s="85"/>
      <c r="P519" s="83"/>
      <c r="Q519" s="85"/>
      <c r="R519" s="83"/>
      <c r="S519" s="170">
        <v>1</v>
      </c>
      <c r="T519" s="170" t="s">
        <v>237</v>
      </c>
      <c r="U519" s="471">
        <f>VLOOKUP(D519,Preise!$A$3:$C$28,3)</f>
        <v>1.5208749999999995</v>
      </c>
      <c r="V519" s="523">
        <f>0.2*W519</f>
        <v>1520.8749999999995</v>
      </c>
      <c r="W519" s="131">
        <f t="shared" ref="W519:W534" si="191">U519*$V$466</f>
        <v>7604.3749999999973</v>
      </c>
      <c r="X519" s="472">
        <f t="shared" si="180"/>
        <v>2000</v>
      </c>
      <c r="Y519" s="473">
        <f t="shared" si="181"/>
        <v>1500</v>
      </c>
      <c r="Z519" s="474">
        <f>IF(ISERROR(VLOOKUP(L519,Gegenstände!$B$2:$N$2026,13,FALSE)),0,VLOOKUP(L519,Gegenstände!$B$2:$N$2026,13,FALSE))</f>
        <v>60</v>
      </c>
      <c r="AA519" s="142">
        <f>IF(ISERROR(VLOOKUP(N519,Gegenstände!$B$2:$N$2026,13,FALSE)),0,VLOOKUP(N519,Gegenstände!$B$2:$N$2026,13,FALSE))</f>
        <v>80</v>
      </c>
      <c r="AB519" s="142">
        <f>IF(ISERROR(VLOOKUP(P519,Gegenstände!$B$2:$N$2026,13,FALSE)),0,VLOOKUP(P519,Gegenstände!$B$2:$N$2026,13,FALSE))</f>
        <v>0</v>
      </c>
      <c r="AC519" s="142">
        <f>IF(ISERROR(VLOOKUP(R519,Gegenstände!$B$2:$N$2026,13,FALSE)),0,VLOOKUP(R519,Gegenstände!$B$2:$N$2026,13,FALSE))</f>
        <v>0</v>
      </c>
      <c r="AD519" s="142">
        <f>IF(ISERROR(VLOOKUP(T519,Gegenstände!$B$2:$N$2026,13,FALSE)),0,VLOOKUP(T519,Gegenstände!$B$2:$N$2026,13,FALSE))</f>
        <v>500</v>
      </c>
      <c r="AE519" s="475">
        <f t="shared" si="182"/>
        <v>480</v>
      </c>
      <c r="AF519" s="476">
        <f t="shared" si="183"/>
        <v>480</v>
      </c>
      <c r="AG519" s="128">
        <f t="shared" si="184"/>
        <v>0.32</v>
      </c>
      <c r="AH519" s="128">
        <f t="shared" si="185"/>
        <v>0.32</v>
      </c>
      <c r="AI519" s="129">
        <f t="shared" ref="AI519:AI542" si="192">(AE519+AF519)/Y519</f>
        <v>0.64</v>
      </c>
      <c r="AJ519" s="426">
        <f t="shared" ref="AJ519:AJ542" si="193">Y519-(AE519+AF519)</f>
        <v>540</v>
      </c>
      <c r="AK519" s="131">
        <f t="shared" ref="AK519:AK542" si="194">(AJ519*60)/F519</f>
        <v>135</v>
      </c>
      <c r="AL519" s="477">
        <f>AK519/VLOOKUP(IF(I519&gt;0,I519,1),Preise!$A$3:$B$27,2,FALSE)</f>
        <v>96.428571428571431</v>
      </c>
    </row>
    <row r="520" spans="1:38" s="3" customFormat="1" ht="13.5" customHeight="1" outlineLevel="1" x14ac:dyDescent="0.2">
      <c r="A520" s="412">
        <v>2402</v>
      </c>
      <c r="B520" s="412">
        <v>2402</v>
      </c>
      <c r="C520" s="132" t="str">
        <f>VLOOKUP(B520,Gegenstände!$A$2:$B$2026,2,FALSE)</f>
        <v>Kristall-Plattenpanzer</v>
      </c>
      <c r="D520" s="133">
        <f>VLOOKUP(B520,Gegenstände!$A$2:$D$2026,4,FALSE)</f>
        <v>4</v>
      </c>
      <c r="E520" s="468">
        <v>30</v>
      </c>
      <c r="F520" s="3">
        <v>360</v>
      </c>
      <c r="G520" s="54"/>
      <c r="H520" s="469">
        <v>62</v>
      </c>
      <c r="I520" s="12">
        <f t="shared" si="179"/>
        <v>3</v>
      </c>
      <c r="J520" s="470"/>
      <c r="K520" s="54">
        <v>12</v>
      </c>
      <c r="L520" s="3" t="s">
        <v>113</v>
      </c>
      <c r="M520" s="85">
        <v>9</v>
      </c>
      <c r="N520" s="83" t="s">
        <v>176</v>
      </c>
      <c r="O520" s="85"/>
      <c r="P520" s="83"/>
      <c r="Q520" s="85"/>
      <c r="R520" s="83"/>
      <c r="S520" s="170">
        <v>1</v>
      </c>
      <c r="T520" s="170" t="s">
        <v>237</v>
      </c>
      <c r="U520" s="471">
        <f>VLOOKUP(D520,Preise!$A$3:$C$28,3)</f>
        <v>1.5208749999999995</v>
      </c>
      <c r="V520" s="523">
        <f>0.3*W520</f>
        <v>2281.3124999999991</v>
      </c>
      <c r="W520" s="131">
        <f t="shared" si="191"/>
        <v>7604.3749999999973</v>
      </c>
      <c r="X520" s="472">
        <f t="shared" si="180"/>
        <v>2800</v>
      </c>
      <c r="Y520" s="473">
        <f t="shared" si="181"/>
        <v>2300</v>
      </c>
      <c r="Z520" s="474">
        <f>IF(ISERROR(VLOOKUP(L520,Gegenstände!$B$2:$N$2026,13,FALSE)),0,VLOOKUP(L520,Gegenstände!$B$2:$N$2026,13,FALSE))</f>
        <v>60</v>
      </c>
      <c r="AA520" s="142">
        <f>IF(ISERROR(VLOOKUP(N520,Gegenstände!$B$2:$N$2026,13,FALSE)),0,VLOOKUP(N520,Gegenstände!$B$2:$N$2026,13,FALSE))</f>
        <v>80</v>
      </c>
      <c r="AB520" s="142">
        <f>IF(ISERROR(VLOOKUP(P520,Gegenstände!$B$2:$N$2026,13,FALSE)),0,VLOOKUP(P520,Gegenstände!$B$2:$N$2026,13,FALSE))</f>
        <v>0</v>
      </c>
      <c r="AC520" s="142">
        <f>IF(ISERROR(VLOOKUP(R520,Gegenstände!$B$2:$N$2026,13,FALSE)),0,VLOOKUP(R520,Gegenstände!$B$2:$N$2026,13,FALSE))</f>
        <v>0</v>
      </c>
      <c r="AD520" s="142">
        <f>IF(ISERROR(VLOOKUP(T520,Gegenstände!$B$2:$N$2026,13,FALSE)),0,VLOOKUP(T520,Gegenstände!$B$2:$N$2026,13,FALSE))</f>
        <v>500</v>
      </c>
      <c r="AE520" s="475">
        <f t="shared" si="182"/>
        <v>720</v>
      </c>
      <c r="AF520" s="476">
        <f t="shared" si="183"/>
        <v>720</v>
      </c>
      <c r="AG520" s="128">
        <f t="shared" si="184"/>
        <v>0.31304347826086959</v>
      </c>
      <c r="AH520" s="128">
        <f t="shared" si="185"/>
        <v>0.31304347826086959</v>
      </c>
      <c r="AI520" s="129">
        <f t="shared" si="192"/>
        <v>0.62608695652173918</v>
      </c>
      <c r="AJ520" s="426">
        <f t="shared" si="193"/>
        <v>860</v>
      </c>
      <c r="AK520" s="131">
        <f t="shared" si="194"/>
        <v>143.33333333333334</v>
      </c>
      <c r="AL520" s="477">
        <f>AK520/VLOOKUP(IF(I520&gt;0,I520,1),Preise!$A$3:$B$27,2,FALSE)</f>
        <v>102.38095238095239</v>
      </c>
    </row>
    <row r="521" spans="1:38" s="3" customFormat="1" ht="13.5" customHeight="1" outlineLevel="1" x14ac:dyDescent="0.2">
      <c r="A521" s="412">
        <v>2403</v>
      </c>
      <c r="B521" s="412">
        <v>2403</v>
      </c>
      <c r="C521" s="132" t="str">
        <f>VLOOKUP(B521,Gegenstände!$A$2:$B$2026,2,FALSE)</f>
        <v>Kristall-Plattenhandschuhe</v>
      </c>
      <c r="D521" s="133">
        <f>VLOOKUP(B521,Gegenstände!$A$2:$D$2026,4,FALSE)</f>
        <v>5</v>
      </c>
      <c r="E521" s="468">
        <v>30</v>
      </c>
      <c r="F521" s="3">
        <v>180</v>
      </c>
      <c r="G521" s="54"/>
      <c r="H521" s="469">
        <v>62</v>
      </c>
      <c r="I521" s="12">
        <f t="shared" si="179"/>
        <v>4</v>
      </c>
      <c r="J521" s="470"/>
      <c r="K521" s="54">
        <v>7</v>
      </c>
      <c r="L521" s="3" t="s">
        <v>113</v>
      </c>
      <c r="M521" s="85">
        <v>5</v>
      </c>
      <c r="N521" s="83" t="s">
        <v>176</v>
      </c>
      <c r="O521" s="85"/>
      <c r="P521" s="83"/>
      <c r="Q521" s="85"/>
      <c r="R521" s="83"/>
      <c r="S521" s="170">
        <v>1</v>
      </c>
      <c r="T521" s="170" t="s">
        <v>237</v>
      </c>
      <c r="U521" s="471">
        <f>VLOOKUP(D521,Preise!$A$3:$C$28,3)</f>
        <v>1.7490062499999994</v>
      </c>
      <c r="V521" s="523">
        <f>0.15*W521</f>
        <v>1311.7546874999994</v>
      </c>
      <c r="W521" s="131">
        <f t="shared" si="191"/>
        <v>8745.0312499999964</v>
      </c>
      <c r="X521" s="472">
        <f t="shared" si="180"/>
        <v>1800</v>
      </c>
      <c r="Y521" s="473">
        <f t="shared" si="181"/>
        <v>1300</v>
      </c>
      <c r="Z521" s="474">
        <f>IF(ISERROR(VLOOKUP(L521,Gegenstände!$B$2:$N$2026,13,FALSE)),0,VLOOKUP(L521,Gegenstände!$B$2:$N$2026,13,FALSE))</f>
        <v>60</v>
      </c>
      <c r="AA521" s="142">
        <f>IF(ISERROR(VLOOKUP(N521,Gegenstände!$B$2:$N$2026,13,FALSE)),0,VLOOKUP(N521,Gegenstände!$B$2:$N$2026,13,FALSE))</f>
        <v>80</v>
      </c>
      <c r="AB521" s="142">
        <f>IF(ISERROR(VLOOKUP(P521,Gegenstände!$B$2:$N$2026,13,FALSE)),0,VLOOKUP(P521,Gegenstände!$B$2:$N$2026,13,FALSE))</f>
        <v>0</v>
      </c>
      <c r="AC521" s="142">
        <f>IF(ISERROR(VLOOKUP(R521,Gegenstände!$B$2:$N$2026,13,FALSE)),0,VLOOKUP(R521,Gegenstände!$B$2:$N$2026,13,FALSE))</f>
        <v>0</v>
      </c>
      <c r="AD521" s="142">
        <f>IF(ISERROR(VLOOKUP(T521,Gegenstände!$B$2:$N$2026,13,FALSE)),0,VLOOKUP(T521,Gegenstände!$B$2:$N$2026,13,FALSE))</f>
        <v>500</v>
      </c>
      <c r="AE521" s="475">
        <f t="shared" si="182"/>
        <v>420</v>
      </c>
      <c r="AF521" s="476">
        <f t="shared" si="183"/>
        <v>400</v>
      </c>
      <c r="AG521" s="128">
        <f t="shared" si="184"/>
        <v>0.32307692307692309</v>
      </c>
      <c r="AH521" s="128">
        <f t="shared" si="185"/>
        <v>0.30769230769230771</v>
      </c>
      <c r="AI521" s="129">
        <f t="shared" si="192"/>
        <v>0.63076923076923075</v>
      </c>
      <c r="AJ521" s="426">
        <f t="shared" si="193"/>
        <v>480</v>
      </c>
      <c r="AK521" s="131">
        <f t="shared" si="194"/>
        <v>160</v>
      </c>
      <c r="AL521" s="477">
        <f>AK521/VLOOKUP(IF(I521&gt;0,I521,1),Preise!$A$3:$B$27,2,FALSE)</f>
        <v>100.00000000000001</v>
      </c>
    </row>
    <row r="522" spans="1:38" s="3" customFormat="1" ht="13.5" customHeight="1" outlineLevel="1" x14ac:dyDescent="0.2">
      <c r="A522" s="412">
        <v>2404</v>
      </c>
      <c r="B522" s="412">
        <v>2404</v>
      </c>
      <c r="C522" s="132" t="str">
        <f>VLOOKUP(B522,Gegenstände!$A$2:$B$2026,2,FALSE)</f>
        <v>Kristall-Plattenbeinlinge</v>
      </c>
      <c r="D522" s="133">
        <f>VLOOKUP(B522,Gegenstände!$A$2:$D$2026,4,FALSE)</f>
        <v>5</v>
      </c>
      <c r="E522" s="468">
        <v>30</v>
      </c>
      <c r="F522" s="3">
        <v>240</v>
      </c>
      <c r="G522" s="54"/>
      <c r="H522" s="469">
        <v>62</v>
      </c>
      <c r="I522" s="12">
        <f t="shared" si="179"/>
        <v>4</v>
      </c>
      <c r="J522" s="470"/>
      <c r="K522" s="54">
        <v>10</v>
      </c>
      <c r="L522" s="3" t="s">
        <v>113</v>
      </c>
      <c r="M522" s="85">
        <v>7</v>
      </c>
      <c r="N522" s="83" t="s">
        <v>176</v>
      </c>
      <c r="O522" s="85"/>
      <c r="P522" s="83"/>
      <c r="Q522" s="85"/>
      <c r="R522" s="83"/>
      <c r="S522" s="170">
        <v>1</v>
      </c>
      <c r="T522" s="170" t="s">
        <v>237</v>
      </c>
      <c r="U522" s="471">
        <f>VLOOKUP(D522,Preise!$A$3:$C$28,3)</f>
        <v>1.7490062499999994</v>
      </c>
      <c r="V522" s="523">
        <f>0.2*W522</f>
        <v>1749.0062499999995</v>
      </c>
      <c r="W522" s="131">
        <f t="shared" si="191"/>
        <v>8745.0312499999964</v>
      </c>
      <c r="X522" s="472">
        <f t="shared" si="180"/>
        <v>2200</v>
      </c>
      <c r="Y522" s="473">
        <f t="shared" si="181"/>
        <v>1700</v>
      </c>
      <c r="Z522" s="474">
        <f>IF(ISERROR(VLOOKUP(L522,Gegenstände!$B$2:$N$2026,13,FALSE)),0,VLOOKUP(L522,Gegenstände!$B$2:$N$2026,13,FALSE))</f>
        <v>60</v>
      </c>
      <c r="AA522" s="142">
        <f>IF(ISERROR(VLOOKUP(N522,Gegenstände!$B$2:$N$2026,13,FALSE)),0,VLOOKUP(N522,Gegenstände!$B$2:$N$2026,13,FALSE))</f>
        <v>80</v>
      </c>
      <c r="AB522" s="142">
        <f>IF(ISERROR(VLOOKUP(P522,Gegenstände!$B$2:$N$2026,13,FALSE)),0,VLOOKUP(P522,Gegenstände!$B$2:$N$2026,13,FALSE))</f>
        <v>0</v>
      </c>
      <c r="AC522" s="142">
        <f>IF(ISERROR(VLOOKUP(R522,Gegenstände!$B$2:$N$2026,13,FALSE)),0,VLOOKUP(R522,Gegenstände!$B$2:$N$2026,13,FALSE))</f>
        <v>0</v>
      </c>
      <c r="AD522" s="142">
        <f>IF(ISERROR(VLOOKUP(T522,Gegenstände!$B$2:$N$2026,13,FALSE)),0,VLOOKUP(T522,Gegenstände!$B$2:$N$2026,13,FALSE))</f>
        <v>500</v>
      </c>
      <c r="AE522" s="475">
        <f t="shared" si="182"/>
        <v>600</v>
      </c>
      <c r="AF522" s="476">
        <f t="shared" si="183"/>
        <v>560</v>
      </c>
      <c r="AG522" s="128">
        <f t="shared" si="184"/>
        <v>0.35294117647058826</v>
      </c>
      <c r="AH522" s="128">
        <f t="shared" si="185"/>
        <v>0.32941176470588235</v>
      </c>
      <c r="AI522" s="129">
        <f t="shared" si="192"/>
        <v>0.68235294117647061</v>
      </c>
      <c r="AJ522" s="426">
        <f t="shared" si="193"/>
        <v>540</v>
      </c>
      <c r="AK522" s="131">
        <f t="shared" si="194"/>
        <v>135</v>
      </c>
      <c r="AL522" s="477">
        <f>AK522/VLOOKUP(IF(I522&gt;0,I522,1),Preise!$A$3:$B$27,2,FALSE)</f>
        <v>84.375</v>
      </c>
    </row>
    <row r="523" spans="1:38" s="3" customFormat="1" ht="13.5" customHeight="1" outlineLevel="1" x14ac:dyDescent="0.2">
      <c r="A523" s="561">
        <v>2405</v>
      </c>
      <c r="B523" s="561">
        <v>2405</v>
      </c>
      <c r="C523" s="413" t="str">
        <f>VLOOKUP(B523,Gegenstände!$A$2:$B$2026,2,FALSE)</f>
        <v>Kristall-Plattenstiefel</v>
      </c>
      <c r="D523" s="562">
        <f>VLOOKUP(B523,Gegenstände!$A$2:$D$2026,4,FALSE)</f>
        <v>5</v>
      </c>
      <c r="E523" s="563">
        <v>30</v>
      </c>
      <c r="F523" s="334">
        <v>180</v>
      </c>
      <c r="G523" s="335"/>
      <c r="H523" s="565">
        <v>62</v>
      </c>
      <c r="I523" s="610">
        <f t="shared" si="179"/>
        <v>4</v>
      </c>
      <c r="J523" s="566"/>
      <c r="K523" s="335">
        <v>7</v>
      </c>
      <c r="L523" s="334" t="s">
        <v>113</v>
      </c>
      <c r="M523" s="567">
        <v>5</v>
      </c>
      <c r="N523" s="568" t="s">
        <v>176</v>
      </c>
      <c r="O523" s="567"/>
      <c r="P523" s="568"/>
      <c r="Q523" s="567"/>
      <c r="R523" s="568"/>
      <c r="S523" s="569">
        <v>1</v>
      </c>
      <c r="T523" s="569" t="s">
        <v>237</v>
      </c>
      <c r="U523" s="471">
        <f>VLOOKUP(D523,Preise!$A$3:$C$28,3)</f>
        <v>1.7490062499999994</v>
      </c>
      <c r="V523" s="558">
        <f>0.15*W523</f>
        <v>1311.7546874999994</v>
      </c>
      <c r="W523" s="559">
        <f t="shared" si="191"/>
        <v>8745.0312499999964</v>
      </c>
      <c r="X523" s="472">
        <f t="shared" si="180"/>
        <v>1800</v>
      </c>
      <c r="Y523" s="473">
        <f t="shared" si="181"/>
        <v>1300</v>
      </c>
      <c r="Z523" s="613">
        <f>IF(ISERROR(VLOOKUP(L523,Gegenstände!$B$2:$N$2026,13,FALSE)),0,VLOOKUP(L523,Gegenstände!$B$2:$N$2026,13,FALSE))</f>
        <v>60</v>
      </c>
      <c r="AA523" s="614">
        <f>IF(ISERROR(VLOOKUP(N523,Gegenstände!$B$2:$N$2026,13,FALSE)),0,VLOOKUP(N523,Gegenstände!$B$2:$N$2026,13,FALSE))</f>
        <v>80</v>
      </c>
      <c r="AB523" s="614">
        <f>IF(ISERROR(VLOOKUP(P523,Gegenstände!$B$2:$N$2026,13,FALSE)),0,VLOOKUP(P523,Gegenstände!$B$2:$N$2026,13,FALSE))</f>
        <v>0</v>
      </c>
      <c r="AC523" s="614">
        <f>IF(ISERROR(VLOOKUP(R523,Gegenstände!$B$2:$N$2026,13,FALSE)),0,VLOOKUP(R523,Gegenstände!$B$2:$N$2026,13,FALSE))</f>
        <v>0</v>
      </c>
      <c r="AD523" s="142">
        <f>IF(ISERROR(VLOOKUP(T523,Gegenstände!$B$2:$N$2026,13,FALSE)),0,VLOOKUP(T523,Gegenstände!$B$2:$N$2026,13,FALSE))</f>
        <v>500</v>
      </c>
      <c r="AE523" s="475">
        <f t="shared" si="182"/>
        <v>420</v>
      </c>
      <c r="AF523" s="476">
        <f t="shared" si="183"/>
        <v>400</v>
      </c>
      <c r="AG523" s="128">
        <f t="shared" si="184"/>
        <v>0.32307692307692309</v>
      </c>
      <c r="AH523" s="128">
        <f t="shared" si="185"/>
        <v>0.30769230769230771</v>
      </c>
      <c r="AI523" s="618">
        <f t="shared" si="192"/>
        <v>0.63076923076923075</v>
      </c>
      <c r="AJ523" s="619">
        <f t="shared" si="193"/>
        <v>480</v>
      </c>
      <c r="AK523" s="559">
        <f t="shared" si="194"/>
        <v>160</v>
      </c>
      <c r="AL523" s="620">
        <f>AK523/VLOOKUP(IF(I523&gt;0,I523,1),Preise!$A$3:$B$27,2,FALSE)</f>
        <v>100.00000000000001</v>
      </c>
    </row>
    <row r="524" spans="1:38" s="3" customFormat="1" outlineLevel="1" x14ac:dyDescent="0.2">
      <c r="A524" s="412">
        <v>2411</v>
      </c>
      <c r="B524" s="412">
        <v>2411</v>
      </c>
      <c r="C524" s="132" t="str">
        <f>VLOOKUP(B524,Gegenstände!$A$2:$B$2026,2,FALSE)</f>
        <v>Quarz-Plattenhelm</v>
      </c>
      <c r="D524" s="133">
        <f>VLOOKUP(B524,Gegenstände!$A$2:$D$2026,4,FALSE)</f>
        <v>9</v>
      </c>
      <c r="E524" s="468">
        <v>30</v>
      </c>
      <c r="F524" s="3">
        <v>240</v>
      </c>
      <c r="G524" s="54"/>
      <c r="H524" s="469">
        <v>62</v>
      </c>
      <c r="I524" s="12">
        <f t="shared" si="179"/>
        <v>8</v>
      </c>
      <c r="J524" s="470"/>
      <c r="K524" s="54">
        <v>8</v>
      </c>
      <c r="L524" s="3" t="s">
        <v>114</v>
      </c>
      <c r="M524" s="85">
        <v>12</v>
      </c>
      <c r="N524" s="83" t="s">
        <v>176</v>
      </c>
      <c r="O524" s="85"/>
      <c r="P524" s="83"/>
      <c r="Q524" s="85"/>
      <c r="R524" s="83"/>
      <c r="S524" s="170">
        <v>1</v>
      </c>
      <c r="T524" s="170" t="s">
        <v>238</v>
      </c>
      <c r="U524" s="471">
        <f>VLOOKUP(D524,Preise!$A$3:$C$28,3)</f>
        <v>3.0590228625390607</v>
      </c>
      <c r="V524" s="523">
        <f>0.2*W524</f>
        <v>3059.022862539061</v>
      </c>
      <c r="W524" s="131">
        <f t="shared" si="191"/>
        <v>15295.114312695303</v>
      </c>
      <c r="X524" s="472">
        <f t="shared" si="180"/>
        <v>4100</v>
      </c>
      <c r="Y524" s="473">
        <f t="shared" si="181"/>
        <v>3100</v>
      </c>
      <c r="Z524" s="474">
        <f>IF(ISERROR(VLOOKUP(L524,Gegenstände!$B$2:$N$2026,13,FALSE)),0,VLOOKUP(L524,Gegenstände!$B$2:$N$2026,13,FALSE))</f>
        <v>120</v>
      </c>
      <c r="AA524" s="142">
        <f>IF(ISERROR(VLOOKUP(N524,Gegenstände!$B$2:$N$2026,13,FALSE)),0,VLOOKUP(N524,Gegenstände!$B$2:$N$2026,13,FALSE))</f>
        <v>80</v>
      </c>
      <c r="AB524" s="142">
        <f>IF(ISERROR(VLOOKUP(P524,Gegenstände!$B$2:$N$2026,13,FALSE)),0,VLOOKUP(P524,Gegenstände!$B$2:$N$2026,13,FALSE))</f>
        <v>0</v>
      </c>
      <c r="AC524" s="142">
        <f>IF(ISERROR(VLOOKUP(R524,Gegenstände!$B$2:$N$2026,13,FALSE)),0,VLOOKUP(R524,Gegenstände!$B$2:$N$2026,13,FALSE))</f>
        <v>0</v>
      </c>
      <c r="AD524" s="142">
        <f>IF(ISERROR(VLOOKUP(T524,Gegenstände!$B$2:$N$2026,13,FALSE)),0,VLOOKUP(T524,Gegenstände!$B$2:$N$2026,13,FALSE))</f>
        <v>1000</v>
      </c>
      <c r="AE524" s="475">
        <f t="shared" si="182"/>
        <v>960</v>
      </c>
      <c r="AF524" s="476">
        <f t="shared" si="183"/>
        <v>960</v>
      </c>
      <c r="AG524" s="128">
        <f t="shared" si="184"/>
        <v>0.30967741935483872</v>
      </c>
      <c r="AH524" s="128">
        <f t="shared" si="185"/>
        <v>0.30967741935483872</v>
      </c>
      <c r="AI524" s="129">
        <f t="shared" si="192"/>
        <v>0.61935483870967745</v>
      </c>
      <c r="AJ524" s="426">
        <f t="shared" si="193"/>
        <v>1180</v>
      </c>
      <c r="AK524" s="131">
        <f t="shared" si="194"/>
        <v>295</v>
      </c>
      <c r="AL524" s="477">
        <f>AK524/VLOOKUP(IF(I524&gt;0,I524,1),Preise!$A$3:$B$27,2,FALSE)</f>
        <v>122.91666666666667</v>
      </c>
    </row>
    <row r="525" spans="1:38" s="3" customFormat="1" outlineLevel="1" x14ac:dyDescent="0.2">
      <c r="A525" s="412">
        <v>2412</v>
      </c>
      <c r="B525" s="412">
        <v>2412</v>
      </c>
      <c r="C525" s="132" t="str">
        <f>VLOOKUP(B525,Gegenstände!$A$2:$B$2026,2,FALSE)</f>
        <v>Quarz-Plattenpanzer</v>
      </c>
      <c r="D525" s="133">
        <f>VLOOKUP(B525,Gegenstände!$A$2:$D$2026,4,FALSE)</f>
        <v>9</v>
      </c>
      <c r="E525" s="468">
        <v>30</v>
      </c>
      <c r="F525" s="3">
        <v>360</v>
      </c>
      <c r="G525" s="54"/>
      <c r="H525" s="469">
        <v>62</v>
      </c>
      <c r="I525" s="12">
        <f t="shared" si="179"/>
        <v>8</v>
      </c>
      <c r="J525" s="470"/>
      <c r="K525" s="54">
        <v>12</v>
      </c>
      <c r="L525" s="3" t="s">
        <v>114</v>
      </c>
      <c r="M525" s="85">
        <v>18</v>
      </c>
      <c r="N525" s="83" t="s">
        <v>176</v>
      </c>
      <c r="O525" s="85"/>
      <c r="P525" s="83"/>
      <c r="Q525" s="85"/>
      <c r="R525" s="83"/>
      <c r="S525" s="170">
        <v>1</v>
      </c>
      <c r="T525" s="170" t="s">
        <v>238</v>
      </c>
      <c r="U525" s="471">
        <f>VLOOKUP(D525,Preise!$A$3:$C$28,3)</f>
        <v>3.0590228625390607</v>
      </c>
      <c r="V525" s="523">
        <f>0.3*W525</f>
        <v>4588.5342938085905</v>
      </c>
      <c r="W525" s="131">
        <f t="shared" si="191"/>
        <v>15295.114312695303</v>
      </c>
      <c r="X525" s="472">
        <f t="shared" si="180"/>
        <v>5600</v>
      </c>
      <c r="Y525" s="473">
        <f t="shared" si="181"/>
        <v>4600</v>
      </c>
      <c r="Z525" s="474">
        <f>IF(ISERROR(VLOOKUP(L525,Gegenstände!$B$2:$N$2026,13,FALSE)),0,VLOOKUP(L525,Gegenstände!$B$2:$N$2026,13,FALSE))</f>
        <v>120</v>
      </c>
      <c r="AA525" s="142">
        <f>IF(ISERROR(VLOOKUP(N525,Gegenstände!$B$2:$N$2026,13,FALSE)),0,VLOOKUP(N525,Gegenstände!$B$2:$N$2026,13,FALSE))</f>
        <v>80</v>
      </c>
      <c r="AB525" s="142">
        <f>IF(ISERROR(VLOOKUP(P525,Gegenstände!$B$2:$N$2026,13,FALSE)),0,VLOOKUP(P525,Gegenstände!$B$2:$N$2026,13,FALSE))</f>
        <v>0</v>
      </c>
      <c r="AC525" s="142">
        <f>IF(ISERROR(VLOOKUP(R525,Gegenstände!$B$2:$N$2026,13,FALSE)),0,VLOOKUP(R525,Gegenstände!$B$2:$N$2026,13,FALSE))</f>
        <v>0</v>
      </c>
      <c r="AD525" s="142">
        <f>IF(ISERROR(VLOOKUP(T525,Gegenstände!$B$2:$N$2026,13,FALSE)),0,VLOOKUP(T525,Gegenstände!$B$2:$N$2026,13,FALSE))</f>
        <v>1000</v>
      </c>
      <c r="AE525" s="475">
        <f t="shared" si="182"/>
        <v>1440</v>
      </c>
      <c r="AF525" s="476">
        <f t="shared" si="183"/>
        <v>1440</v>
      </c>
      <c r="AG525" s="128">
        <f t="shared" si="184"/>
        <v>0.31304347826086959</v>
      </c>
      <c r="AH525" s="128">
        <f t="shared" si="185"/>
        <v>0.31304347826086959</v>
      </c>
      <c r="AI525" s="129">
        <f t="shared" si="192"/>
        <v>0.62608695652173918</v>
      </c>
      <c r="AJ525" s="426">
        <f t="shared" si="193"/>
        <v>1720</v>
      </c>
      <c r="AK525" s="131">
        <f t="shared" si="194"/>
        <v>286.66666666666669</v>
      </c>
      <c r="AL525" s="477">
        <f>AK525/VLOOKUP(IF(I525&gt;0,I525,1),Preise!$A$3:$B$27,2,FALSE)</f>
        <v>119.44444444444446</v>
      </c>
    </row>
    <row r="526" spans="1:38" s="3" customFormat="1" outlineLevel="1" x14ac:dyDescent="0.2">
      <c r="A526" s="412">
        <v>2413</v>
      </c>
      <c r="B526" s="412">
        <v>2413</v>
      </c>
      <c r="C526" s="132" t="str">
        <f>VLOOKUP(B526,Gegenstände!$A$2:$B$2026,2,FALSE)</f>
        <v>Quarz-Plattenhandschuhe</v>
      </c>
      <c r="D526" s="133">
        <f>VLOOKUP(B526,Gegenstände!$A$2:$D$2026,4,FALSE)</f>
        <v>10</v>
      </c>
      <c r="E526" s="468">
        <v>30</v>
      </c>
      <c r="F526" s="3">
        <v>180</v>
      </c>
      <c r="G526" s="54"/>
      <c r="H526" s="469">
        <v>62</v>
      </c>
      <c r="I526" s="12">
        <f t="shared" si="179"/>
        <v>9</v>
      </c>
      <c r="J526" s="470"/>
      <c r="K526" s="54">
        <v>7</v>
      </c>
      <c r="L526" s="3" t="s">
        <v>114</v>
      </c>
      <c r="M526" s="85">
        <v>10</v>
      </c>
      <c r="N526" s="83" t="s">
        <v>176</v>
      </c>
      <c r="O526" s="85"/>
      <c r="P526" s="83"/>
      <c r="Q526" s="85"/>
      <c r="R526" s="83"/>
      <c r="S526" s="170">
        <v>1</v>
      </c>
      <c r="T526" s="170" t="s">
        <v>238</v>
      </c>
      <c r="U526" s="471">
        <f>VLOOKUP(D526,Preise!$A$3:$C$28,3)</f>
        <v>3.5178762919199196</v>
      </c>
      <c r="V526" s="523">
        <f>0.15*W526</f>
        <v>2638.4072189399394</v>
      </c>
      <c r="W526" s="131">
        <f t="shared" si="191"/>
        <v>17589.381459599597</v>
      </c>
      <c r="X526" s="472">
        <f t="shared" si="180"/>
        <v>3600</v>
      </c>
      <c r="Y526" s="473">
        <f t="shared" si="181"/>
        <v>2600</v>
      </c>
      <c r="Z526" s="474">
        <f>IF(ISERROR(VLOOKUP(L526,Gegenstände!$B$2:$N$2026,13,FALSE)),0,VLOOKUP(L526,Gegenstände!$B$2:$N$2026,13,FALSE))</f>
        <v>120</v>
      </c>
      <c r="AA526" s="142">
        <f>IF(ISERROR(VLOOKUP(N526,Gegenstände!$B$2:$N$2026,13,FALSE)),0,VLOOKUP(N526,Gegenstände!$B$2:$N$2026,13,FALSE))</f>
        <v>80</v>
      </c>
      <c r="AB526" s="142">
        <f>IF(ISERROR(VLOOKUP(P526,Gegenstände!$B$2:$N$2026,13,FALSE)),0,VLOOKUP(P526,Gegenstände!$B$2:$N$2026,13,FALSE))</f>
        <v>0</v>
      </c>
      <c r="AC526" s="142">
        <f>IF(ISERROR(VLOOKUP(R526,Gegenstände!$B$2:$N$2026,13,FALSE)),0,VLOOKUP(R526,Gegenstände!$B$2:$N$2026,13,FALSE))</f>
        <v>0</v>
      </c>
      <c r="AD526" s="142">
        <f>IF(ISERROR(VLOOKUP(T526,Gegenstände!$B$2:$N$2026,13,FALSE)),0,VLOOKUP(T526,Gegenstände!$B$2:$N$2026,13,FALSE))</f>
        <v>1000</v>
      </c>
      <c r="AE526" s="475">
        <f t="shared" si="182"/>
        <v>840</v>
      </c>
      <c r="AF526" s="476">
        <f t="shared" si="183"/>
        <v>800</v>
      </c>
      <c r="AG526" s="128">
        <f t="shared" si="184"/>
        <v>0.32307692307692309</v>
      </c>
      <c r="AH526" s="128">
        <f t="shared" si="185"/>
        <v>0.30769230769230771</v>
      </c>
      <c r="AI526" s="129">
        <f t="shared" si="192"/>
        <v>0.63076923076923075</v>
      </c>
      <c r="AJ526" s="426">
        <f t="shared" si="193"/>
        <v>960</v>
      </c>
      <c r="AK526" s="131">
        <f t="shared" si="194"/>
        <v>320</v>
      </c>
      <c r="AL526" s="477">
        <f>AK526/VLOOKUP(IF(I526&gt;0,I526,1),Preise!$A$3:$B$27,2,FALSE)</f>
        <v>123.07692307692307</v>
      </c>
    </row>
    <row r="527" spans="1:38" s="3" customFormat="1" outlineLevel="1" x14ac:dyDescent="0.2">
      <c r="A527" s="412">
        <v>2414</v>
      </c>
      <c r="B527" s="412">
        <v>2414</v>
      </c>
      <c r="C527" s="132" t="str">
        <f>VLOOKUP(B527,Gegenstände!$A$2:$B$2026,2,FALSE)</f>
        <v>Quarz-Plattenbeinlinge</v>
      </c>
      <c r="D527" s="133">
        <f>VLOOKUP(B527,Gegenstände!$A$2:$D$2026,4,FALSE)</f>
        <v>10</v>
      </c>
      <c r="E527" s="468">
        <v>30</v>
      </c>
      <c r="F527" s="3">
        <v>240</v>
      </c>
      <c r="G527" s="54"/>
      <c r="H527" s="469">
        <v>62</v>
      </c>
      <c r="I527" s="12">
        <f t="shared" si="179"/>
        <v>9</v>
      </c>
      <c r="J527" s="470"/>
      <c r="K527" s="54">
        <v>10</v>
      </c>
      <c r="L527" s="3" t="s">
        <v>114</v>
      </c>
      <c r="M527" s="85">
        <v>14</v>
      </c>
      <c r="N527" s="83" t="s">
        <v>176</v>
      </c>
      <c r="O527" s="85"/>
      <c r="P527" s="83"/>
      <c r="Q527" s="85"/>
      <c r="R527" s="83"/>
      <c r="S527" s="170">
        <v>1</v>
      </c>
      <c r="T527" s="170" t="s">
        <v>238</v>
      </c>
      <c r="U527" s="471">
        <f>VLOOKUP(D527,Preise!$A$3:$C$28,3)</f>
        <v>3.5178762919199196</v>
      </c>
      <c r="V527" s="523">
        <f>0.2*W527</f>
        <v>3517.8762919199198</v>
      </c>
      <c r="W527" s="131">
        <f t="shared" si="191"/>
        <v>17589.381459599597</v>
      </c>
      <c r="X527" s="472">
        <f t="shared" si="180"/>
        <v>4500</v>
      </c>
      <c r="Y527" s="473">
        <f t="shared" si="181"/>
        <v>3500</v>
      </c>
      <c r="Z527" s="474">
        <f>IF(ISERROR(VLOOKUP(L527,Gegenstände!$B$2:$N$2026,13,FALSE)),0,VLOOKUP(L527,Gegenstände!$B$2:$N$2026,13,FALSE))</f>
        <v>120</v>
      </c>
      <c r="AA527" s="142">
        <f>IF(ISERROR(VLOOKUP(N527,Gegenstände!$B$2:$N$2026,13,FALSE)),0,VLOOKUP(N527,Gegenstände!$B$2:$N$2026,13,FALSE))</f>
        <v>80</v>
      </c>
      <c r="AB527" s="142">
        <f>IF(ISERROR(VLOOKUP(P527,Gegenstände!$B$2:$N$2026,13,FALSE)),0,VLOOKUP(P527,Gegenstände!$B$2:$N$2026,13,FALSE))</f>
        <v>0</v>
      </c>
      <c r="AC527" s="142">
        <f>IF(ISERROR(VLOOKUP(R527,Gegenstände!$B$2:$N$2026,13,FALSE)),0,VLOOKUP(R527,Gegenstände!$B$2:$N$2026,13,FALSE))</f>
        <v>0</v>
      </c>
      <c r="AD527" s="142">
        <f>IF(ISERROR(VLOOKUP(T527,Gegenstände!$B$2:$N$2026,13,FALSE)),0,VLOOKUP(T527,Gegenstände!$B$2:$N$2026,13,FALSE))</f>
        <v>1000</v>
      </c>
      <c r="AE527" s="475">
        <f t="shared" si="182"/>
        <v>1200</v>
      </c>
      <c r="AF527" s="476">
        <f t="shared" si="183"/>
        <v>1120</v>
      </c>
      <c r="AG527" s="128">
        <f t="shared" si="184"/>
        <v>0.34285714285714286</v>
      </c>
      <c r="AH527" s="128">
        <f t="shared" si="185"/>
        <v>0.32</v>
      </c>
      <c r="AI527" s="129">
        <f t="shared" si="192"/>
        <v>0.66285714285714281</v>
      </c>
      <c r="AJ527" s="426">
        <f t="shared" si="193"/>
        <v>1180</v>
      </c>
      <c r="AK527" s="131">
        <f t="shared" si="194"/>
        <v>295</v>
      </c>
      <c r="AL527" s="477">
        <f>AK527/VLOOKUP(IF(I527&gt;0,I527,1),Preise!$A$3:$B$27,2,FALSE)</f>
        <v>113.46153846153845</v>
      </c>
    </row>
    <row r="528" spans="1:38" s="3" customFormat="1" outlineLevel="1" x14ac:dyDescent="0.2">
      <c r="A528" s="561">
        <v>2415</v>
      </c>
      <c r="B528" s="561">
        <v>2415</v>
      </c>
      <c r="C528" s="413" t="str">
        <f>VLOOKUP(B528,Gegenstände!$A$2:$B$2026,2,FALSE)</f>
        <v>Quarz-Plattenstiefel</v>
      </c>
      <c r="D528" s="562">
        <f>VLOOKUP(B528,Gegenstände!$A$2:$D$2026,4,FALSE)</f>
        <v>10</v>
      </c>
      <c r="E528" s="563">
        <v>30</v>
      </c>
      <c r="F528" s="334">
        <v>180</v>
      </c>
      <c r="G528" s="335"/>
      <c r="H528" s="565">
        <v>62</v>
      </c>
      <c r="I528" s="610">
        <f t="shared" si="179"/>
        <v>9</v>
      </c>
      <c r="J528" s="566"/>
      <c r="K528" s="335">
        <v>7</v>
      </c>
      <c r="L528" s="334" t="s">
        <v>114</v>
      </c>
      <c r="M528" s="567">
        <v>10</v>
      </c>
      <c r="N528" s="568" t="s">
        <v>176</v>
      </c>
      <c r="O528" s="567"/>
      <c r="P528" s="568"/>
      <c r="Q528" s="567"/>
      <c r="R528" s="568"/>
      <c r="S528" s="569">
        <v>1</v>
      </c>
      <c r="T528" s="569" t="s">
        <v>238</v>
      </c>
      <c r="U528" s="471">
        <f>VLOOKUP(D528,Preise!$A$3:$C$28,3)</f>
        <v>3.5178762919199196</v>
      </c>
      <c r="V528" s="558">
        <f>0.15*W528</f>
        <v>2638.4072189399394</v>
      </c>
      <c r="W528" s="559">
        <f t="shared" si="191"/>
        <v>17589.381459599597</v>
      </c>
      <c r="X528" s="472">
        <f t="shared" si="180"/>
        <v>3600</v>
      </c>
      <c r="Y528" s="473">
        <f t="shared" si="181"/>
        <v>2600</v>
      </c>
      <c r="Z528" s="613">
        <f>IF(ISERROR(VLOOKUP(L528,Gegenstände!$B$2:$N$2026,13,FALSE)),0,VLOOKUP(L528,Gegenstände!$B$2:$N$2026,13,FALSE))</f>
        <v>120</v>
      </c>
      <c r="AA528" s="614">
        <f>IF(ISERROR(VLOOKUP(N528,Gegenstände!$B$2:$N$2026,13,FALSE)),0,VLOOKUP(N528,Gegenstände!$B$2:$N$2026,13,FALSE))</f>
        <v>80</v>
      </c>
      <c r="AB528" s="614">
        <f>IF(ISERROR(VLOOKUP(P528,Gegenstände!$B$2:$N$2026,13,FALSE)),0,VLOOKUP(P528,Gegenstände!$B$2:$N$2026,13,FALSE))</f>
        <v>0</v>
      </c>
      <c r="AC528" s="614">
        <f>IF(ISERROR(VLOOKUP(R528,Gegenstände!$B$2:$N$2026,13,FALSE)),0,VLOOKUP(R528,Gegenstände!$B$2:$N$2026,13,FALSE))</f>
        <v>0</v>
      </c>
      <c r="AD528" s="142">
        <f>IF(ISERROR(VLOOKUP(T528,Gegenstände!$B$2:$N$2026,13,FALSE)),0,VLOOKUP(T528,Gegenstände!$B$2:$N$2026,13,FALSE))</f>
        <v>1000</v>
      </c>
      <c r="AE528" s="475">
        <f t="shared" si="182"/>
        <v>840</v>
      </c>
      <c r="AF528" s="476">
        <f t="shared" si="183"/>
        <v>800</v>
      </c>
      <c r="AG528" s="128">
        <f t="shared" si="184"/>
        <v>0.32307692307692309</v>
      </c>
      <c r="AH528" s="128">
        <f t="shared" si="185"/>
        <v>0.30769230769230771</v>
      </c>
      <c r="AI528" s="618">
        <f t="shared" si="192"/>
        <v>0.63076923076923075</v>
      </c>
      <c r="AJ528" s="619">
        <f t="shared" si="193"/>
        <v>960</v>
      </c>
      <c r="AK528" s="559">
        <f t="shared" si="194"/>
        <v>320</v>
      </c>
      <c r="AL528" s="620">
        <f>AK528/VLOOKUP(IF(I528&gt;0,I528,1),Preise!$A$3:$B$27,2,FALSE)</f>
        <v>123.07692307692307</v>
      </c>
    </row>
    <row r="529" spans="1:38" s="3" customFormat="1" outlineLevel="1" x14ac:dyDescent="0.2">
      <c r="A529" s="412">
        <v>2421</v>
      </c>
      <c r="B529" s="412">
        <v>2421</v>
      </c>
      <c r="C529" s="132" t="str">
        <f>VLOOKUP(B529,Gegenstände!$A$2:$B$2026,2,FALSE)</f>
        <v>Smaragd-Plattenhelm</v>
      </c>
      <c r="D529" s="133">
        <f>VLOOKUP(B529,Gegenstände!$A$2:$D$2026,4,FALSE)</f>
        <v>14</v>
      </c>
      <c r="E529" s="468">
        <v>30</v>
      </c>
      <c r="F529" s="3">
        <v>240</v>
      </c>
      <c r="G529" s="54"/>
      <c r="H529" s="469">
        <v>62</v>
      </c>
      <c r="I529" s="12">
        <f t="shared" si="179"/>
        <v>13</v>
      </c>
      <c r="J529" s="470"/>
      <c r="K529" s="54">
        <v>11</v>
      </c>
      <c r="L529" s="3" t="s">
        <v>115</v>
      </c>
      <c r="M529" s="85">
        <v>8</v>
      </c>
      <c r="N529" s="83" t="s">
        <v>176</v>
      </c>
      <c r="O529" s="85">
        <v>7</v>
      </c>
      <c r="P529" s="83" t="s">
        <v>185</v>
      </c>
      <c r="Q529" s="85"/>
      <c r="R529" s="83"/>
      <c r="S529" s="170">
        <v>1</v>
      </c>
      <c r="T529" s="170" t="s">
        <v>50</v>
      </c>
      <c r="U529" s="471">
        <f>VLOOKUP(D529,Preise!$A$3:$C$28,3)</f>
        <v>6.1527876212947623</v>
      </c>
      <c r="V529" s="523">
        <f>0.2*W529</f>
        <v>6152.7876212947631</v>
      </c>
      <c r="W529" s="131">
        <f t="shared" si="191"/>
        <v>30763.938106473812</v>
      </c>
      <c r="X529" s="472">
        <f t="shared" si="180"/>
        <v>8200</v>
      </c>
      <c r="Y529" s="473">
        <f t="shared" si="181"/>
        <v>6200</v>
      </c>
      <c r="Z529" s="474">
        <f>IF(ISERROR(VLOOKUP(L529,Gegenstände!$B$2:$N$2026,13,FALSE)),0,VLOOKUP(L529,Gegenstände!$B$2:$N$2026,13,FALSE))</f>
        <v>180</v>
      </c>
      <c r="AA529" s="142">
        <f>IF(ISERROR(VLOOKUP(N529,Gegenstände!$B$2:$N$2026,13,FALSE)),0,VLOOKUP(N529,Gegenstände!$B$2:$N$2026,13,FALSE))</f>
        <v>80</v>
      </c>
      <c r="AB529" s="142">
        <f>IF(ISERROR(VLOOKUP(P529,Gegenstände!$B$2:$N$2026,13,FALSE)),0,VLOOKUP(P529,Gegenstände!$B$2:$N$2026,13,FALSE))</f>
        <v>200</v>
      </c>
      <c r="AC529" s="142">
        <f>IF(ISERROR(VLOOKUP(R529,Gegenstände!$B$2:$N$2026,13,FALSE)),0,VLOOKUP(R529,Gegenstände!$B$2:$N$2026,13,FALSE))</f>
        <v>0</v>
      </c>
      <c r="AD529" s="142">
        <f>IF(ISERROR(VLOOKUP(T529,Gegenstände!$B$2:$N$2026,13,FALSE)),0,VLOOKUP(T529,Gegenstände!$B$2:$N$2026,13,FALSE))</f>
        <v>2000</v>
      </c>
      <c r="AE529" s="475">
        <f t="shared" si="182"/>
        <v>1980</v>
      </c>
      <c r="AF529" s="476">
        <f t="shared" si="183"/>
        <v>2040</v>
      </c>
      <c r="AG529" s="128">
        <f t="shared" si="184"/>
        <v>0.3193548387096774</v>
      </c>
      <c r="AH529" s="128">
        <f t="shared" si="185"/>
        <v>0.32903225806451614</v>
      </c>
      <c r="AI529" s="129">
        <f t="shared" si="192"/>
        <v>0.64838709677419359</v>
      </c>
      <c r="AJ529" s="426">
        <f t="shared" si="193"/>
        <v>2180</v>
      </c>
      <c r="AK529" s="131">
        <f t="shared" si="194"/>
        <v>545</v>
      </c>
      <c r="AL529" s="477">
        <f>AK529/VLOOKUP(IF(I529&gt;0,I529,1),Preise!$A$3:$B$27,2,FALSE)</f>
        <v>160.29411764705878</v>
      </c>
    </row>
    <row r="530" spans="1:38" s="3" customFormat="1" outlineLevel="1" x14ac:dyDescent="0.2">
      <c r="A530" s="412">
        <v>2422</v>
      </c>
      <c r="B530" s="412">
        <v>2422</v>
      </c>
      <c r="C530" s="132" t="str">
        <f>VLOOKUP(B530,Gegenstände!$A$2:$B$2026,2,FALSE)</f>
        <v>Smaragd-Plattenpanzer</v>
      </c>
      <c r="D530" s="133">
        <f>VLOOKUP(B530,Gegenstände!$A$2:$D$2026,4,FALSE)</f>
        <v>14</v>
      </c>
      <c r="E530" s="468">
        <v>30</v>
      </c>
      <c r="F530" s="3">
        <v>360</v>
      </c>
      <c r="G530" s="54"/>
      <c r="H530" s="469">
        <v>62</v>
      </c>
      <c r="I530" s="12">
        <f t="shared" si="179"/>
        <v>13</v>
      </c>
      <c r="J530" s="470"/>
      <c r="K530" s="54">
        <v>17</v>
      </c>
      <c r="L530" s="3" t="s">
        <v>115</v>
      </c>
      <c r="M530" s="85">
        <v>13</v>
      </c>
      <c r="N530" s="83" t="s">
        <v>176</v>
      </c>
      <c r="O530" s="85">
        <v>10</v>
      </c>
      <c r="P530" s="83" t="s">
        <v>185</v>
      </c>
      <c r="Q530" s="85"/>
      <c r="R530" s="83"/>
      <c r="S530" s="170">
        <v>1</v>
      </c>
      <c r="T530" s="170" t="s">
        <v>50</v>
      </c>
      <c r="U530" s="471">
        <f>VLOOKUP(D530,Preise!$A$3:$C$28,3)</f>
        <v>6.1527876212947623</v>
      </c>
      <c r="V530" s="523">
        <f>0.3*W530</f>
        <v>9229.1814319421428</v>
      </c>
      <c r="W530" s="131">
        <f t="shared" si="191"/>
        <v>30763.938106473812</v>
      </c>
      <c r="X530" s="472">
        <f t="shared" si="180"/>
        <v>11200</v>
      </c>
      <c r="Y530" s="473">
        <f t="shared" si="181"/>
        <v>9200</v>
      </c>
      <c r="Z530" s="474">
        <f>IF(ISERROR(VLOOKUP(L530,Gegenstände!$B$2:$N$2026,13,FALSE)),0,VLOOKUP(L530,Gegenstände!$B$2:$N$2026,13,FALSE))</f>
        <v>180</v>
      </c>
      <c r="AA530" s="142">
        <f>IF(ISERROR(VLOOKUP(N530,Gegenstände!$B$2:$N$2026,13,FALSE)),0,VLOOKUP(N530,Gegenstände!$B$2:$N$2026,13,FALSE))</f>
        <v>80</v>
      </c>
      <c r="AB530" s="142">
        <f>IF(ISERROR(VLOOKUP(P530,Gegenstände!$B$2:$N$2026,13,FALSE)),0,VLOOKUP(P530,Gegenstände!$B$2:$N$2026,13,FALSE))</f>
        <v>200</v>
      </c>
      <c r="AC530" s="142">
        <f>IF(ISERROR(VLOOKUP(R530,Gegenstände!$B$2:$N$2026,13,FALSE)),0,VLOOKUP(R530,Gegenstände!$B$2:$N$2026,13,FALSE))</f>
        <v>0</v>
      </c>
      <c r="AD530" s="142">
        <f>IF(ISERROR(VLOOKUP(T530,Gegenstände!$B$2:$N$2026,13,FALSE)),0,VLOOKUP(T530,Gegenstände!$B$2:$N$2026,13,FALSE))</f>
        <v>2000</v>
      </c>
      <c r="AE530" s="475">
        <f t="shared" si="182"/>
        <v>3060</v>
      </c>
      <c r="AF530" s="476">
        <f t="shared" si="183"/>
        <v>3040</v>
      </c>
      <c r="AG530" s="128">
        <f t="shared" si="184"/>
        <v>0.33260869565217394</v>
      </c>
      <c r="AH530" s="128">
        <f t="shared" si="185"/>
        <v>0.33043478260869563</v>
      </c>
      <c r="AI530" s="129">
        <f t="shared" si="192"/>
        <v>0.66304347826086951</v>
      </c>
      <c r="AJ530" s="426">
        <f t="shared" si="193"/>
        <v>3100</v>
      </c>
      <c r="AK530" s="131">
        <f t="shared" si="194"/>
        <v>516.66666666666663</v>
      </c>
      <c r="AL530" s="477">
        <f>AK530/VLOOKUP(IF(I530&gt;0,I530,1),Preise!$A$3:$B$27,2,FALSE)</f>
        <v>151.96078431372544</v>
      </c>
    </row>
    <row r="531" spans="1:38" s="3" customFormat="1" outlineLevel="1" x14ac:dyDescent="0.2">
      <c r="A531" s="412">
        <v>2423</v>
      </c>
      <c r="B531" s="412">
        <v>2423</v>
      </c>
      <c r="C531" s="132" t="str">
        <f>VLOOKUP(B531,Gegenstände!$A$2:$B$2026,2,FALSE)</f>
        <v>Smaragd-Plattenhandschuhe</v>
      </c>
      <c r="D531" s="133">
        <f>VLOOKUP(B531,Gegenstände!$A$2:$D$2026,4,FALSE)</f>
        <v>15</v>
      </c>
      <c r="E531" s="468">
        <v>30</v>
      </c>
      <c r="F531" s="3">
        <v>180</v>
      </c>
      <c r="G531" s="54"/>
      <c r="H531" s="469">
        <v>62</v>
      </c>
      <c r="I531" s="12">
        <f t="shared" si="179"/>
        <v>14</v>
      </c>
      <c r="J531" s="470"/>
      <c r="K531" s="54">
        <v>10</v>
      </c>
      <c r="L531" s="3" t="s">
        <v>115</v>
      </c>
      <c r="M531" s="85">
        <v>12</v>
      </c>
      <c r="N531" s="83" t="s">
        <v>176</v>
      </c>
      <c r="O531" s="85">
        <v>4</v>
      </c>
      <c r="P531" s="83" t="s">
        <v>185</v>
      </c>
      <c r="Q531" s="85"/>
      <c r="R531" s="83"/>
      <c r="S531" s="170">
        <v>1</v>
      </c>
      <c r="T531" s="170" t="s">
        <v>50</v>
      </c>
      <c r="U531" s="471">
        <f>VLOOKUP(D531,Preise!$A$3:$C$28,3)</f>
        <v>7.0757057644889763</v>
      </c>
      <c r="V531" s="523">
        <f>0.15*W531</f>
        <v>5306.7793233667317</v>
      </c>
      <c r="W531" s="131">
        <f t="shared" si="191"/>
        <v>35378.528822444881</v>
      </c>
      <c r="X531" s="472">
        <f t="shared" si="180"/>
        <v>7300</v>
      </c>
      <c r="Y531" s="473">
        <f t="shared" si="181"/>
        <v>5300</v>
      </c>
      <c r="Z531" s="474">
        <f>IF(ISERROR(VLOOKUP(L531,Gegenstände!$B$2:$N$2026,13,FALSE)),0,VLOOKUP(L531,Gegenstände!$B$2:$N$2026,13,FALSE))</f>
        <v>180</v>
      </c>
      <c r="AA531" s="142">
        <f>IF(ISERROR(VLOOKUP(N531,Gegenstände!$B$2:$N$2026,13,FALSE)),0,VLOOKUP(N531,Gegenstände!$B$2:$N$2026,13,FALSE))</f>
        <v>80</v>
      </c>
      <c r="AB531" s="142">
        <f>IF(ISERROR(VLOOKUP(P531,Gegenstände!$B$2:$N$2026,13,FALSE)),0,VLOOKUP(P531,Gegenstände!$B$2:$N$2026,13,FALSE))</f>
        <v>200</v>
      </c>
      <c r="AC531" s="142">
        <f>IF(ISERROR(VLOOKUP(R531,Gegenstände!$B$2:$N$2026,13,FALSE)),0,VLOOKUP(R531,Gegenstände!$B$2:$N$2026,13,FALSE))</f>
        <v>0</v>
      </c>
      <c r="AD531" s="142">
        <f>IF(ISERROR(VLOOKUP(T531,Gegenstände!$B$2:$N$2026,13,FALSE)),0,VLOOKUP(T531,Gegenstände!$B$2:$N$2026,13,FALSE))</f>
        <v>2000</v>
      </c>
      <c r="AE531" s="475">
        <f t="shared" si="182"/>
        <v>1800</v>
      </c>
      <c r="AF531" s="476">
        <f t="shared" si="183"/>
        <v>1760</v>
      </c>
      <c r="AG531" s="128">
        <f t="shared" si="184"/>
        <v>0.33962264150943394</v>
      </c>
      <c r="AH531" s="128">
        <f t="shared" si="185"/>
        <v>0.33207547169811319</v>
      </c>
      <c r="AI531" s="129">
        <f t="shared" si="192"/>
        <v>0.67169811320754713</v>
      </c>
      <c r="AJ531" s="426">
        <f t="shared" si="193"/>
        <v>1740</v>
      </c>
      <c r="AK531" s="131">
        <f t="shared" si="194"/>
        <v>580</v>
      </c>
      <c r="AL531" s="477">
        <f>AK531/VLOOKUP(IF(I531&gt;0,I531,1),Preise!$A$3:$B$27,2,FALSE)</f>
        <v>161.11111111111106</v>
      </c>
    </row>
    <row r="532" spans="1:38" s="3" customFormat="1" outlineLevel="1" x14ac:dyDescent="0.2">
      <c r="A532" s="412">
        <v>2424</v>
      </c>
      <c r="B532" s="412">
        <v>2424</v>
      </c>
      <c r="C532" s="132" t="str">
        <f>VLOOKUP(B532,Gegenstände!$A$2:$B$2026,2,FALSE)</f>
        <v>Smaragd-Plattenbeinlinge</v>
      </c>
      <c r="D532" s="133">
        <f>VLOOKUP(B532,Gegenstände!$A$2:$D$2026,4,FALSE)</f>
        <v>15</v>
      </c>
      <c r="E532" s="468">
        <v>30</v>
      </c>
      <c r="F532" s="3">
        <v>240</v>
      </c>
      <c r="G532" s="54"/>
      <c r="H532" s="469">
        <v>62</v>
      </c>
      <c r="I532" s="12">
        <f t="shared" si="179"/>
        <v>14</v>
      </c>
      <c r="J532" s="470"/>
      <c r="K532" s="54">
        <v>13</v>
      </c>
      <c r="L532" s="3" t="s">
        <v>115</v>
      </c>
      <c r="M532" s="85">
        <v>12</v>
      </c>
      <c r="N532" s="83" t="s">
        <v>176</v>
      </c>
      <c r="O532" s="85">
        <v>7</v>
      </c>
      <c r="P532" s="83" t="s">
        <v>185</v>
      </c>
      <c r="Q532" s="85"/>
      <c r="R532" s="83"/>
      <c r="S532" s="170">
        <v>1</v>
      </c>
      <c r="T532" s="170" t="s">
        <v>50</v>
      </c>
      <c r="U532" s="471">
        <f>VLOOKUP(D532,Preise!$A$3:$C$28,3)</f>
        <v>7.0757057644889763</v>
      </c>
      <c r="V532" s="523">
        <f>0.2*W532</f>
        <v>7075.7057644889765</v>
      </c>
      <c r="W532" s="131">
        <f t="shared" si="191"/>
        <v>35378.528822444881</v>
      </c>
      <c r="X532" s="472">
        <f t="shared" si="180"/>
        <v>9100</v>
      </c>
      <c r="Y532" s="473">
        <f t="shared" si="181"/>
        <v>7100</v>
      </c>
      <c r="Z532" s="474">
        <f>IF(ISERROR(VLOOKUP(L532,Gegenstände!$B$2:$N$2026,13,FALSE)),0,VLOOKUP(L532,Gegenstände!$B$2:$N$2026,13,FALSE))</f>
        <v>180</v>
      </c>
      <c r="AA532" s="142">
        <f>IF(ISERROR(VLOOKUP(N532,Gegenstände!$B$2:$N$2026,13,FALSE)),0,VLOOKUP(N532,Gegenstände!$B$2:$N$2026,13,FALSE))</f>
        <v>80</v>
      </c>
      <c r="AB532" s="142">
        <f>IF(ISERROR(VLOOKUP(P532,Gegenstände!$B$2:$N$2026,13,FALSE)),0,VLOOKUP(P532,Gegenstände!$B$2:$N$2026,13,FALSE))</f>
        <v>200</v>
      </c>
      <c r="AC532" s="142">
        <f>IF(ISERROR(VLOOKUP(R532,Gegenstände!$B$2:$N$2026,13,FALSE)),0,VLOOKUP(R532,Gegenstände!$B$2:$N$2026,13,FALSE))</f>
        <v>0</v>
      </c>
      <c r="AD532" s="142">
        <f>IF(ISERROR(VLOOKUP(T532,Gegenstände!$B$2:$N$2026,13,FALSE)),0,VLOOKUP(T532,Gegenstände!$B$2:$N$2026,13,FALSE))</f>
        <v>2000</v>
      </c>
      <c r="AE532" s="475">
        <f t="shared" si="182"/>
        <v>2340</v>
      </c>
      <c r="AF532" s="476">
        <f t="shared" si="183"/>
        <v>2360</v>
      </c>
      <c r="AG532" s="128">
        <f t="shared" si="184"/>
        <v>0.3295774647887324</v>
      </c>
      <c r="AH532" s="128">
        <f t="shared" si="185"/>
        <v>0.3323943661971831</v>
      </c>
      <c r="AI532" s="129">
        <f t="shared" si="192"/>
        <v>0.6619718309859155</v>
      </c>
      <c r="AJ532" s="426">
        <f t="shared" si="193"/>
        <v>2400</v>
      </c>
      <c r="AK532" s="131">
        <f t="shared" si="194"/>
        <v>600</v>
      </c>
      <c r="AL532" s="477">
        <f>AK532/VLOOKUP(IF(I532&gt;0,I532,1),Preise!$A$3:$B$27,2,FALSE)</f>
        <v>166.66666666666663</v>
      </c>
    </row>
    <row r="533" spans="1:38" s="3" customFormat="1" outlineLevel="1" x14ac:dyDescent="0.2">
      <c r="A533" s="561">
        <v>2425</v>
      </c>
      <c r="B533" s="561">
        <v>2425</v>
      </c>
      <c r="C533" s="413" t="str">
        <f>VLOOKUP(B533,Gegenstände!$A$2:$B$2026,2,FALSE)</f>
        <v>Smaragd-Plattenstiefel</v>
      </c>
      <c r="D533" s="562">
        <f>VLOOKUP(B533,Gegenstände!$A$2:$D$2026,4,FALSE)</f>
        <v>15</v>
      </c>
      <c r="E533" s="563">
        <v>30</v>
      </c>
      <c r="F533" s="334">
        <v>180</v>
      </c>
      <c r="G533" s="335"/>
      <c r="H533" s="565">
        <v>62</v>
      </c>
      <c r="I533" s="610">
        <f t="shared" si="179"/>
        <v>14</v>
      </c>
      <c r="J533" s="566"/>
      <c r="K533" s="335">
        <v>10</v>
      </c>
      <c r="L533" s="334" t="s">
        <v>115</v>
      </c>
      <c r="M533" s="567">
        <v>12</v>
      </c>
      <c r="N533" s="568" t="s">
        <v>176</v>
      </c>
      <c r="O533" s="567">
        <v>4</v>
      </c>
      <c r="P533" s="568" t="s">
        <v>185</v>
      </c>
      <c r="Q533" s="567"/>
      <c r="R533" s="568"/>
      <c r="S533" s="569">
        <v>1</v>
      </c>
      <c r="T533" s="569" t="s">
        <v>50</v>
      </c>
      <c r="U533" s="471">
        <f>VLOOKUP(D533,Preise!$A$3:$C$28,3)</f>
        <v>7.0757057644889763</v>
      </c>
      <c r="V533" s="558">
        <f>0.15*W533</f>
        <v>5306.7793233667317</v>
      </c>
      <c r="W533" s="559">
        <f t="shared" si="191"/>
        <v>35378.528822444881</v>
      </c>
      <c r="X533" s="472">
        <f t="shared" si="180"/>
        <v>7300</v>
      </c>
      <c r="Y533" s="473">
        <f t="shared" si="181"/>
        <v>5300</v>
      </c>
      <c r="Z533" s="613">
        <f>IF(ISERROR(VLOOKUP(L533,Gegenstände!$B$2:$N$2026,13,FALSE)),0,VLOOKUP(L533,Gegenstände!$B$2:$N$2026,13,FALSE))</f>
        <v>180</v>
      </c>
      <c r="AA533" s="614">
        <f>IF(ISERROR(VLOOKUP(N533,Gegenstände!$B$2:$N$2026,13,FALSE)),0,VLOOKUP(N533,Gegenstände!$B$2:$N$2026,13,FALSE))</f>
        <v>80</v>
      </c>
      <c r="AB533" s="614">
        <f>IF(ISERROR(VLOOKUP(P533,Gegenstände!$B$2:$N$2026,13,FALSE)),0,VLOOKUP(P533,Gegenstände!$B$2:$N$2026,13,FALSE))</f>
        <v>200</v>
      </c>
      <c r="AC533" s="614">
        <f>IF(ISERROR(VLOOKUP(R533,Gegenstände!$B$2:$N$2026,13,FALSE)),0,VLOOKUP(R533,Gegenstände!$B$2:$N$2026,13,FALSE))</f>
        <v>0</v>
      </c>
      <c r="AD533" s="142">
        <f>IF(ISERROR(VLOOKUP(T533,Gegenstände!$B$2:$N$2026,13,FALSE)),0,VLOOKUP(T533,Gegenstände!$B$2:$N$2026,13,FALSE))</f>
        <v>2000</v>
      </c>
      <c r="AE533" s="475">
        <f t="shared" si="182"/>
        <v>1800</v>
      </c>
      <c r="AF533" s="476">
        <f t="shared" si="183"/>
        <v>1760</v>
      </c>
      <c r="AG533" s="128">
        <f t="shared" si="184"/>
        <v>0.33962264150943394</v>
      </c>
      <c r="AH533" s="128">
        <f t="shared" si="185"/>
        <v>0.33207547169811319</v>
      </c>
      <c r="AI533" s="618">
        <f t="shared" si="192"/>
        <v>0.67169811320754713</v>
      </c>
      <c r="AJ533" s="619">
        <f t="shared" si="193"/>
        <v>1740</v>
      </c>
      <c r="AK533" s="559">
        <f t="shared" si="194"/>
        <v>580</v>
      </c>
      <c r="AL533" s="620">
        <f>AK533/VLOOKUP(IF(I533&gt;0,I533,1),Preise!$A$3:$B$27,2,FALSE)</f>
        <v>161.11111111111106</v>
      </c>
    </row>
    <row r="534" spans="1:38" s="3" customFormat="1" outlineLevel="1" x14ac:dyDescent="0.2">
      <c r="A534" s="412">
        <v>2431</v>
      </c>
      <c r="B534" s="412">
        <v>2431</v>
      </c>
      <c r="C534" s="132" t="str">
        <f>VLOOKUP(B534,Gegenstände!$A$2:$B$2026,2,FALSE)</f>
        <v>Rubin-Plattenhelm</v>
      </c>
      <c r="D534" s="133">
        <f>VLOOKUP(B534,Gegenstände!$A$2:$D$2026,4,FALSE)</f>
        <v>19</v>
      </c>
      <c r="E534" s="468">
        <v>30</v>
      </c>
      <c r="F534" s="3">
        <v>240</v>
      </c>
      <c r="G534" s="54"/>
      <c r="H534" s="469">
        <v>62</v>
      </c>
      <c r="I534" s="12">
        <f t="shared" si="179"/>
        <v>18</v>
      </c>
      <c r="J534" s="470"/>
      <c r="K534" s="54">
        <v>15</v>
      </c>
      <c r="L534" s="3" t="s">
        <v>116</v>
      </c>
      <c r="M534" s="85">
        <v>14</v>
      </c>
      <c r="N534" s="83" t="s">
        <v>176</v>
      </c>
      <c r="O534" s="85">
        <v>15</v>
      </c>
      <c r="P534" s="83" t="s">
        <v>185</v>
      </c>
      <c r="Q534" s="85"/>
      <c r="R534" s="83"/>
      <c r="S534" s="170">
        <v>1</v>
      </c>
      <c r="T534" s="170" t="s">
        <v>44</v>
      </c>
      <c r="U534" s="471">
        <f>VLOOKUP(D534,Preise!$A$3:$C$28,3)</f>
        <v>12.375453605252243</v>
      </c>
      <c r="V534" s="523">
        <f>0.2*W534</f>
        <v>12375.453605252245</v>
      </c>
      <c r="W534" s="131">
        <f t="shared" si="191"/>
        <v>61877.268026261219</v>
      </c>
      <c r="X534" s="472">
        <f t="shared" si="180"/>
        <v>15900</v>
      </c>
      <c r="Y534" s="473">
        <f t="shared" si="181"/>
        <v>12400</v>
      </c>
      <c r="Z534" s="474">
        <f>IF(ISERROR(VLOOKUP(L534,Gegenstände!$B$2:$N$2026,13,FALSE)),0,VLOOKUP(L534,Gegenstände!$B$2:$N$2026,13,FALSE))</f>
        <v>270</v>
      </c>
      <c r="AA534" s="142">
        <f>IF(ISERROR(VLOOKUP(N534,Gegenstände!$B$2:$N$2026,13,FALSE)),0,VLOOKUP(N534,Gegenstände!$B$2:$N$2026,13,FALSE))</f>
        <v>80</v>
      </c>
      <c r="AB534" s="142">
        <f>IF(ISERROR(VLOOKUP(P534,Gegenstände!$B$2:$N$2026,13,FALSE)),0,VLOOKUP(P534,Gegenstände!$B$2:$N$2026,13,FALSE))</f>
        <v>200</v>
      </c>
      <c r="AC534" s="142">
        <f>IF(ISERROR(VLOOKUP(R534,Gegenstände!$B$2:$N$2026,13,FALSE)),0,VLOOKUP(R534,Gegenstände!$B$2:$N$2026,13,FALSE))</f>
        <v>0</v>
      </c>
      <c r="AD534" s="142">
        <f>IF(ISERROR(VLOOKUP(T534,Gegenstände!$B$2:$N$2026,13,FALSE)),0,VLOOKUP(T534,Gegenstände!$B$2:$N$2026,13,FALSE))</f>
        <v>3500</v>
      </c>
      <c r="AE534" s="475">
        <f t="shared" si="182"/>
        <v>4050</v>
      </c>
      <c r="AF534" s="476">
        <f t="shared" si="183"/>
        <v>4120</v>
      </c>
      <c r="AG534" s="128">
        <f t="shared" si="184"/>
        <v>0.32661290322580644</v>
      </c>
      <c r="AH534" s="128">
        <f t="shared" si="185"/>
        <v>0.33225806451612905</v>
      </c>
      <c r="AI534" s="129">
        <f t="shared" si="192"/>
        <v>0.65887096774193543</v>
      </c>
      <c r="AJ534" s="426">
        <f t="shared" si="193"/>
        <v>4230</v>
      </c>
      <c r="AK534" s="131">
        <f t="shared" si="194"/>
        <v>1057.5</v>
      </c>
      <c r="AL534" s="477">
        <f>AK534/VLOOKUP(IF(I534&gt;0,I534,1),Preise!$A$3:$B$27,2,FALSE)</f>
        <v>240.34090909090904</v>
      </c>
    </row>
    <row r="535" spans="1:38" s="3" customFormat="1" outlineLevel="1" x14ac:dyDescent="0.2">
      <c r="A535" s="412">
        <v>2432</v>
      </c>
      <c r="B535" s="412">
        <v>2432</v>
      </c>
      <c r="C535" s="132" t="str">
        <f>VLOOKUP(B535,Gegenstände!$A$2:$B$2026,2,FALSE)</f>
        <v>Rubin-Plattenpanzer</v>
      </c>
      <c r="D535" s="133">
        <f>VLOOKUP(B535,Gegenstände!$A$2:$D$2026,4,FALSE)</f>
        <v>19</v>
      </c>
      <c r="E535" s="468">
        <v>30</v>
      </c>
      <c r="F535" s="3">
        <v>360</v>
      </c>
      <c r="G535" s="54"/>
      <c r="H535" s="469">
        <v>62</v>
      </c>
      <c r="I535" s="12">
        <f t="shared" si="179"/>
        <v>18</v>
      </c>
      <c r="J535" s="470"/>
      <c r="K535" s="54">
        <v>23</v>
      </c>
      <c r="L535" s="3" t="s">
        <v>116</v>
      </c>
      <c r="M535" s="85">
        <v>14</v>
      </c>
      <c r="N535" s="83" t="s">
        <v>176</v>
      </c>
      <c r="O535" s="85">
        <v>25</v>
      </c>
      <c r="P535" s="83" t="s">
        <v>185</v>
      </c>
      <c r="Q535" s="85"/>
      <c r="R535" s="83"/>
      <c r="S535" s="170">
        <v>1</v>
      </c>
      <c r="T535" s="170" t="s">
        <v>44</v>
      </c>
      <c r="U535" s="471">
        <f>VLOOKUP(D535,Preise!$A$3:$C$28,3)</f>
        <v>12.375453605252243</v>
      </c>
      <c r="V535" s="523">
        <f>0.3*W535</f>
        <v>18563.180407878364</v>
      </c>
      <c r="W535" s="131">
        <f t="shared" ref="W535:W543" si="195">U535*$V$466</f>
        <v>61877.268026261219</v>
      </c>
      <c r="X535" s="472">
        <f t="shared" si="180"/>
        <v>22100</v>
      </c>
      <c r="Y535" s="473">
        <f t="shared" si="181"/>
        <v>18600</v>
      </c>
      <c r="Z535" s="474">
        <f>IF(ISERROR(VLOOKUP(L535,Gegenstände!$B$2:$N$2026,13,FALSE)),0,VLOOKUP(L535,Gegenstände!$B$2:$N$2026,13,FALSE))</f>
        <v>270</v>
      </c>
      <c r="AA535" s="142">
        <f>IF(ISERROR(VLOOKUP(N535,Gegenstände!$B$2:$N$2026,13,FALSE)),0,VLOOKUP(N535,Gegenstände!$B$2:$N$2026,13,FALSE))</f>
        <v>80</v>
      </c>
      <c r="AB535" s="142">
        <f>IF(ISERROR(VLOOKUP(P535,Gegenstände!$B$2:$N$2026,13,FALSE)),0,VLOOKUP(P535,Gegenstände!$B$2:$N$2026,13,FALSE))</f>
        <v>200</v>
      </c>
      <c r="AC535" s="142">
        <f>IF(ISERROR(VLOOKUP(R535,Gegenstände!$B$2:$N$2026,13,FALSE)),0,VLOOKUP(R535,Gegenstände!$B$2:$N$2026,13,FALSE))</f>
        <v>0</v>
      </c>
      <c r="AD535" s="142">
        <f>IF(ISERROR(VLOOKUP(T535,Gegenstände!$B$2:$N$2026,13,FALSE)),0,VLOOKUP(T535,Gegenstände!$B$2:$N$2026,13,FALSE))</f>
        <v>3500</v>
      </c>
      <c r="AE535" s="475">
        <f t="shared" si="182"/>
        <v>6210</v>
      </c>
      <c r="AF535" s="476">
        <f t="shared" si="183"/>
        <v>6120</v>
      </c>
      <c r="AG535" s="128">
        <f t="shared" si="184"/>
        <v>0.33387096774193548</v>
      </c>
      <c r="AH535" s="128">
        <f t="shared" si="185"/>
        <v>0.32903225806451614</v>
      </c>
      <c r="AI535" s="129">
        <f t="shared" si="192"/>
        <v>0.66290322580645167</v>
      </c>
      <c r="AJ535" s="426">
        <f t="shared" si="193"/>
        <v>6270</v>
      </c>
      <c r="AK535" s="131">
        <f t="shared" si="194"/>
        <v>1045</v>
      </c>
      <c r="AL535" s="477">
        <f>AK535/VLOOKUP(IF(I535&gt;0,I535,1),Preise!$A$3:$B$27,2,FALSE)</f>
        <v>237.49999999999994</v>
      </c>
    </row>
    <row r="536" spans="1:38" s="3" customFormat="1" outlineLevel="1" x14ac:dyDescent="0.2">
      <c r="A536" s="412">
        <v>2433</v>
      </c>
      <c r="B536" s="412">
        <v>2433</v>
      </c>
      <c r="C536" s="132" t="str">
        <f>VLOOKUP(B536,Gegenstände!$A$2:$B$2026,2,FALSE)</f>
        <v>Rubin-Plattenhandschuhe</v>
      </c>
      <c r="D536" s="133">
        <f>VLOOKUP(B536,Gegenstände!$A$2:$D$2026,4,FALSE)</f>
        <v>20</v>
      </c>
      <c r="E536" s="468">
        <v>30</v>
      </c>
      <c r="F536" s="3">
        <v>180</v>
      </c>
      <c r="G536" s="54"/>
      <c r="H536" s="469">
        <v>62</v>
      </c>
      <c r="I536" s="12">
        <f t="shared" si="179"/>
        <v>19</v>
      </c>
      <c r="J536" s="470"/>
      <c r="K536" s="54">
        <v>13</v>
      </c>
      <c r="L536" s="3" t="s">
        <v>116</v>
      </c>
      <c r="M536" s="85">
        <v>14</v>
      </c>
      <c r="N536" s="83" t="s">
        <v>176</v>
      </c>
      <c r="O536" s="85">
        <v>12</v>
      </c>
      <c r="P536" s="83" t="s">
        <v>185</v>
      </c>
      <c r="Q536" s="85"/>
      <c r="R536" s="83"/>
      <c r="S536" s="170">
        <v>1</v>
      </c>
      <c r="T536" s="170" t="s">
        <v>44</v>
      </c>
      <c r="U536" s="471">
        <f>VLOOKUP(D536,Preise!$A$3:$C$28,3)</f>
        <v>14.231771646040078</v>
      </c>
      <c r="V536" s="523">
        <f>0.15*W536</f>
        <v>10673.828734530058</v>
      </c>
      <c r="W536" s="131">
        <f t="shared" si="195"/>
        <v>71158.858230200392</v>
      </c>
      <c r="X536" s="472">
        <f t="shared" si="180"/>
        <v>14200</v>
      </c>
      <c r="Y536" s="473">
        <f t="shared" si="181"/>
        <v>10700</v>
      </c>
      <c r="Z536" s="474">
        <f>IF(ISERROR(VLOOKUP(L536,Gegenstände!$B$2:$N$2026,13,FALSE)),0,VLOOKUP(L536,Gegenstände!$B$2:$N$2026,13,FALSE))</f>
        <v>270</v>
      </c>
      <c r="AA536" s="142">
        <f>IF(ISERROR(VLOOKUP(N536,Gegenstände!$B$2:$N$2026,13,FALSE)),0,VLOOKUP(N536,Gegenstände!$B$2:$N$2026,13,FALSE))</f>
        <v>80</v>
      </c>
      <c r="AB536" s="142">
        <f>IF(ISERROR(VLOOKUP(P536,Gegenstände!$B$2:$N$2026,13,FALSE)),0,VLOOKUP(P536,Gegenstände!$B$2:$N$2026,13,FALSE))</f>
        <v>200</v>
      </c>
      <c r="AC536" s="142">
        <f>IF(ISERROR(VLOOKUP(R536,Gegenstände!$B$2:$N$2026,13,FALSE)),0,VLOOKUP(R536,Gegenstände!$B$2:$N$2026,13,FALSE))</f>
        <v>0</v>
      </c>
      <c r="AD536" s="142">
        <f>IF(ISERROR(VLOOKUP(T536,Gegenstände!$B$2:$N$2026,13,FALSE)),0,VLOOKUP(T536,Gegenstände!$B$2:$N$2026,13,FALSE))</f>
        <v>3500</v>
      </c>
      <c r="AE536" s="475">
        <f t="shared" si="182"/>
        <v>3510</v>
      </c>
      <c r="AF536" s="476">
        <f t="shared" si="183"/>
        <v>3520</v>
      </c>
      <c r="AG536" s="128">
        <f t="shared" si="184"/>
        <v>0.32803738317757009</v>
      </c>
      <c r="AH536" s="128">
        <f t="shared" si="185"/>
        <v>0.32897196261682243</v>
      </c>
      <c r="AI536" s="129">
        <f t="shared" si="192"/>
        <v>0.65700934579439252</v>
      </c>
      <c r="AJ536" s="426">
        <f t="shared" si="193"/>
        <v>3670</v>
      </c>
      <c r="AK536" s="131">
        <f t="shared" si="194"/>
        <v>1223.3333333333333</v>
      </c>
      <c r="AL536" s="477">
        <f>AK536/VLOOKUP(IF(I536&gt;0,I536,1),Preise!$A$3:$B$27,2,FALSE)</f>
        <v>265.94202898550714</v>
      </c>
    </row>
    <row r="537" spans="1:38" s="3" customFormat="1" outlineLevel="1" x14ac:dyDescent="0.2">
      <c r="A537" s="412">
        <v>2434</v>
      </c>
      <c r="B537" s="412">
        <v>2434</v>
      </c>
      <c r="C537" s="132" t="str">
        <f>VLOOKUP(B537,Gegenstände!$A$2:$B$2026,2,FALSE)</f>
        <v>Rubin-Plattenbeinlinge</v>
      </c>
      <c r="D537" s="133">
        <f>VLOOKUP(B537,Gegenstände!$A$2:$D$2026,4,FALSE)</f>
        <v>20</v>
      </c>
      <c r="E537" s="468">
        <v>30</v>
      </c>
      <c r="F537" s="3">
        <v>240</v>
      </c>
      <c r="G537" s="54"/>
      <c r="H537" s="469">
        <v>62</v>
      </c>
      <c r="I537" s="12">
        <f t="shared" si="179"/>
        <v>19</v>
      </c>
      <c r="J537" s="470"/>
      <c r="K537" s="54">
        <v>17</v>
      </c>
      <c r="L537" s="3" t="s">
        <v>116</v>
      </c>
      <c r="M537" s="85">
        <v>14</v>
      </c>
      <c r="N537" s="83" t="s">
        <v>176</v>
      </c>
      <c r="O537" s="85">
        <v>18</v>
      </c>
      <c r="P537" s="83" t="s">
        <v>185</v>
      </c>
      <c r="Q537" s="85"/>
      <c r="R537" s="83"/>
      <c r="S537" s="170">
        <v>1</v>
      </c>
      <c r="T537" s="170" t="s">
        <v>44</v>
      </c>
      <c r="U537" s="471">
        <f>VLOOKUP(D537,Preise!$A$3:$C$28,3)</f>
        <v>14.231771646040078</v>
      </c>
      <c r="V537" s="523">
        <f>0.2*W537</f>
        <v>14231.771646040079</v>
      </c>
      <c r="W537" s="131">
        <f t="shared" si="195"/>
        <v>71158.858230200392</v>
      </c>
      <c r="X537" s="472">
        <f t="shared" si="180"/>
        <v>17700</v>
      </c>
      <c r="Y537" s="473">
        <f t="shared" si="181"/>
        <v>14200</v>
      </c>
      <c r="Z537" s="474">
        <f>IF(ISERROR(VLOOKUP(L537,Gegenstände!$B$2:$N$2026,13,FALSE)),0,VLOOKUP(L537,Gegenstände!$B$2:$N$2026,13,FALSE))</f>
        <v>270</v>
      </c>
      <c r="AA537" s="142">
        <f>IF(ISERROR(VLOOKUP(N537,Gegenstände!$B$2:$N$2026,13,FALSE)),0,VLOOKUP(N537,Gegenstände!$B$2:$N$2026,13,FALSE))</f>
        <v>80</v>
      </c>
      <c r="AB537" s="142">
        <f>IF(ISERROR(VLOOKUP(P537,Gegenstände!$B$2:$N$2026,13,FALSE)),0,VLOOKUP(P537,Gegenstände!$B$2:$N$2026,13,FALSE))</f>
        <v>200</v>
      </c>
      <c r="AC537" s="142">
        <f>IF(ISERROR(VLOOKUP(R537,Gegenstände!$B$2:$N$2026,13,FALSE)),0,VLOOKUP(R537,Gegenstände!$B$2:$N$2026,13,FALSE))</f>
        <v>0</v>
      </c>
      <c r="AD537" s="142">
        <f>IF(ISERROR(VLOOKUP(T537,Gegenstände!$B$2:$N$2026,13,FALSE)),0,VLOOKUP(T537,Gegenstände!$B$2:$N$2026,13,FALSE))</f>
        <v>3500</v>
      </c>
      <c r="AE537" s="475">
        <f t="shared" si="182"/>
        <v>4590</v>
      </c>
      <c r="AF537" s="476">
        <f t="shared" si="183"/>
        <v>4720</v>
      </c>
      <c r="AG537" s="128">
        <f t="shared" si="184"/>
        <v>0.32323943661971832</v>
      </c>
      <c r="AH537" s="128">
        <f t="shared" si="185"/>
        <v>0.3323943661971831</v>
      </c>
      <c r="AI537" s="129">
        <f t="shared" si="192"/>
        <v>0.65563380281690142</v>
      </c>
      <c r="AJ537" s="426">
        <f t="shared" si="193"/>
        <v>4890</v>
      </c>
      <c r="AK537" s="131">
        <f t="shared" si="194"/>
        <v>1222.5</v>
      </c>
      <c r="AL537" s="477">
        <f>AK537/VLOOKUP(IF(I537&gt;0,I537,1),Preise!$A$3:$B$27,2,FALSE)</f>
        <v>265.76086956521732</v>
      </c>
    </row>
    <row r="538" spans="1:38" s="3" customFormat="1" outlineLevel="1" x14ac:dyDescent="0.2">
      <c r="A538" s="561">
        <v>2435</v>
      </c>
      <c r="B538" s="561">
        <v>2435</v>
      </c>
      <c r="C538" s="413" t="str">
        <f>VLOOKUP(B538,Gegenstände!$A$2:$B$2026,2,FALSE)</f>
        <v>Rubin-Plattenstiefel</v>
      </c>
      <c r="D538" s="562">
        <f>VLOOKUP(B538,Gegenstände!$A$2:$D$2026,4,FALSE)</f>
        <v>20</v>
      </c>
      <c r="E538" s="563">
        <v>30</v>
      </c>
      <c r="F538" s="334">
        <v>180</v>
      </c>
      <c r="G538" s="335"/>
      <c r="H538" s="565">
        <v>62</v>
      </c>
      <c r="I538" s="610">
        <f t="shared" si="179"/>
        <v>19</v>
      </c>
      <c r="J538" s="566"/>
      <c r="K538" s="335">
        <v>13</v>
      </c>
      <c r="L538" s="334" t="s">
        <v>116</v>
      </c>
      <c r="M538" s="567">
        <v>14</v>
      </c>
      <c r="N538" s="568" t="s">
        <v>176</v>
      </c>
      <c r="O538" s="567">
        <v>12</v>
      </c>
      <c r="P538" s="568" t="s">
        <v>185</v>
      </c>
      <c r="Q538" s="567"/>
      <c r="R538" s="568"/>
      <c r="S538" s="569">
        <v>1</v>
      </c>
      <c r="T538" s="569" t="s">
        <v>44</v>
      </c>
      <c r="U538" s="471">
        <f>VLOOKUP(D538,Preise!$A$3:$C$28,3)</f>
        <v>14.231771646040078</v>
      </c>
      <c r="V538" s="558">
        <f>0.15*W538</f>
        <v>10673.828734530058</v>
      </c>
      <c r="W538" s="559">
        <f t="shared" si="195"/>
        <v>71158.858230200392</v>
      </c>
      <c r="X538" s="560">
        <f t="shared" si="180"/>
        <v>14200</v>
      </c>
      <c r="Y538" s="612">
        <f t="shared" si="181"/>
        <v>10700</v>
      </c>
      <c r="Z538" s="613">
        <f>IF(ISERROR(VLOOKUP(L538,Gegenstände!$B$2:$N$2026,13,FALSE)),0,VLOOKUP(L538,Gegenstände!$B$2:$N$2026,13,FALSE))</f>
        <v>270</v>
      </c>
      <c r="AA538" s="614">
        <f>IF(ISERROR(VLOOKUP(N538,Gegenstände!$B$2:$N$2026,13,FALSE)),0,VLOOKUP(N538,Gegenstände!$B$2:$N$2026,13,FALSE))</f>
        <v>80</v>
      </c>
      <c r="AB538" s="614">
        <f>IF(ISERROR(VLOOKUP(P538,Gegenstände!$B$2:$N$2026,13,FALSE)),0,VLOOKUP(P538,Gegenstände!$B$2:$N$2026,13,FALSE))</f>
        <v>200</v>
      </c>
      <c r="AC538" s="614">
        <f>IF(ISERROR(VLOOKUP(R538,Gegenstände!$B$2:$N$2026,13,FALSE)),0,VLOOKUP(R538,Gegenstände!$B$2:$N$2026,13,FALSE))</f>
        <v>0</v>
      </c>
      <c r="AD538" s="614">
        <f>IF(ISERROR(VLOOKUP(T538,Gegenstände!$B$2:$N$2026,13,FALSE)),0,VLOOKUP(T538,Gegenstände!$B$2:$N$2026,13,FALSE))</f>
        <v>3500</v>
      </c>
      <c r="AE538" s="615">
        <f t="shared" si="182"/>
        <v>3510</v>
      </c>
      <c r="AF538" s="616">
        <f t="shared" si="183"/>
        <v>3520</v>
      </c>
      <c r="AG538" s="617">
        <f t="shared" si="184"/>
        <v>0.32803738317757009</v>
      </c>
      <c r="AH538" s="617">
        <f t="shared" si="185"/>
        <v>0.32897196261682243</v>
      </c>
      <c r="AI538" s="618">
        <f t="shared" si="192"/>
        <v>0.65700934579439252</v>
      </c>
      <c r="AJ538" s="619">
        <f t="shared" si="193"/>
        <v>3670</v>
      </c>
      <c r="AK538" s="559">
        <f t="shared" si="194"/>
        <v>1223.3333333333333</v>
      </c>
      <c r="AL538" s="620">
        <f>AK538/VLOOKUP(IF(I538&gt;0,I538,1),Preise!$A$3:$B$27,2,FALSE)</f>
        <v>265.94202898550714</v>
      </c>
    </row>
    <row r="539" spans="1:38" s="3" customFormat="1" outlineLevel="1" x14ac:dyDescent="0.2">
      <c r="A539" s="412">
        <v>2441</v>
      </c>
      <c r="B539" s="412">
        <v>2441</v>
      </c>
      <c r="C539" s="132" t="str">
        <f>VLOOKUP(B539,Gegenstände!$A$2:$B$2026,2,FALSE)</f>
        <v>Obsidian-Plattenhelm</v>
      </c>
      <c r="D539" s="133">
        <f>VLOOKUP(B539,Gegenstände!$A$2:$D$2026,4,FALSE)</f>
        <v>24</v>
      </c>
      <c r="E539" s="468">
        <v>30</v>
      </c>
      <c r="F539" s="3">
        <v>240</v>
      </c>
      <c r="G539" s="54"/>
      <c r="H539" s="469">
        <v>62</v>
      </c>
      <c r="I539" s="12">
        <f t="shared" ref="I539:I561" si="196">D539-1</f>
        <v>23</v>
      </c>
      <c r="J539" s="470"/>
      <c r="K539" s="54">
        <v>22</v>
      </c>
      <c r="L539" s="3" t="s">
        <v>117</v>
      </c>
      <c r="M539" s="85">
        <v>8</v>
      </c>
      <c r="N539" s="83" t="s">
        <v>176</v>
      </c>
      <c r="O539" s="85">
        <v>8</v>
      </c>
      <c r="P539" s="83" t="s">
        <v>185</v>
      </c>
      <c r="Q539" s="85">
        <v>12</v>
      </c>
      <c r="R539" s="83" t="s">
        <v>187</v>
      </c>
      <c r="S539" s="170">
        <v>1</v>
      </c>
      <c r="T539" s="170" t="s">
        <v>36</v>
      </c>
      <c r="U539" s="471">
        <f>VLOOKUP(D539,Preise!$A$3:$C$28,3)</f>
        <v>24.891457557496878</v>
      </c>
      <c r="V539" s="523">
        <f>0.2*W539</f>
        <v>24891.457557496877</v>
      </c>
      <c r="W539" s="131">
        <f t="shared" si="195"/>
        <v>124457.28778748438</v>
      </c>
      <c r="X539" s="472">
        <f t="shared" ref="X539:X579" si="197">(ROUND((V539/100),0)*100)+($S539*$AD539)</f>
        <v>29900</v>
      </c>
      <c r="Y539" s="473">
        <f t="shared" ref="Y539:Y579" si="198">X539*IF(J539&gt;0,J539,1)-($S539*$AD539)</f>
        <v>24900</v>
      </c>
      <c r="Z539" s="474">
        <f>IF(ISERROR(VLOOKUP(L539,Gegenstände!$B$2:$N$2026,13,FALSE)),0,VLOOKUP(L539,Gegenstände!$B$2:$N$2026,13,FALSE))</f>
        <v>360</v>
      </c>
      <c r="AA539" s="142">
        <f>IF(ISERROR(VLOOKUP(N539,Gegenstände!$B$2:$N$2026,13,FALSE)),0,VLOOKUP(N539,Gegenstände!$B$2:$N$2026,13,FALSE))</f>
        <v>80</v>
      </c>
      <c r="AB539" s="142">
        <f>IF(ISERROR(VLOOKUP(P539,Gegenstände!$B$2:$N$2026,13,FALSE)),0,VLOOKUP(P539,Gegenstände!$B$2:$N$2026,13,FALSE))</f>
        <v>200</v>
      </c>
      <c r="AC539" s="142">
        <f>IF(ISERROR(VLOOKUP(R539,Gegenstände!$B$2:$N$2026,13,FALSE)),0,VLOOKUP(R539,Gegenstände!$B$2:$N$2026,13,FALSE))</f>
        <v>500</v>
      </c>
      <c r="AD539" s="142">
        <f>IF(ISERROR(VLOOKUP(T539,Gegenstände!$B$2:$N$2026,13,FALSE)),0,VLOOKUP(T539,Gegenstände!$B$2:$N$2026,13,FALSE))</f>
        <v>5000</v>
      </c>
      <c r="AE539" s="475">
        <f t="shared" ref="AE539:AE579" si="199">IF(ISERROR(K539*Z539),"",K539*Z539)</f>
        <v>7920</v>
      </c>
      <c r="AF539" s="476">
        <f t="shared" ref="AF539:AF579" si="200">IF(ISERROR(M539*AA539+O539*AB539+Q539*AC539),"",M539*AA539+O539*AB539+Q539*AC539)</f>
        <v>8240</v>
      </c>
      <c r="AG539" s="128">
        <f t="shared" ref="AG539:AG579" si="201">AE539/Y539</f>
        <v>0.3180722891566265</v>
      </c>
      <c r="AH539" s="128">
        <f t="shared" ref="AH539:AH579" si="202">AF539/Y539</f>
        <v>0.33092369477911648</v>
      </c>
      <c r="AI539" s="129">
        <f t="shared" si="192"/>
        <v>0.64899598393574298</v>
      </c>
      <c r="AJ539" s="426">
        <f t="shared" si="193"/>
        <v>8740</v>
      </c>
      <c r="AK539" s="131">
        <f t="shared" si="194"/>
        <v>2185</v>
      </c>
      <c r="AL539" s="477">
        <f>AK539/VLOOKUP(IF(I539&gt;0,I539,1),Preise!$A$3:$B$27,2,FALSE)</f>
        <v>404.62962962962945</v>
      </c>
    </row>
    <row r="540" spans="1:38" s="3" customFormat="1" outlineLevel="1" x14ac:dyDescent="0.2">
      <c r="A540" s="412">
        <v>2442</v>
      </c>
      <c r="B540" s="412">
        <v>2442</v>
      </c>
      <c r="C540" s="132" t="str">
        <f>VLOOKUP(B540,Gegenstände!$A$2:$B$2026,2,FALSE)</f>
        <v>Obsidian-Plattenpanzer</v>
      </c>
      <c r="D540" s="133">
        <f>VLOOKUP(B540,Gegenstände!$A$2:$D$2026,4,FALSE)</f>
        <v>24</v>
      </c>
      <c r="E540" s="468">
        <v>30</v>
      </c>
      <c r="F540" s="3">
        <v>360</v>
      </c>
      <c r="G540" s="54"/>
      <c r="H540" s="469">
        <v>62</v>
      </c>
      <c r="I540" s="12">
        <f t="shared" si="196"/>
        <v>23</v>
      </c>
      <c r="J540" s="470"/>
      <c r="K540" s="54">
        <v>34</v>
      </c>
      <c r="L540" s="3" t="s">
        <v>117</v>
      </c>
      <c r="M540" s="85">
        <v>15</v>
      </c>
      <c r="N540" s="83" t="s">
        <v>176</v>
      </c>
      <c r="O540" s="85">
        <v>10</v>
      </c>
      <c r="P540" s="83" t="s">
        <v>185</v>
      </c>
      <c r="Q540" s="85">
        <v>18</v>
      </c>
      <c r="R540" s="83" t="s">
        <v>187</v>
      </c>
      <c r="S540" s="170">
        <v>1</v>
      </c>
      <c r="T540" s="170" t="s">
        <v>36</v>
      </c>
      <c r="U540" s="471">
        <f>VLOOKUP(D540,Preise!$A$3:$C$28,3)</f>
        <v>24.891457557496878</v>
      </c>
      <c r="V540" s="523">
        <f>0.3*W540</f>
        <v>37337.186336245315</v>
      </c>
      <c r="W540" s="131">
        <f t="shared" si="195"/>
        <v>124457.28778748438</v>
      </c>
      <c r="X540" s="472">
        <f t="shared" si="197"/>
        <v>42300</v>
      </c>
      <c r="Y540" s="473">
        <f t="shared" si="198"/>
        <v>37300</v>
      </c>
      <c r="Z540" s="474">
        <f>IF(ISERROR(VLOOKUP(L540,Gegenstände!$B$2:$N$2026,13,FALSE)),0,VLOOKUP(L540,Gegenstände!$B$2:$N$2026,13,FALSE))</f>
        <v>360</v>
      </c>
      <c r="AA540" s="142">
        <f>IF(ISERROR(VLOOKUP(N540,Gegenstände!$B$2:$N$2026,13,FALSE)),0,VLOOKUP(N540,Gegenstände!$B$2:$N$2026,13,FALSE))</f>
        <v>80</v>
      </c>
      <c r="AB540" s="142">
        <f>IF(ISERROR(VLOOKUP(P540,Gegenstände!$B$2:$N$2026,13,FALSE)),0,VLOOKUP(P540,Gegenstände!$B$2:$N$2026,13,FALSE))</f>
        <v>200</v>
      </c>
      <c r="AC540" s="142">
        <f>IF(ISERROR(VLOOKUP(R540,Gegenstände!$B$2:$N$2026,13,FALSE)),0,VLOOKUP(R540,Gegenstände!$B$2:$N$2026,13,FALSE))</f>
        <v>500</v>
      </c>
      <c r="AD540" s="142">
        <f>IF(ISERROR(VLOOKUP(T540,Gegenstände!$B$2:$N$2026,13,FALSE)),0,VLOOKUP(T540,Gegenstände!$B$2:$N$2026,13,FALSE))</f>
        <v>5000</v>
      </c>
      <c r="AE540" s="475">
        <f t="shared" si="199"/>
        <v>12240</v>
      </c>
      <c r="AF540" s="476">
        <f t="shared" si="200"/>
        <v>12200</v>
      </c>
      <c r="AG540" s="128">
        <f t="shared" si="201"/>
        <v>0.32815013404825738</v>
      </c>
      <c r="AH540" s="128">
        <f t="shared" si="202"/>
        <v>0.32707774798927614</v>
      </c>
      <c r="AI540" s="129">
        <f t="shared" si="192"/>
        <v>0.65522788203753346</v>
      </c>
      <c r="AJ540" s="426">
        <f t="shared" si="193"/>
        <v>12860</v>
      </c>
      <c r="AK540" s="131">
        <f t="shared" si="194"/>
        <v>2143.3333333333335</v>
      </c>
      <c r="AL540" s="477">
        <f>AK540/VLOOKUP(IF(I540&gt;0,I540,1),Preise!$A$3:$B$27,2,FALSE)</f>
        <v>396.91358024691345</v>
      </c>
    </row>
    <row r="541" spans="1:38" s="3" customFormat="1" outlineLevel="1" x14ac:dyDescent="0.2">
      <c r="A541" s="412">
        <v>2443</v>
      </c>
      <c r="B541" s="412">
        <v>2443</v>
      </c>
      <c r="C541" s="132" t="str">
        <f>VLOOKUP(B541,Gegenstände!$A$2:$B$2026,2,FALSE)</f>
        <v>Obsidian-Plattenhandschuhe</v>
      </c>
      <c r="D541" s="133">
        <f>VLOOKUP(B541,Gegenstände!$A$2:$D$2026,4,FALSE)</f>
        <v>25</v>
      </c>
      <c r="E541" s="468">
        <v>30</v>
      </c>
      <c r="F541" s="3">
        <v>180</v>
      </c>
      <c r="G541" s="54"/>
      <c r="H541" s="469">
        <v>62</v>
      </c>
      <c r="I541" s="12">
        <f t="shared" si="196"/>
        <v>24</v>
      </c>
      <c r="J541" s="470"/>
      <c r="K541" s="54">
        <v>20</v>
      </c>
      <c r="L541" s="3" t="s">
        <v>117</v>
      </c>
      <c r="M541" s="85">
        <v>6</v>
      </c>
      <c r="N541" s="83" t="s">
        <v>176</v>
      </c>
      <c r="O541" s="85">
        <v>8</v>
      </c>
      <c r="P541" s="83" t="s">
        <v>185</v>
      </c>
      <c r="Q541" s="85">
        <v>10</v>
      </c>
      <c r="R541" s="83" t="s">
        <v>187</v>
      </c>
      <c r="S541" s="170">
        <v>1</v>
      </c>
      <c r="T541" s="170" t="s">
        <v>36</v>
      </c>
      <c r="U541" s="471">
        <f>VLOOKUP(D541,Preise!$A$3:$C$28,3)</f>
        <v>28.625176191121408</v>
      </c>
      <c r="V541" s="523">
        <f>0.15*W541</f>
        <v>21468.882143341056</v>
      </c>
      <c r="W541" s="131">
        <f t="shared" si="195"/>
        <v>143125.88095560705</v>
      </c>
      <c r="X541" s="472">
        <f t="shared" si="197"/>
        <v>26500</v>
      </c>
      <c r="Y541" s="473">
        <f t="shared" si="198"/>
        <v>21500</v>
      </c>
      <c r="Z541" s="474">
        <f>IF(ISERROR(VLOOKUP(L541,Gegenstände!$B$2:$N$2026,13,FALSE)),0,VLOOKUP(L541,Gegenstände!$B$2:$N$2026,13,FALSE))</f>
        <v>360</v>
      </c>
      <c r="AA541" s="142">
        <f>IF(ISERROR(VLOOKUP(N541,Gegenstände!$B$2:$N$2026,13,FALSE)),0,VLOOKUP(N541,Gegenstände!$B$2:$N$2026,13,FALSE))</f>
        <v>80</v>
      </c>
      <c r="AB541" s="142">
        <f>IF(ISERROR(VLOOKUP(P541,Gegenstände!$B$2:$N$2026,13,FALSE)),0,VLOOKUP(P541,Gegenstände!$B$2:$N$2026,13,FALSE))</f>
        <v>200</v>
      </c>
      <c r="AC541" s="142">
        <f>IF(ISERROR(VLOOKUP(R541,Gegenstände!$B$2:$N$2026,13,FALSE)),0,VLOOKUP(R541,Gegenstände!$B$2:$N$2026,13,FALSE))</f>
        <v>500</v>
      </c>
      <c r="AD541" s="142">
        <f>IF(ISERROR(VLOOKUP(T541,Gegenstände!$B$2:$N$2026,13,FALSE)),0,VLOOKUP(T541,Gegenstände!$B$2:$N$2026,13,FALSE))</f>
        <v>5000</v>
      </c>
      <c r="AE541" s="475">
        <f t="shared" si="199"/>
        <v>7200</v>
      </c>
      <c r="AF541" s="476">
        <f t="shared" si="200"/>
        <v>7080</v>
      </c>
      <c r="AG541" s="128">
        <f t="shared" si="201"/>
        <v>0.33488372093023255</v>
      </c>
      <c r="AH541" s="128">
        <f t="shared" si="202"/>
        <v>0.32930232558139533</v>
      </c>
      <c r="AI541" s="129">
        <f t="shared" si="192"/>
        <v>0.66418604651162794</v>
      </c>
      <c r="AJ541" s="426">
        <f t="shared" si="193"/>
        <v>7220</v>
      </c>
      <c r="AK541" s="131">
        <f t="shared" si="194"/>
        <v>2406.6666666666665</v>
      </c>
      <c r="AL541" s="477">
        <f>AK541/VLOOKUP(IF(I541&gt;0,I541,1),Preise!$A$3:$B$27,2,FALSE)</f>
        <v>429.76190476190453</v>
      </c>
    </row>
    <row r="542" spans="1:38" s="3" customFormat="1" outlineLevel="1" x14ac:dyDescent="0.2">
      <c r="A542" s="412">
        <v>2444</v>
      </c>
      <c r="B542" s="412">
        <v>2444</v>
      </c>
      <c r="C542" s="132" t="str">
        <f>VLOOKUP(B542,Gegenstände!$A$2:$B$2026,2,FALSE)</f>
        <v>Obsidian-Plattenbeinlinge</v>
      </c>
      <c r="D542" s="133">
        <f>VLOOKUP(B542,Gegenstände!$A$2:$D$2026,4,FALSE)</f>
        <v>25</v>
      </c>
      <c r="E542" s="468">
        <v>30</v>
      </c>
      <c r="F542" s="3">
        <v>240</v>
      </c>
      <c r="G542" s="54"/>
      <c r="H542" s="469">
        <v>62</v>
      </c>
      <c r="I542" s="12">
        <f t="shared" si="196"/>
        <v>24</v>
      </c>
      <c r="J542" s="470"/>
      <c r="K542" s="54">
        <v>26</v>
      </c>
      <c r="L542" s="3" t="s">
        <v>117</v>
      </c>
      <c r="M542" s="85">
        <v>8</v>
      </c>
      <c r="N542" s="83" t="s">
        <v>176</v>
      </c>
      <c r="O542" s="85">
        <v>6</v>
      </c>
      <c r="P542" s="83" t="s">
        <v>185</v>
      </c>
      <c r="Q542" s="85">
        <v>15</v>
      </c>
      <c r="R542" s="83" t="s">
        <v>187</v>
      </c>
      <c r="S542" s="170">
        <v>1</v>
      </c>
      <c r="T542" s="170" t="s">
        <v>36</v>
      </c>
      <c r="U542" s="471">
        <f>VLOOKUP(D542,Preise!$A$3:$C$28,3)</f>
        <v>28.625176191121408</v>
      </c>
      <c r="V542" s="523">
        <f>0.2*W542</f>
        <v>28625.176191121413</v>
      </c>
      <c r="W542" s="131">
        <f t="shared" si="195"/>
        <v>143125.88095560705</v>
      </c>
      <c r="X542" s="472">
        <f t="shared" si="197"/>
        <v>33600</v>
      </c>
      <c r="Y542" s="473">
        <f t="shared" si="198"/>
        <v>28600</v>
      </c>
      <c r="Z542" s="474">
        <f>IF(ISERROR(VLOOKUP(L542,Gegenstände!$B$2:$N$2026,13,FALSE)),0,VLOOKUP(L542,Gegenstände!$B$2:$N$2026,13,FALSE))</f>
        <v>360</v>
      </c>
      <c r="AA542" s="142">
        <f>IF(ISERROR(VLOOKUP(N542,Gegenstände!$B$2:$N$2026,13,FALSE)),0,VLOOKUP(N542,Gegenstände!$B$2:$N$2026,13,FALSE))</f>
        <v>80</v>
      </c>
      <c r="AB542" s="142">
        <f>IF(ISERROR(VLOOKUP(P542,Gegenstände!$B$2:$N$2026,13,FALSE)),0,VLOOKUP(P542,Gegenstände!$B$2:$N$2026,13,FALSE))</f>
        <v>200</v>
      </c>
      <c r="AC542" s="142">
        <f>IF(ISERROR(VLOOKUP(R542,Gegenstände!$B$2:$N$2026,13,FALSE)),0,VLOOKUP(R542,Gegenstände!$B$2:$N$2026,13,FALSE))</f>
        <v>500</v>
      </c>
      <c r="AD542" s="142">
        <f>IF(ISERROR(VLOOKUP(T542,Gegenstände!$B$2:$N$2026,13,FALSE)),0,VLOOKUP(T542,Gegenstände!$B$2:$N$2026,13,FALSE))</f>
        <v>5000</v>
      </c>
      <c r="AE542" s="475">
        <f t="shared" si="199"/>
        <v>9360</v>
      </c>
      <c r="AF542" s="476">
        <f t="shared" si="200"/>
        <v>9340</v>
      </c>
      <c r="AG542" s="128">
        <f t="shared" si="201"/>
        <v>0.32727272727272727</v>
      </c>
      <c r="AH542" s="128">
        <f t="shared" si="202"/>
        <v>0.32657342657342658</v>
      </c>
      <c r="AI542" s="129">
        <f t="shared" si="192"/>
        <v>0.65384615384615385</v>
      </c>
      <c r="AJ542" s="426">
        <f t="shared" si="193"/>
        <v>9900</v>
      </c>
      <c r="AK542" s="131">
        <f t="shared" si="194"/>
        <v>2475</v>
      </c>
      <c r="AL542" s="477">
        <f>AK542/VLOOKUP(IF(I542&gt;0,I542,1),Preise!$A$3:$B$27,2,FALSE)</f>
        <v>441.96428571428555</v>
      </c>
    </row>
    <row r="543" spans="1:38" s="3" customFormat="1" outlineLevel="1" x14ac:dyDescent="0.2">
      <c r="A543" s="561">
        <v>2445</v>
      </c>
      <c r="B543" s="561">
        <v>2445</v>
      </c>
      <c r="C543" s="413" t="str">
        <f>VLOOKUP(B543,Gegenstände!$A$2:$B$2026,2,FALSE)</f>
        <v>Obsidian-Plattenstiefel</v>
      </c>
      <c r="D543" s="562">
        <f>VLOOKUP(B543,Gegenstände!$A$2:$D$2026,4,FALSE)</f>
        <v>25</v>
      </c>
      <c r="E543" s="563">
        <v>30</v>
      </c>
      <c r="F543" s="334">
        <v>180</v>
      </c>
      <c r="G543" s="335"/>
      <c r="H543" s="565">
        <v>62</v>
      </c>
      <c r="I543" s="12">
        <f t="shared" si="196"/>
        <v>24</v>
      </c>
      <c r="J543" s="566"/>
      <c r="K543" s="335">
        <v>20</v>
      </c>
      <c r="L543" s="334" t="s">
        <v>117</v>
      </c>
      <c r="M543" s="567">
        <v>6</v>
      </c>
      <c r="N543" s="568" t="s">
        <v>176</v>
      </c>
      <c r="O543" s="567">
        <v>8</v>
      </c>
      <c r="P543" s="568" t="s">
        <v>185</v>
      </c>
      <c r="Q543" s="567">
        <v>10</v>
      </c>
      <c r="R543" s="568" t="s">
        <v>187</v>
      </c>
      <c r="S543" s="569">
        <v>1</v>
      </c>
      <c r="T543" s="569" t="s">
        <v>36</v>
      </c>
      <c r="U543" s="471">
        <f>VLOOKUP(D543,Preise!$A$3:$C$28,3)</f>
        <v>28.625176191121408</v>
      </c>
      <c r="V543" s="558">
        <f>0.15*W543</f>
        <v>21468.882143341056</v>
      </c>
      <c r="W543" s="559">
        <f t="shared" si="195"/>
        <v>143125.88095560705</v>
      </c>
      <c r="X543" s="472">
        <f t="shared" si="197"/>
        <v>26500</v>
      </c>
      <c r="Y543" s="473">
        <f t="shared" si="198"/>
        <v>21500</v>
      </c>
      <c r="Z543" s="613">
        <f>IF(ISERROR(VLOOKUP(L543,Gegenstände!$B$2:$N$2026,13,FALSE)),0,VLOOKUP(L543,Gegenstände!$B$2:$N$2026,13,FALSE))</f>
        <v>360</v>
      </c>
      <c r="AA543" s="614">
        <f>IF(ISERROR(VLOOKUP(N543,Gegenstände!$B$2:$N$2026,13,FALSE)),0,VLOOKUP(N543,Gegenstände!$B$2:$N$2026,13,FALSE))</f>
        <v>80</v>
      </c>
      <c r="AB543" s="614">
        <f>IF(ISERROR(VLOOKUP(P543,Gegenstände!$B$2:$N$2026,13,FALSE)),0,VLOOKUP(P543,Gegenstände!$B$2:$N$2026,13,FALSE))</f>
        <v>200</v>
      </c>
      <c r="AC543" s="614">
        <f>IF(ISERROR(VLOOKUP(R543,Gegenstände!$B$2:$N$2026,13,FALSE)),0,VLOOKUP(R543,Gegenstände!$B$2:$N$2026,13,FALSE))</f>
        <v>500</v>
      </c>
      <c r="AD543" s="142">
        <f>IF(ISERROR(VLOOKUP(T543,Gegenstände!$B$2:$N$2026,13,FALSE)),0,VLOOKUP(T543,Gegenstände!$B$2:$N$2026,13,FALSE))</f>
        <v>5000</v>
      </c>
      <c r="AE543" s="475">
        <f t="shared" si="199"/>
        <v>7200</v>
      </c>
      <c r="AF543" s="476">
        <f t="shared" si="200"/>
        <v>7080</v>
      </c>
      <c r="AG543" s="128">
        <f t="shared" si="201"/>
        <v>0.33488372093023255</v>
      </c>
      <c r="AH543" s="128">
        <f t="shared" si="202"/>
        <v>0.32930232558139533</v>
      </c>
      <c r="AI543" s="129">
        <f t="shared" ref="AI543:AI555" si="203">(AE543+AF543)/Y543</f>
        <v>0.66418604651162794</v>
      </c>
      <c r="AJ543" s="426">
        <f t="shared" ref="AJ543:AJ555" si="204">Y543-(AE543+AF543)</f>
        <v>7220</v>
      </c>
      <c r="AK543" s="131">
        <f t="shared" ref="AK543:AK555" si="205">(AJ543*60)/F543</f>
        <v>2406.6666666666665</v>
      </c>
      <c r="AL543" s="477">
        <f>AK543/VLOOKUP(IF(I543&gt;0,I543,1),Preise!$A$3:$B$27,2,FALSE)</f>
        <v>429.76190476190453</v>
      </c>
    </row>
    <row r="544" spans="1:38" s="3" customFormat="1" x14ac:dyDescent="0.2">
      <c r="A544" s="581"/>
      <c r="B544" s="399"/>
      <c r="C544" s="193"/>
      <c r="D544" s="194"/>
      <c r="E544" s="582"/>
      <c r="F544" s="197"/>
      <c r="G544" s="194"/>
      <c r="H544" s="583"/>
      <c r="I544" s="597"/>
      <c r="J544" s="585"/>
      <c r="K544" s="584"/>
      <c r="L544" s="192"/>
      <c r="M544" s="584"/>
      <c r="N544" s="192"/>
      <c r="O544" s="584"/>
      <c r="P544" s="192"/>
      <c r="Q544" s="584"/>
      <c r="R544" s="192"/>
      <c r="S544" s="586"/>
      <c r="T544" s="587"/>
      <c r="U544" s="598"/>
      <c r="V544" s="589">
        <v>1000</v>
      </c>
      <c r="W544" s="590"/>
      <c r="X544" s="599"/>
      <c r="Y544" s="621"/>
      <c r="Z544" s="622"/>
      <c r="AA544" s="601"/>
      <c r="AB544" s="601"/>
      <c r="AC544" s="601"/>
      <c r="AD544" s="601"/>
      <c r="AE544" s="602"/>
      <c r="AF544" s="603"/>
      <c r="AG544" s="604"/>
      <c r="AH544" s="604"/>
      <c r="AI544" s="623"/>
      <c r="AJ544" s="624"/>
      <c r="AK544" s="625"/>
      <c r="AL544" s="626"/>
    </row>
    <row r="545" spans="1:38" x14ac:dyDescent="0.2">
      <c r="A545" s="412">
        <v>2501</v>
      </c>
      <c r="B545" s="412">
        <v>2501</v>
      </c>
      <c r="C545" s="132" t="str">
        <f>VLOOKUP(B545,Gegenstände!$A$2:$B$2026,2,FALSE)</f>
        <v>Achat-Rundschild</v>
      </c>
      <c r="D545" s="133">
        <f>VLOOKUP(B545,Gegenstände!$A$2:$D$2026,4,FALSE)</f>
        <v>4</v>
      </c>
      <c r="E545" s="468">
        <v>31</v>
      </c>
      <c r="F545" s="3">
        <v>320</v>
      </c>
      <c r="G545" s="54"/>
      <c r="H545" s="469">
        <v>61</v>
      </c>
      <c r="I545" s="12">
        <f t="shared" si="196"/>
        <v>3</v>
      </c>
      <c r="K545" s="469">
        <v>8</v>
      </c>
      <c r="L545" s="3" t="s">
        <v>163</v>
      </c>
      <c r="M545" s="85">
        <v>6</v>
      </c>
      <c r="N545" s="83" t="s">
        <v>198</v>
      </c>
      <c r="O545" s="85"/>
      <c r="P545" s="83"/>
      <c r="Q545" s="85"/>
      <c r="R545" s="83"/>
      <c r="S545" s="418">
        <v>2</v>
      </c>
      <c r="T545" s="418" t="s">
        <v>239</v>
      </c>
      <c r="U545" s="471">
        <f>VLOOKUP(D545,Preise!$A$3:$C$28,3)</f>
        <v>1.5208749999999995</v>
      </c>
      <c r="V545" s="523">
        <f>U545*$V$544</f>
        <v>1520.8749999999995</v>
      </c>
      <c r="W545" s="131"/>
      <c r="X545" s="472">
        <f t="shared" si="197"/>
        <v>2500</v>
      </c>
      <c r="Y545" s="473">
        <f t="shared" si="198"/>
        <v>1500</v>
      </c>
      <c r="Z545" s="474">
        <f>IF(ISERROR(VLOOKUP(L545,Gegenstände!$B$2:$N$2026,13,FALSE)),0,VLOOKUP(L545,Gegenstände!$B$2:$N$2026,13,FALSE))</f>
        <v>60</v>
      </c>
      <c r="AA545" s="142">
        <f>IF(ISERROR(VLOOKUP(N545,Gegenstände!$B$2:$N$2026,13,FALSE)),0,VLOOKUP(N545,Gegenstände!$B$2:$N$2026,13,FALSE))</f>
        <v>80</v>
      </c>
      <c r="AB545" s="142">
        <f>IF(ISERROR(VLOOKUP(P545,Gegenstände!$B$2:$N$2026,13,FALSE)),0,VLOOKUP(P545,Gegenstände!$B$2:$N$2026,13,FALSE))</f>
        <v>0</v>
      </c>
      <c r="AC545" s="142">
        <f>IF(ISERROR(VLOOKUP(R545,Gegenstände!$B$2:$N$2026,13,FALSE)),0,VLOOKUP(R545,Gegenstände!$B$2:$N$2026,13,FALSE))</f>
        <v>0</v>
      </c>
      <c r="AD545" s="142">
        <f>IF(ISERROR(VLOOKUP(T545,Gegenstände!$B$2:$N$2026,13,FALSE)),0,VLOOKUP(T545,Gegenstände!$B$2:$N$2026,13,FALSE))</f>
        <v>500</v>
      </c>
      <c r="AE545" s="475">
        <f t="shared" si="199"/>
        <v>480</v>
      </c>
      <c r="AF545" s="476">
        <f t="shared" si="200"/>
        <v>480</v>
      </c>
      <c r="AG545" s="128">
        <f t="shared" si="201"/>
        <v>0.32</v>
      </c>
      <c r="AH545" s="128">
        <f t="shared" si="202"/>
        <v>0.32</v>
      </c>
      <c r="AI545" s="129">
        <f t="shared" si="203"/>
        <v>0.64</v>
      </c>
      <c r="AJ545" s="426">
        <f t="shared" si="204"/>
        <v>540</v>
      </c>
      <c r="AK545" s="131">
        <f t="shared" si="205"/>
        <v>101.25</v>
      </c>
      <c r="AL545" s="477">
        <f>AK545/VLOOKUP(IF(I545&gt;0,I545,1),Preise!$A$3:$B$27,2,FALSE)</f>
        <v>72.321428571428569</v>
      </c>
    </row>
    <row r="546" spans="1:38" x14ac:dyDescent="0.2">
      <c r="A546" s="412">
        <v>2502</v>
      </c>
      <c r="B546" s="412">
        <v>2502</v>
      </c>
      <c r="C546" s="132" t="str">
        <f>VLOOKUP(B546,Gegenstände!$A$2:$B$2026,2,FALSE)</f>
        <v>Topas-Rundschild</v>
      </c>
      <c r="D546" s="133">
        <f>VLOOKUP(B546,Gegenstände!$A$2:$D$2026,4,FALSE)</f>
        <v>9</v>
      </c>
      <c r="E546" s="468">
        <v>31</v>
      </c>
      <c r="F546" s="3">
        <v>320</v>
      </c>
      <c r="G546" s="54"/>
      <c r="H546" s="469">
        <v>61</v>
      </c>
      <c r="I546" s="12">
        <f t="shared" si="196"/>
        <v>8</v>
      </c>
      <c r="K546" s="416">
        <v>8</v>
      </c>
      <c r="L546" s="1" t="s">
        <v>164</v>
      </c>
      <c r="M546" s="87">
        <v>12</v>
      </c>
      <c r="N546" s="83" t="s">
        <v>198</v>
      </c>
      <c r="O546" s="85"/>
      <c r="P546" s="83"/>
      <c r="Q546" s="85"/>
      <c r="R546" s="83"/>
      <c r="S546" s="418">
        <v>2</v>
      </c>
      <c r="T546" s="418" t="s">
        <v>240</v>
      </c>
      <c r="U546" s="471">
        <f>VLOOKUP(D546,Preise!$A$3:$C$28,3)</f>
        <v>3.0590228625390607</v>
      </c>
      <c r="V546" s="523">
        <f>U546*$V$544</f>
        <v>3059.022862539061</v>
      </c>
      <c r="W546" s="131"/>
      <c r="X546" s="472">
        <f t="shared" si="197"/>
        <v>5100</v>
      </c>
      <c r="Y546" s="473">
        <f t="shared" si="198"/>
        <v>3100</v>
      </c>
      <c r="Z546" s="474">
        <f>IF(ISERROR(VLOOKUP(L546,Gegenstände!$B$2:$N$2026,13,FALSE)),0,VLOOKUP(L546,Gegenstände!$B$2:$N$2026,13,FALSE))</f>
        <v>120</v>
      </c>
      <c r="AA546" s="142">
        <f>IF(ISERROR(VLOOKUP(N546,Gegenstände!$B$2:$N$2026,13,FALSE)),0,VLOOKUP(N546,Gegenstände!$B$2:$N$2026,13,FALSE))</f>
        <v>80</v>
      </c>
      <c r="AB546" s="142">
        <f>IF(ISERROR(VLOOKUP(P546,Gegenstände!$B$2:$N$2026,13,FALSE)),0,VLOOKUP(P546,Gegenstände!$B$2:$N$2026,13,FALSE))</f>
        <v>0</v>
      </c>
      <c r="AC546" s="142">
        <f>IF(ISERROR(VLOOKUP(R546,Gegenstände!$B$2:$N$2026,13,FALSE)),0,VLOOKUP(R546,Gegenstände!$B$2:$N$2026,13,FALSE))</f>
        <v>0</v>
      </c>
      <c r="AD546" s="142">
        <f>IF(ISERROR(VLOOKUP(T546,Gegenstände!$B$2:$N$2026,13,FALSE)),0,VLOOKUP(T546,Gegenstände!$B$2:$N$2026,13,FALSE))</f>
        <v>1000</v>
      </c>
      <c r="AE546" s="475">
        <f t="shared" si="199"/>
        <v>960</v>
      </c>
      <c r="AF546" s="476">
        <f t="shared" si="200"/>
        <v>960</v>
      </c>
      <c r="AG546" s="128">
        <f t="shared" si="201"/>
        <v>0.30967741935483872</v>
      </c>
      <c r="AH546" s="128">
        <f t="shared" si="202"/>
        <v>0.30967741935483872</v>
      </c>
      <c r="AI546" s="129">
        <f t="shared" si="203"/>
        <v>0.61935483870967745</v>
      </c>
      <c r="AJ546" s="426">
        <f t="shared" si="204"/>
        <v>1180</v>
      </c>
      <c r="AK546" s="131">
        <f t="shared" si="205"/>
        <v>221.25</v>
      </c>
      <c r="AL546" s="477">
        <f>AK546/VLOOKUP(IF(I546&gt;0,I546,1),Preise!$A$3:$B$27,2,FALSE)</f>
        <v>92.1875</v>
      </c>
    </row>
    <row r="547" spans="1:38" x14ac:dyDescent="0.2">
      <c r="A547" s="412">
        <v>2503</v>
      </c>
      <c r="B547" s="412">
        <v>2503</v>
      </c>
      <c r="C547" s="132" t="str">
        <f>VLOOKUP(B547,Gegenstände!$A$2:$B$2026,2,FALSE)</f>
        <v>Saphir-Rundschild</v>
      </c>
      <c r="D547" s="133">
        <f>VLOOKUP(B547,Gegenstände!$A$2:$D$2026,4,FALSE)</f>
        <v>14</v>
      </c>
      <c r="E547" s="468">
        <v>31</v>
      </c>
      <c r="F547" s="3">
        <v>320</v>
      </c>
      <c r="G547" s="54"/>
      <c r="H547" s="469">
        <v>61</v>
      </c>
      <c r="I547" s="12">
        <f t="shared" si="196"/>
        <v>13</v>
      </c>
      <c r="K547" s="469">
        <v>11</v>
      </c>
      <c r="L547" s="3" t="s">
        <v>165</v>
      </c>
      <c r="M547" s="85">
        <v>8</v>
      </c>
      <c r="N547" s="83" t="s">
        <v>198</v>
      </c>
      <c r="O547" s="85">
        <v>7</v>
      </c>
      <c r="P547" s="83" t="s">
        <v>200</v>
      </c>
      <c r="Q547" s="85"/>
      <c r="R547" s="83"/>
      <c r="S547" s="418">
        <v>2</v>
      </c>
      <c r="T547" s="418" t="s">
        <v>241</v>
      </c>
      <c r="U547" s="471">
        <f>VLOOKUP(D547,Preise!$A$3:$C$28,3)</f>
        <v>6.1527876212947623</v>
      </c>
      <c r="V547" s="523">
        <f>U547*$V$544</f>
        <v>6152.7876212947622</v>
      </c>
      <c r="W547" s="131"/>
      <c r="X547" s="472">
        <f t="shared" si="197"/>
        <v>10200</v>
      </c>
      <c r="Y547" s="473">
        <f t="shared" si="198"/>
        <v>6200</v>
      </c>
      <c r="Z547" s="474">
        <f>IF(ISERROR(VLOOKUP(L547,Gegenstände!$B$2:$N$2026,13,FALSE)),0,VLOOKUP(L547,Gegenstände!$B$2:$N$2026,13,FALSE))</f>
        <v>180</v>
      </c>
      <c r="AA547" s="142">
        <f>IF(ISERROR(VLOOKUP(N547,Gegenstände!$B$2:$N$2026,13,FALSE)),0,VLOOKUP(N547,Gegenstände!$B$2:$N$2026,13,FALSE))</f>
        <v>80</v>
      </c>
      <c r="AB547" s="142">
        <f>IF(ISERROR(VLOOKUP(P547,Gegenstände!$B$2:$N$2026,13,FALSE)),0,VLOOKUP(P547,Gegenstände!$B$2:$N$2026,13,FALSE))</f>
        <v>200</v>
      </c>
      <c r="AC547" s="142">
        <f>IF(ISERROR(VLOOKUP(R547,Gegenstände!$B$2:$N$2026,13,FALSE)),0,VLOOKUP(R547,Gegenstände!$B$2:$N$2026,13,FALSE))</f>
        <v>0</v>
      </c>
      <c r="AD547" s="142">
        <f>IF(ISERROR(VLOOKUP(T547,Gegenstände!$B$2:$N$2026,13,FALSE)),0,VLOOKUP(T547,Gegenstände!$B$2:$N$2026,13,FALSE))</f>
        <v>2000</v>
      </c>
      <c r="AE547" s="475">
        <f t="shared" si="199"/>
        <v>1980</v>
      </c>
      <c r="AF547" s="476">
        <f t="shared" si="200"/>
        <v>2040</v>
      </c>
      <c r="AG547" s="128">
        <f t="shared" si="201"/>
        <v>0.3193548387096774</v>
      </c>
      <c r="AH547" s="128">
        <f t="shared" si="202"/>
        <v>0.32903225806451614</v>
      </c>
      <c r="AI547" s="129">
        <f t="shared" si="203"/>
        <v>0.64838709677419359</v>
      </c>
      <c r="AJ547" s="426">
        <f t="shared" si="204"/>
        <v>2180</v>
      </c>
      <c r="AK547" s="131">
        <f t="shared" si="205"/>
        <v>408.75</v>
      </c>
      <c r="AL547" s="477">
        <f>AK547/VLOOKUP(IF(I547&gt;0,I547,1),Preise!$A$3:$B$27,2,FALSE)</f>
        <v>120.22058823529409</v>
      </c>
    </row>
    <row r="548" spans="1:38" x14ac:dyDescent="0.2">
      <c r="A548" s="412">
        <v>2504</v>
      </c>
      <c r="B548" s="412">
        <v>2504</v>
      </c>
      <c r="C548" s="132" t="str">
        <f>VLOOKUP(B548,Gegenstände!$A$2:$B$2026,2,FALSE)</f>
        <v>Lapis-Rundschild</v>
      </c>
      <c r="D548" s="133">
        <f>VLOOKUP(B548,Gegenstände!$A$2:$D$2026,4,FALSE)</f>
        <v>19</v>
      </c>
      <c r="E548" s="468">
        <v>31</v>
      </c>
      <c r="F548" s="3">
        <v>320</v>
      </c>
      <c r="G548" s="54"/>
      <c r="H548" s="469">
        <v>61</v>
      </c>
      <c r="I548" s="12">
        <f t="shared" si="196"/>
        <v>18</v>
      </c>
      <c r="K548" s="469">
        <v>15</v>
      </c>
      <c r="L548" s="3" t="s">
        <v>166</v>
      </c>
      <c r="M548" s="85">
        <v>9</v>
      </c>
      <c r="N548" s="83" t="s">
        <v>198</v>
      </c>
      <c r="O548" s="85">
        <v>7</v>
      </c>
      <c r="P548" s="83" t="s">
        <v>200</v>
      </c>
      <c r="Q548" s="85">
        <v>4</v>
      </c>
      <c r="R548" s="83" t="s">
        <v>201</v>
      </c>
      <c r="S548" s="418">
        <v>2</v>
      </c>
      <c r="T548" s="418" t="s">
        <v>242</v>
      </c>
      <c r="U548" s="471">
        <f>VLOOKUP(D548,Preise!$A$3:$C$28,3)</f>
        <v>12.375453605252243</v>
      </c>
      <c r="V548" s="523">
        <f>U548*$V$544</f>
        <v>12375.453605252244</v>
      </c>
      <c r="W548" s="131"/>
      <c r="X548" s="472">
        <f t="shared" si="197"/>
        <v>19400</v>
      </c>
      <c r="Y548" s="473">
        <f t="shared" si="198"/>
        <v>12400</v>
      </c>
      <c r="Z548" s="474">
        <f>IF(ISERROR(VLOOKUP(L548,Gegenstände!$B$2:$N$2026,13,FALSE)),0,VLOOKUP(L548,Gegenstände!$B$2:$N$2026,13,FALSE))</f>
        <v>270</v>
      </c>
      <c r="AA548" s="142">
        <f>IF(ISERROR(VLOOKUP(N548,Gegenstände!$B$2:$N$2026,13,FALSE)),0,VLOOKUP(N548,Gegenstände!$B$2:$N$2026,13,FALSE))</f>
        <v>80</v>
      </c>
      <c r="AB548" s="142">
        <f>IF(ISERROR(VLOOKUP(P548,Gegenstände!$B$2:$N$2026,13,FALSE)),0,VLOOKUP(P548,Gegenstände!$B$2:$N$2026,13,FALSE))</f>
        <v>200</v>
      </c>
      <c r="AC548" s="142">
        <f>IF(ISERROR(VLOOKUP(R548,Gegenstände!$B$2:$N$2026,13,FALSE)),0,VLOOKUP(R548,Gegenstände!$B$2:$N$2026,13,FALSE))</f>
        <v>500</v>
      </c>
      <c r="AD548" s="142">
        <f>IF(ISERROR(VLOOKUP(T548,Gegenstände!$B$2:$N$2026,13,FALSE)),0,VLOOKUP(T548,Gegenstände!$B$2:$N$2026,13,FALSE))</f>
        <v>3500</v>
      </c>
      <c r="AE548" s="475">
        <f t="shared" si="199"/>
        <v>4050</v>
      </c>
      <c r="AF548" s="476">
        <f t="shared" si="200"/>
        <v>4120</v>
      </c>
      <c r="AG548" s="128">
        <f t="shared" si="201"/>
        <v>0.32661290322580644</v>
      </c>
      <c r="AH548" s="128">
        <f t="shared" si="202"/>
        <v>0.33225806451612905</v>
      </c>
      <c r="AI548" s="129">
        <f t="shared" si="203"/>
        <v>0.65887096774193543</v>
      </c>
      <c r="AJ548" s="426">
        <f t="shared" si="204"/>
        <v>4230</v>
      </c>
      <c r="AK548" s="131">
        <f t="shared" si="205"/>
        <v>793.125</v>
      </c>
      <c r="AL548" s="477">
        <f>AK548/VLOOKUP(IF(I548&gt;0,I548,1),Preise!$A$3:$B$27,2,FALSE)</f>
        <v>180.25568181818176</v>
      </c>
    </row>
    <row r="549" spans="1:38" x14ac:dyDescent="0.2">
      <c r="A549" s="412">
        <v>2505</v>
      </c>
      <c r="B549" s="412">
        <v>2505</v>
      </c>
      <c r="C549" s="132" t="str">
        <f>VLOOKUP(B549,Gegenstände!$A$2:$B$2026,2,FALSE)</f>
        <v>Diamant-Rundschild</v>
      </c>
      <c r="D549" s="133">
        <f>VLOOKUP(B549,Gegenstände!$A$2:$D$2026,4,FALSE)</f>
        <v>24</v>
      </c>
      <c r="E549" s="468">
        <v>31</v>
      </c>
      <c r="F549" s="3">
        <v>320</v>
      </c>
      <c r="G549" s="54"/>
      <c r="H549" s="469">
        <v>61</v>
      </c>
      <c r="I549" s="12">
        <f t="shared" si="196"/>
        <v>23</v>
      </c>
      <c r="K549" s="469">
        <v>23</v>
      </c>
      <c r="L549" s="3" t="s">
        <v>167</v>
      </c>
      <c r="M549" s="85">
        <v>8</v>
      </c>
      <c r="N549" s="83" t="s">
        <v>198</v>
      </c>
      <c r="O549" s="85">
        <v>8</v>
      </c>
      <c r="P549" s="83" t="s">
        <v>200</v>
      </c>
      <c r="Q549" s="85">
        <v>12</v>
      </c>
      <c r="R549" s="83" t="s">
        <v>201</v>
      </c>
      <c r="S549" s="418">
        <v>2</v>
      </c>
      <c r="T549" s="418" t="s">
        <v>243</v>
      </c>
      <c r="U549" s="471">
        <f>VLOOKUP(D549,Preise!$A$3:$C$28,3)</f>
        <v>24.891457557496878</v>
      </c>
      <c r="V549" s="523">
        <f>U549*$V$544</f>
        <v>24891.457557496877</v>
      </c>
      <c r="W549" s="131"/>
      <c r="X549" s="472">
        <f t="shared" si="197"/>
        <v>34900</v>
      </c>
      <c r="Y549" s="473">
        <f t="shared" si="198"/>
        <v>24900</v>
      </c>
      <c r="Z549" s="613">
        <f>IF(ISERROR(VLOOKUP(L549,Gegenstände!$B$2:$N$2026,13,FALSE)),0,VLOOKUP(L549,Gegenstände!$B$2:$N$2026,13,FALSE))</f>
        <v>360</v>
      </c>
      <c r="AA549" s="614">
        <f>IF(ISERROR(VLOOKUP(N549,Gegenstände!$B$2:$N$2026,13,FALSE)),0,VLOOKUP(N549,Gegenstände!$B$2:$N$2026,13,FALSE))</f>
        <v>80</v>
      </c>
      <c r="AB549" s="614">
        <f>IF(ISERROR(VLOOKUP(P549,Gegenstände!$B$2:$N$2026,13,FALSE)),0,VLOOKUP(P549,Gegenstände!$B$2:$N$2026,13,FALSE))</f>
        <v>200</v>
      </c>
      <c r="AC549" s="614">
        <f>IF(ISERROR(VLOOKUP(R549,Gegenstände!$B$2:$N$2026,13,FALSE)),0,VLOOKUP(R549,Gegenstände!$B$2:$N$2026,13,FALSE))</f>
        <v>500</v>
      </c>
      <c r="AD549" s="142">
        <f>IF(ISERROR(VLOOKUP(T549,Gegenstände!$B$2:$N$2026,13,FALSE)),0,VLOOKUP(T549,Gegenstände!$B$2:$N$2026,13,FALSE))</f>
        <v>5000</v>
      </c>
      <c r="AE549" s="475">
        <f t="shared" si="199"/>
        <v>8280</v>
      </c>
      <c r="AF549" s="476">
        <f t="shared" si="200"/>
        <v>8240</v>
      </c>
      <c r="AG549" s="128">
        <f t="shared" si="201"/>
        <v>0.3325301204819277</v>
      </c>
      <c r="AH549" s="128">
        <f t="shared" si="202"/>
        <v>0.33092369477911648</v>
      </c>
      <c r="AI549" s="129">
        <f t="shared" si="203"/>
        <v>0.66345381526104419</v>
      </c>
      <c r="AJ549" s="426">
        <f t="shared" si="204"/>
        <v>8380</v>
      </c>
      <c r="AK549" s="131">
        <f t="shared" si="205"/>
        <v>1571.25</v>
      </c>
      <c r="AL549" s="477">
        <f>AK549/VLOOKUP(IF(I549&gt;0,I549,1),Preise!$A$3:$B$27,2,FALSE)</f>
        <v>290.97222222222211</v>
      </c>
    </row>
    <row r="550" spans="1:38" s="3" customFormat="1" x14ac:dyDescent="0.2">
      <c r="A550" s="399"/>
      <c r="B550" s="399"/>
      <c r="C550" s="193"/>
      <c r="D550" s="194"/>
      <c r="E550" s="582"/>
      <c r="F550" s="197"/>
      <c r="G550" s="194"/>
      <c r="H550" s="583"/>
      <c r="I550" s="597"/>
      <c r="J550" s="585"/>
      <c r="K550" s="584"/>
      <c r="L550" s="192"/>
      <c r="M550" s="584"/>
      <c r="N550" s="192"/>
      <c r="O550" s="584"/>
      <c r="P550" s="192"/>
      <c r="Q550" s="584"/>
      <c r="R550" s="192"/>
      <c r="S550" s="586"/>
      <c r="T550" s="587"/>
      <c r="U550" s="598"/>
      <c r="V550" s="589">
        <v>1200</v>
      </c>
      <c r="W550" s="590"/>
      <c r="X550" s="599"/>
      <c r="Y550" s="621"/>
      <c r="Z550" s="622"/>
      <c r="AA550" s="601"/>
      <c r="AB550" s="601"/>
      <c r="AC550" s="601"/>
      <c r="AD550" s="601"/>
      <c r="AE550" s="602"/>
      <c r="AF550" s="603"/>
      <c r="AG550" s="604"/>
      <c r="AH550" s="604"/>
      <c r="AI550" s="623"/>
      <c r="AJ550" s="624"/>
      <c r="AK550" s="625"/>
      <c r="AL550" s="626"/>
    </row>
    <row r="551" spans="1:38" x14ac:dyDescent="0.2">
      <c r="A551" s="412">
        <v>2511</v>
      </c>
      <c r="B551" s="412">
        <v>2511</v>
      </c>
      <c r="C551" s="132" t="str">
        <f>VLOOKUP(B551,Gegenstände!$A$2:$B$2026,2,FALSE)</f>
        <v>Kristall-Prunkschild</v>
      </c>
      <c r="D551" s="133">
        <f>VLOOKUP(B551,Gegenstände!$A$2:$D$2026,4,FALSE)</f>
        <v>5</v>
      </c>
      <c r="E551" s="468">
        <v>30</v>
      </c>
      <c r="F551" s="3">
        <v>320</v>
      </c>
      <c r="G551" s="54"/>
      <c r="H551" s="469">
        <v>62</v>
      </c>
      <c r="I551" s="12">
        <f t="shared" si="196"/>
        <v>4</v>
      </c>
      <c r="K551" s="469">
        <v>12</v>
      </c>
      <c r="L551" s="3" t="s">
        <v>113</v>
      </c>
      <c r="M551" s="85">
        <v>9</v>
      </c>
      <c r="N551" s="83" t="s">
        <v>176</v>
      </c>
      <c r="O551" s="1"/>
      <c r="Q551" s="1"/>
      <c r="S551" s="418">
        <v>2</v>
      </c>
      <c r="T551" s="418" t="s">
        <v>237</v>
      </c>
      <c r="U551" s="471">
        <f>VLOOKUP(D551,Preise!$A$3:$C$28,3)</f>
        <v>1.7490062499999994</v>
      </c>
      <c r="V551" s="523">
        <f>U551*$V$550</f>
        <v>2098.8074999999994</v>
      </c>
      <c r="W551" s="131"/>
      <c r="X551" s="472">
        <f t="shared" si="197"/>
        <v>3100</v>
      </c>
      <c r="Y551" s="473">
        <f t="shared" si="198"/>
        <v>2100</v>
      </c>
      <c r="Z551" s="474">
        <f>IF(ISERROR(VLOOKUP(L551,Gegenstände!$B$2:$N$2026,13,FALSE)),0,VLOOKUP(L551,Gegenstände!$B$2:$N$2026,13,FALSE))</f>
        <v>60</v>
      </c>
      <c r="AA551" s="142">
        <f>IF(ISERROR(VLOOKUP(N551,Gegenstände!$B$2:$N$2026,13,FALSE)),0,VLOOKUP(N551,Gegenstände!$B$2:$N$2026,13,FALSE))</f>
        <v>80</v>
      </c>
      <c r="AB551" s="142">
        <f>IF(ISERROR(VLOOKUP(P551,Gegenstände!$B$2:$N$2026,13,FALSE)),0,VLOOKUP(P551,Gegenstände!$B$2:$N$2026,13,FALSE))</f>
        <v>0</v>
      </c>
      <c r="AC551" s="142">
        <f>IF(ISERROR(VLOOKUP(R551,Gegenstände!$B$2:$N$2026,13,FALSE)),0,VLOOKUP(R551,Gegenstände!$B$2:$N$2026,13,FALSE))</f>
        <v>0</v>
      </c>
      <c r="AD551" s="142">
        <f>IF(ISERROR(VLOOKUP(T551,Gegenstände!$B$2:$N$2026,13,FALSE)),0,VLOOKUP(T551,Gegenstände!$B$2:$N$2026,13,FALSE))</f>
        <v>500</v>
      </c>
      <c r="AE551" s="475">
        <f t="shared" si="199"/>
        <v>720</v>
      </c>
      <c r="AF551" s="476">
        <f t="shared" si="200"/>
        <v>720</v>
      </c>
      <c r="AG551" s="128">
        <f t="shared" si="201"/>
        <v>0.34285714285714286</v>
      </c>
      <c r="AH551" s="128">
        <f t="shared" si="202"/>
        <v>0.34285714285714286</v>
      </c>
      <c r="AI551" s="129">
        <f t="shared" si="203"/>
        <v>0.68571428571428572</v>
      </c>
      <c r="AJ551" s="426">
        <f t="shared" si="204"/>
        <v>660</v>
      </c>
      <c r="AK551" s="131">
        <f t="shared" si="205"/>
        <v>123.75</v>
      </c>
      <c r="AL551" s="477">
        <f>AK551/VLOOKUP(IF(I551&gt;0,I551,1),Preise!$A$3:$B$27,2,FALSE)</f>
        <v>77.34375</v>
      </c>
    </row>
    <row r="552" spans="1:38" x14ac:dyDescent="0.2">
      <c r="A552" s="412">
        <v>2512</v>
      </c>
      <c r="B552" s="412">
        <v>2512</v>
      </c>
      <c r="C552" s="132" t="str">
        <f>VLOOKUP(B552,Gegenstände!$A$2:$B$2026,2,FALSE)</f>
        <v>Quarz-Prunkschild</v>
      </c>
      <c r="D552" s="133">
        <f>VLOOKUP(B552,Gegenstände!$A$2:$D$2026,4,FALSE)</f>
        <v>10</v>
      </c>
      <c r="E552" s="468">
        <v>30</v>
      </c>
      <c r="F552" s="3">
        <v>320</v>
      </c>
      <c r="G552" s="54"/>
      <c r="H552" s="469">
        <v>62</v>
      </c>
      <c r="I552" s="12">
        <f t="shared" si="196"/>
        <v>9</v>
      </c>
      <c r="K552" s="416">
        <v>12</v>
      </c>
      <c r="L552" s="1" t="s">
        <v>114</v>
      </c>
      <c r="M552" s="87">
        <v>18</v>
      </c>
      <c r="N552" s="83" t="s">
        <v>176</v>
      </c>
      <c r="O552" s="1"/>
      <c r="Q552" s="1"/>
      <c r="S552" s="418">
        <v>2</v>
      </c>
      <c r="T552" s="418" t="s">
        <v>238</v>
      </c>
      <c r="U552" s="471">
        <f>VLOOKUP(D552,Preise!$A$3:$C$28,3)</f>
        <v>3.5178762919199196</v>
      </c>
      <c r="V552" s="523">
        <f>U552*$V$550</f>
        <v>4221.4515503039038</v>
      </c>
      <c r="W552" s="131"/>
      <c r="X552" s="472">
        <f t="shared" si="197"/>
        <v>6200</v>
      </c>
      <c r="Y552" s="473">
        <f t="shared" si="198"/>
        <v>4200</v>
      </c>
      <c r="Z552" s="474">
        <f>IF(ISERROR(VLOOKUP(L552,Gegenstände!$B$2:$N$2026,13,FALSE)),0,VLOOKUP(L552,Gegenstände!$B$2:$N$2026,13,FALSE))</f>
        <v>120</v>
      </c>
      <c r="AA552" s="142">
        <f>IF(ISERROR(VLOOKUP(N552,Gegenstände!$B$2:$N$2026,13,FALSE)),0,VLOOKUP(N552,Gegenstände!$B$2:$N$2026,13,FALSE))</f>
        <v>80</v>
      </c>
      <c r="AB552" s="142">
        <f>IF(ISERROR(VLOOKUP(P552,Gegenstände!$B$2:$N$2026,13,FALSE)),0,VLOOKUP(P552,Gegenstände!$B$2:$N$2026,13,FALSE))</f>
        <v>0</v>
      </c>
      <c r="AC552" s="142">
        <f>IF(ISERROR(VLOOKUP(R552,Gegenstände!$B$2:$N$2026,13,FALSE)),0,VLOOKUP(R552,Gegenstände!$B$2:$N$2026,13,FALSE))</f>
        <v>0</v>
      </c>
      <c r="AD552" s="142">
        <f>IF(ISERROR(VLOOKUP(T552,Gegenstände!$B$2:$N$2026,13,FALSE)),0,VLOOKUP(T552,Gegenstände!$B$2:$N$2026,13,FALSE))</f>
        <v>1000</v>
      </c>
      <c r="AE552" s="475">
        <f t="shared" si="199"/>
        <v>1440</v>
      </c>
      <c r="AF552" s="476">
        <f t="shared" si="200"/>
        <v>1440</v>
      </c>
      <c r="AG552" s="128">
        <f t="shared" si="201"/>
        <v>0.34285714285714286</v>
      </c>
      <c r="AH552" s="128">
        <f t="shared" si="202"/>
        <v>0.34285714285714286</v>
      </c>
      <c r="AI552" s="129">
        <f t="shared" si="203"/>
        <v>0.68571428571428572</v>
      </c>
      <c r="AJ552" s="426">
        <f t="shared" si="204"/>
        <v>1320</v>
      </c>
      <c r="AK552" s="131">
        <f t="shared" si="205"/>
        <v>247.5</v>
      </c>
      <c r="AL552" s="477">
        <f>AK552/VLOOKUP(IF(I552&gt;0,I552,1),Preise!$A$3:$B$27,2,FALSE)</f>
        <v>95.192307692307693</v>
      </c>
    </row>
    <row r="553" spans="1:38" x14ac:dyDescent="0.2">
      <c r="A553" s="412">
        <v>2513</v>
      </c>
      <c r="B553" s="412">
        <v>2513</v>
      </c>
      <c r="C553" s="132" t="str">
        <f>VLOOKUP(B553,Gegenstände!$A$2:$B$2026,2,FALSE)</f>
        <v>Smaragd-Prunkschild</v>
      </c>
      <c r="D553" s="133">
        <f>VLOOKUP(B553,Gegenstände!$A$2:$D$2026,4,FALSE)</f>
        <v>15</v>
      </c>
      <c r="E553" s="468">
        <v>30</v>
      </c>
      <c r="F553" s="3">
        <v>320</v>
      </c>
      <c r="G553" s="54"/>
      <c r="H553" s="469">
        <v>62</v>
      </c>
      <c r="I553" s="12">
        <f t="shared" si="196"/>
        <v>14</v>
      </c>
      <c r="K553" s="469">
        <v>15</v>
      </c>
      <c r="L553" s="3" t="s">
        <v>115</v>
      </c>
      <c r="M553" s="85">
        <v>10</v>
      </c>
      <c r="N553" s="83" t="s">
        <v>176</v>
      </c>
      <c r="O553" s="85">
        <v>10</v>
      </c>
      <c r="P553" s="83" t="s">
        <v>200</v>
      </c>
      <c r="Q553" s="1"/>
      <c r="S553" s="418">
        <v>2</v>
      </c>
      <c r="T553" s="418" t="s">
        <v>50</v>
      </c>
      <c r="U553" s="471">
        <f>VLOOKUP(D553,Preise!$A$3:$C$28,3)</f>
        <v>7.0757057644889763</v>
      </c>
      <c r="V553" s="523">
        <f>U553*$V$550</f>
        <v>8490.8469173867707</v>
      </c>
      <c r="W553" s="131"/>
      <c r="X553" s="472">
        <f t="shared" si="197"/>
        <v>12500</v>
      </c>
      <c r="Y553" s="473">
        <f t="shared" si="198"/>
        <v>8500</v>
      </c>
      <c r="Z553" s="474">
        <f>IF(ISERROR(VLOOKUP(L553,Gegenstände!$B$2:$N$2026,13,FALSE)),0,VLOOKUP(L553,Gegenstände!$B$2:$N$2026,13,FALSE))</f>
        <v>180</v>
      </c>
      <c r="AA553" s="142">
        <f>IF(ISERROR(VLOOKUP(N553,Gegenstände!$B$2:$N$2026,13,FALSE)),0,VLOOKUP(N553,Gegenstände!$B$2:$N$2026,13,FALSE))</f>
        <v>80</v>
      </c>
      <c r="AB553" s="142">
        <f>IF(ISERROR(VLOOKUP(P553,Gegenstände!$B$2:$N$2026,13,FALSE)),0,VLOOKUP(P553,Gegenstände!$B$2:$N$2026,13,FALSE))</f>
        <v>200</v>
      </c>
      <c r="AC553" s="142">
        <f>IF(ISERROR(VLOOKUP(R553,Gegenstände!$B$2:$N$2026,13,FALSE)),0,VLOOKUP(R553,Gegenstände!$B$2:$N$2026,13,FALSE))</f>
        <v>0</v>
      </c>
      <c r="AD553" s="142">
        <f>IF(ISERROR(VLOOKUP(T553,Gegenstände!$B$2:$N$2026,13,FALSE)),0,VLOOKUP(T553,Gegenstände!$B$2:$N$2026,13,FALSE))</f>
        <v>2000</v>
      </c>
      <c r="AE553" s="475">
        <f t="shared" si="199"/>
        <v>2700</v>
      </c>
      <c r="AF553" s="476">
        <f t="shared" si="200"/>
        <v>2800</v>
      </c>
      <c r="AG553" s="128">
        <f t="shared" si="201"/>
        <v>0.31764705882352939</v>
      </c>
      <c r="AH553" s="128">
        <f t="shared" si="202"/>
        <v>0.32941176470588235</v>
      </c>
      <c r="AI553" s="129">
        <f t="shared" si="203"/>
        <v>0.6470588235294118</v>
      </c>
      <c r="AJ553" s="426">
        <f t="shared" si="204"/>
        <v>3000</v>
      </c>
      <c r="AK553" s="131">
        <f t="shared" si="205"/>
        <v>562.5</v>
      </c>
      <c r="AL553" s="477">
        <f>AK553/VLOOKUP(IF(I553&gt;0,I553,1),Preise!$A$3:$B$27,2,FALSE)</f>
        <v>156.24999999999997</v>
      </c>
    </row>
    <row r="554" spans="1:38" x14ac:dyDescent="0.2">
      <c r="A554" s="412">
        <v>2514</v>
      </c>
      <c r="B554" s="412">
        <v>2514</v>
      </c>
      <c r="C554" s="132" t="str">
        <f>VLOOKUP(B554,Gegenstände!$A$2:$B$2026,2,FALSE)</f>
        <v>Rubin-Prunkschild</v>
      </c>
      <c r="D554" s="133">
        <f>VLOOKUP(B554,Gegenstände!$A$2:$D$2026,4,FALSE)</f>
        <v>20</v>
      </c>
      <c r="E554" s="468">
        <v>30</v>
      </c>
      <c r="F554" s="3">
        <v>320</v>
      </c>
      <c r="G554" s="54"/>
      <c r="H554" s="469">
        <v>62</v>
      </c>
      <c r="I554" s="12">
        <f t="shared" si="196"/>
        <v>19</v>
      </c>
      <c r="K554" s="469">
        <v>21</v>
      </c>
      <c r="L554" s="3" t="s">
        <v>116</v>
      </c>
      <c r="M554" s="85">
        <v>6</v>
      </c>
      <c r="N554" s="83" t="s">
        <v>176</v>
      </c>
      <c r="O554" s="85">
        <v>6</v>
      </c>
      <c r="P554" s="83" t="s">
        <v>200</v>
      </c>
      <c r="Q554" s="85">
        <v>8</v>
      </c>
      <c r="R554" s="83" t="s">
        <v>201</v>
      </c>
      <c r="S554" s="418">
        <v>2</v>
      </c>
      <c r="T554" s="418" t="s">
        <v>44</v>
      </c>
      <c r="U554" s="471">
        <f>VLOOKUP(D554,Preise!$A$3:$C$28,3)</f>
        <v>14.231771646040078</v>
      </c>
      <c r="V554" s="523">
        <f>U554*$V$550</f>
        <v>17078.125975248095</v>
      </c>
      <c r="W554" s="131"/>
      <c r="X554" s="472">
        <f t="shared" si="197"/>
        <v>24100</v>
      </c>
      <c r="Y554" s="473">
        <f t="shared" si="198"/>
        <v>17100</v>
      </c>
      <c r="Z554" s="474">
        <f>IF(ISERROR(VLOOKUP(L554,Gegenstände!$B$2:$N$2026,13,FALSE)),0,VLOOKUP(L554,Gegenstände!$B$2:$N$2026,13,FALSE))</f>
        <v>270</v>
      </c>
      <c r="AA554" s="142">
        <f>IF(ISERROR(VLOOKUP(N554,Gegenstände!$B$2:$N$2026,13,FALSE)),0,VLOOKUP(N554,Gegenstände!$B$2:$N$2026,13,FALSE))</f>
        <v>80</v>
      </c>
      <c r="AB554" s="142">
        <f>IF(ISERROR(VLOOKUP(P554,Gegenstände!$B$2:$N$2026,13,FALSE)),0,VLOOKUP(P554,Gegenstände!$B$2:$N$2026,13,FALSE))</f>
        <v>200</v>
      </c>
      <c r="AC554" s="142">
        <f>IF(ISERROR(VLOOKUP(R554,Gegenstände!$B$2:$N$2026,13,FALSE)),0,VLOOKUP(R554,Gegenstände!$B$2:$N$2026,13,FALSE))</f>
        <v>500</v>
      </c>
      <c r="AD554" s="142">
        <f>IF(ISERROR(VLOOKUP(T554,Gegenstände!$B$2:$N$2026,13,FALSE)),0,VLOOKUP(T554,Gegenstände!$B$2:$N$2026,13,FALSE))</f>
        <v>3500</v>
      </c>
      <c r="AE554" s="475">
        <f t="shared" si="199"/>
        <v>5670</v>
      </c>
      <c r="AF554" s="476">
        <f t="shared" si="200"/>
        <v>5680</v>
      </c>
      <c r="AG554" s="128">
        <f t="shared" si="201"/>
        <v>0.33157894736842103</v>
      </c>
      <c r="AH554" s="128">
        <f t="shared" si="202"/>
        <v>0.33216374269005849</v>
      </c>
      <c r="AI554" s="129">
        <f t="shared" si="203"/>
        <v>0.66374269005847952</v>
      </c>
      <c r="AJ554" s="426">
        <f t="shared" si="204"/>
        <v>5750</v>
      </c>
      <c r="AK554" s="131">
        <f t="shared" si="205"/>
        <v>1078.125</v>
      </c>
      <c r="AL554" s="477">
        <f>AK554/VLOOKUP(IF(I554&gt;0,I554,1),Preise!$A$3:$B$27,2,FALSE)</f>
        <v>234.37499999999991</v>
      </c>
    </row>
    <row r="555" spans="1:38" x14ac:dyDescent="0.2">
      <c r="A555" s="412">
        <v>2515</v>
      </c>
      <c r="B555" s="412">
        <v>2515</v>
      </c>
      <c r="C555" s="132" t="str">
        <f>VLOOKUP(B555,Gegenstände!$A$2:$B$2026,2,FALSE)</f>
        <v>Obsidian-Prunkschild</v>
      </c>
      <c r="D555" s="133">
        <f>VLOOKUP(B555,Gegenstände!$A$2:$D$2026,4,FALSE)</f>
        <v>25</v>
      </c>
      <c r="E555" s="468">
        <v>30</v>
      </c>
      <c r="F555" s="3">
        <v>320</v>
      </c>
      <c r="G555" s="54"/>
      <c r="H555" s="469">
        <v>62</v>
      </c>
      <c r="I555" s="12">
        <f t="shared" si="196"/>
        <v>24</v>
      </c>
      <c r="K555" s="469">
        <v>32</v>
      </c>
      <c r="L555" s="3" t="s">
        <v>117</v>
      </c>
      <c r="M555" s="85">
        <v>15</v>
      </c>
      <c r="N555" s="83" t="s">
        <v>176</v>
      </c>
      <c r="O555" s="85">
        <v>10</v>
      </c>
      <c r="P555" s="83" t="s">
        <v>200</v>
      </c>
      <c r="Q555" s="85">
        <v>16</v>
      </c>
      <c r="R555" s="83" t="s">
        <v>201</v>
      </c>
      <c r="S555" s="418">
        <v>2</v>
      </c>
      <c r="T555" s="418" t="s">
        <v>36</v>
      </c>
      <c r="U555" s="471">
        <f>VLOOKUP(D555,Preise!$A$3:$C$28,3)</f>
        <v>28.625176191121408</v>
      </c>
      <c r="V555" s="523">
        <f>U555*$V$550</f>
        <v>34350.211429345691</v>
      </c>
      <c r="W555" s="131"/>
      <c r="X555" s="472">
        <f t="shared" si="197"/>
        <v>44400</v>
      </c>
      <c r="Y555" s="473">
        <f t="shared" si="198"/>
        <v>34400</v>
      </c>
      <c r="Z555" s="613">
        <f>IF(ISERROR(VLOOKUP(L555,Gegenstände!$B$2:$N$2026,13,FALSE)),0,VLOOKUP(L555,Gegenstände!$B$2:$N$2026,13,FALSE))</f>
        <v>360</v>
      </c>
      <c r="AA555" s="614">
        <f>IF(ISERROR(VLOOKUP(N555,Gegenstände!$B$2:$N$2026,13,FALSE)),0,VLOOKUP(N555,Gegenstände!$B$2:$N$2026,13,FALSE))</f>
        <v>80</v>
      </c>
      <c r="AB555" s="614">
        <f>IF(ISERROR(VLOOKUP(P555,Gegenstände!$B$2:$N$2026,13,FALSE)),0,VLOOKUP(P555,Gegenstände!$B$2:$N$2026,13,FALSE))</f>
        <v>200</v>
      </c>
      <c r="AC555" s="614">
        <f>IF(ISERROR(VLOOKUP(R555,Gegenstände!$B$2:$N$2026,13,FALSE)),0,VLOOKUP(R555,Gegenstände!$B$2:$N$2026,13,FALSE))</f>
        <v>500</v>
      </c>
      <c r="AD555" s="142">
        <f>IF(ISERROR(VLOOKUP(T555,Gegenstände!$B$2:$N$2026,13,FALSE)),0,VLOOKUP(T555,Gegenstände!$B$2:$N$2026,13,FALSE))</f>
        <v>5000</v>
      </c>
      <c r="AE555" s="475">
        <f t="shared" si="199"/>
        <v>11520</v>
      </c>
      <c r="AF555" s="476">
        <f t="shared" si="200"/>
        <v>11200</v>
      </c>
      <c r="AG555" s="128">
        <f t="shared" si="201"/>
        <v>0.33488372093023255</v>
      </c>
      <c r="AH555" s="128">
        <f t="shared" si="202"/>
        <v>0.32558139534883723</v>
      </c>
      <c r="AI555" s="129">
        <f t="shared" si="203"/>
        <v>0.66046511627906979</v>
      </c>
      <c r="AJ555" s="426">
        <f t="shared" si="204"/>
        <v>11680</v>
      </c>
      <c r="AK555" s="131">
        <f t="shared" si="205"/>
        <v>2190</v>
      </c>
      <c r="AL555" s="477">
        <f>AK555/VLOOKUP(IF(I555&gt;0,I555,1),Preise!$A$3:$B$27,2,FALSE)</f>
        <v>391.07142857142838</v>
      </c>
    </row>
    <row r="556" spans="1:38" s="3" customFormat="1" x14ac:dyDescent="0.2">
      <c r="A556" s="399"/>
      <c r="B556" s="399"/>
      <c r="C556" s="193"/>
      <c r="D556" s="194"/>
      <c r="E556" s="582"/>
      <c r="F556" s="197"/>
      <c r="G556" s="194"/>
      <c r="H556" s="583"/>
      <c r="I556" s="597"/>
      <c r="J556" s="585"/>
      <c r="K556" s="584"/>
      <c r="L556" s="192"/>
      <c r="M556" s="584"/>
      <c r="N556" s="192"/>
      <c r="O556" s="584"/>
      <c r="P556" s="192"/>
      <c r="Q556" s="584"/>
      <c r="R556" s="192"/>
      <c r="S556" s="586"/>
      <c r="T556" s="587"/>
      <c r="U556" s="598"/>
      <c r="V556" s="589">
        <v>2000</v>
      </c>
      <c r="W556" s="590"/>
      <c r="X556" s="599"/>
      <c r="Y556" s="600"/>
      <c r="Z556" s="400"/>
      <c r="AA556" s="193"/>
      <c r="AB556" s="193"/>
      <c r="AC556" s="193"/>
      <c r="AD556" s="601"/>
      <c r="AE556" s="602"/>
      <c r="AF556" s="603"/>
      <c r="AG556" s="604"/>
      <c r="AH556" s="604"/>
      <c r="AI556" s="594"/>
      <c r="AJ556" s="595"/>
      <c r="AK556" s="200"/>
      <c r="AL556" s="596"/>
    </row>
    <row r="557" spans="1:38" x14ac:dyDescent="0.2">
      <c r="A557" s="412">
        <v>2601</v>
      </c>
      <c r="B557" s="412">
        <v>2601</v>
      </c>
      <c r="C557" s="132" t="str">
        <f>VLOOKUP(B557,Gegenstände!$A$2:$B$2026,2,FALSE)</f>
        <v>Pyrit-Feuerstab</v>
      </c>
      <c r="D557" s="133">
        <f>VLOOKUP(B557,Gegenstände!$A$2:$D$2026,4,FALSE)</f>
        <v>4</v>
      </c>
      <c r="E557" s="468">
        <v>32</v>
      </c>
      <c r="F557" s="134">
        <v>480</v>
      </c>
      <c r="G557" s="54"/>
      <c r="H557" s="469">
        <v>63</v>
      </c>
      <c r="I557" s="12">
        <f t="shared" si="196"/>
        <v>3</v>
      </c>
      <c r="K557" s="6">
        <v>16</v>
      </c>
      <c r="L557" s="1" t="s">
        <v>139</v>
      </c>
      <c r="M557" s="87">
        <v>16</v>
      </c>
      <c r="N557" s="83" t="s">
        <v>202</v>
      </c>
      <c r="O557" s="85"/>
      <c r="S557" s="418">
        <v>5</v>
      </c>
      <c r="T557" s="418" t="s">
        <v>244</v>
      </c>
      <c r="U557" s="471">
        <f>VLOOKUP(D557,Preise!$A$3:$C$28,3)</f>
        <v>1.5208749999999995</v>
      </c>
      <c r="V557" s="523">
        <f>U557*$V$556</f>
        <v>3041.7499999999991</v>
      </c>
      <c r="W557" s="131"/>
      <c r="X557" s="472">
        <f t="shared" si="197"/>
        <v>5500</v>
      </c>
      <c r="Y557" s="473">
        <f t="shared" si="198"/>
        <v>3000</v>
      </c>
      <c r="Z557" s="474">
        <f>IF(ISERROR(VLOOKUP(L557,Gegenstände!$B$2:$N$2026,13,FALSE)),0,VLOOKUP(L557,Gegenstände!$B$2:$N$2026,13,FALSE))</f>
        <v>60</v>
      </c>
      <c r="AA557" s="142">
        <f>IF(ISERROR(VLOOKUP(N557,Gegenstände!$B$2:$N$2026,13,FALSE)),0,VLOOKUP(N557,Gegenstände!$B$2:$N$2026,13,FALSE))</f>
        <v>60</v>
      </c>
      <c r="AB557" s="142">
        <f>IF(ISERROR(VLOOKUP(P557,Gegenstände!$B$2:$N$2026,13,FALSE)),0,VLOOKUP(P557,Gegenstände!$B$2:$N$2026,13,FALSE))</f>
        <v>0</v>
      </c>
      <c r="AC557" s="142">
        <f>IF(ISERROR(VLOOKUP(R557,Gegenstände!$B$2:$N$2026,13,FALSE)),0,VLOOKUP(R557,Gegenstände!$B$2:$N$2026,13,FALSE))</f>
        <v>0</v>
      </c>
      <c r="AD557" s="142">
        <f>IF(ISERROR(VLOOKUP(T557,Gegenstände!$B$2:$N$2026,13,FALSE)),0,VLOOKUP(T557,Gegenstände!$B$2:$N$2026,13,FALSE))</f>
        <v>500</v>
      </c>
      <c r="AE557" s="475">
        <f t="shared" si="199"/>
        <v>960</v>
      </c>
      <c r="AF557" s="476">
        <f t="shared" si="200"/>
        <v>960</v>
      </c>
      <c r="AG557" s="128">
        <f t="shared" si="201"/>
        <v>0.32</v>
      </c>
      <c r="AH557" s="128">
        <f t="shared" si="202"/>
        <v>0.32</v>
      </c>
      <c r="AI557" s="129">
        <f>(AE557+AF557)/Y557</f>
        <v>0.64</v>
      </c>
      <c r="AJ557" s="426">
        <f>Y557-(AE557+AF557)</f>
        <v>1080</v>
      </c>
      <c r="AK557" s="131">
        <f>(AJ557*60)/F557</f>
        <v>135</v>
      </c>
      <c r="AL557" s="477">
        <f>AK557/VLOOKUP(IF(I557&gt;0,I557,1),Preise!$A$3:$B$27,2,FALSE)</f>
        <v>96.428571428571431</v>
      </c>
    </row>
    <row r="558" spans="1:38" x14ac:dyDescent="0.2">
      <c r="A558" s="412">
        <v>2602</v>
      </c>
      <c r="B558" s="412">
        <v>2602</v>
      </c>
      <c r="C558" s="132" t="str">
        <f>VLOOKUP(B558,Gegenstände!$A$2:$B$2026,2,FALSE)</f>
        <v>Jaspis-Feuerstab</v>
      </c>
      <c r="D558" s="133">
        <f>VLOOKUP(B558,Gegenstände!$A$2:$D$2026,4,FALSE)</f>
        <v>9</v>
      </c>
      <c r="E558" s="468">
        <v>32</v>
      </c>
      <c r="F558" s="134">
        <v>480</v>
      </c>
      <c r="G558" s="54"/>
      <c r="H558" s="469">
        <v>63</v>
      </c>
      <c r="I558" s="12">
        <f t="shared" si="196"/>
        <v>8</v>
      </c>
      <c r="K558" s="6">
        <v>17</v>
      </c>
      <c r="L558" s="1" t="s">
        <v>140</v>
      </c>
      <c r="M558" s="87">
        <v>34</v>
      </c>
      <c r="N558" s="83" t="s">
        <v>202</v>
      </c>
      <c r="O558" s="85"/>
      <c r="S558" s="418">
        <v>5</v>
      </c>
      <c r="T558" s="418" t="s">
        <v>245</v>
      </c>
      <c r="U558" s="471">
        <f>VLOOKUP(D558,Preise!$A$3:$C$28,3)</f>
        <v>3.0590228625390607</v>
      </c>
      <c r="V558" s="523">
        <f>U558*$V$556</f>
        <v>6118.0457250781219</v>
      </c>
      <c r="W558" s="131"/>
      <c r="X558" s="472">
        <f t="shared" si="197"/>
        <v>11100</v>
      </c>
      <c r="Y558" s="473">
        <f t="shared" si="198"/>
        <v>6100</v>
      </c>
      <c r="Z558" s="474">
        <f>IF(ISERROR(VLOOKUP(L558,Gegenstände!$B$2:$N$2026,13,FALSE)),0,VLOOKUP(L558,Gegenstände!$B$2:$N$2026,13,FALSE))</f>
        <v>120</v>
      </c>
      <c r="AA558" s="142">
        <f>IF(ISERROR(VLOOKUP(N558,Gegenstände!$B$2:$N$2026,13,FALSE)),0,VLOOKUP(N558,Gegenstände!$B$2:$N$2026,13,FALSE))</f>
        <v>60</v>
      </c>
      <c r="AB558" s="142">
        <f>IF(ISERROR(VLOOKUP(P558,Gegenstände!$B$2:$N$2026,13,FALSE)),0,VLOOKUP(P558,Gegenstände!$B$2:$N$2026,13,FALSE))</f>
        <v>0</v>
      </c>
      <c r="AC558" s="142">
        <f>IF(ISERROR(VLOOKUP(R558,Gegenstände!$B$2:$N$2026,13,FALSE)),0,VLOOKUP(R558,Gegenstände!$B$2:$N$2026,13,FALSE))</f>
        <v>0</v>
      </c>
      <c r="AD558" s="142">
        <f>IF(ISERROR(VLOOKUP(T558,Gegenstände!$B$2:$N$2026,13,FALSE)),0,VLOOKUP(T558,Gegenstände!$B$2:$N$2026,13,FALSE))</f>
        <v>1000</v>
      </c>
      <c r="AE558" s="475">
        <f t="shared" si="199"/>
        <v>2040</v>
      </c>
      <c r="AF558" s="476">
        <f t="shared" si="200"/>
        <v>2040</v>
      </c>
      <c r="AG558" s="128">
        <f t="shared" si="201"/>
        <v>0.33442622950819673</v>
      </c>
      <c r="AH558" s="128">
        <f t="shared" si="202"/>
        <v>0.33442622950819673</v>
      </c>
      <c r="AI558" s="129">
        <f>(AE558+AF558)/Y558</f>
        <v>0.66885245901639345</v>
      </c>
      <c r="AJ558" s="426">
        <f>Y558-(AE558+AF558)</f>
        <v>2020</v>
      </c>
      <c r="AK558" s="131">
        <f>(AJ558*60)/F558</f>
        <v>252.5</v>
      </c>
      <c r="AL558" s="477">
        <f>AK558/VLOOKUP(IF(I558&gt;0,I558,1),Preise!$A$3:$B$27,2,FALSE)</f>
        <v>105.20833333333334</v>
      </c>
    </row>
    <row r="559" spans="1:38" x14ac:dyDescent="0.2">
      <c r="A559" s="412">
        <v>2603</v>
      </c>
      <c r="B559" s="412">
        <v>2603</v>
      </c>
      <c r="C559" s="132" t="str">
        <f>VLOOKUP(B559,Gegenstände!$A$2:$B$2026,2,FALSE)</f>
        <v>Perlmutt-Feuerstab</v>
      </c>
      <c r="D559" s="133">
        <f>VLOOKUP(B559,Gegenstände!$A$2:$D$2026,4,FALSE)</f>
        <v>14</v>
      </c>
      <c r="E559" s="468">
        <v>32</v>
      </c>
      <c r="F559" s="134">
        <v>480</v>
      </c>
      <c r="G559" s="54"/>
      <c r="H559" s="469">
        <v>63</v>
      </c>
      <c r="I559" s="12">
        <f t="shared" si="196"/>
        <v>13</v>
      </c>
      <c r="K559" s="6">
        <v>22</v>
      </c>
      <c r="L559" s="1" t="s">
        <v>141</v>
      </c>
      <c r="M559" s="87">
        <v>5</v>
      </c>
      <c r="N559" s="83" t="s">
        <v>202</v>
      </c>
      <c r="O559" s="85">
        <v>19</v>
      </c>
      <c r="P559" s="84" t="s">
        <v>204</v>
      </c>
      <c r="Q559" s="87"/>
      <c r="R559" s="84"/>
      <c r="S559" s="418">
        <v>5</v>
      </c>
      <c r="T559" s="418" t="s">
        <v>246</v>
      </c>
      <c r="U559" s="471">
        <f>VLOOKUP(D559,Preise!$A$3:$C$28,3)</f>
        <v>6.1527876212947623</v>
      </c>
      <c r="V559" s="523">
        <f>U559*$V$556</f>
        <v>12305.575242589524</v>
      </c>
      <c r="W559" s="131"/>
      <c r="X559" s="472">
        <f t="shared" si="197"/>
        <v>22300</v>
      </c>
      <c r="Y559" s="473">
        <f t="shared" si="198"/>
        <v>12300</v>
      </c>
      <c r="Z559" s="474">
        <f>IF(ISERROR(VLOOKUP(L559,Gegenstände!$B$2:$N$2026,13,FALSE)),0,VLOOKUP(L559,Gegenstände!$B$2:$N$2026,13,FALSE))</f>
        <v>180</v>
      </c>
      <c r="AA559" s="142">
        <f>IF(ISERROR(VLOOKUP(N559,Gegenstände!$B$2:$N$2026,13,FALSE)),0,VLOOKUP(N559,Gegenstände!$B$2:$N$2026,13,FALSE))</f>
        <v>60</v>
      </c>
      <c r="AB559" s="142">
        <f>IF(ISERROR(VLOOKUP(P559,Gegenstände!$B$2:$N$2026,13,FALSE)),0,VLOOKUP(P559,Gegenstände!$B$2:$N$2026,13,FALSE))</f>
        <v>200</v>
      </c>
      <c r="AC559" s="142">
        <f>IF(ISERROR(VLOOKUP(R559,Gegenstände!$B$2:$N$2026,13,FALSE)),0,VLOOKUP(R559,Gegenstände!$B$2:$N$2026,13,FALSE))</f>
        <v>0</v>
      </c>
      <c r="AD559" s="142">
        <f>IF(ISERROR(VLOOKUP(T559,Gegenstände!$B$2:$N$2026,13,FALSE)),0,VLOOKUP(T559,Gegenstände!$B$2:$N$2026,13,FALSE))</f>
        <v>2000</v>
      </c>
      <c r="AE559" s="475">
        <f t="shared" si="199"/>
        <v>3960</v>
      </c>
      <c r="AF559" s="476">
        <f t="shared" si="200"/>
        <v>4100</v>
      </c>
      <c r="AG559" s="128">
        <f t="shared" si="201"/>
        <v>0.32195121951219513</v>
      </c>
      <c r="AH559" s="128">
        <f t="shared" si="202"/>
        <v>0.33333333333333331</v>
      </c>
      <c r="AI559" s="129">
        <f>(AE559+AF559)/Y559</f>
        <v>0.65528455284552845</v>
      </c>
      <c r="AJ559" s="426">
        <f>Y559-(AE559+AF559)</f>
        <v>4240</v>
      </c>
      <c r="AK559" s="131">
        <f>(AJ559*60)/F559</f>
        <v>530</v>
      </c>
      <c r="AL559" s="477">
        <f>AK559/VLOOKUP(IF(I559&gt;0,I559,1),Preise!$A$3:$B$27,2,FALSE)</f>
        <v>155.88235294117644</v>
      </c>
    </row>
    <row r="560" spans="1:38" x14ac:dyDescent="0.2">
      <c r="A560" s="412">
        <v>2604</v>
      </c>
      <c r="B560" s="412">
        <v>2604</v>
      </c>
      <c r="C560" s="132" t="str">
        <f>VLOOKUP(B560,Gegenstände!$A$2:$B$2026,2,FALSE)</f>
        <v>Jade-Feuerstab</v>
      </c>
      <c r="D560" s="133">
        <f>VLOOKUP(B560,Gegenstände!$A$2:$D$2026,4,FALSE)</f>
        <v>19</v>
      </c>
      <c r="E560" s="468">
        <v>32</v>
      </c>
      <c r="F560" s="134">
        <v>480</v>
      </c>
      <c r="G560" s="54"/>
      <c r="H560" s="469">
        <v>63</v>
      </c>
      <c r="I560" s="12">
        <f t="shared" si="196"/>
        <v>18</v>
      </c>
      <c r="K560" s="6">
        <v>30</v>
      </c>
      <c r="L560" s="1" t="s">
        <v>142</v>
      </c>
      <c r="M560" s="87">
        <v>8</v>
      </c>
      <c r="N560" s="83" t="s">
        <v>202</v>
      </c>
      <c r="O560" s="85">
        <v>38</v>
      </c>
      <c r="P560" s="84" t="s">
        <v>204</v>
      </c>
      <c r="Q560" s="87"/>
      <c r="R560" s="84"/>
      <c r="S560" s="418">
        <v>5</v>
      </c>
      <c r="T560" s="418" t="s">
        <v>247</v>
      </c>
      <c r="U560" s="471">
        <f>VLOOKUP(D560,Preise!$A$3:$C$28,3)</f>
        <v>12.375453605252243</v>
      </c>
      <c r="V560" s="523">
        <f>U560*$V$556</f>
        <v>24750.907210504487</v>
      </c>
      <c r="W560" s="131"/>
      <c r="X560" s="472">
        <f t="shared" si="197"/>
        <v>42300</v>
      </c>
      <c r="Y560" s="473">
        <f t="shared" si="198"/>
        <v>24800</v>
      </c>
      <c r="Z560" s="474">
        <f>IF(ISERROR(VLOOKUP(L560,Gegenstände!$B$2:$N$2026,13,FALSE)),0,VLOOKUP(L560,Gegenstände!$B$2:$N$2026,13,FALSE))</f>
        <v>270</v>
      </c>
      <c r="AA560" s="142">
        <f>IF(ISERROR(VLOOKUP(N560,Gegenstände!$B$2:$N$2026,13,FALSE)),0,VLOOKUP(N560,Gegenstände!$B$2:$N$2026,13,FALSE))</f>
        <v>60</v>
      </c>
      <c r="AB560" s="142">
        <f>IF(ISERROR(VLOOKUP(P560,Gegenstände!$B$2:$N$2026,13,FALSE)),0,VLOOKUP(P560,Gegenstände!$B$2:$N$2026,13,FALSE))</f>
        <v>200</v>
      </c>
      <c r="AC560" s="142">
        <f>IF(ISERROR(VLOOKUP(R560,Gegenstände!$B$2:$N$2026,13,FALSE)),0,VLOOKUP(R560,Gegenstände!$B$2:$N$2026,13,FALSE))</f>
        <v>0</v>
      </c>
      <c r="AD560" s="142">
        <f>IF(ISERROR(VLOOKUP(T560,Gegenstände!$B$2:$N$2026,13,FALSE)),0,VLOOKUP(T560,Gegenstände!$B$2:$N$2026,13,FALSE))</f>
        <v>3500</v>
      </c>
      <c r="AE560" s="475">
        <f t="shared" si="199"/>
        <v>8100</v>
      </c>
      <c r="AF560" s="476">
        <f t="shared" si="200"/>
        <v>8080</v>
      </c>
      <c r="AG560" s="128">
        <f t="shared" si="201"/>
        <v>0.32661290322580644</v>
      </c>
      <c r="AH560" s="128">
        <f t="shared" si="202"/>
        <v>0.32580645161290323</v>
      </c>
      <c r="AI560" s="129">
        <f>(AE560+AF560)/Y560</f>
        <v>0.65241935483870972</v>
      </c>
      <c r="AJ560" s="426">
        <f>Y560-(AE560+AF560)</f>
        <v>8620</v>
      </c>
      <c r="AK560" s="131">
        <f>(AJ560*60)/F560</f>
        <v>1077.5</v>
      </c>
      <c r="AL560" s="477">
        <f>AK560/VLOOKUP(IF(I560&gt;0,I560,1),Preise!$A$3:$B$27,2,FALSE)</f>
        <v>244.88636363636357</v>
      </c>
    </row>
    <row r="561" spans="1:38" x14ac:dyDescent="0.2">
      <c r="A561" s="412">
        <v>2605</v>
      </c>
      <c r="B561" s="412">
        <v>2605</v>
      </c>
      <c r="C561" s="132" t="str">
        <f>VLOOKUP(B561,Gegenstände!$A$2:$B$2026,2,FALSE)</f>
        <v>Onyx-Feuerstab</v>
      </c>
      <c r="D561" s="133">
        <f>VLOOKUP(B561,Gegenstände!$A$2:$D$2026,4,FALSE)</f>
        <v>25</v>
      </c>
      <c r="E561" s="468">
        <v>32</v>
      </c>
      <c r="F561" s="134">
        <v>480</v>
      </c>
      <c r="G561" s="54"/>
      <c r="H561" s="469">
        <v>63</v>
      </c>
      <c r="I561" s="12">
        <f t="shared" si="196"/>
        <v>24</v>
      </c>
      <c r="K561" s="6">
        <v>52</v>
      </c>
      <c r="L561" s="1" t="s">
        <v>143</v>
      </c>
      <c r="M561" s="87">
        <v>6</v>
      </c>
      <c r="N561" s="83" t="s">
        <v>202</v>
      </c>
      <c r="O561" s="85">
        <v>12</v>
      </c>
      <c r="P561" s="84" t="s">
        <v>204</v>
      </c>
      <c r="Q561" s="87">
        <v>32</v>
      </c>
      <c r="R561" s="84" t="s">
        <v>205</v>
      </c>
      <c r="S561" s="418">
        <v>5</v>
      </c>
      <c r="T561" s="418" t="s">
        <v>248</v>
      </c>
      <c r="U561" s="471">
        <f>VLOOKUP(D561,Preise!$A$3:$C$28,3)</f>
        <v>28.625176191121408</v>
      </c>
      <c r="V561" s="523">
        <f>U561*$V$556</f>
        <v>57250.352382242818</v>
      </c>
      <c r="W561" s="131"/>
      <c r="X561" s="472">
        <f t="shared" si="197"/>
        <v>82300</v>
      </c>
      <c r="Y561" s="473">
        <f t="shared" si="198"/>
        <v>57300</v>
      </c>
      <c r="Z561" s="613">
        <f>IF(ISERROR(VLOOKUP(L561,Gegenstände!$B$2:$N$2026,13,FALSE)),0,VLOOKUP(L561,Gegenstände!$B$2:$N$2026,13,FALSE))</f>
        <v>360</v>
      </c>
      <c r="AA561" s="614">
        <f>IF(ISERROR(VLOOKUP(N561,Gegenstände!$B$2:$N$2026,13,FALSE)),0,VLOOKUP(N561,Gegenstände!$B$2:$N$2026,13,FALSE))</f>
        <v>60</v>
      </c>
      <c r="AB561" s="614">
        <f>IF(ISERROR(VLOOKUP(P561,Gegenstände!$B$2:$N$2026,13,FALSE)),0,VLOOKUP(P561,Gegenstände!$B$2:$N$2026,13,FALSE))</f>
        <v>200</v>
      </c>
      <c r="AC561" s="614">
        <f>IF(ISERROR(VLOOKUP(R561,Gegenstände!$B$2:$N$2026,13,FALSE)),0,VLOOKUP(R561,Gegenstände!$B$2:$N$2026,13,FALSE))</f>
        <v>500</v>
      </c>
      <c r="AD561" s="142">
        <f>IF(ISERROR(VLOOKUP(T561,Gegenstände!$B$2:$N$2026,13,FALSE)),0,VLOOKUP(T561,Gegenstände!$B$2:$N$2026,13,FALSE))</f>
        <v>5000</v>
      </c>
      <c r="AE561" s="475">
        <f t="shared" si="199"/>
        <v>18720</v>
      </c>
      <c r="AF561" s="476">
        <f t="shared" si="200"/>
        <v>18760</v>
      </c>
      <c r="AG561" s="128">
        <f t="shared" si="201"/>
        <v>0.32670157068062827</v>
      </c>
      <c r="AH561" s="128">
        <f t="shared" si="202"/>
        <v>0.3273996509598604</v>
      </c>
      <c r="AI561" s="129">
        <f>(AE561+AF561)/Y561</f>
        <v>0.65410122164048867</v>
      </c>
      <c r="AJ561" s="426">
        <f>Y561-(AE561+AF561)</f>
        <v>19820</v>
      </c>
      <c r="AK561" s="131">
        <f>(AJ561*60)/F561</f>
        <v>2477.5</v>
      </c>
      <c r="AL561" s="477">
        <f>AK561/VLOOKUP(IF(I561&gt;0,I561,1),Preise!$A$3:$B$27,2,FALSE)</f>
        <v>442.41071428571411</v>
      </c>
    </row>
    <row r="562" spans="1:38" s="3" customFormat="1" x14ac:dyDescent="0.2">
      <c r="A562" s="399"/>
      <c r="B562" s="399"/>
      <c r="C562" s="193"/>
      <c r="D562" s="194"/>
      <c r="E562" s="582"/>
      <c r="F562" s="197"/>
      <c r="G562" s="194"/>
      <c r="H562" s="583"/>
      <c r="I562" s="597"/>
      <c r="J562" s="585"/>
      <c r="K562" s="584"/>
      <c r="L562" s="192"/>
      <c r="M562" s="584"/>
      <c r="N562" s="192"/>
      <c r="O562" s="584"/>
      <c r="P562" s="192"/>
      <c r="Q562" s="584"/>
      <c r="R562" s="192"/>
      <c r="S562" s="586"/>
      <c r="T562" s="587"/>
      <c r="U562" s="598"/>
      <c r="V562" s="589">
        <v>2000</v>
      </c>
      <c r="W562" s="590"/>
      <c r="X562" s="599"/>
      <c r="Y562" s="600"/>
      <c r="Z562" s="400"/>
      <c r="AA562" s="193"/>
      <c r="AB562" s="193"/>
      <c r="AC562" s="193"/>
      <c r="AD562" s="601"/>
      <c r="AE562" s="602"/>
      <c r="AF562" s="603"/>
      <c r="AG562" s="604"/>
      <c r="AH562" s="604"/>
      <c r="AI562" s="594"/>
      <c r="AJ562" s="595"/>
      <c r="AK562" s="200"/>
      <c r="AL562" s="596"/>
    </row>
    <row r="563" spans="1:38" x14ac:dyDescent="0.2">
      <c r="A563" s="412">
        <v>2611</v>
      </c>
      <c r="B563" s="412">
        <v>2611</v>
      </c>
      <c r="C563" s="132" t="str">
        <f>VLOOKUP(B563,Gegenstände!$A$2:$B$2026,2,FALSE)</f>
        <v>Pyrit-Wasserstab</v>
      </c>
      <c r="D563" s="133">
        <f>VLOOKUP(B563,Gegenstände!$A$2:$D$2026,4,FALSE)</f>
        <v>4</v>
      </c>
      <c r="E563" s="468">
        <v>32</v>
      </c>
      <c r="F563" s="134">
        <v>480</v>
      </c>
      <c r="G563" s="54"/>
      <c r="H563" s="469">
        <v>63</v>
      </c>
      <c r="I563" s="12">
        <f>D563-1</f>
        <v>3</v>
      </c>
      <c r="K563" s="6">
        <v>16</v>
      </c>
      <c r="L563" s="1" t="s">
        <v>139</v>
      </c>
      <c r="M563" s="87">
        <v>16</v>
      </c>
      <c r="N563" s="83" t="s">
        <v>202</v>
      </c>
      <c r="O563" s="85"/>
      <c r="S563" s="418">
        <v>5</v>
      </c>
      <c r="T563" s="418" t="s">
        <v>244</v>
      </c>
      <c r="U563" s="471">
        <f>VLOOKUP(D563,Preise!$A$3:$C$28,3)</f>
        <v>1.5208749999999995</v>
      </c>
      <c r="V563" s="523">
        <f>U563*$V$556</f>
        <v>3041.7499999999991</v>
      </c>
      <c r="W563" s="131"/>
      <c r="X563" s="472">
        <f t="shared" si="197"/>
        <v>5500</v>
      </c>
      <c r="Y563" s="473">
        <f t="shared" si="198"/>
        <v>3000</v>
      </c>
      <c r="Z563" s="474">
        <f>IF(ISERROR(VLOOKUP(L563,Gegenstände!$B$2:$N$2026,13,FALSE)),0,VLOOKUP(L563,Gegenstände!$B$2:$N$2026,13,FALSE))</f>
        <v>60</v>
      </c>
      <c r="AA563" s="142">
        <f>IF(ISERROR(VLOOKUP(N563,Gegenstände!$B$2:$N$2026,13,FALSE)),0,VLOOKUP(N563,Gegenstände!$B$2:$N$2026,13,FALSE))</f>
        <v>60</v>
      </c>
      <c r="AB563" s="142">
        <f>IF(ISERROR(VLOOKUP(P563,Gegenstände!$B$2:$N$2026,13,FALSE)),0,VLOOKUP(P563,Gegenstände!$B$2:$N$2026,13,FALSE))</f>
        <v>0</v>
      </c>
      <c r="AC563" s="142">
        <f>IF(ISERROR(VLOOKUP(R563,Gegenstände!$B$2:$N$2026,13,FALSE)),0,VLOOKUP(R563,Gegenstände!$B$2:$N$2026,13,FALSE))</f>
        <v>0</v>
      </c>
      <c r="AD563" s="142">
        <f>IF(ISERROR(VLOOKUP(T563,Gegenstände!$B$2:$N$2026,13,FALSE)),0,VLOOKUP(T563,Gegenstände!$B$2:$N$2026,13,FALSE))</f>
        <v>500</v>
      </c>
      <c r="AE563" s="475">
        <f t="shared" si="199"/>
        <v>960</v>
      </c>
      <c r="AF563" s="476">
        <f t="shared" si="200"/>
        <v>960</v>
      </c>
      <c r="AG563" s="128">
        <f t="shared" si="201"/>
        <v>0.32</v>
      </c>
      <c r="AH563" s="128">
        <f t="shared" si="202"/>
        <v>0.32</v>
      </c>
      <c r="AI563" s="129">
        <f>(AE563+AF563)/Y563</f>
        <v>0.64</v>
      </c>
      <c r="AJ563" s="426">
        <f>Y563-(AE563+AF563)</f>
        <v>1080</v>
      </c>
      <c r="AK563" s="131">
        <f>(AJ563*60)/F563</f>
        <v>135</v>
      </c>
      <c r="AL563" s="477">
        <f>AK563/VLOOKUP(IF(I563&gt;0,I563,1),Preise!$A$3:$B$27,2,FALSE)</f>
        <v>96.428571428571431</v>
      </c>
    </row>
    <row r="564" spans="1:38" x14ac:dyDescent="0.2">
      <c r="A564" s="412">
        <v>2612</v>
      </c>
      <c r="B564" s="412">
        <v>2612</v>
      </c>
      <c r="C564" s="132" t="str">
        <f>VLOOKUP(B564,Gegenstände!$A$2:$B$2026,2,FALSE)</f>
        <v>Jaspis-Wasserstab</v>
      </c>
      <c r="D564" s="133">
        <f>VLOOKUP(B564,Gegenstände!$A$2:$D$2026,4,FALSE)</f>
        <v>9</v>
      </c>
      <c r="E564" s="468">
        <v>32</v>
      </c>
      <c r="F564" s="134">
        <v>480</v>
      </c>
      <c r="G564" s="54"/>
      <c r="H564" s="469">
        <v>63</v>
      </c>
      <c r="I564" s="12">
        <f>D564-1</f>
        <v>8</v>
      </c>
      <c r="K564" s="6">
        <v>17</v>
      </c>
      <c r="L564" s="1" t="s">
        <v>140</v>
      </c>
      <c r="M564" s="87">
        <v>34</v>
      </c>
      <c r="N564" s="83" t="s">
        <v>202</v>
      </c>
      <c r="O564" s="85"/>
      <c r="S564" s="418">
        <v>5</v>
      </c>
      <c r="T564" s="418" t="s">
        <v>245</v>
      </c>
      <c r="U564" s="471">
        <f>VLOOKUP(D564,Preise!$A$3:$C$28,3)</f>
        <v>3.0590228625390607</v>
      </c>
      <c r="V564" s="523">
        <f>U564*$V$556</f>
        <v>6118.0457250781219</v>
      </c>
      <c r="W564" s="131"/>
      <c r="X564" s="472">
        <f t="shared" si="197"/>
        <v>11100</v>
      </c>
      <c r="Y564" s="473">
        <f t="shared" si="198"/>
        <v>6100</v>
      </c>
      <c r="Z564" s="474">
        <f>IF(ISERROR(VLOOKUP(L564,Gegenstände!$B$2:$N$2026,13,FALSE)),0,VLOOKUP(L564,Gegenstände!$B$2:$N$2026,13,FALSE))</f>
        <v>120</v>
      </c>
      <c r="AA564" s="142">
        <f>IF(ISERROR(VLOOKUP(N564,Gegenstände!$B$2:$N$2026,13,FALSE)),0,VLOOKUP(N564,Gegenstände!$B$2:$N$2026,13,FALSE))</f>
        <v>60</v>
      </c>
      <c r="AB564" s="142">
        <f>IF(ISERROR(VLOOKUP(P564,Gegenstände!$B$2:$N$2026,13,FALSE)),0,VLOOKUP(P564,Gegenstände!$B$2:$N$2026,13,FALSE))</f>
        <v>0</v>
      </c>
      <c r="AC564" s="142">
        <f>IF(ISERROR(VLOOKUP(R564,Gegenstände!$B$2:$N$2026,13,FALSE)),0,VLOOKUP(R564,Gegenstände!$B$2:$N$2026,13,FALSE))</f>
        <v>0</v>
      </c>
      <c r="AD564" s="142">
        <f>IF(ISERROR(VLOOKUP(T564,Gegenstände!$B$2:$N$2026,13,FALSE)),0,VLOOKUP(T564,Gegenstände!$B$2:$N$2026,13,FALSE))</f>
        <v>1000</v>
      </c>
      <c r="AE564" s="475">
        <f t="shared" si="199"/>
        <v>2040</v>
      </c>
      <c r="AF564" s="476">
        <f t="shared" si="200"/>
        <v>2040</v>
      </c>
      <c r="AG564" s="128">
        <f t="shared" si="201"/>
        <v>0.33442622950819673</v>
      </c>
      <c r="AH564" s="128">
        <f t="shared" si="202"/>
        <v>0.33442622950819673</v>
      </c>
      <c r="AI564" s="129">
        <f>(AE564+AF564)/Y564</f>
        <v>0.66885245901639345</v>
      </c>
      <c r="AJ564" s="426">
        <f>Y564-(AE564+AF564)</f>
        <v>2020</v>
      </c>
      <c r="AK564" s="131">
        <f>(AJ564*60)/F564</f>
        <v>252.5</v>
      </c>
      <c r="AL564" s="477">
        <f>AK564/VLOOKUP(IF(I564&gt;0,I564,1),Preise!$A$3:$B$27,2,FALSE)</f>
        <v>105.20833333333334</v>
      </c>
    </row>
    <row r="565" spans="1:38" x14ac:dyDescent="0.2">
      <c r="A565" s="412">
        <v>2613</v>
      </c>
      <c r="B565" s="412">
        <v>2613</v>
      </c>
      <c r="C565" s="132" t="str">
        <f>VLOOKUP(B565,Gegenstände!$A$2:$B$2026,2,FALSE)</f>
        <v>Perlmutt-Wasserstab</v>
      </c>
      <c r="D565" s="133">
        <f>VLOOKUP(B565,Gegenstände!$A$2:$D$2026,4,FALSE)</f>
        <v>14</v>
      </c>
      <c r="E565" s="468">
        <v>32</v>
      </c>
      <c r="F565" s="134">
        <v>480</v>
      </c>
      <c r="G565" s="54"/>
      <c r="H565" s="469">
        <v>63</v>
      </c>
      <c r="I565" s="12">
        <f>D565-1</f>
        <v>13</v>
      </c>
      <c r="K565" s="6">
        <v>22</v>
      </c>
      <c r="L565" s="1" t="s">
        <v>141</v>
      </c>
      <c r="M565" s="87">
        <v>5</v>
      </c>
      <c r="N565" s="83" t="s">
        <v>202</v>
      </c>
      <c r="O565" s="85">
        <v>19</v>
      </c>
      <c r="P565" s="84" t="s">
        <v>204</v>
      </c>
      <c r="Q565" s="87"/>
      <c r="R565" s="84"/>
      <c r="S565" s="418">
        <v>5</v>
      </c>
      <c r="T565" s="418" t="s">
        <v>246</v>
      </c>
      <c r="U565" s="471">
        <f>VLOOKUP(D565,Preise!$A$3:$C$28,3)</f>
        <v>6.1527876212947623</v>
      </c>
      <c r="V565" s="523">
        <f>U565*$V$556</f>
        <v>12305.575242589524</v>
      </c>
      <c r="W565" s="131"/>
      <c r="X565" s="472">
        <f t="shared" si="197"/>
        <v>22300</v>
      </c>
      <c r="Y565" s="473">
        <f t="shared" si="198"/>
        <v>12300</v>
      </c>
      <c r="Z565" s="474">
        <f>IF(ISERROR(VLOOKUP(L565,Gegenstände!$B$2:$N$2026,13,FALSE)),0,VLOOKUP(L565,Gegenstände!$B$2:$N$2026,13,FALSE))</f>
        <v>180</v>
      </c>
      <c r="AA565" s="142">
        <f>IF(ISERROR(VLOOKUP(N565,Gegenstände!$B$2:$N$2026,13,FALSE)),0,VLOOKUP(N565,Gegenstände!$B$2:$N$2026,13,FALSE))</f>
        <v>60</v>
      </c>
      <c r="AB565" s="142">
        <f>IF(ISERROR(VLOOKUP(P565,Gegenstände!$B$2:$N$2026,13,FALSE)),0,VLOOKUP(P565,Gegenstände!$B$2:$N$2026,13,FALSE))</f>
        <v>200</v>
      </c>
      <c r="AC565" s="142">
        <f>IF(ISERROR(VLOOKUP(R565,Gegenstände!$B$2:$N$2026,13,FALSE)),0,VLOOKUP(R565,Gegenstände!$B$2:$N$2026,13,FALSE))</f>
        <v>0</v>
      </c>
      <c r="AD565" s="142">
        <f>IF(ISERROR(VLOOKUP(T565,Gegenstände!$B$2:$N$2026,13,FALSE)),0,VLOOKUP(T565,Gegenstände!$B$2:$N$2026,13,FALSE))</f>
        <v>2000</v>
      </c>
      <c r="AE565" s="475">
        <f t="shared" si="199"/>
        <v>3960</v>
      </c>
      <c r="AF565" s="476">
        <f t="shared" si="200"/>
        <v>4100</v>
      </c>
      <c r="AG565" s="128">
        <f t="shared" si="201"/>
        <v>0.32195121951219513</v>
      </c>
      <c r="AH565" s="128">
        <f t="shared" si="202"/>
        <v>0.33333333333333331</v>
      </c>
      <c r="AI565" s="129">
        <f>(AE565+AF565)/Y565</f>
        <v>0.65528455284552845</v>
      </c>
      <c r="AJ565" s="426">
        <f>Y565-(AE565+AF565)</f>
        <v>4240</v>
      </c>
      <c r="AK565" s="131">
        <f>(AJ565*60)/F565</f>
        <v>530</v>
      </c>
      <c r="AL565" s="477">
        <f>AK565/VLOOKUP(IF(I565&gt;0,I565,1),Preise!$A$3:$B$27,2,FALSE)</f>
        <v>155.88235294117644</v>
      </c>
    </row>
    <row r="566" spans="1:38" x14ac:dyDescent="0.2">
      <c r="A566" s="412">
        <v>2614</v>
      </c>
      <c r="B566" s="412">
        <v>2614</v>
      </c>
      <c r="C566" s="132" t="str">
        <f>VLOOKUP(B566,Gegenstände!$A$2:$B$2026,2,FALSE)</f>
        <v>Jade-Wasserstab</v>
      </c>
      <c r="D566" s="133">
        <f>VLOOKUP(B566,Gegenstände!$A$2:$D$2026,4,FALSE)</f>
        <v>19</v>
      </c>
      <c r="E566" s="468">
        <v>32</v>
      </c>
      <c r="F566" s="134">
        <v>480</v>
      </c>
      <c r="G566" s="54"/>
      <c r="H566" s="469">
        <v>63</v>
      </c>
      <c r="I566" s="12">
        <f>D566-1</f>
        <v>18</v>
      </c>
      <c r="K566" s="6">
        <v>30</v>
      </c>
      <c r="L566" s="1" t="s">
        <v>142</v>
      </c>
      <c r="M566" s="87">
        <v>8</v>
      </c>
      <c r="N566" s="83" t="s">
        <v>202</v>
      </c>
      <c r="O566" s="85">
        <v>38</v>
      </c>
      <c r="P566" s="84" t="s">
        <v>204</v>
      </c>
      <c r="Q566" s="87"/>
      <c r="R566" s="84"/>
      <c r="S566" s="418">
        <v>5</v>
      </c>
      <c r="T566" s="418" t="s">
        <v>247</v>
      </c>
      <c r="U566" s="471">
        <f>VLOOKUP(D566,Preise!$A$3:$C$28,3)</f>
        <v>12.375453605252243</v>
      </c>
      <c r="V566" s="523">
        <f>U566*$V$556</f>
        <v>24750.907210504487</v>
      </c>
      <c r="W566" s="131"/>
      <c r="X566" s="472">
        <f t="shared" si="197"/>
        <v>42300</v>
      </c>
      <c r="Y566" s="473">
        <f t="shared" si="198"/>
        <v>24800</v>
      </c>
      <c r="Z566" s="474">
        <f>IF(ISERROR(VLOOKUP(L566,Gegenstände!$B$2:$N$2026,13,FALSE)),0,VLOOKUP(L566,Gegenstände!$B$2:$N$2026,13,FALSE))</f>
        <v>270</v>
      </c>
      <c r="AA566" s="142">
        <f>IF(ISERROR(VLOOKUP(N566,Gegenstände!$B$2:$N$2026,13,FALSE)),0,VLOOKUP(N566,Gegenstände!$B$2:$N$2026,13,FALSE))</f>
        <v>60</v>
      </c>
      <c r="AB566" s="142">
        <f>IF(ISERROR(VLOOKUP(P566,Gegenstände!$B$2:$N$2026,13,FALSE)),0,VLOOKUP(P566,Gegenstände!$B$2:$N$2026,13,FALSE))</f>
        <v>200</v>
      </c>
      <c r="AC566" s="142">
        <f>IF(ISERROR(VLOOKUP(R566,Gegenstände!$B$2:$N$2026,13,FALSE)),0,VLOOKUP(R566,Gegenstände!$B$2:$N$2026,13,FALSE))</f>
        <v>0</v>
      </c>
      <c r="AD566" s="142">
        <f>IF(ISERROR(VLOOKUP(T566,Gegenstände!$B$2:$N$2026,13,FALSE)),0,VLOOKUP(T566,Gegenstände!$B$2:$N$2026,13,FALSE))</f>
        <v>3500</v>
      </c>
      <c r="AE566" s="475">
        <f t="shared" si="199"/>
        <v>8100</v>
      </c>
      <c r="AF566" s="476">
        <f t="shared" si="200"/>
        <v>8080</v>
      </c>
      <c r="AG566" s="128">
        <f t="shared" si="201"/>
        <v>0.32661290322580644</v>
      </c>
      <c r="AH566" s="128">
        <f t="shared" si="202"/>
        <v>0.32580645161290323</v>
      </c>
      <c r="AI566" s="129">
        <f>(AE566+AF566)/Y566</f>
        <v>0.65241935483870972</v>
      </c>
      <c r="AJ566" s="426">
        <f>Y566-(AE566+AF566)</f>
        <v>8620</v>
      </c>
      <c r="AK566" s="131">
        <f>(AJ566*60)/F566</f>
        <v>1077.5</v>
      </c>
      <c r="AL566" s="477">
        <f>AK566/VLOOKUP(IF(I566&gt;0,I566,1),Preise!$A$3:$B$27,2,FALSE)</f>
        <v>244.88636363636357</v>
      </c>
    </row>
    <row r="567" spans="1:38" x14ac:dyDescent="0.2">
      <c r="A567" s="412">
        <v>2615</v>
      </c>
      <c r="B567" s="412">
        <v>2615</v>
      </c>
      <c r="C567" s="132" t="str">
        <f>VLOOKUP(B567,Gegenstände!$A$2:$B$2026,2,FALSE)</f>
        <v>Onyx-Wasserstab</v>
      </c>
      <c r="D567" s="133">
        <f>VLOOKUP(B567,Gegenstände!$A$2:$D$2026,4,FALSE)</f>
        <v>25</v>
      </c>
      <c r="E567" s="468">
        <v>32</v>
      </c>
      <c r="F567" s="134">
        <v>480</v>
      </c>
      <c r="G567" s="54"/>
      <c r="H567" s="469">
        <v>63</v>
      </c>
      <c r="I567" s="12">
        <f>D567-1</f>
        <v>24</v>
      </c>
      <c r="K567" s="6">
        <v>52</v>
      </c>
      <c r="L567" s="1" t="s">
        <v>143</v>
      </c>
      <c r="M567" s="87">
        <v>6</v>
      </c>
      <c r="N567" s="83" t="s">
        <v>202</v>
      </c>
      <c r="O567" s="85">
        <v>12</v>
      </c>
      <c r="P567" s="84" t="s">
        <v>204</v>
      </c>
      <c r="Q567" s="87">
        <v>32</v>
      </c>
      <c r="R567" s="84" t="s">
        <v>205</v>
      </c>
      <c r="S567" s="418">
        <v>5</v>
      </c>
      <c r="T567" s="418" t="s">
        <v>248</v>
      </c>
      <c r="U567" s="471">
        <f>VLOOKUP(D567,Preise!$A$3:$C$28,3)</f>
        <v>28.625176191121408</v>
      </c>
      <c r="V567" s="523">
        <f>U567*$V$556</f>
        <v>57250.352382242818</v>
      </c>
      <c r="W567" s="131"/>
      <c r="X567" s="472">
        <f t="shared" si="197"/>
        <v>82300</v>
      </c>
      <c r="Y567" s="473">
        <f t="shared" si="198"/>
        <v>57300</v>
      </c>
      <c r="Z567" s="474">
        <f>IF(ISERROR(VLOOKUP(L567,Gegenstände!$B$2:$N$2026,13,FALSE)),0,VLOOKUP(L567,Gegenstände!$B$2:$N$2026,13,FALSE))</f>
        <v>360</v>
      </c>
      <c r="AA567" s="614">
        <f>IF(ISERROR(VLOOKUP(N567,Gegenstände!$B$2:$N$2026,13,FALSE)),0,VLOOKUP(N567,Gegenstände!$B$2:$N$2026,13,FALSE))</f>
        <v>60</v>
      </c>
      <c r="AB567" s="614">
        <f>IF(ISERROR(VLOOKUP(P567,Gegenstände!$B$2:$N$2026,13,FALSE)),0,VLOOKUP(P567,Gegenstände!$B$2:$N$2026,13,FALSE))</f>
        <v>200</v>
      </c>
      <c r="AC567" s="614">
        <f>IF(ISERROR(VLOOKUP(R567,Gegenstände!$B$2:$N$2026,13,FALSE)),0,VLOOKUP(R567,Gegenstände!$B$2:$N$2026,13,FALSE))</f>
        <v>500</v>
      </c>
      <c r="AD567" s="142">
        <f>IF(ISERROR(VLOOKUP(T567,Gegenstände!$B$2:$N$2026,13,FALSE)),0,VLOOKUP(T567,Gegenstände!$B$2:$N$2026,13,FALSE))</f>
        <v>5000</v>
      </c>
      <c r="AE567" s="475">
        <f t="shared" si="199"/>
        <v>18720</v>
      </c>
      <c r="AF567" s="476">
        <f t="shared" si="200"/>
        <v>18760</v>
      </c>
      <c r="AG567" s="128">
        <f t="shared" si="201"/>
        <v>0.32670157068062827</v>
      </c>
      <c r="AH567" s="128">
        <f t="shared" si="202"/>
        <v>0.3273996509598604</v>
      </c>
      <c r="AI567" s="129">
        <f>(AE567+AF567)/Y567</f>
        <v>0.65410122164048867</v>
      </c>
      <c r="AJ567" s="426">
        <f>Y567-(AE567+AF567)</f>
        <v>19820</v>
      </c>
      <c r="AK567" s="131">
        <f>(AJ567*60)/F567</f>
        <v>2477.5</v>
      </c>
      <c r="AL567" s="477">
        <f>AK567/VLOOKUP(IF(I567&gt;0,I567,1),Preise!$A$3:$B$27,2,FALSE)</f>
        <v>442.41071428571411</v>
      </c>
    </row>
    <row r="568" spans="1:38" s="3" customFormat="1" x14ac:dyDescent="0.2">
      <c r="A568" s="399"/>
      <c r="B568" s="399"/>
      <c r="C568" s="193"/>
      <c r="D568" s="194"/>
      <c r="E568" s="582"/>
      <c r="F568" s="197"/>
      <c r="G568" s="194"/>
      <c r="H568" s="583"/>
      <c r="I568" s="597"/>
      <c r="J568" s="585"/>
      <c r="K568" s="584"/>
      <c r="L568" s="192"/>
      <c r="M568" s="584"/>
      <c r="N568" s="192"/>
      <c r="O568" s="584"/>
      <c r="P568" s="192"/>
      <c r="Q568" s="584"/>
      <c r="R568" s="192"/>
      <c r="S568" s="586"/>
      <c r="T568" s="587"/>
      <c r="U568" s="598"/>
      <c r="V568" s="589">
        <v>2000</v>
      </c>
      <c r="W568" s="590"/>
      <c r="X568" s="599"/>
      <c r="Y568" s="600"/>
      <c r="Z568" s="400"/>
      <c r="AA568" s="193"/>
      <c r="AB568" s="193"/>
      <c r="AC568" s="193"/>
      <c r="AD568" s="601"/>
      <c r="AE568" s="602"/>
      <c r="AF568" s="603"/>
      <c r="AG568" s="604"/>
      <c r="AH568" s="604"/>
      <c r="AI568" s="594"/>
      <c r="AJ568" s="595"/>
      <c r="AK568" s="200"/>
      <c r="AL568" s="596"/>
    </row>
    <row r="569" spans="1:38" x14ac:dyDescent="0.2">
      <c r="A569" s="412">
        <v>2621</v>
      </c>
      <c r="B569" s="412">
        <v>2621</v>
      </c>
      <c r="C569" s="132" t="str">
        <f>VLOOKUP(B569,Gegenstände!$A$2:$B$2026,2,FALSE)</f>
        <v>Pyrit-Erdenstab</v>
      </c>
      <c r="D569" s="133">
        <f>VLOOKUP(B569,Gegenstände!$A$2:$D$2026,4,FALSE)</f>
        <v>4</v>
      </c>
      <c r="E569" s="468">
        <v>32</v>
      </c>
      <c r="F569" s="134">
        <v>480</v>
      </c>
      <c r="G569" s="54"/>
      <c r="H569" s="469">
        <v>63</v>
      </c>
      <c r="I569" s="12">
        <f>D569-1</f>
        <v>3</v>
      </c>
      <c r="K569" s="6">
        <v>16</v>
      </c>
      <c r="L569" s="1" t="s">
        <v>139</v>
      </c>
      <c r="M569" s="87">
        <v>16</v>
      </c>
      <c r="N569" s="83" t="s">
        <v>202</v>
      </c>
      <c r="O569" s="85"/>
      <c r="S569" s="418">
        <v>5</v>
      </c>
      <c r="T569" s="418" t="s">
        <v>244</v>
      </c>
      <c r="U569" s="471">
        <f>VLOOKUP(D569,Preise!$A$3:$C$28,3)</f>
        <v>1.5208749999999995</v>
      </c>
      <c r="V569" s="523">
        <f>U569*$V$556</f>
        <v>3041.7499999999991</v>
      </c>
      <c r="W569" s="131"/>
      <c r="X569" s="472">
        <f t="shared" si="197"/>
        <v>5500</v>
      </c>
      <c r="Y569" s="473">
        <f t="shared" si="198"/>
        <v>3000</v>
      </c>
      <c r="Z569" s="474">
        <f>IF(ISERROR(VLOOKUP(L569,Gegenstände!$B$2:$N$2026,13,FALSE)),0,VLOOKUP(L569,Gegenstände!$B$2:$N$2026,13,FALSE))</f>
        <v>60</v>
      </c>
      <c r="AA569" s="142">
        <f>IF(ISERROR(VLOOKUP(N569,Gegenstände!$B$2:$N$2026,13,FALSE)),0,VLOOKUP(N569,Gegenstände!$B$2:$N$2026,13,FALSE))</f>
        <v>60</v>
      </c>
      <c r="AB569" s="142">
        <f>IF(ISERROR(VLOOKUP(P569,Gegenstände!$B$2:$N$2026,13,FALSE)),0,VLOOKUP(P569,Gegenstände!$B$2:$N$2026,13,FALSE))</f>
        <v>0</v>
      </c>
      <c r="AC569" s="142">
        <f>IF(ISERROR(VLOOKUP(R569,Gegenstände!$B$2:$N$2026,13,FALSE)),0,VLOOKUP(R569,Gegenstände!$B$2:$N$2026,13,FALSE))</f>
        <v>0</v>
      </c>
      <c r="AD569" s="142">
        <f>IF(ISERROR(VLOOKUP(T569,Gegenstände!$B$2:$N$2026,13,FALSE)),0,VLOOKUP(T569,Gegenstände!$B$2:$N$2026,13,FALSE))</f>
        <v>500</v>
      </c>
      <c r="AE569" s="475">
        <f t="shared" si="199"/>
        <v>960</v>
      </c>
      <c r="AF569" s="476">
        <f t="shared" si="200"/>
        <v>960</v>
      </c>
      <c r="AG569" s="128">
        <f t="shared" si="201"/>
        <v>0.32</v>
      </c>
      <c r="AH569" s="128">
        <f t="shared" si="202"/>
        <v>0.32</v>
      </c>
      <c r="AI569" s="129">
        <f>(AE569+AF569)/Y569</f>
        <v>0.64</v>
      </c>
      <c r="AJ569" s="426">
        <f>Y569-(AE569+AF569)</f>
        <v>1080</v>
      </c>
      <c r="AK569" s="131">
        <f>(AJ569*60)/F569</f>
        <v>135</v>
      </c>
      <c r="AL569" s="477">
        <f>AK569/VLOOKUP(IF(I569&gt;0,I569,1),Preise!$A$3:$B$27,2,FALSE)</f>
        <v>96.428571428571431</v>
      </c>
    </row>
    <row r="570" spans="1:38" x14ac:dyDescent="0.2">
      <c r="A570" s="412">
        <v>2622</v>
      </c>
      <c r="B570" s="412">
        <v>2622</v>
      </c>
      <c r="C570" s="132" t="str">
        <f>VLOOKUP(B570,Gegenstände!$A$2:$B$2026,2,FALSE)</f>
        <v>Jaspis-Erdenstab</v>
      </c>
      <c r="D570" s="133">
        <f>VLOOKUP(B570,Gegenstände!$A$2:$D$2026,4,FALSE)</f>
        <v>9</v>
      </c>
      <c r="E570" s="468">
        <v>32</v>
      </c>
      <c r="F570" s="134">
        <v>480</v>
      </c>
      <c r="G570" s="54"/>
      <c r="H570" s="469">
        <v>63</v>
      </c>
      <c r="I570" s="12">
        <f>D570-1</f>
        <v>8</v>
      </c>
      <c r="K570" s="6">
        <v>17</v>
      </c>
      <c r="L570" s="1" t="s">
        <v>140</v>
      </c>
      <c r="M570" s="87">
        <v>34</v>
      </c>
      <c r="N570" s="83" t="s">
        <v>202</v>
      </c>
      <c r="O570" s="85"/>
      <c r="S570" s="418">
        <v>5</v>
      </c>
      <c r="T570" s="418" t="s">
        <v>245</v>
      </c>
      <c r="U570" s="471">
        <f>VLOOKUP(D570,Preise!$A$3:$C$28,3)</f>
        <v>3.0590228625390607</v>
      </c>
      <c r="V570" s="523">
        <f>U570*$V$556</f>
        <v>6118.0457250781219</v>
      </c>
      <c r="W570" s="131"/>
      <c r="X570" s="472">
        <f t="shared" si="197"/>
        <v>11100</v>
      </c>
      <c r="Y570" s="473">
        <f t="shared" si="198"/>
        <v>6100</v>
      </c>
      <c r="Z570" s="474">
        <f>IF(ISERROR(VLOOKUP(L570,Gegenstände!$B$2:$N$2026,13,FALSE)),0,VLOOKUP(L570,Gegenstände!$B$2:$N$2026,13,FALSE))</f>
        <v>120</v>
      </c>
      <c r="AA570" s="142">
        <f>IF(ISERROR(VLOOKUP(N570,Gegenstände!$B$2:$N$2026,13,FALSE)),0,VLOOKUP(N570,Gegenstände!$B$2:$N$2026,13,FALSE))</f>
        <v>60</v>
      </c>
      <c r="AB570" s="142">
        <f>IF(ISERROR(VLOOKUP(P570,Gegenstände!$B$2:$N$2026,13,FALSE)),0,VLOOKUP(P570,Gegenstände!$B$2:$N$2026,13,FALSE))</f>
        <v>0</v>
      </c>
      <c r="AC570" s="142">
        <f>IF(ISERROR(VLOOKUP(R570,Gegenstände!$B$2:$N$2026,13,FALSE)),0,VLOOKUP(R570,Gegenstände!$B$2:$N$2026,13,FALSE))</f>
        <v>0</v>
      </c>
      <c r="AD570" s="142">
        <f>IF(ISERROR(VLOOKUP(T570,Gegenstände!$B$2:$N$2026,13,FALSE)),0,VLOOKUP(T570,Gegenstände!$B$2:$N$2026,13,FALSE))</f>
        <v>1000</v>
      </c>
      <c r="AE570" s="475">
        <f t="shared" si="199"/>
        <v>2040</v>
      </c>
      <c r="AF570" s="476">
        <f t="shared" si="200"/>
        <v>2040</v>
      </c>
      <c r="AG570" s="128">
        <f t="shared" si="201"/>
        <v>0.33442622950819673</v>
      </c>
      <c r="AH570" s="128">
        <f t="shared" si="202"/>
        <v>0.33442622950819673</v>
      </c>
      <c r="AI570" s="129">
        <f>(AE570+AF570)/Y570</f>
        <v>0.66885245901639345</v>
      </c>
      <c r="AJ570" s="426">
        <f>Y570-(AE570+AF570)</f>
        <v>2020</v>
      </c>
      <c r="AK570" s="131">
        <f>(AJ570*60)/F570</f>
        <v>252.5</v>
      </c>
      <c r="AL570" s="477">
        <f>AK570/VLOOKUP(IF(I570&gt;0,I570,1),Preise!$A$3:$B$27,2,FALSE)</f>
        <v>105.20833333333334</v>
      </c>
    </row>
    <row r="571" spans="1:38" x14ac:dyDescent="0.2">
      <c r="A571" s="412">
        <v>2623</v>
      </c>
      <c r="B571" s="412">
        <v>2623</v>
      </c>
      <c r="C571" s="132" t="str">
        <f>VLOOKUP(B571,Gegenstände!$A$2:$B$2026,2,FALSE)</f>
        <v>Perlmutt-Erdenstab</v>
      </c>
      <c r="D571" s="133">
        <f>VLOOKUP(B571,Gegenstände!$A$2:$D$2026,4,FALSE)</f>
        <v>14</v>
      </c>
      <c r="E571" s="468">
        <v>32</v>
      </c>
      <c r="F571" s="134">
        <v>480</v>
      </c>
      <c r="G571" s="54"/>
      <c r="H571" s="469">
        <v>63</v>
      </c>
      <c r="I571" s="12">
        <f>D571-1</f>
        <v>13</v>
      </c>
      <c r="K571" s="6">
        <v>22</v>
      </c>
      <c r="L571" s="1" t="s">
        <v>141</v>
      </c>
      <c r="M571" s="87">
        <v>5</v>
      </c>
      <c r="N571" s="83" t="s">
        <v>202</v>
      </c>
      <c r="O571" s="85">
        <v>19</v>
      </c>
      <c r="P571" s="84" t="s">
        <v>204</v>
      </c>
      <c r="Q571" s="87"/>
      <c r="R571" s="84"/>
      <c r="S571" s="418">
        <v>5</v>
      </c>
      <c r="T571" s="418" t="s">
        <v>246</v>
      </c>
      <c r="U571" s="471">
        <f>VLOOKUP(D571,Preise!$A$3:$C$28,3)</f>
        <v>6.1527876212947623</v>
      </c>
      <c r="V571" s="523">
        <f>U571*$V$556</f>
        <v>12305.575242589524</v>
      </c>
      <c r="W571" s="131"/>
      <c r="X571" s="472">
        <f t="shared" si="197"/>
        <v>22300</v>
      </c>
      <c r="Y571" s="473">
        <f t="shared" si="198"/>
        <v>12300</v>
      </c>
      <c r="Z571" s="474">
        <f>IF(ISERROR(VLOOKUP(L571,Gegenstände!$B$2:$N$2026,13,FALSE)),0,VLOOKUP(L571,Gegenstände!$B$2:$N$2026,13,FALSE))</f>
        <v>180</v>
      </c>
      <c r="AA571" s="142">
        <f>IF(ISERROR(VLOOKUP(N571,Gegenstände!$B$2:$N$2026,13,FALSE)),0,VLOOKUP(N571,Gegenstände!$B$2:$N$2026,13,FALSE))</f>
        <v>60</v>
      </c>
      <c r="AB571" s="142">
        <f>IF(ISERROR(VLOOKUP(P571,Gegenstände!$B$2:$N$2026,13,FALSE)),0,VLOOKUP(P571,Gegenstände!$B$2:$N$2026,13,FALSE))</f>
        <v>200</v>
      </c>
      <c r="AC571" s="142">
        <f>IF(ISERROR(VLOOKUP(R571,Gegenstände!$B$2:$N$2026,13,FALSE)),0,VLOOKUP(R571,Gegenstände!$B$2:$N$2026,13,FALSE))</f>
        <v>0</v>
      </c>
      <c r="AD571" s="142">
        <f>IF(ISERROR(VLOOKUP(T571,Gegenstände!$B$2:$N$2026,13,FALSE)),0,VLOOKUP(T571,Gegenstände!$B$2:$N$2026,13,FALSE))</f>
        <v>2000</v>
      </c>
      <c r="AE571" s="475">
        <f t="shared" si="199"/>
        <v>3960</v>
      </c>
      <c r="AF571" s="476">
        <f t="shared" si="200"/>
        <v>4100</v>
      </c>
      <c r="AG571" s="128">
        <f t="shared" si="201"/>
        <v>0.32195121951219513</v>
      </c>
      <c r="AH571" s="128">
        <f t="shared" si="202"/>
        <v>0.33333333333333331</v>
      </c>
      <c r="AI571" s="129">
        <f>(AE571+AF571)/Y571</f>
        <v>0.65528455284552845</v>
      </c>
      <c r="AJ571" s="426">
        <f>Y571-(AE571+AF571)</f>
        <v>4240</v>
      </c>
      <c r="AK571" s="131">
        <f>(AJ571*60)/F571</f>
        <v>530</v>
      </c>
      <c r="AL571" s="477">
        <f>AK571/VLOOKUP(IF(I571&gt;0,I571,1),Preise!$A$3:$B$27,2,FALSE)</f>
        <v>155.88235294117644</v>
      </c>
    </row>
    <row r="572" spans="1:38" x14ac:dyDescent="0.2">
      <c r="A572" s="412">
        <v>2624</v>
      </c>
      <c r="B572" s="412">
        <v>2624</v>
      </c>
      <c r="C572" s="132" t="str">
        <f>VLOOKUP(B572,Gegenstände!$A$2:$B$2026,2,FALSE)</f>
        <v>Jade-Erdenstab</v>
      </c>
      <c r="D572" s="133">
        <f>VLOOKUP(B572,Gegenstände!$A$2:$D$2026,4,FALSE)</f>
        <v>19</v>
      </c>
      <c r="E572" s="468">
        <v>32</v>
      </c>
      <c r="F572" s="134">
        <v>480</v>
      </c>
      <c r="G572" s="54"/>
      <c r="H572" s="469">
        <v>63</v>
      </c>
      <c r="I572" s="12">
        <f>D572-1</f>
        <v>18</v>
      </c>
      <c r="K572" s="6">
        <v>30</v>
      </c>
      <c r="L572" s="1" t="s">
        <v>142</v>
      </c>
      <c r="M572" s="87">
        <v>8</v>
      </c>
      <c r="N572" s="83" t="s">
        <v>202</v>
      </c>
      <c r="O572" s="85">
        <v>38</v>
      </c>
      <c r="P572" s="84" t="s">
        <v>204</v>
      </c>
      <c r="Q572" s="87"/>
      <c r="R572" s="84"/>
      <c r="S572" s="418">
        <v>5</v>
      </c>
      <c r="T572" s="418" t="s">
        <v>247</v>
      </c>
      <c r="U572" s="471">
        <f>VLOOKUP(D572,Preise!$A$3:$C$28,3)</f>
        <v>12.375453605252243</v>
      </c>
      <c r="V572" s="523">
        <f>U572*$V$556</f>
        <v>24750.907210504487</v>
      </c>
      <c r="W572" s="131"/>
      <c r="X572" s="472">
        <f t="shared" si="197"/>
        <v>42300</v>
      </c>
      <c r="Y572" s="473">
        <f t="shared" si="198"/>
        <v>24800</v>
      </c>
      <c r="Z572" s="474">
        <f>IF(ISERROR(VLOOKUP(L572,Gegenstände!$B$2:$N$2026,13,FALSE)),0,VLOOKUP(L572,Gegenstände!$B$2:$N$2026,13,FALSE))</f>
        <v>270</v>
      </c>
      <c r="AA572" s="142">
        <f>IF(ISERROR(VLOOKUP(N572,Gegenstände!$B$2:$N$2026,13,FALSE)),0,VLOOKUP(N572,Gegenstände!$B$2:$N$2026,13,FALSE))</f>
        <v>60</v>
      </c>
      <c r="AB572" s="142">
        <f>IF(ISERROR(VLOOKUP(P572,Gegenstände!$B$2:$N$2026,13,FALSE)),0,VLOOKUP(P572,Gegenstände!$B$2:$N$2026,13,FALSE))</f>
        <v>200</v>
      </c>
      <c r="AC572" s="142">
        <f>IF(ISERROR(VLOOKUP(R572,Gegenstände!$B$2:$N$2026,13,FALSE)),0,VLOOKUP(R572,Gegenstände!$B$2:$N$2026,13,FALSE))</f>
        <v>0</v>
      </c>
      <c r="AD572" s="142">
        <f>IF(ISERROR(VLOOKUP(T572,Gegenstände!$B$2:$N$2026,13,FALSE)),0,VLOOKUP(T572,Gegenstände!$B$2:$N$2026,13,FALSE))</f>
        <v>3500</v>
      </c>
      <c r="AE572" s="475">
        <f t="shared" si="199"/>
        <v>8100</v>
      </c>
      <c r="AF572" s="476">
        <f t="shared" si="200"/>
        <v>8080</v>
      </c>
      <c r="AG572" s="128">
        <f t="shared" si="201"/>
        <v>0.32661290322580644</v>
      </c>
      <c r="AH572" s="128">
        <f t="shared" si="202"/>
        <v>0.32580645161290323</v>
      </c>
      <c r="AI572" s="129">
        <f>(AE572+AF572)/Y572</f>
        <v>0.65241935483870972</v>
      </c>
      <c r="AJ572" s="426">
        <f>Y572-(AE572+AF572)</f>
        <v>8620</v>
      </c>
      <c r="AK572" s="131">
        <f>(AJ572*60)/F572</f>
        <v>1077.5</v>
      </c>
      <c r="AL572" s="477">
        <f>AK572/VLOOKUP(IF(I572&gt;0,I572,1),Preise!$A$3:$B$27,2,FALSE)</f>
        <v>244.88636363636357</v>
      </c>
    </row>
    <row r="573" spans="1:38" x14ac:dyDescent="0.2">
      <c r="A573" s="412">
        <v>2625</v>
      </c>
      <c r="B573" s="412">
        <v>2625</v>
      </c>
      <c r="C573" s="132" t="str">
        <f>VLOOKUP(B573,Gegenstände!$A$2:$B$2026,2,FALSE)</f>
        <v>Onyx-Erdenstab</v>
      </c>
      <c r="D573" s="133">
        <f>VLOOKUP(B573,Gegenstände!$A$2:$D$2026,4,FALSE)</f>
        <v>25</v>
      </c>
      <c r="E573" s="468">
        <v>32</v>
      </c>
      <c r="F573" s="134">
        <v>480</v>
      </c>
      <c r="G573" s="54"/>
      <c r="H573" s="469">
        <v>63</v>
      </c>
      <c r="I573" s="12">
        <f>D573-1</f>
        <v>24</v>
      </c>
      <c r="K573" s="6">
        <v>52</v>
      </c>
      <c r="L573" s="1" t="s">
        <v>143</v>
      </c>
      <c r="M573" s="87">
        <v>6</v>
      </c>
      <c r="N573" s="83" t="s">
        <v>202</v>
      </c>
      <c r="O573" s="85">
        <v>12</v>
      </c>
      <c r="P573" s="84" t="s">
        <v>204</v>
      </c>
      <c r="Q573" s="87">
        <v>32</v>
      </c>
      <c r="R573" s="84" t="s">
        <v>205</v>
      </c>
      <c r="S573" s="418">
        <v>5</v>
      </c>
      <c r="T573" s="418" t="s">
        <v>248</v>
      </c>
      <c r="U573" s="471">
        <f>VLOOKUP(D573,Preise!$A$3:$C$28,3)</f>
        <v>28.625176191121408</v>
      </c>
      <c r="V573" s="523">
        <f>U573*$V$556</f>
        <v>57250.352382242818</v>
      </c>
      <c r="W573" s="131"/>
      <c r="X573" s="472">
        <f t="shared" si="197"/>
        <v>82300</v>
      </c>
      <c r="Y573" s="473">
        <f t="shared" si="198"/>
        <v>57300</v>
      </c>
      <c r="Z573" s="613">
        <f>IF(ISERROR(VLOOKUP(L573,Gegenstände!$B$2:$N$2026,13,FALSE)),0,VLOOKUP(L573,Gegenstände!$B$2:$N$2026,13,FALSE))</f>
        <v>360</v>
      </c>
      <c r="AA573" s="614">
        <f>IF(ISERROR(VLOOKUP(N573,Gegenstände!$B$2:$N$2026,13,FALSE)),0,VLOOKUP(N573,Gegenstände!$B$2:$N$2026,13,FALSE))</f>
        <v>60</v>
      </c>
      <c r="AB573" s="614">
        <f>IF(ISERROR(VLOOKUP(P573,Gegenstände!$B$2:$N$2026,13,FALSE)),0,VLOOKUP(P573,Gegenstände!$B$2:$N$2026,13,FALSE))</f>
        <v>200</v>
      </c>
      <c r="AC573" s="614">
        <f>IF(ISERROR(VLOOKUP(R573,Gegenstände!$B$2:$N$2026,13,FALSE)),0,VLOOKUP(R573,Gegenstände!$B$2:$N$2026,13,FALSE))</f>
        <v>500</v>
      </c>
      <c r="AD573" s="142">
        <f>IF(ISERROR(VLOOKUP(T573,Gegenstände!$B$2:$N$2026,13,FALSE)),0,VLOOKUP(T573,Gegenstände!$B$2:$N$2026,13,FALSE))</f>
        <v>5000</v>
      </c>
      <c r="AE573" s="475">
        <f t="shared" si="199"/>
        <v>18720</v>
      </c>
      <c r="AF573" s="476">
        <f t="shared" si="200"/>
        <v>18760</v>
      </c>
      <c r="AG573" s="128">
        <f t="shared" si="201"/>
        <v>0.32670157068062827</v>
      </c>
      <c r="AH573" s="128">
        <f t="shared" si="202"/>
        <v>0.3273996509598604</v>
      </c>
      <c r="AI573" s="129">
        <f>(AE573+AF573)/Y573</f>
        <v>0.65410122164048867</v>
      </c>
      <c r="AJ573" s="426">
        <f>Y573-(AE573+AF573)</f>
        <v>19820</v>
      </c>
      <c r="AK573" s="131">
        <f>(AJ573*60)/F573</f>
        <v>2477.5</v>
      </c>
      <c r="AL573" s="477">
        <f>AK573/VLOOKUP(IF(I573&gt;0,I573,1),Preise!$A$3:$B$27,2,FALSE)</f>
        <v>442.41071428571411</v>
      </c>
    </row>
    <row r="574" spans="1:38" s="3" customFormat="1" x14ac:dyDescent="0.2">
      <c r="A574" s="399"/>
      <c r="B574" s="399"/>
      <c r="C574" s="193"/>
      <c r="D574" s="194"/>
      <c r="E574" s="582"/>
      <c r="F574" s="197"/>
      <c r="G574" s="194"/>
      <c r="H574" s="583"/>
      <c r="I574" s="597"/>
      <c r="J574" s="585"/>
      <c r="K574" s="584"/>
      <c r="L574" s="192"/>
      <c r="M574" s="584"/>
      <c r="N574" s="192"/>
      <c r="O574" s="584"/>
      <c r="P574" s="192"/>
      <c r="Q574" s="584"/>
      <c r="R574" s="192"/>
      <c r="S574" s="586"/>
      <c r="T574" s="587"/>
      <c r="U574" s="598"/>
      <c r="V574" s="589">
        <v>2000</v>
      </c>
      <c r="W574" s="590"/>
      <c r="X574" s="599"/>
      <c r="Y574" s="600"/>
      <c r="Z574" s="400"/>
      <c r="AA574" s="193"/>
      <c r="AB574" s="193"/>
      <c r="AC574" s="193"/>
      <c r="AD574" s="601"/>
      <c r="AE574" s="602"/>
      <c r="AF574" s="603"/>
      <c r="AG574" s="604"/>
      <c r="AH574" s="604"/>
      <c r="AI574" s="594"/>
      <c r="AJ574" s="595"/>
      <c r="AK574" s="200"/>
      <c r="AL574" s="596"/>
    </row>
    <row r="575" spans="1:38" x14ac:dyDescent="0.2">
      <c r="A575" s="412">
        <v>2631</v>
      </c>
      <c r="B575" s="412">
        <v>2631</v>
      </c>
      <c r="C575" s="132" t="str">
        <f>VLOOKUP(B575,Gegenstände!$A$2:$B$2026,2,FALSE)</f>
        <v>Pyrit-Luftstab</v>
      </c>
      <c r="D575" s="133">
        <f>VLOOKUP(B575,Gegenstände!$A$2:$D$2026,4,FALSE)</f>
        <v>4</v>
      </c>
      <c r="E575" s="468">
        <v>32</v>
      </c>
      <c r="F575" s="134">
        <v>480</v>
      </c>
      <c r="G575" s="54"/>
      <c r="H575" s="469">
        <v>63</v>
      </c>
      <c r="I575" s="12">
        <f>D575-1</f>
        <v>3</v>
      </c>
      <c r="K575" s="6">
        <v>16</v>
      </c>
      <c r="L575" s="1" t="s">
        <v>139</v>
      </c>
      <c r="M575" s="87">
        <v>16</v>
      </c>
      <c r="N575" s="83" t="s">
        <v>202</v>
      </c>
      <c r="O575" s="85"/>
      <c r="S575" s="418">
        <v>5</v>
      </c>
      <c r="T575" s="418" t="s">
        <v>244</v>
      </c>
      <c r="U575" s="471">
        <f>VLOOKUP(D575,Preise!$A$3:$C$28,3)</f>
        <v>1.5208749999999995</v>
      </c>
      <c r="V575" s="523">
        <f>U575*$V$556</f>
        <v>3041.7499999999991</v>
      </c>
      <c r="W575" s="131"/>
      <c r="X575" s="472">
        <f t="shared" si="197"/>
        <v>5500</v>
      </c>
      <c r="Y575" s="473">
        <f t="shared" si="198"/>
        <v>3000</v>
      </c>
      <c r="Z575" s="474">
        <f>IF(ISERROR(VLOOKUP(L575,Gegenstände!$B$2:$N$2026,13,FALSE)),0,VLOOKUP(L575,Gegenstände!$B$2:$N$2026,13,FALSE))</f>
        <v>60</v>
      </c>
      <c r="AA575" s="142">
        <f>IF(ISERROR(VLOOKUP(N575,Gegenstände!$B$2:$N$2026,13,FALSE)),0,VLOOKUP(N575,Gegenstände!$B$2:$N$2026,13,FALSE))</f>
        <v>60</v>
      </c>
      <c r="AB575" s="142">
        <f>IF(ISERROR(VLOOKUP(P575,Gegenstände!$B$2:$N$2026,13,FALSE)),0,VLOOKUP(P575,Gegenstände!$B$2:$N$2026,13,FALSE))</f>
        <v>0</v>
      </c>
      <c r="AC575" s="142">
        <f>IF(ISERROR(VLOOKUP(R575,Gegenstände!$B$2:$N$2026,13,FALSE)),0,VLOOKUP(R575,Gegenstände!$B$2:$N$2026,13,FALSE))</f>
        <v>0</v>
      </c>
      <c r="AD575" s="142">
        <f>IF(ISERROR(VLOOKUP(T575,Gegenstände!$B$2:$N$2026,13,FALSE)),0,VLOOKUP(T575,Gegenstände!$B$2:$N$2026,13,FALSE))</f>
        <v>500</v>
      </c>
      <c r="AE575" s="475">
        <f t="shared" si="199"/>
        <v>960</v>
      </c>
      <c r="AF575" s="476">
        <f t="shared" si="200"/>
        <v>960</v>
      </c>
      <c r="AG575" s="128">
        <f t="shared" si="201"/>
        <v>0.32</v>
      </c>
      <c r="AH575" s="128">
        <f t="shared" si="202"/>
        <v>0.32</v>
      </c>
      <c r="AI575" s="129">
        <f>(AE575+AF575)/Y575</f>
        <v>0.64</v>
      </c>
      <c r="AJ575" s="426">
        <f>Y575-(AE575+AF575)</f>
        <v>1080</v>
      </c>
      <c r="AK575" s="131">
        <f>(AJ575*60)/F575</f>
        <v>135</v>
      </c>
      <c r="AL575" s="477">
        <f>AK575/VLOOKUP(IF(I575&gt;0,I575,1),Preise!$A$3:$B$27,2,FALSE)</f>
        <v>96.428571428571431</v>
      </c>
    </row>
    <row r="576" spans="1:38" x14ac:dyDescent="0.2">
      <c r="A576" s="412">
        <v>2632</v>
      </c>
      <c r="B576" s="412">
        <v>2632</v>
      </c>
      <c r="C576" s="132" t="str">
        <f>VLOOKUP(B576,Gegenstände!$A$2:$B$2026,2,FALSE)</f>
        <v>Jaspis-Luftstab</v>
      </c>
      <c r="D576" s="133">
        <f>VLOOKUP(B576,Gegenstände!$A$2:$D$2026,4,FALSE)</f>
        <v>9</v>
      </c>
      <c r="E576" s="468">
        <v>32</v>
      </c>
      <c r="F576" s="134">
        <v>480</v>
      </c>
      <c r="G576" s="54"/>
      <c r="H576" s="469">
        <v>63</v>
      </c>
      <c r="I576" s="12">
        <f>D576-1</f>
        <v>8</v>
      </c>
      <c r="K576" s="6">
        <v>17</v>
      </c>
      <c r="L576" s="1" t="s">
        <v>140</v>
      </c>
      <c r="M576" s="87">
        <v>34</v>
      </c>
      <c r="N576" s="83" t="s">
        <v>202</v>
      </c>
      <c r="O576" s="85"/>
      <c r="S576" s="418">
        <v>5</v>
      </c>
      <c r="T576" s="418" t="s">
        <v>245</v>
      </c>
      <c r="U576" s="471">
        <f>VLOOKUP(D576,Preise!$A$3:$C$28,3)</f>
        <v>3.0590228625390607</v>
      </c>
      <c r="V576" s="523">
        <f>U576*$V$556</f>
        <v>6118.0457250781219</v>
      </c>
      <c r="W576" s="131"/>
      <c r="X576" s="472">
        <f t="shared" si="197"/>
        <v>11100</v>
      </c>
      <c r="Y576" s="473">
        <f t="shared" si="198"/>
        <v>6100</v>
      </c>
      <c r="Z576" s="474">
        <f>IF(ISERROR(VLOOKUP(L576,Gegenstände!$B$2:$N$2026,13,FALSE)),0,VLOOKUP(L576,Gegenstände!$B$2:$N$2026,13,FALSE))</f>
        <v>120</v>
      </c>
      <c r="AA576" s="142">
        <f>IF(ISERROR(VLOOKUP(N576,Gegenstände!$B$2:$N$2026,13,FALSE)),0,VLOOKUP(N576,Gegenstände!$B$2:$N$2026,13,FALSE))</f>
        <v>60</v>
      </c>
      <c r="AB576" s="142">
        <f>IF(ISERROR(VLOOKUP(P576,Gegenstände!$B$2:$N$2026,13,FALSE)),0,VLOOKUP(P576,Gegenstände!$B$2:$N$2026,13,FALSE))</f>
        <v>0</v>
      </c>
      <c r="AC576" s="142">
        <f>IF(ISERROR(VLOOKUP(R576,Gegenstände!$B$2:$N$2026,13,FALSE)),0,VLOOKUP(R576,Gegenstände!$B$2:$N$2026,13,FALSE))</f>
        <v>0</v>
      </c>
      <c r="AD576" s="142">
        <f>IF(ISERROR(VLOOKUP(T576,Gegenstände!$B$2:$N$2026,13,FALSE)),0,VLOOKUP(T576,Gegenstände!$B$2:$N$2026,13,FALSE))</f>
        <v>1000</v>
      </c>
      <c r="AE576" s="475">
        <f t="shared" si="199"/>
        <v>2040</v>
      </c>
      <c r="AF576" s="476">
        <f t="shared" si="200"/>
        <v>2040</v>
      </c>
      <c r="AG576" s="128">
        <f t="shared" si="201"/>
        <v>0.33442622950819673</v>
      </c>
      <c r="AH576" s="128">
        <f t="shared" si="202"/>
        <v>0.33442622950819673</v>
      </c>
      <c r="AI576" s="129">
        <f>(AE576+AF576)/Y576</f>
        <v>0.66885245901639345</v>
      </c>
      <c r="AJ576" s="426">
        <f>Y576-(AE576+AF576)</f>
        <v>2020</v>
      </c>
      <c r="AK576" s="131">
        <f>(AJ576*60)/F576</f>
        <v>252.5</v>
      </c>
      <c r="AL576" s="477">
        <f>AK576/VLOOKUP(IF(I576&gt;0,I576,1),Preise!$A$3:$B$27,2,FALSE)</f>
        <v>105.20833333333334</v>
      </c>
    </row>
    <row r="577" spans="1:38" x14ac:dyDescent="0.2">
      <c r="A577" s="412">
        <v>2633</v>
      </c>
      <c r="B577" s="412">
        <v>2633</v>
      </c>
      <c r="C577" s="132" t="str">
        <f>VLOOKUP(B577,Gegenstände!$A$2:$B$2026,2,FALSE)</f>
        <v>Perlmutt-Luftstab</v>
      </c>
      <c r="D577" s="133">
        <f>VLOOKUP(B577,Gegenstände!$A$2:$D$2026,4,FALSE)</f>
        <v>14</v>
      </c>
      <c r="E577" s="468">
        <v>32</v>
      </c>
      <c r="F577" s="134">
        <v>480</v>
      </c>
      <c r="G577" s="54"/>
      <c r="H577" s="469">
        <v>63</v>
      </c>
      <c r="I577" s="12">
        <f>D577-1</f>
        <v>13</v>
      </c>
      <c r="K577" s="6">
        <v>22</v>
      </c>
      <c r="L577" s="1" t="s">
        <v>141</v>
      </c>
      <c r="M577" s="87">
        <v>5</v>
      </c>
      <c r="N577" s="83" t="s">
        <v>202</v>
      </c>
      <c r="O577" s="85">
        <v>19</v>
      </c>
      <c r="P577" s="84" t="s">
        <v>204</v>
      </c>
      <c r="Q577" s="87"/>
      <c r="R577" s="84"/>
      <c r="S577" s="418">
        <v>5</v>
      </c>
      <c r="T577" s="418" t="s">
        <v>246</v>
      </c>
      <c r="U577" s="471">
        <f>VLOOKUP(D577,Preise!$A$3:$C$28,3)</f>
        <v>6.1527876212947623</v>
      </c>
      <c r="V577" s="523">
        <f>U577*$V$556</f>
        <v>12305.575242589524</v>
      </c>
      <c r="W577" s="131"/>
      <c r="X577" s="472">
        <f t="shared" si="197"/>
        <v>22300</v>
      </c>
      <c r="Y577" s="473">
        <f t="shared" si="198"/>
        <v>12300</v>
      </c>
      <c r="Z577" s="474">
        <f>IF(ISERROR(VLOOKUP(L577,Gegenstände!$B$2:$N$2026,13,FALSE)),0,VLOOKUP(L577,Gegenstände!$B$2:$N$2026,13,FALSE))</f>
        <v>180</v>
      </c>
      <c r="AA577" s="142">
        <f>IF(ISERROR(VLOOKUP(N577,Gegenstände!$B$2:$N$2026,13,FALSE)),0,VLOOKUP(N577,Gegenstände!$B$2:$N$2026,13,FALSE))</f>
        <v>60</v>
      </c>
      <c r="AB577" s="142">
        <f>IF(ISERROR(VLOOKUP(P577,Gegenstände!$B$2:$N$2026,13,FALSE)),0,VLOOKUP(P577,Gegenstände!$B$2:$N$2026,13,FALSE))</f>
        <v>200</v>
      </c>
      <c r="AC577" s="142">
        <f>IF(ISERROR(VLOOKUP(R577,Gegenstände!$B$2:$N$2026,13,FALSE)),0,VLOOKUP(R577,Gegenstände!$B$2:$N$2026,13,FALSE))</f>
        <v>0</v>
      </c>
      <c r="AD577" s="142">
        <f>IF(ISERROR(VLOOKUP(T577,Gegenstände!$B$2:$N$2026,13,FALSE)),0,VLOOKUP(T577,Gegenstände!$B$2:$N$2026,13,FALSE))</f>
        <v>2000</v>
      </c>
      <c r="AE577" s="475">
        <f t="shared" si="199"/>
        <v>3960</v>
      </c>
      <c r="AF577" s="476">
        <f t="shared" si="200"/>
        <v>4100</v>
      </c>
      <c r="AG577" s="128">
        <f t="shared" si="201"/>
        <v>0.32195121951219513</v>
      </c>
      <c r="AH577" s="128">
        <f t="shared" si="202"/>
        <v>0.33333333333333331</v>
      </c>
      <c r="AI577" s="129">
        <f>(AE577+AF577)/Y577</f>
        <v>0.65528455284552845</v>
      </c>
      <c r="AJ577" s="426">
        <f>Y577-(AE577+AF577)</f>
        <v>4240</v>
      </c>
      <c r="AK577" s="131">
        <f>(AJ577*60)/F577</f>
        <v>530</v>
      </c>
      <c r="AL577" s="477">
        <f>AK577/VLOOKUP(IF(I577&gt;0,I577,1),Preise!$A$3:$B$27,2,FALSE)</f>
        <v>155.88235294117644</v>
      </c>
    </row>
    <row r="578" spans="1:38" x14ac:dyDescent="0.2">
      <c r="A578" s="412">
        <v>2634</v>
      </c>
      <c r="B578" s="412">
        <v>2634</v>
      </c>
      <c r="C578" s="132" t="str">
        <f>VLOOKUP(B578,Gegenstände!$A$2:$B$2026,2,FALSE)</f>
        <v>Jade-Luftstab</v>
      </c>
      <c r="D578" s="133">
        <f>VLOOKUP(B578,Gegenstände!$A$2:$D$2026,4,FALSE)</f>
        <v>19</v>
      </c>
      <c r="E578" s="468">
        <v>32</v>
      </c>
      <c r="F578" s="134">
        <v>480</v>
      </c>
      <c r="G578" s="54"/>
      <c r="H578" s="469">
        <v>63</v>
      </c>
      <c r="I578" s="12">
        <f>D578-1</f>
        <v>18</v>
      </c>
      <c r="K578" s="6">
        <v>30</v>
      </c>
      <c r="L578" s="1" t="s">
        <v>142</v>
      </c>
      <c r="M578" s="87">
        <v>8</v>
      </c>
      <c r="N578" s="83" t="s">
        <v>202</v>
      </c>
      <c r="O578" s="85">
        <v>38</v>
      </c>
      <c r="P578" s="84" t="s">
        <v>204</v>
      </c>
      <c r="Q578" s="87"/>
      <c r="R578" s="84"/>
      <c r="S578" s="418">
        <v>5</v>
      </c>
      <c r="T578" s="418" t="s">
        <v>247</v>
      </c>
      <c r="U578" s="471">
        <f>VLOOKUP(D578,Preise!$A$3:$C$28,3)</f>
        <v>12.375453605252243</v>
      </c>
      <c r="V578" s="523">
        <f>U578*$V$556</f>
        <v>24750.907210504487</v>
      </c>
      <c r="W578" s="131"/>
      <c r="X578" s="472">
        <f t="shared" si="197"/>
        <v>42300</v>
      </c>
      <c r="Y578" s="473">
        <f t="shared" si="198"/>
        <v>24800</v>
      </c>
      <c r="Z578" s="474">
        <f>IF(ISERROR(VLOOKUP(L578,Gegenstände!$B$2:$N$2026,13,FALSE)),0,VLOOKUP(L578,Gegenstände!$B$2:$N$2026,13,FALSE))</f>
        <v>270</v>
      </c>
      <c r="AA578" s="142">
        <f>IF(ISERROR(VLOOKUP(N578,Gegenstände!$B$2:$N$2026,13,FALSE)),0,VLOOKUP(N578,Gegenstände!$B$2:$N$2026,13,FALSE))</f>
        <v>60</v>
      </c>
      <c r="AB578" s="142">
        <f>IF(ISERROR(VLOOKUP(P578,Gegenstände!$B$2:$N$2026,13,FALSE)),0,VLOOKUP(P578,Gegenstände!$B$2:$N$2026,13,FALSE))</f>
        <v>200</v>
      </c>
      <c r="AC578" s="142">
        <f>IF(ISERROR(VLOOKUP(R578,Gegenstände!$B$2:$N$2026,13,FALSE)),0,VLOOKUP(R578,Gegenstände!$B$2:$N$2026,13,FALSE))</f>
        <v>0</v>
      </c>
      <c r="AD578" s="142">
        <f>IF(ISERROR(VLOOKUP(T578,Gegenstände!$B$2:$N$2026,13,FALSE)),0,VLOOKUP(T578,Gegenstände!$B$2:$N$2026,13,FALSE))</f>
        <v>3500</v>
      </c>
      <c r="AE578" s="475">
        <f t="shared" si="199"/>
        <v>8100</v>
      </c>
      <c r="AF578" s="476">
        <f t="shared" si="200"/>
        <v>8080</v>
      </c>
      <c r="AG578" s="128">
        <f t="shared" si="201"/>
        <v>0.32661290322580644</v>
      </c>
      <c r="AH578" s="128">
        <f t="shared" si="202"/>
        <v>0.32580645161290323</v>
      </c>
      <c r="AI578" s="129">
        <f>(AE578+AF578)/Y578</f>
        <v>0.65241935483870972</v>
      </c>
      <c r="AJ578" s="426">
        <f>Y578-(AE578+AF578)</f>
        <v>8620</v>
      </c>
      <c r="AK578" s="131">
        <f>(AJ578*60)/F578</f>
        <v>1077.5</v>
      </c>
      <c r="AL578" s="477">
        <f>AK578/VLOOKUP(IF(I578&gt;0,I578,1),Preise!$A$3:$B$27,2,FALSE)</f>
        <v>244.88636363636357</v>
      </c>
    </row>
    <row r="579" spans="1:38" x14ac:dyDescent="0.2">
      <c r="A579" s="412">
        <v>2635</v>
      </c>
      <c r="B579" s="412">
        <v>2635</v>
      </c>
      <c r="C579" s="132" t="str">
        <f>VLOOKUP(B579,Gegenstände!$A$2:$B$2026,2,FALSE)</f>
        <v>Onyx-Luftstab</v>
      </c>
      <c r="D579" s="133">
        <f>VLOOKUP(B579,Gegenstände!$A$2:$D$2026,4,FALSE)</f>
        <v>25</v>
      </c>
      <c r="E579" s="468">
        <v>32</v>
      </c>
      <c r="F579" s="134">
        <v>480</v>
      </c>
      <c r="G579" s="54"/>
      <c r="H579" s="469">
        <v>63</v>
      </c>
      <c r="I579" s="12">
        <f>D579-1</f>
        <v>24</v>
      </c>
      <c r="K579" s="6">
        <v>52</v>
      </c>
      <c r="L579" s="1" t="s">
        <v>143</v>
      </c>
      <c r="M579" s="87">
        <v>6</v>
      </c>
      <c r="N579" s="83" t="s">
        <v>202</v>
      </c>
      <c r="O579" s="85">
        <v>12</v>
      </c>
      <c r="P579" s="84" t="s">
        <v>204</v>
      </c>
      <c r="Q579" s="87">
        <v>32</v>
      </c>
      <c r="R579" s="84" t="s">
        <v>205</v>
      </c>
      <c r="S579" s="418">
        <v>5</v>
      </c>
      <c r="T579" s="418" t="s">
        <v>248</v>
      </c>
      <c r="U579" s="471">
        <f>VLOOKUP(D579,Preise!$A$3:$C$28,3)</f>
        <v>28.625176191121408</v>
      </c>
      <c r="V579" s="523">
        <f>U579*$V$556</f>
        <v>57250.352382242818</v>
      </c>
      <c r="W579" s="131"/>
      <c r="X579" s="472">
        <f t="shared" si="197"/>
        <v>82300</v>
      </c>
      <c r="Y579" s="473">
        <f t="shared" si="198"/>
        <v>57300</v>
      </c>
      <c r="Z579" s="613">
        <f>IF(ISERROR(VLOOKUP(L579,Gegenstände!$B$2:$N$2026,13,FALSE)),0,VLOOKUP(L579,Gegenstände!$B$2:$N$2026,13,FALSE))</f>
        <v>360</v>
      </c>
      <c r="AA579" s="614">
        <f>IF(ISERROR(VLOOKUP(N579,Gegenstände!$B$2:$N$2026,13,FALSE)),0,VLOOKUP(N579,Gegenstände!$B$2:$N$2026,13,FALSE))</f>
        <v>60</v>
      </c>
      <c r="AB579" s="614">
        <f>IF(ISERROR(VLOOKUP(P579,Gegenstände!$B$2:$N$2026,13,FALSE)),0,VLOOKUP(P579,Gegenstände!$B$2:$N$2026,13,FALSE))</f>
        <v>200</v>
      </c>
      <c r="AC579" s="614">
        <f>IF(ISERROR(VLOOKUP(R579,Gegenstände!$B$2:$N$2026,13,FALSE)),0,VLOOKUP(R579,Gegenstände!$B$2:$N$2026,13,FALSE))</f>
        <v>500</v>
      </c>
      <c r="AD579" s="142">
        <f>IF(ISERROR(VLOOKUP(T579,Gegenstände!$B$2:$N$2026,13,FALSE)),0,VLOOKUP(T579,Gegenstände!$B$2:$N$2026,13,FALSE))</f>
        <v>5000</v>
      </c>
      <c r="AE579" s="475">
        <f t="shared" si="199"/>
        <v>18720</v>
      </c>
      <c r="AF579" s="476">
        <f t="shared" si="200"/>
        <v>18760</v>
      </c>
      <c r="AG579" s="128">
        <f t="shared" si="201"/>
        <v>0.32670157068062827</v>
      </c>
      <c r="AH579" s="128">
        <f t="shared" si="202"/>
        <v>0.3273996509598604</v>
      </c>
      <c r="AI579" s="129">
        <f>(AE579+AF579)/Y579</f>
        <v>0.65410122164048867</v>
      </c>
      <c r="AJ579" s="426">
        <f>Y579-(AE579+AF579)</f>
        <v>19820</v>
      </c>
      <c r="AK579" s="131">
        <f>(AJ579*60)/F579</f>
        <v>2477.5</v>
      </c>
      <c r="AL579" s="477">
        <f>AK579/VLOOKUP(IF(I579&gt;0,I579,1),Preise!$A$3:$B$27,2,FALSE)</f>
        <v>442.41071428571411</v>
      </c>
    </row>
  </sheetData>
  <mergeCells count="9">
    <mergeCell ref="K68:R68"/>
    <mergeCell ref="K74:R74"/>
    <mergeCell ref="K80:R80"/>
    <mergeCell ref="Z1:AC1"/>
    <mergeCell ref="K2:R2"/>
    <mergeCell ref="K8:R8"/>
    <mergeCell ref="K14:R14"/>
    <mergeCell ref="K20:R20"/>
    <mergeCell ref="K26:R26"/>
  </mergeCells>
  <pageMargins left="0.78749999999999998" right="0.78749999999999998" top="0.78749999999999998" bottom="0.78749999999999998" header="0.51180555555555551" footer="0.51180555555555551"/>
  <pageSetup firstPageNumber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V151"/>
  <sheetViews>
    <sheetView zoomScale="75" zoomScaleNormal="75" workbookViewId="0">
      <pane xSplit="2" ySplit="1" topLeftCell="C89" activePane="bottomRight" state="frozen"/>
      <selection activeCell="W49" sqref="W49"/>
      <selection pane="topRight" activeCell="W49" sqref="W49"/>
      <selection pane="bottomLeft" activeCell="W49" sqref="W49"/>
      <selection pane="bottomRight" activeCell="B110" sqref="B110"/>
    </sheetView>
  </sheetViews>
  <sheetFormatPr baseColWidth="10" defaultColWidth="9.140625" defaultRowHeight="12.75" x14ac:dyDescent="0.2"/>
  <cols>
    <col min="1" max="1" width="5.140625" style="627" customWidth="1"/>
    <col min="2" max="2" width="17.140625" style="628" customWidth="1"/>
    <col min="3" max="3" width="17.140625" style="1" customWidth="1"/>
    <col min="4" max="4" width="9" style="1" customWidth="1"/>
    <col min="5" max="5" width="11.5703125" style="1" customWidth="1"/>
    <col min="6" max="6" width="9.140625" style="629" customWidth="1"/>
    <col min="7" max="7" width="6.5703125" style="416" customWidth="1"/>
    <col min="8" max="8" width="9.5703125" style="629" customWidth="1"/>
    <col min="9" max="9" width="4.140625" style="416" customWidth="1"/>
    <col min="10" max="10" width="18.28515625" style="627" customWidth="1"/>
    <col min="11" max="11" width="3.85546875" style="629" customWidth="1"/>
    <col min="12" max="12" width="18.42578125" style="627" customWidth="1"/>
    <col min="13" max="13" width="4.42578125" style="629" customWidth="1"/>
    <col min="14" max="14" width="20.140625" style="627" customWidth="1"/>
    <col min="15" max="15" width="3.42578125" style="629" customWidth="1"/>
    <col min="16" max="16" width="18" style="627" customWidth="1"/>
    <col min="17" max="17" width="8.5703125" style="417" customWidth="1"/>
    <col min="18" max="18" width="6.85546875" style="630" customWidth="1"/>
    <col min="19" max="20" width="6.85546875" style="12" customWidth="1"/>
    <col min="21" max="21" width="6.85546875" style="631" customWidth="1"/>
    <col min="22" max="22" width="12.7109375" style="632" customWidth="1"/>
  </cols>
  <sheetData>
    <row r="1" spans="1:22" x14ac:dyDescent="0.2">
      <c r="A1" s="633" t="s">
        <v>959</v>
      </c>
      <c r="B1" s="634" t="s">
        <v>74</v>
      </c>
      <c r="C1" s="635" t="s">
        <v>960</v>
      </c>
      <c r="D1" s="635" t="s">
        <v>961</v>
      </c>
      <c r="E1" s="635" t="s">
        <v>962</v>
      </c>
      <c r="F1" s="636" t="s">
        <v>82</v>
      </c>
      <c r="G1" s="637" t="s">
        <v>963</v>
      </c>
      <c r="H1" s="637" t="s">
        <v>964</v>
      </c>
      <c r="I1" s="638"/>
      <c r="J1" s="635" t="s">
        <v>965</v>
      </c>
      <c r="K1" s="636"/>
      <c r="L1" s="635" t="s">
        <v>966</v>
      </c>
      <c r="M1" s="636"/>
      <c r="N1" s="635" t="s">
        <v>967</v>
      </c>
      <c r="O1" s="636"/>
      <c r="P1" s="635" t="s">
        <v>968</v>
      </c>
      <c r="Q1" s="639" t="s">
        <v>969</v>
      </c>
      <c r="R1" s="640" t="s">
        <v>970</v>
      </c>
      <c r="S1" s="641" t="s">
        <v>971</v>
      </c>
      <c r="T1" s="641" t="s">
        <v>972</v>
      </c>
      <c r="U1" s="641" t="s">
        <v>973</v>
      </c>
      <c r="V1" s="642" t="s">
        <v>974</v>
      </c>
    </row>
    <row r="2" spans="1:22" x14ac:dyDescent="0.2">
      <c r="A2" s="627">
        <v>101</v>
      </c>
      <c r="B2" s="628" t="s">
        <v>975</v>
      </c>
      <c r="C2" s="1" t="s">
        <v>292</v>
      </c>
      <c r="D2" s="1">
        <v>4</v>
      </c>
      <c r="E2" s="1">
        <v>100</v>
      </c>
      <c r="F2" s="629">
        <v>800</v>
      </c>
      <c r="G2" s="416">
        <v>0</v>
      </c>
      <c r="H2" s="629">
        <v>0</v>
      </c>
      <c r="I2" s="416">
        <v>0</v>
      </c>
      <c r="J2" s="627" t="s">
        <v>217</v>
      </c>
      <c r="K2" s="629">
        <v>0</v>
      </c>
      <c r="L2" s="627" t="s">
        <v>218</v>
      </c>
      <c r="M2" s="629">
        <v>1</v>
      </c>
      <c r="N2" s="627" t="s">
        <v>219</v>
      </c>
      <c r="O2" s="629">
        <v>4</v>
      </c>
      <c r="P2" s="627" t="s">
        <v>220</v>
      </c>
      <c r="Q2" s="643">
        <v>15</v>
      </c>
      <c r="R2" s="630">
        <f>IF(ISERROR(VLOOKUP(J2,Baupläne!$C$2:$X$231,20,FALSE)),0,VLOOKUP(J2,Baupläne!$C$2:$X$231,20,FALSE))</f>
        <v>2600</v>
      </c>
      <c r="S2" s="12">
        <f>IF(ISERROR(VLOOKUP(L2,Baupläne!$C$2:$X$231,20,FALSE)),0,VLOOKUP(L2,Baupläne!$C$2:$X$231,20,FALSE))</f>
        <v>2200</v>
      </c>
      <c r="T2" s="12">
        <f>IF(ISERROR(VLOOKUP(N2,Baupläne!$C$2:$X$231,20,FALSE)),0,VLOOKUP(N2,Baupläne!$C$2:$X$231,20,FALSE))</f>
        <v>3200</v>
      </c>
      <c r="U2" s="631">
        <f>IF(ISERROR(VLOOKUP(P2,Baupläne!$C$2:$X$231,20,FALSE)),0,VLOOKUP(P2,Baupläne!$C$2:$X$231,20,FALSE))</f>
        <v>1800</v>
      </c>
      <c r="V2" s="632">
        <f>(R2*I2)+(S2*K2)+(M2*T2)+(O2*U2)</f>
        <v>10400</v>
      </c>
    </row>
    <row r="3" spans="1:22" x14ac:dyDescent="0.2">
      <c r="A3" s="627">
        <v>102</v>
      </c>
      <c r="B3" s="628" t="s">
        <v>976</v>
      </c>
      <c r="C3" s="1" t="s">
        <v>292</v>
      </c>
      <c r="D3" s="1">
        <v>4</v>
      </c>
      <c r="E3" s="1">
        <v>200</v>
      </c>
      <c r="F3" s="629">
        <v>1200</v>
      </c>
      <c r="G3" s="416">
        <v>0</v>
      </c>
      <c r="H3" s="629">
        <v>0</v>
      </c>
      <c r="I3" s="416">
        <v>0</v>
      </c>
      <c r="J3" s="627" t="s">
        <v>221</v>
      </c>
      <c r="K3" s="629">
        <v>0</v>
      </c>
      <c r="L3" s="627" t="s">
        <v>222</v>
      </c>
      <c r="M3" s="629">
        <v>1</v>
      </c>
      <c r="N3" s="627" t="s">
        <v>223</v>
      </c>
      <c r="O3" s="629">
        <v>4</v>
      </c>
      <c r="P3" s="627" t="s">
        <v>224</v>
      </c>
      <c r="Q3" s="417">
        <v>30</v>
      </c>
      <c r="R3" s="630">
        <f>IF(ISERROR(VLOOKUP(J3,Baupläne!$C$2:$X$231,20,FALSE)),0,VLOOKUP(J3,Baupläne!$C$2:$X$231,20,FALSE))</f>
        <v>5200</v>
      </c>
      <c r="S3" s="12">
        <f>IF(ISERROR(VLOOKUP(L3,Baupläne!$C$2:$X$231,20,FALSE)),0,VLOOKUP(L3,Baupläne!$C$2:$X$231,20,FALSE))</f>
        <v>4400</v>
      </c>
      <c r="T3" s="12">
        <f>IF(ISERROR(VLOOKUP(N3,Baupläne!$C$2:$X$231,20,FALSE)),0,VLOOKUP(N3,Baupläne!$C$2:$X$231,20,FALSE))</f>
        <v>6400</v>
      </c>
      <c r="U3" s="631">
        <f>IF(ISERROR(VLOOKUP(P3,Baupläne!$C$2:$X$231,20,FALSE)),0,VLOOKUP(P3,Baupläne!$C$2:$X$231,20,FALSE))</f>
        <v>3600</v>
      </c>
      <c r="V3" s="632">
        <f t="shared" ref="V3:V21" si="0">(R3*I3)+(S3*K3)+(M3*T3)+(O3*U3)</f>
        <v>20800</v>
      </c>
    </row>
    <row r="4" spans="1:22" x14ac:dyDescent="0.2">
      <c r="A4" s="627">
        <v>103</v>
      </c>
      <c r="B4" s="628" t="s">
        <v>977</v>
      </c>
      <c r="C4" s="1" t="s">
        <v>292</v>
      </c>
      <c r="D4" s="1">
        <v>5</v>
      </c>
      <c r="E4" s="1">
        <v>300</v>
      </c>
      <c r="F4" s="629">
        <v>1600</v>
      </c>
      <c r="G4" s="416">
        <v>0</v>
      </c>
      <c r="H4" s="629">
        <v>0</v>
      </c>
      <c r="I4" s="416">
        <v>0</v>
      </c>
      <c r="J4" s="627" t="s">
        <v>225</v>
      </c>
      <c r="K4" s="629">
        <v>0</v>
      </c>
      <c r="L4" s="627" t="s">
        <v>226</v>
      </c>
      <c r="M4" s="629">
        <v>1</v>
      </c>
      <c r="N4" s="627" t="s">
        <v>227</v>
      </c>
      <c r="O4" s="629">
        <v>4</v>
      </c>
      <c r="P4" s="627" t="s">
        <v>228</v>
      </c>
      <c r="Q4" s="417">
        <v>60</v>
      </c>
      <c r="R4" s="630">
        <f>IF(ISERROR(VLOOKUP(J4,Baupläne!$C$2:$X$231,20,FALSE)),0,VLOOKUP(J4,Baupläne!$C$2:$X$231,20,FALSE))</f>
        <v>10400</v>
      </c>
      <c r="S4" s="12">
        <f>IF(ISERROR(VLOOKUP(L4,Baupläne!$C$2:$X$231,20,FALSE)),0,VLOOKUP(L4,Baupläne!$C$2:$X$231,20,FALSE))</f>
        <v>8800</v>
      </c>
      <c r="T4" s="12">
        <f>IF(ISERROR(VLOOKUP(N4,Baupläne!$C$2:$X$231,20,FALSE)),0,VLOOKUP(N4,Baupläne!$C$2:$X$231,20,FALSE))</f>
        <v>12800</v>
      </c>
      <c r="U4" s="631">
        <f>IF(ISERROR(VLOOKUP(P4,Baupläne!$C$2:$X$231,20,FALSE)),0,VLOOKUP(P4,Baupläne!$C$2:$X$231,20,FALSE))</f>
        <v>7200</v>
      </c>
      <c r="V4" s="632">
        <f t="shared" si="0"/>
        <v>41600</v>
      </c>
    </row>
    <row r="5" spans="1:22" x14ac:dyDescent="0.2">
      <c r="A5" s="627">
        <v>104</v>
      </c>
      <c r="B5" s="628" t="s">
        <v>978</v>
      </c>
      <c r="C5" s="3" t="s">
        <v>292</v>
      </c>
      <c r="D5" s="3">
        <v>6</v>
      </c>
      <c r="E5" s="1">
        <v>400</v>
      </c>
      <c r="F5" s="629">
        <v>2000</v>
      </c>
      <c r="G5" s="416">
        <v>0</v>
      </c>
      <c r="H5" s="629">
        <v>0</v>
      </c>
      <c r="I5" s="416">
        <v>0</v>
      </c>
      <c r="J5" s="627" t="s">
        <v>229</v>
      </c>
      <c r="K5" s="629">
        <v>0</v>
      </c>
      <c r="L5" s="627" t="s">
        <v>230</v>
      </c>
      <c r="M5" s="629">
        <v>1</v>
      </c>
      <c r="N5" s="627" t="s">
        <v>231</v>
      </c>
      <c r="O5" s="629">
        <v>4</v>
      </c>
      <c r="P5" s="627" t="s">
        <v>232</v>
      </c>
      <c r="Q5" s="417">
        <v>120</v>
      </c>
      <c r="R5" s="630">
        <f>IF(ISERROR(VLOOKUP(J5,Baupläne!$C$2:$X$231,20,FALSE)),0,VLOOKUP(J5,Baupläne!$C$2:$X$231,20,FALSE))</f>
        <v>20800</v>
      </c>
      <c r="S5" s="12">
        <f>IF(ISERROR(VLOOKUP(L5,Baupläne!$C$2:$X$231,20,FALSE)),0,VLOOKUP(L5,Baupläne!$C$2:$X$231,20,FALSE))</f>
        <v>17600</v>
      </c>
      <c r="T5" s="12">
        <f>IF(ISERROR(VLOOKUP(N5,Baupläne!$C$2:$X$231,20,FALSE)),0,VLOOKUP(N5,Baupläne!$C$2:$X$231,20,FALSE))</f>
        <v>25600</v>
      </c>
      <c r="U5" s="631">
        <f>IF(ISERROR(VLOOKUP(P5,Baupläne!$C$2:$X$231,20,FALSE)),0,VLOOKUP(P5,Baupläne!$C$2:$X$231,20,FALSE))</f>
        <v>14400</v>
      </c>
      <c r="V5" s="632">
        <f t="shared" si="0"/>
        <v>83200</v>
      </c>
    </row>
    <row r="6" spans="1:22" x14ac:dyDescent="0.2">
      <c r="A6" s="627">
        <v>105</v>
      </c>
      <c r="B6" s="628" t="s">
        <v>979</v>
      </c>
      <c r="C6" s="3" t="s">
        <v>292</v>
      </c>
      <c r="D6" s="3">
        <v>6</v>
      </c>
      <c r="E6" s="1">
        <v>500</v>
      </c>
      <c r="F6" s="629">
        <v>2400</v>
      </c>
      <c r="G6" s="416">
        <v>0</v>
      </c>
      <c r="H6" s="629">
        <v>0</v>
      </c>
      <c r="I6" s="416">
        <v>0</v>
      </c>
      <c r="J6" s="627" t="s">
        <v>233</v>
      </c>
      <c r="K6" s="629">
        <v>0</v>
      </c>
      <c r="L6" s="627" t="s">
        <v>234</v>
      </c>
      <c r="M6" s="629">
        <v>1</v>
      </c>
      <c r="N6" s="627" t="s">
        <v>235</v>
      </c>
      <c r="O6" s="629">
        <v>4</v>
      </c>
      <c r="P6" s="627" t="s">
        <v>236</v>
      </c>
      <c r="Q6" s="417">
        <v>240</v>
      </c>
      <c r="R6" s="630">
        <f>IF(ISERROR(VLOOKUP(J6,Baupläne!$C$2:$X$231,20,FALSE)),0,VLOOKUP(J6,Baupläne!$C$2:$X$231,20,FALSE))</f>
        <v>41600</v>
      </c>
      <c r="S6" s="12">
        <f>IF(ISERROR(VLOOKUP(L6,Baupläne!$C$2:$X$231,20,FALSE)),0,VLOOKUP(L6,Baupläne!$C$2:$X$231,20,FALSE))</f>
        <v>35200</v>
      </c>
      <c r="T6" s="12">
        <f>IF(ISERROR(VLOOKUP(N6,Baupläne!$C$2:$X$231,20,FALSE)),0,VLOOKUP(N6,Baupläne!$C$2:$X$231,20,FALSE))</f>
        <v>51200</v>
      </c>
      <c r="U6" s="631">
        <f>IF(ISERROR(VLOOKUP(P6,Baupläne!$C$2:$X$231,20,FALSE)),0,VLOOKUP(P6,Baupläne!$C$2:$X$231,20,FALSE))</f>
        <v>28800</v>
      </c>
      <c r="V6" s="632">
        <f t="shared" si="0"/>
        <v>166400</v>
      </c>
    </row>
    <row r="7" spans="1:22" x14ac:dyDescent="0.2">
      <c r="R7" s="630">
        <f>IF(ISERROR(VLOOKUP(J7,Baupläne!$C$2:$X$231,20,FALSE)),0,VLOOKUP(J7,Baupläne!$C$2:$X$231,20,FALSE))</f>
        <v>0</v>
      </c>
      <c r="S7" s="12">
        <f>IF(ISERROR(VLOOKUP(L7,Baupläne!$C$2:$X$231,20,FALSE)),0,VLOOKUP(L7,Baupläne!$C$2:$X$231,20,FALSE))</f>
        <v>0</v>
      </c>
      <c r="T7" s="12">
        <f>IF(ISERROR(VLOOKUP(N7,Baupläne!$C$2:$X$231,20,FALSE)),0,VLOOKUP(N7,Baupläne!$C$2:$X$231,20,FALSE))</f>
        <v>0</v>
      </c>
      <c r="U7" s="631">
        <f>IF(ISERROR(VLOOKUP(P7,Baupläne!$C$2:$X$231,20,FALSE)),0,VLOOKUP(P7,Baupläne!$C$2:$X$231,20,FALSE))</f>
        <v>0</v>
      </c>
      <c r="V7" s="632">
        <f t="shared" si="0"/>
        <v>0</v>
      </c>
    </row>
    <row r="8" spans="1:22" x14ac:dyDescent="0.2">
      <c r="A8" s="627">
        <v>111</v>
      </c>
      <c r="B8" s="628" t="s">
        <v>980</v>
      </c>
      <c r="C8" s="3" t="s">
        <v>292</v>
      </c>
      <c r="D8" s="1">
        <v>4</v>
      </c>
      <c r="E8" s="1">
        <v>100</v>
      </c>
      <c r="F8" s="629">
        <v>800</v>
      </c>
      <c r="G8" s="416">
        <v>0</v>
      </c>
      <c r="H8" s="629">
        <v>0</v>
      </c>
      <c r="I8" s="416">
        <v>1</v>
      </c>
      <c r="J8" s="627" t="s">
        <v>217</v>
      </c>
      <c r="K8" s="629">
        <v>0</v>
      </c>
      <c r="L8" s="627" t="s">
        <v>218</v>
      </c>
      <c r="M8" s="629">
        <v>0</v>
      </c>
      <c r="N8" s="627" t="s">
        <v>219</v>
      </c>
      <c r="O8" s="629">
        <v>5</v>
      </c>
      <c r="P8" s="627" t="s">
        <v>220</v>
      </c>
      <c r="Q8" s="417">
        <v>15</v>
      </c>
      <c r="R8" s="630">
        <f>IF(ISERROR(VLOOKUP(J8,Baupläne!$C$2:$X$231,20,FALSE)),0,VLOOKUP(J8,Baupläne!$C$2:$X$231,20,FALSE))</f>
        <v>2600</v>
      </c>
      <c r="S8" s="12">
        <f>IF(ISERROR(VLOOKUP(L8,Baupläne!$C$2:$X$231,20,FALSE)),0,VLOOKUP(L8,Baupläne!$C$2:$X$231,20,FALSE))</f>
        <v>2200</v>
      </c>
      <c r="T8" s="12">
        <f>IF(ISERROR(VLOOKUP(N8,Baupläne!$C$2:$X$231,20,FALSE)),0,VLOOKUP(N8,Baupläne!$C$2:$X$231,20,FALSE))</f>
        <v>3200</v>
      </c>
      <c r="U8" s="631">
        <f>IF(ISERROR(VLOOKUP(P8,Baupläne!$C$2:$X$231,20,FALSE)),0,VLOOKUP(P8,Baupläne!$C$2:$X$231,20,FALSE))</f>
        <v>1800</v>
      </c>
      <c r="V8" s="632">
        <f t="shared" si="0"/>
        <v>11600</v>
      </c>
    </row>
    <row r="9" spans="1:22" x14ac:dyDescent="0.2">
      <c r="A9" s="627">
        <v>112</v>
      </c>
      <c r="B9" s="628" t="s">
        <v>981</v>
      </c>
      <c r="C9" s="3" t="s">
        <v>292</v>
      </c>
      <c r="D9" s="1">
        <v>4</v>
      </c>
      <c r="E9" s="1">
        <v>200</v>
      </c>
      <c r="F9" s="629">
        <v>1200</v>
      </c>
      <c r="G9" s="416">
        <v>0</v>
      </c>
      <c r="H9" s="629">
        <v>0</v>
      </c>
      <c r="I9" s="416">
        <v>1</v>
      </c>
      <c r="J9" s="627" t="s">
        <v>221</v>
      </c>
      <c r="K9" s="629">
        <v>0</v>
      </c>
      <c r="L9" s="627" t="s">
        <v>222</v>
      </c>
      <c r="M9" s="629">
        <v>0</v>
      </c>
      <c r="N9" s="627" t="s">
        <v>223</v>
      </c>
      <c r="O9" s="629">
        <v>5</v>
      </c>
      <c r="P9" s="627" t="s">
        <v>224</v>
      </c>
      <c r="Q9" s="417">
        <v>30</v>
      </c>
      <c r="R9" s="630">
        <f>IF(ISERROR(VLOOKUP(J9,Baupläne!$C$2:$X$231,20,FALSE)),0,VLOOKUP(J9,Baupläne!$C$2:$X$231,20,FALSE))</f>
        <v>5200</v>
      </c>
      <c r="S9" s="12">
        <f>IF(ISERROR(VLOOKUP(L9,Baupläne!$C$2:$X$231,20,FALSE)),0,VLOOKUP(L9,Baupläne!$C$2:$X$231,20,FALSE))</f>
        <v>4400</v>
      </c>
      <c r="T9" s="12">
        <f>IF(ISERROR(VLOOKUP(N9,Baupläne!$C$2:$X$231,20,FALSE)),0,VLOOKUP(N9,Baupläne!$C$2:$X$231,20,FALSE))</f>
        <v>6400</v>
      </c>
      <c r="U9" s="631">
        <f>IF(ISERROR(VLOOKUP(P9,Baupläne!$C$2:$X$231,20,FALSE)),0,VLOOKUP(P9,Baupläne!$C$2:$X$231,20,FALSE))</f>
        <v>3600</v>
      </c>
      <c r="V9" s="632">
        <f t="shared" ref="V9:V15" si="1">(R9*I9)+(S9*K9)+(M9*T9)+(O9*U9)</f>
        <v>23200</v>
      </c>
    </row>
    <row r="10" spans="1:22" x14ac:dyDescent="0.2">
      <c r="A10" s="627">
        <v>113</v>
      </c>
      <c r="B10" s="628" t="s">
        <v>982</v>
      </c>
      <c r="C10" s="3" t="s">
        <v>292</v>
      </c>
      <c r="D10" s="1">
        <v>5</v>
      </c>
      <c r="E10" s="1">
        <v>300</v>
      </c>
      <c r="F10" s="629">
        <v>1600</v>
      </c>
      <c r="G10" s="416">
        <v>0</v>
      </c>
      <c r="H10" s="629">
        <v>0</v>
      </c>
      <c r="I10" s="416">
        <v>1</v>
      </c>
      <c r="J10" s="627" t="s">
        <v>225</v>
      </c>
      <c r="K10" s="629">
        <v>0</v>
      </c>
      <c r="L10" s="627" t="s">
        <v>226</v>
      </c>
      <c r="M10" s="629">
        <v>0</v>
      </c>
      <c r="N10" s="627" t="s">
        <v>227</v>
      </c>
      <c r="O10" s="629">
        <v>5</v>
      </c>
      <c r="P10" s="627" t="s">
        <v>228</v>
      </c>
      <c r="Q10" s="417">
        <v>60</v>
      </c>
      <c r="R10" s="630">
        <f>IF(ISERROR(VLOOKUP(J10,Baupläne!$C$2:$X$231,20,FALSE)),0,VLOOKUP(J10,Baupläne!$C$2:$X$231,20,FALSE))</f>
        <v>10400</v>
      </c>
      <c r="S10" s="12">
        <f>IF(ISERROR(VLOOKUP(L10,Baupläne!$C$2:$X$231,20,FALSE)),0,VLOOKUP(L10,Baupläne!$C$2:$X$231,20,FALSE))</f>
        <v>8800</v>
      </c>
      <c r="T10" s="12">
        <f>IF(ISERROR(VLOOKUP(N10,Baupläne!$C$2:$X$231,20,FALSE)),0,VLOOKUP(N10,Baupläne!$C$2:$X$231,20,FALSE))</f>
        <v>12800</v>
      </c>
      <c r="U10" s="631">
        <f>IF(ISERROR(VLOOKUP(P10,Baupläne!$C$2:$X$231,20,FALSE)),0,VLOOKUP(P10,Baupläne!$C$2:$X$231,20,FALSE))</f>
        <v>7200</v>
      </c>
      <c r="V10" s="632">
        <f t="shared" si="1"/>
        <v>46400</v>
      </c>
    </row>
    <row r="11" spans="1:22" x14ac:dyDescent="0.2">
      <c r="A11" s="627">
        <v>114</v>
      </c>
      <c r="B11" s="628" t="s">
        <v>983</v>
      </c>
      <c r="C11" s="3" t="s">
        <v>292</v>
      </c>
      <c r="D11" s="3">
        <v>6</v>
      </c>
      <c r="E11" s="1">
        <v>400</v>
      </c>
      <c r="F11" s="629">
        <v>2000</v>
      </c>
      <c r="G11" s="416">
        <v>0</v>
      </c>
      <c r="H11" s="629">
        <v>0</v>
      </c>
      <c r="I11" s="416">
        <v>1</v>
      </c>
      <c r="J11" s="627" t="s">
        <v>229</v>
      </c>
      <c r="K11" s="629">
        <v>0</v>
      </c>
      <c r="L11" s="627" t="s">
        <v>230</v>
      </c>
      <c r="M11" s="629">
        <v>0</v>
      </c>
      <c r="N11" s="627" t="s">
        <v>231</v>
      </c>
      <c r="O11" s="629">
        <v>5</v>
      </c>
      <c r="P11" s="627" t="s">
        <v>232</v>
      </c>
      <c r="Q11" s="417">
        <v>120</v>
      </c>
      <c r="R11" s="630">
        <f>IF(ISERROR(VLOOKUP(J11,Baupläne!$C$2:$X$231,20,FALSE)),0,VLOOKUP(J11,Baupläne!$C$2:$X$231,20,FALSE))</f>
        <v>20800</v>
      </c>
      <c r="S11" s="12">
        <f>IF(ISERROR(VLOOKUP(L11,Baupläne!$C$2:$X$231,20,FALSE)),0,VLOOKUP(L11,Baupläne!$C$2:$X$231,20,FALSE))</f>
        <v>17600</v>
      </c>
      <c r="T11" s="12">
        <f>IF(ISERROR(VLOOKUP(N11,Baupläne!$C$2:$X$231,20,FALSE)),0,VLOOKUP(N11,Baupläne!$C$2:$X$231,20,FALSE))</f>
        <v>25600</v>
      </c>
      <c r="U11" s="631">
        <f>IF(ISERROR(VLOOKUP(P11,Baupläne!$C$2:$X$231,20,FALSE)),0,VLOOKUP(P11,Baupläne!$C$2:$X$231,20,FALSE))</f>
        <v>14400</v>
      </c>
      <c r="V11" s="632">
        <f t="shared" si="1"/>
        <v>92800</v>
      </c>
    </row>
    <row r="12" spans="1:22" x14ac:dyDescent="0.2">
      <c r="A12" s="627">
        <v>115</v>
      </c>
      <c r="B12" s="628" t="s">
        <v>984</v>
      </c>
      <c r="C12" s="3" t="s">
        <v>292</v>
      </c>
      <c r="D12" s="3">
        <v>6</v>
      </c>
      <c r="E12" s="1">
        <v>500</v>
      </c>
      <c r="F12" s="629">
        <v>2400</v>
      </c>
      <c r="G12" s="416">
        <v>0</v>
      </c>
      <c r="H12" s="629">
        <v>0</v>
      </c>
      <c r="I12" s="416">
        <v>1</v>
      </c>
      <c r="J12" s="627" t="s">
        <v>233</v>
      </c>
      <c r="K12" s="629">
        <v>0</v>
      </c>
      <c r="L12" s="627" t="s">
        <v>234</v>
      </c>
      <c r="M12" s="629">
        <v>0</v>
      </c>
      <c r="N12" s="627" t="s">
        <v>235</v>
      </c>
      <c r="O12" s="629">
        <v>5</v>
      </c>
      <c r="P12" s="627" t="s">
        <v>236</v>
      </c>
      <c r="Q12" s="417">
        <v>240</v>
      </c>
      <c r="R12" s="630">
        <f>IF(ISERROR(VLOOKUP(J12,Baupläne!$C$2:$X$231,20,FALSE)),0,VLOOKUP(J12,Baupläne!$C$2:$X$231,20,FALSE))</f>
        <v>41600</v>
      </c>
      <c r="S12" s="12">
        <f>IF(ISERROR(VLOOKUP(L12,Baupläne!$C$2:$X$231,20,FALSE)),0,VLOOKUP(L12,Baupläne!$C$2:$X$231,20,FALSE))</f>
        <v>35200</v>
      </c>
      <c r="T12" s="12">
        <f>IF(ISERROR(VLOOKUP(N12,Baupläne!$C$2:$X$231,20,FALSE)),0,VLOOKUP(N12,Baupläne!$C$2:$X$231,20,FALSE))</f>
        <v>51200</v>
      </c>
      <c r="U12" s="631">
        <f>IF(ISERROR(VLOOKUP(P12,Baupläne!$C$2:$X$231,20,FALSE)),0,VLOOKUP(P12,Baupläne!$C$2:$X$231,20,FALSE))</f>
        <v>28800</v>
      </c>
      <c r="V12" s="632">
        <f t="shared" si="1"/>
        <v>185600</v>
      </c>
    </row>
    <row r="13" spans="1:22" x14ac:dyDescent="0.2">
      <c r="R13" s="630">
        <f>IF(ISERROR(VLOOKUP(J13,Baupläne!$C$2:$X$231,20,FALSE)),0,VLOOKUP(J13,Baupläne!$C$2:$X$231,20,FALSE))</f>
        <v>0</v>
      </c>
      <c r="S13" s="12">
        <f>IF(ISERROR(VLOOKUP(L13,Baupläne!$C$2:$X$231,20,FALSE)),0,VLOOKUP(L13,Baupläne!$C$2:$X$231,20,FALSE))</f>
        <v>0</v>
      </c>
      <c r="T13" s="12">
        <f>IF(ISERROR(VLOOKUP(N13,Baupläne!$C$2:$X$231,20,FALSE)),0,VLOOKUP(N13,Baupläne!$C$2:$X$231,20,FALSE))</f>
        <v>0</v>
      </c>
      <c r="U13" s="631">
        <f>IF(ISERROR(VLOOKUP(P13,Baupläne!$C$2:$X$231,20,FALSE)),0,VLOOKUP(P13,Baupläne!$C$2:$X$231,20,FALSE))</f>
        <v>0</v>
      </c>
      <c r="V13" s="632">
        <f t="shared" si="1"/>
        <v>0</v>
      </c>
    </row>
    <row r="14" spans="1:22" x14ac:dyDescent="0.2">
      <c r="A14" s="627">
        <v>121</v>
      </c>
      <c r="B14" s="628" t="s">
        <v>985</v>
      </c>
      <c r="C14" s="3" t="s">
        <v>292</v>
      </c>
      <c r="D14" s="1">
        <v>4</v>
      </c>
      <c r="E14" s="1">
        <v>100</v>
      </c>
      <c r="F14" s="629">
        <v>800</v>
      </c>
      <c r="G14" s="416">
        <v>0</v>
      </c>
      <c r="H14" s="629">
        <v>0</v>
      </c>
      <c r="I14" s="416">
        <v>1</v>
      </c>
      <c r="J14" s="627" t="s">
        <v>217</v>
      </c>
      <c r="K14" s="629">
        <v>0</v>
      </c>
      <c r="L14" s="627" t="s">
        <v>218</v>
      </c>
      <c r="M14" s="629">
        <v>0</v>
      </c>
      <c r="N14" s="627" t="s">
        <v>219</v>
      </c>
      <c r="O14" s="629">
        <v>5</v>
      </c>
      <c r="P14" s="627" t="s">
        <v>220</v>
      </c>
      <c r="Q14" s="417">
        <v>15</v>
      </c>
      <c r="R14" s="630">
        <f>IF(ISERROR(VLOOKUP(J14,Baupläne!$C$2:$X$231,20,FALSE)),0,VLOOKUP(J14,Baupläne!$C$2:$X$231,20,FALSE))</f>
        <v>2600</v>
      </c>
      <c r="S14" s="12">
        <f>IF(ISERROR(VLOOKUP(L14,Baupläne!$C$2:$X$231,20,FALSE)),0,VLOOKUP(L14,Baupläne!$C$2:$X$231,20,FALSE))</f>
        <v>2200</v>
      </c>
      <c r="T14" s="12">
        <f>IF(ISERROR(VLOOKUP(N14,Baupläne!$C$2:$X$231,20,FALSE)),0,VLOOKUP(N14,Baupläne!$C$2:$X$231,20,FALSE))</f>
        <v>3200</v>
      </c>
      <c r="U14" s="631">
        <f>IF(ISERROR(VLOOKUP(P14,Baupläne!$C$2:$X$231,20,FALSE)),0,VLOOKUP(P14,Baupläne!$C$2:$X$231,20,FALSE))</f>
        <v>1800</v>
      </c>
      <c r="V14" s="632">
        <f t="shared" si="1"/>
        <v>11600</v>
      </c>
    </row>
    <row r="15" spans="1:22" x14ac:dyDescent="0.2">
      <c r="A15" s="627">
        <v>122</v>
      </c>
      <c r="B15" s="628" t="s">
        <v>986</v>
      </c>
      <c r="C15" s="3" t="s">
        <v>292</v>
      </c>
      <c r="D15" s="1">
        <v>4</v>
      </c>
      <c r="E15" s="1">
        <v>200</v>
      </c>
      <c r="F15" s="629">
        <v>1200</v>
      </c>
      <c r="G15" s="416">
        <v>0</v>
      </c>
      <c r="H15" s="629">
        <v>0</v>
      </c>
      <c r="I15" s="416">
        <v>1</v>
      </c>
      <c r="J15" s="627" t="s">
        <v>221</v>
      </c>
      <c r="K15" s="629">
        <v>0</v>
      </c>
      <c r="L15" s="627" t="s">
        <v>222</v>
      </c>
      <c r="M15" s="629">
        <v>0</v>
      </c>
      <c r="N15" s="627" t="s">
        <v>223</v>
      </c>
      <c r="O15" s="629">
        <v>5</v>
      </c>
      <c r="P15" s="627" t="s">
        <v>224</v>
      </c>
      <c r="Q15" s="417">
        <v>30</v>
      </c>
      <c r="R15" s="630">
        <f>IF(ISERROR(VLOOKUP(J15,Baupläne!$C$2:$X$231,20,FALSE)),0,VLOOKUP(J15,Baupläne!$C$2:$X$231,20,FALSE))</f>
        <v>5200</v>
      </c>
      <c r="S15" s="12">
        <f>IF(ISERROR(VLOOKUP(L15,Baupläne!$C$2:$X$231,20,FALSE)),0,VLOOKUP(L15,Baupläne!$C$2:$X$231,20,FALSE))</f>
        <v>4400</v>
      </c>
      <c r="T15" s="12">
        <f>IF(ISERROR(VLOOKUP(N15,Baupläne!$C$2:$X$231,20,FALSE)),0,VLOOKUP(N15,Baupläne!$C$2:$X$231,20,FALSE))</f>
        <v>6400</v>
      </c>
      <c r="U15" s="631">
        <f>IF(ISERROR(VLOOKUP(P15,Baupläne!$C$2:$X$231,20,FALSE)),0,VLOOKUP(P15,Baupläne!$C$2:$X$231,20,FALSE))</f>
        <v>3600</v>
      </c>
      <c r="V15" s="632">
        <f t="shared" si="1"/>
        <v>23200</v>
      </c>
    </row>
    <row r="16" spans="1:22" x14ac:dyDescent="0.2">
      <c r="A16" s="627">
        <v>123</v>
      </c>
      <c r="B16" s="628" t="s">
        <v>987</v>
      </c>
      <c r="C16" s="3" t="s">
        <v>292</v>
      </c>
      <c r="D16" s="1">
        <v>5</v>
      </c>
      <c r="E16" s="1">
        <v>300</v>
      </c>
      <c r="F16" s="629">
        <v>1600</v>
      </c>
      <c r="G16" s="416">
        <v>0</v>
      </c>
      <c r="H16" s="629">
        <v>0</v>
      </c>
      <c r="I16" s="416">
        <v>1</v>
      </c>
      <c r="J16" s="627" t="s">
        <v>225</v>
      </c>
      <c r="K16" s="629">
        <v>0</v>
      </c>
      <c r="L16" s="627" t="s">
        <v>226</v>
      </c>
      <c r="M16" s="629">
        <v>0</v>
      </c>
      <c r="N16" s="627" t="s">
        <v>227</v>
      </c>
      <c r="O16" s="629">
        <v>5</v>
      </c>
      <c r="P16" s="627" t="s">
        <v>228</v>
      </c>
      <c r="Q16" s="417">
        <v>60</v>
      </c>
      <c r="R16" s="630">
        <f>IF(ISERROR(VLOOKUP(J16,Baupläne!$C$2:$X$231,20,FALSE)),0,VLOOKUP(J16,Baupläne!$C$2:$X$231,20,FALSE))</f>
        <v>10400</v>
      </c>
      <c r="S16" s="12">
        <f>IF(ISERROR(VLOOKUP(L16,Baupläne!$C$2:$X$231,20,FALSE)),0,VLOOKUP(L16,Baupläne!$C$2:$X$231,20,FALSE))</f>
        <v>8800</v>
      </c>
      <c r="T16" s="12">
        <f>IF(ISERROR(VLOOKUP(N16,Baupläne!$C$2:$X$231,20,FALSE)),0,VLOOKUP(N16,Baupläne!$C$2:$X$231,20,FALSE))</f>
        <v>12800</v>
      </c>
      <c r="U16" s="631">
        <f>IF(ISERROR(VLOOKUP(P16,Baupläne!$C$2:$X$231,20,FALSE)),0,VLOOKUP(P16,Baupläne!$C$2:$X$231,20,FALSE))</f>
        <v>7200</v>
      </c>
      <c r="V16" s="632">
        <f t="shared" si="0"/>
        <v>46400</v>
      </c>
    </row>
    <row r="17" spans="1:22" x14ac:dyDescent="0.2">
      <c r="A17" s="627">
        <v>124</v>
      </c>
      <c r="B17" s="628" t="s">
        <v>988</v>
      </c>
      <c r="C17" s="3" t="s">
        <v>292</v>
      </c>
      <c r="D17" s="3">
        <v>6</v>
      </c>
      <c r="E17" s="1">
        <v>400</v>
      </c>
      <c r="F17" s="629">
        <v>2000</v>
      </c>
      <c r="G17" s="416">
        <v>0</v>
      </c>
      <c r="H17" s="629">
        <v>0</v>
      </c>
      <c r="I17" s="416">
        <v>1</v>
      </c>
      <c r="J17" s="627" t="s">
        <v>229</v>
      </c>
      <c r="K17" s="629">
        <v>0</v>
      </c>
      <c r="L17" s="627" t="s">
        <v>230</v>
      </c>
      <c r="M17" s="629">
        <v>0</v>
      </c>
      <c r="N17" s="627" t="s">
        <v>231</v>
      </c>
      <c r="O17" s="629">
        <v>5</v>
      </c>
      <c r="P17" s="627" t="s">
        <v>232</v>
      </c>
      <c r="Q17" s="417">
        <v>120</v>
      </c>
      <c r="R17" s="630">
        <f>IF(ISERROR(VLOOKUP(J17,Baupläne!$C$2:$X$231,20,FALSE)),0,VLOOKUP(J17,Baupläne!$C$2:$X$231,20,FALSE))</f>
        <v>20800</v>
      </c>
      <c r="S17" s="12">
        <f>IF(ISERROR(VLOOKUP(L17,Baupläne!$C$2:$X$231,20,FALSE)),0,VLOOKUP(L17,Baupläne!$C$2:$X$231,20,FALSE))</f>
        <v>17600</v>
      </c>
      <c r="T17" s="12">
        <f>IF(ISERROR(VLOOKUP(N17,Baupläne!$C$2:$X$231,20,FALSE)),0,VLOOKUP(N17,Baupläne!$C$2:$X$231,20,FALSE))</f>
        <v>25600</v>
      </c>
      <c r="U17" s="631">
        <f>IF(ISERROR(VLOOKUP(P17,Baupläne!$C$2:$X$231,20,FALSE)),0,VLOOKUP(P17,Baupläne!$C$2:$X$231,20,FALSE))</f>
        <v>14400</v>
      </c>
      <c r="V17" s="632">
        <f t="shared" si="0"/>
        <v>92800</v>
      </c>
    </row>
    <row r="18" spans="1:22" x14ac:dyDescent="0.2">
      <c r="A18" s="627">
        <v>125</v>
      </c>
      <c r="B18" s="628" t="s">
        <v>989</v>
      </c>
      <c r="C18" s="1" t="s">
        <v>292</v>
      </c>
      <c r="D18" s="3">
        <v>6</v>
      </c>
      <c r="E18" s="1">
        <v>500</v>
      </c>
      <c r="F18" s="629">
        <v>2400</v>
      </c>
      <c r="G18" s="416">
        <v>0</v>
      </c>
      <c r="H18" s="629">
        <v>0</v>
      </c>
      <c r="I18" s="416">
        <v>1</v>
      </c>
      <c r="J18" s="627" t="s">
        <v>233</v>
      </c>
      <c r="K18" s="629">
        <v>0</v>
      </c>
      <c r="L18" s="627" t="s">
        <v>234</v>
      </c>
      <c r="M18" s="629">
        <v>0</v>
      </c>
      <c r="N18" s="627" t="s">
        <v>235</v>
      </c>
      <c r="O18" s="629">
        <v>5</v>
      </c>
      <c r="P18" s="627" t="s">
        <v>236</v>
      </c>
      <c r="Q18" s="417">
        <v>240</v>
      </c>
      <c r="R18" s="630">
        <f>IF(ISERROR(VLOOKUP(J18,Baupläne!$C$2:$X$231,20,FALSE)),0,VLOOKUP(J18,Baupläne!$C$2:$X$231,20,FALSE))</f>
        <v>41600</v>
      </c>
      <c r="S18" s="12">
        <f>IF(ISERROR(VLOOKUP(L18,Baupläne!$C$2:$X$231,20,FALSE)),0,VLOOKUP(L18,Baupläne!$C$2:$X$231,20,FALSE))</f>
        <v>35200</v>
      </c>
      <c r="T18" s="12">
        <f>IF(ISERROR(VLOOKUP(N18,Baupläne!$C$2:$X$231,20,FALSE)),0,VLOOKUP(N18,Baupläne!$C$2:$X$231,20,FALSE))</f>
        <v>51200</v>
      </c>
      <c r="U18" s="631">
        <f>IF(ISERROR(VLOOKUP(P18,Baupläne!$C$2:$X$231,20,FALSE)),0,VLOOKUP(P18,Baupläne!$C$2:$X$231,20,FALSE))</f>
        <v>28800</v>
      </c>
      <c r="V18" s="632">
        <f t="shared" si="0"/>
        <v>185600</v>
      </c>
    </row>
    <row r="19" spans="1:22" x14ac:dyDescent="0.2">
      <c r="R19" s="630">
        <f>IF(ISERROR(VLOOKUP(J19,Baupläne!$C$2:$X$231,20,FALSE)),0,VLOOKUP(J19,Baupläne!$C$2:$X$231,20,FALSE))</f>
        <v>0</v>
      </c>
      <c r="S19" s="12">
        <f>IF(ISERROR(VLOOKUP(L19,Baupläne!$C$2:$X$231,20,FALSE)),0,VLOOKUP(L19,Baupläne!$C$2:$X$231,20,FALSE))</f>
        <v>0</v>
      </c>
      <c r="T19" s="12">
        <f>IF(ISERROR(VLOOKUP(N19,Baupläne!$C$2:$X$231,20,FALSE)),0,VLOOKUP(N19,Baupläne!$C$2:$X$231,20,FALSE))</f>
        <v>0</v>
      </c>
      <c r="U19" s="631">
        <f>IF(ISERROR(VLOOKUP(P19,Baupläne!$C$2:$X$231,20,FALSE)),0,VLOOKUP(P19,Baupläne!$C$2:$X$231,20,FALSE))</f>
        <v>0</v>
      </c>
      <c r="V19" s="632">
        <f t="shared" si="0"/>
        <v>0</v>
      </c>
    </row>
    <row r="20" spans="1:22" x14ac:dyDescent="0.2">
      <c r="A20" s="627">
        <v>201</v>
      </c>
      <c r="B20" s="628" t="s">
        <v>990</v>
      </c>
      <c r="C20" s="3" t="s">
        <v>292</v>
      </c>
      <c r="D20" s="1">
        <v>4</v>
      </c>
      <c r="E20" s="1">
        <v>80</v>
      </c>
      <c r="F20" s="629">
        <v>800</v>
      </c>
      <c r="G20" s="416">
        <v>0</v>
      </c>
      <c r="H20" s="629">
        <v>0</v>
      </c>
      <c r="I20" s="416">
        <v>1</v>
      </c>
      <c r="J20" s="627" t="s">
        <v>217</v>
      </c>
      <c r="K20" s="629">
        <v>1</v>
      </c>
      <c r="L20" s="627" t="s">
        <v>218</v>
      </c>
      <c r="M20" s="629">
        <v>1</v>
      </c>
      <c r="N20" s="627" t="s">
        <v>219</v>
      </c>
      <c r="O20" s="629">
        <v>0</v>
      </c>
      <c r="P20" s="627" t="s">
        <v>220</v>
      </c>
      <c r="Q20" s="417">
        <v>10</v>
      </c>
      <c r="R20" s="630">
        <f>IF(ISERROR(VLOOKUP(J20,Baupläne!$C$2:$X$231,20,FALSE)),0,VLOOKUP(J20,Baupläne!$C$2:$X$231,20,FALSE))</f>
        <v>2600</v>
      </c>
      <c r="S20" s="12">
        <f>IF(ISERROR(VLOOKUP(L20,Baupläne!$C$2:$X$231,20,FALSE)),0,VLOOKUP(L20,Baupläne!$C$2:$X$231,20,FALSE))</f>
        <v>2200</v>
      </c>
      <c r="T20" s="12">
        <f>IF(ISERROR(VLOOKUP(N20,Baupläne!$C$2:$X$231,20,FALSE)),0,VLOOKUP(N20,Baupläne!$C$2:$X$231,20,FALSE))</f>
        <v>3200</v>
      </c>
      <c r="U20" s="631">
        <f>IF(ISERROR(VLOOKUP(P20,Baupläne!$C$2:$X$231,20,FALSE)),0,VLOOKUP(P20,Baupläne!$C$2:$X$231,20,FALSE))</f>
        <v>1800</v>
      </c>
      <c r="V20" s="632">
        <f t="shared" si="0"/>
        <v>8000</v>
      </c>
    </row>
    <row r="21" spans="1:22" x14ac:dyDescent="0.2">
      <c r="A21" s="627">
        <v>202</v>
      </c>
      <c r="B21" s="628" t="s">
        <v>991</v>
      </c>
      <c r="C21" s="3" t="s">
        <v>292</v>
      </c>
      <c r="D21" s="1">
        <v>4</v>
      </c>
      <c r="E21" s="1">
        <v>160</v>
      </c>
      <c r="F21" s="629">
        <v>1200</v>
      </c>
      <c r="G21" s="416">
        <v>0</v>
      </c>
      <c r="H21" s="629">
        <v>0</v>
      </c>
      <c r="I21" s="416">
        <v>1</v>
      </c>
      <c r="J21" s="627" t="s">
        <v>221</v>
      </c>
      <c r="K21" s="629">
        <v>1</v>
      </c>
      <c r="L21" s="627" t="s">
        <v>222</v>
      </c>
      <c r="M21" s="629">
        <v>1</v>
      </c>
      <c r="N21" s="627" t="s">
        <v>223</v>
      </c>
      <c r="O21" s="629">
        <v>0</v>
      </c>
      <c r="P21" s="627" t="s">
        <v>224</v>
      </c>
      <c r="Q21" s="417">
        <v>20</v>
      </c>
      <c r="R21" s="630">
        <f>IF(ISERROR(VLOOKUP(J21,Baupläne!$C$2:$X$231,20,FALSE)),0,VLOOKUP(J21,Baupläne!$C$2:$X$231,20,FALSE))</f>
        <v>5200</v>
      </c>
      <c r="S21" s="12">
        <f>IF(ISERROR(VLOOKUP(L21,Baupläne!$C$2:$X$231,20,FALSE)),0,VLOOKUP(L21,Baupläne!$C$2:$X$231,20,FALSE))</f>
        <v>4400</v>
      </c>
      <c r="T21" s="12">
        <f>IF(ISERROR(VLOOKUP(N21,Baupläne!$C$2:$X$231,20,FALSE)),0,VLOOKUP(N21,Baupläne!$C$2:$X$231,20,FALSE))</f>
        <v>6400</v>
      </c>
      <c r="U21" s="631">
        <f>IF(ISERROR(VLOOKUP(P21,Baupläne!$C$2:$X$231,20,FALSE)),0,VLOOKUP(P21,Baupläne!$C$2:$X$231,20,FALSE))</f>
        <v>3600</v>
      </c>
      <c r="V21" s="632">
        <f t="shared" si="0"/>
        <v>16000</v>
      </c>
    </row>
    <row r="22" spans="1:22" x14ac:dyDescent="0.2">
      <c r="A22" s="627">
        <v>203</v>
      </c>
      <c r="B22" s="628" t="s">
        <v>992</v>
      </c>
      <c r="C22" s="3" t="s">
        <v>292</v>
      </c>
      <c r="D22" s="1">
        <v>5</v>
      </c>
      <c r="E22" s="1">
        <v>240</v>
      </c>
      <c r="F22" s="629">
        <v>1600</v>
      </c>
      <c r="G22" s="416">
        <v>0</v>
      </c>
      <c r="H22" s="629">
        <v>0</v>
      </c>
      <c r="I22" s="416">
        <v>1</v>
      </c>
      <c r="J22" s="627" t="s">
        <v>225</v>
      </c>
      <c r="K22" s="629">
        <v>1</v>
      </c>
      <c r="L22" s="627" t="s">
        <v>226</v>
      </c>
      <c r="M22" s="629">
        <v>1</v>
      </c>
      <c r="N22" s="627" t="s">
        <v>227</v>
      </c>
      <c r="O22" s="629">
        <v>0</v>
      </c>
      <c r="P22" s="627" t="s">
        <v>228</v>
      </c>
      <c r="Q22" s="417">
        <v>40</v>
      </c>
      <c r="R22" s="630">
        <f>IF(ISERROR(VLOOKUP(J22,Baupläne!$C$2:$X$231,20,FALSE)),0,VLOOKUP(J22,Baupläne!$C$2:$X$231,20,FALSE))</f>
        <v>10400</v>
      </c>
      <c r="S22" s="12">
        <f>IF(ISERROR(VLOOKUP(L22,Baupläne!$C$2:$X$231,20,FALSE)),0,VLOOKUP(L22,Baupläne!$C$2:$X$231,20,FALSE))</f>
        <v>8800</v>
      </c>
      <c r="T22" s="12">
        <f>IF(ISERROR(VLOOKUP(N22,Baupläne!$C$2:$X$231,20,FALSE)),0,VLOOKUP(N22,Baupläne!$C$2:$X$231,20,FALSE))</f>
        <v>12800</v>
      </c>
      <c r="U22" s="631">
        <f>IF(ISERROR(VLOOKUP(P22,Baupläne!$C$2:$X$231,20,FALSE)),0,VLOOKUP(P22,Baupläne!$C$2:$X$231,20,FALSE))</f>
        <v>7200</v>
      </c>
      <c r="V22" s="632">
        <f t="shared" ref="V22:V85" si="2">(R22*I22)+(S22*K22)+(M22*T22)+(O22*U22)</f>
        <v>32000</v>
      </c>
    </row>
    <row r="23" spans="1:22" x14ac:dyDescent="0.2">
      <c r="A23" s="627">
        <v>204</v>
      </c>
      <c r="B23" s="628" t="s">
        <v>993</v>
      </c>
      <c r="C23" s="3" t="s">
        <v>292</v>
      </c>
      <c r="D23" s="3">
        <v>6</v>
      </c>
      <c r="E23" s="3">
        <v>320</v>
      </c>
      <c r="F23" s="629">
        <v>2000</v>
      </c>
      <c r="G23" s="416">
        <v>0</v>
      </c>
      <c r="H23" s="629">
        <v>0</v>
      </c>
      <c r="I23" s="416">
        <v>1</v>
      </c>
      <c r="J23" s="627" t="s">
        <v>229</v>
      </c>
      <c r="K23" s="629">
        <v>1</v>
      </c>
      <c r="L23" s="627" t="s">
        <v>230</v>
      </c>
      <c r="M23" s="629">
        <v>1</v>
      </c>
      <c r="N23" s="627" t="s">
        <v>231</v>
      </c>
      <c r="O23" s="629">
        <v>0</v>
      </c>
      <c r="P23" s="627" t="s">
        <v>232</v>
      </c>
      <c r="Q23" s="417">
        <v>80</v>
      </c>
      <c r="R23" s="630">
        <f>IF(ISERROR(VLOOKUP(J23,Baupläne!$C$2:$X$231,20,FALSE)),0,VLOOKUP(J23,Baupläne!$C$2:$X$231,20,FALSE))</f>
        <v>20800</v>
      </c>
      <c r="S23" s="12">
        <f>IF(ISERROR(VLOOKUP(L23,Baupläne!$C$2:$X$231,20,FALSE)),0,VLOOKUP(L23,Baupläne!$C$2:$X$231,20,FALSE))</f>
        <v>17600</v>
      </c>
      <c r="T23" s="12">
        <f>IF(ISERROR(VLOOKUP(N23,Baupläne!$C$2:$X$231,20,FALSE)),0,VLOOKUP(N23,Baupläne!$C$2:$X$231,20,FALSE))</f>
        <v>25600</v>
      </c>
      <c r="U23" s="631">
        <f>IF(ISERROR(VLOOKUP(P23,Baupläne!$C$2:$X$231,20,FALSE)),0,VLOOKUP(P23,Baupläne!$C$2:$X$231,20,FALSE))</f>
        <v>14400</v>
      </c>
      <c r="V23" s="632">
        <f t="shared" si="2"/>
        <v>64000</v>
      </c>
    </row>
    <row r="24" spans="1:22" x14ac:dyDescent="0.2">
      <c r="A24" s="627">
        <v>205</v>
      </c>
      <c r="B24" s="628" t="s">
        <v>994</v>
      </c>
      <c r="C24" s="3" t="s">
        <v>292</v>
      </c>
      <c r="D24" s="3">
        <v>6</v>
      </c>
      <c r="E24" s="3">
        <v>400</v>
      </c>
      <c r="F24" s="629">
        <v>2400</v>
      </c>
      <c r="G24" s="416">
        <v>0</v>
      </c>
      <c r="H24" s="629">
        <v>0</v>
      </c>
      <c r="I24" s="416">
        <v>1</v>
      </c>
      <c r="J24" s="627" t="s">
        <v>233</v>
      </c>
      <c r="K24" s="629">
        <v>1</v>
      </c>
      <c r="L24" s="627" t="s">
        <v>234</v>
      </c>
      <c r="M24" s="629">
        <v>1</v>
      </c>
      <c r="N24" s="627" t="s">
        <v>235</v>
      </c>
      <c r="O24" s="629">
        <v>0</v>
      </c>
      <c r="P24" s="627" t="s">
        <v>236</v>
      </c>
      <c r="Q24" s="417">
        <v>160</v>
      </c>
      <c r="R24" s="630">
        <f>IF(ISERROR(VLOOKUP(J24,Baupläne!$C$2:$X$231,20,FALSE)),0,VLOOKUP(J24,Baupläne!$C$2:$X$231,20,FALSE))</f>
        <v>41600</v>
      </c>
      <c r="S24" s="12">
        <f>IF(ISERROR(VLOOKUP(L24,Baupläne!$C$2:$X$231,20,FALSE)),0,VLOOKUP(L24,Baupläne!$C$2:$X$231,20,FALSE))</f>
        <v>35200</v>
      </c>
      <c r="T24" s="12">
        <f>IF(ISERROR(VLOOKUP(N24,Baupläne!$C$2:$X$231,20,FALSE)),0,VLOOKUP(N24,Baupläne!$C$2:$X$231,20,FALSE))</f>
        <v>51200</v>
      </c>
      <c r="U24" s="631">
        <f>IF(ISERROR(VLOOKUP(P24,Baupläne!$C$2:$X$231,20,FALSE)),0,VLOOKUP(P24,Baupläne!$C$2:$X$231,20,FALSE))</f>
        <v>28800</v>
      </c>
      <c r="V24" s="632">
        <f t="shared" si="2"/>
        <v>128000</v>
      </c>
    </row>
    <row r="25" spans="1:22" x14ac:dyDescent="0.2">
      <c r="R25" s="630">
        <f>IF(ISERROR(VLOOKUP(J25,Baupläne!$C$2:$X$231,20,FALSE)),0,VLOOKUP(J25,Baupläne!$C$2:$X$231,20,FALSE))</f>
        <v>0</v>
      </c>
      <c r="S25" s="12">
        <f>IF(ISERROR(VLOOKUP(L25,Baupläne!$C$2:$X$231,20,FALSE)),0,VLOOKUP(L25,Baupläne!$C$2:$X$231,20,FALSE))</f>
        <v>0</v>
      </c>
      <c r="T25" s="12">
        <f>IF(ISERROR(VLOOKUP(N25,Baupläne!$C$2:$X$231,20,FALSE)),0,VLOOKUP(N25,Baupläne!$C$2:$X$231,20,FALSE))</f>
        <v>0</v>
      </c>
      <c r="U25" s="631">
        <f>IF(ISERROR(VLOOKUP(P25,Baupläne!$C$2:$X$231,20,FALSE)),0,VLOOKUP(P25,Baupläne!$C$2:$X$231,20,FALSE))</f>
        <v>0</v>
      </c>
      <c r="V25" s="632">
        <f t="shared" si="2"/>
        <v>0</v>
      </c>
    </row>
    <row r="26" spans="1:22" x14ac:dyDescent="0.2">
      <c r="A26" s="627">
        <v>211</v>
      </c>
      <c r="B26" s="628" t="s">
        <v>995</v>
      </c>
      <c r="C26" s="3" t="s">
        <v>292</v>
      </c>
      <c r="D26" s="1">
        <v>4</v>
      </c>
      <c r="E26" s="1">
        <v>80</v>
      </c>
      <c r="F26" s="629">
        <v>800</v>
      </c>
      <c r="G26" s="416">
        <v>0</v>
      </c>
      <c r="H26" s="629">
        <v>0</v>
      </c>
      <c r="I26" s="416">
        <v>1</v>
      </c>
      <c r="J26" s="627" t="s">
        <v>217</v>
      </c>
      <c r="K26" s="629">
        <v>1</v>
      </c>
      <c r="L26" s="627" t="s">
        <v>218</v>
      </c>
      <c r="M26" s="629">
        <v>1</v>
      </c>
      <c r="N26" s="627" t="s">
        <v>219</v>
      </c>
      <c r="O26" s="629">
        <v>0</v>
      </c>
      <c r="P26" s="627" t="s">
        <v>220</v>
      </c>
      <c r="Q26" s="417">
        <v>10</v>
      </c>
      <c r="R26" s="630">
        <f>IF(ISERROR(VLOOKUP(J26,Baupläne!$C$2:$X$231,20,FALSE)),0,VLOOKUP(J26,Baupläne!$C$2:$X$231,20,FALSE))</f>
        <v>2600</v>
      </c>
      <c r="S26" s="12">
        <f>IF(ISERROR(VLOOKUP(L26,Baupläne!$C$2:$X$231,20,FALSE)),0,VLOOKUP(L26,Baupläne!$C$2:$X$231,20,FALSE))</f>
        <v>2200</v>
      </c>
      <c r="T26" s="12">
        <f>IF(ISERROR(VLOOKUP(N26,Baupläne!$C$2:$X$231,20,FALSE)),0,VLOOKUP(N26,Baupläne!$C$2:$X$231,20,FALSE))</f>
        <v>3200</v>
      </c>
      <c r="U26" s="631">
        <f>IF(ISERROR(VLOOKUP(P26,Baupläne!$C$2:$X$231,20,FALSE)),0,VLOOKUP(P26,Baupläne!$C$2:$X$231,20,FALSE))</f>
        <v>1800</v>
      </c>
      <c r="V26" s="632">
        <f t="shared" si="2"/>
        <v>8000</v>
      </c>
    </row>
    <row r="27" spans="1:22" x14ac:dyDescent="0.2">
      <c r="A27" s="627">
        <v>212</v>
      </c>
      <c r="B27" s="628" t="s">
        <v>996</v>
      </c>
      <c r="C27" s="3" t="s">
        <v>292</v>
      </c>
      <c r="D27" s="1">
        <v>4</v>
      </c>
      <c r="E27" s="1">
        <v>160</v>
      </c>
      <c r="F27" s="629">
        <v>1200</v>
      </c>
      <c r="G27" s="416">
        <v>0</v>
      </c>
      <c r="H27" s="629">
        <v>0</v>
      </c>
      <c r="I27" s="416">
        <v>1</v>
      </c>
      <c r="J27" s="627" t="s">
        <v>221</v>
      </c>
      <c r="K27" s="629">
        <v>1</v>
      </c>
      <c r="L27" s="627" t="s">
        <v>222</v>
      </c>
      <c r="M27" s="629">
        <v>1</v>
      </c>
      <c r="N27" s="627" t="s">
        <v>223</v>
      </c>
      <c r="O27" s="629">
        <v>0</v>
      </c>
      <c r="P27" s="627" t="s">
        <v>224</v>
      </c>
      <c r="Q27" s="417">
        <v>20</v>
      </c>
      <c r="R27" s="630">
        <f>IF(ISERROR(VLOOKUP(J27,Baupläne!$C$2:$X$231,20,FALSE)),0,VLOOKUP(J27,Baupläne!$C$2:$X$231,20,FALSE))</f>
        <v>5200</v>
      </c>
      <c r="S27" s="12">
        <f>IF(ISERROR(VLOOKUP(L27,Baupläne!$C$2:$X$231,20,FALSE)),0,VLOOKUP(L27,Baupläne!$C$2:$X$231,20,FALSE))</f>
        <v>4400</v>
      </c>
      <c r="T27" s="12">
        <f>IF(ISERROR(VLOOKUP(N27,Baupläne!$C$2:$X$231,20,FALSE)),0,VLOOKUP(N27,Baupläne!$C$2:$X$231,20,FALSE))</f>
        <v>6400</v>
      </c>
      <c r="U27" s="631">
        <f>IF(ISERROR(VLOOKUP(P27,Baupläne!$C$2:$X$231,20,FALSE)),0,VLOOKUP(P27,Baupläne!$C$2:$X$231,20,FALSE))</f>
        <v>3600</v>
      </c>
      <c r="V27" s="632">
        <f t="shared" si="2"/>
        <v>16000</v>
      </c>
    </row>
    <row r="28" spans="1:22" x14ac:dyDescent="0.2">
      <c r="A28" s="627">
        <v>213</v>
      </c>
      <c r="B28" s="628" t="s">
        <v>997</v>
      </c>
      <c r="C28" s="3" t="s">
        <v>292</v>
      </c>
      <c r="D28" s="1">
        <v>5</v>
      </c>
      <c r="E28" s="1">
        <v>240</v>
      </c>
      <c r="F28" s="629">
        <v>1600</v>
      </c>
      <c r="G28" s="416">
        <v>0</v>
      </c>
      <c r="H28" s="629">
        <v>0</v>
      </c>
      <c r="I28" s="416">
        <v>1</v>
      </c>
      <c r="J28" s="627" t="s">
        <v>225</v>
      </c>
      <c r="K28" s="629">
        <v>1</v>
      </c>
      <c r="L28" s="627" t="s">
        <v>226</v>
      </c>
      <c r="M28" s="629">
        <v>1</v>
      </c>
      <c r="N28" s="627" t="s">
        <v>227</v>
      </c>
      <c r="O28" s="629">
        <v>0</v>
      </c>
      <c r="P28" s="627" t="s">
        <v>228</v>
      </c>
      <c r="Q28" s="417">
        <v>40</v>
      </c>
      <c r="R28" s="630">
        <f>IF(ISERROR(VLOOKUP(J28,Baupläne!$C$2:$X$231,20,FALSE)),0,VLOOKUP(J28,Baupläne!$C$2:$X$231,20,FALSE))</f>
        <v>10400</v>
      </c>
      <c r="S28" s="12">
        <f>IF(ISERROR(VLOOKUP(L28,Baupläne!$C$2:$X$231,20,FALSE)),0,VLOOKUP(L28,Baupläne!$C$2:$X$231,20,FALSE))</f>
        <v>8800</v>
      </c>
      <c r="T28" s="12">
        <f>IF(ISERROR(VLOOKUP(N28,Baupläne!$C$2:$X$231,20,FALSE)),0,VLOOKUP(N28,Baupläne!$C$2:$X$231,20,FALSE))</f>
        <v>12800</v>
      </c>
      <c r="U28" s="631">
        <f>IF(ISERROR(VLOOKUP(P28,Baupläne!$C$2:$X$231,20,FALSE)),0,VLOOKUP(P28,Baupläne!$C$2:$X$231,20,FALSE))</f>
        <v>7200</v>
      </c>
      <c r="V28" s="632">
        <f t="shared" si="2"/>
        <v>32000</v>
      </c>
    </row>
    <row r="29" spans="1:22" x14ac:dyDescent="0.2">
      <c r="A29" s="627">
        <v>214</v>
      </c>
      <c r="B29" s="628" t="s">
        <v>998</v>
      </c>
      <c r="C29" s="3" t="s">
        <v>292</v>
      </c>
      <c r="D29" s="3">
        <v>6</v>
      </c>
      <c r="E29" s="3">
        <v>320</v>
      </c>
      <c r="F29" s="629">
        <v>2000</v>
      </c>
      <c r="G29" s="416">
        <v>0</v>
      </c>
      <c r="H29" s="629">
        <v>0</v>
      </c>
      <c r="I29" s="416">
        <v>1</v>
      </c>
      <c r="J29" s="627" t="s">
        <v>229</v>
      </c>
      <c r="K29" s="629">
        <v>1</v>
      </c>
      <c r="L29" s="627" t="s">
        <v>230</v>
      </c>
      <c r="M29" s="629">
        <v>1</v>
      </c>
      <c r="N29" s="627" t="s">
        <v>231</v>
      </c>
      <c r="O29" s="629">
        <v>0</v>
      </c>
      <c r="P29" s="627" t="s">
        <v>232</v>
      </c>
      <c r="Q29" s="417">
        <v>80</v>
      </c>
      <c r="R29" s="630">
        <f>IF(ISERROR(VLOOKUP(J29,Baupläne!$C$2:$X$231,20,FALSE)),0,VLOOKUP(J29,Baupläne!$C$2:$X$231,20,FALSE))</f>
        <v>20800</v>
      </c>
      <c r="S29" s="12">
        <f>IF(ISERROR(VLOOKUP(L29,Baupläne!$C$2:$X$231,20,FALSE)),0,VLOOKUP(L29,Baupläne!$C$2:$X$231,20,FALSE))</f>
        <v>17600</v>
      </c>
      <c r="T29" s="12">
        <f>IF(ISERROR(VLOOKUP(N29,Baupläne!$C$2:$X$231,20,FALSE)),0,VLOOKUP(N29,Baupläne!$C$2:$X$231,20,FALSE))</f>
        <v>25600</v>
      </c>
      <c r="U29" s="631">
        <f>IF(ISERROR(VLOOKUP(P29,Baupläne!$C$2:$X$231,20,FALSE)),0,VLOOKUP(P29,Baupläne!$C$2:$X$231,20,FALSE))</f>
        <v>14400</v>
      </c>
      <c r="V29" s="632">
        <f t="shared" si="2"/>
        <v>64000</v>
      </c>
    </row>
    <row r="30" spans="1:22" x14ac:dyDescent="0.2">
      <c r="A30" s="627">
        <v>215</v>
      </c>
      <c r="B30" s="628" t="s">
        <v>999</v>
      </c>
      <c r="C30" s="1" t="s">
        <v>292</v>
      </c>
      <c r="D30" s="3">
        <v>6</v>
      </c>
      <c r="E30" s="3">
        <v>400</v>
      </c>
      <c r="F30" s="629">
        <v>2400</v>
      </c>
      <c r="G30" s="416">
        <v>0</v>
      </c>
      <c r="H30" s="629">
        <v>0</v>
      </c>
      <c r="I30" s="416">
        <v>1</v>
      </c>
      <c r="J30" s="627" t="s">
        <v>233</v>
      </c>
      <c r="K30" s="629">
        <v>1</v>
      </c>
      <c r="L30" s="627" t="s">
        <v>234</v>
      </c>
      <c r="M30" s="629">
        <v>1</v>
      </c>
      <c r="N30" s="627" t="s">
        <v>235</v>
      </c>
      <c r="O30" s="629">
        <v>0</v>
      </c>
      <c r="P30" s="627" t="s">
        <v>236</v>
      </c>
      <c r="Q30" s="417">
        <v>160</v>
      </c>
      <c r="R30" s="630">
        <f>IF(ISERROR(VLOOKUP(J30,Baupläne!$C$2:$X$231,20,FALSE)),0,VLOOKUP(J30,Baupläne!$C$2:$X$231,20,FALSE))</f>
        <v>41600</v>
      </c>
      <c r="S30" s="12">
        <f>IF(ISERROR(VLOOKUP(L30,Baupläne!$C$2:$X$231,20,FALSE)),0,VLOOKUP(L30,Baupläne!$C$2:$X$231,20,FALSE))</f>
        <v>35200</v>
      </c>
      <c r="T30" s="12">
        <f>IF(ISERROR(VLOOKUP(N30,Baupläne!$C$2:$X$231,20,FALSE)),0,VLOOKUP(N30,Baupläne!$C$2:$X$231,20,FALSE))</f>
        <v>51200</v>
      </c>
      <c r="U30" s="631">
        <f>IF(ISERROR(VLOOKUP(P30,Baupläne!$C$2:$X$231,20,FALSE)),0,VLOOKUP(P30,Baupläne!$C$2:$X$231,20,FALSE))</f>
        <v>28800</v>
      </c>
      <c r="V30" s="632">
        <f t="shared" si="2"/>
        <v>128000</v>
      </c>
    </row>
    <row r="31" spans="1:22" x14ac:dyDescent="0.2">
      <c r="R31" s="630">
        <f>IF(ISERROR(VLOOKUP(J31,Baupläne!$C$2:$X$231,20,FALSE)),0,VLOOKUP(J31,Baupläne!$C$2:$X$231,20,FALSE))</f>
        <v>0</v>
      </c>
      <c r="S31" s="12">
        <f>IF(ISERROR(VLOOKUP(L31,Baupläne!$C$2:$X$231,20,FALSE)),0,VLOOKUP(L31,Baupläne!$C$2:$X$231,20,FALSE))</f>
        <v>0</v>
      </c>
      <c r="T31" s="12">
        <f>IF(ISERROR(VLOOKUP(N31,Baupläne!$C$2:$X$231,20,FALSE)),0,VLOOKUP(N31,Baupläne!$C$2:$X$231,20,FALSE))</f>
        <v>0</v>
      </c>
      <c r="U31" s="631">
        <f>IF(ISERROR(VLOOKUP(P31,Baupläne!$C$2:$X$231,20,FALSE)),0,VLOOKUP(P31,Baupläne!$C$2:$X$231,20,FALSE))</f>
        <v>0</v>
      </c>
      <c r="V31" s="632">
        <f t="shared" si="2"/>
        <v>0</v>
      </c>
    </row>
    <row r="32" spans="1:22" x14ac:dyDescent="0.2">
      <c r="A32" s="627">
        <v>221</v>
      </c>
      <c r="B32" s="628" t="s">
        <v>1000</v>
      </c>
      <c r="C32" s="3" t="s">
        <v>292</v>
      </c>
      <c r="D32" s="1">
        <v>4</v>
      </c>
      <c r="E32" s="1">
        <v>80</v>
      </c>
      <c r="F32" s="629">
        <v>800</v>
      </c>
      <c r="G32" s="416">
        <v>0</v>
      </c>
      <c r="H32" s="629">
        <v>0</v>
      </c>
      <c r="I32" s="416">
        <v>1</v>
      </c>
      <c r="J32" s="627" t="s">
        <v>217</v>
      </c>
      <c r="K32" s="629">
        <v>1</v>
      </c>
      <c r="L32" s="627" t="s">
        <v>218</v>
      </c>
      <c r="M32" s="629">
        <v>1</v>
      </c>
      <c r="N32" s="627" t="s">
        <v>219</v>
      </c>
      <c r="O32" s="629">
        <v>0</v>
      </c>
      <c r="P32" s="627" t="s">
        <v>220</v>
      </c>
      <c r="Q32" s="417">
        <v>10</v>
      </c>
      <c r="R32" s="630">
        <f>IF(ISERROR(VLOOKUP(J32,Baupläne!$C$2:$X$231,20,FALSE)),0,VLOOKUP(J32,Baupläne!$C$2:$X$231,20,FALSE))</f>
        <v>2600</v>
      </c>
      <c r="S32" s="12">
        <f>IF(ISERROR(VLOOKUP(L32,Baupläne!$C$2:$X$231,20,FALSE)),0,VLOOKUP(L32,Baupläne!$C$2:$X$231,20,FALSE))</f>
        <v>2200</v>
      </c>
      <c r="T32" s="12">
        <f>IF(ISERROR(VLOOKUP(N32,Baupläne!$C$2:$X$231,20,FALSE)),0,VLOOKUP(N32,Baupläne!$C$2:$X$231,20,FALSE))</f>
        <v>3200</v>
      </c>
      <c r="U32" s="631">
        <f>IF(ISERROR(VLOOKUP(P32,Baupläne!$C$2:$X$231,20,FALSE)),0,VLOOKUP(P32,Baupläne!$C$2:$X$231,20,FALSE))</f>
        <v>1800</v>
      </c>
      <c r="V32" s="632">
        <f t="shared" si="2"/>
        <v>8000</v>
      </c>
    </row>
    <row r="33" spans="1:22" x14ac:dyDescent="0.2">
      <c r="A33" s="627">
        <v>222</v>
      </c>
      <c r="B33" s="628" t="s">
        <v>1001</v>
      </c>
      <c r="C33" s="3" t="s">
        <v>292</v>
      </c>
      <c r="D33" s="1">
        <v>4</v>
      </c>
      <c r="E33" s="1">
        <v>160</v>
      </c>
      <c r="F33" s="629">
        <v>1200</v>
      </c>
      <c r="G33" s="416">
        <v>0</v>
      </c>
      <c r="H33" s="629">
        <v>0</v>
      </c>
      <c r="I33" s="416">
        <v>1</v>
      </c>
      <c r="J33" s="627" t="s">
        <v>221</v>
      </c>
      <c r="K33" s="629">
        <v>1</v>
      </c>
      <c r="L33" s="627" t="s">
        <v>222</v>
      </c>
      <c r="M33" s="629">
        <v>1</v>
      </c>
      <c r="N33" s="627" t="s">
        <v>223</v>
      </c>
      <c r="O33" s="629">
        <v>0</v>
      </c>
      <c r="P33" s="627" t="s">
        <v>224</v>
      </c>
      <c r="Q33" s="417">
        <v>20</v>
      </c>
      <c r="R33" s="630">
        <f>IF(ISERROR(VLOOKUP(J33,Baupläne!$C$2:$X$231,20,FALSE)),0,VLOOKUP(J33,Baupläne!$C$2:$X$231,20,FALSE))</f>
        <v>5200</v>
      </c>
      <c r="S33" s="12">
        <f>IF(ISERROR(VLOOKUP(L33,Baupläne!$C$2:$X$231,20,FALSE)),0,VLOOKUP(L33,Baupläne!$C$2:$X$231,20,FALSE))</f>
        <v>4400</v>
      </c>
      <c r="T33" s="12">
        <f>IF(ISERROR(VLOOKUP(N33,Baupläne!$C$2:$X$231,20,FALSE)),0,VLOOKUP(N33,Baupläne!$C$2:$X$231,20,FALSE))</f>
        <v>6400</v>
      </c>
      <c r="U33" s="631">
        <f>IF(ISERROR(VLOOKUP(P33,Baupläne!$C$2:$X$231,20,FALSE)),0,VLOOKUP(P33,Baupläne!$C$2:$X$231,20,FALSE))</f>
        <v>3600</v>
      </c>
      <c r="V33" s="632">
        <f t="shared" si="2"/>
        <v>16000</v>
      </c>
    </row>
    <row r="34" spans="1:22" x14ac:dyDescent="0.2">
      <c r="A34" s="627">
        <v>223</v>
      </c>
      <c r="B34" s="628" t="s">
        <v>1002</v>
      </c>
      <c r="C34" s="3" t="s">
        <v>292</v>
      </c>
      <c r="D34" s="1">
        <v>5</v>
      </c>
      <c r="E34" s="1">
        <v>240</v>
      </c>
      <c r="F34" s="629">
        <v>1600</v>
      </c>
      <c r="G34" s="416">
        <v>0</v>
      </c>
      <c r="H34" s="629">
        <v>0</v>
      </c>
      <c r="I34" s="416">
        <v>1</v>
      </c>
      <c r="J34" s="627" t="s">
        <v>225</v>
      </c>
      <c r="K34" s="629">
        <v>1</v>
      </c>
      <c r="L34" s="627" t="s">
        <v>226</v>
      </c>
      <c r="M34" s="629">
        <v>1</v>
      </c>
      <c r="N34" s="627" t="s">
        <v>227</v>
      </c>
      <c r="O34" s="629">
        <v>0</v>
      </c>
      <c r="P34" s="627" t="s">
        <v>228</v>
      </c>
      <c r="Q34" s="417">
        <v>40</v>
      </c>
      <c r="R34" s="630">
        <f>IF(ISERROR(VLOOKUP(J34,Baupläne!$C$2:$X$231,20,FALSE)),0,VLOOKUP(J34,Baupläne!$C$2:$X$231,20,FALSE))</f>
        <v>10400</v>
      </c>
      <c r="S34" s="12">
        <f>IF(ISERROR(VLOOKUP(L34,Baupläne!$C$2:$X$231,20,FALSE)),0,VLOOKUP(L34,Baupläne!$C$2:$X$231,20,FALSE))</f>
        <v>8800</v>
      </c>
      <c r="T34" s="12">
        <f>IF(ISERROR(VLOOKUP(N34,Baupläne!$C$2:$X$231,20,FALSE)),0,VLOOKUP(N34,Baupläne!$C$2:$X$231,20,FALSE))</f>
        <v>12800</v>
      </c>
      <c r="U34" s="631">
        <f>IF(ISERROR(VLOOKUP(P34,Baupläne!$C$2:$X$231,20,FALSE)),0,VLOOKUP(P34,Baupläne!$C$2:$X$231,20,FALSE))</f>
        <v>7200</v>
      </c>
      <c r="V34" s="632">
        <f t="shared" si="2"/>
        <v>32000</v>
      </c>
    </row>
    <row r="35" spans="1:22" x14ac:dyDescent="0.2">
      <c r="A35" s="627">
        <v>224</v>
      </c>
      <c r="B35" s="628" t="s">
        <v>1003</v>
      </c>
      <c r="C35" s="3" t="s">
        <v>292</v>
      </c>
      <c r="D35" s="3">
        <v>6</v>
      </c>
      <c r="E35" s="3">
        <v>320</v>
      </c>
      <c r="F35" s="629">
        <v>2000</v>
      </c>
      <c r="G35" s="416">
        <v>0</v>
      </c>
      <c r="H35" s="629">
        <v>0</v>
      </c>
      <c r="I35" s="416">
        <v>1</v>
      </c>
      <c r="J35" s="627" t="s">
        <v>229</v>
      </c>
      <c r="K35" s="629">
        <v>1</v>
      </c>
      <c r="L35" s="627" t="s">
        <v>230</v>
      </c>
      <c r="M35" s="629">
        <v>1</v>
      </c>
      <c r="N35" s="627" t="s">
        <v>231</v>
      </c>
      <c r="O35" s="629">
        <v>0</v>
      </c>
      <c r="P35" s="627" t="s">
        <v>232</v>
      </c>
      <c r="Q35" s="417">
        <v>80</v>
      </c>
      <c r="R35" s="630">
        <f>IF(ISERROR(VLOOKUP(J35,Baupläne!$C$2:$X$231,20,FALSE)),0,VLOOKUP(J35,Baupläne!$C$2:$X$231,20,FALSE))</f>
        <v>20800</v>
      </c>
      <c r="S35" s="12">
        <f>IF(ISERROR(VLOOKUP(L35,Baupläne!$C$2:$X$231,20,FALSE)),0,VLOOKUP(L35,Baupläne!$C$2:$X$231,20,FALSE))</f>
        <v>17600</v>
      </c>
      <c r="T35" s="12">
        <f>IF(ISERROR(VLOOKUP(N35,Baupläne!$C$2:$X$231,20,FALSE)),0,VLOOKUP(N35,Baupläne!$C$2:$X$231,20,FALSE))</f>
        <v>25600</v>
      </c>
      <c r="U35" s="631">
        <f>IF(ISERROR(VLOOKUP(P35,Baupläne!$C$2:$X$231,20,FALSE)),0,VLOOKUP(P35,Baupläne!$C$2:$X$231,20,FALSE))</f>
        <v>14400</v>
      </c>
      <c r="V35" s="632">
        <f t="shared" si="2"/>
        <v>64000</v>
      </c>
    </row>
    <row r="36" spans="1:22" x14ac:dyDescent="0.2">
      <c r="A36" s="627">
        <v>225</v>
      </c>
      <c r="B36" s="628" t="s">
        <v>1004</v>
      </c>
      <c r="C36" s="3" t="s">
        <v>292</v>
      </c>
      <c r="D36" s="3">
        <v>6</v>
      </c>
      <c r="E36" s="3">
        <v>400</v>
      </c>
      <c r="F36" s="629">
        <v>2400</v>
      </c>
      <c r="G36" s="416">
        <v>0</v>
      </c>
      <c r="H36" s="629">
        <v>0</v>
      </c>
      <c r="I36" s="416">
        <v>1</v>
      </c>
      <c r="J36" s="627" t="s">
        <v>233</v>
      </c>
      <c r="K36" s="629">
        <v>1</v>
      </c>
      <c r="L36" s="627" t="s">
        <v>234</v>
      </c>
      <c r="M36" s="629">
        <v>1</v>
      </c>
      <c r="N36" s="627" t="s">
        <v>235</v>
      </c>
      <c r="O36" s="629">
        <v>0</v>
      </c>
      <c r="P36" s="627" t="s">
        <v>236</v>
      </c>
      <c r="Q36" s="417">
        <v>160</v>
      </c>
      <c r="R36" s="630">
        <f>IF(ISERROR(VLOOKUP(J36,Baupläne!$C$2:$X$231,20,FALSE)),0,VLOOKUP(J36,Baupläne!$C$2:$X$231,20,FALSE))</f>
        <v>41600</v>
      </c>
      <c r="S36" s="12">
        <f>IF(ISERROR(VLOOKUP(L36,Baupläne!$C$2:$X$231,20,FALSE)),0,VLOOKUP(L36,Baupläne!$C$2:$X$231,20,FALSE))</f>
        <v>35200</v>
      </c>
      <c r="T36" s="12">
        <f>IF(ISERROR(VLOOKUP(N36,Baupläne!$C$2:$X$231,20,FALSE)),0,VLOOKUP(N36,Baupläne!$C$2:$X$231,20,FALSE))</f>
        <v>51200</v>
      </c>
      <c r="U36" s="631">
        <f>IF(ISERROR(VLOOKUP(P36,Baupläne!$C$2:$X$231,20,FALSE)),0,VLOOKUP(P36,Baupläne!$C$2:$X$231,20,FALSE))</f>
        <v>28800</v>
      </c>
      <c r="V36" s="632">
        <f t="shared" si="2"/>
        <v>128000</v>
      </c>
    </row>
    <row r="37" spans="1:22" x14ac:dyDescent="0.2">
      <c r="R37" s="630">
        <f>IF(ISERROR(VLOOKUP(J37,Baupläne!$C$2:$X$231,20,FALSE)),0,VLOOKUP(J37,Baupläne!$C$2:$X$231,20,FALSE))</f>
        <v>0</v>
      </c>
      <c r="S37" s="12">
        <f>IF(ISERROR(VLOOKUP(L37,Baupläne!$C$2:$X$231,20,FALSE)),0,VLOOKUP(L37,Baupläne!$C$2:$X$231,20,FALSE))</f>
        <v>0</v>
      </c>
      <c r="T37" s="12">
        <f>IF(ISERROR(VLOOKUP(N37,Baupläne!$C$2:$X$231,20,FALSE)),0,VLOOKUP(N37,Baupläne!$C$2:$X$231,20,FALSE))</f>
        <v>0</v>
      </c>
      <c r="U37" s="631">
        <f>IF(ISERROR(VLOOKUP(P37,Baupläne!$C$2:$X$231,20,FALSE)),0,VLOOKUP(P37,Baupläne!$C$2:$X$231,20,FALSE))</f>
        <v>0</v>
      </c>
      <c r="V37" s="632">
        <f t="shared" si="2"/>
        <v>0</v>
      </c>
    </row>
    <row r="38" spans="1:22" x14ac:dyDescent="0.2">
      <c r="A38" s="627">
        <v>231</v>
      </c>
      <c r="B38" s="628" t="s">
        <v>1005</v>
      </c>
      <c r="C38" s="3" t="s">
        <v>292</v>
      </c>
      <c r="D38" s="1">
        <v>4</v>
      </c>
      <c r="E38" s="1">
        <v>80</v>
      </c>
      <c r="F38" s="629">
        <v>800</v>
      </c>
      <c r="G38" s="416">
        <v>0</v>
      </c>
      <c r="H38" s="629">
        <v>0</v>
      </c>
      <c r="I38" s="416">
        <v>1</v>
      </c>
      <c r="J38" s="627" t="s">
        <v>217</v>
      </c>
      <c r="K38" s="629">
        <v>1</v>
      </c>
      <c r="L38" s="627" t="s">
        <v>218</v>
      </c>
      <c r="M38" s="629">
        <v>1</v>
      </c>
      <c r="N38" s="627" t="s">
        <v>219</v>
      </c>
      <c r="O38" s="629">
        <v>0</v>
      </c>
      <c r="P38" s="627" t="s">
        <v>220</v>
      </c>
      <c r="Q38" s="417">
        <v>10</v>
      </c>
      <c r="R38" s="630">
        <f>IF(ISERROR(VLOOKUP(J38,Baupläne!$C$2:$X$231,20,FALSE)),0,VLOOKUP(J38,Baupläne!$C$2:$X$231,20,FALSE))</f>
        <v>2600</v>
      </c>
      <c r="S38" s="12">
        <f>IF(ISERROR(VLOOKUP(L38,Baupläne!$C$2:$X$231,20,FALSE)),0,VLOOKUP(L38,Baupläne!$C$2:$X$231,20,FALSE))</f>
        <v>2200</v>
      </c>
      <c r="T38" s="12">
        <f>IF(ISERROR(VLOOKUP(N38,Baupläne!$C$2:$X$231,20,FALSE)),0,VLOOKUP(N38,Baupläne!$C$2:$X$231,20,FALSE))</f>
        <v>3200</v>
      </c>
      <c r="U38" s="631">
        <f>IF(ISERROR(VLOOKUP(P38,Baupläne!$C$2:$X$231,20,FALSE)),0,VLOOKUP(P38,Baupläne!$C$2:$X$231,20,FALSE))</f>
        <v>1800</v>
      </c>
      <c r="V38" s="632">
        <f t="shared" si="2"/>
        <v>8000</v>
      </c>
    </row>
    <row r="39" spans="1:22" x14ac:dyDescent="0.2">
      <c r="A39" s="627">
        <v>232</v>
      </c>
      <c r="B39" s="628" t="s">
        <v>1006</v>
      </c>
      <c r="C39" s="3" t="s">
        <v>292</v>
      </c>
      <c r="D39" s="1">
        <v>4</v>
      </c>
      <c r="E39" s="1">
        <v>160</v>
      </c>
      <c r="F39" s="629">
        <v>1200</v>
      </c>
      <c r="G39" s="416">
        <v>0</v>
      </c>
      <c r="H39" s="629">
        <v>0</v>
      </c>
      <c r="I39" s="416">
        <v>1</v>
      </c>
      <c r="J39" s="627" t="s">
        <v>221</v>
      </c>
      <c r="K39" s="629">
        <v>1</v>
      </c>
      <c r="L39" s="627" t="s">
        <v>222</v>
      </c>
      <c r="M39" s="629">
        <v>1</v>
      </c>
      <c r="N39" s="627" t="s">
        <v>223</v>
      </c>
      <c r="O39" s="629">
        <v>0</v>
      </c>
      <c r="P39" s="627" t="s">
        <v>224</v>
      </c>
      <c r="Q39" s="417">
        <v>20</v>
      </c>
      <c r="R39" s="630">
        <f>IF(ISERROR(VLOOKUP(J39,Baupläne!$C$2:$X$231,20,FALSE)),0,VLOOKUP(J39,Baupläne!$C$2:$X$231,20,FALSE))</f>
        <v>5200</v>
      </c>
      <c r="S39" s="12">
        <f>IF(ISERROR(VLOOKUP(L39,Baupläne!$C$2:$X$231,20,FALSE)),0,VLOOKUP(L39,Baupläne!$C$2:$X$231,20,FALSE))</f>
        <v>4400</v>
      </c>
      <c r="T39" s="12">
        <f>IF(ISERROR(VLOOKUP(N39,Baupläne!$C$2:$X$231,20,FALSE)),0,VLOOKUP(N39,Baupläne!$C$2:$X$231,20,FALSE))</f>
        <v>6400</v>
      </c>
      <c r="U39" s="631">
        <f>IF(ISERROR(VLOOKUP(P39,Baupläne!$C$2:$X$231,20,FALSE)),0,VLOOKUP(P39,Baupläne!$C$2:$X$231,20,FALSE))</f>
        <v>3600</v>
      </c>
      <c r="V39" s="632">
        <f t="shared" si="2"/>
        <v>16000</v>
      </c>
    </row>
    <row r="40" spans="1:22" x14ac:dyDescent="0.2">
      <c r="A40" s="627">
        <v>233</v>
      </c>
      <c r="B40" s="628" t="s">
        <v>1007</v>
      </c>
      <c r="C40" s="3" t="s">
        <v>292</v>
      </c>
      <c r="D40" s="1">
        <v>5</v>
      </c>
      <c r="E40" s="1">
        <v>240</v>
      </c>
      <c r="F40" s="629">
        <v>1600</v>
      </c>
      <c r="G40" s="416">
        <v>0</v>
      </c>
      <c r="H40" s="629">
        <v>0</v>
      </c>
      <c r="I40" s="416">
        <v>1</v>
      </c>
      <c r="J40" s="627" t="s">
        <v>225</v>
      </c>
      <c r="K40" s="629">
        <v>1</v>
      </c>
      <c r="L40" s="627" t="s">
        <v>226</v>
      </c>
      <c r="M40" s="629">
        <v>1</v>
      </c>
      <c r="N40" s="627" t="s">
        <v>227</v>
      </c>
      <c r="O40" s="629">
        <v>0</v>
      </c>
      <c r="P40" s="627" t="s">
        <v>228</v>
      </c>
      <c r="Q40" s="417">
        <v>40</v>
      </c>
      <c r="R40" s="630">
        <f>IF(ISERROR(VLOOKUP(J40,Baupläne!$C$2:$X$231,20,FALSE)),0,VLOOKUP(J40,Baupläne!$C$2:$X$231,20,FALSE))</f>
        <v>10400</v>
      </c>
      <c r="S40" s="12">
        <f>IF(ISERROR(VLOOKUP(L40,Baupläne!$C$2:$X$231,20,FALSE)),0,VLOOKUP(L40,Baupläne!$C$2:$X$231,20,FALSE))</f>
        <v>8800</v>
      </c>
      <c r="T40" s="12">
        <f>IF(ISERROR(VLOOKUP(N40,Baupläne!$C$2:$X$231,20,FALSE)),0,VLOOKUP(N40,Baupläne!$C$2:$X$231,20,FALSE))</f>
        <v>12800</v>
      </c>
      <c r="U40" s="631">
        <f>IF(ISERROR(VLOOKUP(P40,Baupläne!$C$2:$X$231,20,FALSE)),0,VLOOKUP(P40,Baupläne!$C$2:$X$231,20,FALSE))</f>
        <v>7200</v>
      </c>
      <c r="V40" s="632">
        <f t="shared" si="2"/>
        <v>32000</v>
      </c>
    </row>
    <row r="41" spans="1:22" x14ac:dyDescent="0.2">
      <c r="A41" s="627">
        <v>234</v>
      </c>
      <c r="B41" s="628" t="s">
        <v>1008</v>
      </c>
      <c r="C41" s="3" t="s">
        <v>292</v>
      </c>
      <c r="D41" s="3">
        <v>6</v>
      </c>
      <c r="E41" s="3">
        <v>320</v>
      </c>
      <c r="F41" s="629">
        <v>2000</v>
      </c>
      <c r="G41" s="416">
        <v>0</v>
      </c>
      <c r="H41" s="629">
        <v>0</v>
      </c>
      <c r="I41" s="416">
        <v>1</v>
      </c>
      <c r="J41" s="627" t="s">
        <v>229</v>
      </c>
      <c r="K41" s="629">
        <v>1</v>
      </c>
      <c r="L41" s="627" t="s">
        <v>230</v>
      </c>
      <c r="M41" s="629">
        <v>1</v>
      </c>
      <c r="N41" s="627" t="s">
        <v>231</v>
      </c>
      <c r="O41" s="629">
        <v>0</v>
      </c>
      <c r="P41" s="627" t="s">
        <v>232</v>
      </c>
      <c r="Q41" s="417">
        <v>80</v>
      </c>
      <c r="R41" s="630">
        <f>IF(ISERROR(VLOOKUP(J41,Baupläne!$C$2:$X$231,20,FALSE)),0,VLOOKUP(J41,Baupläne!$C$2:$X$231,20,FALSE))</f>
        <v>20800</v>
      </c>
      <c r="S41" s="12">
        <f>IF(ISERROR(VLOOKUP(L41,Baupläne!$C$2:$X$231,20,FALSE)),0,VLOOKUP(L41,Baupläne!$C$2:$X$231,20,FALSE))</f>
        <v>17600</v>
      </c>
      <c r="T41" s="12">
        <f>IF(ISERROR(VLOOKUP(N41,Baupläne!$C$2:$X$231,20,FALSE)),0,VLOOKUP(N41,Baupläne!$C$2:$X$231,20,FALSE))</f>
        <v>25600</v>
      </c>
      <c r="U41" s="631">
        <f>IF(ISERROR(VLOOKUP(P41,Baupläne!$C$2:$X$231,20,FALSE)),0,VLOOKUP(P41,Baupläne!$C$2:$X$231,20,FALSE))</f>
        <v>14400</v>
      </c>
      <c r="V41" s="632">
        <f t="shared" si="2"/>
        <v>64000</v>
      </c>
    </row>
    <row r="42" spans="1:22" x14ac:dyDescent="0.2">
      <c r="A42" s="627">
        <v>235</v>
      </c>
      <c r="B42" s="628" t="s">
        <v>1009</v>
      </c>
      <c r="C42" s="1" t="s">
        <v>292</v>
      </c>
      <c r="D42" s="3">
        <v>6</v>
      </c>
      <c r="E42" s="3">
        <v>400</v>
      </c>
      <c r="F42" s="629">
        <v>2400</v>
      </c>
      <c r="G42" s="416">
        <v>0</v>
      </c>
      <c r="H42" s="629">
        <v>0</v>
      </c>
      <c r="I42" s="416">
        <v>1</v>
      </c>
      <c r="J42" s="627" t="s">
        <v>233</v>
      </c>
      <c r="K42" s="629">
        <v>1</v>
      </c>
      <c r="L42" s="627" t="s">
        <v>234</v>
      </c>
      <c r="M42" s="629">
        <v>1</v>
      </c>
      <c r="N42" s="627" t="s">
        <v>235</v>
      </c>
      <c r="O42" s="629">
        <v>0</v>
      </c>
      <c r="P42" s="627" t="s">
        <v>236</v>
      </c>
      <c r="Q42" s="417">
        <v>160</v>
      </c>
      <c r="R42" s="630">
        <f>IF(ISERROR(VLOOKUP(J42,Baupläne!$C$2:$X$231,20,FALSE)),0,VLOOKUP(J42,Baupläne!$C$2:$X$231,20,FALSE))</f>
        <v>41600</v>
      </c>
      <c r="S42" s="12">
        <f>IF(ISERROR(VLOOKUP(L42,Baupläne!$C$2:$X$231,20,FALSE)),0,VLOOKUP(L42,Baupläne!$C$2:$X$231,20,FALSE))</f>
        <v>35200</v>
      </c>
      <c r="T42" s="12">
        <f>IF(ISERROR(VLOOKUP(N42,Baupläne!$C$2:$X$231,20,FALSE)),0,VLOOKUP(N42,Baupläne!$C$2:$X$231,20,FALSE))</f>
        <v>51200</v>
      </c>
      <c r="U42" s="631">
        <f>IF(ISERROR(VLOOKUP(P42,Baupläne!$C$2:$X$231,20,FALSE)),0,VLOOKUP(P42,Baupläne!$C$2:$X$231,20,FALSE))</f>
        <v>28800</v>
      </c>
      <c r="V42" s="632">
        <f t="shared" si="2"/>
        <v>128000</v>
      </c>
    </row>
    <row r="43" spans="1:22" x14ac:dyDescent="0.2">
      <c r="R43" s="630">
        <f>IF(ISERROR(VLOOKUP(J43,Baupläne!$C$2:$X$231,20,FALSE)),0,VLOOKUP(J43,Baupläne!$C$2:$X$231,20,FALSE))</f>
        <v>0</v>
      </c>
      <c r="S43" s="12">
        <f>IF(ISERROR(VLOOKUP(L43,Baupläne!$C$2:$X$231,20,FALSE)),0,VLOOKUP(L43,Baupläne!$C$2:$X$231,20,FALSE))</f>
        <v>0</v>
      </c>
      <c r="T43" s="12">
        <f>IF(ISERROR(VLOOKUP(N43,Baupläne!$C$2:$X$231,20,FALSE)),0,VLOOKUP(N43,Baupläne!$C$2:$X$231,20,FALSE))</f>
        <v>0</v>
      </c>
      <c r="U43" s="631">
        <f>IF(ISERROR(VLOOKUP(P43,Baupläne!$C$2:$X$231,20,FALSE)),0,VLOOKUP(P43,Baupläne!$C$2:$X$231,20,FALSE))</f>
        <v>0</v>
      </c>
      <c r="V43" s="632">
        <f t="shared" si="2"/>
        <v>0</v>
      </c>
    </row>
    <row r="44" spans="1:22" x14ac:dyDescent="0.2">
      <c r="A44" s="627">
        <v>241</v>
      </c>
      <c r="B44" s="628" t="s">
        <v>1010</v>
      </c>
      <c r="C44" s="3" t="s">
        <v>292</v>
      </c>
      <c r="D44" s="1">
        <v>4</v>
      </c>
      <c r="E44" s="1">
        <v>80</v>
      </c>
      <c r="F44" s="629">
        <v>800</v>
      </c>
      <c r="G44" s="416">
        <v>0</v>
      </c>
      <c r="H44" s="629">
        <v>0</v>
      </c>
      <c r="I44" s="416">
        <v>1</v>
      </c>
      <c r="J44" s="627" t="s">
        <v>217</v>
      </c>
      <c r="K44" s="629">
        <v>1</v>
      </c>
      <c r="L44" s="627" t="s">
        <v>218</v>
      </c>
      <c r="M44" s="629">
        <v>1</v>
      </c>
      <c r="N44" s="627" t="s">
        <v>219</v>
      </c>
      <c r="O44" s="629">
        <v>0</v>
      </c>
      <c r="P44" s="627" t="s">
        <v>220</v>
      </c>
      <c r="Q44" s="417">
        <v>10</v>
      </c>
      <c r="R44" s="630">
        <f>IF(ISERROR(VLOOKUP(J44,Baupläne!$C$2:$X$231,20,FALSE)),0,VLOOKUP(J44,Baupläne!$C$2:$X$231,20,FALSE))</f>
        <v>2600</v>
      </c>
      <c r="S44" s="12">
        <f>IF(ISERROR(VLOOKUP(L44,Baupläne!$C$2:$X$231,20,FALSE)),0,VLOOKUP(L44,Baupläne!$C$2:$X$231,20,FALSE))</f>
        <v>2200</v>
      </c>
      <c r="T44" s="12">
        <f>IF(ISERROR(VLOOKUP(N44,Baupläne!$C$2:$X$231,20,FALSE)),0,VLOOKUP(N44,Baupläne!$C$2:$X$231,20,FALSE))</f>
        <v>3200</v>
      </c>
      <c r="U44" s="631">
        <f>IF(ISERROR(VLOOKUP(P44,Baupläne!$C$2:$X$231,20,FALSE)),0,VLOOKUP(P44,Baupläne!$C$2:$X$231,20,FALSE))</f>
        <v>1800</v>
      </c>
      <c r="V44" s="632">
        <f t="shared" si="2"/>
        <v>8000</v>
      </c>
    </row>
    <row r="45" spans="1:22" x14ac:dyDescent="0.2">
      <c r="A45" s="627">
        <v>242</v>
      </c>
      <c r="B45" s="628" t="s">
        <v>1011</v>
      </c>
      <c r="C45" s="3" t="s">
        <v>292</v>
      </c>
      <c r="D45" s="1">
        <v>4</v>
      </c>
      <c r="E45" s="1">
        <v>160</v>
      </c>
      <c r="F45" s="629">
        <v>1200</v>
      </c>
      <c r="G45" s="416">
        <v>0</v>
      </c>
      <c r="H45" s="629">
        <v>0</v>
      </c>
      <c r="I45" s="416">
        <v>1</v>
      </c>
      <c r="J45" s="627" t="s">
        <v>221</v>
      </c>
      <c r="K45" s="629">
        <v>1</v>
      </c>
      <c r="L45" s="627" t="s">
        <v>222</v>
      </c>
      <c r="M45" s="629">
        <v>1</v>
      </c>
      <c r="N45" s="627" t="s">
        <v>223</v>
      </c>
      <c r="O45" s="629">
        <v>0</v>
      </c>
      <c r="P45" s="627" t="s">
        <v>224</v>
      </c>
      <c r="Q45" s="417">
        <v>20</v>
      </c>
      <c r="R45" s="630">
        <f>IF(ISERROR(VLOOKUP(J45,Baupläne!$C$2:$X$231,20,FALSE)),0,VLOOKUP(J45,Baupläne!$C$2:$X$231,20,FALSE))</f>
        <v>5200</v>
      </c>
      <c r="S45" s="12">
        <f>IF(ISERROR(VLOOKUP(L45,Baupläne!$C$2:$X$231,20,FALSE)),0,VLOOKUP(L45,Baupläne!$C$2:$X$231,20,FALSE))</f>
        <v>4400</v>
      </c>
      <c r="T45" s="12">
        <f>IF(ISERROR(VLOOKUP(N45,Baupläne!$C$2:$X$231,20,FALSE)),0,VLOOKUP(N45,Baupläne!$C$2:$X$231,20,FALSE))</f>
        <v>6400</v>
      </c>
      <c r="U45" s="631">
        <f>IF(ISERROR(VLOOKUP(P45,Baupläne!$C$2:$X$231,20,FALSE)),0,VLOOKUP(P45,Baupläne!$C$2:$X$231,20,FALSE))</f>
        <v>3600</v>
      </c>
      <c r="V45" s="632">
        <f t="shared" si="2"/>
        <v>16000</v>
      </c>
    </row>
    <row r="46" spans="1:22" x14ac:dyDescent="0.2">
      <c r="A46" s="627">
        <v>243</v>
      </c>
      <c r="B46" s="628" t="s">
        <v>1012</v>
      </c>
      <c r="C46" s="3" t="s">
        <v>292</v>
      </c>
      <c r="D46" s="1">
        <v>5</v>
      </c>
      <c r="E46" s="1">
        <v>240</v>
      </c>
      <c r="F46" s="629">
        <v>1600</v>
      </c>
      <c r="G46" s="416">
        <v>0</v>
      </c>
      <c r="H46" s="629">
        <v>0</v>
      </c>
      <c r="I46" s="416">
        <v>1</v>
      </c>
      <c r="J46" s="627" t="s">
        <v>225</v>
      </c>
      <c r="K46" s="629">
        <v>1</v>
      </c>
      <c r="L46" s="627" t="s">
        <v>226</v>
      </c>
      <c r="M46" s="629">
        <v>1</v>
      </c>
      <c r="N46" s="627" t="s">
        <v>227</v>
      </c>
      <c r="O46" s="629">
        <v>0</v>
      </c>
      <c r="P46" s="627" t="s">
        <v>228</v>
      </c>
      <c r="Q46" s="417">
        <v>40</v>
      </c>
      <c r="R46" s="630">
        <f>IF(ISERROR(VLOOKUP(J46,Baupläne!$C$2:$X$231,20,FALSE)),0,VLOOKUP(J46,Baupläne!$C$2:$X$231,20,FALSE))</f>
        <v>10400</v>
      </c>
      <c r="S46" s="12">
        <f>IF(ISERROR(VLOOKUP(L46,Baupläne!$C$2:$X$231,20,FALSE)),0,VLOOKUP(L46,Baupläne!$C$2:$X$231,20,FALSE))</f>
        <v>8800</v>
      </c>
      <c r="T46" s="12">
        <f>IF(ISERROR(VLOOKUP(N46,Baupläne!$C$2:$X$231,20,FALSE)),0,VLOOKUP(N46,Baupläne!$C$2:$X$231,20,FALSE))</f>
        <v>12800</v>
      </c>
      <c r="U46" s="631">
        <f>IF(ISERROR(VLOOKUP(P46,Baupläne!$C$2:$X$231,20,FALSE)),0,VLOOKUP(P46,Baupläne!$C$2:$X$231,20,FALSE))</f>
        <v>7200</v>
      </c>
      <c r="V46" s="632">
        <f t="shared" si="2"/>
        <v>32000</v>
      </c>
    </row>
    <row r="47" spans="1:22" x14ac:dyDescent="0.2">
      <c r="A47" s="627">
        <v>244</v>
      </c>
      <c r="B47" s="628" t="s">
        <v>1013</v>
      </c>
      <c r="C47" s="3" t="s">
        <v>292</v>
      </c>
      <c r="D47" s="3">
        <v>6</v>
      </c>
      <c r="E47" s="3">
        <v>320</v>
      </c>
      <c r="F47" s="629">
        <v>2000</v>
      </c>
      <c r="G47" s="416">
        <v>0</v>
      </c>
      <c r="H47" s="629">
        <v>0</v>
      </c>
      <c r="I47" s="416">
        <v>1</v>
      </c>
      <c r="J47" s="627" t="s">
        <v>229</v>
      </c>
      <c r="K47" s="629">
        <v>1</v>
      </c>
      <c r="L47" s="627" t="s">
        <v>230</v>
      </c>
      <c r="M47" s="629">
        <v>1</v>
      </c>
      <c r="N47" s="627" t="s">
        <v>231</v>
      </c>
      <c r="O47" s="629">
        <v>0</v>
      </c>
      <c r="P47" s="627" t="s">
        <v>232</v>
      </c>
      <c r="Q47" s="417">
        <v>80</v>
      </c>
      <c r="R47" s="630">
        <f>IF(ISERROR(VLOOKUP(J47,Baupläne!$C$2:$X$231,20,FALSE)),0,VLOOKUP(J47,Baupläne!$C$2:$X$231,20,FALSE))</f>
        <v>20800</v>
      </c>
      <c r="S47" s="12">
        <f>IF(ISERROR(VLOOKUP(L47,Baupläne!$C$2:$X$231,20,FALSE)),0,VLOOKUP(L47,Baupläne!$C$2:$X$231,20,FALSE))</f>
        <v>17600</v>
      </c>
      <c r="T47" s="12">
        <f>IF(ISERROR(VLOOKUP(N47,Baupläne!$C$2:$X$231,20,FALSE)),0,VLOOKUP(N47,Baupläne!$C$2:$X$231,20,FALSE))</f>
        <v>25600</v>
      </c>
      <c r="U47" s="631">
        <f>IF(ISERROR(VLOOKUP(P47,Baupläne!$C$2:$X$231,20,FALSE)),0,VLOOKUP(P47,Baupläne!$C$2:$X$231,20,FALSE))</f>
        <v>14400</v>
      </c>
      <c r="V47" s="632">
        <f t="shared" si="2"/>
        <v>64000</v>
      </c>
    </row>
    <row r="48" spans="1:22" x14ac:dyDescent="0.2">
      <c r="A48" s="627">
        <v>245</v>
      </c>
      <c r="B48" s="628" t="s">
        <v>1014</v>
      </c>
      <c r="C48" s="3" t="s">
        <v>292</v>
      </c>
      <c r="D48" s="3">
        <v>6</v>
      </c>
      <c r="E48" s="3">
        <v>400</v>
      </c>
      <c r="F48" s="629">
        <v>2400</v>
      </c>
      <c r="G48" s="416">
        <v>0</v>
      </c>
      <c r="H48" s="629">
        <v>0</v>
      </c>
      <c r="I48" s="416">
        <v>1</v>
      </c>
      <c r="J48" s="627" t="s">
        <v>233</v>
      </c>
      <c r="K48" s="629">
        <v>1</v>
      </c>
      <c r="L48" s="627" t="s">
        <v>234</v>
      </c>
      <c r="M48" s="629">
        <v>1</v>
      </c>
      <c r="N48" s="627" t="s">
        <v>235</v>
      </c>
      <c r="O48" s="629">
        <v>0</v>
      </c>
      <c r="P48" s="627" t="s">
        <v>236</v>
      </c>
      <c r="Q48" s="417">
        <v>160</v>
      </c>
      <c r="R48" s="630">
        <f>IF(ISERROR(VLOOKUP(J48,Baupläne!$C$2:$X$231,20,FALSE)),0,VLOOKUP(J48,Baupläne!$C$2:$X$231,20,FALSE))</f>
        <v>41600</v>
      </c>
      <c r="S48" s="12">
        <f>IF(ISERROR(VLOOKUP(L48,Baupläne!$C$2:$X$231,20,FALSE)),0,VLOOKUP(L48,Baupläne!$C$2:$X$231,20,FALSE))</f>
        <v>35200</v>
      </c>
      <c r="T48" s="12">
        <f>IF(ISERROR(VLOOKUP(N48,Baupläne!$C$2:$X$231,20,FALSE)),0,VLOOKUP(N48,Baupläne!$C$2:$X$231,20,FALSE))</f>
        <v>51200</v>
      </c>
      <c r="U48" s="631">
        <f>IF(ISERROR(VLOOKUP(P48,Baupläne!$C$2:$X$231,20,FALSE)),0,VLOOKUP(P48,Baupläne!$C$2:$X$231,20,FALSE))</f>
        <v>28800</v>
      </c>
      <c r="V48" s="632">
        <f t="shared" si="2"/>
        <v>128000</v>
      </c>
    </row>
    <row r="49" spans="1:22" x14ac:dyDescent="0.2">
      <c r="R49" s="630">
        <f>IF(ISERROR(VLOOKUP(J49,Baupläne!$C$2:$X$231,20,FALSE)),0,VLOOKUP(J49,Baupläne!$C$2:$X$231,20,FALSE))</f>
        <v>0</v>
      </c>
      <c r="S49" s="12">
        <f>IF(ISERROR(VLOOKUP(L49,Baupläne!$C$2:$X$231,20,FALSE)),0,VLOOKUP(L49,Baupläne!$C$2:$X$231,20,FALSE))</f>
        <v>0</v>
      </c>
      <c r="T49" s="12">
        <f>IF(ISERROR(VLOOKUP(N49,Baupläne!$C$2:$X$231,20,FALSE)),0,VLOOKUP(N49,Baupläne!$C$2:$X$231,20,FALSE))</f>
        <v>0</v>
      </c>
      <c r="U49" s="631">
        <f>IF(ISERROR(VLOOKUP(P49,Baupläne!$C$2:$X$231,20,FALSE)),0,VLOOKUP(P49,Baupläne!$C$2:$X$231,20,FALSE))</f>
        <v>0</v>
      </c>
      <c r="V49" s="632">
        <f t="shared" si="2"/>
        <v>0</v>
      </c>
    </row>
    <row r="50" spans="1:22" x14ac:dyDescent="0.2">
      <c r="A50" s="627">
        <v>301</v>
      </c>
      <c r="B50" s="628" t="s">
        <v>1015</v>
      </c>
      <c r="C50" s="3" t="s">
        <v>292</v>
      </c>
      <c r="D50" s="1">
        <v>4</v>
      </c>
      <c r="E50" s="1">
        <v>120</v>
      </c>
      <c r="F50" s="629">
        <v>800</v>
      </c>
      <c r="G50" s="416">
        <v>0</v>
      </c>
      <c r="H50" s="629">
        <v>0</v>
      </c>
      <c r="I50" s="416">
        <v>2</v>
      </c>
      <c r="J50" s="627" t="s">
        <v>217</v>
      </c>
      <c r="K50" s="629">
        <v>1</v>
      </c>
      <c r="L50" s="627" t="s">
        <v>218</v>
      </c>
      <c r="M50" s="629">
        <v>1</v>
      </c>
      <c r="N50" s="627" t="s">
        <v>219</v>
      </c>
      <c r="O50" s="629">
        <v>2</v>
      </c>
      <c r="P50" s="627" t="s">
        <v>220</v>
      </c>
      <c r="Q50" s="417">
        <v>20</v>
      </c>
      <c r="R50" s="630">
        <f>IF(ISERROR(VLOOKUP(J50,Baupläne!$C$2:$X$231,20,FALSE)),0,VLOOKUP(J50,Baupläne!$C$2:$X$231,20,FALSE))</f>
        <v>2600</v>
      </c>
      <c r="S50" s="12">
        <f>IF(ISERROR(VLOOKUP(L50,Baupläne!$C$2:$X$231,20,FALSE)),0,VLOOKUP(L50,Baupläne!$C$2:$X$231,20,FALSE))</f>
        <v>2200</v>
      </c>
      <c r="T50" s="12">
        <f>IF(ISERROR(VLOOKUP(N50,Baupläne!$C$2:$X$231,20,FALSE)),0,VLOOKUP(N50,Baupläne!$C$2:$X$231,20,FALSE))</f>
        <v>3200</v>
      </c>
      <c r="U50" s="631">
        <f>IF(ISERROR(VLOOKUP(P50,Baupläne!$C$2:$X$231,20,FALSE)),0,VLOOKUP(P50,Baupläne!$C$2:$X$231,20,FALSE))</f>
        <v>1800</v>
      </c>
      <c r="V50" s="632">
        <f t="shared" si="2"/>
        <v>14200</v>
      </c>
    </row>
    <row r="51" spans="1:22" x14ac:dyDescent="0.2">
      <c r="A51" s="627">
        <v>302</v>
      </c>
      <c r="B51" s="628" t="s">
        <v>1016</v>
      </c>
      <c r="C51" s="3" t="s">
        <v>292</v>
      </c>
      <c r="D51" s="1">
        <v>4</v>
      </c>
      <c r="E51" s="1">
        <v>240</v>
      </c>
      <c r="F51" s="629">
        <v>1200</v>
      </c>
      <c r="G51" s="416">
        <v>0</v>
      </c>
      <c r="H51" s="629">
        <v>0</v>
      </c>
      <c r="I51" s="416">
        <v>2</v>
      </c>
      <c r="J51" s="627" t="s">
        <v>221</v>
      </c>
      <c r="K51" s="629">
        <v>1</v>
      </c>
      <c r="L51" s="627" t="s">
        <v>222</v>
      </c>
      <c r="M51" s="629">
        <v>1</v>
      </c>
      <c r="N51" s="627" t="s">
        <v>223</v>
      </c>
      <c r="O51" s="629">
        <v>2</v>
      </c>
      <c r="P51" s="627" t="s">
        <v>224</v>
      </c>
      <c r="Q51" s="417">
        <v>40</v>
      </c>
      <c r="R51" s="630">
        <f>IF(ISERROR(VLOOKUP(J51,Baupläne!$C$2:$X$231,20,FALSE)),0,VLOOKUP(J51,Baupläne!$C$2:$X$231,20,FALSE))</f>
        <v>5200</v>
      </c>
      <c r="S51" s="12">
        <f>IF(ISERROR(VLOOKUP(L51,Baupläne!$C$2:$X$231,20,FALSE)),0,VLOOKUP(L51,Baupläne!$C$2:$X$231,20,FALSE))</f>
        <v>4400</v>
      </c>
      <c r="T51" s="12">
        <f>IF(ISERROR(VLOOKUP(N51,Baupläne!$C$2:$X$231,20,FALSE)),0,VLOOKUP(N51,Baupläne!$C$2:$X$231,20,FALSE))</f>
        <v>6400</v>
      </c>
      <c r="U51" s="631">
        <f>IF(ISERROR(VLOOKUP(P51,Baupläne!$C$2:$X$231,20,FALSE)),0,VLOOKUP(P51,Baupläne!$C$2:$X$231,20,FALSE))</f>
        <v>3600</v>
      </c>
      <c r="V51" s="632">
        <f t="shared" si="2"/>
        <v>28400</v>
      </c>
    </row>
    <row r="52" spans="1:22" x14ac:dyDescent="0.2">
      <c r="A52" s="627">
        <v>303</v>
      </c>
      <c r="B52" s="628" t="s">
        <v>1017</v>
      </c>
      <c r="C52" s="3" t="s">
        <v>292</v>
      </c>
      <c r="D52" s="1">
        <v>5</v>
      </c>
      <c r="E52" s="1">
        <v>360</v>
      </c>
      <c r="F52" s="629">
        <v>1600</v>
      </c>
      <c r="G52" s="416">
        <v>0</v>
      </c>
      <c r="H52" s="629">
        <v>0</v>
      </c>
      <c r="I52" s="416">
        <v>2</v>
      </c>
      <c r="J52" s="627" t="s">
        <v>225</v>
      </c>
      <c r="K52" s="629">
        <v>1</v>
      </c>
      <c r="L52" s="627" t="s">
        <v>226</v>
      </c>
      <c r="M52" s="629">
        <v>1</v>
      </c>
      <c r="N52" s="627" t="s">
        <v>227</v>
      </c>
      <c r="O52" s="629">
        <v>2</v>
      </c>
      <c r="P52" s="627" t="s">
        <v>228</v>
      </c>
      <c r="Q52" s="417">
        <v>80</v>
      </c>
      <c r="R52" s="630">
        <f>IF(ISERROR(VLOOKUP(J52,Baupläne!$C$2:$X$231,20,FALSE)),0,VLOOKUP(J52,Baupläne!$C$2:$X$231,20,FALSE))</f>
        <v>10400</v>
      </c>
      <c r="S52" s="12">
        <f>IF(ISERROR(VLOOKUP(L52,Baupläne!$C$2:$X$231,20,FALSE)),0,VLOOKUP(L52,Baupläne!$C$2:$X$231,20,FALSE))</f>
        <v>8800</v>
      </c>
      <c r="T52" s="12">
        <f>IF(ISERROR(VLOOKUP(N52,Baupläne!$C$2:$X$231,20,FALSE)),0,VLOOKUP(N52,Baupläne!$C$2:$X$231,20,FALSE))</f>
        <v>12800</v>
      </c>
      <c r="U52" s="631">
        <f>IF(ISERROR(VLOOKUP(P52,Baupläne!$C$2:$X$231,20,FALSE)),0,VLOOKUP(P52,Baupläne!$C$2:$X$231,20,FALSE))</f>
        <v>7200</v>
      </c>
      <c r="V52" s="632">
        <f t="shared" si="2"/>
        <v>56800</v>
      </c>
    </row>
    <row r="53" spans="1:22" x14ac:dyDescent="0.2">
      <c r="A53" s="627">
        <v>304</v>
      </c>
      <c r="B53" s="628" t="s">
        <v>1018</v>
      </c>
      <c r="C53" s="3" t="s">
        <v>292</v>
      </c>
      <c r="D53" s="3">
        <v>6</v>
      </c>
      <c r="E53" s="3">
        <v>480</v>
      </c>
      <c r="F53" s="629">
        <v>2000</v>
      </c>
      <c r="G53" s="416">
        <v>0</v>
      </c>
      <c r="H53" s="629">
        <v>0</v>
      </c>
      <c r="I53" s="416">
        <v>2</v>
      </c>
      <c r="J53" s="627" t="s">
        <v>229</v>
      </c>
      <c r="K53" s="629">
        <v>1</v>
      </c>
      <c r="L53" s="627" t="s">
        <v>230</v>
      </c>
      <c r="M53" s="629">
        <v>1</v>
      </c>
      <c r="N53" s="627" t="s">
        <v>231</v>
      </c>
      <c r="O53" s="629">
        <v>2</v>
      </c>
      <c r="P53" s="627" t="s">
        <v>232</v>
      </c>
      <c r="Q53" s="417">
        <v>160</v>
      </c>
      <c r="R53" s="630">
        <f>IF(ISERROR(VLOOKUP(J53,Baupläne!$C$2:$X$231,20,FALSE)),0,VLOOKUP(J53,Baupläne!$C$2:$X$231,20,FALSE))</f>
        <v>20800</v>
      </c>
      <c r="S53" s="12">
        <f>IF(ISERROR(VLOOKUP(L53,Baupläne!$C$2:$X$231,20,FALSE)),0,VLOOKUP(L53,Baupläne!$C$2:$X$231,20,FALSE))</f>
        <v>17600</v>
      </c>
      <c r="T53" s="12">
        <f>IF(ISERROR(VLOOKUP(N53,Baupläne!$C$2:$X$231,20,FALSE)),0,VLOOKUP(N53,Baupläne!$C$2:$X$231,20,FALSE))</f>
        <v>25600</v>
      </c>
      <c r="U53" s="631">
        <f>IF(ISERROR(VLOOKUP(P53,Baupläne!$C$2:$X$231,20,FALSE)),0,VLOOKUP(P53,Baupläne!$C$2:$X$231,20,FALSE))</f>
        <v>14400</v>
      </c>
      <c r="V53" s="632">
        <f t="shared" si="2"/>
        <v>113600</v>
      </c>
    </row>
    <row r="54" spans="1:22" x14ac:dyDescent="0.2">
      <c r="A54" s="627">
        <v>305</v>
      </c>
      <c r="B54" s="628" t="s">
        <v>1019</v>
      </c>
      <c r="C54" s="1" t="s">
        <v>292</v>
      </c>
      <c r="D54" s="3">
        <v>6</v>
      </c>
      <c r="E54" s="3">
        <v>600</v>
      </c>
      <c r="F54" s="629">
        <v>2400</v>
      </c>
      <c r="G54" s="416">
        <v>0</v>
      </c>
      <c r="H54" s="629">
        <v>0</v>
      </c>
      <c r="I54" s="416">
        <v>2</v>
      </c>
      <c r="J54" s="627" t="s">
        <v>233</v>
      </c>
      <c r="K54" s="629">
        <v>1</v>
      </c>
      <c r="L54" s="627" t="s">
        <v>234</v>
      </c>
      <c r="M54" s="629">
        <v>1</v>
      </c>
      <c r="N54" s="627" t="s">
        <v>235</v>
      </c>
      <c r="O54" s="629">
        <v>2</v>
      </c>
      <c r="P54" s="627" t="s">
        <v>236</v>
      </c>
      <c r="Q54" s="417">
        <v>320</v>
      </c>
      <c r="R54" s="630">
        <f>IF(ISERROR(VLOOKUP(J54,Baupläne!$C$2:$X$231,20,FALSE)),0,VLOOKUP(J54,Baupläne!$C$2:$X$231,20,FALSE))</f>
        <v>41600</v>
      </c>
      <c r="S54" s="12">
        <f>IF(ISERROR(VLOOKUP(L54,Baupläne!$C$2:$X$231,20,FALSE)),0,VLOOKUP(L54,Baupläne!$C$2:$X$231,20,FALSE))</f>
        <v>35200</v>
      </c>
      <c r="T54" s="12">
        <f>IF(ISERROR(VLOOKUP(N54,Baupläne!$C$2:$X$231,20,FALSE)),0,VLOOKUP(N54,Baupläne!$C$2:$X$231,20,FALSE))</f>
        <v>51200</v>
      </c>
      <c r="U54" s="631">
        <f>IF(ISERROR(VLOOKUP(P54,Baupläne!$C$2:$X$231,20,FALSE)),0,VLOOKUP(P54,Baupläne!$C$2:$X$231,20,FALSE))</f>
        <v>28800</v>
      </c>
      <c r="V54" s="632">
        <f t="shared" si="2"/>
        <v>227200</v>
      </c>
    </row>
    <row r="55" spans="1:22" x14ac:dyDescent="0.2">
      <c r="R55" s="630">
        <f>IF(ISERROR(VLOOKUP(J55,Baupläne!$C$2:$X$231,20,FALSE)),0,VLOOKUP(J55,Baupläne!$C$2:$X$231,20,FALSE))</f>
        <v>0</v>
      </c>
      <c r="S55" s="12">
        <f>IF(ISERROR(VLOOKUP(L55,Baupläne!$C$2:$X$231,20,FALSE)),0,VLOOKUP(L55,Baupläne!$C$2:$X$231,20,FALSE))</f>
        <v>0</v>
      </c>
      <c r="T55" s="12">
        <f>IF(ISERROR(VLOOKUP(N55,Baupläne!$C$2:$X$231,20,FALSE)),0,VLOOKUP(N55,Baupläne!$C$2:$X$231,20,FALSE))</f>
        <v>0</v>
      </c>
      <c r="U55" s="631">
        <f>IF(ISERROR(VLOOKUP(P55,Baupläne!$C$2:$X$231,20,FALSE)),0,VLOOKUP(P55,Baupläne!$C$2:$X$231,20,FALSE))</f>
        <v>0</v>
      </c>
      <c r="V55" s="632">
        <f t="shared" si="2"/>
        <v>0</v>
      </c>
    </row>
    <row r="56" spans="1:22" x14ac:dyDescent="0.2">
      <c r="A56" s="627">
        <v>311</v>
      </c>
      <c r="B56" s="628" t="s">
        <v>1020</v>
      </c>
      <c r="C56" s="3" t="s">
        <v>292</v>
      </c>
      <c r="D56" s="1">
        <v>4</v>
      </c>
      <c r="E56" s="1">
        <v>120</v>
      </c>
      <c r="F56" s="629">
        <v>800</v>
      </c>
      <c r="G56" s="416">
        <v>0</v>
      </c>
      <c r="H56" s="629">
        <v>0</v>
      </c>
      <c r="I56" s="416">
        <v>2</v>
      </c>
      <c r="J56" s="627" t="s">
        <v>217</v>
      </c>
      <c r="K56" s="629">
        <v>1</v>
      </c>
      <c r="L56" s="627" t="s">
        <v>218</v>
      </c>
      <c r="M56" s="629">
        <v>1</v>
      </c>
      <c r="N56" s="627" t="s">
        <v>219</v>
      </c>
      <c r="O56" s="629">
        <v>2</v>
      </c>
      <c r="P56" s="627" t="s">
        <v>220</v>
      </c>
      <c r="Q56" s="417">
        <v>20</v>
      </c>
      <c r="R56" s="630">
        <f>IF(ISERROR(VLOOKUP(J56,Baupläne!$C$2:$X$231,20,FALSE)),0,VLOOKUP(J56,Baupläne!$C$2:$X$231,20,FALSE))</f>
        <v>2600</v>
      </c>
      <c r="S56" s="12">
        <f>IF(ISERROR(VLOOKUP(L56,Baupläne!$C$2:$X$231,20,FALSE)),0,VLOOKUP(L56,Baupläne!$C$2:$X$231,20,FALSE))</f>
        <v>2200</v>
      </c>
      <c r="T56" s="12">
        <f>IF(ISERROR(VLOOKUP(N56,Baupläne!$C$2:$X$231,20,FALSE)),0,VLOOKUP(N56,Baupläne!$C$2:$X$231,20,FALSE))</f>
        <v>3200</v>
      </c>
      <c r="U56" s="631">
        <f>IF(ISERROR(VLOOKUP(P56,Baupläne!$C$2:$X$231,20,FALSE)),0,VLOOKUP(P56,Baupläne!$C$2:$X$231,20,FALSE))</f>
        <v>1800</v>
      </c>
      <c r="V56" s="632">
        <f t="shared" si="2"/>
        <v>14200</v>
      </c>
    </row>
    <row r="57" spans="1:22" x14ac:dyDescent="0.2">
      <c r="A57" s="627">
        <v>312</v>
      </c>
      <c r="B57" s="628" t="s">
        <v>1021</v>
      </c>
      <c r="C57" s="3" t="s">
        <v>292</v>
      </c>
      <c r="D57" s="1">
        <v>4</v>
      </c>
      <c r="E57" s="1">
        <v>240</v>
      </c>
      <c r="F57" s="629">
        <v>1200</v>
      </c>
      <c r="G57" s="416">
        <v>0</v>
      </c>
      <c r="H57" s="629">
        <v>0</v>
      </c>
      <c r="I57" s="416">
        <v>2</v>
      </c>
      <c r="J57" s="627" t="s">
        <v>221</v>
      </c>
      <c r="K57" s="629">
        <v>1</v>
      </c>
      <c r="L57" s="627" t="s">
        <v>222</v>
      </c>
      <c r="M57" s="629">
        <v>1</v>
      </c>
      <c r="N57" s="627" t="s">
        <v>223</v>
      </c>
      <c r="O57" s="629">
        <v>2</v>
      </c>
      <c r="P57" s="627" t="s">
        <v>224</v>
      </c>
      <c r="Q57" s="417">
        <v>40</v>
      </c>
      <c r="R57" s="630">
        <f>IF(ISERROR(VLOOKUP(J57,Baupläne!$C$2:$X$231,20,FALSE)),0,VLOOKUP(J57,Baupläne!$C$2:$X$231,20,FALSE))</f>
        <v>5200</v>
      </c>
      <c r="S57" s="12">
        <f>IF(ISERROR(VLOOKUP(L57,Baupläne!$C$2:$X$231,20,FALSE)),0,VLOOKUP(L57,Baupläne!$C$2:$X$231,20,FALSE))</f>
        <v>4400</v>
      </c>
      <c r="T57" s="12">
        <f>IF(ISERROR(VLOOKUP(N57,Baupläne!$C$2:$X$231,20,FALSE)),0,VLOOKUP(N57,Baupläne!$C$2:$X$231,20,FALSE))</f>
        <v>6400</v>
      </c>
      <c r="U57" s="631">
        <f>IF(ISERROR(VLOOKUP(P57,Baupläne!$C$2:$X$231,20,FALSE)),0,VLOOKUP(P57,Baupläne!$C$2:$X$231,20,FALSE))</f>
        <v>3600</v>
      </c>
      <c r="V57" s="632">
        <f t="shared" si="2"/>
        <v>28400</v>
      </c>
    </row>
    <row r="58" spans="1:22" x14ac:dyDescent="0.2">
      <c r="A58" s="627">
        <v>313</v>
      </c>
      <c r="B58" s="628" t="s">
        <v>1022</v>
      </c>
      <c r="C58" s="3" t="s">
        <v>292</v>
      </c>
      <c r="D58" s="1">
        <v>5</v>
      </c>
      <c r="E58" s="1">
        <v>360</v>
      </c>
      <c r="F58" s="629">
        <v>1600</v>
      </c>
      <c r="G58" s="416">
        <v>0</v>
      </c>
      <c r="H58" s="629">
        <v>0</v>
      </c>
      <c r="I58" s="416">
        <v>2</v>
      </c>
      <c r="J58" s="627" t="s">
        <v>225</v>
      </c>
      <c r="K58" s="629">
        <v>1</v>
      </c>
      <c r="L58" s="627" t="s">
        <v>226</v>
      </c>
      <c r="M58" s="629">
        <v>1</v>
      </c>
      <c r="N58" s="627" t="s">
        <v>227</v>
      </c>
      <c r="O58" s="629">
        <v>2</v>
      </c>
      <c r="P58" s="627" t="s">
        <v>228</v>
      </c>
      <c r="Q58" s="417">
        <v>80</v>
      </c>
      <c r="R58" s="630">
        <f>IF(ISERROR(VLOOKUP(J58,Baupläne!$C$2:$X$231,20,FALSE)),0,VLOOKUP(J58,Baupläne!$C$2:$X$231,20,FALSE))</f>
        <v>10400</v>
      </c>
      <c r="S58" s="12">
        <f>IF(ISERROR(VLOOKUP(L58,Baupläne!$C$2:$X$231,20,FALSE)),0,VLOOKUP(L58,Baupläne!$C$2:$X$231,20,FALSE))</f>
        <v>8800</v>
      </c>
      <c r="T58" s="12">
        <f>IF(ISERROR(VLOOKUP(N58,Baupläne!$C$2:$X$231,20,FALSE)),0,VLOOKUP(N58,Baupläne!$C$2:$X$231,20,FALSE))</f>
        <v>12800</v>
      </c>
      <c r="U58" s="631">
        <f>IF(ISERROR(VLOOKUP(P58,Baupläne!$C$2:$X$231,20,FALSE)),0,VLOOKUP(P58,Baupläne!$C$2:$X$231,20,FALSE))</f>
        <v>7200</v>
      </c>
      <c r="V58" s="632">
        <f t="shared" si="2"/>
        <v>56800</v>
      </c>
    </row>
    <row r="59" spans="1:22" x14ac:dyDescent="0.2">
      <c r="A59" s="627">
        <v>314</v>
      </c>
      <c r="B59" s="628" t="s">
        <v>1023</v>
      </c>
      <c r="C59" s="3" t="s">
        <v>292</v>
      </c>
      <c r="D59" s="3">
        <v>6</v>
      </c>
      <c r="E59" s="3">
        <v>480</v>
      </c>
      <c r="F59" s="629">
        <v>2000</v>
      </c>
      <c r="G59" s="416">
        <v>0</v>
      </c>
      <c r="H59" s="629">
        <v>0</v>
      </c>
      <c r="I59" s="416">
        <v>2</v>
      </c>
      <c r="J59" s="627" t="s">
        <v>229</v>
      </c>
      <c r="K59" s="629">
        <v>1</v>
      </c>
      <c r="L59" s="627" t="s">
        <v>230</v>
      </c>
      <c r="M59" s="629">
        <v>1</v>
      </c>
      <c r="N59" s="627" t="s">
        <v>231</v>
      </c>
      <c r="O59" s="629">
        <v>2</v>
      </c>
      <c r="P59" s="627" t="s">
        <v>232</v>
      </c>
      <c r="Q59" s="417">
        <v>160</v>
      </c>
      <c r="R59" s="630">
        <f>IF(ISERROR(VLOOKUP(J59,Baupläne!$C$2:$X$231,20,FALSE)),0,VLOOKUP(J59,Baupläne!$C$2:$X$231,20,FALSE))</f>
        <v>20800</v>
      </c>
      <c r="S59" s="12">
        <f>IF(ISERROR(VLOOKUP(L59,Baupläne!$C$2:$X$231,20,FALSE)),0,VLOOKUP(L59,Baupläne!$C$2:$X$231,20,FALSE))</f>
        <v>17600</v>
      </c>
      <c r="T59" s="12">
        <f>IF(ISERROR(VLOOKUP(N59,Baupläne!$C$2:$X$231,20,FALSE)),0,VLOOKUP(N59,Baupläne!$C$2:$X$231,20,FALSE))</f>
        <v>25600</v>
      </c>
      <c r="U59" s="631">
        <f>IF(ISERROR(VLOOKUP(P59,Baupläne!$C$2:$X$231,20,FALSE)),0,VLOOKUP(P59,Baupläne!$C$2:$X$231,20,FALSE))</f>
        <v>14400</v>
      </c>
      <c r="V59" s="632">
        <f t="shared" si="2"/>
        <v>113600</v>
      </c>
    </row>
    <row r="60" spans="1:22" x14ac:dyDescent="0.2">
      <c r="A60" s="627">
        <v>315</v>
      </c>
      <c r="B60" s="628" t="s">
        <v>1024</v>
      </c>
      <c r="C60" s="3" t="s">
        <v>292</v>
      </c>
      <c r="D60" s="3">
        <v>6</v>
      </c>
      <c r="E60" s="3">
        <v>600</v>
      </c>
      <c r="F60" s="629">
        <v>2400</v>
      </c>
      <c r="G60" s="416">
        <v>0</v>
      </c>
      <c r="H60" s="629">
        <v>0</v>
      </c>
      <c r="I60" s="416">
        <v>2</v>
      </c>
      <c r="J60" s="627" t="s">
        <v>233</v>
      </c>
      <c r="K60" s="629">
        <v>1</v>
      </c>
      <c r="L60" s="627" t="s">
        <v>234</v>
      </c>
      <c r="M60" s="629">
        <v>1</v>
      </c>
      <c r="N60" s="627" t="s">
        <v>235</v>
      </c>
      <c r="O60" s="629">
        <v>2</v>
      </c>
      <c r="P60" s="627" t="s">
        <v>236</v>
      </c>
      <c r="Q60" s="417">
        <v>320</v>
      </c>
      <c r="R60" s="630">
        <f>IF(ISERROR(VLOOKUP(J60,Baupläne!$C$2:$X$231,20,FALSE)),0,VLOOKUP(J60,Baupläne!$C$2:$X$231,20,FALSE))</f>
        <v>41600</v>
      </c>
      <c r="S60" s="12">
        <f>IF(ISERROR(VLOOKUP(L60,Baupläne!$C$2:$X$231,20,FALSE)),0,VLOOKUP(L60,Baupläne!$C$2:$X$231,20,FALSE))</f>
        <v>35200</v>
      </c>
      <c r="T60" s="12">
        <f>IF(ISERROR(VLOOKUP(N60,Baupläne!$C$2:$X$231,20,FALSE)),0,VLOOKUP(N60,Baupläne!$C$2:$X$231,20,FALSE))</f>
        <v>51200</v>
      </c>
      <c r="U60" s="631">
        <f>IF(ISERROR(VLOOKUP(P60,Baupläne!$C$2:$X$231,20,FALSE)),0,VLOOKUP(P60,Baupläne!$C$2:$X$231,20,FALSE))</f>
        <v>28800</v>
      </c>
      <c r="V60" s="632">
        <f t="shared" si="2"/>
        <v>227200</v>
      </c>
    </row>
    <row r="61" spans="1:22" x14ac:dyDescent="0.2">
      <c r="R61" s="630">
        <f>IF(ISERROR(VLOOKUP(J61,Baupläne!$C$2:$X$231,20,FALSE)),0,VLOOKUP(J61,Baupläne!$C$2:$X$231,20,FALSE))</f>
        <v>0</v>
      </c>
      <c r="S61" s="12">
        <f>IF(ISERROR(VLOOKUP(L61,Baupläne!$C$2:$X$231,20,FALSE)),0,VLOOKUP(L61,Baupläne!$C$2:$X$231,20,FALSE))</f>
        <v>0</v>
      </c>
      <c r="T61" s="12">
        <f>IF(ISERROR(VLOOKUP(N61,Baupläne!$C$2:$X$231,20,FALSE)),0,VLOOKUP(N61,Baupläne!$C$2:$X$231,20,FALSE))</f>
        <v>0</v>
      </c>
      <c r="U61" s="631">
        <f>IF(ISERROR(VLOOKUP(P61,Baupläne!$C$2:$X$231,20,FALSE)),0,VLOOKUP(P61,Baupläne!$C$2:$X$231,20,FALSE))</f>
        <v>0</v>
      </c>
      <c r="V61" s="632">
        <f t="shared" si="2"/>
        <v>0</v>
      </c>
    </row>
    <row r="62" spans="1:22" x14ac:dyDescent="0.2">
      <c r="A62" s="627">
        <v>321</v>
      </c>
      <c r="B62" s="628" t="s">
        <v>1025</v>
      </c>
      <c r="C62" s="3" t="s">
        <v>292</v>
      </c>
      <c r="D62" s="1">
        <v>4</v>
      </c>
      <c r="E62" s="1">
        <v>120</v>
      </c>
      <c r="F62" s="629">
        <v>800</v>
      </c>
      <c r="G62" s="416">
        <v>0</v>
      </c>
      <c r="H62" s="629">
        <v>0</v>
      </c>
      <c r="I62" s="416">
        <v>2</v>
      </c>
      <c r="J62" s="627" t="s">
        <v>217</v>
      </c>
      <c r="K62" s="629">
        <v>1</v>
      </c>
      <c r="L62" s="627" t="s">
        <v>218</v>
      </c>
      <c r="M62" s="629">
        <v>1</v>
      </c>
      <c r="N62" s="627" t="s">
        <v>219</v>
      </c>
      <c r="O62" s="629">
        <v>2</v>
      </c>
      <c r="P62" s="627" t="s">
        <v>220</v>
      </c>
      <c r="Q62" s="417">
        <v>20</v>
      </c>
      <c r="R62" s="630">
        <f>IF(ISERROR(VLOOKUP(J62,Baupläne!$C$2:$X$231,20,FALSE)),0,VLOOKUP(J62,Baupläne!$C$2:$X$231,20,FALSE))</f>
        <v>2600</v>
      </c>
      <c r="S62" s="12">
        <f>IF(ISERROR(VLOOKUP(L62,Baupläne!$C$2:$X$231,20,FALSE)),0,VLOOKUP(L62,Baupläne!$C$2:$X$231,20,FALSE))</f>
        <v>2200</v>
      </c>
      <c r="T62" s="12">
        <f>IF(ISERROR(VLOOKUP(N62,Baupläne!$C$2:$X$231,20,FALSE)),0,VLOOKUP(N62,Baupläne!$C$2:$X$231,20,FALSE))</f>
        <v>3200</v>
      </c>
      <c r="U62" s="631">
        <f>IF(ISERROR(VLOOKUP(P62,Baupläne!$C$2:$X$231,20,FALSE)),0,VLOOKUP(P62,Baupläne!$C$2:$X$231,20,FALSE))</f>
        <v>1800</v>
      </c>
      <c r="V62" s="632">
        <f t="shared" si="2"/>
        <v>14200</v>
      </c>
    </row>
    <row r="63" spans="1:22" x14ac:dyDescent="0.2">
      <c r="A63" s="627">
        <v>322</v>
      </c>
      <c r="B63" s="628" t="s">
        <v>1026</v>
      </c>
      <c r="C63" s="3" t="s">
        <v>292</v>
      </c>
      <c r="D63" s="1">
        <v>4</v>
      </c>
      <c r="E63" s="1">
        <v>240</v>
      </c>
      <c r="F63" s="629">
        <v>1200</v>
      </c>
      <c r="G63" s="416">
        <v>0</v>
      </c>
      <c r="H63" s="629">
        <v>0</v>
      </c>
      <c r="I63" s="416">
        <v>2</v>
      </c>
      <c r="J63" s="627" t="s">
        <v>221</v>
      </c>
      <c r="K63" s="629">
        <v>1</v>
      </c>
      <c r="L63" s="627" t="s">
        <v>222</v>
      </c>
      <c r="M63" s="629">
        <v>1</v>
      </c>
      <c r="N63" s="627" t="s">
        <v>223</v>
      </c>
      <c r="O63" s="629">
        <v>2</v>
      </c>
      <c r="P63" s="627" t="s">
        <v>224</v>
      </c>
      <c r="Q63" s="417">
        <v>40</v>
      </c>
      <c r="R63" s="630">
        <f>IF(ISERROR(VLOOKUP(J63,Baupläne!$C$2:$X$231,20,FALSE)),0,VLOOKUP(J63,Baupläne!$C$2:$X$231,20,FALSE))</f>
        <v>5200</v>
      </c>
      <c r="S63" s="12">
        <f>IF(ISERROR(VLOOKUP(L63,Baupläne!$C$2:$X$231,20,FALSE)),0,VLOOKUP(L63,Baupläne!$C$2:$X$231,20,FALSE))</f>
        <v>4400</v>
      </c>
      <c r="T63" s="12">
        <f>IF(ISERROR(VLOOKUP(N63,Baupläne!$C$2:$X$231,20,FALSE)),0,VLOOKUP(N63,Baupläne!$C$2:$X$231,20,FALSE))</f>
        <v>6400</v>
      </c>
      <c r="U63" s="631">
        <f>IF(ISERROR(VLOOKUP(P63,Baupläne!$C$2:$X$231,20,FALSE)),0,VLOOKUP(P63,Baupläne!$C$2:$X$231,20,FALSE))</f>
        <v>3600</v>
      </c>
      <c r="V63" s="632">
        <f t="shared" si="2"/>
        <v>28400</v>
      </c>
    </row>
    <row r="64" spans="1:22" x14ac:dyDescent="0.2">
      <c r="A64" s="627">
        <v>323</v>
      </c>
      <c r="B64" s="628" t="s">
        <v>1027</v>
      </c>
      <c r="C64" s="3" t="s">
        <v>292</v>
      </c>
      <c r="D64" s="1">
        <v>5</v>
      </c>
      <c r="E64" s="1">
        <v>360</v>
      </c>
      <c r="F64" s="629">
        <v>1600</v>
      </c>
      <c r="G64" s="416">
        <v>0</v>
      </c>
      <c r="H64" s="629">
        <v>0</v>
      </c>
      <c r="I64" s="416">
        <v>2</v>
      </c>
      <c r="J64" s="627" t="s">
        <v>225</v>
      </c>
      <c r="K64" s="629">
        <v>1</v>
      </c>
      <c r="L64" s="627" t="s">
        <v>226</v>
      </c>
      <c r="M64" s="629">
        <v>1</v>
      </c>
      <c r="N64" s="627" t="s">
        <v>227</v>
      </c>
      <c r="O64" s="629">
        <v>2</v>
      </c>
      <c r="P64" s="627" t="s">
        <v>228</v>
      </c>
      <c r="Q64" s="417">
        <v>80</v>
      </c>
      <c r="R64" s="630">
        <f>IF(ISERROR(VLOOKUP(J64,Baupläne!$C$2:$X$231,20,FALSE)),0,VLOOKUP(J64,Baupläne!$C$2:$X$231,20,FALSE))</f>
        <v>10400</v>
      </c>
      <c r="S64" s="12">
        <f>IF(ISERROR(VLOOKUP(L64,Baupläne!$C$2:$X$231,20,FALSE)),0,VLOOKUP(L64,Baupläne!$C$2:$X$231,20,FALSE))</f>
        <v>8800</v>
      </c>
      <c r="T64" s="12">
        <f>IF(ISERROR(VLOOKUP(N64,Baupläne!$C$2:$X$231,20,FALSE)),0,VLOOKUP(N64,Baupläne!$C$2:$X$231,20,FALSE))</f>
        <v>12800</v>
      </c>
      <c r="U64" s="631">
        <f>IF(ISERROR(VLOOKUP(P64,Baupläne!$C$2:$X$231,20,FALSE)),0,VLOOKUP(P64,Baupläne!$C$2:$X$231,20,FALSE))</f>
        <v>7200</v>
      </c>
      <c r="V64" s="632">
        <f t="shared" si="2"/>
        <v>56800</v>
      </c>
    </row>
    <row r="65" spans="1:22" x14ac:dyDescent="0.2">
      <c r="A65" s="627">
        <v>324</v>
      </c>
      <c r="B65" s="628" t="s">
        <v>1028</v>
      </c>
      <c r="C65" s="3" t="s">
        <v>292</v>
      </c>
      <c r="D65" s="3">
        <v>6</v>
      </c>
      <c r="E65" s="3">
        <v>480</v>
      </c>
      <c r="F65" s="629">
        <v>2000</v>
      </c>
      <c r="G65" s="416">
        <v>0</v>
      </c>
      <c r="H65" s="629">
        <v>0</v>
      </c>
      <c r="I65" s="416">
        <v>2</v>
      </c>
      <c r="J65" s="627" t="s">
        <v>229</v>
      </c>
      <c r="K65" s="629">
        <v>1</v>
      </c>
      <c r="L65" s="627" t="s">
        <v>230</v>
      </c>
      <c r="M65" s="629">
        <v>1</v>
      </c>
      <c r="N65" s="627" t="s">
        <v>231</v>
      </c>
      <c r="O65" s="629">
        <v>2</v>
      </c>
      <c r="P65" s="627" t="s">
        <v>232</v>
      </c>
      <c r="Q65" s="417">
        <v>160</v>
      </c>
      <c r="R65" s="630">
        <f>IF(ISERROR(VLOOKUP(J65,Baupläne!$C$2:$X$231,20,FALSE)),0,VLOOKUP(J65,Baupläne!$C$2:$X$231,20,FALSE))</f>
        <v>20800</v>
      </c>
      <c r="S65" s="12">
        <f>IF(ISERROR(VLOOKUP(L65,Baupläne!$C$2:$X$231,20,FALSE)),0,VLOOKUP(L65,Baupläne!$C$2:$X$231,20,FALSE))</f>
        <v>17600</v>
      </c>
      <c r="T65" s="12">
        <f>IF(ISERROR(VLOOKUP(N65,Baupläne!$C$2:$X$231,20,FALSE)),0,VLOOKUP(N65,Baupläne!$C$2:$X$231,20,FALSE))</f>
        <v>25600</v>
      </c>
      <c r="U65" s="631">
        <f>IF(ISERROR(VLOOKUP(P65,Baupläne!$C$2:$X$231,20,FALSE)),0,VLOOKUP(P65,Baupläne!$C$2:$X$231,20,FALSE))</f>
        <v>14400</v>
      </c>
      <c r="V65" s="632">
        <f t="shared" si="2"/>
        <v>113600</v>
      </c>
    </row>
    <row r="66" spans="1:22" x14ac:dyDescent="0.2">
      <c r="A66" s="627">
        <v>325</v>
      </c>
      <c r="B66" s="628" t="s">
        <v>1029</v>
      </c>
      <c r="C66" s="1" t="s">
        <v>292</v>
      </c>
      <c r="D66" s="3">
        <v>6</v>
      </c>
      <c r="E66" s="3">
        <v>600</v>
      </c>
      <c r="F66" s="629">
        <v>2400</v>
      </c>
      <c r="G66" s="416">
        <v>0</v>
      </c>
      <c r="H66" s="629">
        <v>0</v>
      </c>
      <c r="I66" s="416">
        <v>2</v>
      </c>
      <c r="J66" s="627" t="s">
        <v>233</v>
      </c>
      <c r="K66" s="629">
        <v>1</v>
      </c>
      <c r="L66" s="627" t="s">
        <v>234</v>
      </c>
      <c r="M66" s="629">
        <v>1</v>
      </c>
      <c r="N66" s="627" t="s">
        <v>235</v>
      </c>
      <c r="O66" s="629">
        <v>2</v>
      </c>
      <c r="P66" s="627" t="s">
        <v>236</v>
      </c>
      <c r="Q66" s="417">
        <v>320</v>
      </c>
      <c r="R66" s="630">
        <f>IF(ISERROR(VLOOKUP(J66,Baupläne!$C$2:$X$231,20,FALSE)),0,VLOOKUP(J66,Baupläne!$C$2:$X$231,20,FALSE))</f>
        <v>41600</v>
      </c>
      <c r="S66" s="12">
        <f>IF(ISERROR(VLOOKUP(L66,Baupläne!$C$2:$X$231,20,FALSE)),0,VLOOKUP(L66,Baupläne!$C$2:$X$231,20,FALSE))</f>
        <v>35200</v>
      </c>
      <c r="T66" s="12">
        <f>IF(ISERROR(VLOOKUP(N66,Baupläne!$C$2:$X$231,20,FALSE)),0,VLOOKUP(N66,Baupläne!$C$2:$X$231,20,FALSE))</f>
        <v>51200</v>
      </c>
      <c r="U66" s="631">
        <f>IF(ISERROR(VLOOKUP(P66,Baupläne!$C$2:$X$231,20,FALSE)),0,VLOOKUP(P66,Baupläne!$C$2:$X$231,20,FALSE))</f>
        <v>28800</v>
      </c>
      <c r="V66" s="632">
        <f t="shared" si="2"/>
        <v>227200</v>
      </c>
    </row>
    <row r="67" spans="1:22" x14ac:dyDescent="0.2">
      <c r="D67" s="3"/>
      <c r="R67" s="630">
        <f>IF(ISERROR(VLOOKUP(J67,Baupläne!$C$2:$X$231,20,FALSE)),0,VLOOKUP(J67,Baupläne!$C$2:$X$231,20,FALSE))</f>
        <v>0</v>
      </c>
      <c r="S67" s="12">
        <f>IF(ISERROR(VLOOKUP(L67,Baupläne!$C$2:$X$231,20,FALSE)),0,VLOOKUP(L67,Baupläne!$C$2:$X$231,20,FALSE))</f>
        <v>0</v>
      </c>
      <c r="T67" s="12">
        <f>IF(ISERROR(VLOOKUP(N67,Baupläne!$C$2:$X$231,20,FALSE)),0,VLOOKUP(N67,Baupläne!$C$2:$X$231,20,FALSE))</f>
        <v>0</v>
      </c>
      <c r="U67" s="631">
        <f>IF(ISERROR(VLOOKUP(P67,Baupläne!$C$2:$X$231,20,FALSE)),0,VLOOKUP(P67,Baupläne!$C$2:$X$231,20,FALSE))</f>
        <v>0</v>
      </c>
      <c r="V67" s="632">
        <f t="shared" si="2"/>
        <v>0</v>
      </c>
    </row>
    <row r="68" spans="1:22" x14ac:dyDescent="0.2">
      <c r="A68" s="627">
        <v>331</v>
      </c>
      <c r="B68" s="628" t="s">
        <v>1030</v>
      </c>
      <c r="C68" s="3" t="s">
        <v>292</v>
      </c>
      <c r="D68" s="1">
        <v>4</v>
      </c>
      <c r="E68" s="1">
        <v>120</v>
      </c>
      <c r="F68" s="629">
        <v>800</v>
      </c>
      <c r="G68" s="416">
        <v>0</v>
      </c>
      <c r="H68" s="629">
        <v>0</v>
      </c>
      <c r="I68" s="416">
        <v>2</v>
      </c>
      <c r="J68" s="627" t="s">
        <v>217</v>
      </c>
      <c r="K68" s="629">
        <v>1</v>
      </c>
      <c r="L68" s="627" t="s">
        <v>218</v>
      </c>
      <c r="M68" s="629">
        <v>1</v>
      </c>
      <c r="N68" s="627" t="s">
        <v>219</v>
      </c>
      <c r="O68" s="629">
        <v>2</v>
      </c>
      <c r="P68" s="627" t="s">
        <v>220</v>
      </c>
      <c r="Q68" s="417">
        <v>20</v>
      </c>
      <c r="R68" s="630">
        <f>IF(ISERROR(VLOOKUP(J68,Baupläne!$C$2:$X$231,20,FALSE)),0,VLOOKUP(J68,Baupläne!$C$2:$X$231,20,FALSE))</f>
        <v>2600</v>
      </c>
      <c r="S68" s="12">
        <f>IF(ISERROR(VLOOKUP(L68,Baupläne!$C$2:$X$231,20,FALSE)),0,VLOOKUP(L68,Baupläne!$C$2:$X$231,20,FALSE))</f>
        <v>2200</v>
      </c>
      <c r="T68" s="12">
        <f>IF(ISERROR(VLOOKUP(N68,Baupläne!$C$2:$X$231,20,FALSE)),0,VLOOKUP(N68,Baupläne!$C$2:$X$231,20,FALSE))</f>
        <v>3200</v>
      </c>
      <c r="U68" s="631">
        <f>IF(ISERROR(VLOOKUP(P68,Baupläne!$C$2:$X$231,20,FALSE)),0,VLOOKUP(P68,Baupläne!$C$2:$X$231,20,FALSE))</f>
        <v>1800</v>
      </c>
      <c r="V68" s="632">
        <f t="shared" si="2"/>
        <v>14200</v>
      </c>
    </row>
    <row r="69" spans="1:22" x14ac:dyDescent="0.2">
      <c r="A69" s="627">
        <v>332</v>
      </c>
      <c r="B69" s="628" t="s">
        <v>1031</v>
      </c>
      <c r="C69" s="3" t="s">
        <v>292</v>
      </c>
      <c r="D69" s="1">
        <v>4</v>
      </c>
      <c r="E69" s="1">
        <v>240</v>
      </c>
      <c r="F69" s="629">
        <v>1200</v>
      </c>
      <c r="G69" s="416">
        <v>0</v>
      </c>
      <c r="H69" s="629">
        <v>0</v>
      </c>
      <c r="I69" s="416">
        <v>2</v>
      </c>
      <c r="J69" s="627" t="s">
        <v>221</v>
      </c>
      <c r="K69" s="629">
        <v>1</v>
      </c>
      <c r="L69" s="627" t="s">
        <v>222</v>
      </c>
      <c r="M69" s="629">
        <v>1</v>
      </c>
      <c r="N69" s="627" t="s">
        <v>223</v>
      </c>
      <c r="O69" s="629">
        <v>2</v>
      </c>
      <c r="P69" s="627" t="s">
        <v>224</v>
      </c>
      <c r="Q69" s="417">
        <v>40</v>
      </c>
      <c r="R69" s="630">
        <f>IF(ISERROR(VLOOKUP(J69,Baupläne!$C$2:$X$231,20,FALSE)),0,VLOOKUP(J69,Baupläne!$C$2:$X$231,20,FALSE))</f>
        <v>5200</v>
      </c>
      <c r="S69" s="12">
        <f>IF(ISERROR(VLOOKUP(L69,Baupläne!$C$2:$X$231,20,FALSE)),0,VLOOKUP(L69,Baupläne!$C$2:$X$231,20,FALSE))</f>
        <v>4400</v>
      </c>
      <c r="T69" s="12">
        <f>IF(ISERROR(VLOOKUP(N69,Baupläne!$C$2:$X$231,20,FALSE)),0,VLOOKUP(N69,Baupläne!$C$2:$X$231,20,FALSE))</f>
        <v>6400</v>
      </c>
      <c r="U69" s="631">
        <f>IF(ISERROR(VLOOKUP(P69,Baupläne!$C$2:$X$231,20,FALSE)),0,VLOOKUP(P69,Baupläne!$C$2:$X$231,20,FALSE))</f>
        <v>3600</v>
      </c>
      <c r="V69" s="632">
        <f t="shared" si="2"/>
        <v>28400</v>
      </c>
    </row>
    <row r="70" spans="1:22" x14ac:dyDescent="0.2">
      <c r="A70" s="627">
        <v>333</v>
      </c>
      <c r="B70" s="628" t="s">
        <v>1032</v>
      </c>
      <c r="C70" s="3" t="s">
        <v>292</v>
      </c>
      <c r="D70" s="1">
        <v>5</v>
      </c>
      <c r="E70" s="1">
        <v>360</v>
      </c>
      <c r="F70" s="629">
        <v>1600</v>
      </c>
      <c r="G70" s="416">
        <v>0</v>
      </c>
      <c r="H70" s="629">
        <v>0</v>
      </c>
      <c r="I70" s="416">
        <v>2</v>
      </c>
      <c r="J70" s="627" t="s">
        <v>225</v>
      </c>
      <c r="K70" s="629">
        <v>1</v>
      </c>
      <c r="L70" s="627" t="s">
        <v>226</v>
      </c>
      <c r="M70" s="629">
        <v>1</v>
      </c>
      <c r="N70" s="627" t="s">
        <v>227</v>
      </c>
      <c r="O70" s="629">
        <v>2</v>
      </c>
      <c r="P70" s="627" t="s">
        <v>228</v>
      </c>
      <c r="Q70" s="417">
        <v>80</v>
      </c>
      <c r="R70" s="630">
        <f>IF(ISERROR(VLOOKUP(J70,Baupläne!$C$2:$X$231,20,FALSE)),0,VLOOKUP(J70,Baupläne!$C$2:$X$231,20,FALSE))</f>
        <v>10400</v>
      </c>
      <c r="S70" s="12">
        <f>IF(ISERROR(VLOOKUP(L70,Baupläne!$C$2:$X$231,20,FALSE)),0,VLOOKUP(L70,Baupläne!$C$2:$X$231,20,FALSE))</f>
        <v>8800</v>
      </c>
      <c r="T70" s="12">
        <f>IF(ISERROR(VLOOKUP(N70,Baupläne!$C$2:$X$231,20,FALSE)),0,VLOOKUP(N70,Baupläne!$C$2:$X$231,20,FALSE))</f>
        <v>12800</v>
      </c>
      <c r="U70" s="631">
        <f>IF(ISERROR(VLOOKUP(P70,Baupläne!$C$2:$X$231,20,FALSE)),0,VLOOKUP(P70,Baupläne!$C$2:$X$231,20,FALSE))</f>
        <v>7200</v>
      </c>
      <c r="V70" s="632">
        <f t="shared" si="2"/>
        <v>56800</v>
      </c>
    </row>
    <row r="71" spans="1:22" x14ac:dyDescent="0.2">
      <c r="A71" s="627">
        <v>334</v>
      </c>
      <c r="B71" s="628" t="s">
        <v>1033</v>
      </c>
      <c r="C71" s="3" t="s">
        <v>292</v>
      </c>
      <c r="D71" s="3">
        <v>6</v>
      </c>
      <c r="E71" s="3">
        <v>480</v>
      </c>
      <c r="F71" s="629">
        <v>2000</v>
      </c>
      <c r="G71" s="416">
        <v>0</v>
      </c>
      <c r="H71" s="629">
        <v>0</v>
      </c>
      <c r="I71" s="416">
        <v>2</v>
      </c>
      <c r="J71" s="627" t="s">
        <v>229</v>
      </c>
      <c r="K71" s="629">
        <v>1</v>
      </c>
      <c r="L71" s="627" t="s">
        <v>230</v>
      </c>
      <c r="M71" s="629">
        <v>1</v>
      </c>
      <c r="N71" s="627" t="s">
        <v>231</v>
      </c>
      <c r="O71" s="629">
        <v>2</v>
      </c>
      <c r="P71" s="627" t="s">
        <v>232</v>
      </c>
      <c r="Q71" s="417">
        <v>160</v>
      </c>
      <c r="R71" s="630">
        <f>IF(ISERROR(VLOOKUP(J71,Baupläne!$C$2:$X$231,20,FALSE)),0,VLOOKUP(J71,Baupläne!$C$2:$X$231,20,FALSE))</f>
        <v>20800</v>
      </c>
      <c r="S71" s="12">
        <f>IF(ISERROR(VLOOKUP(L71,Baupläne!$C$2:$X$231,20,FALSE)),0,VLOOKUP(L71,Baupläne!$C$2:$X$231,20,FALSE))</f>
        <v>17600</v>
      </c>
      <c r="T71" s="12">
        <f>IF(ISERROR(VLOOKUP(N71,Baupläne!$C$2:$X$231,20,FALSE)),0,VLOOKUP(N71,Baupläne!$C$2:$X$231,20,FALSE))</f>
        <v>25600</v>
      </c>
      <c r="U71" s="631">
        <f>IF(ISERROR(VLOOKUP(P71,Baupläne!$C$2:$X$231,20,FALSE)),0,VLOOKUP(P71,Baupläne!$C$2:$X$231,20,FALSE))</f>
        <v>14400</v>
      </c>
      <c r="V71" s="632">
        <f t="shared" si="2"/>
        <v>113600</v>
      </c>
    </row>
    <row r="72" spans="1:22" x14ac:dyDescent="0.2">
      <c r="A72" s="627">
        <v>335</v>
      </c>
      <c r="B72" s="628" t="s">
        <v>1034</v>
      </c>
      <c r="C72" s="3" t="s">
        <v>292</v>
      </c>
      <c r="D72" s="3">
        <v>6</v>
      </c>
      <c r="E72" s="3">
        <v>600</v>
      </c>
      <c r="F72" s="629">
        <v>2400</v>
      </c>
      <c r="G72" s="416">
        <v>0</v>
      </c>
      <c r="H72" s="629">
        <v>0</v>
      </c>
      <c r="I72" s="416">
        <v>2</v>
      </c>
      <c r="J72" s="627" t="s">
        <v>233</v>
      </c>
      <c r="K72" s="629">
        <v>1</v>
      </c>
      <c r="L72" s="627" t="s">
        <v>234</v>
      </c>
      <c r="M72" s="629">
        <v>1</v>
      </c>
      <c r="N72" s="627" t="s">
        <v>235</v>
      </c>
      <c r="O72" s="629">
        <v>2</v>
      </c>
      <c r="P72" s="627" t="s">
        <v>236</v>
      </c>
      <c r="Q72" s="417">
        <v>320</v>
      </c>
      <c r="R72" s="630">
        <f>IF(ISERROR(VLOOKUP(J72,Baupläne!$C$2:$X$231,20,FALSE)),0,VLOOKUP(J72,Baupläne!$C$2:$X$231,20,FALSE))</f>
        <v>41600</v>
      </c>
      <c r="S72" s="12">
        <f>IF(ISERROR(VLOOKUP(L72,Baupläne!$C$2:$X$231,20,FALSE)),0,VLOOKUP(L72,Baupläne!$C$2:$X$231,20,FALSE))</f>
        <v>35200</v>
      </c>
      <c r="T72" s="12">
        <f>IF(ISERROR(VLOOKUP(N72,Baupläne!$C$2:$X$231,20,FALSE)),0,VLOOKUP(N72,Baupläne!$C$2:$X$231,20,FALSE))</f>
        <v>51200</v>
      </c>
      <c r="U72" s="631">
        <f>IF(ISERROR(VLOOKUP(P72,Baupläne!$C$2:$X$231,20,FALSE)),0,VLOOKUP(P72,Baupläne!$C$2:$X$231,20,FALSE))</f>
        <v>28800</v>
      </c>
      <c r="V72" s="632">
        <f t="shared" si="2"/>
        <v>227200</v>
      </c>
    </row>
    <row r="73" spans="1:22" x14ac:dyDescent="0.2">
      <c r="R73" s="630">
        <f>IF(ISERROR(VLOOKUP(J73,Baupläne!$C$2:$X$231,20,FALSE)),0,VLOOKUP(J73,Baupläne!$C$2:$X$231,20,FALSE))</f>
        <v>0</v>
      </c>
      <c r="S73" s="12">
        <f>IF(ISERROR(VLOOKUP(L73,Baupläne!$C$2:$X$231,20,FALSE)),0,VLOOKUP(L73,Baupläne!$C$2:$X$231,20,FALSE))</f>
        <v>0</v>
      </c>
      <c r="T73" s="12">
        <f>IF(ISERROR(VLOOKUP(N73,Baupläne!$C$2:$X$231,20,FALSE)),0,VLOOKUP(N73,Baupläne!$C$2:$X$231,20,FALSE))</f>
        <v>0</v>
      </c>
      <c r="U73" s="631">
        <f>IF(ISERROR(VLOOKUP(P73,Baupläne!$C$2:$X$231,20,FALSE)),0,VLOOKUP(P73,Baupläne!$C$2:$X$231,20,FALSE))</f>
        <v>0</v>
      </c>
      <c r="V73" s="632">
        <f t="shared" si="2"/>
        <v>0</v>
      </c>
    </row>
    <row r="74" spans="1:22" x14ac:dyDescent="0.2">
      <c r="A74" s="627">
        <v>341</v>
      </c>
      <c r="B74" s="628" t="s">
        <v>1035</v>
      </c>
      <c r="C74" s="3" t="s">
        <v>292</v>
      </c>
      <c r="D74" s="1">
        <v>4</v>
      </c>
      <c r="E74" s="1">
        <v>120</v>
      </c>
      <c r="F74" s="629">
        <v>800</v>
      </c>
      <c r="G74" s="416">
        <v>0</v>
      </c>
      <c r="H74" s="629">
        <v>0</v>
      </c>
      <c r="I74" s="416">
        <v>2</v>
      </c>
      <c r="J74" s="627" t="s">
        <v>217</v>
      </c>
      <c r="K74" s="629">
        <v>1</v>
      </c>
      <c r="L74" s="627" t="s">
        <v>218</v>
      </c>
      <c r="M74" s="629">
        <v>1</v>
      </c>
      <c r="N74" s="627" t="s">
        <v>219</v>
      </c>
      <c r="O74" s="629">
        <v>2</v>
      </c>
      <c r="P74" s="627" t="s">
        <v>220</v>
      </c>
      <c r="Q74" s="417">
        <v>20</v>
      </c>
      <c r="R74" s="630">
        <f>IF(ISERROR(VLOOKUP(J74,Baupläne!$C$2:$X$231,20,FALSE)),0,VLOOKUP(J74,Baupläne!$C$2:$X$231,20,FALSE))</f>
        <v>2600</v>
      </c>
      <c r="S74" s="12">
        <f>IF(ISERROR(VLOOKUP(L74,Baupläne!$C$2:$X$231,20,FALSE)),0,VLOOKUP(L74,Baupläne!$C$2:$X$231,20,FALSE))</f>
        <v>2200</v>
      </c>
      <c r="T74" s="12">
        <f>IF(ISERROR(VLOOKUP(N74,Baupläne!$C$2:$X$231,20,FALSE)),0,VLOOKUP(N74,Baupläne!$C$2:$X$231,20,FALSE))</f>
        <v>3200</v>
      </c>
      <c r="U74" s="631">
        <f>IF(ISERROR(VLOOKUP(P74,Baupläne!$C$2:$X$231,20,FALSE)),0,VLOOKUP(P74,Baupläne!$C$2:$X$231,20,FALSE))</f>
        <v>1800</v>
      </c>
      <c r="V74" s="632">
        <f t="shared" si="2"/>
        <v>14200</v>
      </c>
    </row>
    <row r="75" spans="1:22" x14ac:dyDescent="0.2">
      <c r="A75" s="627">
        <v>342</v>
      </c>
      <c r="B75" s="628" t="s">
        <v>1036</v>
      </c>
      <c r="C75" s="3" t="s">
        <v>292</v>
      </c>
      <c r="D75" s="1">
        <v>4</v>
      </c>
      <c r="E75" s="1">
        <v>240</v>
      </c>
      <c r="F75" s="629">
        <v>1200</v>
      </c>
      <c r="G75" s="416">
        <v>0</v>
      </c>
      <c r="H75" s="629">
        <v>0</v>
      </c>
      <c r="I75" s="416">
        <v>2</v>
      </c>
      <c r="J75" s="627" t="s">
        <v>221</v>
      </c>
      <c r="K75" s="629">
        <v>1</v>
      </c>
      <c r="L75" s="627" t="s">
        <v>222</v>
      </c>
      <c r="M75" s="629">
        <v>1</v>
      </c>
      <c r="N75" s="627" t="s">
        <v>223</v>
      </c>
      <c r="O75" s="629">
        <v>2</v>
      </c>
      <c r="P75" s="627" t="s">
        <v>224</v>
      </c>
      <c r="Q75" s="417">
        <v>40</v>
      </c>
      <c r="R75" s="630">
        <f>IF(ISERROR(VLOOKUP(J75,Baupläne!$C$2:$X$231,20,FALSE)),0,VLOOKUP(J75,Baupläne!$C$2:$X$231,20,FALSE))</f>
        <v>5200</v>
      </c>
      <c r="S75" s="12">
        <f>IF(ISERROR(VLOOKUP(L75,Baupläne!$C$2:$X$231,20,FALSE)),0,VLOOKUP(L75,Baupläne!$C$2:$X$231,20,FALSE))</f>
        <v>4400</v>
      </c>
      <c r="T75" s="12">
        <f>IF(ISERROR(VLOOKUP(N75,Baupläne!$C$2:$X$231,20,FALSE)),0,VLOOKUP(N75,Baupläne!$C$2:$X$231,20,FALSE))</f>
        <v>6400</v>
      </c>
      <c r="U75" s="631">
        <f>IF(ISERROR(VLOOKUP(P75,Baupläne!$C$2:$X$231,20,FALSE)),0,VLOOKUP(P75,Baupläne!$C$2:$X$231,20,FALSE))</f>
        <v>3600</v>
      </c>
      <c r="V75" s="632">
        <f t="shared" si="2"/>
        <v>28400</v>
      </c>
    </row>
    <row r="76" spans="1:22" x14ac:dyDescent="0.2">
      <c r="A76" s="627">
        <v>343</v>
      </c>
      <c r="B76" s="628" t="s">
        <v>1037</v>
      </c>
      <c r="C76" s="3" t="s">
        <v>292</v>
      </c>
      <c r="D76" s="1">
        <v>5</v>
      </c>
      <c r="E76" s="1">
        <v>360</v>
      </c>
      <c r="F76" s="629">
        <v>1600</v>
      </c>
      <c r="G76" s="416">
        <v>0</v>
      </c>
      <c r="H76" s="629">
        <v>0</v>
      </c>
      <c r="I76" s="416">
        <v>2</v>
      </c>
      <c r="J76" s="627" t="s">
        <v>225</v>
      </c>
      <c r="K76" s="629">
        <v>1</v>
      </c>
      <c r="L76" s="627" t="s">
        <v>226</v>
      </c>
      <c r="M76" s="629">
        <v>1</v>
      </c>
      <c r="N76" s="627" t="s">
        <v>227</v>
      </c>
      <c r="O76" s="629">
        <v>2</v>
      </c>
      <c r="P76" s="627" t="s">
        <v>228</v>
      </c>
      <c r="Q76" s="417">
        <v>80</v>
      </c>
      <c r="R76" s="630">
        <f>IF(ISERROR(VLOOKUP(J76,Baupläne!$C$2:$X$231,20,FALSE)),0,VLOOKUP(J76,Baupläne!$C$2:$X$231,20,FALSE))</f>
        <v>10400</v>
      </c>
      <c r="S76" s="12">
        <f>IF(ISERROR(VLOOKUP(L76,Baupläne!$C$2:$X$231,20,FALSE)),0,VLOOKUP(L76,Baupläne!$C$2:$X$231,20,FALSE))</f>
        <v>8800</v>
      </c>
      <c r="T76" s="12">
        <f>IF(ISERROR(VLOOKUP(N76,Baupläne!$C$2:$X$231,20,FALSE)),0,VLOOKUP(N76,Baupläne!$C$2:$X$231,20,FALSE))</f>
        <v>12800</v>
      </c>
      <c r="U76" s="631">
        <f>IF(ISERROR(VLOOKUP(P76,Baupläne!$C$2:$X$231,20,FALSE)),0,VLOOKUP(P76,Baupläne!$C$2:$X$231,20,FALSE))</f>
        <v>7200</v>
      </c>
      <c r="V76" s="632">
        <f t="shared" si="2"/>
        <v>56800</v>
      </c>
    </row>
    <row r="77" spans="1:22" x14ac:dyDescent="0.2">
      <c r="A77" s="627">
        <v>344</v>
      </c>
      <c r="B77" s="628" t="s">
        <v>1038</v>
      </c>
      <c r="C77" s="3" t="s">
        <v>292</v>
      </c>
      <c r="D77" s="3">
        <v>6</v>
      </c>
      <c r="E77" s="3">
        <v>480</v>
      </c>
      <c r="F77" s="629">
        <v>2000</v>
      </c>
      <c r="G77" s="416">
        <v>0</v>
      </c>
      <c r="H77" s="629">
        <v>0</v>
      </c>
      <c r="I77" s="416">
        <v>2</v>
      </c>
      <c r="J77" s="627" t="s">
        <v>229</v>
      </c>
      <c r="K77" s="629">
        <v>1</v>
      </c>
      <c r="L77" s="627" t="s">
        <v>230</v>
      </c>
      <c r="M77" s="629">
        <v>1</v>
      </c>
      <c r="N77" s="627" t="s">
        <v>231</v>
      </c>
      <c r="O77" s="629">
        <v>2</v>
      </c>
      <c r="P77" s="627" t="s">
        <v>232</v>
      </c>
      <c r="Q77" s="417">
        <v>160</v>
      </c>
      <c r="R77" s="630">
        <f>IF(ISERROR(VLOOKUP(J77,Baupläne!$C$2:$X$231,20,FALSE)),0,VLOOKUP(J77,Baupläne!$C$2:$X$231,20,FALSE))</f>
        <v>20800</v>
      </c>
      <c r="S77" s="12">
        <f>IF(ISERROR(VLOOKUP(L77,Baupläne!$C$2:$X$231,20,FALSE)),0,VLOOKUP(L77,Baupläne!$C$2:$X$231,20,FALSE))</f>
        <v>17600</v>
      </c>
      <c r="T77" s="12">
        <f>IF(ISERROR(VLOOKUP(N77,Baupläne!$C$2:$X$231,20,FALSE)),0,VLOOKUP(N77,Baupläne!$C$2:$X$231,20,FALSE))</f>
        <v>25600</v>
      </c>
      <c r="U77" s="631">
        <f>IF(ISERROR(VLOOKUP(P77,Baupläne!$C$2:$X$231,20,FALSE)),0,VLOOKUP(P77,Baupläne!$C$2:$X$231,20,FALSE))</f>
        <v>14400</v>
      </c>
      <c r="V77" s="632">
        <f t="shared" si="2"/>
        <v>113600</v>
      </c>
    </row>
    <row r="78" spans="1:22" x14ac:dyDescent="0.2">
      <c r="A78" s="627">
        <v>345</v>
      </c>
      <c r="B78" s="628" t="s">
        <v>1039</v>
      </c>
      <c r="C78" s="1" t="s">
        <v>292</v>
      </c>
      <c r="D78" s="3">
        <v>6</v>
      </c>
      <c r="E78" s="3">
        <v>600</v>
      </c>
      <c r="F78" s="629">
        <v>2400</v>
      </c>
      <c r="G78" s="416">
        <v>0</v>
      </c>
      <c r="H78" s="629">
        <v>0</v>
      </c>
      <c r="I78" s="416">
        <v>2</v>
      </c>
      <c r="J78" s="627" t="s">
        <v>233</v>
      </c>
      <c r="K78" s="629">
        <v>1</v>
      </c>
      <c r="L78" s="627" t="s">
        <v>234</v>
      </c>
      <c r="M78" s="629">
        <v>1</v>
      </c>
      <c r="N78" s="627" t="s">
        <v>235</v>
      </c>
      <c r="O78" s="629">
        <v>2</v>
      </c>
      <c r="P78" s="627" t="s">
        <v>236</v>
      </c>
      <c r="Q78" s="417">
        <v>320</v>
      </c>
      <c r="R78" s="630">
        <f>IF(ISERROR(VLOOKUP(J78,Baupläne!$C$2:$X$231,20,FALSE)),0,VLOOKUP(J78,Baupläne!$C$2:$X$231,20,FALSE))</f>
        <v>41600</v>
      </c>
      <c r="S78" s="12">
        <f>IF(ISERROR(VLOOKUP(L78,Baupläne!$C$2:$X$231,20,FALSE)),0,VLOOKUP(L78,Baupläne!$C$2:$X$231,20,FALSE))</f>
        <v>35200</v>
      </c>
      <c r="T78" s="12">
        <f>IF(ISERROR(VLOOKUP(N78,Baupläne!$C$2:$X$231,20,FALSE)),0,VLOOKUP(N78,Baupläne!$C$2:$X$231,20,FALSE))</f>
        <v>51200</v>
      </c>
      <c r="U78" s="631">
        <f>IF(ISERROR(VLOOKUP(P78,Baupläne!$C$2:$X$231,20,FALSE)),0,VLOOKUP(P78,Baupläne!$C$2:$X$231,20,FALSE))</f>
        <v>28800</v>
      </c>
      <c r="V78" s="632">
        <f t="shared" si="2"/>
        <v>227200</v>
      </c>
    </row>
    <row r="79" spans="1:22" x14ac:dyDescent="0.2">
      <c r="R79" s="630">
        <f>IF(ISERROR(VLOOKUP(J79,Baupläne!$C$2:$X$231,20,FALSE)),0,VLOOKUP(J79,Baupläne!$C$2:$X$231,20,FALSE))</f>
        <v>0</v>
      </c>
      <c r="S79" s="12">
        <f>IF(ISERROR(VLOOKUP(L79,Baupläne!$C$2:$X$231,20,FALSE)),0,VLOOKUP(L79,Baupläne!$C$2:$X$231,20,FALSE))</f>
        <v>0</v>
      </c>
      <c r="T79" s="12">
        <f>IF(ISERROR(VLOOKUP(N79,Baupläne!$C$2:$X$231,20,FALSE)),0,VLOOKUP(N79,Baupläne!$C$2:$X$231,20,FALSE))</f>
        <v>0</v>
      </c>
      <c r="U79" s="631">
        <f>IF(ISERROR(VLOOKUP(P79,Baupläne!$C$2:$X$231,20,FALSE)),0,VLOOKUP(P79,Baupläne!$C$2:$X$231,20,FALSE))</f>
        <v>0</v>
      </c>
      <c r="V79" s="632">
        <f t="shared" si="2"/>
        <v>0</v>
      </c>
    </row>
    <row r="80" spans="1:22" x14ac:dyDescent="0.2">
      <c r="A80" s="627">
        <v>351</v>
      </c>
      <c r="B80" s="628" t="s">
        <v>1040</v>
      </c>
      <c r="C80" s="3" t="s">
        <v>292</v>
      </c>
      <c r="D80" s="1">
        <v>4</v>
      </c>
      <c r="E80" s="1">
        <v>120</v>
      </c>
      <c r="F80" s="629">
        <v>800</v>
      </c>
      <c r="G80" s="416">
        <v>0</v>
      </c>
      <c r="H80" s="629">
        <v>0</v>
      </c>
      <c r="I80" s="416">
        <v>0</v>
      </c>
      <c r="J80" s="627" t="s">
        <v>217</v>
      </c>
      <c r="K80" s="629">
        <v>4</v>
      </c>
      <c r="L80" s="627" t="s">
        <v>218</v>
      </c>
      <c r="M80" s="629">
        <v>1</v>
      </c>
      <c r="N80" s="627" t="s">
        <v>219</v>
      </c>
      <c r="O80" s="629">
        <v>4</v>
      </c>
      <c r="P80" s="627" t="s">
        <v>220</v>
      </c>
      <c r="Q80" s="417">
        <v>25</v>
      </c>
      <c r="R80" s="630">
        <f>IF(ISERROR(VLOOKUP(J80,Baupläne!$C$2:$X$231,20,FALSE)),0,VLOOKUP(J80,Baupläne!$C$2:$X$231,20,FALSE))</f>
        <v>2600</v>
      </c>
      <c r="S80" s="12">
        <f>IF(ISERROR(VLOOKUP(L80,Baupläne!$C$2:$X$231,20,FALSE)),0,VLOOKUP(L80,Baupläne!$C$2:$X$231,20,FALSE))</f>
        <v>2200</v>
      </c>
      <c r="T80" s="12">
        <f>IF(ISERROR(VLOOKUP(N80,Baupläne!$C$2:$X$231,20,FALSE)),0,VLOOKUP(N80,Baupläne!$C$2:$X$231,20,FALSE))</f>
        <v>3200</v>
      </c>
      <c r="U80" s="631">
        <f>IF(ISERROR(VLOOKUP(P80,Baupläne!$C$2:$X$231,20,FALSE)),0,VLOOKUP(P80,Baupläne!$C$2:$X$231,20,FALSE))</f>
        <v>1800</v>
      </c>
      <c r="V80" s="632">
        <f t="shared" si="2"/>
        <v>19200</v>
      </c>
    </row>
    <row r="81" spans="1:22" x14ac:dyDescent="0.2">
      <c r="A81" s="627">
        <v>352</v>
      </c>
      <c r="B81" s="628" t="s">
        <v>1041</v>
      </c>
      <c r="C81" s="3" t="s">
        <v>292</v>
      </c>
      <c r="D81" s="1">
        <v>4</v>
      </c>
      <c r="E81" s="1">
        <v>240</v>
      </c>
      <c r="F81" s="629">
        <v>1200</v>
      </c>
      <c r="G81" s="416">
        <v>0</v>
      </c>
      <c r="H81" s="629">
        <v>0</v>
      </c>
      <c r="I81" s="416">
        <v>0</v>
      </c>
      <c r="J81" s="627" t="s">
        <v>221</v>
      </c>
      <c r="K81" s="629">
        <v>4</v>
      </c>
      <c r="L81" s="627" t="s">
        <v>222</v>
      </c>
      <c r="M81" s="629">
        <v>1</v>
      </c>
      <c r="N81" s="627" t="s">
        <v>223</v>
      </c>
      <c r="O81" s="629">
        <v>4</v>
      </c>
      <c r="P81" s="627" t="s">
        <v>224</v>
      </c>
      <c r="Q81" s="417">
        <v>50</v>
      </c>
      <c r="R81" s="630">
        <f>IF(ISERROR(VLOOKUP(J81,Baupläne!$C$2:$X$231,20,FALSE)),0,VLOOKUP(J81,Baupläne!$C$2:$X$231,20,FALSE))</f>
        <v>5200</v>
      </c>
      <c r="S81" s="12">
        <f>IF(ISERROR(VLOOKUP(L81,Baupläne!$C$2:$X$231,20,FALSE)),0,VLOOKUP(L81,Baupläne!$C$2:$X$231,20,FALSE))</f>
        <v>4400</v>
      </c>
      <c r="T81" s="12">
        <f>IF(ISERROR(VLOOKUP(N81,Baupläne!$C$2:$X$231,20,FALSE)),0,VLOOKUP(N81,Baupläne!$C$2:$X$231,20,FALSE))</f>
        <v>6400</v>
      </c>
      <c r="U81" s="631">
        <f>IF(ISERROR(VLOOKUP(P81,Baupläne!$C$2:$X$231,20,FALSE)),0,VLOOKUP(P81,Baupläne!$C$2:$X$231,20,FALSE))</f>
        <v>3600</v>
      </c>
      <c r="V81" s="632">
        <f t="shared" si="2"/>
        <v>38400</v>
      </c>
    </row>
    <row r="82" spans="1:22" x14ac:dyDescent="0.2">
      <c r="A82" s="627">
        <v>353</v>
      </c>
      <c r="B82" s="628" t="s">
        <v>1042</v>
      </c>
      <c r="C82" s="3" t="s">
        <v>292</v>
      </c>
      <c r="D82" s="1">
        <v>5</v>
      </c>
      <c r="E82" s="1">
        <v>360</v>
      </c>
      <c r="F82" s="629">
        <v>1600</v>
      </c>
      <c r="G82" s="416">
        <v>0</v>
      </c>
      <c r="H82" s="629">
        <v>0</v>
      </c>
      <c r="I82" s="416">
        <v>0</v>
      </c>
      <c r="J82" s="627" t="s">
        <v>225</v>
      </c>
      <c r="K82" s="629">
        <v>4</v>
      </c>
      <c r="L82" s="627" t="s">
        <v>226</v>
      </c>
      <c r="M82" s="629">
        <v>1</v>
      </c>
      <c r="N82" s="627" t="s">
        <v>227</v>
      </c>
      <c r="O82" s="629">
        <v>4</v>
      </c>
      <c r="P82" s="627" t="s">
        <v>228</v>
      </c>
      <c r="Q82" s="417">
        <v>100</v>
      </c>
      <c r="R82" s="630">
        <f>IF(ISERROR(VLOOKUP(J82,Baupläne!$C$2:$X$231,20,FALSE)),0,VLOOKUP(J82,Baupläne!$C$2:$X$231,20,FALSE))</f>
        <v>10400</v>
      </c>
      <c r="S82" s="12">
        <f>IF(ISERROR(VLOOKUP(L82,Baupläne!$C$2:$X$231,20,FALSE)),0,VLOOKUP(L82,Baupläne!$C$2:$X$231,20,FALSE))</f>
        <v>8800</v>
      </c>
      <c r="T82" s="12">
        <f>IF(ISERROR(VLOOKUP(N82,Baupläne!$C$2:$X$231,20,FALSE)),0,VLOOKUP(N82,Baupläne!$C$2:$X$231,20,FALSE))</f>
        <v>12800</v>
      </c>
      <c r="U82" s="631">
        <f>IF(ISERROR(VLOOKUP(P82,Baupläne!$C$2:$X$231,20,FALSE)),0,VLOOKUP(P82,Baupläne!$C$2:$X$231,20,FALSE))</f>
        <v>7200</v>
      </c>
      <c r="V82" s="632">
        <f t="shared" si="2"/>
        <v>76800</v>
      </c>
    </row>
    <row r="83" spans="1:22" x14ac:dyDescent="0.2">
      <c r="A83" s="627">
        <v>354</v>
      </c>
      <c r="B83" s="628" t="s">
        <v>1043</v>
      </c>
      <c r="C83" s="3" t="s">
        <v>292</v>
      </c>
      <c r="D83" s="3">
        <v>6</v>
      </c>
      <c r="E83" s="3">
        <v>480</v>
      </c>
      <c r="F83" s="629">
        <v>2000</v>
      </c>
      <c r="G83" s="416">
        <v>0</v>
      </c>
      <c r="H83" s="629">
        <v>0</v>
      </c>
      <c r="I83" s="416">
        <v>0</v>
      </c>
      <c r="J83" s="627" t="s">
        <v>229</v>
      </c>
      <c r="K83" s="629">
        <v>4</v>
      </c>
      <c r="L83" s="627" t="s">
        <v>230</v>
      </c>
      <c r="M83" s="629">
        <v>1</v>
      </c>
      <c r="N83" s="627" t="s">
        <v>231</v>
      </c>
      <c r="O83" s="629">
        <v>4</v>
      </c>
      <c r="P83" s="627" t="s">
        <v>232</v>
      </c>
      <c r="Q83" s="417">
        <v>200</v>
      </c>
      <c r="R83" s="630">
        <f>IF(ISERROR(VLOOKUP(J83,Baupläne!$C$2:$X$231,20,FALSE)),0,VLOOKUP(J83,Baupläne!$C$2:$X$231,20,FALSE))</f>
        <v>20800</v>
      </c>
      <c r="S83" s="12">
        <f>IF(ISERROR(VLOOKUP(L83,Baupläne!$C$2:$X$231,20,FALSE)),0,VLOOKUP(L83,Baupläne!$C$2:$X$231,20,FALSE))</f>
        <v>17600</v>
      </c>
      <c r="T83" s="12">
        <f>IF(ISERROR(VLOOKUP(N83,Baupläne!$C$2:$X$231,20,FALSE)),0,VLOOKUP(N83,Baupläne!$C$2:$X$231,20,FALSE))</f>
        <v>25600</v>
      </c>
      <c r="U83" s="631">
        <f>IF(ISERROR(VLOOKUP(P83,Baupläne!$C$2:$X$231,20,FALSE)),0,VLOOKUP(P83,Baupläne!$C$2:$X$231,20,FALSE))</f>
        <v>14400</v>
      </c>
      <c r="V83" s="632">
        <f t="shared" si="2"/>
        <v>153600</v>
      </c>
    </row>
    <row r="84" spans="1:22" x14ac:dyDescent="0.2">
      <c r="A84" s="627">
        <v>355</v>
      </c>
      <c r="B84" s="628" t="s">
        <v>1044</v>
      </c>
      <c r="C84" s="3" t="s">
        <v>292</v>
      </c>
      <c r="D84" s="3">
        <v>6</v>
      </c>
      <c r="E84" s="3">
        <v>600</v>
      </c>
      <c r="F84" s="629">
        <v>2400</v>
      </c>
      <c r="G84" s="416">
        <v>0</v>
      </c>
      <c r="H84" s="629">
        <v>0</v>
      </c>
      <c r="I84" s="416">
        <v>0</v>
      </c>
      <c r="J84" s="627" t="s">
        <v>233</v>
      </c>
      <c r="K84" s="629">
        <v>4</v>
      </c>
      <c r="L84" s="627" t="s">
        <v>234</v>
      </c>
      <c r="M84" s="629">
        <v>1</v>
      </c>
      <c r="N84" s="627" t="s">
        <v>235</v>
      </c>
      <c r="O84" s="629">
        <v>4</v>
      </c>
      <c r="P84" s="627" t="s">
        <v>236</v>
      </c>
      <c r="Q84" s="417">
        <v>400</v>
      </c>
      <c r="R84" s="630">
        <f>IF(ISERROR(VLOOKUP(J84,Baupläne!$C$2:$X$231,20,FALSE)),0,VLOOKUP(J84,Baupläne!$C$2:$X$231,20,FALSE))</f>
        <v>41600</v>
      </c>
      <c r="S84" s="12">
        <f>IF(ISERROR(VLOOKUP(L84,Baupläne!$C$2:$X$231,20,FALSE)),0,VLOOKUP(L84,Baupläne!$C$2:$X$231,20,FALSE))</f>
        <v>35200</v>
      </c>
      <c r="T84" s="12">
        <f>IF(ISERROR(VLOOKUP(N84,Baupläne!$C$2:$X$231,20,FALSE)),0,VLOOKUP(N84,Baupläne!$C$2:$X$231,20,FALSE))</f>
        <v>51200</v>
      </c>
      <c r="U84" s="631">
        <f>IF(ISERROR(VLOOKUP(P84,Baupläne!$C$2:$X$231,20,FALSE)),0,VLOOKUP(P84,Baupläne!$C$2:$X$231,20,FALSE))</f>
        <v>28800</v>
      </c>
      <c r="V84" s="632">
        <f t="shared" si="2"/>
        <v>307200</v>
      </c>
    </row>
    <row r="85" spans="1:22" x14ac:dyDescent="0.2">
      <c r="R85" s="630">
        <f>IF(ISERROR(VLOOKUP(J85,Baupläne!$C$2:$X$231,20,FALSE)),0,VLOOKUP(J85,Baupläne!$C$2:$X$231,20,FALSE))</f>
        <v>0</v>
      </c>
      <c r="S85" s="12">
        <f>IF(ISERROR(VLOOKUP(L85,Baupläne!$C$2:$X$231,20,FALSE)),0,VLOOKUP(L85,Baupläne!$C$2:$X$231,20,FALSE))</f>
        <v>0</v>
      </c>
      <c r="T85" s="12">
        <f>IF(ISERROR(VLOOKUP(N85,Baupläne!$C$2:$X$231,20,FALSE)),0,VLOOKUP(N85,Baupläne!$C$2:$X$231,20,FALSE))</f>
        <v>0</v>
      </c>
      <c r="U85" s="631">
        <f>IF(ISERROR(VLOOKUP(P85,Baupläne!$C$2:$X$231,20,FALSE)),0,VLOOKUP(P85,Baupläne!$C$2:$X$231,20,FALSE))</f>
        <v>0</v>
      </c>
      <c r="V85" s="632">
        <f t="shared" si="2"/>
        <v>0</v>
      </c>
    </row>
    <row r="86" spans="1:22" x14ac:dyDescent="0.2">
      <c r="A86" s="627">
        <v>401</v>
      </c>
      <c r="B86" s="628" t="s">
        <v>1045</v>
      </c>
      <c r="C86" s="3" t="s">
        <v>292</v>
      </c>
      <c r="D86" s="3"/>
      <c r="E86" s="3">
        <v>60</v>
      </c>
      <c r="F86" s="629">
        <v>400</v>
      </c>
      <c r="G86" s="416">
        <v>0</v>
      </c>
      <c r="H86" s="629">
        <v>0</v>
      </c>
      <c r="I86" s="416">
        <v>1</v>
      </c>
      <c r="J86" s="627" t="s">
        <v>217</v>
      </c>
      <c r="K86" s="629">
        <v>1</v>
      </c>
      <c r="L86" s="627" t="s">
        <v>218</v>
      </c>
      <c r="M86" s="629">
        <v>1</v>
      </c>
      <c r="N86" s="627" t="s">
        <v>219</v>
      </c>
      <c r="O86" s="629">
        <v>0</v>
      </c>
      <c r="P86" s="627" t="s">
        <v>220</v>
      </c>
      <c r="Q86" s="417">
        <v>10</v>
      </c>
      <c r="R86" s="630">
        <f>IF(ISERROR(VLOOKUP(J86,Baupläne!$C$2:$X$231,20,FALSE)),0,VLOOKUP(J86,Baupläne!$C$2:$X$231,20,FALSE))</f>
        <v>2600</v>
      </c>
      <c r="S86" s="12">
        <f>IF(ISERROR(VLOOKUP(L86,Baupläne!$C$2:$X$231,20,FALSE)),0,VLOOKUP(L86,Baupläne!$C$2:$X$231,20,FALSE))</f>
        <v>2200</v>
      </c>
      <c r="T86" s="12">
        <f>IF(ISERROR(VLOOKUP(N86,Baupläne!$C$2:$X$231,20,FALSE)),0,VLOOKUP(N86,Baupläne!$C$2:$X$231,20,FALSE))</f>
        <v>3200</v>
      </c>
      <c r="U86" s="631">
        <f>IF(ISERROR(VLOOKUP(P86,Baupläne!$C$2:$X$231,20,FALSE)),0,VLOOKUP(P86,Baupläne!$C$2:$X$231,20,FALSE))</f>
        <v>1800</v>
      </c>
      <c r="V86" s="632">
        <f t="shared" ref="V86:V135" si="3">(R86*I86)+(S86*K86)+(M86*T86)+(O86*U86)</f>
        <v>8000</v>
      </c>
    </row>
    <row r="87" spans="1:22" x14ac:dyDescent="0.2">
      <c r="A87" s="627">
        <v>402</v>
      </c>
      <c r="B87" s="628" t="s">
        <v>1046</v>
      </c>
      <c r="C87" s="3" t="s">
        <v>292</v>
      </c>
      <c r="D87" s="3"/>
      <c r="E87" s="3">
        <v>120</v>
      </c>
      <c r="F87" s="629">
        <v>600</v>
      </c>
      <c r="G87" s="416">
        <v>401</v>
      </c>
      <c r="H87" s="629">
        <v>0</v>
      </c>
      <c r="I87" s="416">
        <v>1</v>
      </c>
      <c r="J87" s="627" t="s">
        <v>221</v>
      </c>
      <c r="K87" s="629">
        <v>1</v>
      </c>
      <c r="L87" s="627" t="s">
        <v>222</v>
      </c>
      <c r="M87" s="629">
        <v>1</v>
      </c>
      <c r="N87" s="627" t="s">
        <v>223</v>
      </c>
      <c r="O87" s="629">
        <v>0</v>
      </c>
      <c r="P87" s="627" t="s">
        <v>224</v>
      </c>
      <c r="Q87" s="417">
        <v>20</v>
      </c>
      <c r="R87" s="630">
        <f>IF(ISERROR(VLOOKUP(J87,Baupläne!$C$2:$X$231,20,FALSE)),0,VLOOKUP(J87,Baupläne!$C$2:$X$231,20,FALSE))</f>
        <v>5200</v>
      </c>
      <c r="S87" s="12">
        <f>IF(ISERROR(VLOOKUP(L87,Baupläne!$C$2:$X$231,20,FALSE)),0,VLOOKUP(L87,Baupläne!$C$2:$X$231,20,FALSE))</f>
        <v>4400</v>
      </c>
      <c r="T87" s="12">
        <f>IF(ISERROR(VLOOKUP(N87,Baupläne!$C$2:$X$231,20,FALSE)),0,VLOOKUP(N87,Baupläne!$C$2:$X$231,20,FALSE))</f>
        <v>6400</v>
      </c>
      <c r="U87" s="631">
        <f>IF(ISERROR(VLOOKUP(P87,Baupläne!$C$2:$X$231,20,FALSE)),0,VLOOKUP(P87,Baupläne!$C$2:$X$231,20,FALSE))</f>
        <v>3600</v>
      </c>
      <c r="V87" s="632">
        <f t="shared" si="3"/>
        <v>16000</v>
      </c>
    </row>
    <row r="88" spans="1:22" x14ac:dyDescent="0.2">
      <c r="A88" s="627">
        <v>403</v>
      </c>
      <c r="B88" s="628" t="s">
        <v>1047</v>
      </c>
      <c r="C88" s="3" t="s">
        <v>292</v>
      </c>
      <c r="D88" s="3"/>
      <c r="E88" s="3">
        <v>180</v>
      </c>
      <c r="F88" s="629">
        <v>800</v>
      </c>
      <c r="G88" s="416">
        <v>402</v>
      </c>
      <c r="H88" s="629">
        <v>1</v>
      </c>
      <c r="I88" s="416">
        <v>1</v>
      </c>
      <c r="J88" s="627" t="s">
        <v>225</v>
      </c>
      <c r="K88" s="629">
        <v>1</v>
      </c>
      <c r="L88" s="627" t="s">
        <v>226</v>
      </c>
      <c r="M88" s="629">
        <v>1</v>
      </c>
      <c r="N88" s="627" t="s">
        <v>227</v>
      </c>
      <c r="O88" s="629">
        <v>0</v>
      </c>
      <c r="P88" s="627" t="s">
        <v>228</v>
      </c>
      <c r="Q88" s="417">
        <v>40</v>
      </c>
      <c r="R88" s="630">
        <f>IF(ISERROR(VLOOKUP(J88,Baupläne!$C$2:$X$231,20,FALSE)),0,VLOOKUP(J88,Baupläne!$C$2:$X$231,20,FALSE))</f>
        <v>10400</v>
      </c>
      <c r="S88" s="12">
        <f>IF(ISERROR(VLOOKUP(L88,Baupläne!$C$2:$X$231,20,FALSE)),0,VLOOKUP(L88,Baupläne!$C$2:$X$231,20,FALSE))</f>
        <v>8800</v>
      </c>
      <c r="T88" s="12">
        <f>IF(ISERROR(VLOOKUP(N88,Baupläne!$C$2:$X$231,20,FALSE)),0,VLOOKUP(N88,Baupläne!$C$2:$X$231,20,FALSE))</f>
        <v>12800</v>
      </c>
      <c r="U88" s="631">
        <f>IF(ISERROR(VLOOKUP(P88,Baupläne!$C$2:$X$231,20,FALSE)),0,VLOOKUP(P88,Baupläne!$C$2:$X$231,20,FALSE))</f>
        <v>7200</v>
      </c>
      <c r="V88" s="632">
        <f t="shared" si="3"/>
        <v>32000</v>
      </c>
    </row>
    <row r="89" spans="1:22" x14ac:dyDescent="0.2">
      <c r="A89" s="627">
        <v>404</v>
      </c>
      <c r="B89" s="628" t="s">
        <v>1048</v>
      </c>
      <c r="C89" s="3" t="s">
        <v>292</v>
      </c>
      <c r="D89" s="3"/>
      <c r="E89" s="3">
        <v>240</v>
      </c>
      <c r="F89" s="629">
        <v>1000</v>
      </c>
      <c r="G89" s="416">
        <v>403</v>
      </c>
      <c r="H89" s="629">
        <v>1</v>
      </c>
      <c r="I89" s="416">
        <v>1</v>
      </c>
      <c r="J89" s="627" t="s">
        <v>229</v>
      </c>
      <c r="K89" s="629">
        <v>1</v>
      </c>
      <c r="L89" s="627" t="s">
        <v>230</v>
      </c>
      <c r="M89" s="629">
        <v>1</v>
      </c>
      <c r="N89" s="627" t="s">
        <v>231</v>
      </c>
      <c r="O89" s="629">
        <v>0</v>
      </c>
      <c r="P89" s="627" t="s">
        <v>232</v>
      </c>
      <c r="Q89" s="417">
        <v>80</v>
      </c>
      <c r="R89" s="630">
        <f>IF(ISERROR(VLOOKUP(J89,Baupläne!$C$2:$X$231,20,FALSE)),0,VLOOKUP(J89,Baupläne!$C$2:$X$231,20,FALSE))</f>
        <v>20800</v>
      </c>
      <c r="S89" s="12">
        <f>IF(ISERROR(VLOOKUP(L89,Baupläne!$C$2:$X$231,20,FALSE)),0,VLOOKUP(L89,Baupläne!$C$2:$X$231,20,FALSE))</f>
        <v>17600</v>
      </c>
      <c r="T89" s="12">
        <f>IF(ISERROR(VLOOKUP(N89,Baupläne!$C$2:$X$231,20,FALSE)),0,VLOOKUP(N89,Baupläne!$C$2:$X$231,20,FALSE))</f>
        <v>25600</v>
      </c>
      <c r="U89" s="631">
        <f>IF(ISERROR(VLOOKUP(P89,Baupläne!$C$2:$X$231,20,FALSE)),0,VLOOKUP(P89,Baupläne!$C$2:$X$231,20,FALSE))</f>
        <v>14400</v>
      </c>
      <c r="V89" s="632">
        <f t="shared" si="3"/>
        <v>64000</v>
      </c>
    </row>
    <row r="90" spans="1:22" x14ac:dyDescent="0.2">
      <c r="A90" s="627">
        <v>405</v>
      </c>
      <c r="B90" s="628" t="s">
        <v>1049</v>
      </c>
      <c r="C90" s="1" t="s">
        <v>292</v>
      </c>
      <c r="E90" s="3">
        <v>300</v>
      </c>
      <c r="F90" s="629">
        <v>1200</v>
      </c>
      <c r="G90" s="416">
        <v>404</v>
      </c>
      <c r="H90" s="629">
        <v>1</v>
      </c>
      <c r="I90" s="416">
        <v>1</v>
      </c>
      <c r="J90" s="627" t="s">
        <v>233</v>
      </c>
      <c r="K90" s="629">
        <v>1</v>
      </c>
      <c r="L90" s="627" t="s">
        <v>234</v>
      </c>
      <c r="M90" s="629">
        <v>1</v>
      </c>
      <c r="N90" s="627" t="s">
        <v>235</v>
      </c>
      <c r="O90" s="629">
        <v>0</v>
      </c>
      <c r="P90" s="627" t="s">
        <v>236</v>
      </c>
      <c r="Q90" s="417">
        <v>160</v>
      </c>
      <c r="R90" s="630">
        <f>IF(ISERROR(VLOOKUP(J90,Baupläne!$C$2:$X$231,20,FALSE)),0,VLOOKUP(J90,Baupläne!$C$2:$X$231,20,FALSE))</f>
        <v>41600</v>
      </c>
      <c r="S90" s="12">
        <f>IF(ISERROR(VLOOKUP(L90,Baupläne!$C$2:$X$231,20,FALSE)),0,VLOOKUP(L90,Baupläne!$C$2:$X$231,20,FALSE))</f>
        <v>35200</v>
      </c>
      <c r="T90" s="12">
        <f>IF(ISERROR(VLOOKUP(N90,Baupläne!$C$2:$X$231,20,FALSE)),0,VLOOKUP(N90,Baupläne!$C$2:$X$231,20,FALSE))</f>
        <v>51200</v>
      </c>
      <c r="U90" s="631">
        <f>IF(ISERROR(VLOOKUP(P90,Baupläne!$C$2:$X$231,20,FALSE)),0,VLOOKUP(P90,Baupläne!$C$2:$X$231,20,FALSE))</f>
        <v>28800</v>
      </c>
      <c r="V90" s="632">
        <f t="shared" si="3"/>
        <v>128000</v>
      </c>
    </row>
    <row r="91" spans="1:22" x14ac:dyDescent="0.2">
      <c r="R91" s="630">
        <f>IF(ISERROR(VLOOKUP(J91,Baupläne!$C$2:$X$231,20,FALSE)),0,VLOOKUP(J91,Baupläne!$C$2:$X$231,20,FALSE))</f>
        <v>0</v>
      </c>
      <c r="S91" s="12">
        <f>IF(ISERROR(VLOOKUP(L91,Baupläne!$C$2:$X$231,20,FALSE)),0,VLOOKUP(L91,Baupläne!$C$2:$X$231,20,FALSE))</f>
        <v>0</v>
      </c>
      <c r="T91" s="12">
        <f>IF(ISERROR(VLOOKUP(N91,Baupläne!$C$2:$X$231,20,FALSE)),0,VLOOKUP(N91,Baupläne!$C$2:$X$231,20,FALSE))</f>
        <v>0</v>
      </c>
      <c r="U91" s="631">
        <f>IF(ISERROR(VLOOKUP(P91,Baupläne!$C$2:$X$231,20,FALSE)),0,VLOOKUP(P91,Baupläne!$C$2:$X$231,20,FALSE))</f>
        <v>0</v>
      </c>
      <c r="V91" s="632">
        <f t="shared" si="3"/>
        <v>0</v>
      </c>
    </row>
    <row r="92" spans="1:22" x14ac:dyDescent="0.2">
      <c r="A92" s="627">
        <v>411</v>
      </c>
      <c r="B92" s="628" t="s">
        <v>1050</v>
      </c>
      <c r="C92" s="3" t="s">
        <v>292</v>
      </c>
      <c r="D92" s="3"/>
      <c r="E92" s="3">
        <v>100</v>
      </c>
      <c r="F92" s="629">
        <v>1000</v>
      </c>
      <c r="G92" s="416">
        <v>0</v>
      </c>
      <c r="H92" s="629">
        <v>0</v>
      </c>
      <c r="I92" s="416">
        <v>4</v>
      </c>
      <c r="J92" s="627" t="s">
        <v>217</v>
      </c>
      <c r="K92" s="629">
        <v>2</v>
      </c>
      <c r="L92" s="627" t="s">
        <v>218</v>
      </c>
      <c r="M92" s="629">
        <v>2</v>
      </c>
      <c r="N92" s="627" t="s">
        <v>219</v>
      </c>
      <c r="O92" s="629">
        <v>0</v>
      </c>
      <c r="P92" s="627" t="s">
        <v>220</v>
      </c>
      <c r="Q92" s="417">
        <v>25</v>
      </c>
      <c r="R92" s="630">
        <f>IF(ISERROR(VLOOKUP(J92,Baupläne!$C$2:$X$231,20,FALSE)),0,VLOOKUP(J92,Baupläne!$C$2:$X$231,20,FALSE))</f>
        <v>2600</v>
      </c>
      <c r="S92" s="12">
        <f>IF(ISERROR(VLOOKUP(L92,Baupläne!$C$2:$X$231,20,FALSE)),0,VLOOKUP(L92,Baupläne!$C$2:$X$231,20,FALSE))</f>
        <v>2200</v>
      </c>
      <c r="T92" s="12">
        <f>IF(ISERROR(VLOOKUP(N92,Baupläne!$C$2:$X$231,20,FALSE)),0,VLOOKUP(N92,Baupläne!$C$2:$X$231,20,FALSE))</f>
        <v>3200</v>
      </c>
      <c r="U92" s="631">
        <f>IF(ISERROR(VLOOKUP(P92,Baupläne!$C$2:$X$231,20,FALSE)),0,VLOOKUP(P92,Baupläne!$C$2:$X$231,20,FALSE))</f>
        <v>1800</v>
      </c>
      <c r="V92" s="632">
        <f t="shared" si="3"/>
        <v>21200</v>
      </c>
    </row>
    <row r="93" spans="1:22" x14ac:dyDescent="0.2">
      <c r="A93" s="627">
        <v>412</v>
      </c>
      <c r="B93" s="628" t="s">
        <v>1051</v>
      </c>
      <c r="C93" s="3" t="s">
        <v>292</v>
      </c>
      <c r="D93" s="3"/>
      <c r="E93" s="3">
        <v>250</v>
      </c>
      <c r="F93" s="629">
        <v>1500</v>
      </c>
      <c r="G93" s="416">
        <v>411</v>
      </c>
      <c r="H93" s="629">
        <v>0</v>
      </c>
      <c r="I93" s="416">
        <v>4</v>
      </c>
      <c r="J93" s="627" t="s">
        <v>221</v>
      </c>
      <c r="K93" s="629">
        <v>2</v>
      </c>
      <c r="L93" s="627" t="s">
        <v>222</v>
      </c>
      <c r="M93" s="629">
        <v>2</v>
      </c>
      <c r="N93" s="627" t="s">
        <v>223</v>
      </c>
      <c r="O93" s="629">
        <v>0</v>
      </c>
      <c r="P93" s="627" t="s">
        <v>224</v>
      </c>
      <c r="Q93" s="417">
        <v>50</v>
      </c>
      <c r="R93" s="630">
        <f>IF(ISERROR(VLOOKUP(J93,Baupläne!$C$2:$X$231,20,FALSE)),0,VLOOKUP(J93,Baupläne!$C$2:$X$231,20,FALSE))</f>
        <v>5200</v>
      </c>
      <c r="S93" s="12">
        <f>IF(ISERROR(VLOOKUP(L93,Baupläne!$C$2:$X$231,20,FALSE)),0,VLOOKUP(L93,Baupläne!$C$2:$X$231,20,FALSE))</f>
        <v>4400</v>
      </c>
      <c r="T93" s="12">
        <f>IF(ISERROR(VLOOKUP(N93,Baupläne!$C$2:$X$231,20,FALSE)),0,VLOOKUP(N93,Baupläne!$C$2:$X$231,20,FALSE))</f>
        <v>6400</v>
      </c>
      <c r="U93" s="631">
        <f>IF(ISERROR(VLOOKUP(P93,Baupläne!$C$2:$X$231,20,FALSE)),0,VLOOKUP(P93,Baupläne!$C$2:$X$231,20,FALSE))</f>
        <v>3600</v>
      </c>
      <c r="V93" s="632">
        <f t="shared" si="3"/>
        <v>42400</v>
      </c>
    </row>
    <row r="94" spans="1:22" x14ac:dyDescent="0.2">
      <c r="A94" s="627">
        <v>413</v>
      </c>
      <c r="B94" s="628" t="s">
        <v>1052</v>
      </c>
      <c r="C94" s="3" t="s">
        <v>292</v>
      </c>
      <c r="D94" s="3"/>
      <c r="E94" s="3">
        <v>500</v>
      </c>
      <c r="F94" s="629">
        <v>2000</v>
      </c>
      <c r="G94" s="416">
        <v>412</v>
      </c>
      <c r="H94" s="629">
        <v>1</v>
      </c>
      <c r="I94" s="416">
        <v>4</v>
      </c>
      <c r="J94" s="627" t="s">
        <v>225</v>
      </c>
      <c r="K94" s="629">
        <v>2</v>
      </c>
      <c r="L94" s="627" t="s">
        <v>226</v>
      </c>
      <c r="M94" s="629">
        <v>2</v>
      </c>
      <c r="N94" s="627" t="s">
        <v>227</v>
      </c>
      <c r="O94" s="629">
        <v>0</v>
      </c>
      <c r="P94" s="627" t="s">
        <v>228</v>
      </c>
      <c r="Q94" s="417">
        <v>100</v>
      </c>
      <c r="R94" s="630">
        <f>IF(ISERROR(VLOOKUP(J94,Baupläne!$C$2:$X$231,20,FALSE)),0,VLOOKUP(J94,Baupläne!$C$2:$X$231,20,FALSE))</f>
        <v>10400</v>
      </c>
      <c r="S94" s="12">
        <f>IF(ISERROR(VLOOKUP(L94,Baupläne!$C$2:$X$231,20,FALSE)),0,VLOOKUP(L94,Baupläne!$C$2:$X$231,20,FALSE))</f>
        <v>8800</v>
      </c>
      <c r="T94" s="12">
        <f>IF(ISERROR(VLOOKUP(N94,Baupläne!$C$2:$X$231,20,FALSE)),0,VLOOKUP(N94,Baupläne!$C$2:$X$231,20,FALSE))</f>
        <v>12800</v>
      </c>
      <c r="U94" s="631">
        <f>IF(ISERROR(VLOOKUP(P94,Baupläne!$C$2:$X$231,20,FALSE)),0,VLOOKUP(P94,Baupläne!$C$2:$X$231,20,FALSE))</f>
        <v>7200</v>
      </c>
      <c r="V94" s="632">
        <f t="shared" si="3"/>
        <v>84800</v>
      </c>
    </row>
    <row r="95" spans="1:22" x14ac:dyDescent="0.2">
      <c r="A95" s="627">
        <v>414</v>
      </c>
      <c r="B95" s="628" t="s">
        <v>1053</v>
      </c>
      <c r="C95" s="3" t="s">
        <v>292</v>
      </c>
      <c r="D95" s="3"/>
      <c r="E95" s="3">
        <v>800</v>
      </c>
      <c r="F95" s="629">
        <v>2500</v>
      </c>
      <c r="G95" s="416">
        <v>413</v>
      </c>
      <c r="H95" s="629">
        <v>1</v>
      </c>
      <c r="I95" s="416">
        <v>4</v>
      </c>
      <c r="J95" s="627" t="s">
        <v>229</v>
      </c>
      <c r="K95" s="629">
        <v>2</v>
      </c>
      <c r="L95" s="627" t="s">
        <v>230</v>
      </c>
      <c r="M95" s="629">
        <v>2</v>
      </c>
      <c r="N95" s="627" t="s">
        <v>231</v>
      </c>
      <c r="O95" s="629">
        <v>0</v>
      </c>
      <c r="P95" s="627" t="s">
        <v>232</v>
      </c>
      <c r="Q95" s="417">
        <v>200</v>
      </c>
      <c r="R95" s="630">
        <f>IF(ISERROR(VLOOKUP(J95,Baupläne!$C$2:$X$231,20,FALSE)),0,VLOOKUP(J95,Baupläne!$C$2:$X$231,20,FALSE))</f>
        <v>20800</v>
      </c>
      <c r="S95" s="12">
        <f>IF(ISERROR(VLOOKUP(L95,Baupläne!$C$2:$X$231,20,FALSE)),0,VLOOKUP(L95,Baupläne!$C$2:$X$231,20,FALSE))</f>
        <v>17600</v>
      </c>
      <c r="T95" s="12">
        <f>IF(ISERROR(VLOOKUP(N95,Baupläne!$C$2:$X$231,20,FALSE)),0,VLOOKUP(N95,Baupläne!$C$2:$X$231,20,FALSE))</f>
        <v>25600</v>
      </c>
      <c r="U95" s="631">
        <f>IF(ISERROR(VLOOKUP(P95,Baupläne!$C$2:$X$231,20,FALSE)),0,VLOOKUP(P95,Baupläne!$C$2:$X$231,20,FALSE))</f>
        <v>14400</v>
      </c>
      <c r="V95" s="632">
        <f t="shared" si="3"/>
        <v>169600</v>
      </c>
    </row>
    <row r="96" spans="1:22" x14ac:dyDescent="0.2">
      <c r="A96" s="627">
        <v>415</v>
      </c>
      <c r="B96" s="628" t="s">
        <v>1054</v>
      </c>
      <c r="C96" s="3" t="s">
        <v>292</v>
      </c>
      <c r="D96" s="3"/>
      <c r="E96" s="3">
        <v>1200</v>
      </c>
      <c r="F96" s="629">
        <v>3000</v>
      </c>
      <c r="G96" s="416">
        <v>414</v>
      </c>
      <c r="H96" s="629">
        <v>1</v>
      </c>
      <c r="I96" s="416">
        <v>4</v>
      </c>
      <c r="J96" s="627" t="s">
        <v>233</v>
      </c>
      <c r="K96" s="629">
        <v>2</v>
      </c>
      <c r="L96" s="627" t="s">
        <v>234</v>
      </c>
      <c r="M96" s="629">
        <v>2</v>
      </c>
      <c r="N96" s="627" t="s">
        <v>235</v>
      </c>
      <c r="O96" s="629">
        <v>0</v>
      </c>
      <c r="P96" s="627" t="s">
        <v>236</v>
      </c>
      <c r="Q96" s="417">
        <v>400</v>
      </c>
      <c r="R96" s="630">
        <f>IF(ISERROR(VLOOKUP(J96,Baupläne!$C$2:$X$231,20,FALSE)),0,VLOOKUP(J96,Baupläne!$C$2:$X$231,20,FALSE))</f>
        <v>41600</v>
      </c>
      <c r="S96" s="12">
        <f>IF(ISERROR(VLOOKUP(L96,Baupläne!$C$2:$X$231,20,FALSE)),0,VLOOKUP(L96,Baupläne!$C$2:$X$231,20,FALSE))</f>
        <v>35200</v>
      </c>
      <c r="T96" s="12">
        <f>IF(ISERROR(VLOOKUP(N96,Baupläne!$C$2:$X$231,20,FALSE)),0,VLOOKUP(N96,Baupläne!$C$2:$X$231,20,FALSE))</f>
        <v>51200</v>
      </c>
      <c r="U96" s="631">
        <f>IF(ISERROR(VLOOKUP(P96,Baupläne!$C$2:$X$231,20,FALSE)),0,VLOOKUP(P96,Baupläne!$C$2:$X$231,20,FALSE))</f>
        <v>28800</v>
      </c>
      <c r="V96" s="632">
        <f t="shared" si="3"/>
        <v>339200</v>
      </c>
    </row>
    <row r="97" spans="1:22" x14ac:dyDescent="0.2">
      <c r="R97" s="630">
        <f>IF(ISERROR(VLOOKUP(J97,Baupläne!$C$2:$X$231,20,FALSE)),0,VLOOKUP(J97,Baupläne!$C$2:$X$231,20,FALSE))</f>
        <v>0</v>
      </c>
      <c r="S97" s="12">
        <f>IF(ISERROR(VLOOKUP(L97,Baupläne!$C$2:$X$231,20,FALSE)),0,VLOOKUP(L97,Baupläne!$C$2:$X$231,20,FALSE))</f>
        <v>0</v>
      </c>
      <c r="T97" s="12">
        <f>IF(ISERROR(VLOOKUP(N97,Baupläne!$C$2:$X$231,20,FALSE)),0,VLOOKUP(N97,Baupläne!$C$2:$X$231,20,FALSE))</f>
        <v>0</v>
      </c>
      <c r="U97" s="631">
        <f>IF(ISERROR(VLOOKUP(P97,Baupläne!$C$2:$X$231,20,FALSE)),0,VLOOKUP(P97,Baupläne!$C$2:$X$231,20,FALSE))</f>
        <v>0</v>
      </c>
      <c r="V97" s="632">
        <f t="shared" si="3"/>
        <v>0</v>
      </c>
    </row>
    <row r="98" spans="1:22" x14ac:dyDescent="0.2">
      <c r="A98" s="627">
        <v>421</v>
      </c>
      <c r="B98" s="628" t="s">
        <v>1055</v>
      </c>
      <c r="C98" s="3" t="s">
        <v>292</v>
      </c>
      <c r="D98" s="3"/>
      <c r="E98" s="3">
        <v>100</v>
      </c>
      <c r="F98" s="629">
        <v>800</v>
      </c>
      <c r="G98" s="416">
        <v>0</v>
      </c>
      <c r="H98" s="629">
        <v>0</v>
      </c>
      <c r="I98" s="416">
        <v>4</v>
      </c>
      <c r="J98" s="627" t="s">
        <v>217</v>
      </c>
      <c r="K98" s="629">
        <v>1</v>
      </c>
      <c r="L98" s="627" t="s">
        <v>218</v>
      </c>
      <c r="M98" s="629">
        <v>1</v>
      </c>
      <c r="N98" s="627" t="s">
        <v>219</v>
      </c>
      <c r="O98" s="629">
        <v>0</v>
      </c>
      <c r="P98" s="627" t="s">
        <v>220</v>
      </c>
      <c r="Q98" s="417">
        <v>20</v>
      </c>
      <c r="R98" s="630">
        <f>IF(ISERROR(VLOOKUP(J98,Baupläne!$C$2:$X$231,20,FALSE)),0,VLOOKUP(J98,Baupläne!$C$2:$X$231,20,FALSE))</f>
        <v>2600</v>
      </c>
      <c r="S98" s="12">
        <f>IF(ISERROR(VLOOKUP(L98,Baupläne!$C$2:$X$231,20,FALSE)),0,VLOOKUP(L98,Baupläne!$C$2:$X$231,20,FALSE))</f>
        <v>2200</v>
      </c>
      <c r="T98" s="12">
        <f>IF(ISERROR(VLOOKUP(N98,Baupläne!$C$2:$X$231,20,FALSE)),0,VLOOKUP(N98,Baupläne!$C$2:$X$231,20,FALSE))</f>
        <v>3200</v>
      </c>
      <c r="U98" s="631">
        <f>IF(ISERROR(VLOOKUP(P98,Baupläne!$C$2:$X$231,20,FALSE)),0,VLOOKUP(P98,Baupläne!$C$2:$X$231,20,FALSE))</f>
        <v>1800</v>
      </c>
      <c r="V98" s="632">
        <f t="shared" si="3"/>
        <v>15800</v>
      </c>
    </row>
    <row r="99" spans="1:22" x14ac:dyDescent="0.2">
      <c r="A99" s="627">
        <v>422</v>
      </c>
      <c r="B99" s="628" t="s">
        <v>1056</v>
      </c>
      <c r="C99" s="3" t="s">
        <v>292</v>
      </c>
      <c r="D99" s="3"/>
      <c r="E99" s="3">
        <v>200</v>
      </c>
      <c r="F99" s="629">
        <v>1200</v>
      </c>
      <c r="G99" s="416">
        <v>421</v>
      </c>
      <c r="H99" s="629">
        <v>0</v>
      </c>
      <c r="I99" s="416">
        <v>4</v>
      </c>
      <c r="J99" s="627" t="s">
        <v>221</v>
      </c>
      <c r="K99" s="629">
        <v>1</v>
      </c>
      <c r="L99" s="627" t="s">
        <v>222</v>
      </c>
      <c r="M99" s="629">
        <v>1</v>
      </c>
      <c r="N99" s="627" t="s">
        <v>223</v>
      </c>
      <c r="O99" s="629">
        <v>0</v>
      </c>
      <c r="P99" s="627" t="s">
        <v>224</v>
      </c>
      <c r="Q99" s="417">
        <v>40</v>
      </c>
      <c r="R99" s="630">
        <f>IF(ISERROR(VLOOKUP(J99,Baupläne!$C$2:$X$231,20,FALSE)),0,VLOOKUP(J99,Baupläne!$C$2:$X$231,20,FALSE))</f>
        <v>5200</v>
      </c>
      <c r="S99" s="12">
        <f>IF(ISERROR(VLOOKUP(L99,Baupläne!$C$2:$X$231,20,FALSE)),0,VLOOKUP(L99,Baupläne!$C$2:$X$231,20,FALSE))</f>
        <v>4400</v>
      </c>
      <c r="T99" s="12">
        <f>IF(ISERROR(VLOOKUP(N99,Baupläne!$C$2:$X$231,20,FALSE)),0,VLOOKUP(N99,Baupläne!$C$2:$X$231,20,FALSE))</f>
        <v>6400</v>
      </c>
      <c r="U99" s="631">
        <f>IF(ISERROR(VLOOKUP(P99,Baupläne!$C$2:$X$231,20,FALSE)),0,VLOOKUP(P99,Baupläne!$C$2:$X$231,20,FALSE))</f>
        <v>3600</v>
      </c>
      <c r="V99" s="632">
        <f t="shared" si="3"/>
        <v>31600</v>
      </c>
    </row>
    <row r="100" spans="1:22" x14ac:dyDescent="0.2">
      <c r="A100" s="627">
        <v>423</v>
      </c>
      <c r="B100" s="628" t="s">
        <v>1057</v>
      </c>
      <c r="C100" s="3" t="s">
        <v>292</v>
      </c>
      <c r="D100" s="3"/>
      <c r="E100" s="3">
        <v>300</v>
      </c>
      <c r="F100" s="629">
        <v>1600</v>
      </c>
      <c r="G100" s="416">
        <v>422</v>
      </c>
      <c r="H100" s="629">
        <v>1</v>
      </c>
      <c r="I100" s="416">
        <v>4</v>
      </c>
      <c r="J100" s="627" t="s">
        <v>225</v>
      </c>
      <c r="K100" s="629">
        <v>1</v>
      </c>
      <c r="L100" s="627" t="s">
        <v>226</v>
      </c>
      <c r="M100" s="629">
        <v>1</v>
      </c>
      <c r="N100" s="627" t="s">
        <v>227</v>
      </c>
      <c r="O100" s="629">
        <v>0</v>
      </c>
      <c r="P100" s="627" t="s">
        <v>228</v>
      </c>
      <c r="Q100" s="417">
        <v>80</v>
      </c>
      <c r="R100" s="630">
        <f>IF(ISERROR(VLOOKUP(J100,Baupläne!$C$2:$X$231,20,FALSE)),0,VLOOKUP(J100,Baupläne!$C$2:$X$231,20,FALSE))</f>
        <v>10400</v>
      </c>
      <c r="S100" s="12">
        <f>IF(ISERROR(VLOOKUP(L100,Baupläne!$C$2:$X$231,20,FALSE)),0,VLOOKUP(L100,Baupläne!$C$2:$X$231,20,FALSE))</f>
        <v>8800</v>
      </c>
      <c r="T100" s="12">
        <f>IF(ISERROR(VLOOKUP(N100,Baupläne!$C$2:$X$231,20,FALSE)),0,VLOOKUP(N100,Baupläne!$C$2:$X$231,20,FALSE))</f>
        <v>12800</v>
      </c>
      <c r="U100" s="631">
        <f>IF(ISERROR(VLOOKUP(P100,Baupläne!$C$2:$X$231,20,FALSE)),0,VLOOKUP(P100,Baupläne!$C$2:$X$231,20,FALSE))</f>
        <v>7200</v>
      </c>
      <c r="V100" s="632">
        <f t="shared" si="3"/>
        <v>63200</v>
      </c>
    </row>
    <row r="101" spans="1:22" x14ac:dyDescent="0.2">
      <c r="A101" s="627">
        <v>424</v>
      </c>
      <c r="B101" s="628" t="s">
        <v>1058</v>
      </c>
      <c r="C101" s="3" t="s">
        <v>292</v>
      </c>
      <c r="D101" s="3"/>
      <c r="E101" s="3">
        <v>400</v>
      </c>
      <c r="F101" s="629">
        <v>2000</v>
      </c>
      <c r="G101" s="416">
        <v>423</v>
      </c>
      <c r="H101" s="629">
        <v>1</v>
      </c>
      <c r="I101" s="416">
        <v>4</v>
      </c>
      <c r="J101" s="627" t="s">
        <v>229</v>
      </c>
      <c r="K101" s="629">
        <v>1</v>
      </c>
      <c r="L101" s="627" t="s">
        <v>230</v>
      </c>
      <c r="M101" s="629">
        <v>1</v>
      </c>
      <c r="N101" s="627" t="s">
        <v>231</v>
      </c>
      <c r="O101" s="629">
        <v>0</v>
      </c>
      <c r="P101" s="627" t="s">
        <v>232</v>
      </c>
      <c r="Q101" s="417">
        <v>160</v>
      </c>
      <c r="R101" s="630">
        <f>IF(ISERROR(VLOOKUP(J101,Baupläne!$C$2:$X$231,20,FALSE)),0,VLOOKUP(J101,Baupläne!$C$2:$X$231,20,FALSE))</f>
        <v>20800</v>
      </c>
      <c r="S101" s="12">
        <f>IF(ISERROR(VLOOKUP(L101,Baupläne!$C$2:$X$231,20,FALSE)),0,VLOOKUP(L101,Baupläne!$C$2:$X$231,20,FALSE))</f>
        <v>17600</v>
      </c>
      <c r="T101" s="12">
        <f>IF(ISERROR(VLOOKUP(N101,Baupläne!$C$2:$X$231,20,FALSE)),0,VLOOKUP(N101,Baupläne!$C$2:$X$231,20,FALSE))</f>
        <v>25600</v>
      </c>
      <c r="U101" s="631">
        <f>IF(ISERROR(VLOOKUP(P101,Baupläne!$C$2:$X$231,20,FALSE)),0,VLOOKUP(P101,Baupläne!$C$2:$X$231,20,FALSE))</f>
        <v>14400</v>
      </c>
      <c r="V101" s="632">
        <f t="shared" si="3"/>
        <v>126400</v>
      </c>
    </row>
    <row r="102" spans="1:22" x14ac:dyDescent="0.2">
      <c r="A102" s="627">
        <v>425</v>
      </c>
      <c r="B102" s="628" t="s">
        <v>1059</v>
      </c>
      <c r="C102" s="1" t="s">
        <v>292</v>
      </c>
      <c r="E102" s="3">
        <v>500</v>
      </c>
      <c r="F102" s="629">
        <v>2400</v>
      </c>
      <c r="G102" s="416">
        <v>424</v>
      </c>
      <c r="H102" s="629">
        <v>1</v>
      </c>
      <c r="I102" s="416">
        <v>4</v>
      </c>
      <c r="J102" s="627" t="s">
        <v>233</v>
      </c>
      <c r="K102" s="629">
        <v>1</v>
      </c>
      <c r="L102" s="627" t="s">
        <v>234</v>
      </c>
      <c r="M102" s="629">
        <v>1</v>
      </c>
      <c r="N102" s="627" t="s">
        <v>235</v>
      </c>
      <c r="O102" s="629">
        <v>0</v>
      </c>
      <c r="P102" s="627" t="s">
        <v>236</v>
      </c>
      <c r="Q102" s="417">
        <v>320</v>
      </c>
      <c r="R102" s="630">
        <f>IF(ISERROR(VLOOKUP(J102,Baupläne!$C$2:$X$231,20,FALSE)),0,VLOOKUP(J102,Baupläne!$C$2:$X$231,20,FALSE))</f>
        <v>41600</v>
      </c>
      <c r="S102" s="12">
        <f>IF(ISERROR(VLOOKUP(L102,Baupläne!$C$2:$X$231,20,FALSE)),0,VLOOKUP(L102,Baupläne!$C$2:$X$231,20,FALSE))</f>
        <v>35200</v>
      </c>
      <c r="T102" s="12">
        <f>IF(ISERROR(VLOOKUP(N102,Baupläne!$C$2:$X$231,20,FALSE)),0,VLOOKUP(N102,Baupläne!$C$2:$X$231,20,FALSE))</f>
        <v>51200</v>
      </c>
      <c r="U102" s="631">
        <f>IF(ISERROR(VLOOKUP(P102,Baupläne!$C$2:$X$231,20,FALSE)),0,VLOOKUP(P102,Baupläne!$C$2:$X$231,20,FALSE))</f>
        <v>28800</v>
      </c>
      <c r="V102" s="632">
        <f t="shared" si="3"/>
        <v>252800</v>
      </c>
    </row>
    <row r="103" spans="1:22" x14ac:dyDescent="0.2">
      <c r="R103" s="630">
        <f>IF(ISERROR(VLOOKUP(J103,Baupläne!$C$2:$X$231,20,FALSE)),0,VLOOKUP(J103,Baupläne!$C$2:$X$231,20,FALSE))</f>
        <v>0</v>
      </c>
      <c r="S103" s="12">
        <f>IF(ISERROR(VLOOKUP(L103,Baupläne!$C$2:$X$231,20,FALSE)),0,VLOOKUP(L103,Baupläne!$C$2:$X$231,20,FALSE))</f>
        <v>0</v>
      </c>
      <c r="T103" s="12">
        <f>IF(ISERROR(VLOOKUP(N103,Baupläne!$C$2:$X$231,20,FALSE)),0,VLOOKUP(N103,Baupläne!$C$2:$X$231,20,FALSE))</f>
        <v>0</v>
      </c>
      <c r="U103" s="631">
        <f>IF(ISERROR(VLOOKUP(P103,Baupläne!$C$2:$X$231,20,FALSE)),0,VLOOKUP(P103,Baupläne!$C$2:$X$231,20,FALSE))</f>
        <v>0</v>
      </c>
      <c r="V103" s="632">
        <f t="shared" si="3"/>
        <v>0</v>
      </c>
    </row>
    <row r="104" spans="1:22" x14ac:dyDescent="0.2">
      <c r="A104" s="627">
        <v>431</v>
      </c>
      <c r="B104" s="628" t="s">
        <v>1060</v>
      </c>
      <c r="C104" s="3" t="s">
        <v>292</v>
      </c>
      <c r="D104" s="3"/>
      <c r="E104" s="3">
        <v>200</v>
      </c>
      <c r="F104" s="629">
        <v>800</v>
      </c>
      <c r="G104" s="416">
        <v>0</v>
      </c>
      <c r="H104" s="629">
        <v>0</v>
      </c>
      <c r="I104" s="416">
        <v>6</v>
      </c>
      <c r="J104" s="627" t="s">
        <v>217</v>
      </c>
      <c r="K104" s="629">
        <v>2</v>
      </c>
      <c r="L104" s="627" t="s">
        <v>218</v>
      </c>
      <c r="M104" s="629">
        <v>1</v>
      </c>
      <c r="N104" s="627" t="s">
        <v>219</v>
      </c>
      <c r="O104" s="629">
        <v>1</v>
      </c>
      <c r="P104" s="627" t="s">
        <v>220</v>
      </c>
      <c r="Q104" s="417">
        <v>30</v>
      </c>
      <c r="R104" s="630">
        <f>IF(ISERROR(VLOOKUP(J104,Baupläne!$C$2:$X$231,20,FALSE)),0,VLOOKUP(J104,Baupläne!$C$2:$X$231,20,FALSE))</f>
        <v>2600</v>
      </c>
      <c r="S104" s="12">
        <f>IF(ISERROR(VLOOKUP(L104,Baupläne!$C$2:$X$231,20,FALSE)),0,VLOOKUP(L104,Baupläne!$C$2:$X$231,20,FALSE))</f>
        <v>2200</v>
      </c>
      <c r="T104" s="12">
        <f>IF(ISERROR(VLOOKUP(N104,Baupläne!$C$2:$X$231,20,FALSE)),0,VLOOKUP(N104,Baupläne!$C$2:$X$231,20,FALSE))</f>
        <v>3200</v>
      </c>
      <c r="U104" s="631">
        <f>IF(ISERROR(VLOOKUP(P104,Baupläne!$C$2:$X$231,20,FALSE)),0,VLOOKUP(P104,Baupläne!$C$2:$X$231,20,FALSE))</f>
        <v>1800</v>
      </c>
      <c r="V104" s="632">
        <f t="shared" si="3"/>
        <v>25000</v>
      </c>
    </row>
    <row r="105" spans="1:22" x14ac:dyDescent="0.2">
      <c r="A105" s="627">
        <v>432</v>
      </c>
      <c r="B105" s="628" t="s">
        <v>1061</v>
      </c>
      <c r="C105" s="3" t="s">
        <v>292</v>
      </c>
      <c r="D105" s="3"/>
      <c r="E105" s="3">
        <v>400</v>
      </c>
      <c r="F105" s="629">
        <v>1200</v>
      </c>
      <c r="G105" s="416">
        <v>431</v>
      </c>
      <c r="H105" s="629">
        <v>0</v>
      </c>
      <c r="I105" s="416">
        <v>6</v>
      </c>
      <c r="J105" s="627" t="s">
        <v>221</v>
      </c>
      <c r="K105" s="629">
        <v>2</v>
      </c>
      <c r="L105" s="627" t="s">
        <v>222</v>
      </c>
      <c r="M105" s="629">
        <v>1</v>
      </c>
      <c r="N105" s="627" t="s">
        <v>223</v>
      </c>
      <c r="O105" s="629">
        <v>1</v>
      </c>
      <c r="P105" s="627" t="s">
        <v>224</v>
      </c>
      <c r="Q105" s="417">
        <v>60</v>
      </c>
      <c r="R105" s="630">
        <f>IF(ISERROR(VLOOKUP(J105,Baupläne!$C$2:$X$231,20,FALSE)),0,VLOOKUP(J105,Baupläne!$C$2:$X$231,20,FALSE))</f>
        <v>5200</v>
      </c>
      <c r="S105" s="12">
        <f>IF(ISERROR(VLOOKUP(L105,Baupläne!$C$2:$X$231,20,FALSE)),0,VLOOKUP(L105,Baupläne!$C$2:$X$231,20,FALSE))</f>
        <v>4400</v>
      </c>
      <c r="T105" s="12">
        <f>IF(ISERROR(VLOOKUP(N105,Baupläne!$C$2:$X$231,20,FALSE)),0,VLOOKUP(N105,Baupläne!$C$2:$X$231,20,FALSE))</f>
        <v>6400</v>
      </c>
      <c r="U105" s="631">
        <f>IF(ISERROR(VLOOKUP(P105,Baupläne!$C$2:$X$231,20,FALSE)),0,VLOOKUP(P105,Baupläne!$C$2:$X$231,20,FALSE))</f>
        <v>3600</v>
      </c>
      <c r="V105" s="632">
        <f t="shared" si="3"/>
        <v>50000</v>
      </c>
    </row>
    <row r="106" spans="1:22" x14ac:dyDescent="0.2">
      <c r="A106" s="627">
        <v>433</v>
      </c>
      <c r="B106" s="628" t="s">
        <v>1062</v>
      </c>
      <c r="C106" s="3" t="s">
        <v>292</v>
      </c>
      <c r="D106" s="3"/>
      <c r="E106" s="3">
        <v>600</v>
      </c>
      <c r="F106" s="629">
        <v>1600</v>
      </c>
      <c r="G106" s="416">
        <v>432</v>
      </c>
      <c r="H106" s="629">
        <v>1</v>
      </c>
      <c r="I106" s="416">
        <v>6</v>
      </c>
      <c r="J106" s="627" t="s">
        <v>225</v>
      </c>
      <c r="K106" s="629">
        <v>2</v>
      </c>
      <c r="L106" s="627" t="s">
        <v>226</v>
      </c>
      <c r="M106" s="629">
        <v>1</v>
      </c>
      <c r="N106" s="627" t="s">
        <v>227</v>
      </c>
      <c r="O106" s="629">
        <v>1</v>
      </c>
      <c r="P106" s="627" t="s">
        <v>228</v>
      </c>
      <c r="Q106" s="417">
        <v>120</v>
      </c>
      <c r="R106" s="630">
        <f>IF(ISERROR(VLOOKUP(J106,Baupläne!$C$2:$X$231,20,FALSE)),0,VLOOKUP(J106,Baupläne!$C$2:$X$231,20,FALSE))</f>
        <v>10400</v>
      </c>
      <c r="S106" s="12">
        <f>IF(ISERROR(VLOOKUP(L106,Baupläne!$C$2:$X$231,20,FALSE)),0,VLOOKUP(L106,Baupläne!$C$2:$X$231,20,FALSE))</f>
        <v>8800</v>
      </c>
      <c r="T106" s="12">
        <f>IF(ISERROR(VLOOKUP(N106,Baupläne!$C$2:$X$231,20,FALSE)),0,VLOOKUP(N106,Baupläne!$C$2:$X$231,20,FALSE))</f>
        <v>12800</v>
      </c>
      <c r="U106" s="631">
        <f>IF(ISERROR(VLOOKUP(P106,Baupläne!$C$2:$X$231,20,FALSE)),0,VLOOKUP(P106,Baupläne!$C$2:$X$231,20,FALSE))</f>
        <v>7200</v>
      </c>
      <c r="V106" s="632">
        <f t="shared" si="3"/>
        <v>100000</v>
      </c>
    </row>
    <row r="107" spans="1:22" x14ac:dyDescent="0.2">
      <c r="A107" s="627">
        <v>434</v>
      </c>
      <c r="B107" s="628" t="s">
        <v>1063</v>
      </c>
      <c r="C107" s="3" t="s">
        <v>292</v>
      </c>
      <c r="D107" s="3"/>
      <c r="E107" s="3">
        <v>800</v>
      </c>
      <c r="F107" s="629">
        <v>2000</v>
      </c>
      <c r="G107" s="416">
        <v>433</v>
      </c>
      <c r="H107" s="629">
        <v>1</v>
      </c>
      <c r="I107" s="416">
        <v>6</v>
      </c>
      <c r="J107" s="627" t="s">
        <v>229</v>
      </c>
      <c r="K107" s="629">
        <v>2</v>
      </c>
      <c r="L107" s="627" t="s">
        <v>230</v>
      </c>
      <c r="M107" s="629">
        <v>1</v>
      </c>
      <c r="N107" s="627" t="s">
        <v>231</v>
      </c>
      <c r="O107" s="629">
        <v>1</v>
      </c>
      <c r="P107" s="627" t="s">
        <v>232</v>
      </c>
      <c r="Q107" s="417">
        <v>240</v>
      </c>
      <c r="R107" s="630">
        <f>IF(ISERROR(VLOOKUP(J107,Baupläne!$C$2:$X$231,20,FALSE)),0,VLOOKUP(J107,Baupläne!$C$2:$X$231,20,FALSE))</f>
        <v>20800</v>
      </c>
      <c r="S107" s="12">
        <f>IF(ISERROR(VLOOKUP(L107,Baupläne!$C$2:$X$231,20,FALSE)),0,VLOOKUP(L107,Baupläne!$C$2:$X$231,20,FALSE))</f>
        <v>17600</v>
      </c>
      <c r="T107" s="12">
        <f>IF(ISERROR(VLOOKUP(N107,Baupläne!$C$2:$X$231,20,FALSE)),0,VLOOKUP(N107,Baupläne!$C$2:$X$231,20,FALSE))</f>
        <v>25600</v>
      </c>
      <c r="U107" s="631">
        <f>IF(ISERROR(VLOOKUP(P107,Baupläne!$C$2:$X$231,20,FALSE)),0,VLOOKUP(P107,Baupläne!$C$2:$X$231,20,FALSE))</f>
        <v>14400</v>
      </c>
      <c r="V107" s="632">
        <f t="shared" si="3"/>
        <v>200000</v>
      </c>
    </row>
    <row r="108" spans="1:22" x14ac:dyDescent="0.2">
      <c r="A108" s="627">
        <v>435</v>
      </c>
      <c r="B108" s="628" t="s">
        <v>1064</v>
      </c>
      <c r="C108" s="3" t="s">
        <v>292</v>
      </c>
      <c r="D108" s="3"/>
      <c r="E108" s="3">
        <v>1000</v>
      </c>
      <c r="F108" s="629">
        <v>2400</v>
      </c>
      <c r="G108" s="416">
        <v>434</v>
      </c>
      <c r="H108" s="629">
        <v>1</v>
      </c>
      <c r="I108" s="416">
        <v>6</v>
      </c>
      <c r="J108" s="627" t="s">
        <v>233</v>
      </c>
      <c r="K108" s="629">
        <v>2</v>
      </c>
      <c r="L108" s="627" t="s">
        <v>234</v>
      </c>
      <c r="M108" s="629">
        <v>1</v>
      </c>
      <c r="N108" s="627" t="s">
        <v>235</v>
      </c>
      <c r="O108" s="629">
        <v>1</v>
      </c>
      <c r="P108" s="627" t="s">
        <v>236</v>
      </c>
      <c r="Q108" s="417">
        <v>480</v>
      </c>
      <c r="R108" s="630">
        <f>IF(ISERROR(VLOOKUP(J108,Baupläne!$C$2:$X$231,20,FALSE)),0,VLOOKUP(J108,Baupläne!$C$2:$X$231,20,FALSE))</f>
        <v>41600</v>
      </c>
      <c r="S108" s="12">
        <f>IF(ISERROR(VLOOKUP(L108,Baupläne!$C$2:$X$231,20,FALSE)),0,VLOOKUP(L108,Baupläne!$C$2:$X$231,20,FALSE))</f>
        <v>35200</v>
      </c>
      <c r="T108" s="12">
        <f>IF(ISERROR(VLOOKUP(N108,Baupläne!$C$2:$X$231,20,FALSE)),0,VLOOKUP(N108,Baupläne!$C$2:$X$231,20,FALSE))</f>
        <v>51200</v>
      </c>
      <c r="U108" s="631">
        <f>IF(ISERROR(VLOOKUP(P108,Baupläne!$C$2:$X$231,20,FALSE)),0,VLOOKUP(P108,Baupläne!$C$2:$X$231,20,FALSE))</f>
        <v>28800</v>
      </c>
      <c r="V108" s="632">
        <f t="shared" si="3"/>
        <v>400000</v>
      </c>
    </row>
    <row r="109" spans="1:22" x14ac:dyDescent="0.2">
      <c r="R109" s="630">
        <f>IF(ISERROR(VLOOKUP(J109,Baupläne!$C$2:$X$231,20,FALSE)),0,VLOOKUP(J109,Baupläne!$C$2:$X$231,20,FALSE))</f>
        <v>0</v>
      </c>
      <c r="S109" s="12">
        <f>IF(ISERROR(VLOOKUP(L109,Baupläne!$C$2:$X$231,20,FALSE)),0,VLOOKUP(L109,Baupläne!$C$2:$X$231,20,FALSE))</f>
        <v>0</v>
      </c>
      <c r="T109" s="12">
        <f>IF(ISERROR(VLOOKUP(N109,Baupläne!$C$2:$X$231,20,FALSE)),0,VLOOKUP(N109,Baupläne!$C$2:$X$231,20,FALSE))</f>
        <v>0</v>
      </c>
      <c r="U109" s="631">
        <f>IF(ISERROR(VLOOKUP(P109,Baupläne!$C$2:$X$231,20,FALSE)),0,VLOOKUP(P109,Baupläne!$C$2:$X$231,20,FALSE))</f>
        <v>0</v>
      </c>
      <c r="V109" s="632">
        <f t="shared" si="3"/>
        <v>0</v>
      </c>
    </row>
    <row r="110" spans="1:22" x14ac:dyDescent="0.2">
      <c r="A110" s="627">
        <v>441</v>
      </c>
      <c r="B110" s="628" t="s">
        <v>1065</v>
      </c>
      <c r="C110" s="3" t="s">
        <v>292</v>
      </c>
      <c r="D110" s="3"/>
      <c r="E110" s="3">
        <v>200</v>
      </c>
      <c r="F110" s="629">
        <v>600</v>
      </c>
      <c r="G110" s="416">
        <v>0</v>
      </c>
      <c r="H110" s="629">
        <v>0</v>
      </c>
      <c r="I110" s="416">
        <v>0</v>
      </c>
      <c r="J110" s="627" t="s">
        <v>217</v>
      </c>
      <c r="K110" s="629">
        <v>6</v>
      </c>
      <c r="L110" s="627" t="s">
        <v>218</v>
      </c>
      <c r="M110" s="629">
        <v>0</v>
      </c>
      <c r="N110" s="627" t="s">
        <v>219</v>
      </c>
      <c r="O110" s="629">
        <v>0</v>
      </c>
      <c r="P110" s="627" t="s">
        <v>220</v>
      </c>
      <c r="Q110" s="417">
        <v>20</v>
      </c>
      <c r="R110" s="630">
        <f>IF(ISERROR(VLOOKUP(J110,Baupläne!$C$2:$X$231,20,FALSE)),0,VLOOKUP(J110,Baupläne!$C$2:$X$231,20,FALSE))</f>
        <v>2600</v>
      </c>
      <c r="S110" s="12">
        <f>IF(ISERROR(VLOOKUP(L110,Baupläne!$C$2:$X$231,20,FALSE)),0,VLOOKUP(L110,Baupläne!$C$2:$X$231,20,FALSE))</f>
        <v>2200</v>
      </c>
      <c r="T110" s="12">
        <f>IF(ISERROR(VLOOKUP(N110,Baupläne!$C$2:$X$231,20,FALSE)),0,VLOOKUP(N110,Baupläne!$C$2:$X$231,20,FALSE))</f>
        <v>3200</v>
      </c>
      <c r="U110" s="631">
        <f>IF(ISERROR(VLOOKUP(P110,Baupläne!$C$2:$X$231,20,FALSE)),0,VLOOKUP(P110,Baupläne!$C$2:$X$231,20,FALSE))</f>
        <v>1800</v>
      </c>
      <c r="V110" s="632">
        <f t="shared" si="3"/>
        <v>13200</v>
      </c>
    </row>
    <row r="111" spans="1:22" x14ac:dyDescent="0.2">
      <c r="A111" s="627">
        <v>442</v>
      </c>
      <c r="B111" s="628" t="s">
        <v>1066</v>
      </c>
      <c r="C111" s="3" t="s">
        <v>292</v>
      </c>
      <c r="D111" s="3"/>
      <c r="E111" s="3">
        <v>400</v>
      </c>
      <c r="F111" s="629">
        <v>900</v>
      </c>
      <c r="G111" s="416">
        <v>441</v>
      </c>
      <c r="H111" s="629">
        <v>0</v>
      </c>
      <c r="I111" s="416">
        <v>0</v>
      </c>
      <c r="J111" s="627" t="s">
        <v>221</v>
      </c>
      <c r="K111" s="629">
        <v>6</v>
      </c>
      <c r="L111" s="627" t="s">
        <v>222</v>
      </c>
      <c r="M111" s="629">
        <v>0</v>
      </c>
      <c r="N111" s="627" t="s">
        <v>223</v>
      </c>
      <c r="O111" s="629">
        <v>0</v>
      </c>
      <c r="P111" s="627" t="s">
        <v>224</v>
      </c>
      <c r="Q111" s="417">
        <v>40</v>
      </c>
      <c r="R111" s="630">
        <f>IF(ISERROR(VLOOKUP(J111,Baupläne!$C$2:$X$231,20,FALSE)),0,VLOOKUP(J111,Baupläne!$C$2:$X$231,20,FALSE))</f>
        <v>5200</v>
      </c>
      <c r="S111" s="12">
        <f>IF(ISERROR(VLOOKUP(L111,Baupläne!$C$2:$X$231,20,FALSE)),0,VLOOKUP(L111,Baupläne!$C$2:$X$231,20,FALSE))</f>
        <v>4400</v>
      </c>
      <c r="T111" s="12">
        <f>IF(ISERROR(VLOOKUP(N111,Baupläne!$C$2:$X$231,20,FALSE)),0,VLOOKUP(N111,Baupläne!$C$2:$X$231,20,FALSE))</f>
        <v>6400</v>
      </c>
      <c r="U111" s="631">
        <f>IF(ISERROR(VLOOKUP(P111,Baupläne!$C$2:$X$231,20,FALSE)),0,VLOOKUP(P111,Baupläne!$C$2:$X$231,20,FALSE))</f>
        <v>3600</v>
      </c>
      <c r="V111" s="632">
        <f t="shared" si="3"/>
        <v>26400</v>
      </c>
    </row>
    <row r="112" spans="1:22" x14ac:dyDescent="0.2">
      <c r="A112" s="627">
        <v>443</v>
      </c>
      <c r="B112" s="628" t="s">
        <v>1067</v>
      </c>
      <c r="C112" s="3" t="s">
        <v>292</v>
      </c>
      <c r="D112" s="3"/>
      <c r="E112" s="3">
        <v>600</v>
      </c>
      <c r="F112" s="629">
        <v>1200</v>
      </c>
      <c r="G112" s="416">
        <v>442</v>
      </c>
      <c r="H112" s="629">
        <v>1</v>
      </c>
      <c r="I112" s="416">
        <v>0</v>
      </c>
      <c r="J112" s="627" t="s">
        <v>225</v>
      </c>
      <c r="K112" s="629">
        <v>6</v>
      </c>
      <c r="L112" s="627" t="s">
        <v>226</v>
      </c>
      <c r="M112" s="629">
        <v>0</v>
      </c>
      <c r="N112" s="627" t="s">
        <v>227</v>
      </c>
      <c r="O112" s="629">
        <v>0</v>
      </c>
      <c r="P112" s="627" t="s">
        <v>228</v>
      </c>
      <c r="Q112" s="417">
        <v>80</v>
      </c>
      <c r="R112" s="630">
        <f>IF(ISERROR(VLOOKUP(J112,Baupläne!$C$2:$X$231,20,FALSE)),0,VLOOKUP(J112,Baupläne!$C$2:$X$231,20,FALSE))</f>
        <v>10400</v>
      </c>
      <c r="S112" s="12">
        <f>IF(ISERROR(VLOOKUP(L112,Baupläne!$C$2:$X$231,20,FALSE)),0,VLOOKUP(L112,Baupläne!$C$2:$X$231,20,FALSE))</f>
        <v>8800</v>
      </c>
      <c r="T112" s="12">
        <f>IF(ISERROR(VLOOKUP(N112,Baupläne!$C$2:$X$231,20,FALSE)),0,VLOOKUP(N112,Baupläne!$C$2:$X$231,20,FALSE))</f>
        <v>12800</v>
      </c>
      <c r="U112" s="631">
        <f>IF(ISERROR(VLOOKUP(P112,Baupläne!$C$2:$X$231,20,FALSE)),0,VLOOKUP(P112,Baupläne!$C$2:$X$231,20,FALSE))</f>
        <v>7200</v>
      </c>
      <c r="V112" s="632">
        <f t="shared" si="3"/>
        <v>52800</v>
      </c>
    </row>
    <row r="113" spans="1:22" x14ac:dyDescent="0.2">
      <c r="A113" s="627">
        <v>444</v>
      </c>
      <c r="B113" s="628" t="s">
        <v>1068</v>
      </c>
      <c r="C113" s="3" t="s">
        <v>292</v>
      </c>
      <c r="D113" s="3"/>
      <c r="E113" s="3">
        <v>800</v>
      </c>
      <c r="F113" s="629">
        <v>1500</v>
      </c>
      <c r="G113" s="416">
        <v>443</v>
      </c>
      <c r="H113" s="629">
        <v>1</v>
      </c>
      <c r="I113" s="416">
        <v>0</v>
      </c>
      <c r="J113" s="627" t="s">
        <v>229</v>
      </c>
      <c r="K113" s="629">
        <v>6</v>
      </c>
      <c r="L113" s="627" t="s">
        <v>230</v>
      </c>
      <c r="M113" s="629">
        <v>0</v>
      </c>
      <c r="N113" s="627" t="s">
        <v>231</v>
      </c>
      <c r="O113" s="629">
        <v>0</v>
      </c>
      <c r="P113" s="627" t="s">
        <v>232</v>
      </c>
      <c r="Q113" s="417">
        <v>160</v>
      </c>
      <c r="R113" s="630">
        <f>IF(ISERROR(VLOOKUP(J113,Baupläne!$C$2:$X$231,20,FALSE)),0,VLOOKUP(J113,Baupläne!$C$2:$X$231,20,FALSE))</f>
        <v>20800</v>
      </c>
      <c r="S113" s="12">
        <f>IF(ISERROR(VLOOKUP(L113,Baupläne!$C$2:$X$231,20,FALSE)),0,VLOOKUP(L113,Baupläne!$C$2:$X$231,20,FALSE))</f>
        <v>17600</v>
      </c>
      <c r="T113" s="12">
        <f>IF(ISERROR(VLOOKUP(N113,Baupläne!$C$2:$X$231,20,FALSE)),0,VLOOKUP(N113,Baupläne!$C$2:$X$231,20,FALSE))</f>
        <v>25600</v>
      </c>
      <c r="U113" s="631">
        <f>IF(ISERROR(VLOOKUP(P113,Baupläne!$C$2:$X$231,20,FALSE)),0,VLOOKUP(P113,Baupläne!$C$2:$X$231,20,FALSE))</f>
        <v>14400</v>
      </c>
      <c r="V113" s="632">
        <f t="shared" si="3"/>
        <v>105600</v>
      </c>
    </row>
    <row r="114" spans="1:22" x14ac:dyDescent="0.2">
      <c r="A114" s="627">
        <v>445</v>
      </c>
      <c r="B114" s="628" t="s">
        <v>1069</v>
      </c>
      <c r="C114" s="1" t="s">
        <v>292</v>
      </c>
      <c r="E114" s="3">
        <v>1000</v>
      </c>
      <c r="F114" s="629">
        <v>1800</v>
      </c>
      <c r="G114" s="416">
        <v>444</v>
      </c>
      <c r="H114" s="629">
        <v>1</v>
      </c>
      <c r="I114" s="416">
        <v>0</v>
      </c>
      <c r="J114" s="627" t="s">
        <v>233</v>
      </c>
      <c r="K114" s="629">
        <v>6</v>
      </c>
      <c r="L114" s="627" t="s">
        <v>234</v>
      </c>
      <c r="M114" s="629">
        <v>0</v>
      </c>
      <c r="N114" s="627" t="s">
        <v>235</v>
      </c>
      <c r="O114" s="629">
        <v>0</v>
      </c>
      <c r="P114" s="627" t="s">
        <v>236</v>
      </c>
      <c r="Q114" s="417">
        <v>320</v>
      </c>
      <c r="R114" s="630">
        <f>IF(ISERROR(VLOOKUP(J114,Baupläne!$C$2:$X$231,20,FALSE)),0,VLOOKUP(J114,Baupläne!$C$2:$X$231,20,FALSE))</f>
        <v>41600</v>
      </c>
      <c r="S114" s="12">
        <f>IF(ISERROR(VLOOKUP(L114,Baupläne!$C$2:$X$231,20,FALSE)),0,VLOOKUP(L114,Baupläne!$C$2:$X$231,20,FALSE))</f>
        <v>35200</v>
      </c>
      <c r="T114" s="12">
        <f>IF(ISERROR(VLOOKUP(N114,Baupläne!$C$2:$X$231,20,FALSE)),0,VLOOKUP(N114,Baupläne!$C$2:$X$231,20,FALSE))</f>
        <v>51200</v>
      </c>
      <c r="U114" s="631">
        <f>IF(ISERROR(VLOOKUP(P114,Baupläne!$C$2:$X$231,20,FALSE)),0,VLOOKUP(P114,Baupläne!$C$2:$X$231,20,FALSE))</f>
        <v>28800</v>
      </c>
      <c r="V114" s="632">
        <f t="shared" si="3"/>
        <v>211200</v>
      </c>
    </row>
    <row r="115" spans="1:22" x14ac:dyDescent="0.2">
      <c r="R115" s="630">
        <f>IF(ISERROR(VLOOKUP(J115,Baupläne!$C$2:$X$231,20,FALSE)),0,VLOOKUP(J115,Baupläne!$C$2:$X$231,20,FALSE))</f>
        <v>0</v>
      </c>
      <c r="S115" s="12">
        <f>IF(ISERROR(VLOOKUP(L115,Baupläne!$C$2:$X$231,20,FALSE)),0,VLOOKUP(L115,Baupläne!$C$2:$X$231,20,FALSE))</f>
        <v>0</v>
      </c>
      <c r="T115" s="12">
        <f>IF(ISERROR(VLOOKUP(N115,Baupläne!$C$2:$X$231,20,FALSE)),0,VLOOKUP(N115,Baupläne!$C$2:$X$231,20,FALSE))</f>
        <v>0</v>
      </c>
      <c r="U115" s="631">
        <f>IF(ISERROR(VLOOKUP(P115,Baupläne!$C$2:$X$231,20,FALSE)),0,VLOOKUP(P115,Baupläne!$C$2:$X$231,20,FALSE))</f>
        <v>0</v>
      </c>
      <c r="V115" s="632">
        <f t="shared" si="3"/>
        <v>0</v>
      </c>
    </row>
    <row r="116" spans="1:22" x14ac:dyDescent="0.2">
      <c r="A116" s="627">
        <v>451</v>
      </c>
      <c r="B116" s="628" t="s">
        <v>1070</v>
      </c>
      <c r="C116" s="3" t="s">
        <v>292</v>
      </c>
      <c r="D116" s="3"/>
      <c r="E116" s="3">
        <v>600</v>
      </c>
      <c r="F116" s="629">
        <v>2400</v>
      </c>
      <c r="G116" s="416">
        <v>0</v>
      </c>
      <c r="H116" s="629">
        <v>0</v>
      </c>
      <c r="I116" s="416">
        <v>4</v>
      </c>
      <c r="J116" s="627" t="s">
        <v>217</v>
      </c>
      <c r="K116" s="629">
        <v>4</v>
      </c>
      <c r="L116" s="627" t="s">
        <v>218</v>
      </c>
      <c r="M116" s="629">
        <v>2</v>
      </c>
      <c r="N116" s="627" t="s">
        <v>219</v>
      </c>
      <c r="O116" s="629">
        <v>2</v>
      </c>
      <c r="P116" s="627" t="s">
        <v>220</v>
      </c>
      <c r="Q116" s="417">
        <v>10</v>
      </c>
      <c r="R116" s="630">
        <f>IF(ISERROR(VLOOKUP(J116,Baupläne!$C$2:$X$231,20,FALSE)),0,VLOOKUP(J116,Baupläne!$C$2:$X$231,20,FALSE))</f>
        <v>2600</v>
      </c>
      <c r="S116" s="12">
        <f>IF(ISERROR(VLOOKUP(L116,Baupläne!$C$2:$X$231,20,FALSE)),0,VLOOKUP(L116,Baupläne!$C$2:$X$231,20,FALSE))</f>
        <v>2200</v>
      </c>
      <c r="T116" s="12">
        <f>IF(ISERROR(VLOOKUP(N116,Baupläne!$C$2:$X$231,20,FALSE)),0,VLOOKUP(N116,Baupläne!$C$2:$X$231,20,FALSE))</f>
        <v>3200</v>
      </c>
      <c r="U116" s="631">
        <f>IF(ISERROR(VLOOKUP(P116,Baupläne!$C$2:$X$231,20,FALSE)),0,VLOOKUP(P116,Baupläne!$C$2:$X$231,20,FALSE))</f>
        <v>1800</v>
      </c>
      <c r="V116" s="632">
        <f t="shared" si="3"/>
        <v>29200</v>
      </c>
    </row>
    <row r="117" spans="1:22" x14ac:dyDescent="0.2">
      <c r="A117" s="627">
        <v>452</v>
      </c>
      <c r="B117" s="628" t="s">
        <v>1071</v>
      </c>
      <c r="C117" s="3" t="s">
        <v>292</v>
      </c>
      <c r="D117" s="3"/>
      <c r="E117" s="3">
        <v>1200</v>
      </c>
      <c r="F117" s="629">
        <v>3600</v>
      </c>
      <c r="G117" s="416">
        <v>451</v>
      </c>
      <c r="H117" s="629">
        <v>1</v>
      </c>
      <c r="I117" s="416">
        <v>4</v>
      </c>
      <c r="J117" s="627" t="s">
        <v>221</v>
      </c>
      <c r="K117" s="629">
        <v>4</v>
      </c>
      <c r="L117" s="627" t="s">
        <v>222</v>
      </c>
      <c r="M117" s="629">
        <v>2</v>
      </c>
      <c r="N117" s="627" t="s">
        <v>223</v>
      </c>
      <c r="O117" s="629">
        <v>2</v>
      </c>
      <c r="P117" s="627" t="s">
        <v>224</v>
      </c>
      <c r="Q117" s="417">
        <v>20</v>
      </c>
      <c r="R117" s="630">
        <f>IF(ISERROR(VLOOKUP(J117,Baupläne!$C$2:$X$231,20,FALSE)),0,VLOOKUP(J117,Baupläne!$C$2:$X$231,20,FALSE))</f>
        <v>5200</v>
      </c>
      <c r="S117" s="12">
        <f>IF(ISERROR(VLOOKUP(L117,Baupläne!$C$2:$X$231,20,FALSE)),0,VLOOKUP(L117,Baupläne!$C$2:$X$231,20,FALSE))</f>
        <v>4400</v>
      </c>
      <c r="T117" s="12">
        <f>IF(ISERROR(VLOOKUP(N117,Baupläne!$C$2:$X$231,20,FALSE)),0,VLOOKUP(N117,Baupläne!$C$2:$X$231,20,FALSE))</f>
        <v>6400</v>
      </c>
      <c r="U117" s="631">
        <f>IF(ISERROR(VLOOKUP(P117,Baupläne!$C$2:$X$231,20,FALSE)),0,VLOOKUP(P117,Baupläne!$C$2:$X$231,20,FALSE))</f>
        <v>3600</v>
      </c>
      <c r="V117" s="632">
        <f t="shared" si="3"/>
        <v>58400</v>
      </c>
    </row>
    <row r="118" spans="1:22" x14ac:dyDescent="0.2">
      <c r="A118" s="627">
        <v>453</v>
      </c>
      <c r="B118" s="628" t="s">
        <v>1072</v>
      </c>
      <c r="C118" s="3" t="s">
        <v>292</v>
      </c>
      <c r="D118" s="3"/>
      <c r="E118" s="3">
        <v>1800</v>
      </c>
      <c r="F118" s="629">
        <v>4800</v>
      </c>
      <c r="G118" s="416">
        <v>452</v>
      </c>
      <c r="H118" s="629">
        <v>1</v>
      </c>
      <c r="I118" s="416">
        <v>4</v>
      </c>
      <c r="J118" s="627" t="s">
        <v>225</v>
      </c>
      <c r="K118" s="629">
        <v>4</v>
      </c>
      <c r="L118" s="627" t="s">
        <v>226</v>
      </c>
      <c r="M118" s="629">
        <v>2</v>
      </c>
      <c r="N118" s="627" t="s">
        <v>227</v>
      </c>
      <c r="O118" s="629">
        <v>2</v>
      </c>
      <c r="P118" s="627" t="s">
        <v>228</v>
      </c>
      <c r="Q118" s="417">
        <v>40</v>
      </c>
      <c r="R118" s="630">
        <f>IF(ISERROR(VLOOKUP(J118,Baupläne!$C$2:$X$231,20,FALSE)),0,VLOOKUP(J118,Baupläne!$C$2:$X$231,20,FALSE))</f>
        <v>10400</v>
      </c>
      <c r="S118" s="12">
        <f>IF(ISERROR(VLOOKUP(L118,Baupläne!$C$2:$X$231,20,FALSE)),0,VLOOKUP(L118,Baupläne!$C$2:$X$231,20,FALSE))</f>
        <v>8800</v>
      </c>
      <c r="T118" s="12">
        <f>IF(ISERROR(VLOOKUP(N118,Baupläne!$C$2:$X$231,20,FALSE)),0,VLOOKUP(N118,Baupläne!$C$2:$X$231,20,FALSE))</f>
        <v>12800</v>
      </c>
      <c r="U118" s="631">
        <f>IF(ISERROR(VLOOKUP(P118,Baupläne!$C$2:$X$231,20,FALSE)),0,VLOOKUP(P118,Baupläne!$C$2:$X$231,20,FALSE))</f>
        <v>7200</v>
      </c>
      <c r="V118" s="632">
        <f t="shared" si="3"/>
        <v>116800</v>
      </c>
    </row>
    <row r="119" spans="1:22" x14ac:dyDescent="0.2">
      <c r="A119" s="627">
        <v>454</v>
      </c>
      <c r="B119" s="628" t="s">
        <v>1073</v>
      </c>
      <c r="C119" s="3" t="s">
        <v>292</v>
      </c>
      <c r="D119" s="3"/>
      <c r="E119" s="3">
        <v>2400</v>
      </c>
      <c r="F119" s="629">
        <v>6000</v>
      </c>
      <c r="G119" s="416">
        <v>453</v>
      </c>
      <c r="H119" s="629">
        <v>1</v>
      </c>
      <c r="I119" s="416">
        <v>4</v>
      </c>
      <c r="J119" s="627" t="s">
        <v>229</v>
      </c>
      <c r="K119" s="629">
        <v>4</v>
      </c>
      <c r="L119" s="627" t="s">
        <v>230</v>
      </c>
      <c r="M119" s="629">
        <v>2</v>
      </c>
      <c r="N119" s="627" t="s">
        <v>231</v>
      </c>
      <c r="O119" s="629">
        <v>2</v>
      </c>
      <c r="P119" s="627" t="s">
        <v>232</v>
      </c>
      <c r="Q119" s="417">
        <v>80</v>
      </c>
      <c r="R119" s="630">
        <f>IF(ISERROR(VLOOKUP(J119,Baupläne!$C$2:$X$231,20,FALSE)),0,VLOOKUP(J119,Baupläne!$C$2:$X$231,20,FALSE))</f>
        <v>20800</v>
      </c>
      <c r="S119" s="12">
        <f>IF(ISERROR(VLOOKUP(L119,Baupläne!$C$2:$X$231,20,FALSE)),0,VLOOKUP(L119,Baupläne!$C$2:$X$231,20,FALSE))</f>
        <v>17600</v>
      </c>
      <c r="T119" s="12">
        <f>IF(ISERROR(VLOOKUP(N119,Baupläne!$C$2:$X$231,20,FALSE)),0,VLOOKUP(N119,Baupläne!$C$2:$X$231,20,FALSE))</f>
        <v>25600</v>
      </c>
      <c r="U119" s="631">
        <f>IF(ISERROR(VLOOKUP(P119,Baupläne!$C$2:$X$231,20,FALSE)),0,VLOOKUP(P119,Baupläne!$C$2:$X$231,20,FALSE))</f>
        <v>14400</v>
      </c>
      <c r="V119" s="632">
        <f t="shared" si="3"/>
        <v>233600</v>
      </c>
    </row>
    <row r="120" spans="1:22" x14ac:dyDescent="0.2">
      <c r="A120" s="627">
        <v>455</v>
      </c>
      <c r="B120" s="628" t="s">
        <v>1074</v>
      </c>
      <c r="C120" s="3" t="s">
        <v>292</v>
      </c>
      <c r="D120" s="3"/>
      <c r="E120" s="3">
        <v>3000</v>
      </c>
      <c r="F120" s="629">
        <v>7200</v>
      </c>
      <c r="G120" s="416">
        <v>454</v>
      </c>
      <c r="H120" s="629">
        <v>1</v>
      </c>
      <c r="I120" s="416">
        <v>4</v>
      </c>
      <c r="J120" s="627" t="s">
        <v>233</v>
      </c>
      <c r="K120" s="629">
        <v>4</v>
      </c>
      <c r="L120" s="627" t="s">
        <v>234</v>
      </c>
      <c r="M120" s="629">
        <v>2</v>
      </c>
      <c r="N120" s="627" t="s">
        <v>235</v>
      </c>
      <c r="O120" s="629">
        <v>2</v>
      </c>
      <c r="P120" s="627" t="s">
        <v>236</v>
      </c>
      <c r="Q120" s="417">
        <v>160</v>
      </c>
      <c r="R120" s="630">
        <f>IF(ISERROR(VLOOKUP(J120,Baupläne!$C$2:$X$231,20,FALSE)),0,VLOOKUP(J120,Baupläne!$C$2:$X$231,20,FALSE))</f>
        <v>41600</v>
      </c>
      <c r="S120" s="12">
        <f>IF(ISERROR(VLOOKUP(L120,Baupläne!$C$2:$X$231,20,FALSE)),0,VLOOKUP(L120,Baupläne!$C$2:$X$231,20,FALSE))</f>
        <v>35200</v>
      </c>
      <c r="T120" s="12">
        <f>IF(ISERROR(VLOOKUP(N120,Baupläne!$C$2:$X$231,20,FALSE)),0,VLOOKUP(N120,Baupläne!$C$2:$X$231,20,FALSE))</f>
        <v>51200</v>
      </c>
      <c r="U120" s="631">
        <f>IF(ISERROR(VLOOKUP(P120,Baupläne!$C$2:$X$231,20,FALSE)),0,VLOOKUP(P120,Baupläne!$C$2:$X$231,20,FALSE))</f>
        <v>28800</v>
      </c>
      <c r="V120" s="632">
        <f t="shared" si="3"/>
        <v>467200</v>
      </c>
    </row>
    <row r="121" spans="1:22" x14ac:dyDescent="0.2">
      <c r="R121" s="630">
        <f>IF(ISERROR(VLOOKUP(J121,Baupläne!$C$2:$X$231,20,FALSE)),0,VLOOKUP(J121,Baupläne!$C$2:$X$231,20,FALSE))</f>
        <v>0</v>
      </c>
      <c r="S121" s="12">
        <f>IF(ISERROR(VLOOKUP(L121,Baupläne!$C$2:$X$231,20,FALSE)),0,VLOOKUP(L121,Baupläne!$C$2:$X$231,20,FALSE))</f>
        <v>0</v>
      </c>
      <c r="T121" s="12">
        <f>IF(ISERROR(VLOOKUP(N121,Baupläne!$C$2:$X$231,20,FALSE)),0,VLOOKUP(N121,Baupläne!$C$2:$X$231,20,FALSE))</f>
        <v>0</v>
      </c>
      <c r="U121" s="631">
        <f>IF(ISERROR(VLOOKUP(P121,Baupläne!$C$2:$X$231,20,FALSE)),0,VLOOKUP(P121,Baupläne!$C$2:$X$231,20,FALSE))</f>
        <v>0</v>
      </c>
      <c r="V121" s="632">
        <f t="shared" si="3"/>
        <v>0</v>
      </c>
    </row>
    <row r="122" spans="1:22" x14ac:dyDescent="0.2">
      <c r="A122" s="627">
        <v>461</v>
      </c>
      <c r="B122" s="628" t="s">
        <v>1075</v>
      </c>
      <c r="C122" s="3" t="s">
        <v>292</v>
      </c>
      <c r="D122" s="3"/>
      <c r="E122" s="3">
        <v>500</v>
      </c>
      <c r="F122" s="629">
        <v>1600</v>
      </c>
      <c r="G122" s="416">
        <v>0</v>
      </c>
      <c r="H122" s="629">
        <v>1</v>
      </c>
      <c r="I122" s="416">
        <v>4</v>
      </c>
      <c r="J122" s="627" t="s">
        <v>229</v>
      </c>
      <c r="K122" s="629">
        <v>2</v>
      </c>
      <c r="L122" s="627" t="s">
        <v>230</v>
      </c>
      <c r="M122" s="629">
        <v>1</v>
      </c>
      <c r="N122" s="627" t="s">
        <v>231</v>
      </c>
      <c r="O122" s="629">
        <v>1</v>
      </c>
      <c r="P122" s="627" t="s">
        <v>232</v>
      </c>
      <c r="Q122" s="417">
        <v>160</v>
      </c>
      <c r="R122" s="630">
        <f>IF(ISERROR(VLOOKUP(J122,Baupläne!$C$2:$X$231,20,FALSE)),0,VLOOKUP(J122,Baupläne!$C$2:$X$231,20,FALSE))</f>
        <v>20800</v>
      </c>
      <c r="S122" s="12">
        <f>IF(ISERROR(VLOOKUP(L122,Baupläne!$C$2:$X$231,20,FALSE)),0,VLOOKUP(L122,Baupläne!$C$2:$X$231,20,FALSE))</f>
        <v>17600</v>
      </c>
      <c r="T122" s="12">
        <f>IF(ISERROR(VLOOKUP(N122,Baupläne!$C$2:$X$231,20,FALSE)),0,VLOOKUP(N122,Baupläne!$C$2:$X$231,20,FALSE))</f>
        <v>25600</v>
      </c>
      <c r="U122" s="631">
        <f>IF(ISERROR(VLOOKUP(P122,Baupläne!$C$2:$X$231,20,FALSE)),0,VLOOKUP(P122,Baupläne!$C$2:$X$231,20,FALSE))</f>
        <v>14400</v>
      </c>
      <c r="V122" s="632">
        <f t="shared" si="3"/>
        <v>158400</v>
      </c>
    </row>
    <row r="123" spans="1:22" x14ac:dyDescent="0.2">
      <c r="A123" s="627">
        <v>462</v>
      </c>
      <c r="B123" s="628" t="s">
        <v>1076</v>
      </c>
      <c r="C123" s="3" t="s">
        <v>292</v>
      </c>
      <c r="D123" s="3"/>
      <c r="E123" s="3">
        <v>1000</v>
      </c>
      <c r="F123" s="629">
        <v>2400</v>
      </c>
      <c r="G123" s="416">
        <v>461</v>
      </c>
      <c r="H123" s="629">
        <v>1</v>
      </c>
      <c r="I123" s="416">
        <v>4</v>
      </c>
      <c r="J123" s="627" t="s">
        <v>233</v>
      </c>
      <c r="K123" s="629">
        <v>2</v>
      </c>
      <c r="L123" s="627" t="s">
        <v>234</v>
      </c>
      <c r="M123" s="629">
        <v>1</v>
      </c>
      <c r="N123" s="627" t="s">
        <v>235</v>
      </c>
      <c r="O123" s="629">
        <v>1</v>
      </c>
      <c r="P123" s="627" t="s">
        <v>236</v>
      </c>
      <c r="Q123" s="417">
        <v>320</v>
      </c>
      <c r="R123" s="630">
        <f>IF(ISERROR(VLOOKUP(J123,Baupläne!$C$2:$X$231,20,FALSE)),0,VLOOKUP(J123,Baupläne!$C$2:$X$231,20,FALSE))</f>
        <v>41600</v>
      </c>
      <c r="S123" s="12">
        <f>IF(ISERROR(VLOOKUP(L123,Baupläne!$C$2:$X$231,20,FALSE)),0,VLOOKUP(L123,Baupläne!$C$2:$X$231,20,FALSE))</f>
        <v>35200</v>
      </c>
      <c r="T123" s="12">
        <f>IF(ISERROR(VLOOKUP(N123,Baupläne!$C$2:$X$231,20,FALSE)),0,VLOOKUP(N123,Baupläne!$C$2:$X$231,20,FALSE))</f>
        <v>51200</v>
      </c>
      <c r="U123" s="631">
        <f>IF(ISERROR(VLOOKUP(P123,Baupläne!$C$2:$X$231,20,FALSE)),0,VLOOKUP(P123,Baupläne!$C$2:$X$231,20,FALSE))</f>
        <v>28800</v>
      </c>
      <c r="V123" s="632">
        <f t="shared" si="3"/>
        <v>316800</v>
      </c>
    </row>
    <row r="124" spans="1:22" x14ac:dyDescent="0.2">
      <c r="C124" s="3"/>
      <c r="D124" s="3"/>
      <c r="E124" s="3"/>
      <c r="R124" s="630">
        <f>IF(ISERROR(VLOOKUP(J124,Baupläne!$C$2:$X$231,20,FALSE)),0,VLOOKUP(J124,Baupläne!$C$2:$X$231,20,FALSE))</f>
        <v>0</v>
      </c>
      <c r="S124" s="12">
        <f>IF(ISERROR(VLOOKUP(L124,Baupläne!$C$2:$X$231,20,FALSE)),0,VLOOKUP(L124,Baupläne!$C$2:$X$231,20,FALSE))</f>
        <v>0</v>
      </c>
      <c r="T124" s="12">
        <f>IF(ISERROR(VLOOKUP(N124,Baupläne!$C$2:$X$231,20,FALSE)),0,VLOOKUP(N124,Baupläne!$C$2:$X$231,20,FALSE))</f>
        <v>0</v>
      </c>
      <c r="U124" s="631">
        <f>IF(ISERROR(VLOOKUP(P124,Baupläne!$C$2:$X$231,20,FALSE)),0,VLOOKUP(P124,Baupläne!$C$2:$X$231,20,FALSE))</f>
        <v>0</v>
      </c>
      <c r="V124" s="632">
        <f t="shared" si="3"/>
        <v>0</v>
      </c>
    </row>
    <row r="125" spans="1:22" x14ac:dyDescent="0.2">
      <c r="A125" s="627">
        <v>471</v>
      </c>
      <c r="B125" s="628" t="s">
        <v>1077</v>
      </c>
      <c r="C125" s="3" t="s">
        <v>292</v>
      </c>
      <c r="D125" s="3"/>
      <c r="E125" s="3">
        <v>40</v>
      </c>
      <c r="F125" s="629">
        <v>1600</v>
      </c>
      <c r="G125" s="416">
        <v>0</v>
      </c>
      <c r="H125" s="629">
        <v>0</v>
      </c>
      <c r="I125" s="416">
        <v>6</v>
      </c>
      <c r="J125" s="627" t="s">
        <v>217</v>
      </c>
      <c r="K125" s="629">
        <v>0</v>
      </c>
      <c r="L125" s="627" t="s">
        <v>218</v>
      </c>
      <c r="M125" s="629">
        <v>0</v>
      </c>
      <c r="N125" s="627" t="s">
        <v>219</v>
      </c>
      <c r="O125" s="629">
        <v>0</v>
      </c>
      <c r="P125" s="627" t="s">
        <v>220</v>
      </c>
      <c r="Q125" s="417">
        <v>20</v>
      </c>
      <c r="R125" s="630">
        <f>IF(ISERROR(VLOOKUP(J125,Baupläne!$C$2:$X$231,20,FALSE)),0,VLOOKUP(J125,Baupläne!$C$2:$X$231,20,FALSE))</f>
        <v>2600</v>
      </c>
      <c r="S125" s="12">
        <f>IF(ISERROR(VLOOKUP(L125,Baupläne!$C$2:$X$231,20,FALSE)),0,VLOOKUP(L125,Baupläne!$C$2:$X$231,20,FALSE))</f>
        <v>2200</v>
      </c>
      <c r="T125" s="12">
        <f>IF(ISERROR(VLOOKUP(N125,Baupläne!$C$2:$X$231,20,FALSE)),0,VLOOKUP(N125,Baupläne!$C$2:$X$231,20,FALSE))</f>
        <v>3200</v>
      </c>
      <c r="U125" s="631">
        <f>IF(ISERROR(VLOOKUP(P125,Baupläne!$C$2:$X$231,20,FALSE)),0,VLOOKUP(P125,Baupläne!$C$2:$X$231,20,FALSE))</f>
        <v>1800</v>
      </c>
      <c r="V125" s="632">
        <f t="shared" si="3"/>
        <v>15600</v>
      </c>
    </row>
    <row r="126" spans="1:22" x14ac:dyDescent="0.2">
      <c r="A126" s="627">
        <v>472</v>
      </c>
      <c r="B126" s="628" t="s">
        <v>1078</v>
      </c>
      <c r="C126" s="1" t="s">
        <v>292</v>
      </c>
      <c r="E126" s="3">
        <v>80</v>
      </c>
      <c r="F126" s="629">
        <v>2400</v>
      </c>
      <c r="G126" s="416">
        <v>471</v>
      </c>
      <c r="H126" s="629">
        <v>0</v>
      </c>
      <c r="I126" s="416">
        <v>6</v>
      </c>
      <c r="J126" s="627" t="s">
        <v>221</v>
      </c>
      <c r="K126" s="629">
        <v>0</v>
      </c>
      <c r="L126" s="627" t="s">
        <v>222</v>
      </c>
      <c r="M126" s="629">
        <v>0</v>
      </c>
      <c r="N126" s="627" t="s">
        <v>223</v>
      </c>
      <c r="O126" s="629">
        <v>0</v>
      </c>
      <c r="P126" s="627" t="s">
        <v>224</v>
      </c>
      <c r="Q126" s="417">
        <v>40</v>
      </c>
      <c r="R126" s="630">
        <f>IF(ISERROR(VLOOKUP(J126,Baupläne!$C$2:$X$231,20,FALSE)),0,VLOOKUP(J126,Baupläne!$C$2:$X$231,20,FALSE))</f>
        <v>5200</v>
      </c>
      <c r="S126" s="12">
        <f>IF(ISERROR(VLOOKUP(L126,Baupläne!$C$2:$X$231,20,FALSE)),0,VLOOKUP(L126,Baupläne!$C$2:$X$231,20,FALSE))</f>
        <v>4400</v>
      </c>
      <c r="T126" s="12">
        <f>IF(ISERROR(VLOOKUP(N126,Baupläne!$C$2:$X$231,20,FALSE)),0,VLOOKUP(N126,Baupläne!$C$2:$X$231,20,FALSE))</f>
        <v>6400</v>
      </c>
      <c r="U126" s="631">
        <f>IF(ISERROR(VLOOKUP(P126,Baupläne!$C$2:$X$231,20,FALSE)),0,VLOOKUP(P126,Baupläne!$C$2:$X$231,20,FALSE))</f>
        <v>3600</v>
      </c>
      <c r="V126" s="632">
        <f t="shared" si="3"/>
        <v>31200</v>
      </c>
    </row>
    <row r="127" spans="1:22" x14ac:dyDescent="0.2">
      <c r="A127" s="627">
        <v>473</v>
      </c>
      <c r="B127" s="628" t="s">
        <v>1079</v>
      </c>
      <c r="C127" s="3" t="s">
        <v>292</v>
      </c>
      <c r="D127" s="3"/>
      <c r="E127" s="3">
        <v>120</v>
      </c>
      <c r="F127" s="629">
        <v>3200</v>
      </c>
      <c r="G127" s="416">
        <v>472</v>
      </c>
      <c r="H127" s="629">
        <v>1</v>
      </c>
      <c r="I127" s="416">
        <v>6</v>
      </c>
      <c r="J127" s="627" t="s">
        <v>225</v>
      </c>
      <c r="K127" s="629">
        <v>0</v>
      </c>
      <c r="L127" s="627" t="s">
        <v>226</v>
      </c>
      <c r="M127" s="629">
        <v>0</v>
      </c>
      <c r="N127" s="627" t="s">
        <v>227</v>
      </c>
      <c r="O127" s="629">
        <v>0</v>
      </c>
      <c r="P127" s="627" t="s">
        <v>228</v>
      </c>
      <c r="Q127" s="417">
        <v>80</v>
      </c>
      <c r="R127" s="630">
        <f>IF(ISERROR(VLOOKUP(J127,Baupläne!$C$2:$X$231,20,FALSE)),0,VLOOKUP(J127,Baupläne!$C$2:$X$231,20,FALSE))</f>
        <v>10400</v>
      </c>
      <c r="S127" s="12">
        <f>IF(ISERROR(VLOOKUP(L127,Baupläne!$C$2:$X$231,20,FALSE)),0,VLOOKUP(L127,Baupläne!$C$2:$X$231,20,FALSE))</f>
        <v>8800</v>
      </c>
      <c r="T127" s="12">
        <f>IF(ISERROR(VLOOKUP(N127,Baupläne!$C$2:$X$231,20,FALSE)),0,VLOOKUP(N127,Baupläne!$C$2:$X$231,20,FALSE))</f>
        <v>12800</v>
      </c>
      <c r="U127" s="631">
        <f>IF(ISERROR(VLOOKUP(P127,Baupläne!$C$2:$X$231,20,FALSE)),0,VLOOKUP(P127,Baupläne!$C$2:$X$231,20,FALSE))</f>
        <v>7200</v>
      </c>
      <c r="V127" s="632">
        <f t="shared" si="3"/>
        <v>62400</v>
      </c>
    </row>
    <row r="128" spans="1:22" x14ac:dyDescent="0.2">
      <c r="A128" s="627">
        <v>474</v>
      </c>
      <c r="B128" s="628" t="s">
        <v>1080</v>
      </c>
      <c r="C128" s="3" t="s">
        <v>292</v>
      </c>
      <c r="D128" s="3"/>
      <c r="E128" s="3">
        <v>160</v>
      </c>
      <c r="F128" s="629">
        <v>4000</v>
      </c>
      <c r="G128" s="416">
        <v>473</v>
      </c>
      <c r="H128" s="629">
        <v>1</v>
      </c>
      <c r="I128" s="416">
        <v>6</v>
      </c>
      <c r="J128" s="627" t="s">
        <v>229</v>
      </c>
      <c r="K128" s="629">
        <v>0</v>
      </c>
      <c r="L128" s="627" t="s">
        <v>230</v>
      </c>
      <c r="M128" s="629">
        <v>0</v>
      </c>
      <c r="N128" s="627" t="s">
        <v>231</v>
      </c>
      <c r="O128" s="629">
        <v>0</v>
      </c>
      <c r="P128" s="627" t="s">
        <v>232</v>
      </c>
      <c r="Q128" s="417">
        <v>160</v>
      </c>
      <c r="R128" s="630">
        <f>IF(ISERROR(VLOOKUP(J128,Baupläne!$C$2:$X$231,20,FALSE)),0,VLOOKUP(J128,Baupläne!$C$2:$X$231,20,FALSE))</f>
        <v>20800</v>
      </c>
      <c r="S128" s="12">
        <f>IF(ISERROR(VLOOKUP(L128,Baupläne!$C$2:$X$231,20,FALSE)),0,VLOOKUP(L128,Baupläne!$C$2:$X$231,20,FALSE))</f>
        <v>17600</v>
      </c>
      <c r="T128" s="12">
        <f>IF(ISERROR(VLOOKUP(N128,Baupläne!$C$2:$X$231,20,FALSE)),0,VLOOKUP(N128,Baupläne!$C$2:$X$231,20,FALSE))</f>
        <v>25600</v>
      </c>
      <c r="U128" s="631">
        <f>IF(ISERROR(VLOOKUP(P128,Baupläne!$C$2:$X$231,20,FALSE)),0,VLOOKUP(P128,Baupläne!$C$2:$X$231,20,FALSE))</f>
        <v>14400</v>
      </c>
      <c r="V128" s="632">
        <f t="shared" si="3"/>
        <v>124800</v>
      </c>
    </row>
    <row r="129" spans="1:22" x14ac:dyDescent="0.2">
      <c r="A129" s="627">
        <v>475</v>
      </c>
      <c r="B129" s="628" t="s">
        <v>1081</v>
      </c>
      <c r="C129" s="3" t="s">
        <v>292</v>
      </c>
      <c r="D129" s="3"/>
      <c r="E129" s="3">
        <v>200</v>
      </c>
      <c r="F129" s="629">
        <v>4800</v>
      </c>
      <c r="G129" s="416">
        <v>474</v>
      </c>
      <c r="H129" s="629">
        <v>1</v>
      </c>
      <c r="I129" s="416">
        <v>6</v>
      </c>
      <c r="J129" s="627" t="s">
        <v>233</v>
      </c>
      <c r="K129" s="629">
        <v>0</v>
      </c>
      <c r="L129" s="627" t="s">
        <v>234</v>
      </c>
      <c r="M129" s="629">
        <v>0</v>
      </c>
      <c r="N129" s="627" t="s">
        <v>235</v>
      </c>
      <c r="O129" s="629">
        <v>0</v>
      </c>
      <c r="P129" s="627" t="s">
        <v>236</v>
      </c>
      <c r="Q129" s="417">
        <v>320</v>
      </c>
      <c r="R129" s="630">
        <f>IF(ISERROR(VLOOKUP(J129,Baupläne!$C$2:$X$231,20,FALSE)),0,VLOOKUP(J129,Baupläne!$C$2:$X$231,20,FALSE))</f>
        <v>41600</v>
      </c>
      <c r="S129" s="12">
        <f>IF(ISERROR(VLOOKUP(L129,Baupläne!$C$2:$X$231,20,FALSE)),0,VLOOKUP(L129,Baupläne!$C$2:$X$231,20,FALSE))</f>
        <v>35200</v>
      </c>
      <c r="T129" s="12">
        <f>IF(ISERROR(VLOOKUP(N129,Baupläne!$C$2:$X$231,20,FALSE)),0,VLOOKUP(N129,Baupläne!$C$2:$X$231,20,FALSE))</f>
        <v>51200</v>
      </c>
      <c r="U129" s="631">
        <f>IF(ISERROR(VLOOKUP(P129,Baupläne!$C$2:$X$231,20,FALSE)),0,VLOOKUP(P129,Baupläne!$C$2:$X$231,20,FALSE))</f>
        <v>28800</v>
      </c>
      <c r="V129" s="632">
        <f t="shared" si="3"/>
        <v>249600</v>
      </c>
    </row>
    <row r="130" spans="1:22" x14ac:dyDescent="0.2">
      <c r="R130" s="630">
        <f>IF(ISERROR(VLOOKUP(J130,Baupläne!$C$2:$X$231,20,FALSE)),0,VLOOKUP(J130,Baupläne!$C$2:$X$231,20,FALSE))</f>
        <v>0</v>
      </c>
      <c r="S130" s="12">
        <f>IF(ISERROR(VLOOKUP(L130,Baupläne!$C$2:$X$231,20,FALSE)),0,VLOOKUP(L130,Baupläne!$C$2:$X$231,20,FALSE))</f>
        <v>0</v>
      </c>
      <c r="T130" s="12">
        <f>IF(ISERROR(VLOOKUP(N130,Baupläne!$C$2:$X$231,20,FALSE)),0,VLOOKUP(N130,Baupläne!$C$2:$X$231,20,FALSE))</f>
        <v>0</v>
      </c>
      <c r="U130" s="631">
        <f>IF(ISERROR(VLOOKUP(P130,Baupläne!$C$2:$X$231,20,FALSE)),0,VLOOKUP(P130,Baupläne!$C$2:$X$231,20,FALSE))</f>
        <v>0</v>
      </c>
      <c r="V130" s="632">
        <f t="shared" si="3"/>
        <v>0</v>
      </c>
    </row>
    <row r="131" spans="1:22" x14ac:dyDescent="0.2">
      <c r="A131" s="627">
        <v>481</v>
      </c>
      <c r="B131" s="628" t="s">
        <v>1082</v>
      </c>
      <c r="C131" s="3" t="s">
        <v>292</v>
      </c>
      <c r="D131" s="3"/>
      <c r="E131" s="3">
        <v>80</v>
      </c>
      <c r="F131" s="629">
        <v>800</v>
      </c>
      <c r="G131" s="416">
        <v>0</v>
      </c>
      <c r="H131" s="629">
        <v>0</v>
      </c>
      <c r="I131" s="416">
        <v>0</v>
      </c>
      <c r="J131" s="627" t="s">
        <v>217</v>
      </c>
      <c r="K131" s="629">
        <v>1</v>
      </c>
      <c r="L131" s="627" t="s">
        <v>218</v>
      </c>
      <c r="M131" s="629">
        <v>1</v>
      </c>
      <c r="N131" s="627" t="s">
        <v>219</v>
      </c>
      <c r="O131" s="629">
        <v>5</v>
      </c>
      <c r="P131" s="627" t="s">
        <v>220</v>
      </c>
      <c r="Q131" s="417">
        <v>20</v>
      </c>
      <c r="R131" s="630">
        <f>IF(ISERROR(VLOOKUP(J131,Baupläne!$C$2:$X$231,20,FALSE)),0,VLOOKUP(J131,Baupläne!$C$2:$X$231,20,FALSE))</f>
        <v>2600</v>
      </c>
      <c r="S131" s="12">
        <f>IF(ISERROR(VLOOKUP(L131,Baupläne!$C$2:$X$231,20,FALSE)),0,VLOOKUP(L131,Baupläne!$C$2:$X$231,20,FALSE))</f>
        <v>2200</v>
      </c>
      <c r="T131" s="12">
        <f>IF(ISERROR(VLOOKUP(N131,Baupläne!$C$2:$X$231,20,FALSE)),0,VLOOKUP(N131,Baupläne!$C$2:$X$231,20,FALSE))</f>
        <v>3200</v>
      </c>
      <c r="U131" s="631">
        <f>IF(ISERROR(VLOOKUP(P131,Baupläne!$C$2:$X$231,20,FALSE)),0,VLOOKUP(P131,Baupläne!$C$2:$X$231,20,FALSE))</f>
        <v>1800</v>
      </c>
      <c r="V131" s="632">
        <f t="shared" si="3"/>
        <v>14400</v>
      </c>
    </row>
    <row r="132" spans="1:22" x14ac:dyDescent="0.2">
      <c r="A132" s="627">
        <v>482</v>
      </c>
      <c r="B132" s="628" t="s">
        <v>1083</v>
      </c>
      <c r="C132" s="3" t="s">
        <v>292</v>
      </c>
      <c r="D132" s="3"/>
      <c r="E132" s="3">
        <v>160</v>
      </c>
      <c r="F132" s="629">
        <v>1200</v>
      </c>
      <c r="G132" s="416">
        <v>481</v>
      </c>
      <c r="H132" s="629">
        <v>0</v>
      </c>
      <c r="I132" s="416">
        <v>0</v>
      </c>
      <c r="J132" s="627" t="s">
        <v>221</v>
      </c>
      <c r="K132" s="629">
        <v>1</v>
      </c>
      <c r="L132" s="627" t="s">
        <v>222</v>
      </c>
      <c r="M132" s="629">
        <v>1</v>
      </c>
      <c r="N132" s="627" t="s">
        <v>223</v>
      </c>
      <c r="O132" s="629">
        <v>5</v>
      </c>
      <c r="P132" s="627" t="s">
        <v>224</v>
      </c>
      <c r="Q132" s="417">
        <v>40</v>
      </c>
      <c r="R132" s="630">
        <f>IF(ISERROR(VLOOKUP(J132,Baupläne!$C$2:$X$231,20,FALSE)),0,VLOOKUP(J132,Baupläne!$C$2:$X$231,20,FALSE))</f>
        <v>5200</v>
      </c>
      <c r="S132" s="12">
        <f>IF(ISERROR(VLOOKUP(L132,Baupläne!$C$2:$X$231,20,FALSE)),0,VLOOKUP(L132,Baupläne!$C$2:$X$231,20,FALSE))</f>
        <v>4400</v>
      </c>
      <c r="T132" s="12">
        <f>IF(ISERROR(VLOOKUP(N132,Baupläne!$C$2:$X$231,20,FALSE)),0,VLOOKUP(N132,Baupläne!$C$2:$X$231,20,FALSE))</f>
        <v>6400</v>
      </c>
      <c r="U132" s="631">
        <f>IF(ISERROR(VLOOKUP(P132,Baupläne!$C$2:$X$231,20,FALSE)),0,VLOOKUP(P132,Baupläne!$C$2:$X$231,20,FALSE))</f>
        <v>3600</v>
      </c>
      <c r="V132" s="632">
        <f t="shared" si="3"/>
        <v>28800</v>
      </c>
    </row>
    <row r="133" spans="1:22" x14ac:dyDescent="0.2">
      <c r="A133" s="627">
        <v>483</v>
      </c>
      <c r="B133" s="628" t="s">
        <v>1084</v>
      </c>
      <c r="C133" s="3" t="s">
        <v>292</v>
      </c>
      <c r="D133" s="3"/>
      <c r="E133" s="3">
        <v>240</v>
      </c>
      <c r="F133" s="629">
        <v>1600</v>
      </c>
      <c r="G133" s="416">
        <v>482</v>
      </c>
      <c r="H133" s="629">
        <v>1</v>
      </c>
      <c r="I133" s="416">
        <v>0</v>
      </c>
      <c r="J133" s="627" t="s">
        <v>225</v>
      </c>
      <c r="K133" s="629">
        <v>1</v>
      </c>
      <c r="L133" s="627" t="s">
        <v>226</v>
      </c>
      <c r="M133" s="629">
        <v>1</v>
      </c>
      <c r="N133" s="627" t="s">
        <v>227</v>
      </c>
      <c r="O133" s="629">
        <v>5</v>
      </c>
      <c r="P133" s="627" t="s">
        <v>228</v>
      </c>
      <c r="Q133" s="417">
        <v>80</v>
      </c>
      <c r="R133" s="630">
        <f>IF(ISERROR(VLOOKUP(J133,Baupläne!$C$2:$X$231,20,FALSE)),0,VLOOKUP(J133,Baupläne!$C$2:$X$231,20,FALSE))</f>
        <v>10400</v>
      </c>
      <c r="S133" s="12">
        <f>IF(ISERROR(VLOOKUP(L133,Baupläne!$C$2:$X$231,20,FALSE)),0,VLOOKUP(L133,Baupläne!$C$2:$X$231,20,FALSE))</f>
        <v>8800</v>
      </c>
      <c r="T133" s="12">
        <f>IF(ISERROR(VLOOKUP(N133,Baupläne!$C$2:$X$231,20,FALSE)),0,VLOOKUP(N133,Baupläne!$C$2:$X$231,20,FALSE))</f>
        <v>12800</v>
      </c>
      <c r="U133" s="631">
        <f>IF(ISERROR(VLOOKUP(P133,Baupläne!$C$2:$X$231,20,FALSE)),0,VLOOKUP(P133,Baupläne!$C$2:$X$231,20,FALSE))</f>
        <v>7200</v>
      </c>
      <c r="V133" s="632">
        <f t="shared" si="3"/>
        <v>57600</v>
      </c>
    </row>
    <row r="134" spans="1:22" x14ac:dyDescent="0.2">
      <c r="A134" s="627">
        <v>484</v>
      </c>
      <c r="B134" s="628" t="s">
        <v>1085</v>
      </c>
      <c r="C134" s="3" t="s">
        <v>292</v>
      </c>
      <c r="D134" s="3"/>
      <c r="E134" s="3">
        <v>320</v>
      </c>
      <c r="F134" s="629">
        <v>2000</v>
      </c>
      <c r="G134" s="416">
        <v>483</v>
      </c>
      <c r="H134" s="629">
        <v>1</v>
      </c>
      <c r="I134" s="416">
        <v>0</v>
      </c>
      <c r="J134" s="627" t="s">
        <v>229</v>
      </c>
      <c r="K134" s="629">
        <v>1</v>
      </c>
      <c r="L134" s="627" t="s">
        <v>230</v>
      </c>
      <c r="M134" s="629">
        <v>1</v>
      </c>
      <c r="N134" s="627" t="s">
        <v>231</v>
      </c>
      <c r="O134" s="629">
        <v>5</v>
      </c>
      <c r="P134" s="627" t="s">
        <v>232</v>
      </c>
      <c r="Q134" s="417">
        <v>160</v>
      </c>
      <c r="R134" s="630">
        <f>IF(ISERROR(VLOOKUP(J134,Baupläne!$C$2:$X$231,20,FALSE)),0,VLOOKUP(J134,Baupläne!$C$2:$X$231,20,FALSE))</f>
        <v>20800</v>
      </c>
      <c r="S134" s="12">
        <f>IF(ISERROR(VLOOKUP(L134,Baupläne!$C$2:$X$231,20,FALSE)),0,VLOOKUP(L134,Baupläne!$C$2:$X$231,20,FALSE))</f>
        <v>17600</v>
      </c>
      <c r="T134" s="12">
        <f>IF(ISERROR(VLOOKUP(N134,Baupläne!$C$2:$X$231,20,FALSE)),0,VLOOKUP(N134,Baupläne!$C$2:$X$231,20,FALSE))</f>
        <v>25600</v>
      </c>
      <c r="U134" s="631">
        <f>IF(ISERROR(VLOOKUP(P134,Baupläne!$C$2:$X$231,20,FALSE)),0,VLOOKUP(P134,Baupläne!$C$2:$X$231,20,FALSE))</f>
        <v>14400</v>
      </c>
      <c r="V134" s="632">
        <f t="shared" si="3"/>
        <v>115200</v>
      </c>
    </row>
    <row r="135" spans="1:22" x14ac:dyDescent="0.2">
      <c r="A135" s="627">
        <v>485</v>
      </c>
      <c r="B135" s="628" t="s">
        <v>1086</v>
      </c>
      <c r="C135" s="3" t="s">
        <v>292</v>
      </c>
      <c r="E135" s="3">
        <v>400</v>
      </c>
      <c r="F135" s="629">
        <v>2400</v>
      </c>
      <c r="G135" s="416">
        <v>484</v>
      </c>
      <c r="H135" s="629">
        <v>1</v>
      </c>
      <c r="I135" s="416">
        <v>0</v>
      </c>
      <c r="J135" s="627" t="s">
        <v>233</v>
      </c>
      <c r="K135" s="629">
        <v>1</v>
      </c>
      <c r="L135" s="627" t="s">
        <v>234</v>
      </c>
      <c r="M135" s="629">
        <v>1</v>
      </c>
      <c r="N135" s="627" t="s">
        <v>235</v>
      </c>
      <c r="O135" s="629">
        <v>5</v>
      </c>
      <c r="P135" s="627" t="s">
        <v>236</v>
      </c>
      <c r="Q135" s="417">
        <v>320</v>
      </c>
      <c r="R135" s="630">
        <f>IF(ISERROR(VLOOKUP(J135,Baupläne!$C$2:$X$231,20,FALSE)),0,VLOOKUP(J135,Baupläne!$C$2:$X$231,20,FALSE))</f>
        <v>41600</v>
      </c>
      <c r="S135" s="12">
        <f>IF(ISERROR(VLOOKUP(L135,Baupläne!$C$2:$X$231,20,FALSE)),0,VLOOKUP(L135,Baupläne!$C$2:$X$231,20,FALSE))</f>
        <v>35200</v>
      </c>
      <c r="T135" s="12">
        <f>IF(ISERROR(VLOOKUP(N135,Baupläne!$C$2:$X$231,20,FALSE)),0,VLOOKUP(N135,Baupläne!$C$2:$X$231,20,FALSE))</f>
        <v>51200</v>
      </c>
      <c r="U135" s="631">
        <f>IF(ISERROR(VLOOKUP(P135,Baupläne!$C$2:$X$231,20,FALSE)),0,VLOOKUP(P135,Baupläne!$C$2:$X$231,20,FALSE))</f>
        <v>28800</v>
      </c>
      <c r="V135" s="632">
        <f t="shared" si="3"/>
        <v>230400</v>
      </c>
    </row>
    <row r="136" spans="1:22" x14ac:dyDescent="0.2">
      <c r="C136" s="3"/>
      <c r="R136" s="630">
        <f>IF(ISERROR(VLOOKUP(J136,Baupläne!$C$2:$X$231,20,FALSE)),0,VLOOKUP(J136,Baupläne!$C$2:$X$231,20,FALSE))</f>
        <v>0</v>
      </c>
      <c r="S136" s="12">
        <f>IF(ISERROR(VLOOKUP(L136,Baupläne!$C$2:$X$231,20,FALSE)),0,VLOOKUP(L136,Baupläne!$C$2:$X$231,20,FALSE))</f>
        <v>0</v>
      </c>
      <c r="T136" s="12">
        <f>IF(ISERROR(VLOOKUP(N136,Baupläne!$C$2:$X$231,20,FALSE)),0,VLOOKUP(N136,Baupläne!$C$2:$X$231,20,FALSE))</f>
        <v>0</v>
      </c>
      <c r="U136" s="631">
        <f>IF(ISERROR(VLOOKUP(P136,Baupläne!$C$2:$X$231,20,FALSE)),0,VLOOKUP(P136,Baupläne!$C$2:$X$231,20,FALSE))</f>
        <v>0</v>
      </c>
      <c r="V136" s="632">
        <f t="shared" ref="V136:V141" si="4">(R136*I136)+(S136*K136)+(M136*T136)+(O136*U136)</f>
        <v>0</v>
      </c>
    </row>
    <row r="137" spans="1:22" x14ac:dyDescent="0.2">
      <c r="A137" s="627">
        <v>491</v>
      </c>
      <c r="B137" s="628" t="s">
        <v>1087</v>
      </c>
      <c r="C137" s="3" t="s">
        <v>292</v>
      </c>
      <c r="E137" s="3">
        <v>120</v>
      </c>
      <c r="F137" s="629">
        <v>800</v>
      </c>
      <c r="G137" s="416">
        <v>0</v>
      </c>
      <c r="H137" s="629">
        <v>0</v>
      </c>
      <c r="I137" s="416">
        <v>1</v>
      </c>
      <c r="J137" s="627" t="s">
        <v>217</v>
      </c>
      <c r="K137" s="629">
        <v>2</v>
      </c>
      <c r="L137" s="627" t="s">
        <v>218</v>
      </c>
      <c r="M137" s="629">
        <v>1</v>
      </c>
      <c r="N137" s="627" t="s">
        <v>219</v>
      </c>
      <c r="O137" s="629">
        <v>2</v>
      </c>
      <c r="P137" s="627" t="s">
        <v>220</v>
      </c>
      <c r="Q137" s="417">
        <v>20</v>
      </c>
      <c r="R137" s="630">
        <f>IF(ISERROR(VLOOKUP(J137,Baupläne!$C$2:$X$231,20,FALSE)),0,VLOOKUP(J137,Baupläne!$C$2:$X$231,20,FALSE))</f>
        <v>2600</v>
      </c>
      <c r="S137" s="12">
        <f>IF(ISERROR(VLOOKUP(L137,Baupläne!$C$2:$X$231,20,FALSE)),0,VLOOKUP(L137,Baupläne!$C$2:$X$231,20,FALSE))</f>
        <v>2200</v>
      </c>
      <c r="T137" s="12">
        <f>IF(ISERROR(VLOOKUP(N137,Baupläne!$C$2:$X$231,20,FALSE)),0,VLOOKUP(N137,Baupläne!$C$2:$X$231,20,FALSE))</f>
        <v>3200</v>
      </c>
      <c r="U137" s="631">
        <f>IF(ISERROR(VLOOKUP(P137,Baupläne!$C$2:$X$231,20,FALSE)),0,VLOOKUP(P137,Baupläne!$C$2:$X$231,20,FALSE))</f>
        <v>1800</v>
      </c>
      <c r="V137" s="632">
        <f t="shared" si="4"/>
        <v>13800</v>
      </c>
    </row>
    <row r="138" spans="1:22" x14ac:dyDescent="0.2">
      <c r="A138" s="627">
        <v>492</v>
      </c>
      <c r="B138" s="628" t="s">
        <v>1088</v>
      </c>
      <c r="C138" s="3" t="s">
        <v>292</v>
      </c>
      <c r="E138" s="3">
        <v>240</v>
      </c>
      <c r="F138" s="629">
        <v>1200</v>
      </c>
      <c r="G138" s="416">
        <v>491</v>
      </c>
      <c r="H138" s="629">
        <v>0</v>
      </c>
      <c r="I138" s="416">
        <v>1</v>
      </c>
      <c r="J138" s="627" t="s">
        <v>221</v>
      </c>
      <c r="K138" s="629">
        <v>2</v>
      </c>
      <c r="L138" s="627" t="s">
        <v>222</v>
      </c>
      <c r="M138" s="629">
        <v>1</v>
      </c>
      <c r="N138" s="627" t="s">
        <v>223</v>
      </c>
      <c r="O138" s="629">
        <v>2</v>
      </c>
      <c r="P138" s="627" t="s">
        <v>224</v>
      </c>
      <c r="Q138" s="417">
        <v>40</v>
      </c>
      <c r="R138" s="630">
        <f>IF(ISERROR(VLOOKUP(J138,Baupläne!$C$2:$X$231,20,FALSE)),0,VLOOKUP(J138,Baupläne!$C$2:$X$231,20,FALSE))</f>
        <v>5200</v>
      </c>
      <c r="S138" s="12">
        <f>IF(ISERROR(VLOOKUP(L138,Baupläne!$C$2:$X$231,20,FALSE)),0,VLOOKUP(L138,Baupläne!$C$2:$X$231,20,FALSE))</f>
        <v>4400</v>
      </c>
      <c r="T138" s="12">
        <f>IF(ISERROR(VLOOKUP(N138,Baupläne!$C$2:$X$231,20,FALSE)),0,VLOOKUP(N138,Baupläne!$C$2:$X$231,20,FALSE))</f>
        <v>6400</v>
      </c>
      <c r="U138" s="631">
        <f>IF(ISERROR(VLOOKUP(P138,Baupläne!$C$2:$X$231,20,FALSE)),0,VLOOKUP(P138,Baupläne!$C$2:$X$231,20,FALSE))</f>
        <v>3600</v>
      </c>
      <c r="V138" s="632">
        <f t="shared" si="4"/>
        <v>27600</v>
      </c>
    </row>
    <row r="139" spans="1:22" x14ac:dyDescent="0.2">
      <c r="A139" s="627">
        <v>493</v>
      </c>
      <c r="B139" s="628" t="s">
        <v>1089</v>
      </c>
      <c r="C139" s="3" t="s">
        <v>292</v>
      </c>
      <c r="E139" s="3">
        <v>360</v>
      </c>
      <c r="F139" s="629">
        <v>1600</v>
      </c>
      <c r="G139" s="416">
        <v>492</v>
      </c>
      <c r="H139" s="629">
        <v>0</v>
      </c>
      <c r="I139" s="416">
        <v>1</v>
      </c>
      <c r="J139" s="627" t="s">
        <v>225</v>
      </c>
      <c r="K139" s="629">
        <v>2</v>
      </c>
      <c r="L139" s="627" t="s">
        <v>226</v>
      </c>
      <c r="M139" s="629">
        <v>1</v>
      </c>
      <c r="N139" s="627" t="s">
        <v>227</v>
      </c>
      <c r="O139" s="629">
        <v>2</v>
      </c>
      <c r="P139" s="627" t="s">
        <v>228</v>
      </c>
      <c r="Q139" s="417">
        <v>80</v>
      </c>
      <c r="R139" s="630">
        <f>IF(ISERROR(VLOOKUP(J139,Baupläne!$C$2:$X$231,20,FALSE)),0,VLOOKUP(J139,Baupläne!$C$2:$X$231,20,FALSE))</f>
        <v>10400</v>
      </c>
      <c r="S139" s="12">
        <f>IF(ISERROR(VLOOKUP(L139,Baupläne!$C$2:$X$231,20,FALSE)),0,VLOOKUP(L139,Baupläne!$C$2:$X$231,20,FALSE))</f>
        <v>8800</v>
      </c>
      <c r="T139" s="12">
        <f>IF(ISERROR(VLOOKUP(N139,Baupläne!$C$2:$X$231,20,FALSE)),0,VLOOKUP(N139,Baupläne!$C$2:$X$231,20,FALSE))</f>
        <v>12800</v>
      </c>
      <c r="U139" s="631">
        <f>IF(ISERROR(VLOOKUP(P139,Baupläne!$C$2:$X$231,20,FALSE)),0,VLOOKUP(P139,Baupläne!$C$2:$X$231,20,FALSE))</f>
        <v>7200</v>
      </c>
      <c r="V139" s="632">
        <f t="shared" si="4"/>
        <v>55200</v>
      </c>
    </row>
    <row r="140" spans="1:22" x14ac:dyDescent="0.2">
      <c r="A140" s="627">
        <v>494</v>
      </c>
      <c r="B140" s="628" t="s">
        <v>1090</v>
      </c>
      <c r="C140" s="3" t="s">
        <v>292</v>
      </c>
      <c r="E140" s="3">
        <v>480</v>
      </c>
      <c r="F140" s="629">
        <v>2000</v>
      </c>
      <c r="G140" s="416">
        <v>493</v>
      </c>
      <c r="H140" s="629">
        <v>0</v>
      </c>
      <c r="I140" s="416">
        <v>1</v>
      </c>
      <c r="J140" s="627" t="s">
        <v>229</v>
      </c>
      <c r="K140" s="629">
        <v>2</v>
      </c>
      <c r="L140" s="627" t="s">
        <v>230</v>
      </c>
      <c r="M140" s="629">
        <v>1</v>
      </c>
      <c r="N140" s="627" t="s">
        <v>231</v>
      </c>
      <c r="O140" s="629">
        <v>2</v>
      </c>
      <c r="P140" s="627" t="s">
        <v>232</v>
      </c>
      <c r="Q140" s="417">
        <v>160</v>
      </c>
      <c r="R140" s="630">
        <f>IF(ISERROR(VLOOKUP(J140,Baupläne!$C$2:$X$231,20,FALSE)),0,VLOOKUP(J140,Baupläne!$C$2:$X$231,20,FALSE))</f>
        <v>20800</v>
      </c>
      <c r="S140" s="12">
        <f>IF(ISERROR(VLOOKUP(L140,Baupläne!$C$2:$X$231,20,FALSE)),0,VLOOKUP(L140,Baupläne!$C$2:$X$231,20,FALSE))</f>
        <v>17600</v>
      </c>
      <c r="T140" s="12">
        <f>IF(ISERROR(VLOOKUP(N140,Baupläne!$C$2:$X$231,20,FALSE)),0,VLOOKUP(N140,Baupläne!$C$2:$X$231,20,FALSE))</f>
        <v>25600</v>
      </c>
      <c r="U140" s="631">
        <f>IF(ISERROR(VLOOKUP(P140,Baupläne!$C$2:$X$231,20,FALSE)),0,VLOOKUP(P140,Baupläne!$C$2:$X$231,20,FALSE))</f>
        <v>14400</v>
      </c>
      <c r="V140" s="632">
        <f t="shared" si="4"/>
        <v>110400</v>
      </c>
    </row>
    <row r="141" spans="1:22" x14ac:dyDescent="0.2">
      <c r="A141" s="627">
        <v>495</v>
      </c>
      <c r="B141" s="628" t="s">
        <v>1091</v>
      </c>
      <c r="C141" s="3" t="s">
        <v>292</v>
      </c>
      <c r="E141" s="3">
        <v>600</v>
      </c>
      <c r="F141" s="629">
        <v>2400</v>
      </c>
      <c r="G141" s="416">
        <v>494</v>
      </c>
      <c r="H141" s="629">
        <v>0</v>
      </c>
      <c r="I141" s="416">
        <v>1</v>
      </c>
      <c r="J141" s="1" t="s">
        <v>233</v>
      </c>
      <c r="K141" s="6">
        <v>2</v>
      </c>
      <c r="L141" s="1" t="s">
        <v>234</v>
      </c>
      <c r="M141" s="6">
        <v>1</v>
      </c>
      <c r="N141" s="1" t="s">
        <v>235</v>
      </c>
      <c r="O141" s="6">
        <v>2</v>
      </c>
      <c r="P141" s="627" t="s">
        <v>236</v>
      </c>
      <c r="Q141" s="417">
        <v>320</v>
      </c>
      <c r="R141" s="630">
        <f>IF(ISERROR(VLOOKUP(J141,Baupläne!$C$2:$X$231,20,FALSE)),0,VLOOKUP(J141,Baupläne!$C$2:$X$231,20,FALSE))</f>
        <v>41600</v>
      </c>
      <c r="S141" s="12">
        <f>IF(ISERROR(VLOOKUP(L141,Baupläne!$C$2:$X$231,20,FALSE)),0,VLOOKUP(L141,Baupläne!$C$2:$X$231,20,FALSE))</f>
        <v>35200</v>
      </c>
      <c r="T141" s="12">
        <f>IF(ISERROR(VLOOKUP(N141,Baupläne!$C$2:$X$231,20,FALSE)),0,VLOOKUP(N141,Baupläne!$C$2:$X$231,20,FALSE))</f>
        <v>51200</v>
      </c>
      <c r="U141" s="631">
        <f>IF(ISERROR(VLOOKUP(P141,Baupläne!$C$2:$X$231,20,FALSE)),0,VLOOKUP(P141,Baupläne!$C$2:$X$231,20,FALSE))</f>
        <v>28800</v>
      </c>
      <c r="V141" s="632">
        <f t="shared" si="4"/>
        <v>220800</v>
      </c>
    </row>
    <row r="142" spans="1:22" x14ac:dyDescent="0.2">
      <c r="A142" s="627">
        <v>496</v>
      </c>
      <c r="B142" s="628" t="s">
        <v>1256</v>
      </c>
      <c r="C142" s="3" t="s">
        <v>292</v>
      </c>
      <c r="E142" s="3">
        <v>1500</v>
      </c>
      <c r="F142" s="629">
        <v>2800</v>
      </c>
      <c r="G142" s="416">
        <v>495</v>
      </c>
      <c r="H142" s="629">
        <v>1</v>
      </c>
      <c r="I142" s="416">
        <f>I141*2</f>
        <v>2</v>
      </c>
      <c r="J142" s="1" t="s">
        <v>233</v>
      </c>
      <c r="K142" s="6">
        <f>K141*2</f>
        <v>4</v>
      </c>
      <c r="L142" s="1" t="s">
        <v>234</v>
      </c>
      <c r="M142" s="6">
        <f>M141*2</f>
        <v>2</v>
      </c>
      <c r="N142" s="1" t="s">
        <v>235</v>
      </c>
      <c r="O142" s="6">
        <f>O141*2</f>
        <v>4</v>
      </c>
      <c r="P142" s="790" t="s">
        <v>236</v>
      </c>
      <c r="Q142" s="6">
        <f>Q141*2</f>
        <v>640</v>
      </c>
      <c r="R142" s="630">
        <f>IF(ISERROR(VLOOKUP(J142,Baupläne!$C$2:$X$231,20,FALSE)),0,VLOOKUP(J142,Baupläne!$C$2:$X$231,20,FALSE))</f>
        <v>41600</v>
      </c>
      <c r="S142" s="12">
        <f>IF(ISERROR(VLOOKUP(L142,Baupläne!$C$2:$X$231,20,FALSE)),0,VLOOKUP(L142,Baupläne!$C$2:$X$231,20,FALSE))</f>
        <v>35200</v>
      </c>
      <c r="T142" s="12">
        <f>IF(ISERROR(VLOOKUP(N142,Baupläne!$C$2:$X$231,20,FALSE)),0,VLOOKUP(N142,Baupläne!$C$2:$X$231,20,FALSE))</f>
        <v>51200</v>
      </c>
      <c r="U142" s="631">
        <f>IF(ISERROR(VLOOKUP(P142,Baupläne!$C$2:$X$231,20,FALSE)),0,VLOOKUP(P142,Baupläne!$C$2:$X$231,20,FALSE))</f>
        <v>28800</v>
      </c>
      <c r="V142" s="632">
        <f>(R142*I142)+(S142*K142)+(M142*T142)+(O142*U142)</f>
        <v>441600</v>
      </c>
    </row>
    <row r="143" spans="1:22" x14ac:dyDescent="0.2">
      <c r="A143" s="627">
        <v>497</v>
      </c>
      <c r="B143" s="628" t="s">
        <v>1257</v>
      </c>
      <c r="C143" s="3" t="s">
        <v>292</v>
      </c>
      <c r="E143" s="3">
        <v>3000</v>
      </c>
      <c r="F143" s="629">
        <v>3200</v>
      </c>
      <c r="G143" s="416">
        <v>496</v>
      </c>
      <c r="H143" s="629">
        <v>1</v>
      </c>
      <c r="I143" s="416">
        <f t="shared" ref="I143:Q145" si="5">I142*2</f>
        <v>4</v>
      </c>
      <c r="J143" s="1" t="s">
        <v>233</v>
      </c>
      <c r="K143" s="6">
        <f t="shared" si="5"/>
        <v>8</v>
      </c>
      <c r="L143" s="1" t="s">
        <v>234</v>
      </c>
      <c r="M143" s="6">
        <f t="shared" si="5"/>
        <v>4</v>
      </c>
      <c r="N143" s="1" t="s">
        <v>235</v>
      </c>
      <c r="O143" s="6">
        <f t="shared" si="5"/>
        <v>8</v>
      </c>
      <c r="P143" s="790" t="s">
        <v>236</v>
      </c>
      <c r="Q143" s="6">
        <f t="shared" si="5"/>
        <v>1280</v>
      </c>
      <c r="R143" s="630">
        <f>IF(ISERROR(VLOOKUP(J143,Baupläne!$C$2:$X$231,20,FALSE)),0,VLOOKUP(J143,Baupläne!$C$2:$X$231,20,FALSE))</f>
        <v>41600</v>
      </c>
      <c r="S143" s="12">
        <f>IF(ISERROR(VLOOKUP(L143,Baupläne!$C$2:$X$231,20,FALSE)),0,VLOOKUP(L143,Baupläne!$C$2:$X$231,20,FALSE))</f>
        <v>35200</v>
      </c>
      <c r="T143" s="12">
        <f>IF(ISERROR(VLOOKUP(N143,Baupläne!$C$2:$X$231,20,FALSE)),0,VLOOKUP(N143,Baupläne!$C$2:$X$231,20,FALSE))</f>
        <v>51200</v>
      </c>
      <c r="U143" s="631">
        <f>IF(ISERROR(VLOOKUP(P143,Baupläne!$C$2:$X$231,20,FALSE)),0,VLOOKUP(P143,Baupläne!$C$2:$X$231,20,FALSE))</f>
        <v>28800</v>
      </c>
      <c r="V143" s="632">
        <f>(R143*I143)+(S143*K143)+(M143*T143)+(O143*U143)</f>
        <v>883200</v>
      </c>
    </row>
    <row r="144" spans="1:22" x14ac:dyDescent="0.2">
      <c r="A144" s="627">
        <v>498</v>
      </c>
      <c r="B144" s="628" t="s">
        <v>1258</v>
      </c>
      <c r="C144" s="3" t="s">
        <v>292</v>
      </c>
      <c r="E144" s="3">
        <v>6000</v>
      </c>
      <c r="F144" s="629">
        <v>3600</v>
      </c>
      <c r="G144" s="416">
        <v>497</v>
      </c>
      <c r="H144" s="629">
        <v>1</v>
      </c>
      <c r="I144" s="416">
        <f t="shared" si="5"/>
        <v>8</v>
      </c>
      <c r="J144" s="1" t="s">
        <v>233</v>
      </c>
      <c r="K144" s="6">
        <f t="shared" si="5"/>
        <v>16</v>
      </c>
      <c r="L144" s="1" t="s">
        <v>234</v>
      </c>
      <c r="M144" s="6">
        <f t="shared" si="5"/>
        <v>8</v>
      </c>
      <c r="N144" s="1" t="s">
        <v>235</v>
      </c>
      <c r="O144" s="6">
        <f t="shared" si="5"/>
        <v>16</v>
      </c>
      <c r="P144" s="790" t="s">
        <v>236</v>
      </c>
      <c r="Q144" s="6">
        <f t="shared" si="5"/>
        <v>2560</v>
      </c>
      <c r="R144" s="630">
        <f>IF(ISERROR(VLOOKUP(J144,Baupläne!$C$2:$X$231,20,FALSE)),0,VLOOKUP(J144,Baupläne!$C$2:$X$231,20,FALSE))</f>
        <v>41600</v>
      </c>
      <c r="S144" s="12">
        <f>IF(ISERROR(VLOOKUP(L144,Baupläne!$C$2:$X$231,20,FALSE)),0,VLOOKUP(L144,Baupläne!$C$2:$X$231,20,FALSE))</f>
        <v>35200</v>
      </c>
      <c r="T144" s="12">
        <f>IF(ISERROR(VLOOKUP(N144,Baupläne!$C$2:$X$231,20,FALSE)),0,VLOOKUP(N144,Baupläne!$C$2:$X$231,20,FALSE))</f>
        <v>51200</v>
      </c>
      <c r="U144" s="631">
        <f>IF(ISERROR(VLOOKUP(P144,Baupläne!$C$2:$X$231,20,FALSE)),0,VLOOKUP(P144,Baupläne!$C$2:$X$231,20,FALSE))</f>
        <v>28800</v>
      </c>
      <c r="V144" s="632">
        <f>(R144*I144)+(S144*K144)+(M144*T144)+(O144*U144)</f>
        <v>1766400</v>
      </c>
    </row>
    <row r="145" spans="1:22" x14ac:dyDescent="0.2">
      <c r="A145" s="627">
        <v>499</v>
      </c>
      <c r="B145" s="628" t="s">
        <v>1259</v>
      </c>
      <c r="C145" s="3" t="s">
        <v>292</v>
      </c>
      <c r="E145" s="3">
        <v>12000</v>
      </c>
      <c r="F145" s="629">
        <v>4000</v>
      </c>
      <c r="G145" s="416">
        <v>498</v>
      </c>
      <c r="H145" s="629">
        <v>1</v>
      </c>
      <c r="I145" s="416">
        <f t="shared" si="5"/>
        <v>16</v>
      </c>
      <c r="J145" s="1" t="s">
        <v>233</v>
      </c>
      <c r="K145" s="6">
        <f t="shared" si="5"/>
        <v>32</v>
      </c>
      <c r="L145" s="1" t="s">
        <v>234</v>
      </c>
      <c r="M145" s="6">
        <f t="shared" si="5"/>
        <v>16</v>
      </c>
      <c r="N145" s="1" t="s">
        <v>235</v>
      </c>
      <c r="O145" s="6">
        <f t="shared" si="5"/>
        <v>32</v>
      </c>
      <c r="P145" s="790" t="s">
        <v>236</v>
      </c>
      <c r="Q145" s="6">
        <f t="shared" si="5"/>
        <v>5120</v>
      </c>
      <c r="R145" s="630">
        <f>IF(ISERROR(VLOOKUP(J145,Baupläne!$C$2:$X$231,20,FALSE)),0,VLOOKUP(J145,Baupläne!$C$2:$X$231,20,FALSE))</f>
        <v>41600</v>
      </c>
      <c r="S145" s="12">
        <f>IF(ISERROR(VLOOKUP(L145,Baupläne!$C$2:$X$231,20,FALSE)),0,VLOOKUP(L145,Baupläne!$C$2:$X$231,20,FALSE))</f>
        <v>35200</v>
      </c>
      <c r="T145" s="12">
        <f>IF(ISERROR(VLOOKUP(N145,Baupläne!$C$2:$X$231,20,FALSE)),0,VLOOKUP(N145,Baupläne!$C$2:$X$231,20,FALSE))</f>
        <v>51200</v>
      </c>
      <c r="U145" s="631">
        <f>IF(ISERROR(VLOOKUP(P145,Baupläne!$C$2:$X$231,20,FALSE)),0,VLOOKUP(P145,Baupläne!$C$2:$X$231,20,FALSE))</f>
        <v>28800</v>
      </c>
      <c r="V145" s="632">
        <f>(R145*I145)+(S145*K145)+(M145*T145)+(O145*U145)</f>
        <v>3532800</v>
      </c>
    </row>
    <row r="146" spans="1:22" x14ac:dyDescent="0.2">
      <c r="J146" s="1"/>
      <c r="K146" s="6"/>
      <c r="L146" s="1"/>
      <c r="M146" s="6"/>
      <c r="N146" s="1"/>
      <c r="O146" s="6"/>
    </row>
    <row r="147" spans="1:22" x14ac:dyDescent="0.2">
      <c r="A147" s="627">
        <v>511</v>
      </c>
      <c r="B147" s="628" t="s">
        <v>1260</v>
      </c>
      <c r="C147" s="3" t="s">
        <v>292</v>
      </c>
      <c r="D147" s="3"/>
      <c r="E147" s="3">
        <v>60</v>
      </c>
      <c r="F147" s="629">
        <v>400</v>
      </c>
      <c r="G147" s="416">
        <v>0</v>
      </c>
      <c r="H147" s="629">
        <v>0</v>
      </c>
      <c r="I147" s="416">
        <v>1</v>
      </c>
      <c r="J147" s="627" t="s">
        <v>217</v>
      </c>
      <c r="K147" s="629">
        <v>1</v>
      </c>
      <c r="L147" s="627" t="s">
        <v>218</v>
      </c>
      <c r="M147" s="629">
        <v>1</v>
      </c>
      <c r="N147" s="627" t="s">
        <v>219</v>
      </c>
      <c r="O147" s="629">
        <v>0</v>
      </c>
      <c r="P147" s="627" t="s">
        <v>220</v>
      </c>
      <c r="Q147" s="417">
        <v>10</v>
      </c>
      <c r="R147" s="630">
        <f>IF(ISERROR(VLOOKUP(J147,Baupläne!$C$2:$X$231,20,FALSE)),0,VLOOKUP(J147,Baupläne!$C$2:$X$231,20,FALSE))</f>
        <v>2600</v>
      </c>
      <c r="S147" s="12">
        <f>IF(ISERROR(VLOOKUP(L147,Baupläne!$C$2:$X$231,20,FALSE)),0,VLOOKUP(L147,Baupläne!$C$2:$X$231,20,FALSE))</f>
        <v>2200</v>
      </c>
      <c r="T147" s="12">
        <f>IF(ISERROR(VLOOKUP(N147,Baupläne!$C$2:$X$231,20,FALSE)),0,VLOOKUP(N147,Baupläne!$C$2:$X$231,20,FALSE))</f>
        <v>3200</v>
      </c>
      <c r="U147" s="631">
        <f>IF(ISERROR(VLOOKUP(P147,Baupläne!$C$2:$X$231,20,FALSE)),0,VLOOKUP(P147,Baupläne!$C$2:$X$231,20,FALSE))</f>
        <v>1800</v>
      </c>
      <c r="V147" s="632">
        <f>(R147*I147)+(S147*K147)+(M147*T147)+(O147*U147)</f>
        <v>8000</v>
      </c>
    </row>
    <row r="148" spans="1:22" x14ac:dyDescent="0.2">
      <c r="A148" s="627">
        <v>512</v>
      </c>
      <c r="B148" s="628" t="s">
        <v>1261</v>
      </c>
      <c r="C148" s="3" t="s">
        <v>292</v>
      </c>
      <c r="D148" s="3"/>
      <c r="E148" s="3">
        <v>120</v>
      </c>
      <c r="F148" s="629">
        <v>600</v>
      </c>
      <c r="G148" s="416">
        <f>A147</f>
        <v>511</v>
      </c>
      <c r="H148" s="629">
        <v>0</v>
      </c>
      <c r="I148" s="416">
        <v>1</v>
      </c>
      <c r="J148" s="627" t="s">
        <v>221</v>
      </c>
      <c r="K148" s="629">
        <v>1</v>
      </c>
      <c r="L148" s="627" t="s">
        <v>222</v>
      </c>
      <c r="M148" s="629">
        <v>1</v>
      </c>
      <c r="N148" s="627" t="s">
        <v>223</v>
      </c>
      <c r="O148" s="629">
        <v>0</v>
      </c>
      <c r="P148" s="627" t="s">
        <v>224</v>
      </c>
      <c r="Q148" s="417">
        <v>20</v>
      </c>
      <c r="R148" s="630">
        <f>IF(ISERROR(VLOOKUP(J148,Baupläne!$C$2:$X$231,20,FALSE)),0,VLOOKUP(J148,Baupläne!$C$2:$X$231,20,FALSE))</f>
        <v>5200</v>
      </c>
      <c r="S148" s="12">
        <f>IF(ISERROR(VLOOKUP(L148,Baupläne!$C$2:$X$231,20,FALSE)),0,VLOOKUP(L148,Baupläne!$C$2:$X$231,20,FALSE))</f>
        <v>4400</v>
      </c>
      <c r="T148" s="12">
        <f>IF(ISERROR(VLOOKUP(N148,Baupläne!$C$2:$X$231,20,FALSE)),0,VLOOKUP(N148,Baupläne!$C$2:$X$231,20,FALSE))</f>
        <v>6400</v>
      </c>
      <c r="U148" s="631">
        <f>IF(ISERROR(VLOOKUP(P148,Baupläne!$C$2:$X$231,20,FALSE)),0,VLOOKUP(P148,Baupläne!$C$2:$X$231,20,FALSE))</f>
        <v>3600</v>
      </c>
      <c r="V148" s="632">
        <f>(R148*I148)+(S148*K148)+(M148*T148)+(O148*U148)</f>
        <v>16000</v>
      </c>
    </row>
    <row r="149" spans="1:22" x14ac:dyDescent="0.2">
      <c r="A149" s="627">
        <v>513</v>
      </c>
      <c r="B149" s="628" t="s">
        <v>1262</v>
      </c>
      <c r="C149" s="3" t="s">
        <v>292</v>
      </c>
      <c r="D149" s="3"/>
      <c r="E149" s="3">
        <v>180</v>
      </c>
      <c r="F149" s="629">
        <v>800</v>
      </c>
      <c r="G149" s="416">
        <f>A148</f>
        <v>512</v>
      </c>
      <c r="H149" s="629">
        <v>1</v>
      </c>
      <c r="I149" s="416">
        <v>1</v>
      </c>
      <c r="J149" s="627" t="s">
        <v>225</v>
      </c>
      <c r="K149" s="629">
        <v>1</v>
      </c>
      <c r="L149" s="627" t="s">
        <v>226</v>
      </c>
      <c r="M149" s="629">
        <v>1</v>
      </c>
      <c r="N149" s="627" t="s">
        <v>227</v>
      </c>
      <c r="O149" s="629">
        <v>0</v>
      </c>
      <c r="P149" s="627" t="s">
        <v>228</v>
      </c>
      <c r="Q149" s="417">
        <v>40</v>
      </c>
      <c r="R149" s="630">
        <f>IF(ISERROR(VLOOKUP(J149,Baupläne!$C$2:$X$231,20,FALSE)),0,VLOOKUP(J149,Baupläne!$C$2:$X$231,20,FALSE))</f>
        <v>10400</v>
      </c>
      <c r="S149" s="12">
        <f>IF(ISERROR(VLOOKUP(L149,Baupläne!$C$2:$X$231,20,FALSE)),0,VLOOKUP(L149,Baupläne!$C$2:$X$231,20,FALSE))</f>
        <v>8800</v>
      </c>
      <c r="T149" s="12">
        <f>IF(ISERROR(VLOOKUP(N149,Baupläne!$C$2:$X$231,20,FALSE)),0,VLOOKUP(N149,Baupläne!$C$2:$X$231,20,FALSE))</f>
        <v>12800</v>
      </c>
      <c r="U149" s="631">
        <f>IF(ISERROR(VLOOKUP(P149,Baupläne!$C$2:$X$231,20,FALSE)),0,VLOOKUP(P149,Baupläne!$C$2:$X$231,20,FALSE))</f>
        <v>7200</v>
      </c>
      <c r="V149" s="632">
        <f>(R149*I149)+(S149*K149)+(M149*T149)+(O149*U149)</f>
        <v>32000</v>
      </c>
    </row>
    <row r="150" spans="1:22" x14ac:dyDescent="0.2">
      <c r="A150" s="627">
        <v>514</v>
      </c>
      <c r="B150" s="628" t="s">
        <v>1263</v>
      </c>
      <c r="C150" s="3" t="s">
        <v>292</v>
      </c>
      <c r="D150" s="3"/>
      <c r="E150" s="3">
        <v>240</v>
      </c>
      <c r="F150" s="629">
        <v>1000</v>
      </c>
      <c r="G150" s="416">
        <f>A149</f>
        <v>513</v>
      </c>
      <c r="H150" s="629">
        <v>1</v>
      </c>
      <c r="I150" s="416">
        <v>1</v>
      </c>
      <c r="J150" s="627" t="s">
        <v>229</v>
      </c>
      <c r="K150" s="629">
        <v>1</v>
      </c>
      <c r="L150" s="627" t="s">
        <v>230</v>
      </c>
      <c r="M150" s="629">
        <v>1</v>
      </c>
      <c r="N150" s="627" t="s">
        <v>231</v>
      </c>
      <c r="O150" s="629">
        <v>0</v>
      </c>
      <c r="P150" s="627" t="s">
        <v>232</v>
      </c>
      <c r="Q150" s="417">
        <v>80</v>
      </c>
      <c r="R150" s="630">
        <f>IF(ISERROR(VLOOKUP(J150,Baupläne!$C$2:$X$231,20,FALSE)),0,VLOOKUP(J150,Baupläne!$C$2:$X$231,20,FALSE))</f>
        <v>20800</v>
      </c>
      <c r="S150" s="12">
        <f>IF(ISERROR(VLOOKUP(L150,Baupläne!$C$2:$X$231,20,FALSE)),0,VLOOKUP(L150,Baupläne!$C$2:$X$231,20,FALSE))</f>
        <v>17600</v>
      </c>
      <c r="T150" s="12">
        <f>IF(ISERROR(VLOOKUP(N150,Baupläne!$C$2:$X$231,20,FALSE)),0,VLOOKUP(N150,Baupläne!$C$2:$X$231,20,FALSE))</f>
        <v>25600</v>
      </c>
      <c r="U150" s="631">
        <f>IF(ISERROR(VLOOKUP(P150,Baupläne!$C$2:$X$231,20,FALSE)),0,VLOOKUP(P150,Baupläne!$C$2:$X$231,20,FALSE))</f>
        <v>14400</v>
      </c>
      <c r="V150" s="632">
        <f>(R150*I150)+(S150*K150)+(M150*T150)+(O150*U150)</f>
        <v>64000</v>
      </c>
    </row>
    <row r="151" spans="1:22" x14ac:dyDescent="0.2">
      <c r="A151" s="627">
        <v>515</v>
      </c>
      <c r="B151" s="628" t="s">
        <v>1264</v>
      </c>
      <c r="C151" s="1" t="s">
        <v>292</v>
      </c>
      <c r="E151" s="3">
        <v>300</v>
      </c>
      <c r="F151" s="629">
        <v>1200</v>
      </c>
      <c r="G151" s="416">
        <f>A150</f>
        <v>514</v>
      </c>
      <c r="H151" s="629">
        <v>1</v>
      </c>
      <c r="I151" s="416">
        <v>1</v>
      </c>
      <c r="J151" s="627" t="s">
        <v>233</v>
      </c>
      <c r="K151" s="629">
        <v>1</v>
      </c>
      <c r="L151" s="627" t="s">
        <v>234</v>
      </c>
      <c r="M151" s="629">
        <v>1</v>
      </c>
      <c r="N151" s="627" t="s">
        <v>235</v>
      </c>
      <c r="O151" s="629">
        <v>0</v>
      </c>
      <c r="P151" s="627" t="s">
        <v>236</v>
      </c>
      <c r="Q151" s="417">
        <v>160</v>
      </c>
      <c r="R151" s="630">
        <f>IF(ISERROR(VLOOKUP(J151,Baupläne!$C$2:$X$231,20,FALSE)),0,VLOOKUP(J151,Baupläne!$C$2:$X$231,20,FALSE))</f>
        <v>41600</v>
      </c>
      <c r="S151" s="12">
        <f>IF(ISERROR(VLOOKUP(L151,Baupläne!$C$2:$X$231,20,FALSE)),0,VLOOKUP(L151,Baupläne!$C$2:$X$231,20,FALSE))</f>
        <v>35200</v>
      </c>
      <c r="T151" s="12">
        <f>IF(ISERROR(VLOOKUP(N151,Baupläne!$C$2:$X$231,20,FALSE)),0,VLOOKUP(N151,Baupläne!$C$2:$X$231,20,FALSE))</f>
        <v>51200</v>
      </c>
      <c r="U151" s="631">
        <f>IF(ISERROR(VLOOKUP(P151,Baupläne!$C$2:$X$231,20,FALSE)),0,VLOOKUP(P151,Baupläne!$C$2:$X$231,20,FALSE))</f>
        <v>28800</v>
      </c>
      <c r="V151" s="632">
        <f>(R151*I151)+(S151*K151)+(M151*T151)+(O151*U151)</f>
        <v>128000</v>
      </c>
    </row>
  </sheetData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J115"/>
  <sheetViews>
    <sheetView topLeftCell="A58" zoomScale="75" zoomScaleNormal="75" workbookViewId="0">
      <selection activeCell="F101" sqref="F101"/>
    </sheetView>
  </sheetViews>
  <sheetFormatPr baseColWidth="10" defaultColWidth="12.140625" defaultRowHeight="12.75" x14ac:dyDescent="0.2"/>
  <cols>
    <col min="1" max="1" width="18.85546875" style="1" customWidth="1"/>
    <col min="2" max="2" width="18.28515625" style="1" customWidth="1"/>
    <col min="3" max="3" width="23.85546875" style="1" customWidth="1"/>
    <col min="4" max="4" width="22.7109375" style="1" customWidth="1"/>
    <col min="5" max="5" width="22" style="1" customWidth="1"/>
    <col min="6" max="6" width="29.5703125" style="1" customWidth="1"/>
    <col min="7" max="7" width="18.28515625" style="1" customWidth="1"/>
    <col min="8" max="8" width="13.85546875" style="1" customWidth="1"/>
    <col min="9" max="9" width="15" style="1" customWidth="1"/>
    <col min="10" max="10" width="17.140625" style="1" customWidth="1"/>
    <col min="11" max="16384" width="12.140625" style="1"/>
  </cols>
  <sheetData>
    <row r="1" spans="1:10" x14ac:dyDescent="0.2">
      <c r="A1" s="644"/>
      <c r="B1" s="645"/>
      <c r="C1" s="646" t="s">
        <v>1092</v>
      </c>
      <c r="D1" s="647" t="s">
        <v>1093</v>
      </c>
      <c r="E1" s="645"/>
      <c r="F1" s="648" t="s">
        <v>1094</v>
      </c>
      <c r="G1" s="866" t="s">
        <v>1095</v>
      </c>
      <c r="H1" s="866"/>
      <c r="I1" s="866"/>
    </row>
    <row r="2" spans="1:10" x14ac:dyDescent="0.2">
      <c r="A2" s="649" t="s">
        <v>1096</v>
      </c>
      <c r="B2" s="650" t="s">
        <v>1097</v>
      </c>
      <c r="C2" s="651" t="s">
        <v>1098</v>
      </c>
      <c r="D2" s="652" t="s">
        <v>1099</v>
      </c>
      <c r="E2" s="650"/>
      <c r="F2" s="652" t="s">
        <v>1100</v>
      </c>
      <c r="G2" s="648" t="s">
        <v>1265</v>
      </c>
      <c r="H2" s="648" t="s">
        <v>1101</v>
      </c>
      <c r="I2" s="648" t="s">
        <v>1102</v>
      </c>
      <c r="J2" s="648" t="s">
        <v>1103</v>
      </c>
    </row>
    <row r="3" spans="1:10" x14ac:dyDescent="0.2">
      <c r="A3" s="653">
        <v>1</v>
      </c>
      <c r="B3" s="654">
        <f>(120+(20*A3))*(1.2+(0.02*A3))</f>
        <v>170.79999999999998</v>
      </c>
      <c r="C3" s="655">
        <f t="shared" ref="C3:C32" si="0">B3/9</f>
        <v>18.977777777777774</v>
      </c>
      <c r="D3" s="656">
        <f>0.15*C3</f>
        <v>2.8466666666666662</v>
      </c>
      <c r="E3" s="655"/>
      <c r="F3" s="683">
        <f>(C3/0.95)/0.8</f>
        <v>24.970760233918121</v>
      </c>
      <c r="G3" s="791">
        <f>F3+D3</f>
        <v>27.817426900584788</v>
      </c>
      <c r="H3" s="657">
        <f t="shared" ref="H3:H32" si="1">(F3/2)+D3</f>
        <v>15.332046783625726</v>
      </c>
      <c r="I3" s="657">
        <f t="shared" ref="I3:I32" si="2">(F3/2.8)+D3</f>
        <v>11.764795321637424</v>
      </c>
      <c r="J3" s="658">
        <f t="shared" ref="J3:J32" si="3">(F3/3.6)+D3</f>
        <v>9.7829889538661448</v>
      </c>
    </row>
    <row r="4" spans="1:10" x14ac:dyDescent="0.2">
      <c r="A4" s="659">
        <f t="shared" ref="A4:A27" si="4">A3+1</f>
        <v>2</v>
      </c>
      <c r="B4" s="660">
        <f t="shared" ref="B4:B32" si="5">(120+(20*A4))*(1.2+(0.02*A4))</f>
        <v>198.4</v>
      </c>
      <c r="C4" s="661">
        <f t="shared" si="0"/>
        <v>22.044444444444444</v>
      </c>
      <c r="D4" s="662">
        <f t="shared" ref="D4:D32" si="6">0.15*C4</f>
        <v>3.3066666666666666</v>
      </c>
      <c r="E4" s="661"/>
      <c r="F4" s="665">
        <f t="shared" ref="F4:F27" si="7">(C4/0.95)/0.8</f>
        <v>29.005847953216374</v>
      </c>
      <c r="G4" s="792">
        <f t="shared" ref="G4:G32" si="8">F4+D4</f>
        <v>32.312514619883039</v>
      </c>
      <c r="H4" s="663">
        <f t="shared" si="1"/>
        <v>17.809590643274852</v>
      </c>
      <c r="I4" s="663">
        <f t="shared" si="2"/>
        <v>13.665898078529658</v>
      </c>
      <c r="J4" s="664">
        <f t="shared" si="3"/>
        <v>11.363846653671215</v>
      </c>
    </row>
    <row r="5" spans="1:10" x14ac:dyDescent="0.2">
      <c r="A5" s="659">
        <f t="shared" si="4"/>
        <v>3</v>
      </c>
      <c r="B5" s="660">
        <f t="shared" si="5"/>
        <v>226.8</v>
      </c>
      <c r="C5" s="661">
        <f t="shared" si="0"/>
        <v>25.200000000000003</v>
      </c>
      <c r="D5" s="662">
        <f t="shared" si="6"/>
        <v>3.7800000000000002</v>
      </c>
      <c r="E5" s="661"/>
      <c r="F5" s="665">
        <f t="shared" si="7"/>
        <v>33.15789473684211</v>
      </c>
      <c r="G5" s="792">
        <f t="shared" si="8"/>
        <v>36.937894736842111</v>
      </c>
      <c r="H5" s="663">
        <f t="shared" si="1"/>
        <v>20.358947368421056</v>
      </c>
      <c r="I5" s="663">
        <f t="shared" si="2"/>
        <v>15.622105263157898</v>
      </c>
      <c r="J5" s="664">
        <f t="shared" si="3"/>
        <v>12.990526315789474</v>
      </c>
    </row>
    <row r="6" spans="1:10" x14ac:dyDescent="0.2">
      <c r="A6" s="659">
        <f t="shared" si="4"/>
        <v>4</v>
      </c>
      <c r="B6" s="660">
        <f t="shared" si="5"/>
        <v>256</v>
      </c>
      <c r="C6" s="661">
        <f t="shared" si="0"/>
        <v>28.444444444444443</v>
      </c>
      <c r="D6" s="662">
        <f t="shared" si="6"/>
        <v>4.2666666666666666</v>
      </c>
      <c r="E6" s="661"/>
      <c r="F6" s="665">
        <f t="shared" si="7"/>
        <v>37.42690058479532</v>
      </c>
      <c r="G6" s="792">
        <f t="shared" si="8"/>
        <v>41.693567251461985</v>
      </c>
      <c r="H6" s="663">
        <f t="shared" si="1"/>
        <v>22.980116959064325</v>
      </c>
      <c r="I6" s="663">
        <f t="shared" si="2"/>
        <v>17.633416875522137</v>
      </c>
      <c r="J6" s="664">
        <f t="shared" si="3"/>
        <v>14.663027940220921</v>
      </c>
    </row>
    <row r="7" spans="1:10" x14ac:dyDescent="0.2">
      <c r="A7" s="659">
        <f t="shared" si="4"/>
        <v>5</v>
      </c>
      <c r="B7" s="660">
        <f t="shared" si="5"/>
        <v>286</v>
      </c>
      <c r="C7" s="661">
        <f t="shared" si="0"/>
        <v>31.777777777777779</v>
      </c>
      <c r="D7" s="662">
        <f t="shared" si="6"/>
        <v>4.7666666666666666</v>
      </c>
      <c r="E7" s="661"/>
      <c r="F7" s="665">
        <f t="shared" si="7"/>
        <v>41.812865497076025</v>
      </c>
      <c r="G7" s="792">
        <f t="shared" si="8"/>
        <v>46.579532163742691</v>
      </c>
      <c r="H7" s="663">
        <f t="shared" si="1"/>
        <v>25.673099415204678</v>
      </c>
      <c r="I7" s="663">
        <f t="shared" si="2"/>
        <v>19.699832915622391</v>
      </c>
      <c r="J7" s="664">
        <f t="shared" si="3"/>
        <v>16.381351526965563</v>
      </c>
    </row>
    <row r="8" spans="1:10" x14ac:dyDescent="0.2">
      <c r="A8" s="659">
        <f t="shared" si="4"/>
        <v>6</v>
      </c>
      <c r="B8" s="660">
        <f t="shared" si="5"/>
        <v>316.79999999999995</v>
      </c>
      <c r="C8" s="661">
        <f t="shared" si="0"/>
        <v>35.199999999999996</v>
      </c>
      <c r="D8" s="662">
        <f t="shared" si="6"/>
        <v>5.2799999999999994</v>
      </c>
      <c r="E8" s="661"/>
      <c r="F8" s="665">
        <f t="shared" si="7"/>
        <v>46.315789473684198</v>
      </c>
      <c r="G8" s="792">
        <f t="shared" si="8"/>
        <v>51.595789473684199</v>
      </c>
      <c r="H8" s="663">
        <f t="shared" si="1"/>
        <v>28.437894736842097</v>
      </c>
      <c r="I8" s="663">
        <f t="shared" si="2"/>
        <v>21.821353383458643</v>
      </c>
      <c r="J8" s="664">
        <f t="shared" si="3"/>
        <v>18.145497076023389</v>
      </c>
    </row>
    <row r="9" spans="1:10" x14ac:dyDescent="0.2">
      <c r="A9" s="659">
        <f t="shared" si="4"/>
        <v>7</v>
      </c>
      <c r="B9" s="660">
        <f t="shared" si="5"/>
        <v>348.4</v>
      </c>
      <c r="C9" s="661">
        <f t="shared" si="0"/>
        <v>38.711111111111109</v>
      </c>
      <c r="D9" s="662">
        <f t="shared" si="6"/>
        <v>5.8066666666666658</v>
      </c>
      <c r="E9" s="661"/>
      <c r="F9" s="665">
        <f t="shared" si="7"/>
        <v>50.935672514619881</v>
      </c>
      <c r="G9" s="792">
        <f t="shared" si="8"/>
        <v>56.742339181286546</v>
      </c>
      <c r="H9" s="663">
        <f t="shared" si="1"/>
        <v>31.274502923976605</v>
      </c>
      <c r="I9" s="663">
        <f t="shared" si="2"/>
        <v>23.99797827903091</v>
      </c>
      <c r="J9" s="664">
        <f t="shared" si="3"/>
        <v>19.95546458739441</v>
      </c>
    </row>
    <row r="10" spans="1:10" x14ac:dyDescent="0.2">
      <c r="A10" s="659">
        <f t="shared" si="4"/>
        <v>8</v>
      </c>
      <c r="B10" s="660">
        <f t="shared" si="5"/>
        <v>380.79999999999995</v>
      </c>
      <c r="C10" s="661">
        <f t="shared" si="0"/>
        <v>42.311111111111103</v>
      </c>
      <c r="D10" s="662">
        <f t="shared" si="6"/>
        <v>6.3466666666666649</v>
      </c>
      <c r="E10" s="661"/>
      <c r="F10" s="665">
        <f t="shared" si="7"/>
        <v>55.672514619883032</v>
      </c>
      <c r="G10" s="792">
        <f t="shared" si="8"/>
        <v>62.019181286549696</v>
      </c>
      <c r="H10" s="663">
        <f t="shared" si="1"/>
        <v>34.18292397660818</v>
      </c>
      <c r="I10" s="663">
        <f t="shared" si="2"/>
        <v>26.229707602339175</v>
      </c>
      <c r="J10" s="664">
        <f t="shared" si="3"/>
        <v>21.811254061078618</v>
      </c>
    </row>
    <row r="11" spans="1:10" x14ac:dyDescent="0.2">
      <c r="A11" s="659">
        <f t="shared" si="4"/>
        <v>9</v>
      </c>
      <c r="B11" s="660">
        <f t="shared" si="5"/>
        <v>413.99999999999994</v>
      </c>
      <c r="C11" s="661">
        <f t="shared" si="0"/>
        <v>45.999999999999993</v>
      </c>
      <c r="D11" s="662">
        <f t="shared" si="6"/>
        <v>6.8999999999999986</v>
      </c>
      <c r="E11" s="661"/>
      <c r="F11" s="665">
        <f t="shared" si="7"/>
        <v>60.526315789473678</v>
      </c>
      <c r="G11" s="792">
        <f t="shared" si="8"/>
        <v>67.426315789473676</v>
      </c>
      <c r="H11" s="663">
        <f t="shared" si="1"/>
        <v>37.163157894736841</v>
      </c>
      <c r="I11" s="663">
        <f t="shared" si="2"/>
        <v>28.516541353383456</v>
      </c>
      <c r="J11" s="664">
        <f t="shared" si="3"/>
        <v>23.71286549707602</v>
      </c>
    </row>
    <row r="12" spans="1:10" x14ac:dyDescent="0.2">
      <c r="A12" s="659">
        <f t="shared" si="4"/>
        <v>10</v>
      </c>
      <c r="B12" s="660">
        <f t="shared" si="5"/>
        <v>448</v>
      </c>
      <c r="C12" s="661">
        <f t="shared" si="0"/>
        <v>49.777777777777779</v>
      </c>
      <c r="D12" s="662">
        <f t="shared" si="6"/>
        <v>7.4666666666666668</v>
      </c>
      <c r="E12" s="661"/>
      <c r="F12" s="665">
        <f t="shared" si="7"/>
        <v>65.497076023391813</v>
      </c>
      <c r="G12" s="792">
        <f t="shared" si="8"/>
        <v>72.963742690058481</v>
      </c>
      <c r="H12" s="663">
        <f t="shared" si="1"/>
        <v>40.215204678362575</v>
      </c>
      <c r="I12" s="663">
        <f t="shared" si="2"/>
        <v>30.858479532163742</v>
      </c>
      <c r="J12" s="664">
        <f t="shared" si="3"/>
        <v>25.660298895386617</v>
      </c>
    </row>
    <row r="13" spans="1:10" x14ac:dyDescent="0.2">
      <c r="A13" s="659">
        <f t="shared" si="4"/>
        <v>11</v>
      </c>
      <c r="B13" s="660">
        <f t="shared" si="5"/>
        <v>482.79999999999995</v>
      </c>
      <c r="C13" s="661">
        <f t="shared" si="0"/>
        <v>53.644444444444439</v>
      </c>
      <c r="D13" s="662">
        <f t="shared" si="6"/>
        <v>8.0466666666666651</v>
      </c>
      <c r="E13" s="661"/>
      <c r="F13" s="665">
        <f t="shared" si="7"/>
        <v>70.584795321637415</v>
      </c>
      <c r="G13" s="792">
        <f t="shared" si="8"/>
        <v>78.631461988304082</v>
      </c>
      <c r="H13" s="663">
        <f t="shared" si="1"/>
        <v>43.339064327485374</v>
      </c>
      <c r="I13" s="663">
        <f t="shared" si="2"/>
        <v>33.255522138680028</v>
      </c>
      <c r="J13" s="664">
        <f t="shared" si="3"/>
        <v>27.653554256010388</v>
      </c>
    </row>
    <row r="14" spans="1:10" x14ac:dyDescent="0.2">
      <c r="A14" s="659">
        <f t="shared" si="4"/>
        <v>12</v>
      </c>
      <c r="B14" s="660">
        <f t="shared" si="5"/>
        <v>518.4</v>
      </c>
      <c r="C14" s="661">
        <f t="shared" si="0"/>
        <v>57.599999999999994</v>
      </c>
      <c r="D14" s="662">
        <f t="shared" si="6"/>
        <v>8.6399999999999988</v>
      </c>
      <c r="E14" s="661"/>
      <c r="F14" s="665">
        <f t="shared" si="7"/>
        <v>75.78947368421052</v>
      </c>
      <c r="G14" s="792">
        <f t="shared" si="8"/>
        <v>84.429473684210521</v>
      </c>
      <c r="H14" s="663">
        <f t="shared" si="1"/>
        <v>46.534736842105261</v>
      </c>
      <c r="I14" s="663">
        <f t="shared" si="2"/>
        <v>35.707669172932327</v>
      </c>
      <c r="J14" s="664">
        <f t="shared" si="3"/>
        <v>29.692631578947363</v>
      </c>
    </row>
    <row r="15" spans="1:10" x14ac:dyDescent="0.2">
      <c r="A15" s="659">
        <f t="shared" si="4"/>
        <v>13</v>
      </c>
      <c r="B15" s="660">
        <f t="shared" si="5"/>
        <v>554.79999999999995</v>
      </c>
      <c r="C15" s="661">
        <f t="shared" si="0"/>
        <v>61.644444444444439</v>
      </c>
      <c r="D15" s="662">
        <f t="shared" si="6"/>
        <v>9.2466666666666661</v>
      </c>
      <c r="E15" s="661"/>
      <c r="F15" s="665">
        <f t="shared" si="7"/>
        <v>81.1111111111111</v>
      </c>
      <c r="G15" s="792">
        <f t="shared" si="8"/>
        <v>90.35777777777777</v>
      </c>
      <c r="H15" s="663">
        <f t="shared" si="1"/>
        <v>49.802222222222213</v>
      </c>
      <c r="I15" s="663">
        <f t="shared" si="2"/>
        <v>38.214920634920631</v>
      </c>
      <c r="J15" s="664">
        <f t="shared" si="3"/>
        <v>31.777530864197526</v>
      </c>
    </row>
    <row r="16" spans="1:10" x14ac:dyDescent="0.2">
      <c r="A16" s="659">
        <f t="shared" si="4"/>
        <v>14</v>
      </c>
      <c r="B16" s="660">
        <f t="shared" si="5"/>
        <v>592</v>
      </c>
      <c r="C16" s="661">
        <f t="shared" si="0"/>
        <v>65.777777777777771</v>
      </c>
      <c r="D16" s="662">
        <f t="shared" si="6"/>
        <v>9.8666666666666654</v>
      </c>
      <c r="E16" s="661"/>
      <c r="F16" s="665">
        <f t="shared" si="7"/>
        <v>86.549707602339168</v>
      </c>
      <c r="G16" s="792">
        <f t="shared" si="8"/>
        <v>96.416374269005829</v>
      </c>
      <c r="H16" s="663">
        <f t="shared" si="1"/>
        <v>53.141520467836251</v>
      </c>
      <c r="I16" s="663">
        <f t="shared" si="2"/>
        <v>40.77727652464494</v>
      </c>
      <c r="J16" s="664">
        <f t="shared" si="3"/>
        <v>33.908252111760881</v>
      </c>
    </row>
    <row r="17" spans="1:10" x14ac:dyDescent="0.2">
      <c r="A17" s="659">
        <f t="shared" si="4"/>
        <v>15</v>
      </c>
      <c r="B17" s="660">
        <f t="shared" si="5"/>
        <v>630</v>
      </c>
      <c r="C17" s="661">
        <f t="shared" si="0"/>
        <v>70</v>
      </c>
      <c r="D17" s="662">
        <f t="shared" si="6"/>
        <v>10.5</v>
      </c>
      <c r="E17" s="661"/>
      <c r="F17" s="665">
        <f t="shared" si="7"/>
        <v>92.10526315789474</v>
      </c>
      <c r="G17" s="792">
        <f t="shared" si="8"/>
        <v>102.60526315789474</v>
      </c>
      <c r="H17" s="663">
        <f t="shared" si="1"/>
        <v>56.55263157894737</v>
      </c>
      <c r="I17" s="663">
        <f t="shared" si="2"/>
        <v>43.394736842105267</v>
      </c>
      <c r="J17" s="664">
        <f t="shared" si="3"/>
        <v>36.084795321637429</v>
      </c>
    </row>
    <row r="18" spans="1:10" x14ac:dyDescent="0.2">
      <c r="A18" s="659">
        <f t="shared" si="4"/>
        <v>16</v>
      </c>
      <c r="B18" s="660">
        <f t="shared" si="5"/>
        <v>668.8</v>
      </c>
      <c r="C18" s="661">
        <f t="shared" si="0"/>
        <v>74.311111111111103</v>
      </c>
      <c r="D18" s="662">
        <f t="shared" si="6"/>
        <v>11.146666666666665</v>
      </c>
      <c r="E18" s="661"/>
      <c r="F18" s="665">
        <f t="shared" si="7"/>
        <v>97.777777777777757</v>
      </c>
      <c r="G18" s="792">
        <f t="shared" si="8"/>
        <v>108.92444444444442</v>
      </c>
      <c r="H18" s="663">
        <f t="shared" si="1"/>
        <v>60.035555555555547</v>
      </c>
      <c r="I18" s="663">
        <f t="shared" si="2"/>
        <v>46.067301587301586</v>
      </c>
      <c r="J18" s="664">
        <f t="shared" si="3"/>
        <v>38.307160493827155</v>
      </c>
    </row>
    <row r="19" spans="1:10" x14ac:dyDescent="0.2">
      <c r="A19" s="659">
        <f t="shared" si="4"/>
        <v>17</v>
      </c>
      <c r="B19" s="660">
        <f t="shared" si="5"/>
        <v>708.4</v>
      </c>
      <c r="C19" s="661">
        <f t="shared" si="0"/>
        <v>78.711111111111109</v>
      </c>
      <c r="D19" s="662">
        <f t="shared" si="6"/>
        <v>11.806666666666667</v>
      </c>
      <c r="E19" s="661"/>
      <c r="F19" s="665">
        <f t="shared" si="7"/>
        <v>103.56725146198829</v>
      </c>
      <c r="G19" s="792">
        <f t="shared" si="8"/>
        <v>115.37391812865496</v>
      </c>
      <c r="H19" s="663">
        <f t="shared" si="1"/>
        <v>63.590292397660811</v>
      </c>
      <c r="I19" s="663">
        <f t="shared" si="2"/>
        <v>48.794970760233916</v>
      </c>
      <c r="J19" s="664">
        <f t="shared" si="3"/>
        <v>40.575347628330078</v>
      </c>
    </row>
    <row r="20" spans="1:10" x14ac:dyDescent="0.2">
      <c r="A20" s="659">
        <f t="shared" si="4"/>
        <v>18</v>
      </c>
      <c r="B20" s="660">
        <f t="shared" si="5"/>
        <v>748.80000000000007</v>
      </c>
      <c r="C20" s="661">
        <f t="shared" si="0"/>
        <v>83.2</v>
      </c>
      <c r="D20" s="662">
        <f t="shared" si="6"/>
        <v>12.48</v>
      </c>
      <c r="E20" s="661"/>
      <c r="F20" s="665">
        <f t="shared" si="7"/>
        <v>109.47368421052632</v>
      </c>
      <c r="G20" s="792">
        <f t="shared" si="8"/>
        <v>121.95368421052632</v>
      </c>
      <c r="H20" s="663">
        <f t="shared" si="1"/>
        <v>67.216842105263154</v>
      </c>
      <c r="I20" s="663">
        <f t="shared" si="2"/>
        <v>51.577744360902258</v>
      </c>
      <c r="J20" s="664">
        <f t="shared" si="3"/>
        <v>42.8893567251462</v>
      </c>
    </row>
    <row r="21" spans="1:10" x14ac:dyDescent="0.2">
      <c r="A21" s="659">
        <f t="shared" si="4"/>
        <v>19</v>
      </c>
      <c r="B21" s="660">
        <f t="shared" si="5"/>
        <v>790</v>
      </c>
      <c r="C21" s="661">
        <f t="shared" si="0"/>
        <v>87.777777777777771</v>
      </c>
      <c r="D21" s="662">
        <f t="shared" si="6"/>
        <v>13.166666666666666</v>
      </c>
      <c r="E21" s="661"/>
      <c r="F21" s="665">
        <f t="shared" si="7"/>
        <v>115.4970760233918</v>
      </c>
      <c r="G21" s="792">
        <f t="shared" si="8"/>
        <v>128.66374269005846</v>
      </c>
      <c r="H21" s="663">
        <f t="shared" si="1"/>
        <v>70.915204678362571</v>
      </c>
      <c r="I21" s="663">
        <f t="shared" si="2"/>
        <v>54.415622389306598</v>
      </c>
      <c r="J21" s="664">
        <f t="shared" si="3"/>
        <v>45.249187784275499</v>
      </c>
    </row>
    <row r="22" spans="1:10" x14ac:dyDescent="0.2">
      <c r="A22" s="659">
        <f t="shared" si="4"/>
        <v>20</v>
      </c>
      <c r="B22" s="660">
        <f t="shared" si="5"/>
        <v>832</v>
      </c>
      <c r="C22" s="661">
        <f t="shared" si="0"/>
        <v>92.444444444444443</v>
      </c>
      <c r="D22" s="662">
        <f t="shared" si="6"/>
        <v>13.866666666666665</v>
      </c>
      <c r="E22" s="661"/>
      <c r="F22" s="665">
        <f t="shared" si="7"/>
        <v>121.6374269005848</v>
      </c>
      <c r="G22" s="792">
        <f t="shared" si="8"/>
        <v>135.50409356725146</v>
      </c>
      <c r="H22" s="663">
        <f t="shared" si="1"/>
        <v>74.685380116959067</v>
      </c>
      <c r="I22" s="663">
        <f t="shared" si="2"/>
        <v>57.308604845446958</v>
      </c>
      <c r="J22" s="664">
        <f t="shared" si="3"/>
        <v>47.654840805718003</v>
      </c>
    </row>
    <row r="23" spans="1:10" x14ac:dyDescent="0.2">
      <c r="A23" s="659">
        <f t="shared" si="4"/>
        <v>21</v>
      </c>
      <c r="B23" s="660">
        <f t="shared" si="5"/>
        <v>874.8</v>
      </c>
      <c r="C23" s="661">
        <f t="shared" si="0"/>
        <v>97.199999999999989</v>
      </c>
      <c r="D23" s="662">
        <f t="shared" si="6"/>
        <v>14.579999999999998</v>
      </c>
      <c r="E23" s="661"/>
      <c r="F23" s="665">
        <f t="shared" si="7"/>
        <v>127.89473684210525</v>
      </c>
      <c r="G23" s="792">
        <f t="shared" si="8"/>
        <v>142.47473684210524</v>
      </c>
      <c r="H23" s="663">
        <f t="shared" si="1"/>
        <v>78.527368421052614</v>
      </c>
      <c r="I23" s="663">
        <f t="shared" si="2"/>
        <v>60.2566917293233</v>
      </c>
      <c r="J23" s="664">
        <f t="shared" si="3"/>
        <v>50.106315789473676</v>
      </c>
    </row>
    <row r="24" spans="1:10" x14ac:dyDescent="0.2">
      <c r="A24" s="659">
        <f t="shared" si="4"/>
        <v>22</v>
      </c>
      <c r="B24" s="660">
        <f t="shared" si="5"/>
        <v>918.4</v>
      </c>
      <c r="C24" s="661">
        <f t="shared" si="0"/>
        <v>102.04444444444444</v>
      </c>
      <c r="D24" s="662">
        <f t="shared" si="6"/>
        <v>15.306666666666665</v>
      </c>
      <c r="E24" s="661"/>
      <c r="F24" s="665">
        <f t="shared" si="7"/>
        <v>134.2690058479532</v>
      </c>
      <c r="G24" s="792">
        <f t="shared" si="8"/>
        <v>149.57567251461987</v>
      </c>
      <c r="H24" s="663">
        <f t="shared" si="1"/>
        <v>82.441169590643256</v>
      </c>
      <c r="I24" s="663">
        <f t="shared" si="2"/>
        <v>63.259883040935669</v>
      </c>
      <c r="J24" s="664">
        <f t="shared" si="3"/>
        <v>52.603612735542555</v>
      </c>
    </row>
    <row r="25" spans="1:10" x14ac:dyDescent="0.2">
      <c r="A25" s="659">
        <f t="shared" si="4"/>
        <v>23</v>
      </c>
      <c r="B25" s="660">
        <f t="shared" si="5"/>
        <v>962.8</v>
      </c>
      <c r="C25" s="661">
        <f t="shared" si="0"/>
        <v>106.97777777777777</v>
      </c>
      <c r="D25" s="666">
        <f t="shared" si="6"/>
        <v>16.046666666666667</v>
      </c>
      <c r="E25" s="666"/>
      <c r="F25" s="665">
        <f t="shared" si="7"/>
        <v>140.76023391812865</v>
      </c>
      <c r="G25" s="792">
        <f t="shared" si="8"/>
        <v>156.8069005847953</v>
      </c>
      <c r="H25" s="663">
        <f t="shared" si="1"/>
        <v>86.426783625730991</v>
      </c>
      <c r="I25" s="663">
        <f t="shared" si="2"/>
        <v>66.318178780284043</v>
      </c>
      <c r="J25" s="664">
        <f t="shared" si="3"/>
        <v>55.146731643924625</v>
      </c>
    </row>
    <row r="26" spans="1:10" x14ac:dyDescent="0.2">
      <c r="A26" s="659">
        <f t="shared" si="4"/>
        <v>24</v>
      </c>
      <c r="B26" s="660">
        <f t="shared" si="5"/>
        <v>1008</v>
      </c>
      <c r="C26" s="661">
        <f t="shared" si="0"/>
        <v>112</v>
      </c>
      <c r="D26" s="666">
        <f t="shared" si="6"/>
        <v>16.8</v>
      </c>
      <c r="E26" s="666"/>
      <c r="F26" s="665">
        <f t="shared" si="7"/>
        <v>147.36842105263159</v>
      </c>
      <c r="G26" s="792">
        <f t="shared" si="8"/>
        <v>164.1684210526316</v>
      </c>
      <c r="H26" s="663">
        <f t="shared" si="1"/>
        <v>90.484210526315792</v>
      </c>
      <c r="I26" s="663">
        <f t="shared" si="2"/>
        <v>69.431578947368422</v>
      </c>
      <c r="J26" s="664">
        <f t="shared" si="3"/>
        <v>57.735672514619893</v>
      </c>
    </row>
    <row r="27" spans="1:10" x14ac:dyDescent="0.2">
      <c r="A27" s="659">
        <f t="shared" si="4"/>
        <v>25</v>
      </c>
      <c r="B27" s="667">
        <f t="shared" si="5"/>
        <v>1054</v>
      </c>
      <c r="C27" s="666">
        <f t="shared" si="0"/>
        <v>117.11111111111111</v>
      </c>
      <c r="D27" s="666">
        <f t="shared" si="6"/>
        <v>17.566666666666666</v>
      </c>
      <c r="E27" s="666"/>
      <c r="F27" s="665">
        <f t="shared" si="7"/>
        <v>154.09356725146199</v>
      </c>
      <c r="G27" s="792">
        <f t="shared" si="8"/>
        <v>171.66023391812865</v>
      </c>
      <c r="H27" s="663">
        <f t="shared" si="1"/>
        <v>94.613450292397658</v>
      </c>
      <c r="I27" s="663">
        <f t="shared" si="2"/>
        <v>72.600083542188813</v>
      </c>
      <c r="J27" s="664">
        <f t="shared" si="3"/>
        <v>60.37043534762833</v>
      </c>
    </row>
    <row r="28" spans="1:10" x14ac:dyDescent="0.2">
      <c r="A28" s="659">
        <v>26</v>
      </c>
      <c r="B28" s="667">
        <f t="shared" si="5"/>
        <v>1100.8</v>
      </c>
      <c r="C28" s="666">
        <f t="shared" si="0"/>
        <v>122.3111111111111</v>
      </c>
      <c r="D28" s="666">
        <f t="shared" si="6"/>
        <v>18.346666666666664</v>
      </c>
      <c r="E28" s="666"/>
      <c r="F28" s="665">
        <f>(C28/0.95)/0.8</f>
        <v>160.93567251461985</v>
      </c>
      <c r="G28" s="792">
        <f t="shared" si="8"/>
        <v>179.28233918128652</v>
      </c>
      <c r="H28" s="663">
        <f t="shared" si="1"/>
        <v>98.81450292397659</v>
      </c>
      <c r="I28" s="663">
        <f t="shared" si="2"/>
        <v>75.823692564745187</v>
      </c>
      <c r="J28" s="664">
        <f t="shared" si="3"/>
        <v>63.051020142949959</v>
      </c>
    </row>
    <row r="29" spans="1:10" x14ac:dyDescent="0.2">
      <c r="A29" s="659">
        <v>27</v>
      </c>
      <c r="B29" s="667">
        <f t="shared" si="5"/>
        <v>1148.4000000000001</v>
      </c>
      <c r="C29" s="666">
        <f t="shared" si="0"/>
        <v>127.60000000000001</v>
      </c>
      <c r="D29" s="666">
        <f t="shared" si="6"/>
        <v>19.14</v>
      </c>
      <c r="E29" s="666"/>
      <c r="F29" s="665">
        <f>(C29/0.95)/0.8</f>
        <v>167.89473684210526</v>
      </c>
      <c r="G29" s="792">
        <f t="shared" si="8"/>
        <v>187.03473684210525</v>
      </c>
      <c r="H29" s="663">
        <f t="shared" si="1"/>
        <v>103.08736842105263</v>
      </c>
      <c r="I29" s="663">
        <f t="shared" si="2"/>
        <v>79.102406015037587</v>
      </c>
      <c r="J29" s="664">
        <f t="shared" si="3"/>
        <v>65.7774269005848</v>
      </c>
    </row>
    <row r="30" spans="1:10" x14ac:dyDescent="0.2">
      <c r="A30" s="659">
        <v>28</v>
      </c>
      <c r="B30" s="667">
        <f t="shared" si="5"/>
        <v>1196.8</v>
      </c>
      <c r="C30" s="666">
        <f t="shared" si="0"/>
        <v>132.97777777777776</v>
      </c>
      <c r="D30" s="666">
        <f t="shared" si="6"/>
        <v>19.946666666666662</v>
      </c>
      <c r="E30" s="666"/>
      <c r="F30" s="665">
        <f>(C30/0.95)/0.8</f>
        <v>174.97076023391813</v>
      </c>
      <c r="G30" s="792">
        <f t="shared" si="8"/>
        <v>194.91742690058479</v>
      </c>
      <c r="H30" s="663">
        <f t="shared" si="1"/>
        <v>107.43204678362572</v>
      </c>
      <c r="I30" s="663">
        <f t="shared" si="2"/>
        <v>82.436223893066</v>
      </c>
      <c r="J30" s="664">
        <f t="shared" si="3"/>
        <v>68.549655620532803</v>
      </c>
    </row>
    <row r="31" spans="1:10" x14ac:dyDescent="0.2">
      <c r="A31" s="659">
        <v>29</v>
      </c>
      <c r="B31" s="667">
        <f t="shared" si="5"/>
        <v>1245.9999999999998</v>
      </c>
      <c r="C31" s="666">
        <f t="shared" si="0"/>
        <v>138.44444444444443</v>
      </c>
      <c r="D31" s="666">
        <f t="shared" si="6"/>
        <v>20.766666666666662</v>
      </c>
      <c r="E31" s="666"/>
      <c r="F31" s="665">
        <f>(C31/0.95)/0.8</f>
        <v>182.16374269005846</v>
      </c>
      <c r="G31" s="792">
        <f t="shared" si="8"/>
        <v>202.93040935672511</v>
      </c>
      <c r="H31" s="663">
        <f t="shared" si="1"/>
        <v>111.84853801169589</v>
      </c>
      <c r="I31" s="663">
        <f t="shared" si="2"/>
        <v>85.82514619883041</v>
      </c>
      <c r="J31" s="664">
        <f t="shared" si="3"/>
        <v>71.367706302794005</v>
      </c>
    </row>
    <row r="32" spans="1:10" x14ac:dyDescent="0.2">
      <c r="A32" s="668">
        <v>30</v>
      </c>
      <c r="B32" s="669">
        <f t="shared" si="5"/>
        <v>1295.9999999999998</v>
      </c>
      <c r="C32" s="670">
        <f t="shared" si="0"/>
        <v>143.99999999999997</v>
      </c>
      <c r="D32" s="670">
        <f t="shared" si="6"/>
        <v>21.599999999999994</v>
      </c>
      <c r="E32" s="670"/>
      <c r="F32" s="671">
        <f>(C32/0.95)/0.8</f>
        <v>189.4736842105263</v>
      </c>
      <c r="G32" s="793">
        <f t="shared" si="8"/>
        <v>211.0736842105263</v>
      </c>
      <c r="H32" s="672">
        <f t="shared" si="1"/>
        <v>116.33684210526314</v>
      </c>
      <c r="I32" s="672">
        <f t="shared" si="2"/>
        <v>89.269172932330818</v>
      </c>
      <c r="J32" s="673">
        <f t="shared" si="3"/>
        <v>74.231578947368405</v>
      </c>
    </row>
    <row r="33" spans="1:9" x14ac:dyDescent="0.2">
      <c r="A33" s="13"/>
      <c r="B33" s="138"/>
      <c r="C33" s="661"/>
      <c r="D33" s="661"/>
      <c r="E33" s="661"/>
      <c r="F33" s="663"/>
      <c r="G33" s="663"/>
      <c r="H33" s="663"/>
      <c r="I33" s="663"/>
    </row>
    <row r="34" spans="1:9" x14ac:dyDescent="0.2">
      <c r="D34" s="661"/>
    </row>
    <row r="35" spans="1:9" x14ac:dyDescent="0.2">
      <c r="A35" s="644"/>
      <c r="B35" s="647" t="s">
        <v>1104</v>
      </c>
      <c r="C35" s="674"/>
      <c r="D35" s="675" t="s">
        <v>1105</v>
      </c>
      <c r="E35" s="648" t="s">
        <v>1106</v>
      </c>
      <c r="F35" s="674" t="s">
        <v>1106</v>
      </c>
      <c r="H35" s="3"/>
    </row>
    <row r="36" spans="1:9" x14ac:dyDescent="0.2">
      <c r="A36" s="676" t="s">
        <v>1096</v>
      </c>
      <c r="B36" s="677" t="s">
        <v>1099</v>
      </c>
      <c r="C36" s="678" t="s">
        <v>1106</v>
      </c>
      <c r="D36" s="679" t="s">
        <v>1107</v>
      </c>
      <c r="E36" s="677" t="s">
        <v>164</v>
      </c>
      <c r="F36" s="677" t="s">
        <v>1108</v>
      </c>
      <c r="H36" s="680"/>
    </row>
    <row r="37" spans="1:9" x14ac:dyDescent="0.2">
      <c r="A37" s="681">
        <v>1</v>
      </c>
      <c r="B37" s="656">
        <f>D3*1</f>
        <v>2.8466666666666662</v>
      </c>
      <c r="C37" s="682"/>
      <c r="D37" s="683">
        <f>E37*0.7</f>
        <v>1.9926666666666661</v>
      </c>
      <c r="E37" s="657">
        <f>B37</f>
        <v>2.8466666666666662</v>
      </c>
      <c r="F37" s="658">
        <f>E37*1.4</f>
        <v>3.9853333333333323</v>
      </c>
      <c r="H37" s="3"/>
    </row>
    <row r="38" spans="1:9" x14ac:dyDescent="0.2">
      <c r="A38" s="659">
        <f t="shared" ref="A38:A61" si="9">A37+1</f>
        <v>2</v>
      </c>
      <c r="B38" s="662">
        <f t="shared" ref="B38:B61" si="10">D4*1</f>
        <v>3.3066666666666666</v>
      </c>
      <c r="C38" s="310"/>
      <c r="D38" s="665">
        <f t="shared" ref="D38:D61" si="11">E38*0.7</f>
        <v>2.3146666666666667</v>
      </c>
      <c r="E38" s="663">
        <f>B38</f>
        <v>3.3066666666666666</v>
      </c>
      <c r="F38" s="664">
        <f t="shared" ref="F38:F66" si="12">E38*1.4</f>
        <v>4.6293333333333333</v>
      </c>
      <c r="H38" s="3"/>
    </row>
    <row r="39" spans="1:9" x14ac:dyDescent="0.2">
      <c r="A39" s="659">
        <f t="shared" si="9"/>
        <v>3</v>
      </c>
      <c r="B39" s="662">
        <f t="shared" si="10"/>
        <v>3.7800000000000002</v>
      </c>
      <c r="C39" s="310"/>
      <c r="D39" s="665">
        <f t="shared" si="11"/>
        <v>2.6459999999999999</v>
      </c>
      <c r="E39" s="663">
        <f t="shared" ref="E39:E61" si="13">B39</f>
        <v>3.7800000000000002</v>
      </c>
      <c r="F39" s="664">
        <f t="shared" si="12"/>
        <v>5.2919999999999998</v>
      </c>
      <c r="H39" s="3"/>
    </row>
    <row r="40" spans="1:9" x14ac:dyDescent="0.2">
      <c r="A40" s="659">
        <f t="shared" si="9"/>
        <v>4</v>
      </c>
      <c r="B40" s="662">
        <f t="shared" si="10"/>
        <v>4.2666666666666666</v>
      </c>
      <c r="C40" s="310"/>
      <c r="D40" s="665">
        <f t="shared" si="11"/>
        <v>2.9866666666666664</v>
      </c>
      <c r="E40" s="663">
        <f t="shared" si="13"/>
        <v>4.2666666666666666</v>
      </c>
      <c r="F40" s="664">
        <f t="shared" si="12"/>
        <v>5.9733333333333327</v>
      </c>
    </row>
    <row r="41" spans="1:9" x14ac:dyDescent="0.2">
      <c r="A41" s="659">
        <f t="shared" si="9"/>
        <v>5</v>
      </c>
      <c r="B41" s="662">
        <f t="shared" si="10"/>
        <v>4.7666666666666666</v>
      </c>
      <c r="C41" s="310"/>
      <c r="D41" s="665">
        <f t="shared" si="11"/>
        <v>3.3366666666666664</v>
      </c>
      <c r="E41" s="663">
        <f t="shared" si="13"/>
        <v>4.7666666666666666</v>
      </c>
      <c r="F41" s="664">
        <f t="shared" si="12"/>
        <v>6.6733333333333329</v>
      </c>
    </row>
    <row r="42" spans="1:9" x14ac:dyDescent="0.2">
      <c r="A42" s="659">
        <f t="shared" si="9"/>
        <v>6</v>
      </c>
      <c r="B42" s="662">
        <f t="shared" si="10"/>
        <v>5.2799999999999994</v>
      </c>
      <c r="C42" s="310"/>
      <c r="D42" s="665">
        <f t="shared" si="11"/>
        <v>3.6959999999999993</v>
      </c>
      <c r="E42" s="663">
        <f t="shared" si="13"/>
        <v>5.2799999999999994</v>
      </c>
      <c r="F42" s="664">
        <f t="shared" si="12"/>
        <v>7.3919999999999986</v>
      </c>
    </row>
    <row r="43" spans="1:9" x14ac:dyDescent="0.2">
      <c r="A43" s="659">
        <f t="shared" si="9"/>
        <v>7</v>
      </c>
      <c r="B43" s="662">
        <f t="shared" si="10"/>
        <v>5.8066666666666658</v>
      </c>
      <c r="C43" s="310"/>
      <c r="D43" s="665">
        <f t="shared" si="11"/>
        <v>4.0646666666666658</v>
      </c>
      <c r="E43" s="663">
        <f t="shared" si="13"/>
        <v>5.8066666666666658</v>
      </c>
      <c r="F43" s="664">
        <f t="shared" si="12"/>
        <v>8.1293333333333315</v>
      </c>
    </row>
    <row r="44" spans="1:9" x14ac:dyDescent="0.2">
      <c r="A44" s="659">
        <f t="shared" si="9"/>
        <v>8</v>
      </c>
      <c r="B44" s="662">
        <f t="shared" si="10"/>
        <v>6.3466666666666649</v>
      </c>
      <c r="C44" s="310"/>
      <c r="D44" s="665">
        <f t="shared" si="11"/>
        <v>4.442666666666665</v>
      </c>
      <c r="E44" s="663">
        <f t="shared" si="13"/>
        <v>6.3466666666666649</v>
      </c>
      <c r="F44" s="664">
        <f t="shared" si="12"/>
        <v>8.88533333333333</v>
      </c>
    </row>
    <row r="45" spans="1:9" x14ac:dyDescent="0.2">
      <c r="A45" s="659">
        <f t="shared" si="9"/>
        <v>9</v>
      </c>
      <c r="B45" s="662">
        <f t="shared" si="10"/>
        <v>6.8999999999999986</v>
      </c>
      <c r="C45" s="310"/>
      <c r="D45" s="665">
        <f t="shared" si="11"/>
        <v>4.8299999999999983</v>
      </c>
      <c r="E45" s="663">
        <f t="shared" si="13"/>
        <v>6.8999999999999986</v>
      </c>
      <c r="F45" s="664">
        <f t="shared" si="12"/>
        <v>9.6599999999999966</v>
      </c>
    </row>
    <row r="46" spans="1:9" x14ac:dyDescent="0.2">
      <c r="A46" s="659">
        <f t="shared" si="9"/>
        <v>10</v>
      </c>
      <c r="B46" s="662">
        <f t="shared" si="10"/>
        <v>7.4666666666666668</v>
      </c>
      <c r="C46" s="310"/>
      <c r="D46" s="665">
        <f t="shared" si="11"/>
        <v>5.2266666666666666</v>
      </c>
      <c r="E46" s="663">
        <f t="shared" si="13"/>
        <v>7.4666666666666668</v>
      </c>
      <c r="F46" s="664">
        <f t="shared" si="12"/>
        <v>10.453333333333333</v>
      </c>
    </row>
    <row r="47" spans="1:9" x14ac:dyDescent="0.2">
      <c r="A47" s="659">
        <f t="shared" si="9"/>
        <v>11</v>
      </c>
      <c r="B47" s="662">
        <f t="shared" si="10"/>
        <v>8.0466666666666651</v>
      </c>
      <c r="C47" s="310"/>
      <c r="D47" s="665">
        <f t="shared" si="11"/>
        <v>5.6326666666666654</v>
      </c>
      <c r="E47" s="663">
        <f t="shared" si="13"/>
        <v>8.0466666666666651</v>
      </c>
      <c r="F47" s="664">
        <f t="shared" si="12"/>
        <v>11.265333333333331</v>
      </c>
    </row>
    <row r="48" spans="1:9" x14ac:dyDescent="0.2">
      <c r="A48" s="659">
        <f t="shared" si="9"/>
        <v>12</v>
      </c>
      <c r="B48" s="662">
        <f t="shared" si="10"/>
        <v>8.6399999999999988</v>
      </c>
      <c r="C48" s="310"/>
      <c r="D48" s="665">
        <f t="shared" si="11"/>
        <v>6.0479999999999992</v>
      </c>
      <c r="E48" s="663">
        <f t="shared" si="13"/>
        <v>8.6399999999999988</v>
      </c>
      <c r="F48" s="664">
        <f t="shared" si="12"/>
        <v>12.095999999999998</v>
      </c>
    </row>
    <row r="49" spans="1:6" x14ac:dyDescent="0.2">
      <c r="A49" s="659">
        <f t="shared" si="9"/>
        <v>13</v>
      </c>
      <c r="B49" s="662">
        <f t="shared" si="10"/>
        <v>9.2466666666666661</v>
      </c>
      <c r="C49" s="310"/>
      <c r="D49" s="665">
        <f t="shared" si="11"/>
        <v>6.4726666666666661</v>
      </c>
      <c r="E49" s="663">
        <f t="shared" si="13"/>
        <v>9.2466666666666661</v>
      </c>
      <c r="F49" s="664">
        <f t="shared" si="12"/>
        <v>12.945333333333332</v>
      </c>
    </row>
    <row r="50" spans="1:6" x14ac:dyDescent="0.2">
      <c r="A50" s="659">
        <f t="shared" si="9"/>
        <v>14</v>
      </c>
      <c r="B50" s="662">
        <f t="shared" si="10"/>
        <v>9.8666666666666654</v>
      </c>
      <c r="C50" s="310"/>
      <c r="D50" s="665">
        <f t="shared" si="11"/>
        <v>6.9066666666666654</v>
      </c>
      <c r="E50" s="663">
        <f t="shared" si="13"/>
        <v>9.8666666666666654</v>
      </c>
      <c r="F50" s="664">
        <f t="shared" si="12"/>
        <v>13.813333333333331</v>
      </c>
    </row>
    <row r="51" spans="1:6" x14ac:dyDescent="0.2">
      <c r="A51" s="659">
        <f t="shared" si="9"/>
        <v>15</v>
      </c>
      <c r="B51" s="662">
        <f t="shared" si="10"/>
        <v>10.5</v>
      </c>
      <c r="C51" s="310"/>
      <c r="D51" s="665">
        <f t="shared" si="11"/>
        <v>7.35</v>
      </c>
      <c r="E51" s="663">
        <f t="shared" si="13"/>
        <v>10.5</v>
      </c>
      <c r="F51" s="664">
        <f t="shared" si="12"/>
        <v>14.7</v>
      </c>
    </row>
    <row r="52" spans="1:6" x14ac:dyDescent="0.2">
      <c r="A52" s="659">
        <f t="shared" si="9"/>
        <v>16</v>
      </c>
      <c r="B52" s="662">
        <f t="shared" si="10"/>
        <v>11.146666666666665</v>
      </c>
      <c r="C52" s="310"/>
      <c r="D52" s="665">
        <f t="shared" si="11"/>
        <v>7.8026666666666644</v>
      </c>
      <c r="E52" s="663">
        <f t="shared" si="13"/>
        <v>11.146666666666665</v>
      </c>
      <c r="F52" s="664">
        <f t="shared" si="12"/>
        <v>15.605333333333329</v>
      </c>
    </row>
    <row r="53" spans="1:6" x14ac:dyDescent="0.2">
      <c r="A53" s="659">
        <f t="shared" si="9"/>
        <v>17</v>
      </c>
      <c r="B53" s="662">
        <f t="shared" si="10"/>
        <v>11.806666666666667</v>
      </c>
      <c r="C53" s="310"/>
      <c r="D53" s="665">
        <f t="shared" si="11"/>
        <v>8.2646666666666668</v>
      </c>
      <c r="E53" s="663">
        <f t="shared" si="13"/>
        <v>11.806666666666667</v>
      </c>
      <c r="F53" s="664">
        <f t="shared" si="12"/>
        <v>16.529333333333334</v>
      </c>
    </row>
    <row r="54" spans="1:6" x14ac:dyDescent="0.2">
      <c r="A54" s="659">
        <f t="shared" si="9"/>
        <v>18</v>
      </c>
      <c r="B54" s="662">
        <f t="shared" si="10"/>
        <v>12.48</v>
      </c>
      <c r="C54" s="310"/>
      <c r="D54" s="665">
        <f t="shared" si="11"/>
        <v>8.7359999999999989</v>
      </c>
      <c r="E54" s="663">
        <f t="shared" si="13"/>
        <v>12.48</v>
      </c>
      <c r="F54" s="664">
        <f t="shared" si="12"/>
        <v>17.471999999999998</v>
      </c>
    </row>
    <row r="55" spans="1:6" x14ac:dyDescent="0.2">
      <c r="A55" s="684">
        <f t="shared" si="9"/>
        <v>19</v>
      </c>
      <c r="B55" s="685">
        <f t="shared" si="10"/>
        <v>13.166666666666666</v>
      </c>
      <c r="C55" s="310"/>
      <c r="D55" s="665">
        <f t="shared" si="11"/>
        <v>9.216666666666665</v>
      </c>
      <c r="E55" s="663">
        <f t="shared" si="13"/>
        <v>13.166666666666666</v>
      </c>
      <c r="F55" s="664">
        <f t="shared" si="12"/>
        <v>18.43333333333333</v>
      </c>
    </row>
    <row r="56" spans="1:6" x14ac:dyDescent="0.2">
      <c r="A56" s="684">
        <f t="shared" si="9"/>
        <v>20</v>
      </c>
      <c r="B56" s="685">
        <f t="shared" si="10"/>
        <v>13.866666666666665</v>
      </c>
      <c r="C56" s="310"/>
      <c r="D56" s="665">
        <f t="shared" si="11"/>
        <v>9.7066666666666652</v>
      </c>
      <c r="E56" s="663">
        <f t="shared" si="13"/>
        <v>13.866666666666665</v>
      </c>
      <c r="F56" s="664">
        <f t="shared" si="12"/>
        <v>19.41333333333333</v>
      </c>
    </row>
    <row r="57" spans="1:6" x14ac:dyDescent="0.2">
      <c r="A57" s="684">
        <f t="shared" si="9"/>
        <v>21</v>
      </c>
      <c r="B57" s="685">
        <f t="shared" si="10"/>
        <v>14.579999999999998</v>
      </c>
      <c r="C57" s="310"/>
      <c r="D57" s="665">
        <f t="shared" si="11"/>
        <v>10.205999999999998</v>
      </c>
      <c r="E57" s="663">
        <f t="shared" si="13"/>
        <v>14.579999999999998</v>
      </c>
      <c r="F57" s="664">
        <f t="shared" si="12"/>
        <v>20.411999999999995</v>
      </c>
    </row>
    <row r="58" spans="1:6" x14ac:dyDescent="0.2">
      <c r="A58" s="684">
        <f t="shared" si="9"/>
        <v>22</v>
      </c>
      <c r="B58" s="685">
        <f t="shared" si="10"/>
        <v>15.306666666666665</v>
      </c>
      <c r="C58" s="310"/>
      <c r="D58" s="665">
        <f t="shared" si="11"/>
        <v>10.714666666666664</v>
      </c>
      <c r="E58" s="663">
        <f t="shared" si="13"/>
        <v>15.306666666666665</v>
      </c>
      <c r="F58" s="664">
        <f t="shared" si="12"/>
        <v>21.429333333333329</v>
      </c>
    </row>
    <row r="59" spans="1:6" x14ac:dyDescent="0.2">
      <c r="A59" s="684">
        <f t="shared" si="9"/>
        <v>23</v>
      </c>
      <c r="B59" s="685">
        <f t="shared" si="10"/>
        <v>16.046666666666667</v>
      </c>
      <c r="C59" s="310"/>
      <c r="D59" s="665">
        <f t="shared" si="11"/>
        <v>11.232666666666667</v>
      </c>
      <c r="E59" s="663">
        <f t="shared" si="13"/>
        <v>16.046666666666667</v>
      </c>
      <c r="F59" s="664">
        <f t="shared" si="12"/>
        <v>22.465333333333334</v>
      </c>
    </row>
    <row r="60" spans="1:6" x14ac:dyDescent="0.2">
      <c r="A60" s="684">
        <f t="shared" si="9"/>
        <v>24</v>
      </c>
      <c r="B60" s="685">
        <f t="shared" si="10"/>
        <v>16.8</v>
      </c>
      <c r="C60" s="310"/>
      <c r="D60" s="665">
        <f t="shared" si="11"/>
        <v>11.76</v>
      </c>
      <c r="E60" s="663">
        <f t="shared" si="13"/>
        <v>16.8</v>
      </c>
      <c r="F60" s="664">
        <f t="shared" si="12"/>
        <v>23.52</v>
      </c>
    </row>
    <row r="61" spans="1:6" x14ac:dyDescent="0.2">
      <c r="A61" s="684">
        <f t="shared" si="9"/>
        <v>25</v>
      </c>
      <c r="B61" s="685">
        <f t="shared" si="10"/>
        <v>17.566666666666666</v>
      </c>
      <c r="C61" s="310"/>
      <c r="D61" s="665">
        <f t="shared" si="11"/>
        <v>12.296666666666665</v>
      </c>
      <c r="E61" s="663">
        <f t="shared" si="13"/>
        <v>17.566666666666666</v>
      </c>
      <c r="F61" s="664">
        <f t="shared" si="12"/>
        <v>24.59333333333333</v>
      </c>
    </row>
    <row r="62" spans="1:6" x14ac:dyDescent="0.2">
      <c r="A62" s="684">
        <f>A61+1</f>
        <v>26</v>
      </c>
      <c r="B62" s="685">
        <f>D28*1</f>
        <v>18.346666666666664</v>
      </c>
      <c r="C62" s="310"/>
      <c r="D62" s="665">
        <f>E62*0.7</f>
        <v>12.842666666666664</v>
      </c>
      <c r="E62" s="663">
        <f>B62</f>
        <v>18.346666666666664</v>
      </c>
      <c r="F62" s="664">
        <f t="shared" si="12"/>
        <v>25.685333333333329</v>
      </c>
    </row>
    <row r="63" spans="1:6" x14ac:dyDescent="0.2">
      <c r="A63" s="684">
        <f>A62+1</f>
        <v>27</v>
      </c>
      <c r="B63" s="685">
        <f>D29*1</f>
        <v>19.14</v>
      </c>
      <c r="C63" s="310"/>
      <c r="D63" s="665">
        <f>E63*0.7</f>
        <v>13.398</v>
      </c>
      <c r="E63" s="663">
        <f>B63</f>
        <v>19.14</v>
      </c>
      <c r="F63" s="664">
        <f t="shared" si="12"/>
        <v>26.795999999999999</v>
      </c>
    </row>
    <row r="64" spans="1:6" x14ac:dyDescent="0.2">
      <c r="A64" s="684">
        <f>A63+1</f>
        <v>28</v>
      </c>
      <c r="B64" s="685">
        <f>D30*1</f>
        <v>19.946666666666662</v>
      </c>
      <c r="C64" s="310"/>
      <c r="D64" s="665">
        <f>E64*0.7</f>
        <v>13.962666666666662</v>
      </c>
      <c r="E64" s="663">
        <f>B64</f>
        <v>19.946666666666662</v>
      </c>
      <c r="F64" s="664">
        <f t="shared" si="12"/>
        <v>27.925333333333324</v>
      </c>
    </row>
    <row r="65" spans="1:8" x14ac:dyDescent="0.2">
      <c r="A65" s="684">
        <f>A64+1</f>
        <v>29</v>
      </c>
      <c r="B65" s="685">
        <f>D31*1</f>
        <v>20.766666666666662</v>
      </c>
      <c r="C65" s="310"/>
      <c r="D65" s="665">
        <f>E65*0.7</f>
        <v>14.536666666666662</v>
      </c>
      <c r="E65" s="663">
        <f>B65</f>
        <v>20.766666666666662</v>
      </c>
      <c r="F65" s="664">
        <f t="shared" si="12"/>
        <v>29.073333333333323</v>
      </c>
    </row>
    <row r="66" spans="1:8" x14ac:dyDescent="0.2">
      <c r="A66" s="686">
        <f>A65+1</f>
        <v>30</v>
      </c>
      <c r="B66" s="687">
        <f>D32*1</f>
        <v>21.599999999999994</v>
      </c>
      <c r="C66" s="688"/>
      <c r="D66" s="671">
        <f>E66*0.7</f>
        <v>15.119999999999996</v>
      </c>
      <c r="E66" s="672">
        <f>B66</f>
        <v>21.599999999999994</v>
      </c>
      <c r="F66" s="673">
        <f t="shared" si="12"/>
        <v>30.239999999999991</v>
      </c>
    </row>
    <row r="67" spans="1:8" x14ac:dyDescent="0.2">
      <c r="C67" s="689"/>
      <c r="D67" s="689"/>
      <c r="E67" s="689"/>
      <c r="F67" s="663"/>
    </row>
    <row r="69" spans="1:8" x14ac:dyDescent="0.2">
      <c r="A69" s="690" t="s">
        <v>1109</v>
      </c>
      <c r="B69" s="691" t="s">
        <v>1110</v>
      </c>
      <c r="C69" s="691" t="s">
        <v>1111</v>
      </c>
      <c r="D69" s="692" t="s">
        <v>1112</v>
      </c>
      <c r="E69" s="690" t="s">
        <v>1113</v>
      </c>
      <c r="G69" s="690" t="s">
        <v>1112</v>
      </c>
      <c r="H69" s="690" t="s">
        <v>1114</v>
      </c>
    </row>
    <row r="70" spans="1:8" x14ac:dyDescent="0.2">
      <c r="A70" s="628" t="s">
        <v>259</v>
      </c>
      <c r="B70" s="693" t="s">
        <v>1115</v>
      </c>
      <c r="C70" s="694">
        <v>1</v>
      </c>
      <c r="D70" s="695" t="s">
        <v>1116</v>
      </c>
      <c r="E70" s="292">
        <f t="shared" ref="E70:E81" si="14">VLOOKUP(D70,$G$70:$H$72,2,FALSE)</f>
        <v>0.15</v>
      </c>
      <c r="G70" s="696" t="s">
        <v>1116</v>
      </c>
      <c r="H70" s="697">
        <v>0.15</v>
      </c>
    </row>
    <row r="71" spans="1:8" x14ac:dyDescent="0.2">
      <c r="A71" s="628" t="s">
        <v>308</v>
      </c>
      <c r="B71" s="698" t="s">
        <v>1115</v>
      </c>
      <c r="C71" s="699">
        <v>1</v>
      </c>
      <c r="D71" s="700" t="s">
        <v>1117</v>
      </c>
      <c r="E71" s="292">
        <f t="shared" si="14"/>
        <v>0.2</v>
      </c>
      <c r="G71" s="701" t="s">
        <v>1117</v>
      </c>
      <c r="H71" s="702">
        <v>0.2</v>
      </c>
    </row>
    <row r="72" spans="1:8" x14ac:dyDescent="0.2">
      <c r="A72" s="628" t="s">
        <v>324</v>
      </c>
      <c r="B72" s="698" t="s">
        <v>1118</v>
      </c>
      <c r="C72" s="699">
        <v>1.4</v>
      </c>
      <c r="D72" s="700" t="s">
        <v>1117</v>
      </c>
      <c r="E72" s="292">
        <f t="shared" si="14"/>
        <v>0.2</v>
      </c>
      <c r="G72" s="703" t="s">
        <v>1119</v>
      </c>
      <c r="H72" s="704">
        <v>0.25</v>
      </c>
    </row>
    <row r="73" spans="1:8" x14ac:dyDescent="0.2">
      <c r="A73" s="628" t="s">
        <v>382</v>
      </c>
      <c r="B73" s="698" t="s">
        <v>1118</v>
      </c>
      <c r="C73" s="699">
        <v>1</v>
      </c>
      <c r="D73" s="700" t="s">
        <v>1119</v>
      </c>
      <c r="E73" s="292">
        <f t="shared" si="14"/>
        <v>0.25</v>
      </c>
      <c r="F73" s="3"/>
      <c r="G73" s="166"/>
    </row>
    <row r="74" spans="1:8" x14ac:dyDescent="0.2">
      <c r="A74" s="628" t="s">
        <v>398</v>
      </c>
      <c r="B74" s="698" t="s">
        <v>1120</v>
      </c>
      <c r="C74" s="699">
        <v>1.4</v>
      </c>
      <c r="D74" s="700" t="s">
        <v>1119</v>
      </c>
      <c r="E74" s="292">
        <f t="shared" si="14"/>
        <v>0.25</v>
      </c>
      <c r="F74" s="3"/>
    </row>
    <row r="75" spans="1:8" x14ac:dyDescent="0.2">
      <c r="A75" s="628" t="s">
        <v>352</v>
      </c>
      <c r="B75" s="698" t="s">
        <v>1118</v>
      </c>
      <c r="C75" s="699">
        <v>1</v>
      </c>
      <c r="D75" s="700" t="s">
        <v>1117</v>
      </c>
      <c r="E75" s="292">
        <f t="shared" si="14"/>
        <v>0.2</v>
      </c>
    </row>
    <row r="76" spans="1:8" x14ac:dyDescent="0.2">
      <c r="A76" s="628" t="s">
        <v>368</v>
      </c>
      <c r="B76" s="698" t="s">
        <v>1120</v>
      </c>
      <c r="C76" s="699">
        <v>1.4</v>
      </c>
      <c r="D76" s="700" t="s">
        <v>1119</v>
      </c>
      <c r="E76" s="292">
        <f t="shared" si="14"/>
        <v>0.25</v>
      </c>
    </row>
    <row r="77" spans="1:8" x14ac:dyDescent="0.2">
      <c r="A77" s="628" t="s">
        <v>382</v>
      </c>
      <c r="B77" s="698" t="s">
        <v>1120</v>
      </c>
      <c r="C77" s="699">
        <v>1</v>
      </c>
      <c r="D77" s="700" t="s">
        <v>1117</v>
      </c>
      <c r="E77" s="292">
        <f t="shared" si="14"/>
        <v>0.2</v>
      </c>
    </row>
    <row r="78" spans="1:8" x14ac:dyDescent="0.2">
      <c r="A78" s="628" t="s">
        <v>398</v>
      </c>
      <c r="B78" s="698" t="s">
        <v>1118</v>
      </c>
      <c r="C78" s="699">
        <v>1.4</v>
      </c>
      <c r="D78" s="700" t="s">
        <v>1117</v>
      </c>
      <c r="E78" s="292">
        <f t="shared" si="14"/>
        <v>0.2</v>
      </c>
    </row>
    <row r="79" spans="1:8" x14ac:dyDescent="0.2">
      <c r="A79" s="628" t="s">
        <v>443</v>
      </c>
      <c r="B79" s="698" t="s">
        <v>1120</v>
      </c>
      <c r="C79" s="699">
        <v>1.3</v>
      </c>
      <c r="D79" s="700" t="s">
        <v>1119</v>
      </c>
      <c r="E79" s="292">
        <f t="shared" si="14"/>
        <v>0.25</v>
      </c>
    </row>
    <row r="80" spans="1:8" x14ac:dyDescent="0.2">
      <c r="A80" s="628" t="s">
        <v>411</v>
      </c>
      <c r="B80" s="698" t="s">
        <v>1118</v>
      </c>
      <c r="C80" s="699">
        <v>1.4</v>
      </c>
      <c r="D80" s="700" t="s">
        <v>1119</v>
      </c>
      <c r="E80" s="292">
        <f t="shared" si="14"/>
        <v>0.25</v>
      </c>
    </row>
    <row r="81" spans="1:9" x14ac:dyDescent="0.2">
      <c r="A81" s="705" t="s">
        <v>427</v>
      </c>
      <c r="B81" s="706" t="s">
        <v>1118</v>
      </c>
      <c r="C81" s="707">
        <v>1.2</v>
      </c>
      <c r="D81" s="708" t="s">
        <v>1117</v>
      </c>
      <c r="E81" s="709">
        <f t="shared" si="14"/>
        <v>0.2</v>
      </c>
    </row>
    <row r="82" spans="1:9" x14ac:dyDescent="0.2">
      <c r="A82" s="710"/>
    </row>
    <row r="83" spans="1:9" x14ac:dyDescent="0.2">
      <c r="A83" s="710"/>
    </row>
    <row r="84" spans="1:9" x14ac:dyDescent="0.2">
      <c r="A84" s="711" t="s">
        <v>1121</v>
      </c>
      <c r="B84" s="712" t="s">
        <v>95</v>
      </c>
    </row>
    <row r="85" spans="1:9" x14ac:dyDescent="0.2">
      <c r="A85" s="628" t="s">
        <v>1107</v>
      </c>
      <c r="B85" s="713">
        <v>0.08</v>
      </c>
    </row>
    <row r="86" spans="1:9" x14ac:dyDescent="0.2">
      <c r="A86" s="628" t="s">
        <v>164</v>
      </c>
      <c r="B86" s="713">
        <v>0.2</v>
      </c>
      <c r="E86" s="712" t="s">
        <v>1122</v>
      </c>
      <c r="F86" s="712" t="s">
        <v>959</v>
      </c>
      <c r="H86" s="712" t="s">
        <v>959</v>
      </c>
      <c r="I86" s="712" t="s">
        <v>1123</v>
      </c>
    </row>
    <row r="87" spans="1:9" x14ac:dyDescent="0.2">
      <c r="A87" s="714" t="s">
        <v>1108</v>
      </c>
      <c r="B87" s="715">
        <v>0.32</v>
      </c>
      <c r="E87" s="697" t="s">
        <v>257</v>
      </c>
      <c r="F87" s="643">
        <v>1</v>
      </c>
      <c r="H87" s="697">
        <v>1</v>
      </c>
      <c r="I87" s="697" t="s">
        <v>1124</v>
      </c>
    </row>
    <row r="88" spans="1:9" x14ac:dyDescent="0.2">
      <c r="E88" s="702" t="s">
        <v>324</v>
      </c>
      <c r="F88" s="417">
        <v>2</v>
      </c>
      <c r="G88" s="417"/>
      <c r="H88" s="702">
        <v>2</v>
      </c>
      <c r="I88" s="702" t="s">
        <v>1125</v>
      </c>
    </row>
    <row r="89" spans="1:9" x14ac:dyDescent="0.2">
      <c r="E89" s="702" t="s">
        <v>259</v>
      </c>
      <c r="F89" s="417">
        <v>3</v>
      </c>
      <c r="H89" s="702">
        <v>3</v>
      </c>
      <c r="I89" s="702" t="s">
        <v>1126</v>
      </c>
    </row>
    <row r="90" spans="1:9" x14ac:dyDescent="0.2">
      <c r="A90" s="711" t="s">
        <v>1127</v>
      </c>
      <c r="B90" s="712" t="s">
        <v>1128</v>
      </c>
      <c r="E90" s="702" t="s">
        <v>261</v>
      </c>
      <c r="F90" s="417">
        <v>4</v>
      </c>
      <c r="H90" s="701">
        <v>4</v>
      </c>
      <c r="I90" s="702" t="s">
        <v>1129</v>
      </c>
    </row>
    <row r="91" spans="1:9" x14ac:dyDescent="0.2">
      <c r="A91" s="628" t="s">
        <v>1130</v>
      </c>
      <c r="B91" s="713">
        <v>0.2</v>
      </c>
      <c r="E91" s="702" t="s">
        <v>368</v>
      </c>
      <c r="F91" s="417">
        <v>5</v>
      </c>
      <c r="H91" s="701">
        <v>5</v>
      </c>
      <c r="I91" s="702" t="s">
        <v>1131</v>
      </c>
    </row>
    <row r="92" spans="1:9" x14ac:dyDescent="0.2">
      <c r="A92" s="628" t="s">
        <v>1132</v>
      </c>
      <c r="B92" s="713">
        <v>0.3</v>
      </c>
      <c r="E92" s="702" t="s">
        <v>263</v>
      </c>
      <c r="F92" s="417">
        <v>6</v>
      </c>
      <c r="H92" s="701">
        <v>11</v>
      </c>
      <c r="I92" s="702" t="s">
        <v>1130</v>
      </c>
    </row>
    <row r="93" spans="1:9" x14ac:dyDescent="0.2">
      <c r="A93" s="710" t="s">
        <v>1133</v>
      </c>
      <c r="B93" s="713">
        <v>0.15</v>
      </c>
      <c r="E93" s="702" t="s">
        <v>398</v>
      </c>
      <c r="F93" s="470">
        <v>7</v>
      </c>
      <c r="H93" s="701">
        <v>12</v>
      </c>
      <c r="I93" s="702" t="s">
        <v>1132</v>
      </c>
    </row>
    <row r="94" spans="1:9" x14ac:dyDescent="0.2">
      <c r="A94" s="710" t="s">
        <v>1134</v>
      </c>
      <c r="B94" s="713">
        <v>0.2</v>
      </c>
      <c r="E94" s="702" t="s">
        <v>265</v>
      </c>
      <c r="F94" s="470">
        <v>8</v>
      </c>
      <c r="H94" s="701">
        <v>13</v>
      </c>
      <c r="I94" s="702" t="s">
        <v>1135</v>
      </c>
    </row>
    <row r="95" spans="1:9" x14ac:dyDescent="0.2">
      <c r="A95" s="714" t="s">
        <v>1136</v>
      </c>
      <c r="B95" s="715">
        <v>0.15</v>
      </c>
      <c r="E95" s="702" t="s">
        <v>267</v>
      </c>
      <c r="F95" s="470">
        <v>11</v>
      </c>
      <c r="H95" s="701">
        <v>14</v>
      </c>
      <c r="I95" s="702" t="s">
        <v>1137</v>
      </c>
    </row>
    <row r="96" spans="1:9" x14ac:dyDescent="0.2">
      <c r="E96" s="702" t="s">
        <v>269</v>
      </c>
      <c r="F96" s="470">
        <v>12</v>
      </c>
      <c r="H96" s="701">
        <v>15</v>
      </c>
      <c r="I96" s="702" t="s">
        <v>1138</v>
      </c>
    </row>
    <row r="97" spans="1:9" x14ac:dyDescent="0.2">
      <c r="A97" s="711" t="s">
        <v>1139</v>
      </c>
      <c r="B97" s="716">
        <v>0.1</v>
      </c>
      <c r="E97" s="702" t="s">
        <v>271</v>
      </c>
      <c r="F97" s="470">
        <v>13</v>
      </c>
      <c r="H97" s="701">
        <v>21</v>
      </c>
      <c r="I97" s="702" t="s">
        <v>1140</v>
      </c>
    </row>
    <row r="98" spans="1:9" x14ac:dyDescent="0.2">
      <c r="A98" s="711" t="s">
        <v>1141</v>
      </c>
      <c r="B98" s="716">
        <v>0.4</v>
      </c>
      <c r="C98" s="1" t="s">
        <v>1142</v>
      </c>
      <c r="E98" s="701" t="s">
        <v>273</v>
      </c>
      <c r="F98" s="470">
        <v>14</v>
      </c>
      <c r="H98" s="701">
        <v>22</v>
      </c>
      <c r="I98" s="702" t="s">
        <v>1143</v>
      </c>
    </row>
    <row r="99" spans="1:9" x14ac:dyDescent="0.2">
      <c r="E99" s="701" t="s">
        <v>275</v>
      </c>
      <c r="F99" s="470">
        <v>15</v>
      </c>
      <c r="H99" s="701">
        <v>23</v>
      </c>
      <c r="I99" s="702" t="s">
        <v>1144</v>
      </c>
    </row>
    <row r="100" spans="1:9" x14ac:dyDescent="0.2">
      <c r="E100" s="701" t="s">
        <v>277</v>
      </c>
      <c r="F100" s="470">
        <v>16</v>
      </c>
      <c r="H100" s="701">
        <v>31</v>
      </c>
      <c r="I100" s="702" t="s">
        <v>107</v>
      </c>
    </row>
    <row r="101" spans="1:9" x14ac:dyDescent="0.2">
      <c r="E101" s="702" t="s">
        <v>195</v>
      </c>
      <c r="F101" s="470">
        <v>21</v>
      </c>
      <c r="H101" s="703">
        <v>32</v>
      </c>
      <c r="I101" s="704" t="s">
        <v>1145</v>
      </c>
    </row>
    <row r="102" spans="1:9" x14ac:dyDescent="0.2">
      <c r="E102" s="702" t="s">
        <v>199</v>
      </c>
      <c r="F102" s="470">
        <v>22</v>
      </c>
      <c r="H102" s="701">
        <v>34</v>
      </c>
      <c r="I102" s="701" t="s">
        <v>1146</v>
      </c>
    </row>
    <row r="103" spans="1:9" x14ac:dyDescent="0.2">
      <c r="E103" s="702" t="s">
        <v>186</v>
      </c>
      <c r="F103" s="470">
        <v>23</v>
      </c>
      <c r="H103" s="701">
        <v>35</v>
      </c>
      <c r="I103" s="701" t="s">
        <v>781</v>
      </c>
    </row>
    <row r="104" spans="1:9" x14ac:dyDescent="0.2">
      <c r="E104" s="702" t="s">
        <v>281</v>
      </c>
      <c r="F104" s="470">
        <v>24</v>
      </c>
      <c r="H104" s="701">
        <v>36</v>
      </c>
      <c r="I104" s="701" t="s">
        <v>250</v>
      </c>
    </row>
    <row r="105" spans="1:9" x14ac:dyDescent="0.2">
      <c r="E105" s="702" t="s">
        <v>285</v>
      </c>
      <c r="F105" s="470">
        <v>25</v>
      </c>
      <c r="H105" s="701">
        <v>37</v>
      </c>
      <c r="I105" s="701" t="s">
        <v>1315</v>
      </c>
    </row>
    <row r="106" spans="1:9" x14ac:dyDescent="0.2">
      <c r="E106" s="702" t="s">
        <v>107</v>
      </c>
      <c r="F106" s="470">
        <v>31</v>
      </c>
    </row>
    <row r="107" spans="1:9" x14ac:dyDescent="0.2">
      <c r="E107" s="702" t="s">
        <v>178</v>
      </c>
      <c r="F107" s="470">
        <v>32</v>
      </c>
    </row>
    <row r="108" spans="1:9" x14ac:dyDescent="0.2">
      <c r="E108" s="702" t="s">
        <v>216</v>
      </c>
      <c r="F108" s="470">
        <v>33</v>
      </c>
    </row>
    <row r="109" spans="1:9" x14ac:dyDescent="0.2">
      <c r="E109" s="702" t="s">
        <v>0</v>
      </c>
      <c r="F109" s="470">
        <v>34</v>
      </c>
    </row>
    <row r="110" spans="1:9" x14ac:dyDescent="0.2">
      <c r="E110" s="701" t="s">
        <v>781</v>
      </c>
      <c r="F110" s="470">
        <v>35</v>
      </c>
    </row>
    <row r="111" spans="1:9" x14ac:dyDescent="0.2">
      <c r="E111" s="701" t="s">
        <v>250</v>
      </c>
      <c r="F111" s="470">
        <v>36</v>
      </c>
    </row>
    <row r="112" spans="1:9" x14ac:dyDescent="0.2">
      <c r="E112" s="701" t="s">
        <v>1316</v>
      </c>
      <c r="F112" s="470">
        <v>37</v>
      </c>
    </row>
    <row r="113" spans="5:6" x14ac:dyDescent="0.2">
      <c r="E113" s="701" t="s">
        <v>287</v>
      </c>
      <c r="F113" s="470">
        <v>41</v>
      </c>
    </row>
    <row r="114" spans="5:6" x14ac:dyDescent="0.2">
      <c r="E114" s="701" t="s">
        <v>289</v>
      </c>
      <c r="F114" s="470">
        <v>42</v>
      </c>
    </row>
    <row r="115" spans="5:6" x14ac:dyDescent="0.2">
      <c r="E115" s="703" t="s">
        <v>291</v>
      </c>
      <c r="F115" s="566">
        <v>43</v>
      </c>
    </row>
  </sheetData>
  <mergeCells count="1">
    <mergeCell ref="G1:I1"/>
  </mergeCells>
  <dataValidations count="2">
    <dataValidation type="list" allowBlank="1" showDropDown="1" showErrorMessage="1" sqref="D70:D81">
      <formula1>$G$70:$G$72</formula1>
      <formula2>0</formula2>
    </dataValidation>
    <dataValidation type="list" allowBlank="1" showDropDown="1" showErrorMessage="1" sqref="B70:B81">
      <formula1>#REF!</formula1>
      <formula2>0</formula2>
    </dataValidation>
  </dataValidations>
  <pageMargins left="0.78749999999999998" right="0.78749999999999998" top="0.78749999999999998" bottom="0.78749999999999998" header="9.8611111111111108E-2" footer="9.8611111111111108E-2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29"/>
  <sheetViews>
    <sheetView workbookViewId="0">
      <selection activeCell="W49" sqref="W49"/>
    </sheetView>
  </sheetViews>
  <sheetFormatPr baseColWidth="10" defaultRowHeight="12.75" x14ac:dyDescent="0.2"/>
  <cols>
    <col min="1" max="1" width="19" style="1" customWidth="1"/>
    <col min="2" max="16384" width="11.42578125" style="1"/>
  </cols>
  <sheetData>
    <row r="1" spans="1:1" x14ac:dyDescent="0.2">
      <c r="A1" s="717" t="s">
        <v>308</v>
      </c>
    </row>
    <row r="2" spans="1:1" x14ac:dyDescent="0.2">
      <c r="A2" s="294" t="s">
        <v>1147</v>
      </c>
    </row>
    <row r="4" spans="1:1" x14ac:dyDescent="0.2">
      <c r="A4" s="717" t="s">
        <v>259</v>
      </c>
    </row>
    <row r="5" spans="1:1" x14ac:dyDescent="0.2">
      <c r="A5" s="718" t="s">
        <v>1148</v>
      </c>
    </row>
    <row r="6" spans="1:1" x14ac:dyDescent="0.2">
      <c r="A6" s="718" t="s">
        <v>1149</v>
      </c>
    </row>
    <row r="7" spans="1:1" x14ac:dyDescent="0.2">
      <c r="A7" s="718" t="s">
        <v>1150</v>
      </c>
    </row>
    <row r="8" spans="1:1" x14ac:dyDescent="0.2">
      <c r="A8" s="718" t="s">
        <v>1151</v>
      </c>
    </row>
    <row r="9" spans="1:1" x14ac:dyDescent="0.2">
      <c r="A9" s="718" t="s">
        <v>1152</v>
      </c>
    </row>
    <row r="10" spans="1:1" x14ac:dyDescent="0.2">
      <c r="A10" s="718" t="s">
        <v>1153</v>
      </c>
    </row>
    <row r="12" spans="1:1" x14ac:dyDescent="0.2">
      <c r="A12" s="719" t="s">
        <v>411</v>
      </c>
    </row>
    <row r="13" spans="1:1" x14ac:dyDescent="0.2">
      <c r="A13" s="718" t="s">
        <v>1154</v>
      </c>
    </row>
    <row r="14" spans="1:1" x14ac:dyDescent="0.2">
      <c r="A14" s="718" t="s">
        <v>1155</v>
      </c>
    </row>
    <row r="15" spans="1:1" x14ac:dyDescent="0.2">
      <c r="A15" s="718" t="s">
        <v>1156</v>
      </c>
    </row>
    <row r="16" spans="1:1" x14ac:dyDescent="0.2">
      <c r="A16" s="718" t="s">
        <v>1157</v>
      </c>
    </row>
    <row r="17" spans="1:1" x14ac:dyDescent="0.2">
      <c r="A17" s="718" t="s">
        <v>1158</v>
      </c>
    </row>
    <row r="19" spans="1:1" x14ac:dyDescent="0.2">
      <c r="A19" s="719" t="s">
        <v>427</v>
      </c>
    </row>
    <row r="20" spans="1:1" x14ac:dyDescent="0.2">
      <c r="A20" s="718" t="s">
        <v>1159</v>
      </c>
    </row>
    <row r="21" spans="1:1" x14ac:dyDescent="0.2">
      <c r="A21" s="718" t="s">
        <v>1160</v>
      </c>
    </row>
    <row r="22" spans="1:1" x14ac:dyDescent="0.2">
      <c r="A22" s="718" t="s">
        <v>1161</v>
      </c>
    </row>
    <row r="23" spans="1:1" x14ac:dyDescent="0.2">
      <c r="A23" s="718" t="s">
        <v>435</v>
      </c>
    </row>
    <row r="24" spans="1:1" x14ac:dyDescent="0.2">
      <c r="A24" s="718" t="s">
        <v>1162</v>
      </c>
    </row>
    <row r="25" spans="1:1" x14ac:dyDescent="0.2">
      <c r="A25" s="718" t="s">
        <v>1163</v>
      </c>
    </row>
    <row r="27" spans="1:1" x14ac:dyDescent="0.2">
      <c r="A27" s="719" t="s">
        <v>443</v>
      </c>
    </row>
    <row r="28" spans="1:1" x14ac:dyDescent="0.2">
      <c r="A28" s="718" t="s">
        <v>1164</v>
      </c>
    </row>
    <row r="29" spans="1:1" x14ac:dyDescent="0.2">
      <c r="A29" s="718" t="s">
        <v>1165</v>
      </c>
    </row>
  </sheetData>
  <pageMargins left="0.78749999999999998" right="0.78749999999999998" top="0.78749999999999998" bottom="0.78749999999999998" header="0.51180555555555551" footer="0.51180555555555551"/>
  <pageSetup paperSize="9"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B6"/>
  <sheetViews>
    <sheetView workbookViewId="0">
      <selection activeCell="W49" sqref="W49"/>
    </sheetView>
  </sheetViews>
  <sheetFormatPr baseColWidth="10" defaultColWidth="9" defaultRowHeight="12.75" x14ac:dyDescent="0.2"/>
  <cols>
    <col min="1" max="1" width="20.7109375" style="720" customWidth="1"/>
    <col min="2" max="2" width="25" style="1" customWidth="1"/>
    <col min="3" max="16384" width="9" style="1"/>
  </cols>
  <sheetData>
    <row r="1" spans="1:2" x14ac:dyDescent="0.2">
      <c r="A1" s="721" t="s">
        <v>1166</v>
      </c>
      <c r="B1" s="722" t="s">
        <v>1167</v>
      </c>
    </row>
    <row r="2" spans="1:2" x14ac:dyDescent="0.2">
      <c r="A2" s="723" t="s">
        <v>1168</v>
      </c>
      <c r="B2" s="697" t="s">
        <v>1169</v>
      </c>
    </row>
    <row r="3" spans="1:2" x14ac:dyDescent="0.2">
      <c r="A3" s="724" t="s">
        <v>1170</v>
      </c>
      <c r="B3" s="702" t="s">
        <v>1171</v>
      </c>
    </row>
    <row r="4" spans="1:2" x14ac:dyDescent="0.2">
      <c r="A4" s="724" t="s">
        <v>1172</v>
      </c>
      <c r="B4" s="702" t="s">
        <v>1173</v>
      </c>
    </row>
    <row r="5" spans="1:2" x14ac:dyDescent="0.2">
      <c r="A5" s="724" t="s">
        <v>1174</v>
      </c>
      <c r="B5" s="702" t="s">
        <v>1175</v>
      </c>
    </row>
    <row r="6" spans="1:2" x14ac:dyDescent="0.2">
      <c r="A6" s="725" t="s">
        <v>1176</v>
      </c>
      <c r="B6" s="704" t="s">
        <v>1177</v>
      </c>
    </row>
  </sheetData>
  <pageMargins left="0.78749999999999998" right="0.78749999999999998" top="0.78749999999999998" bottom="0.78749999999999998" header="0.51180555555555551" footer="0.51180555555555551"/>
  <pageSetup paperSize="9"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S33"/>
  <sheetViews>
    <sheetView zoomScale="75" zoomScaleNormal="75" workbookViewId="0">
      <selection activeCell="J30" sqref="J30"/>
    </sheetView>
  </sheetViews>
  <sheetFormatPr baseColWidth="10" defaultColWidth="9" defaultRowHeight="12.75" x14ac:dyDescent="0.2"/>
  <cols>
    <col min="1" max="1" width="9" style="1"/>
    <col min="2" max="2" width="11.7109375" style="1" customWidth="1"/>
    <col min="3" max="3" width="11.140625" style="1" customWidth="1"/>
    <col min="4" max="4" width="2.28515625" style="1" customWidth="1"/>
    <col min="5" max="5" width="17.42578125" style="6" customWidth="1"/>
    <col min="6" max="6" width="16.28515625" style="6" customWidth="1"/>
    <col min="7" max="7" width="13.140625" style="6" customWidth="1"/>
    <col min="8" max="9" width="10.7109375" style="6" customWidth="1"/>
    <col min="10" max="10" width="8.5703125" style="726" customWidth="1"/>
    <col min="11" max="11" width="8.5703125" style="727" customWidth="1"/>
    <col min="12" max="12" width="8.5703125" style="726" customWidth="1"/>
    <col min="13" max="13" width="8.5703125" style="727" customWidth="1"/>
    <col min="14" max="14" width="8.5703125" style="726" customWidth="1"/>
    <col min="15" max="16" width="10.7109375" style="726" customWidth="1"/>
    <col min="17" max="17" width="11.140625" style="427" customWidth="1"/>
    <col min="18" max="18" width="9.140625" style="427" customWidth="1"/>
    <col min="19" max="19" width="20.140625" style="728" customWidth="1"/>
    <col min="20" max="16384" width="9" style="1"/>
  </cols>
  <sheetData>
    <row r="1" spans="1:19" s="733" customFormat="1" ht="24" customHeight="1" x14ac:dyDescent="0.2">
      <c r="A1" s="729" t="s">
        <v>1096</v>
      </c>
      <c r="B1" s="730" t="s">
        <v>1178</v>
      </c>
      <c r="C1" s="730" t="s">
        <v>1179</v>
      </c>
      <c r="D1" s="731"/>
      <c r="E1" s="871" t="s">
        <v>1180</v>
      </c>
      <c r="F1" s="871"/>
      <c r="G1" s="871"/>
      <c r="H1" s="871"/>
      <c r="I1" s="871"/>
      <c r="J1" s="872" t="s">
        <v>1181</v>
      </c>
      <c r="K1" s="872"/>
      <c r="L1" s="872"/>
      <c r="M1" s="872"/>
      <c r="N1" s="872"/>
      <c r="O1" s="867" t="s">
        <v>1182</v>
      </c>
      <c r="P1" s="867"/>
      <c r="Q1" s="867" t="s">
        <v>1183</v>
      </c>
      <c r="R1" s="867"/>
      <c r="S1" s="732" t="s">
        <v>1184</v>
      </c>
    </row>
    <row r="2" spans="1:19" ht="24.75" customHeight="1" x14ac:dyDescent="0.2">
      <c r="A2" s="712"/>
      <c r="B2" s="712">
        <v>0.2</v>
      </c>
      <c r="C2" s="712">
        <v>1.1499999999999999</v>
      </c>
      <c r="D2" s="734"/>
      <c r="E2" s="712">
        <v>1</v>
      </c>
      <c r="F2" s="712">
        <v>2</v>
      </c>
      <c r="G2" s="712">
        <v>3</v>
      </c>
      <c r="H2" s="712">
        <v>4</v>
      </c>
      <c r="I2" s="712">
        <v>5</v>
      </c>
      <c r="J2" s="735">
        <v>1</v>
      </c>
      <c r="K2" s="736">
        <v>2</v>
      </c>
      <c r="L2" s="736">
        <v>3</v>
      </c>
      <c r="M2" s="736">
        <v>4</v>
      </c>
      <c r="N2" s="737">
        <v>5</v>
      </c>
      <c r="O2" s="738" t="s">
        <v>1185</v>
      </c>
      <c r="P2" s="739" t="s">
        <v>1186</v>
      </c>
      <c r="Q2" s="738" t="s">
        <v>1185</v>
      </c>
      <c r="R2" s="739" t="s">
        <v>1186</v>
      </c>
      <c r="S2" s="740" t="s">
        <v>1187</v>
      </c>
    </row>
    <row r="3" spans="1:19" x14ac:dyDescent="0.2">
      <c r="A3" s="417">
        <v>1</v>
      </c>
      <c r="B3" s="741">
        <v>1</v>
      </c>
      <c r="C3" s="741">
        <v>1</v>
      </c>
      <c r="D3" s="697"/>
      <c r="E3" s="742">
        <v>0.97</v>
      </c>
      <c r="F3" s="743">
        <v>0.03</v>
      </c>
      <c r="G3" s="744">
        <v>0</v>
      </c>
      <c r="H3" s="744">
        <v>0</v>
      </c>
      <c r="I3" s="745">
        <v>0</v>
      </c>
      <c r="J3" s="746">
        <f t="shared" ref="J3:J27" si="0">E3*E$31</f>
        <v>5.82</v>
      </c>
      <c r="K3" s="747">
        <f>F3*F$31</f>
        <v>0.18</v>
      </c>
      <c r="L3" s="748">
        <f t="shared" ref="L3:L27" si="1">G3*G$31</f>
        <v>0</v>
      </c>
      <c r="M3" s="748">
        <f t="shared" ref="M3:M27" si="2">H3*H$31</f>
        <v>0</v>
      </c>
      <c r="N3" s="748">
        <f t="shared" ref="N3:N27" si="3">I3*I$31</f>
        <v>0</v>
      </c>
      <c r="O3" s="749">
        <f>$E$31*$E$33</f>
        <v>120</v>
      </c>
      <c r="P3" s="750">
        <f t="shared" ref="P3:P27" si="4">4*O3</f>
        <v>480</v>
      </c>
      <c r="Q3" s="749">
        <f t="shared" ref="Q3:Q27" si="5">J3*$E$33+K3*$F$33+L3*$G$33+M3*$H$33+N3*$I$33</f>
        <v>123.60000000000001</v>
      </c>
      <c r="R3" s="750">
        <f t="shared" ref="R3:R27" si="6">Q3*4</f>
        <v>494.40000000000003</v>
      </c>
      <c r="S3" s="751">
        <f t="shared" ref="S3:S27" si="7">P3/$P$3</f>
        <v>1</v>
      </c>
    </row>
    <row r="4" spans="1:19" x14ac:dyDescent="0.2">
      <c r="A4" s="752">
        <f t="shared" ref="A4:A27" si="8">A3+1</f>
        <v>2</v>
      </c>
      <c r="B4" s="741">
        <f t="shared" ref="B4:B27" si="9">B3+$B$2</f>
        <v>1.2</v>
      </c>
      <c r="C4" s="741">
        <f t="shared" ref="C4:C27" si="10">C3*$C$2</f>
        <v>1.1499999999999999</v>
      </c>
      <c r="D4" s="702"/>
      <c r="E4" s="742">
        <v>0.94</v>
      </c>
      <c r="F4" s="743">
        <v>0.06</v>
      </c>
      <c r="G4" s="744">
        <v>0</v>
      </c>
      <c r="H4" s="744">
        <v>0</v>
      </c>
      <c r="I4" s="745">
        <v>0</v>
      </c>
      <c r="J4" s="746">
        <f t="shared" si="0"/>
        <v>5.64</v>
      </c>
      <c r="K4" s="747">
        <f t="shared" ref="K4:K27" si="11">F4*F$31</f>
        <v>0.36</v>
      </c>
      <c r="L4" s="748">
        <f t="shared" si="1"/>
        <v>0</v>
      </c>
      <c r="M4" s="748">
        <f t="shared" si="2"/>
        <v>0</v>
      </c>
      <c r="N4" s="748">
        <f t="shared" si="3"/>
        <v>0</v>
      </c>
      <c r="O4" s="749">
        <f>$E$31*$E$33</f>
        <v>120</v>
      </c>
      <c r="P4" s="750">
        <f t="shared" si="4"/>
        <v>480</v>
      </c>
      <c r="Q4" s="749">
        <f t="shared" si="5"/>
        <v>127.19999999999999</v>
      </c>
      <c r="R4" s="750">
        <f t="shared" si="6"/>
        <v>508.79999999999995</v>
      </c>
      <c r="S4" s="753">
        <f t="shared" si="7"/>
        <v>1</v>
      </c>
    </row>
    <row r="5" spans="1:19" x14ac:dyDescent="0.2">
      <c r="A5" s="752">
        <f t="shared" si="8"/>
        <v>3</v>
      </c>
      <c r="B5" s="741">
        <f t="shared" si="9"/>
        <v>1.4</v>
      </c>
      <c r="C5" s="741">
        <f t="shared" si="10"/>
        <v>1.3224999999999998</v>
      </c>
      <c r="D5" s="702"/>
      <c r="E5" s="742">
        <v>0.91</v>
      </c>
      <c r="F5" s="743">
        <v>0.09</v>
      </c>
      <c r="G5" s="744">
        <v>0</v>
      </c>
      <c r="H5" s="744">
        <v>0</v>
      </c>
      <c r="I5" s="745">
        <v>0</v>
      </c>
      <c r="J5" s="746">
        <f t="shared" si="0"/>
        <v>5.46</v>
      </c>
      <c r="K5" s="747">
        <f t="shared" si="11"/>
        <v>0.54</v>
      </c>
      <c r="L5" s="748">
        <f t="shared" si="1"/>
        <v>0</v>
      </c>
      <c r="M5" s="748">
        <f t="shared" si="2"/>
        <v>0</v>
      </c>
      <c r="N5" s="748">
        <f t="shared" si="3"/>
        <v>0</v>
      </c>
      <c r="O5" s="749">
        <f>$E$31*$E$33</f>
        <v>120</v>
      </c>
      <c r="P5" s="750">
        <f t="shared" si="4"/>
        <v>480</v>
      </c>
      <c r="Q5" s="749">
        <f t="shared" si="5"/>
        <v>130.80000000000001</v>
      </c>
      <c r="R5" s="750">
        <f t="shared" si="6"/>
        <v>523.20000000000005</v>
      </c>
      <c r="S5" s="753">
        <f t="shared" si="7"/>
        <v>1</v>
      </c>
    </row>
    <row r="6" spans="1:19" x14ac:dyDescent="0.2">
      <c r="A6" s="752">
        <f t="shared" si="8"/>
        <v>4</v>
      </c>
      <c r="B6" s="741">
        <f t="shared" si="9"/>
        <v>1.5999999999999999</v>
      </c>
      <c r="C6" s="741">
        <f t="shared" si="10"/>
        <v>1.5208749999999995</v>
      </c>
      <c r="D6" s="702"/>
      <c r="E6" s="742">
        <v>0.88</v>
      </c>
      <c r="F6" s="743">
        <v>0.12</v>
      </c>
      <c r="G6" s="744">
        <v>0</v>
      </c>
      <c r="H6" s="744">
        <v>0</v>
      </c>
      <c r="I6" s="745">
        <v>0</v>
      </c>
      <c r="J6" s="746">
        <f t="shared" si="0"/>
        <v>5.28</v>
      </c>
      <c r="K6" s="747">
        <f t="shared" si="11"/>
        <v>0.72</v>
      </c>
      <c r="L6" s="748">
        <f t="shared" si="1"/>
        <v>0</v>
      </c>
      <c r="M6" s="748">
        <f t="shared" si="2"/>
        <v>0</v>
      </c>
      <c r="N6" s="748">
        <f t="shared" si="3"/>
        <v>0</v>
      </c>
      <c r="O6" s="749">
        <f>$E$31*$E$33</f>
        <v>120</v>
      </c>
      <c r="P6" s="750">
        <f t="shared" si="4"/>
        <v>480</v>
      </c>
      <c r="Q6" s="749">
        <f t="shared" si="5"/>
        <v>134.4</v>
      </c>
      <c r="R6" s="750">
        <f t="shared" si="6"/>
        <v>537.6</v>
      </c>
      <c r="S6" s="753">
        <f t="shared" si="7"/>
        <v>1</v>
      </c>
    </row>
    <row r="7" spans="1:19" x14ac:dyDescent="0.2">
      <c r="A7" s="752">
        <f t="shared" si="8"/>
        <v>5</v>
      </c>
      <c r="B7" s="741">
        <f t="shared" si="9"/>
        <v>1.7999999999999998</v>
      </c>
      <c r="C7" s="741">
        <f t="shared" si="10"/>
        <v>1.7490062499999994</v>
      </c>
      <c r="D7" s="702"/>
      <c r="E7" s="754">
        <v>0.85</v>
      </c>
      <c r="F7" s="755">
        <v>0.15</v>
      </c>
      <c r="G7" s="756">
        <v>0</v>
      </c>
      <c r="H7" s="756">
        <v>0</v>
      </c>
      <c r="I7" s="757">
        <v>0</v>
      </c>
      <c r="J7" s="758">
        <f t="shared" si="0"/>
        <v>5.0999999999999996</v>
      </c>
      <c r="K7" s="759">
        <f t="shared" si="11"/>
        <v>0.89999999999999991</v>
      </c>
      <c r="L7" s="760">
        <f t="shared" si="1"/>
        <v>0</v>
      </c>
      <c r="M7" s="760">
        <f t="shared" si="2"/>
        <v>0</v>
      </c>
      <c r="N7" s="760">
        <f t="shared" si="3"/>
        <v>0</v>
      </c>
      <c r="O7" s="761">
        <f>$E$31*$E$33</f>
        <v>120</v>
      </c>
      <c r="P7" s="762">
        <f t="shared" si="4"/>
        <v>480</v>
      </c>
      <c r="Q7" s="761">
        <f t="shared" si="5"/>
        <v>138</v>
      </c>
      <c r="R7" s="762">
        <f t="shared" si="6"/>
        <v>552</v>
      </c>
      <c r="S7" s="753">
        <f t="shared" si="7"/>
        <v>1</v>
      </c>
    </row>
    <row r="8" spans="1:19" x14ac:dyDescent="0.2">
      <c r="A8" s="752">
        <f t="shared" si="8"/>
        <v>6</v>
      </c>
      <c r="B8" s="741">
        <f t="shared" si="9"/>
        <v>1.9999999999999998</v>
      </c>
      <c r="C8" s="741">
        <f t="shared" si="10"/>
        <v>2.0113571874999994</v>
      </c>
      <c r="D8" s="702"/>
      <c r="E8" s="742">
        <v>0.46</v>
      </c>
      <c r="F8" s="763">
        <v>0.52</v>
      </c>
      <c r="G8" s="743">
        <v>0.02</v>
      </c>
      <c r="H8" s="744">
        <v>0</v>
      </c>
      <c r="I8" s="745">
        <v>0</v>
      </c>
      <c r="J8" s="746">
        <f t="shared" si="0"/>
        <v>2.7600000000000002</v>
      </c>
      <c r="K8" s="764">
        <f t="shared" si="11"/>
        <v>3.12</v>
      </c>
      <c r="L8" s="747">
        <f t="shared" si="1"/>
        <v>0.1</v>
      </c>
      <c r="M8" s="748">
        <f t="shared" si="2"/>
        <v>0</v>
      </c>
      <c r="N8" s="748">
        <f t="shared" si="3"/>
        <v>0</v>
      </c>
      <c r="O8" s="749">
        <f>$F$31*$F$33</f>
        <v>240</v>
      </c>
      <c r="P8" s="750">
        <f t="shared" si="4"/>
        <v>960</v>
      </c>
      <c r="Q8" s="749">
        <f t="shared" si="5"/>
        <v>186</v>
      </c>
      <c r="R8" s="750">
        <f t="shared" si="6"/>
        <v>744</v>
      </c>
      <c r="S8" s="753">
        <f t="shared" si="7"/>
        <v>2</v>
      </c>
    </row>
    <row r="9" spans="1:19" x14ac:dyDescent="0.2">
      <c r="A9" s="752">
        <f t="shared" si="8"/>
        <v>7</v>
      </c>
      <c r="B9" s="741">
        <f t="shared" si="9"/>
        <v>2.1999999999999997</v>
      </c>
      <c r="C9" s="741">
        <f t="shared" si="10"/>
        <v>2.3130607656249991</v>
      </c>
      <c r="D9" s="702"/>
      <c r="E9" s="742">
        <v>0.42</v>
      </c>
      <c r="F9" s="763">
        <v>0.54</v>
      </c>
      <c r="G9" s="743">
        <v>0.04</v>
      </c>
      <c r="H9" s="744">
        <v>0</v>
      </c>
      <c r="I9" s="745">
        <v>0</v>
      </c>
      <c r="J9" s="746">
        <f t="shared" si="0"/>
        <v>2.52</v>
      </c>
      <c r="K9" s="764">
        <f t="shared" si="11"/>
        <v>3.24</v>
      </c>
      <c r="L9" s="747">
        <f t="shared" si="1"/>
        <v>0.2</v>
      </c>
      <c r="M9" s="748">
        <f t="shared" si="2"/>
        <v>0</v>
      </c>
      <c r="N9" s="748">
        <f t="shared" si="3"/>
        <v>0</v>
      </c>
      <c r="O9" s="749">
        <f>$F$31*$F$33</f>
        <v>240</v>
      </c>
      <c r="P9" s="750">
        <f t="shared" si="4"/>
        <v>960</v>
      </c>
      <c r="Q9" s="749">
        <f t="shared" si="5"/>
        <v>192.00000000000003</v>
      </c>
      <c r="R9" s="750">
        <f t="shared" si="6"/>
        <v>768.00000000000011</v>
      </c>
      <c r="S9" s="753">
        <f t="shared" si="7"/>
        <v>2</v>
      </c>
    </row>
    <row r="10" spans="1:19" x14ac:dyDescent="0.2">
      <c r="A10" s="752">
        <f t="shared" si="8"/>
        <v>8</v>
      </c>
      <c r="B10" s="741">
        <f t="shared" si="9"/>
        <v>2.4</v>
      </c>
      <c r="C10" s="741">
        <f t="shared" si="10"/>
        <v>2.6600198804687487</v>
      </c>
      <c r="D10" s="702"/>
      <c r="E10" s="742">
        <v>0.38</v>
      </c>
      <c r="F10" s="763">
        <v>0.56000000000000005</v>
      </c>
      <c r="G10" s="743">
        <v>0.06</v>
      </c>
      <c r="H10" s="744">
        <v>0</v>
      </c>
      <c r="I10" s="745">
        <v>0</v>
      </c>
      <c r="J10" s="746">
        <f t="shared" si="0"/>
        <v>2.2800000000000002</v>
      </c>
      <c r="K10" s="764">
        <f t="shared" si="11"/>
        <v>3.3600000000000003</v>
      </c>
      <c r="L10" s="747">
        <f t="shared" si="1"/>
        <v>0.3</v>
      </c>
      <c r="M10" s="748">
        <f t="shared" si="2"/>
        <v>0</v>
      </c>
      <c r="N10" s="748">
        <f t="shared" si="3"/>
        <v>0</v>
      </c>
      <c r="O10" s="749">
        <f>$F$31*$F$33</f>
        <v>240</v>
      </c>
      <c r="P10" s="750">
        <f t="shared" si="4"/>
        <v>960</v>
      </c>
      <c r="Q10" s="749">
        <f t="shared" si="5"/>
        <v>198</v>
      </c>
      <c r="R10" s="750">
        <f t="shared" si="6"/>
        <v>792</v>
      </c>
      <c r="S10" s="753">
        <f t="shared" si="7"/>
        <v>2</v>
      </c>
    </row>
    <row r="11" spans="1:19" x14ac:dyDescent="0.2">
      <c r="A11" s="752">
        <f t="shared" si="8"/>
        <v>9</v>
      </c>
      <c r="B11" s="741">
        <f t="shared" si="9"/>
        <v>2.6</v>
      </c>
      <c r="C11" s="741">
        <f t="shared" si="10"/>
        <v>3.0590228625390607</v>
      </c>
      <c r="D11" s="702"/>
      <c r="E11" s="742">
        <v>0.34</v>
      </c>
      <c r="F11" s="763">
        <v>0.57999999999999996</v>
      </c>
      <c r="G11" s="743">
        <v>0.08</v>
      </c>
      <c r="H11" s="744">
        <v>0</v>
      </c>
      <c r="I11" s="745">
        <v>0</v>
      </c>
      <c r="J11" s="746">
        <f t="shared" si="0"/>
        <v>2.04</v>
      </c>
      <c r="K11" s="764">
        <f t="shared" si="11"/>
        <v>3.4799999999999995</v>
      </c>
      <c r="L11" s="747">
        <f t="shared" si="1"/>
        <v>0.4</v>
      </c>
      <c r="M11" s="748">
        <f t="shared" si="2"/>
        <v>0</v>
      </c>
      <c r="N11" s="748">
        <f t="shared" si="3"/>
        <v>0</v>
      </c>
      <c r="O11" s="749">
        <f>$F$31*$F$33</f>
        <v>240</v>
      </c>
      <c r="P11" s="750">
        <f t="shared" si="4"/>
        <v>960</v>
      </c>
      <c r="Q11" s="749">
        <f t="shared" si="5"/>
        <v>204</v>
      </c>
      <c r="R11" s="750">
        <f t="shared" si="6"/>
        <v>816</v>
      </c>
      <c r="S11" s="753">
        <f t="shared" si="7"/>
        <v>2</v>
      </c>
    </row>
    <row r="12" spans="1:19" x14ac:dyDescent="0.2">
      <c r="A12" s="752">
        <f t="shared" si="8"/>
        <v>10</v>
      </c>
      <c r="B12" s="741">
        <f t="shared" si="9"/>
        <v>2.8000000000000003</v>
      </c>
      <c r="C12" s="741">
        <f t="shared" si="10"/>
        <v>3.5178762919199196</v>
      </c>
      <c r="D12" s="702"/>
      <c r="E12" s="754">
        <v>0.3</v>
      </c>
      <c r="F12" s="765">
        <v>0.6</v>
      </c>
      <c r="G12" s="755">
        <v>0.1</v>
      </c>
      <c r="H12" s="756">
        <v>0</v>
      </c>
      <c r="I12" s="757">
        <v>0</v>
      </c>
      <c r="J12" s="758">
        <f t="shared" si="0"/>
        <v>1.7999999999999998</v>
      </c>
      <c r="K12" s="766">
        <f t="shared" si="11"/>
        <v>3.5999999999999996</v>
      </c>
      <c r="L12" s="759">
        <f t="shared" si="1"/>
        <v>0.5</v>
      </c>
      <c r="M12" s="760">
        <f t="shared" si="2"/>
        <v>0</v>
      </c>
      <c r="N12" s="760">
        <f t="shared" si="3"/>
        <v>0</v>
      </c>
      <c r="O12" s="749">
        <f>$F$31*$F$33</f>
        <v>240</v>
      </c>
      <c r="P12" s="750">
        <f t="shared" si="4"/>
        <v>960</v>
      </c>
      <c r="Q12" s="749">
        <f t="shared" si="5"/>
        <v>210</v>
      </c>
      <c r="R12" s="750">
        <f t="shared" si="6"/>
        <v>840</v>
      </c>
      <c r="S12" s="753">
        <f t="shared" si="7"/>
        <v>2</v>
      </c>
    </row>
    <row r="13" spans="1:19" x14ac:dyDescent="0.2">
      <c r="A13" s="752">
        <f t="shared" si="8"/>
        <v>11</v>
      </c>
      <c r="B13" s="741">
        <f t="shared" si="9"/>
        <v>3.0000000000000004</v>
      </c>
      <c r="C13" s="741">
        <f t="shared" si="10"/>
        <v>4.0455577357079076</v>
      </c>
      <c r="D13" s="702"/>
      <c r="E13" s="742">
        <v>0.18</v>
      </c>
      <c r="F13" s="763">
        <v>0.28000000000000003</v>
      </c>
      <c r="G13" s="763">
        <v>0.52</v>
      </c>
      <c r="H13" s="743">
        <v>0.02</v>
      </c>
      <c r="I13" s="745">
        <v>0</v>
      </c>
      <c r="J13" s="746">
        <f t="shared" si="0"/>
        <v>1.08</v>
      </c>
      <c r="K13" s="764">
        <f t="shared" si="11"/>
        <v>1.6800000000000002</v>
      </c>
      <c r="L13" s="764">
        <f t="shared" si="1"/>
        <v>2.6</v>
      </c>
      <c r="M13" s="747">
        <f t="shared" si="2"/>
        <v>0.1</v>
      </c>
      <c r="N13" s="748">
        <f t="shared" si="3"/>
        <v>0</v>
      </c>
      <c r="O13" s="767">
        <f>$G$31*$G$33</f>
        <v>300</v>
      </c>
      <c r="P13" s="768">
        <f t="shared" si="4"/>
        <v>1200</v>
      </c>
      <c r="Q13" s="767">
        <f t="shared" si="5"/>
        <v>253.8</v>
      </c>
      <c r="R13" s="768">
        <f t="shared" si="6"/>
        <v>1015.2</v>
      </c>
      <c r="S13" s="753">
        <f t="shared" si="7"/>
        <v>2.5</v>
      </c>
    </row>
    <row r="14" spans="1:19" x14ac:dyDescent="0.2">
      <c r="A14" s="752">
        <f t="shared" si="8"/>
        <v>12</v>
      </c>
      <c r="B14" s="741">
        <f t="shared" si="9"/>
        <v>3.2000000000000006</v>
      </c>
      <c r="C14" s="741">
        <f t="shared" si="10"/>
        <v>4.6523913960640932</v>
      </c>
      <c r="D14" s="702"/>
      <c r="E14" s="742">
        <v>0.16</v>
      </c>
      <c r="F14" s="763">
        <v>0.26</v>
      </c>
      <c r="G14" s="763">
        <v>0.54</v>
      </c>
      <c r="H14" s="743">
        <v>0.04</v>
      </c>
      <c r="I14" s="745">
        <v>0</v>
      </c>
      <c r="J14" s="746">
        <f t="shared" si="0"/>
        <v>0.96</v>
      </c>
      <c r="K14" s="764">
        <f t="shared" si="11"/>
        <v>1.56</v>
      </c>
      <c r="L14" s="764">
        <f t="shared" si="1"/>
        <v>2.7</v>
      </c>
      <c r="M14" s="747">
        <f t="shared" si="2"/>
        <v>0.2</v>
      </c>
      <c r="N14" s="748">
        <f t="shared" si="3"/>
        <v>0</v>
      </c>
      <c r="O14" s="749">
        <f>$G$31*$G$33</f>
        <v>300</v>
      </c>
      <c r="P14" s="750">
        <f t="shared" si="4"/>
        <v>1200</v>
      </c>
      <c r="Q14" s="749">
        <f t="shared" si="5"/>
        <v>261.60000000000002</v>
      </c>
      <c r="R14" s="750">
        <f t="shared" si="6"/>
        <v>1046.4000000000001</v>
      </c>
      <c r="S14" s="753">
        <f t="shared" si="7"/>
        <v>2.5</v>
      </c>
    </row>
    <row r="15" spans="1:19" x14ac:dyDescent="0.2">
      <c r="A15" s="752">
        <f t="shared" si="8"/>
        <v>13</v>
      </c>
      <c r="B15" s="741">
        <f t="shared" si="9"/>
        <v>3.4000000000000008</v>
      </c>
      <c r="C15" s="741">
        <f t="shared" si="10"/>
        <v>5.3502501054737071</v>
      </c>
      <c r="D15" s="702"/>
      <c r="E15" s="742">
        <v>0.14000000000000001</v>
      </c>
      <c r="F15" s="763">
        <v>0.24</v>
      </c>
      <c r="G15" s="763">
        <v>0.56000000000000005</v>
      </c>
      <c r="H15" s="743">
        <v>0.06</v>
      </c>
      <c r="I15" s="745">
        <v>0</v>
      </c>
      <c r="J15" s="746">
        <f t="shared" si="0"/>
        <v>0.84000000000000008</v>
      </c>
      <c r="K15" s="764">
        <f t="shared" si="11"/>
        <v>1.44</v>
      </c>
      <c r="L15" s="764">
        <f t="shared" si="1"/>
        <v>2.8000000000000003</v>
      </c>
      <c r="M15" s="747">
        <f t="shared" si="2"/>
        <v>0.3</v>
      </c>
      <c r="N15" s="748">
        <f t="shared" si="3"/>
        <v>0</v>
      </c>
      <c r="O15" s="749">
        <f>$G$31*$G$33</f>
        <v>300</v>
      </c>
      <c r="P15" s="750">
        <f t="shared" si="4"/>
        <v>1200</v>
      </c>
      <c r="Q15" s="749">
        <f t="shared" si="5"/>
        <v>269.40000000000003</v>
      </c>
      <c r="R15" s="750">
        <f t="shared" si="6"/>
        <v>1077.6000000000001</v>
      </c>
      <c r="S15" s="753">
        <f t="shared" si="7"/>
        <v>2.5</v>
      </c>
    </row>
    <row r="16" spans="1:19" x14ac:dyDescent="0.2">
      <c r="A16" s="752">
        <f t="shared" si="8"/>
        <v>14</v>
      </c>
      <c r="B16" s="741">
        <f t="shared" si="9"/>
        <v>3.600000000000001</v>
      </c>
      <c r="C16" s="741">
        <f t="shared" si="10"/>
        <v>6.1527876212947623</v>
      </c>
      <c r="D16" s="702"/>
      <c r="E16" s="742">
        <v>0.12</v>
      </c>
      <c r="F16" s="763">
        <v>0.22</v>
      </c>
      <c r="G16" s="763">
        <v>0.57999999999999996</v>
      </c>
      <c r="H16" s="743">
        <v>0.08</v>
      </c>
      <c r="I16" s="745">
        <v>0</v>
      </c>
      <c r="J16" s="746">
        <f t="shared" si="0"/>
        <v>0.72</v>
      </c>
      <c r="K16" s="764">
        <f t="shared" si="11"/>
        <v>1.32</v>
      </c>
      <c r="L16" s="764">
        <f t="shared" si="1"/>
        <v>2.9</v>
      </c>
      <c r="M16" s="747">
        <f t="shared" si="2"/>
        <v>0.4</v>
      </c>
      <c r="N16" s="748">
        <f t="shared" si="3"/>
        <v>0</v>
      </c>
      <c r="O16" s="749">
        <f>$G$31*$G$33</f>
        <v>300</v>
      </c>
      <c r="P16" s="750">
        <f t="shared" si="4"/>
        <v>1200</v>
      </c>
      <c r="Q16" s="749">
        <f t="shared" si="5"/>
        <v>277.2</v>
      </c>
      <c r="R16" s="750">
        <f t="shared" si="6"/>
        <v>1108.8</v>
      </c>
      <c r="S16" s="753">
        <f t="shared" si="7"/>
        <v>2.5</v>
      </c>
    </row>
    <row r="17" spans="1:19" x14ac:dyDescent="0.2">
      <c r="A17" s="752">
        <f t="shared" si="8"/>
        <v>15</v>
      </c>
      <c r="B17" s="741">
        <f t="shared" si="9"/>
        <v>3.8000000000000012</v>
      </c>
      <c r="C17" s="741">
        <f t="shared" si="10"/>
        <v>7.0757057644889763</v>
      </c>
      <c r="D17" s="702"/>
      <c r="E17" s="754">
        <v>0.1</v>
      </c>
      <c r="F17" s="765">
        <v>0.2</v>
      </c>
      <c r="G17" s="765">
        <v>0.6</v>
      </c>
      <c r="H17" s="755">
        <v>0.1</v>
      </c>
      <c r="I17" s="757">
        <v>0</v>
      </c>
      <c r="J17" s="758">
        <f t="shared" si="0"/>
        <v>0.60000000000000009</v>
      </c>
      <c r="K17" s="766">
        <f t="shared" si="11"/>
        <v>1.2000000000000002</v>
      </c>
      <c r="L17" s="766">
        <f t="shared" si="1"/>
        <v>3</v>
      </c>
      <c r="M17" s="759">
        <f t="shared" si="2"/>
        <v>0.5</v>
      </c>
      <c r="N17" s="760">
        <f t="shared" si="3"/>
        <v>0</v>
      </c>
      <c r="O17" s="761">
        <f>$G$31*$G$33</f>
        <v>300</v>
      </c>
      <c r="P17" s="762">
        <f t="shared" si="4"/>
        <v>1200</v>
      </c>
      <c r="Q17" s="761">
        <f t="shared" si="5"/>
        <v>285</v>
      </c>
      <c r="R17" s="762">
        <f t="shared" si="6"/>
        <v>1140</v>
      </c>
      <c r="S17" s="753">
        <f t="shared" si="7"/>
        <v>2.5</v>
      </c>
    </row>
    <row r="18" spans="1:19" x14ac:dyDescent="0.2">
      <c r="A18" s="752">
        <f t="shared" si="8"/>
        <v>16</v>
      </c>
      <c r="B18" s="741">
        <f t="shared" si="9"/>
        <v>4.0000000000000009</v>
      </c>
      <c r="C18" s="741">
        <f t="shared" si="10"/>
        <v>8.1370616291623215</v>
      </c>
      <c r="D18" s="702"/>
      <c r="E18" s="742">
        <v>0.1</v>
      </c>
      <c r="F18" s="763">
        <v>0.18</v>
      </c>
      <c r="G18" s="763">
        <v>0.23</v>
      </c>
      <c r="H18" s="763">
        <v>0.47</v>
      </c>
      <c r="I18" s="769">
        <v>0.02</v>
      </c>
      <c r="J18" s="746">
        <f t="shared" si="0"/>
        <v>0.60000000000000009</v>
      </c>
      <c r="K18" s="764">
        <f t="shared" si="11"/>
        <v>1.08</v>
      </c>
      <c r="L18" s="764">
        <f t="shared" si="1"/>
        <v>1.1500000000000001</v>
      </c>
      <c r="M18" s="764">
        <f t="shared" si="2"/>
        <v>2.3499999999999996</v>
      </c>
      <c r="N18" s="747">
        <f t="shared" si="3"/>
        <v>0.08</v>
      </c>
      <c r="O18" s="749">
        <f>$H$31*$H$33</f>
        <v>450</v>
      </c>
      <c r="P18" s="750">
        <f t="shared" si="4"/>
        <v>1800</v>
      </c>
      <c r="Q18" s="749">
        <f t="shared" si="5"/>
        <v>345.3</v>
      </c>
      <c r="R18" s="750">
        <f t="shared" si="6"/>
        <v>1381.2</v>
      </c>
      <c r="S18" s="753">
        <f t="shared" si="7"/>
        <v>3.75</v>
      </c>
    </row>
    <row r="19" spans="1:19" x14ac:dyDescent="0.2">
      <c r="A19" s="752">
        <f t="shared" si="8"/>
        <v>17</v>
      </c>
      <c r="B19" s="741">
        <f t="shared" si="9"/>
        <v>4.2000000000000011</v>
      </c>
      <c r="C19" s="741">
        <f t="shared" si="10"/>
        <v>9.3576208735366695</v>
      </c>
      <c r="D19" s="702"/>
      <c r="E19" s="742">
        <v>0.1</v>
      </c>
      <c r="F19" s="763">
        <v>0.16</v>
      </c>
      <c r="G19" s="763">
        <v>0.21</v>
      </c>
      <c r="H19" s="763">
        <v>0.49</v>
      </c>
      <c r="I19" s="769">
        <v>0.04</v>
      </c>
      <c r="J19" s="746">
        <f t="shared" si="0"/>
        <v>0.60000000000000009</v>
      </c>
      <c r="K19" s="764">
        <f t="shared" si="11"/>
        <v>0.96</v>
      </c>
      <c r="L19" s="764">
        <f t="shared" si="1"/>
        <v>1.05</v>
      </c>
      <c r="M19" s="764">
        <f t="shared" si="2"/>
        <v>2.4500000000000002</v>
      </c>
      <c r="N19" s="747">
        <f t="shared" si="3"/>
        <v>0.16</v>
      </c>
      <c r="O19" s="749">
        <f>$H$31*$H$33</f>
        <v>450</v>
      </c>
      <c r="P19" s="750">
        <f t="shared" si="4"/>
        <v>1800</v>
      </c>
      <c r="Q19" s="749">
        <f t="shared" si="5"/>
        <v>353.1</v>
      </c>
      <c r="R19" s="750">
        <f t="shared" si="6"/>
        <v>1412.4</v>
      </c>
      <c r="S19" s="753">
        <f t="shared" si="7"/>
        <v>3.75</v>
      </c>
    </row>
    <row r="20" spans="1:19" x14ac:dyDescent="0.2">
      <c r="A20" s="752">
        <f t="shared" si="8"/>
        <v>18</v>
      </c>
      <c r="B20" s="741">
        <f t="shared" si="9"/>
        <v>4.4000000000000012</v>
      </c>
      <c r="C20" s="741">
        <f t="shared" si="10"/>
        <v>10.761264004567169</v>
      </c>
      <c r="D20" s="702"/>
      <c r="E20" s="742">
        <v>0.1</v>
      </c>
      <c r="F20" s="763">
        <v>0.14000000000000001</v>
      </c>
      <c r="G20" s="763">
        <v>0.19</v>
      </c>
      <c r="H20" s="763">
        <v>0.51</v>
      </c>
      <c r="I20" s="769">
        <v>0.06</v>
      </c>
      <c r="J20" s="746">
        <f t="shared" si="0"/>
        <v>0.60000000000000009</v>
      </c>
      <c r="K20" s="764">
        <f t="shared" si="11"/>
        <v>0.84000000000000008</v>
      </c>
      <c r="L20" s="764">
        <f t="shared" si="1"/>
        <v>0.95</v>
      </c>
      <c r="M20" s="764">
        <f t="shared" si="2"/>
        <v>2.5499999999999998</v>
      </c>
      <c r="N20" s="747">
        <f t="shared" si="3"/>
        <v>0.24</v>
      </c>
      <c r="O20" s="749">
        <f>$H$31*$H$33</f>
        <v>450</v>
      </c>
      <c r="P20" s="750">
        <f t="shared" si="4"/>
        <v>1800</v>
      </c>
      <c r="Q20" s="749">
        <f t="shared" si="5"/>
        <v>360.9</v>
      </c>
      <c r="R20" s="750">
        <f t="shared" si="6"/>
        <v>1443.6</v>
      </c>
      <c r="S20" s="753">
        <f t="shared" si="7"/>
        <v>3.75</v>
      </c>
    </row>
    <row r="21" spans="1:19" x14ac:dyDescent="0.2">
      <c r="A21" s="752">
        <f t="shared" si="8"/>
        <v>19</v>
      </c>
      <c r="B21" s="741">
        <f t="shared" si="9"/>
        <v>4.6000000000000014</v>
      </c>
      <c r="C21" s="741">
        <f t="shared" si="10"/>
        <v>12.375453605252243</v>
      </c>
      <c r="D21" s="702"/>
      <c r="E21" s="742">
        <v>0.1</v>
      </c>
      <c r="F21" s="763">
        <v>0.12</v>
      </c>
      <c r="G21" s="763">
        <v>0.17</v>
      </c>
      <c r="H21" s="763">
        <v>0.53</v>
      </c>
      <c r="I21" s="769">
        <v>0.08</v>
      </c>
      <c r="J21" s="746">
        <f t="shared" si="0"/>
        <v>0.60000000000000009</v>
      </c>
      <c r="K21" s="764">
        <f t="shared" si="11"/>
        <v>0.72</v>
      </c>
      <c r="L21" s="764">
        <f t="shared" si="1"/>
        <v>0.85000000000000009</v>
      </c>
      <c r="M21" s="764">
        <f t="shared" si="2"/>
        <v>2.6500000000000004</v>
      </c>
      <c r="N21" s="747">
        <f t="shared" si="3"/>
        <v>0.32</v>
      </c>
      <c r="O21" s="749">
        <f>$H$31*$H$33</f>
        <v>450</v>
      </c>
      <c r="P21" s="750">
        <f t="shared" si="4"/>
        <v>1800</v>
      </c>
      <c r="Q21" s="749">
        <f t="shared" si="5"/>
        <v>368.70000000000005</v>
      </c>
      <c r="R21" s="750">
        <f t="shared" si="6"/>
        <v>1474.8000000000002</v>
      </c>
      <c r="S21" s="753">
        <f t="shared" si="7"/>
        <v>3.75</v>
      </c>
    </row>
    <row r="22" spans="1:19" x14ac:dyDescent="0.2">
      <c r="A22" s="752">
        <f t="shared" si="8"/>
        <v>20</v>
      </c>
      <c r="B22" s="741">
        <f t="shared" si="9"/>
        <v>4.8000000000000016</v>
      </c>
      <c r="C22" s="741">
        <f t="shared" si="10"/>
        <v>14.231771646040078</v>
      </c>
      <c r="D22" s="702"/>
      <c r="E22" s="754">
        <v>0.1</v>
      </c>
      <c r="F22" s="765">
        <v>0.1</v>
      </c>
      <c r="G22" s="765">
        <v>0.15</v>
      </c>
      <c r="H22" s="765">
        <v>0.55000000000000004</v>
      </c>
      <c r="I22" s="770">
        <v>0.1</v>
      </c>
      <c r="J22" s="758">
        <f t="shared" si="0"/>
        <v>0.60000000000000009</v>
      </c>
      <c r="K22" s="766">
        <f t="shared" si="11"/>
        <v>0.60000000000000009</v>
      </c>
      <c r="L22" s="766">
        <f t="shared" si="1"/>
        <v>0.75</v>
      </c>
      <c r="M22" s="766">
        <f t="shared" si="2"/>
        <v>2.75</v>
      </c>
      <c r="N22" s="759">
        <f t="shared" si="3"/>
        <v>0.4</v>
      </c>
      <c r="O22" s="749">
        <f>$H$31*$H$33</f>
        <v>450</v>
      </c>
      <c r="P22" s="750">
        <f t="shared" si="4"/>
        <v>1800</v>
      </c>
      <c r="Q22" s="749">
        <f t="shared" si="5"/>
        <v>376.5</v>
      </c>
      <c r="R22" s="750">
        <f t="shared" si="6"/>
        <v>1506</v>
      </c>
      <c r="S22" s="753">
        <f t="shared" si="7"/>
        <v>3.75</v>
      </c>
    </row>
    <row r="23" spans="1:19" x14ac:dyDescent="0.2">
      <c r="A23" s="752">
        <f t="shared" si="8"/>
        <v>21</v>
      </c>
      <c r="B23" s="741">
        <f t="shared" si="9"/>
        <v>5.0000000000000018</v>
      </c>
      <c r="C23" s="741">
        <f t="shared" si="10"/>
        <v>16.366537392946089</v>
      </c>
      <c r="D23" s="702"/>
      <c r="E23" s="742">
        <v>0.1</v>
      </c>
      <c r="F23" s="763">
        <v>0.1</v>
      </c>
      <c r="G23" s="763">
        <v>0.14000000000000001</v>
      </c>
      <c r="H23" s="763">
        <v>0.19</v>
      </c>
      <c r="I23" s="771">
        <v>0.47</v>
      </c>
      <c r="J23" s="746">
        <f t="shared" si="0"/>
        <v>0.60000000000000009</v>
      </c>
      <c r="K23" s="764">
        <f t="shared" si="11"/>
        <v>0.60000000000000009</v>
      </c>
      <c r="L23" s="764">
        <f t="shared" si="1"/>
        <v>0.70000000000000007</v>
      </c>
      <c r="M23" s="764">
        <f t="shared" si="2"/>
        <v>0.95</v>
      </c>
      <c r="N23" s="764">
        <f t="shared" si="3"/>
        <v>1.88</v>
      </c>
      <c r="O23" s="767">
        <f>$I$31*$I$33</f>
        <v>480</v>
      </c>
      <c r="P23" s="768">
        <f t="shared" si="4"/>
        <v>1920</v>
      </c>
      <c r="Q23" s="767">
        <f t="shared" si="5"/>
        <v>389.1</v>
      </c>
      <c r="R23" s="768">
        <f t="shared" si="6"/>
        <v>1556.4</v>
      </c>
      <c r="S23" s="753">
        <f t="shared" si="7"/>
        <v>4</v>
      </c>
    </row>
    <row r="24" spans="1:19" x14ac:dyDescent="0.2">
      <c r="A24" s="752">
        <f t="shared" si="8"/>
        <v>22</v>
      </c>
      <c r="B24" s="741">
        <f t="shared" si="9"/>
        <v>5.200000000000002</v>
      </c>
      <c r="C24" s="741">
        <f t="shared" si="10"/>
        <v>18.821518001888002</v>
      </c>
      <c r="D24" s="702"/>
      <c r="E24" s="742">
        <v>0.1</v>
      </c>
      <c r="F24" s="763">
        <v>0.1</v>
      </c>
      <c r="G24" s="763">
        <v>0.13</v>
      </c>
      <c r="H24" s="763">
        <v>0.18</v>
      </c>
      <c r="I24" s="771">
        <v>0.49</v>
      </c>
      <c r="J24" s="746">
        <f t="shared" si="0"/>
        <v>0.60000000000000009</v>
      </c>
      <c r="K24" s="764">
        <f t="shared" si="11"/>
        <v>0.60000000000000009</v>
      </c>
      <c r="L24" s="764">
        <f t="shared" si="1"/>
        <v>0.65</v>
      </c>
      <c r="M24" s="764">
        <f t="shared" si="2"/>
        <v>0.89999999999999991</v>
      </c>
      <c r="N24" s="764">
        <f t="shared" si="3"/>
        <v>1.96</v>
      </c>
      <c r="O24" s="749">
        <f>$I$31*$I$33</f>
        <v>480</v>
      </c>
      <c r="P24" s="750">
        <f t="shared" si="4"/>
        <v>1920</v>
      </c>
      <c r="Q24" s="749">
        <f t="shared" si="5"/>
        <v>391.2</v>
      </c>
      <c r="R24" s="750">
        <f t="shared" si="6"/>
        <v>1564.8</v>
      </c>
      <c r="S24" s="753">
        <f t="shared" si="7"/>
        <v>4</v>
      </c>
    </row>
    <row r="25" spans="1:19" x14ac:dyDescent="0.2">
      <c r="A25" s="752">
        <f t="shared" si="8"/>
        <v>23</v>
      </c>
      <c r="B25" s="741">
        <f t="shared" si="9"/>
        <v>5.4000000000000021</v>
      </c>
      <c r="C25" s="741">
        <f t="shared" si="10"/>
        <v>21.6447457021712</v>
      </c>
      <c r="D25" s="702"/>
      <c r="E25" s="742">
        <v>0.1</v>
      </c>
      <c r="F25" s="763">
        <v>0.1</v>
      </c>
      <c r="G25" s="763">
        <v>0.12</v>
      </c>
      <c r="H25" s="763">
        <v>0.17</v>
      </c>
      <c r="I25" s="771">
        <v>0.51</v>
      </c>
      <c r="J25" s="746">
        <f t="shared" si="0"/>
        <v>0.60000000000000009</v>
      </c>
      <c r="K25" s="764">
        <f t="shared" si="11"/>
        <v>0.60000000000000009</v>
      </c>
      <c r="L25" s="764">
        <f t="shared" si="1"/>
        <v>0.6</v>
      </c>
      <c r="M25" s="764">
        <f t="shared" si="2"/>
        <v>0.85000000000000009</v>
      </c>
      <c r="N25" s="764">
        <f t="shared" si="3"/>
        <v>2.04</v>
      </c>
      <c r="O25" s="749">
        <f>$I$31*$I$33</f>
        <v>480</v>
      </c>
      <c r="P25" s="750">
        <f t="shared" si="4"/>
        <v>1920</v>
      </c>
      <c r="Q25" s="749">
        <f t="shared" si="5"/>
        <v>393.3</v>
      </c>
      <c r="R25" s="750">
        <f t="shared" si="6"/>
        <v>1573.2</v>
      </c>
      <c r="S25" s="753">
        <f t="shared" si="7"/>
        <v>4</v>
      </c>
    </row>
    <row r="26" spans="1:19" x14ac:dyDescent="0.2">
      <c r="A26" s="752">
        <f t="shared" si="8"/>
        <v>24</v>
      </c>
      <c r="B26" s="741">
        <f t="shared" si="9"/>
        <v>5.6000000000000023</v>
      </c>
      <c r="C26" s="741">
        <f t="shared" si="10"/>
        <v>24.891457557496878</v>
      </c>
      <c r="D26" s="702"/>
      <c r="E26" s="742">
        <v>0.1</v>
      </c>
      <c r="F26" s="763">
        <v>0.1</v>
      </c>
      <c r="G26" s="763">
        <v>0.11</v>
      </c>
      <c r="H26" s="763">
        <v>0.16</v>
      </c>
      <c r="I26" s="771">
        <v>0.53</v>
      </c>
      <c r="J26" s="746">
        <f t="shared" si="0"/>
        <v>0.60000000000000009</v>
      </c>
      <c r="K26" s="764">
        <f t="shared" si="11"/>
        <v>0.60000000000000009</v>
      </c>
      <c r="L26" s="764">
        <f t="shared" si="1"/>
        <v>0.55000000000000004</v>
      </c>
      <c r="M26" s="764">
        <f t="shared" si="2"/>
        <v>0.8</v>
      </c>
      <c r="N26" s="764">
        <f t="shared" si="3"/>
        <v>2.12</v>
      </c>
      <c r="O26" s="749">
        <f>$I$31*$I$33</f>
        <v>480</v>
      </c>
      <c r="P26" s="750">
        <f t="shared" si="4"/>
        <v>1920</v>
      </c>
      <c r="Q26" s="749">
        <f t="shared" si="5"/>
        <v>395.4</v>
      </c>
      <c r="R26" s="750">
        <f t="shared" si="6"/>
        <v>1581.6</v>
      </c>
      <c r="S26" s="753">
        <f t="shared" si="7"/>
        <v>4</v>
      </c>
    </row>
    <row r="27" spans="1:19" x14ac:dyDescent="0.2">
      <c r="A27" s="772">
        <f t="shared" si="8"/>
        <v>25</v>
      </c>
      <c r="B27" s="773">
        <f t="shared" si="9"/>
        <v>5.8000000000000025</v>
      </c>
      <c r="C27" s="773">
        <f t="shared" si="10"/>
        <v>28.625176191121408</v>
      </c>
      <c r="D27" s="704"/>
      <c r="E27" s="754">
        <v>0.1</v>
      </c>
      <c r="F27" s="765">
        <v>0.1</v>
      </c>
      <c r="G27" s="765">
        <v>0.1</v>
      </c>
      <c r="H27" s="765">
        <v>0.15</v>
      </c>
      <c r="I27" s="774">
        <v>0.55000000000000004</v>
      </c>
      <c r="J27" s="758">
        <f t="shared" si="0"/>
        <v>0.60000000000000009</v>
      </c>
      <c r="K27" s="766">
        <f t="shared" si="11"/>
        <v>0.60000000000000009</v>
      </c>
      <c r="L27" s="766">
        <f t="shared" si="1"/>
        <v>0.5</v>
      </c>
      <c r="M27" s="766">
        <f t="shared" si="2"/>
        <v>0.75</v>
      </c>
      <c r="N27" s="766">
        <f t="shared" si="3"/>
        <v>2.2000000000000002</v>
      </c>
      <c r="O27" s="761">
        <f>$I$31*$I$33</f>
        <v>480</v>
      </c>
      <c r="P27" s="762">
        <f t="shared" si="4"/>
        <v>1920</v>
      </c>
      <c r="Q27" s="761">
        <f t="shared" si="5"/>
        <v>397.5</v>
      </c>
      <c r="R27" s="762">
        <f t="shared" si="6"/>
        <v>1590</v>
      </c>
      <c r="S27" s="775">
        <f t="shared" si="7"/>
        <v>4</v>
      </c>
    </row>
    <row r="28" spans="1:19" x14ac:dyDescent="0.2">
      <c r="A28" s="772">
        <f>A27+1</f>
        <v>26</v>
      </c>
      <c r="B28" s="773">
        <f>B27+$B$2</f>
        <v>6.0000000000000027</v>
      </c>
      <c r="C28" s="773">
        <f>C27*$C$2</f>
        <v>32.918952619789614</v>
      </c>
      <c r="D28" s="776"/>
      <c r="E28" s="868" t="s">
        <v>1188</v>
      </c>
      <c r="F28" s="868"/>
      <c r="G28" s="868"/>
      <c r="H28" s="868"/>
      <c r="I28" s="868"/>
    </row>
    <row r="29" spans="1:19" x14ac:dyDescent="0.2">
      <c r="E29" s="869" t="s">
        <v>1189</v>
      </c>
      <c r="F29" s="869"/>
      <c r="G29" s="869"/>
      <c r="H29" s="869"/>
      <c r="I29" s="869"/>
    </row>
    <row r="30" spans="1:19" x14ac:dyDescent="0.2">
      <c r="C30" s="347"/>
      <c r="D30" s="347"/>
    </row>
    <row r="31" spans="1:19" x14ac:dyDescent="0.2">
      <c r="C31" s="870" t="s">
        <v>1190</v>
      </c>
      <c r="D31" s="870"/>
      <c r="E31" s="777">
        <v>6</v>
      </c>
      <c r="F31" s="777">
        <v>6</v>
      </c>
      <c r="G31" s="777">
        <v>5</v>
      </c>
      <c r="H31" s="777">
        <v>5</v>
      </c>
      <c r="I31" s="777">
        <v>4</v>
      </c>
    </row>
    <row r="33" spans="3:9" x14ac:dyDescent="0.2">
      <c r="C33" s="870" t="s">
        <v>1191</v>
      </c>
      <c r="D33" s="870"/>
      <c r="E33" s="778">
        <v>20</v>
      </c>
      <c r="F33" s="778">
        <v>40</v>
      </c>
      <c r="G33" s="778">
        <v>60</v>
      </c>
      <c r="H33" s="778">
        <v>90</v>
      </c>
      <c r="I33" s="778">
        <v>120</v>
      </c>
    </row>
  </sheetData>
  <mergeCells count="8">
    <mergeCell ref="Q1:R1"/>
    <mergeCell ref="E28:I28"/>
    <mergeCell ref="E29:I29"/>
    <mergeCell ref="C31:D31"/>
    <mergeCell ref="C33:D33"/>
    <mergeCell ref="E1:I1"/>
    <mergeCell ref="J1:N1"/>
    <mergeCell ref="O1:P1"/>
  </mergeCells>
  <pageMargins left="0.78749999999999998" right="0.78749999999999998" top="0.78749999999999998" bottom="0.78749999999999998" header="0.51180555555555551" footer="0.51180555555555551"/>
  <pageSetup paperSize="9" firstPageNumber="0" orientation="portrait" horizontalDpi="300" verticalDpi="30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B3"/>
  <sheetViews>
    <sheetView workbookViewId="0">
      <selection activeCell="W49" sqref="W49"/>
    </sheetView>
  </sheetViews>
  <sheetFormatPr baseColWidth="10" defaultColWidth="9.140625" defaultRowHeight="12.75" x14ac:dyDescent="0.2"/>
  <cols>
    <col min="1" max="1" width="16.85546875" style="779" customWidth="1"/>
    <col min="2" max="2" width="73" style="780" customWidth="1"/>
    <col min="3" max="16384" width="9.140625" style="779"/>
  </cols>
  <sheetData>
    <row r="1" spans="1:2" ht="25.5" customHeight="1" x14ac:dyDescent="0.2">
      <c r="A1" s="781" t="s">
        <v>1192</v>
      </c>
      <c r="B1" s="782" t="s">
        <v>1193</v>
      </c>
    </row>
    <row r="2" spans="1:2" ht="25.5" customHeight="1" x14ac:dyDescent="0.2">
      <c r="A2" s="779" t="s">
        <v>1194</v>
      </c>
      <c r="B2" s="780" t="s">
        <v>1195</v>
      </c>
    </row>
    <row r="3" spans="1:2" ht="25.5" customHeight="1" x14ac:dyDescent="0.2">
      <c r="A3" s="779" t="s">
        <v>76</v>
      </c>
      <c r="B3" s="780" t="s">
        <v>1196</v>
      </c>
    </row>
  </sheetData>
  <pageMargins left="0.78749999999999998" right="0.78749999999999998" top="0.78749999999999998" bottom="0.78749999999999998" header="0.51180555555555551" footer="0.51180555555555551"/>
  <pageSetup paperSize="9" firstPageNumber="0" orientation="portrait" horizontalDpi="300" verticalDpi="30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AD897"/>
  <sheetViews>
    <sheetView zoomScale="75" zoomScaleNormal="75" workbookViewId="0">
      <pane xSplit="2" ySplit="1" topLeftCell="C648" activePane="bottomRight" state="frozen"/>
      <selection activeCell="W49" sqref="W49"/>
      <selection pane="topRight" activeCell="W49" sqref="W49"/>
      <selection pane="bottomLeft" activeCell="W49" sqref="W49"/>
      <selection pane="bottomRight" activeCell="B670" sqref="B670"/>
    </sheetView>
  </sheetViews>
  <sheetFormatPr baseColWidth="10" defaultColWidth="9.140625" defaultRowHeight="12.75" x14ac:dyDescent="0.2"/>
  <cols>
    <col min="1" max="1" width="8.42578125" style="3" customWidth="1"/>
    <col min="2" max="2" width="31.42578125" style="3" customWidth="1"/>
    <col min="3" max="3" width="12.28515625" style="3" customWidth="1"/>
    <col min="4" max="4" width="6.7109375" style="3" customWidth="1"/>
    <col min="5" max="5" width="5.5703125" style="3" customWidth="1"/>
    <col min="6" max="6" width="8.42578125" style="3" customWidth="1"/>
    <col min="7" max="7" width="6" style="3" customWidth="1"/>
    <col min="8" max="8" width="6.7109375" style="3" customWidth="1"/>
    <col min="9" max="9" width="8.85546875" style="3" customWidth="1"/>
    <col min="10" max="11" width="8.5703125" style="3" customWidth="1"/>
    <col min="12" max="12" width="5.5703125" style="3" customWidth="1"/>
    <col min="13" max="13" width="9.28515625" style="3" customWidth="1"/>
    <col min="14" max="15" width="7.85546875" style="783" customWidth="1"/>
    <col min="16" max="17" width="7" style="783" customWidth="1"/>
    <col min="18" max="18" width="10.5703125" style="783" customWidth="1"/>
    <col min="19" max="19" width="11.140625" style="783" customWidth="1"/>
    <col min="20" max="20" width="12.5703125" style="783" customWidth="1"/>
    <col min="21" max="22" width="15" style="783" customWidth="1"/>
    <col min="23" max="23" width="11.85546875" style="783" customWidth="1"/>
    <col min="24" max="27" width="10.85546875" style="3" customWidth="1"/>
    <col min="28" max="28" width="9.85546875" style="3" customWidth="1"/>
    <col min="29" max="29" width="14.42578125" style="3" customWidth="1"/>
    <col min="30" max="30" width="8.42578125" style="3" customWidth="1"/>
    <col min="31" max="16384" width="9.140625" style="3"/>
  </cols>
  <sheetData>
    <row r="1" spans="1:30" x14ac:dyDescent="0.2">
      <c r="A1" s="3" t="s">
        <v>1197</v>
      </c>
      <c r="B1" s="3" t="s">
        <v>1198</v>
      </c>
      <c r="C1" s="3" t="s">
        <v>1199</v>
      </c>
      <c r="D1" s="3" t="s">
        <v>1200</v>
      </c>
      <c r="E1" s="3" t="s">
        <v>1201</v>
      </c>
      <c r="F1" s="3" t="s">
        <v>1202</v>
      </c>
      <c r="G1" s="3" t="s">
        <v>1203</v>
      </c>
      <c r="H1" s="3" t="s">
        <v>1204</v>
      </c>
      <c r="I1" s="3" t="s">
        <v>1205</v>
      </c>
      <c r="J1" s="3" t="s">
        <v>1206</v>
      </c>
      <c r="K1" s="3" t="s">
        <v>1207</v>
      </c>
      <c r="L1" s="3" t="s">
        <v>1208</v>
      </c>
      <c r="M1" s="3" t="s">
        <v>1209</v>
      </c>
      <c r="N1" s="783" t="s">
        <v>1210</v>
      </c>
      <c r="O1" s="783" t="s">
        <v>1211</v>
      </c>
      <c r="P1" s="783" t="s">
        <v>1212</v>
      </c>
      <c r="Q1" s="783" t="s">
        <v>1213</v>
      </c>
      <c r="R1" s="783" t="s">
        <v>1214</v>
      </c>
      <c r="S1" s="783" t="s">
        <v>1215</v>
      </c>
      <c r="T1" s="783" t="s">
        <v>1216</v>
      </c>
      <c r="U1" s="783" t="s">
        <v>1217</v>
      </c>
      <c r="V1" s="783" t="s">
        <v>1306</v>
      </c>
      <c r="W1" s="783" t="s">
        <v>1218</v>
      </c>
      <c r="X1" s="3" t="s">
        <v>1219</v>
      </c>
      <c r="Y1" s="3" t="s">
        <v>1220</v>
      </c>
      <c r="Z1" s="3" t="s">
        <v>1221</v>
      </c>
      <c r="AA1" s="3" t="s">
        <v>1222</v>
      </c>
      <c r="AB1" s="3" t="s">
        <v>1223</v>
      </c>
      <c r="AC1" s="3" t="s">
        <v>1224</v>
      </c>
      <c r="AD1" s="3" t="s">
        <v>1225</v>
      </c>
    </row>
    <row r="2" spans="1:30" ht="12" customHeight="1" x14ac:dyDescent="0.2">
      <c r="A2" s="3">
        <f>Gegenstände!A2</f>
        <v>0</v>
      </c>
      <c r="B2" s="3" t="str">
        <f>Gegenstände!B2</f>
        <v>Erze</v>
      </c>
      <c r="D2" s="3">
        <f>Gegenstände!K2</f>
        <v>0</v>
      </c>
      <c r="E2" s="3">
        <f>Gegenstände!I2</f>
        <v>0</v>
      </c>
      <c r="F2" s="3" t="e">
        <f>VLOOKUP(Gegenstände!E2,Berechnungen!$E$87:$F$115,2,FALSE)</f>
        <v>#N/A</v>
      </c>
      <c r="G2" s="3">
        <f>Gegenstände!H2</f>
        <v>0</v>
      </c>
      <c r="H2" s="3">
        <f>Gegenstände!G2</f>
        <v>0</v>
      </c>
      <c r="I2" s="3">
        <f>Gegenstände!D2</f>
        <v>0</v>
      </c>
      <c r="J2" s="168">
        <f>ROUND(Gegenstände!N2,0)</f>
        <v>0</v>
      </c>
      <c r="K2" s="3">
        <f>Gegenstände!J2</f>
        <v>0</v>
      </c>
      <c r="L2" s="3">
        <f>Gegenstände!L2</f>
        <v>0</v>
      </c>
      <c r="M2" s="3">
        <f>Gegenstände!Z2</f>
        <v>0</v>
      </c>
      <c r="N2" s="783">
        <f>(Gegenstände!Y2*10)</f>
        <v>0</v>
      </c>
      <c r="O2" s="783">
        <f>(Gegenstände!W2*10)</f>
        <v>0</v>
      </c>
      <c r="P2" s="783">
        <f>Gegenstände!AA2*10</f>
        <v>0</v>
      </c>
      <c r="Q2" s="783">
        <f>Gegenstände!O2</f>
        <v>0</v>
      </c>
      <c r="R2" s="168">
        <f>Gegenstände!S2</f>
        <v>0</v>
      </c>
      <c r="S2" s="168">
        <f>Gegenstände!T2</f>
        <v>0</v>
      </c>
      <c r="T2" s="783">
        <f>Gegenstände!AC2</f>
        <v>0</v>
      </c>
      <c r="U2" s="783">
        <f>Gegenstände!AE2</f>
        <v>0</v>
      </c>
      <c r="V2" s="783">
        <f>Gegenstände!AD2</f>
        <v>0</v>
      </c>
      <c r="W2" s="783">
        <f>Gegenstände!AF2</f>
        <v>0</v>
      </c>
      <c r="AB2" s="3">
        <f>Gegenstände!M2</f>
        <v>0</v>
      </c>
      <c r="AC2" s="3">
        <f>Gegenstände!AB2</f>
        <v>0</v>
      </c>
      <c r="AD2" s="3">
        <f>Gegenstände!F2</f>
        <v>0</v>
      </c>
    </row>
    <row r="3" spans="1:30" x14ac:dyDescent="0.2">
      <c r="A3" s="3">
        <f>Gegenstände!A3</f>
        <v>1</v>
      </c>
      <c r="B3" s="3" t="str">
        <f>Gegenstände!B3</f>
        <v>Kupfererz</v>
      </c>
      <c r="D3" s="3">
        <f>Gegenstände!K3</f>
        <v>400</v>
      </c>
      <c r="E3" s="3">
        <f>Gegenstände!I3</f>
        <v>31</v>
      </c>
      <c r="F3" s="3">
        <f>VLOOKUP(Gegenstände!E3,Berechnungen!$E$87:$F$115,2,FALSE)</f>
        <v>31</v>
      </c>
      <c r="G3" s="3">
        <f>Gegenstände!H3</f>
        <v>1</v>
      </c>
      <c r="H3" s="3">
        <f>Gegenstände!G3</f>
        <v>0</v>
      </c>
      <c r="I3" s="3">
        <f>Gegenstände!D3</f>
        <v>0</v>
      </c>
      <c r="J3" s="168">
        <f>ROUND(Gegenstände!N3,0)</f>
        <v>20</v>
      </c>
      <c r="K3" s="3">
        <f>Gegenstände!J3</f>
        <v>0</v>
      </c>
      <c r="L3" s="3">
        <f>Gegenstände!L3</f>
        <v>1</v>
      </c>
      <c r="M3" s="3">
        <f>Gegenstände!Z3</f>
        <v>0</v>
      </c>
      <c r="N3" s="783">
        <f>(Gegenstände!Y3*10)</f>
        <v>0</v>
      </c>
      <c r="O3" s="783">
        <f>(Gegenstände!W3*10)</f>
        <v>0</v>
      </c>
      <c r="P3" s="783">
        <f>Gegenstände!AA3*10</f>
        <v>0</v>
      </c>
      <c r="Q3" s="783">
        <f>Gegenstände!O3</f>
        <v>0</v>
      </c>
      <c r="R3" s="168">
        <f>Gegenstände!S3</f>
        <v>0</v>
      </c>
      <c r="S3" s="168">
        <f>Gegenstände!T3</f>
        <v>0</v>
      </c>
      <c r="T3" s="783">
        <f>Gegenstände!AC3</f>
        <v>0</v>
      </c>
      <c r="U3" s="783">
        <f>Gegenstände!AE3</f>
        <v>0</v>
      </c>
      <c r="V3" s="783">
        <f>Gegenstände!AD3</f>
        <v>0</v>
      </c>
      <c r="W3" s="783">
        <f>Gegenstände!AF3</f>
        <v>0</v>
      </c>
      <c r="AB3" s="3">
        <f>Gegenstände!M3</f>
        <v>1</v>
      </c>
      <c r="AC3" s="3">
        <f>Gegenstände!AB3</f>
        <v>0</v>
      </c>
      <c r="AD3" s="3">
        <f>Gegenstände!F3</f>
        <v>0</v>
      </c>
    </row>
    <row r="4" spans="1:30" x14ac:dyDescent="0.2">
      <c r="A4" s="3">
        <f>Gegenstände!A4</f>
        <v>2</v>
      </c>
      <c r="B4" s="3" t="str">
        <f>Gegenstände!B4</f>
        <v>Eisenerz</v>
      </c>
      <c r="D4" s="3">
        <f>Gegenstände!K4</f>
        <v>400</v>
      </c>
      <c r="E4" s="3">
        <f>Gegenstände!I4</f>
        <v>31</v>
      </c>
      <c r="F4" s="3">
        <f>VLOOKUP(Gegenstände!E4,Berechnungen!$E$87:$F$115,2,FALSE)</f>
        <v>31</v>
      </c>
      <c r="G4" s="3">
        <f>Gegenstände!H4</f>
        <v>1</v>
      </c>
      <c r="H4" s="3">
        <f>Gegenstände!G4</f>
        <v>0</v>
      </c>
      <c r="I4" s="3">
        <f>Gegenstände!D4</f>
        <v>5</v>
      </c>
      <c r="J4" s="168">
        <f>ROUND(Gegenstände!N4,0)</f>
        <v>40</v>
      </c>
      <c r="K4" s="3">
        <f>Gegenstände!J4</f>
        <v>0</v>
      </c>
      <c r="L4" s="3">
        <f>Gegenstände!L4</f>
        <v>1</v>
      </c>
      <c r="M4" s="3">
        <f>Gegenstände!Z4</f>
        <v>0</v>
      </c>
      <c r="N4" s="783">
        <f>(Gegenstände!Y4*10)</f>
        <v>0</v>
      </c>
      <c r="O4" s="783">
        <f>(Gegenstände!W4*10)</f>
        <v>0</v>
      </c>
      <c r="P4" s="783">
        <f>Gegenstände!AA4*10</f>
        <v>0</v>
      </c>
      <c r="Q4" s="783">
        <f>Gegenstände!O4</f>
        <v>0</v>
      </c>
      <c r="R4" s="168">
        <f>Gegenstände!S4</f>
        <v>0</v>
      </c>
      <c r="S4" s="168">
        <f>Gegenstände!T4</f>
        <v>0</v>
      </c>
      <c r="T4" s="783">
        <f>Gegenstände!AC4</f>
        <v>0</v>
      </c>
      <c r="U4" s="783">
        <f>Gegenstände!AE4</f>
        <v>0</v>
      </c>
      <c r="V4" s="783">
        <f>Gegenstände!AD4</f>
        <v>0</v>
      </c>
      <c r="W4" s="783">
        <f>Gegenstände!AF4</f>
        <v>0</v>
      </c>
      <c r="AB4" s="3">
        <f>Gegenstände!M4</f>
        <v>0</v>
      </c>
      <c r="AC4" s="3">
        <f>Gegenstände!AB4</f>
        <v>0</v>
      </c>
      <c r="AD4" s="3">
        <f>Gegenstände!F4</f>
        <v>0</v>
      </c>
    </row>
    <row r="5" spans="1:30" x14ac:dyDescent="0.2">
      <c r="A5" s="3">
        <f>Gegenstände!A5</f>
        <v>3</v>
      </c>
      <c r="B5" s="3" t="str">
        <f>Gegenstände!B5</f>
        <v>Sorandilerz</v>
      </c>
      <c r="D5" s="3">
        <f>Gegenstände!K5</f>
        <v>400</v>
      </c>
      <c r="E5" s="3">
        <f>Gegenstände!I5</f>
        <v>31</v>
      </c>
      <c r="F5" s="3">
        <f>VLOOKUP(Gegenstände!E5,Berechnungen!$E$87:$F$115,2,FALSE)</f>
        <v>31</v>
      </c>
      <c r="G5" s="3">
        <f>Gegenstände!H5</f>
        <v>1</v>
      </c>
      <c r="H5" s="3">
        <f>Gegenstände!G5</f>
        <v>0</v>
      </c>
      <c r="I5" s="3">
        <f>Gegenstände!D5</f>
        <v>10</v>
      </c>
      <c r="J5" s="168">
        <f>ROUND(Gegenstände!N5,0)</f>
        <v>60</v>
      </c>
      <c r="K5" s="3">
        <f>Gegenstände!J5</f>
        <v>0</v>
      </c>
      <c r="L5" s="3">
        <f>Gegenstände!L5</f>
        <v>1</v>
      </c>
      <c r="M5" s="3">
        <f>Gegenstände!Z5</f>
        <v>0</v>
      </c>
      <c r="N5" s="783">
        <f>(Gegenstände!Y5*10)</f>
        <v>0</v>
      </c>
      <c r="O5" s="783">
        <f>(Gegenstände!W5*10)</f>
        <v>0</v>
      </c>
      <c r="P5" s="783">
        <f>Gegenstände!AA5*10</f>
        <v>0</v>
      </c>
      <c r="Q5" s="783">
        <f>Gegenstände!O5</f>
        <v>0</v>
      </c>
      <c r="R5" s="168">
        <f>Gegenstände!S5</f>
        <v>0</v>
      </c>
      <c r="S5" s="168">
        <f>Gegenstände!T5</f>
        <v>0</v>
      </c>
      <c r="T5" s="783">
        <f>Gegenstände!AC5</f>
        <v>0</v>
      </c>
      <c r="U5" s="783">
        <f>Gegenstände!AE5</f>
        <v>0</v>
      </c>
      <c r="V5" s="783">
        <f>Gegenstände!AD5</f>
        <v>0</v>
      </c>
      <c r="W5" s="783">
        <f>Gegenstände!AF5</f>
        <v>0</v>
      </c>
      <c r="AB5" s="3">
        <f>Gegenstände!M5</f>
        <v>0</v>
      </c>
      <c r="AC5" s="3">
        <f>Gegenstände!AB5</f>
        <v>0</v>
      </c>
      <c r="AD5" s="3">
        <f>Gegenstände!F5</f>
        <v>0</v>
      </c>
    </row>
    <row r="6" spans="1:30" x14ac:dyDescent="0.2">
      <c r="A6" s="3">
        <f>Gegenstände!A6</f>
        <v>4</v>
      </c>
      <c r="B6" s="3" t="str">
        <f>Gegenstände!B6</f>
        <v>Adamanterz</v>
      </c>
      <c r="D6" s="3">
        <f>Gegenstände!K6</f>
        <v>400</v>
      </c>
      <c r="E6" s="3">
        <f>Gegenstände!I6</f>
        <v>31</v>
      </c>
      <c r="F6" s="3">
        <f>VLOOKUP(Gegenstände!E6,Berechnungen!$E$87:$F$115,2,FALSE)</f>
        <v>31</v>
      </c>
      <c r="G6" s="3">
        <f>Gegenstände!H6</f>
        <v>1</v>
      </c>
      <c r="H6" s="3">
        <f>Gegenstände!G6</f>
        <v>0</v>
      </c>
      <c r="I6" s="3">
        <f>Gegenstände!D6</f>
        <v>15</v>
      </c>
      <c r="J6" s="168">
        <f>ROUND(Gegenstände!N6,0)</f>
        <v>90</v>
      </c>
      <c r="K6" s="3">
        <f>Gegenstände!J6</f>
        <v>0</v>
      </c>
      <c r="L6" s="3">
        <f>Gegenstände!L6</f>
        <v>1</v>
      </c>
      <c r="M6" s="3">
        <f>Gegenstände!Z6</f>
        <v>0</v>
      </c>
      <c r="N6" s="783">
        <f>(Gegenstände!Y6*10)</f>
        <v>0</v>
      </c>
      <c r="O6" s="783">
        <f>(Gegenstände!W6*10)</f>
        <v>0</v>
      </c>
      <c r="P6" s="783">
        <f>Gegenstände!AA6*10</f>
        <v>0</v>
      </c>
      <c r="Q6" s="783">
        <f>Gegenstände!O6</f>
        <v>0</v>
      </c>
      <c r="R6" s="168">
        <f>Gegenstände!S6</f>
        <v>0</v>
      </c>
      <c r="S6" s="168">
        <f>Gegenstände!T6</f>
        <v>0</v>
      </c>
      <c r="T6" s="783">
        <f>Gegenstände!AC6</f>
        <v>0</v>
      </c>
      <c r="U6" s="783">
        <f>Gegenstände!AE6</f>
        <v>0</v>
      </c>
      <c r="V6" s="783">
        <f>Gegenstände!AD6</f>
        <v>0</v>
      </c>
      <c r="W6" s="783">
        <f>Gegenstände!AF6</f>
        <v>0</v>
      </c>
      <c r="AB6" s="3">
        <f>Gegenstände!M6</f>
        <v>0</v>
      </c>
      <c r="AC6" s="3">
        <f>Gegenstände!AB6</f>
        <v>0</v>
      </c>
      <c r="AD6" s="3">
        <f>Gegenstände!F6</f>
        <v>0</v>
      </c>
    </row>
    <row r="7" spans="1:30" x14ac:dyDescent="0.2">
      <c r="A7" s="3">
        <f>Gegenstände!A7</f>
        <v>5</v>
      </c>
      <c r="B7" s="3" t="str">
        <f>Gegenstände!B7</f>
        <v>Mithrilerz</v>
      </c>
      <c r="D7" s="3">
        <f>Gegenstände!K7</f>
        <v>400</v>
      </c>
      <c r="E7" s="3">
        <f>Gegenstände!I7</f>
        <v>31</v>
      </c>
      <c r="F7" s="3">
        <f>VLOOKUP(Gegenstände!E7,Berechnungen!$E$87:$F$115,2,FALSE)</f>
        <v>31</v>
      </c>
      <c r="G7" s="3">
        <f>Gegenstände!H7</f>
        <v>1</v>
      </c>
      <c r="H7" s="3">
        <f>Gegenstände!G7</f>
        <v>0</v>
      </c>
      <c r="I7" s="3">
        <f>Gegenstände!D7</f>
        <v>20</v>
      </c>
      <c r="J7" s="168">
        <f>ROUND(Gegenstände!N7,0)</f>
        <v>120</v>
      </c>
      <c r="K7" s="3">
        <f>Gegenstände!J7</f>
        <v>0</v>
      </c>
      <c r="L7" s="3">
        <f>Gegenstände!L7</f>
        <v>1</v>
      </c>
      <c r="M7" s="3">
        <f>Gegenstände!Z7</f>
        <v>0</v>
      </c>
      <c r="N7" s="783">
        <f>(Gegenstände!Y7*10)</f>
        <v>0</v>
      </c>
      <c r="O7" s="783">
        <f>(Gegenstände!W7*10)</f>
        <v>0</v>
      </c>
      <c r="P7" s="783">
        <f>Gegenstände!AA7*10</f>
        <v>0</v>
      </c>
      <c r="Q7" s="783">
        <f>Gegenstände!O7</f>
        <v>0</v>
      </c>
      <c r="R7" s="168">
        <f>Gegenstände!S7</f>
        <v>0</v>
      </c>
      <c r="S7" s="168">
        <f>Gegenstände!T7</f>
        <v>0</v>
      </c>
      <c r="T7" s="783">
        <f>Gegenstände!AC7</f>
        <v>0</v>
      </c>
      <c r="U7" s="783">
        <f>Gegenstände!AE7</f>
        <v>0</v>
      </c>
      <c r="V7" s="783">
        <f>Gegenstände!AD7</f>
        <v>0</v>
      </c>
      <c r="W7" s="783">
        <f>Gegenstände!AF7</f>
        <v>0</v>
      </c>
      <c r="AB7" s="3">
        <f>Gegenstände!M7</f>
        <v>0</v>
      </c>
      <c r="AC7" s="3">
        <f>Gegenstände!AB7</f>
        <v>0</v>
      </c>
      <c r="AD7" s="3">
        <f>Gegenstände!F7</f>
        <v>0</v>
      </c>
    </row>
    <row r="8" spans="1:30" x14ac:dyDescent="0.2">
      <c r="A8" s="3">
        <f>Gegenstände!A8</f>
        <v>0</v>
      </c>
      <c r="B8" s="3" t="str">
        <f>Gegenstände!B8</f>
        <v>Barren</v>
      </c>
      <c r="D8" s="3">
        <f>Gegenstände!K8</f>
        <v>0</v>
      </c>
      <c r="E8" s="3">
        <f>Gegenstände!I8</f>
        <v>0</v>
      </c>
      <c r="F8" s="3" t="e">
        <f>VLOOKUP(Gegenstände!E8,Berechnungen!$E$87:$F$115,2,FALSE)</f>
        <v>#N/A</v>
      </c>
      <c r="G8" s="3">
        <f>Gegenstände!H8</f>
        <v>0</v>
      </c>
      <c r="H8" s="3">
        <f>Gegenstände!G8</f>
        <v>0</v>
      </c>
      <c r="I8" s="3">
        <f>Gegenstände!D8</f>
        <v>0</v>
      </c>
      <c r="J8" s="168">
        <f>ROUND(Gegenstände!N8,0)</f>
        <v>0</v>
      </c>
      <c r="K8" s="3">
        <f>Gegenstände!J8</f>
        <v>0</v>
      </c>
      <c r="L8" s="3">
        <f>Gegenstände!L8</f>
        <v>0</v>
      </c>
      <c r="M8" s="3">
        <f>Gegenstände!Z8</f>
        <v>0</v>
      </c>
      <c r="N8" s="783">
        <f>(Gegenstände!Y8*10)</f>
        <v>0</v>
      </c>
      <c r="O8" s="783">
        <f>(Gegenstände!W8*10)</f>
        <v>0</v>
      </c>
      <c r="P8" s="783">
        <f>Gegenstände!AA8*10</f>
        <v>0</v>
      </c>
      <c r="Q8" s="783">
        <f>Gegenstände!O8</f>
        <v>0</v>
      </c>
      <c r="R8" s="168">
        <f>Gegenstände!S8</f>
        <v>0</v>
      </c>
      <c r="S8" s="168">
        <f>Gegenstände!T8</f>
        <v>0</v>
      </c>
      <c r="T8" s="783">
        <f>Gegenstände!AC8</f>
        <v>0</v>
      </c>
      <c r="U8" s="783">
        <f>Gegenstände!AE8</f>
        <v>0</v>
      </c>
      <c r="V8" s="783">
        <f>Gegenstände!AD8</f>
        <v>0</v>
      </c>
      <c r="W8" s="783">
        <f>Gegenstände!AF8</f>
        <v>0</v>
      </c>
      <c r="AB8" s="3">
        <f>Gegenstände!M8</f>
        <v>0</v>
      </c>
      <c r="AC8" s="3">
        <f>Gegenstände!AB8</f>
        <v>0</v>
      </c>
      <c r="AD8" s="3">
        <f>Gegenstände!F8</f>
        <v>0</v>
      </c>
    </row>
    <row r="9" spans="1:30" x14ac:dyDescent="0.2">
      <c r="A9" s="3">
        <f>Gegenstände!A9</f>
        <v>6</v>
      </c>
      <c r="B9" s="3" t="str">
        <f>Gegenstände!B9</f>
        <v>Kupferbarren</v>
      </c>
      <c r="D9" s="3">
        <f>Gegenstände!K9</f>
        <v>200</v>
      </c>
      <c r="E9" s="3">
        <f>Gegenstände!I9</f>
        <v>31</v>
      </c>
      <c r="F9" s="3">
        <f>VLOOKUP(Gegenstände!E9,Berechnungen!$E$87:$F$115,2,FALSE)</f>
        <v>31</v>
      </c>
      <c r="G9" s="3">
        <f>Gegenstände!H9</f>
        <v>1</v>
      </c>
      <c r="H9" s="3">
        <f>Gegenstände!G9</f>
        <v>0</v>
      </c>
      <c r="I9" s="3">
        <f>Gegenstände!D9</f>
        <v>0</v>
      </c>
      <c r="J9" s="168">
        <f>ROUND(Gegenstände!N9,0)</f>
        <v>60</v>
      </c>
      <c r="K9" s="3">
        <f>Gegenstände!J9</f>
        <v>0</v>
      </c>
      <c r="L9" s="3">
        <f>Gegenstände!L9</f>
        <v>1</v>
      </c>
      <c r="M9" s="3">
        <f>Gegenstände!Z9</f>
        <v>0</v>
      </c>
      <c r="N9" s="783">
        <f>(Gegenstände!Y9*10)</f>
        <v>0</v>
      </c>
      <c r="O9" s="783">
        <f>(Gegenstände!W9*10)</f>
        <v>0</v>
      </c>
      <c r="P9" s="783">
        <f>Gegenstände!AA9*10</f>
        <v>0</v>
      </c>
      <c r="Q9" s="783">
        <f>Gegenstände!O9</f>
        <v>0</v>
      </c>
      <c r="R9" s="168">
        <f>Gegenstände!S9</f>
        <v>0</v>
      </c>
      <c r="S9" s="168">
        <f>Gegenstände!T9</f>
        <v>0</v>
      </c>
      <c r="T9" s="783">
        <f>Gegenstände!AC9</f>
        <v>0</v>
      </c>
      <c r="U9" s="783">
        <f>Gegenstände!AE9</f>
        <v>0</v>
      </c>
      <c r="V9" s="783">
        <f>Gegenstände!AD9</f>
        <v>0</v>
      </c>
      <c r="W9" s="783">
        <f>Gegenstände!AF9</f>
        <v>0</v>
      </c>
      <c r="AB9" s="3">
        <f>Gegenstände!M9</f>
        <v>1</v>
      </c>
      <c r="AC9" s="3">
        <f>Gegenstände!AB9</f>
        <v>0</v>
      </c>
      <c r="AD9" s="3">
        <f>Gegenstände!F9</f>
        <v>0</v>
      </c>
    </row>
    <row r="10" spans="1:30" x14ac:dyDescent="0.2">
      <c r="A10" s="3">
        <f>Gegenstände!A10</f>
        <v>7</v>
      </c>
      <c r="B10" s="3" t="str">
        <f>Gegenstände!B10</f>
        <v>Eisenbarren</v>
      </c>
      <c r="D10" s="3">
        <f>Gegenstände!K10</f>
        <v>200</v>
      </c>
      <c r="E10" s="3">
        <f>Gegenstände!I10</f>
        <v>31</v>
      </c>
      <c r="F10" s="3">
        <f>VLOOKUP(Gegenstände!E10,Berechnungen!$E$87:$F$115,2,FALSE)</f>
        <v>31</v>
      </c>
      <c r="G10" s="3">
        <f>Gegenstände!H10</f>
        <v>1</v>
      </c>
      <c r="H10" s="3">
        <f>Gegenstände!G10</f>
        <v>0</v>
      </c>
      <c r="I10" s="3">
        <f>Gegenstände!D10</f>
        <v>5</v>
      </c>
      <c r="J10" s="168">
        <f>ROUND(Gegenstände!N10,0)</f>
        <v>120</v>
      </c>
      <c r="K10" s="3">
        <f>Gegenstände!J10</f>
        <v>0</v>
      </c>
      <c r="L10" s="3">
        <f>Gegenstände!L10</f>
        <v>1</v>
      </c>
      <c r="M10" s="3">
        <f>Gegenstände!Z10</f>
        <v>0</v>
      </c>
      <c r="N10" s="783">
        <f>(Gegenstände!Y10*10)</f>
        <v>0</v>
      </c>
      <c r="O10" s="783">
        <f>(Gegenstände!W10*10)</f>
        <v>0</v>
      </c>
      <c r="P10" s="783">
        <f>Gegenstände!AA10*10</f>
        <v>0</v>
      </c>
      <c r="Q10" s="783">
        <f>Gegenstände!O10</f>
        <v>0</v>
      </c>
      <c r="R10" s="168">
        <f>Gegenstände!S10</f>
        <v>0</v>
      </c>
      <c r="S10" s="168">
        <f>Gegenstände!T10</f>
        <v>0</v>
      </c>
      <c r="T10" s="783">
        <f>Gegenstände!AC10</f>
        <v>0</v>
      </c>
      <c r="U10" s="783">
        <f>Gegenstände!AE10</f>
        <v>0</v>
      </c>
      <c r="V10" s="783">
        <f>Gegenstände!AD10</f>
        <v>0</v>
      </c>
      <c r="W10" s="783">
        <f>Gegenstände!AF10</f>
        <v>0</v>
      </c>
      <c r="AB10" s="3">
        <f>Gegenstände!M10</f>
        <v>0</v>
      </c>
      <c r="AC10" s="3">
        <f>Gegenstände!AB10</f>
        <v>0</v>
      </c>
      <c r="AD10" s="3">
        <f>Gegenstände!F10</f>
        <v>0</v>
      </c>
    </row>
    <row r="11" spans="1:30" x14ac:dyDescent="0.2">
      <c r="A11" s="3">
        <f>Gegenstände!A11</f>
        <v>8</v>
      </c>
      <c r="B11" s="3" t="str">
        <f>Gegenstände!B11</f>
        <v>Sorandilbarren</v>
      </c>
      <c r="D11" s="3">
        <f>Gegenstände!K11</f>
        <v>200</v>
      </c>
      <c r="E11" s="3">
        <f>Gegenstände!I11</f>
        <v>31</v>
      </c>
      <c r="F11" s="3">
        <f>VLOOKUP(Gegenstände!E11,Berechnungen!$E$87:$F$115,2,FALSE)</f>
        <v>31</v>
      </c>
      <c r="G11" s="3">
        <f>Gegenstände!H11</f>
        <v>1</v>
      </c>
      <c r="H11" s="3">
        <f>Gegenstände!G11</f>
        <v>0</v>
      </c>
      <c r="I11" s="3">
        <f>Gegenstände!D11</f>
        <v>10</v>
      </c>
      <c r="J11" s="168">
        <f>ROUND(Gegenstände!N11,0)</f>
        <v>180</v>
      </c>
      <c r="K11" s="3">
        <f>Gegenstände!J11</f>
        <v>0</v>
      </c>
      <c r="L11" s="3">
        <f>Gegenstände!L11</f>
        <v>1</v>
      </c>
      <c r="M11" s="3">
        <f>Gegenstände!Z11</f>
        <v>0</v>
      </c>
      <c r="N11" s="783">
        <f>(Gegenstände!Y11*10)</f>
        <v>0</v>
      </c>
      <c r="O11" s="783">
        <f>(Gegenstände!W11*10)</f>
        <v>0</v>
      </c>
      <c r="P11" s="783">
        <f>Gegenstände!AA11*10</f>
        <v>0</v>
      </c>
      <c r="Q11" s="783">
        <f>Gegenstände!O11</f>
        <v>0</v>
      </c>
      <c r="R11" s="168">
        <f>Gegenstände!S11</f>
        <v>0</v>
      </c>
      <c r="S11" s="168">
        <f>Gegenstände!T11</f>
        <v>0</v>
      </c>
      <c r="T11" s="783">
        <f>Gegenstände!AC11</f>
        <v>0</v>
      </c>
      <c r="U11" s="783">
        <f>Gegenstände!AE11</f>
        <v>0</v>
      </c>
      <c r="V11" s="783">
        <f>Gegenstände!AD11</f>
        <v>0</v>
      </c>
      <c r="W11" s="783">
        <f>Gegenstände!AF11</f>
        <v>0</v>
      </c>
      <c r="AB11" s="3">
        <f>Gegenstände!M11</f>
        <v>0</v>
      </c>
      <c r="AC11" s="3">
        <f>Gegenstände!AB11</f>
        <v>0</v>
      </c>
      <c r="AD11" s="3">
        <f>Gegenstände!F11</f>
        <v>0</v>
      </c>
    </row>
    <row r="12" spans="1:30" x14ac:dyDescent="0.2">
      <c r="A12" s="3">
        <f>Gegenstände!A12</f>
        <v>9</v>
      </c>
      <c r="B12" s="3" t="str">
        <f>Gegenstände!B12</f>
        <v>Adamantbarren</v>
      </c>
      <c r="D12" s="3">
        <f>Gegenstände!K12</f>
        <v>200</v>
      </c>
      <c r="E12" s="3">
        <f>Gegenstände!I12</f>
        <v>31</v>
      </c>
      <c r="F12" s="3">
        <f>VLOOKUP(Gegenstände!E12,Berechnungen!$E$87:$F$115,2,FALSE)</f>
        <v>31</v>
      </c>
      <c r="G12" s="3">
        <f>Gegenstände!H12</f>
        <v>1</v>
      </c>
      <c r="H12" s="3">
        <f>Gegenstände!G12</f>
        <v>0</v>
      </c>
      <c r="I12" s="3">
        <f>Gegenstände!D12</f>
        <v>15</v>
      </c>
      <c r="J12" s="168">
        <f>ROUND(Gegenstände!N12,0)</f>
        <v>270</v>
      </c>
      <c r="K12" s="3">
        <f>Gegenstände!J12</f>
        <v>0</v>
      </c>
      <c r="L12" s="3">
        <f>Gegenstände!L12</f>
        <v>1</v>
      </c>
      <c r="M12" s="3">
        <f>Gegenstände!Z12</f>
        <v>0</v>
      </c>
      <c r="N12" s="783">
        <f>(Gegenstände!Y12*10)</f>
        <v>0</v>
      </c>
      <c r="O12" s="783">
        <f>(Gegenstände!W12*10)</f>
        <v>0</v>
      </c>
      <c r="P12" s="783">
        <f>Gegenstände!AA12*10</f>
        <v>0</v>
      </c>
      <c r="Q12" s="783">
        <f>Gegenstände!O12</f>
        <v>0</v>
      </c>
      <c r="R12" s="168">
        <f>Gegenstände!S12</f>
        <v>0</v>
      </c>
      <c r="S12" s="168">
        <f>Gegenstände!T12</f>
        <v>0</v>
      </c>
      <c r="T12" s="783">
        <f>Gegenstände!AC12</f>
        <v>0</v>
      </c>
      <c r="U12" s="783">
        <f>Gegenstände!AE12</f>
        <v>0</v>
      </c>
      <c r="V12" s="783">
        <f>Gegenstände!AD12</f>
        <v>0</v>
      </c>
      <c r="W12" s="783">
        <f>Gegenstände!AF12</f>
        <v>0</v>
      </c>
      <c r="AB12" s="3">
        <f>Gegenstände!M12</f>
        <v>0</v>
      </c>
      <c r="AC12" s="3">
        <f>Gegenstände!AB12</f>
        <v>0</v>
      </c>
      <c r="AD12" s="3">
        <f>Gegenstände!F12</f>
        <v>0</v>
      </c>
    </row>
    <row r="13" spans="1:30" x14ac:dyDescent="0.2">
      <c r="A13" s="3">
        <f>Gegenstände!A13</f>
        <v>10</v>
      </c>
      <c r="B13" s="3" t="str">
        <f>Gegenstände!B13</f>
        <v>Mithrilbarren</v>
      </c>
      <c r="D13" s="3">
        <f>Gegenstände!K13</f>
        <v>200</v>
      </c>
      <c r="E13" s="3">
        <f>Gegenstände!I13</f>
        <v>31</v>
      </c>
      <c r="F13" s="3">
        <f>VLOOKUP(Gegenstände!E13,Berechnungen!$E$87:$F$115,2,FALSE)</f>
        <v>31</v>
      </c>
      <c r="G13" s="3">
        <f>Gegenstände!H13</f>
        <v>1</v>
      </c>
      <c r="H13" s="3">
        <f>Gegenstände!G13</f>
        <v>0</v>
      </c>
      <c r="I13" s="3">
        <f>Gegenstände!D13</f>
        <v>20</v>
      </c>
      <c r="J13" s="168">
        <f>ROUND(Gegenstände!N13,0)</f>
        <v>360</v>
      </c>
      <c r="K13" s="3">
        <f>Gegenstände!J13</f>
        <v>0</v>
      </c>
      <c r="L13" s="3">
        <f>Gegenstände!L13</f>
        <v>1</v>
      </c>
      <c r="M13" s="3">
        <f>Gegenstände!Z13</f>
        <v>0</v>
      </c>
      <c r="N13" s="783">
        <f>(Gegenstände!Y13*10)</f>
        <v>0</v>
      </c>
      <c r="O13" s="783">
        <f>(Gegenstände!W13*10)</f>
        <v>0</v>
      </c>
      <c r="P13" s="783">
        <f>Gegenstände!AA13*10</f>
        <v>0</v>
      </c>
      <c r="Q13" s="783">
        <f>Gegenstände!O13</f>
        <v>0</v>
      </c>
      <c r="R13" s="168">
        <f>Gegenstände!S13</f>
        <v>0</v>
      </c>
      <c r="S13" s="168">
        <f>Gegenstände!T13</f>
        <v>0</v>
      </c>
      <c r="T13" s="783">
        <f>Gegenstände!AC13</f>
        <v>0</v>
      </c>
      <c r="U13" s="783">
        <f>Gegenstände!AE13</f>
        <v>0</v>
      </c>
      <c r="V13" s="783">
        <f>Gegenstände!AD13</f>
        <v>0</v>
      </c>
      <c r="W13" s="783">
        <f>Gegenstände!AF13</f>
        <v>0</v>
      </c>
      <c r="AB13" s="3">
        <f>Gegenstände!M13</f>
        <v>0</v>
      </c>
      <c r="AC13" s="3">
        <f>Gegenstände!AB13</f>
        <v>0</v>
      </c>
      <c r="AD13" s="3">
        <f>Gegenstände!F13</f>
        <v>0</v>
      </c>
    </row>
    <row r="14" spans="1:30" x14ac:dyDescent="0.2">
      <c r="A14" s="3">
        <f>Gegenstände!A14</f>
        <v>0</v>
      </c>
      <c r="B14" s="3" t="str">
        <f>Gegenstände!B14</f>
        <v>Steine</v>
      </c>
      <c r="D14" s="3">
        <f>Gegenstände!K14</f>
        <v>0</v>
      </c>
      <c r="E14" s="3">
        <f>Gegenstände!I14</f>
        <v>0</v>
      </c>
      <c r="F14" s="3" t="e">
        <f>VLOOKUP(Gegenstände!E14,Berechnungen!$E$87:$F$115,2,FALSE)</f>
        <v>#N/A</v>
      </c>
      <c r="G14" s="3">
        <f>Gegenstände!H14</f>
        <v>0</v>
      </c>
      <c r="H14" s="3">
        <f>Gegenstände!G14</f>
        <v>0</v>
      </c>
      <c r="I14" s="3">
        <f>Gegenstände!D14</f>
        <v>0</v>
      </c>
      <c r="J14" s="168">
        <f>ROUND(Gegenstände!N14,0)</f>
        <v>0</v>
      </c>
      <c r="K14" s="3">
        <f>Gegenstände!J14</f>
        <v>0</v>
      </c>
      <c r="L14" s="3">
        <f>Gegenstände!L14</f>
        <v>0</v>
      </c>
      <c r="M14" s="3">
        <f>Gegenstände!Z14</f>
        <v>0</v>
      </c>
      <c r="N14" s="783">
        <f>(Gegenstände!Y14*10)</f>
        <v>0</v>
      </c>
      <c r="O14" s="783">
        <f>(Gegenstände!W14*10)</f>
        <v>0</v>
      </c>
      <c r="P14" s="783">
        <f>Gegenstände!AA14*10</f>
        <v>0</v>
      </c>
      <c r="Q14" s="783">
        <f>Gegenstände!O14</f>
        <v>0</v>
      </c>
      <c r="R14" s="168">
        <f>Gegenstände!S14</f>
        <v>0</v>
      </c>
      <c r="S14" s="168">
        <f>Gegenstände!T14</f>
        <v>0</v>
      </c>
      <c r="T14" s="783">
        <f>Gegenstände!AC14</f>
        <v>0</v>
      </c>
      <c r="U14" s="783">
        <f>Gegenstände!AE14</f>
        <v>0</v>
      </c>
      <c r="V14" s="783">
        <f>Gegenstände!AD14</f>
        <v>0</v>
      </c>
      <c r="W14" s="783">
        <f>Gegenstände!AF14</f>
        <v>0</v>
      </c>
      <c r="AB14" s="3">
        <f>Gegenstände!M14</f>
        <v>0</v>
      </c>
      <c r="AC14" s="3">
        <f>Gegenstände!AB14</f>
        <v>0</v>
      </c>
      <c r="AD14" s="3">
        <f>Gegenstände!F14</f>
        <v>0</v>
      </c>
    </row>
    <row r="15" spans="1:30" x14ac:dyDescent="0.2">
      <c r="A15" s="3">
        <f>Gegenstände!A15</f>
        <v>11</v>
      </c>
      <c r="B15" s="3" t="str">
        <f>Gegenstände!B15</f>
        <v>Kalkstein</v>
      </c>
      <c r="D15" s="3">
        <f>Gegenstände!K15</f>
        <v>600</v>
      </c>
      <c r="E15" s="3">
        <f>Gegenstände!I15</f>
        <v>31</v>
      </c>
      <c r="F15" s="3">
        <f>VLOOKUP(Gegenstände!E15,Berechnungen!$E$87:$F$115,2,FALSE)</f>
        <v>31</v>
      </c>
      <c r="G15" s="3">
        <f>Gegenstände!H15</f>
        <v>1</v>
      </c>
      <c r="H15" s="3">
        <f>Gegenstände!G15</f>
        <v>0</v>
      </c>
      <c r="I15" s="3">
        <f>Gegenstände!D15</f>
        <v>0</v>
      </c>
      <c r="J15" s="168">
        <f>ROUND(Gegenstände!N15,0)</f>
        <v>20</v>
      </c>
      <c r="K15" s="3">
        <f>Gegenstände!J15</f>
        <v>0</v>
      </c>
      <c r="L15" s="3">
        <f>Gegenstände!L15</f>
        <v>1</v>
      </c>
      <c r="M15" s="3">
        <f>Gegenstände!Z15</f>
        <v>0</v>
      </c>
      <c r="N15" s="783">
        <f>(Gegenstände!Y15*10)</f>
        <v>0</v>
      </c>
      <c r="O15" s="783">
        <f>(Gegenstände!W15*10)</f>
        <v>0</v>
      </c>
      <c r="P15" s="783">
        <f>Gegenstände!AA15*10</f>
        <v>0</v>
      </c>
      <c r="Q15" s="783">
        <f>Gegenstände!O15</f>
        <v>0</v>
      </c>
      <c r="R15" s="168">
        <f>Gegenstände!S15</f>
        <v>0</v>
      </c>
      <c r="S15" s="168">
        <f>Gegenstände!T15</f>
        <v>0</v>
      </c>
      <c r="T15" s="783">
        <f>Gegenstände!AC15</f>
        <v>0</v>
      </c>
      <c r="U15" s="783">
        <f>Gegenstände!AE15</f>
        <v>0</v>
      </c>
      <c r="V15" s="783">
        <f>Gegenstände!AD15</f>
        <v>0</v>
      </c>
      <c r="W15" s="783">
        <f>Gegenstände!AF15</f>
        <v>0</v>
      </c>
      <c r="AB15" s="3">
        <f>Gegenstände!M15</f>
        <v>1</v>
      </c>
      <c r="AC15" s="3">
        <f>Gegenstände!AB15</f>
        <v>0</v>
      </c>
      <c r="AD15" s="3">
        <f>Gegenstände!F15</f>
        <v>0</v>
      </c>
    </row>
    <row r="16" spans="1:30" x14ac:dyDescent="0.2">
      <c r="A16" s="3">
        <f>Gegenstände!A16</f>
        <v>12</v>
      </c>
      <c r="B16" s="3" t="str">
        <f>Gegenstände!B16</f>
        <v>Sandstein</v>
      </c>
      <c r="D16" s="3">
        <f>Gegenstände!K16</f>
        <v>600</v>
      </c>
      <c r="E16" s="3">
        <f>Gegenstände!I16</f>
        <v>31</v>
      </c>
      <c r="F16" s="3">
        <f>VLOOKUP(Gegenstände!E16,Berechnungen!$E$87:$F$115,2,FALSE)</f>
        <v>31</v>
      </c>
      <c r="G16" s="3">
        <f>Gegenstände!H16</f>
        <v>1</v>
      </c>
      <c r="H16" s="3">
        <f>Gegenstände!G16</f>
        <v>0</v>
      </c>
      <c r="I16" s="3">
        <f>Gegenstände!D16</f>
        <v>5</v>
      </c>
      <c r="J16" s="168">
        <f>ROUND(Gegenstände!N16,0)</f>
        <v>40</v>
      </c>
      <c r="K16" s="3">
        <f>Gegenstände!J16</f>
        <v>0</v>
      </c>
      <c r="L16" s="3">
        <f>Gegenstände!L16</f>
        <v>1</v>
      </c>
      <c r="M16" s="3">
        <f>Gegenstände!Z16</f>
        <v>0</v>
      </c>
      <c r="N16" s="783">
        <f>(Gegenstände!Y16*10)</f>
        <v>0</v>
      </c>
      <c r="O16" s="783">
        <f>(Gegenstände!W16*10)</f>
        <v>0</v>
      </c>
      <c r="P16" s="783">
        <f>Gegenstände!AA16*10</f>
        <v>0</v>
      </c>
      <c r="Q16" s="783">
        <f>Gegenstände!O16</f>
        <v>0</v>
      </c>
      <c r="R16" s="168">
        <f>Gegenstände!S16</f>
        <v>0</v>
      </c>
      <c r="S16" s="168">
        <f>Gegenstände!T16</f>
        <v>0</v>
      </c>
      <c r="T16" s="783">
        <f>Gegenstände!AC16</f>
        <v>0</v>
      </c>
      <c r="U16" s="783">
        <f>Gegenstände!AE16</f>
        <v>0</v>
      </c>
      <c r="V16" s="783">
        <f>Gegenstände!AD16</f>
        <v>0</v>
      </c>
      <c r="W16" s="783">
        <f>Gegenstände!AF16</f>
        <v>0</v>
      </c>
      <c r="AB16" s="3">
        <f>Gegenstände!M16</f>
        <v>0</v>
      </c>
      <c r="AC16" s="3">
        <f>Gegenstände!AB16</f>
        <v>0</v>
      </c>
      <c r="AD16" s="3">
        <f>Gegenstände!F16</f>
        <v>0</v>
      </c>
    </row>
    <row r="17" spans="1:30" x14ac:dyDescent="0.2">
      <c r="A17" s="3">
        <f>Gegenstände!A17</f>
        <v>13</v>
      </c>
      <c r="B17" s="3" t="str">
        <f>Gegenstände!B17</f>
        <v>Schiefer</v>
      </c>
      <c r="D17" s="3">
        <f>Gegenstände!K17</f>
        <v>600</v>
      </c>
      <c r="E17" s="3">
        <f>Gegenstände!I17</f>
        <v>31</v>
      </c>
      <c r="F17" s="3">
        <f>VLOOKUP(Gegenstände!E17,Berechnungen!$E$87:$F$115,2,FALSE)</f>
        <v>31</v>
      </c>
      <c r="G17" s="3">
        <f>Gegenstände!H17</f>
        <v>1</v>
      </c>
      <c r="H17" s="3">
        <f>Gegenstände!G17</f>
        <v>0</v>
      </c>
      <c r="I17" s="3">
        <f>Gegenstände!D17</f>
        <v>10</v>
      </c>
      <c r="J17" s="168">
        <f>ROUND(Gegenstände!N17,0)</f>
        <v>60</v>
      </c>
      <c r="K17" s="3">
        <f>Gegenstände!J17</f>
        <v>0</v>
      </c>
      <c r="L17" s="3">
        <f>Gegenstände!L17</f>
        <v>1</v>
      </c>
      <c r="M17" s="3">
        <f>Gegenstände!Z17</f>
        <v>0</v>
      </c>
      <c r="N17" s="783">
        <f>(Gegenstände!Y17*10)</f>
        <v>0</v>
      </c>
      <c r="O17" s="783">
        <f>(Gegenstände!W17*10)</f>
        <v>0</v>
      </c>
      <c r="P17" s="783">
        <f>Gegenstände!AA17*10</f>
        <v>0</v>
      </c>
      <c r="Q17" s="783">
        <f>Gegenstände!O17</f>
        <v>0</v>
      </c>
      <c r="R17" s="168">
        <f>Gegenstände!S17</f>
        <v>0</v>
      </c>
      <c r="S17" s="168">
        <f>Gegenstände!T17</f>
        <v>0</v>
      </c>
      <c r="T17" s="783">
        <f>Gegenstände!AC17</f>
        <v>0</v>
      </c>
      <c r="U17" s="783">
        <f>Gegenstände!AE17</f>
        <v>0</v>
      </c>
      <c r="V17" s="783">
        <f>Gegenstände!AD17</f>
        <v>0</v>
      </c>
      <c r="W17" s="783">
        <f>Gegenstände!AF17</f>
        <v>0</v>
      </c>
      <c r="AB17" s="3">
        <f>Gegenstände!M17</f>
        <v>0</v>
      </c>
      <c r="AC17" s="3">
        <f>Gegenstände!AB17</f>
        <v>0</v>
      </c>
      <c r="AD17" s="3">
        <f>Gegenstände!F17</f>
        <v>0</v>
      </c>
    </row>
    <row r="18" spans="1:30" x14ac:dyDescent="0.2">
      <c r="A18" s="3">
        <f>Gegenstände!A18</f>
        <v>14</v>
      </c>
      <c r="B18" s="3" t="str">
        <f>Gegenstände!B18</f>
        <v>Granit</v>
      </c>
      <c r="D18" s="3">
        <f>Gegenstände!K18</f>
        <v>600</v>
      </c>
      <c r="E18" s="3">
        <f>Gegenstände!I18</f>
        <v>31</v>
      </c>
      <c r="F18" s="3">
        <f>VLOOKUP(Gegenstände!E18,Berechnungen!$E$87:$F$115,2,FALSE)</f>
        <v>31</v>
      </c>
      <c r="G18" s="3">
        <f>Gegenstände!H18</f>
        <v>1</v>
      </c>
      <c r="H18" s="3">
        <f>Gegenstände!G18</f>
        <v>0</v>
      </c>
      <c r="I18" s="3">
        <f>Gegenstände!D18</f>
        <v>15</v>
      </c>
      <c r="J18" s="168">
        <f>ROUND(Gegenstände!N18,0)</f>
        <v>90</v>
      </c>
      <c r="K18" s="3">
        <f>Gegenstände!J18</f>
        <v>0</v>
      </c>
      <c r="L18" s="3">
        <f>Gegenstände!L18</f>
        <v>1</v>
      </c>
      <c r="M18" s="3">
        <f>Gegenstände!Z18</f>
        <v>0</v>
      </c>
      <c r="N18" s="783">
        <f>(Gegenstände!Y18*10)</f>
        <v>0</v>
      </c>
      <c r="O18" s="783">
        <f>(Gegenstände!W18*10)</f>
        <v>0</v>
      </c>
      <c r="P18" s="783">
        <f>Gegenstände!AA18*10</f>
        <v>0</v>
      </c>
      <c r="Q18" s="783">
        <f>Gegenstände!O18</f>
        <v>0</v>
      </c>
      <c r="R18" s="168">
        <f>Gegenstände!S18</f>
        <v>0</v>
      </c>
      <c r="S18" s="168">
        <f>Gegenstände!T18</f>
        <v>0</v>
      </c>
      <c r="T18" s="783">
        <f>Gegenstände!AC18</f>
        <v>0</v>
      </c>
      <c r="U18" s="783">
        <f>Gegenstände!AE18</f>
        <v>0</v>
      </c>
      <c r="V18" s="783">
        <f>Gegenstände!AD18</f>
        <v>0</v>
      </c>
      <c r="W18" s="783">
        <f>Gegenstände!AF18</f>
        <v>0</v>
      </c>
      <c r="AB18" s="3">
        <f>Gegenstände!M18</f>
        <v>0</v>
      </c>
      <c r="AC18" s="3">
        <f>Gegenstände!AB18</f>
        <v>0</v>
      </c>
      <c r="AD18" s="3">
        <f>Gegenstände!F18</f>
        <v>0</v>
      </c>
    </row>
    <row r="19" spans="1:30" x14ac:dyDescent="0.2">
      <c r="A19" s="3">
        <f>Gegenstände!A19</f>
        <v>15</v>
      </c>
      <c r="B19" s="3" t="str">
        <f>Gegenstände!B19</f>
        <v>Marmor</v>
      </c>
      <c r="D19" s="3">
        <f>Gegenstände!K19</f>
        <v>600</v>
      </c>
      <c r="E19" s="3">
        <f>Gegenstände!I19</f>
        <v>31</v>
      </c>
      <c r="F19" s="3">
        <f>VLOOKUP(Gegenstände!E19,Berechnungen!$E$87:$F$115,2,FALSE)</f>
        <v>31</v>
      </c>
      <c r="G19" s="3">
        <f>Gegenstände!H19</f>
        <v>1</v>
      </c>
      <c r="H19" s="3">
        <f>Gegenstände!G19</f>
        <v>0</v>
      </c>
      <c r="I19" s="3">
        <f>Gegenstände!D19</f>
        <v>20</v>
      </c>
      <c r="J19" s="168">
        <f>ROUND(Gegenstände!N19,0)</f>
        <v>120</v>
      </c>
      <c r="K19" s="3">
        <f>Gegenstände!J19</f>
        <v>0</v>
      </c>
      <c r="L19" s="3">
        <f>Gegenstände!L19</f>
        <v>1</v>
      </c>
      <c r="M19" s="3">
        <f>Gegenstände!Z19</f>
        <v>0</v>
      </c>
      <c r="N19" s="783">
        <f>(Gegenstände!Y19*10)</f>
        <v>0</v>
      </c>
      <c r="O19" s="783">
        <f>(Gegenstände!W19*10)</f>
        <v>0</v>
      </c>
      <c r="P19" s="783">
        <f>Gegenstände!AA19*10</f>
        <v>0</v>
      </c>
      <c r="Q19" s="783">
        <f>Gegenstände!O19</f>
        <v>0</v>
      </c>
      <c r="R19" s="168">
        <f>Gegenstände!S19</f>
        <v>0</v>
      </c>
      <c r="S19" s="168">
        <f>Gegenstände!T19</f>
        <v>0</v>
      </c>
      <c r="T19" s="783">
        <f>Gegenstände!AC19</f>
        <v>0</v>
      </c>
      <c r="U19" s="783">
        <f>Gegenstände!AE19</f>
        <v>0</v>
      </c>
      <c r="V19" s="783">
        <f>Gegenstände!AD19</f>
        <v>0</v>
      </c>
      <c r="W19" s="783">
        <f>Gegenstände!AF19</f>
        <v>0</v>
      </c>
      <c r="AB19" s="3">
        <f>Gegenstände!M19</f>
        <v>0</v>
      </c>
      <c r="AC19" s="3">
        <f>Gegenstände!AB19</f>
        <v>0</v>
      </c>
      <c r="AD19" s="3">
        <f>Gegenstände!F19</f>
        <v>0</v>
      </c>
    </row>
    <row r="20" spans="1:30" x14ac:dyDescent="0.2">
      <c r="A20" s="3">
        <f>Gegenstände!A20</f>
        <v>0</v>
      </c>
      <c r="B20" s="3" t="str">
        <f>Gegenstände!B20</f>
        <v>Ziegel</v>
      </c>
      <c r="D20" s="3">
        <f>Gegenstände!K20</f>
        <v>0</v>
      </c>
      <c r="E20" s="3">
        <f>Gegenstände!I20</f>
        <v>0</v>
      </c>
      <c r="F20" s="3" t="e">
        <f>VLOOKUP(Gegenstände!E20,Berechnungen!$E$87:$F$115,2,FALSE)</f>
        <v>#N/A</v>
      </c>
      <c r="G20" s="3">
        <f>Gegenstände!H20</f>
        <v>0</v>
      </c>
      <c r="H20" s="3">
        <f>Gegenstände!G20</f>
        <v>0</v>
      </c>
      <c r="I20" s="3">
        <f>Gegenstände!D20</f>
        <v>0</v>
      </c>
      <c r="J20" s="168">
        <f>ROUND(Gegenstände!N20,0)</f>
        <v>0</v>
      </c>
      <c r="K20" s="3">
        <f>Gegenstände!J20</f>
        <v>0</v>
      </c>
      <c r="L20" s="3">
        <f>Gegenstände!L20</f>
        <v>0</v>
      </c>
      <c r="M20" s="3">
        <f>Gegenstände!Z20</f>
        <v>0</v>
      </c>
      <c r="N20" s="783">
        <f>(Gegenstände!Y20*10)</f>
        <v>0</v>
      </c>
      <c r="O20" s="783">
        <f>(Gegenstände!W20*10)</f>
        <v>0</v>
      </c>
      <c r="P20" s="783">
        <f>Gegenstände!AA20*10</f>
        <v>0</v>
      </c>
      <c r="Q20" s="783">
        <f>Gegenstände!O20</f>
        <v>0</v>
      </c>
      <c r="R20" s="168">
        <f>Gegenstände!S20</f>
        <v>0</v>
      </c>
      <c r="S20" s="168">
        <f>Gegenstände!T20</f>
        <v>0</v>
      </c>
      <c r="T20" s="783">
        <f>Gegenstände!AC20</f>
        <v>0</v>
      </c>
      <c r="U20" s="783">
        <f>Gegenstände!AE20</f>
        <v>0</v>
      </c>
      <c r="V20" s="783">
        <f>Gegenstände!AD20</f>
        <v>0</v>
      </c>
      <c r="W20" s="783">
        <f>Gegenstände!AF20</f>
        <v>0</v>
      </c>
      <c r="AB20" s="3">
        <f>Gegenstände!M20</f>
        <v>0</v>
      </c>
      <c r="AC20" s="3">
        <f>Gegenstände!AB20</f>
        <v>0</v>
      </c>
      <c r="AD20" s="3">
        <f>Gegenstände!F20</f>
        <v>0</v>
      </c>
    </row>
    <row r="21" spans="1:30" x14ac:dyDescent="0.2">
      <c r="A21" s="3">
        <f>Gegenstände!A21</f>
        <v>16</v>
      </c>
      <c r="B21" s="3" t="str">
        <f>Gegenstände!B21</f>
        <v>Kalkziegel</v>
      </c>
      <c r="D21" s="3">
        <f>Gegenstände!K21</f>
        <v>600</v>
      </c>
      <c r="E21" s="3">
        <f>Gegenstände!I21</f>
        <v>31</v>
      </c>
      <c r="F21" s="3">
        <f>VLOOKUP(Gegenstände!E21,Berechnungen!$E$87:$F$115,2,FALSE)</f>
        <v>31</v>
      </c>
      <c r="G21" s="3">
        <f>Gegenstände!H21</f>
        <v>1</v>
      </c>
      <c r="H21" s="3">
        <f>Gegenstände!G21</f>
        <v>0</v>
      </c>
      <c r="I21" s="3">
        <f>Gegenstände!D21</f>
        <v>0</v>
      </c>
      <c r="J21" s="168">
        <f>ROUND(Gegenstände!N21,0)</f>
        <v>60</v>
      </c>
      <c r="K21" s="3">
        <f>Gegenstände!J21</f>
        <v>0</v>
      </c>
      <c r="L21" s="3">
        <f>Gegenstände!L21</f>
        <v>1</v>
      </c>
      <c r="M21" s="3">
        <f>Gegenstände!Z21</f>
        <v>0</v>
      </c>
      <c r="N21" s="783">
        <f>(Gegenstände!Y21*10)</f>
        <v>0</v>
      </c>
      <c r="O21" s="783">
        <f>(Gegenstände!W21*10)</f>
        <v>0</v>
      </c>
      <c r="P21" s="783">
        <f>Gegenstände!AA21*10</f>
        <v>0</v>
      </c>
      <c r="Q21" s="783">
        <f>Gegenstände!O21</f>
        <v>0</v>
      </c>
      <c r="R21" s="168">
        <f>Gegenstände!S21</f>
        <v>0</v>
      </c>
      <c r="S21" s="168">
        <f>Gegenstände!T21</f>
        <v>0</v>
      </c>
      <c r="T21" s="783">
        <f>Gegenstände!AC21</f>
        <v>0</v>
      </c>
      <c r="U21" s="783">
        <f>Gegenstände!AE21</f>
        <v>0</v>
      </c>
      <c r="V21" s="783">
        <f>Gegenstände!AD21</f>
        <v>0</v>
      </c>
      <c r="W21" s="783">
        <f>Gegenstände!AF21</f>
        <v>0</v>
      </c>
      <c r="AB21" s="3">
        <f>Gegenstände!M21</f>
        <v>1</v>
      </c>
      <c r="AC21" s="3">
        <f>Gegenstände!AB21</f>
        <v>0</v>
      </c>
      <c r="AD21" s="3">
        <f>Gegenstände!F21</f>
        <v>0</v>
      </c>
    </row>
    <row r="22" spans="1:30" x14ac:dyDescent="0.2">
      <c r="A22" s="3">
        <f>Gegenstände!A22</f>
        <v>17</v>
      </c>
      <c r="B22" s="3" t="str">
        <f>Gegenstände!B22</f>
        <v>Sandziegel</v>
      </c>
      <c r="D22" s="3">
        <f>Gegenstände!K22</f>
        <v>600</v>
      </c>
      <c r="E22" s="3">
        <f>Gegenstände!I22</f>
        <v>31</v>
      </c>
      <c r="F22" s="3">
        <f>VLOOKUP(Gegenstände!E22,Berechnungen!$E$87:$F$115,2,FALSE)</f>
        <v>31</v>
      </c>
      <c r="G22" s="3">
        <f>Gegenstände!H22</f>
        <v>1</v>
      </c>
      <c r="H22" s="3">
        <f>Gegenstände!G22</f>
        <v>0</v>
      </c>
      <c r="I22" s="3">
        <f>Gegenstände!D22</f>
        <v>5</v>
      </c>
      <c r="J22" s="168">
        <f>ROUND(Gegenstände!N22,0)</f>
        <v>120</v>
      </c>
      <c r="K22" s="3">
        <f>Gegenstände!J22</f>
        <v>0</v>
      </c>
      <c r="L22" s="3">
        <f>Gegenstände!L22</f>
        <v>1</v>
      </c>
      <c r="M22" s="3">
        <f>Gegenstände!Z22</f>
        <v>0</v>
      </c>
      <c r="N22" s="783">
        <f>(Gegenstände!Y22*10)</f>
        <v>0</v>
      </c>
      <c r="O22" s="783">
        <f>(Gegenstände!W22*10)</f>
        <v>0</v>
      </c>
      <c r="P22" s="783">
        <f>Gegenstände!AA22*10</f>
        <v>0</v>
      </c>
      <c r="Q22" s="783">
        <f>Gegenstände!O22</f>
        <v>0</v>
      </c>
      <c r="R22" s="168">
        <f>Gegenstände!S22</f>
        <v>0</v>
      </c>
      <c r="S22" s="168">
        <f>Gegenstände!T22</f>
        <v>0</v>
      </c>
      <c r="T22" s="783">
        <f>Gegenstände!AC22</f>
        <v>0</v>
      </c>
      <c r="U22" s="783">
        <f>Gegenstände!AE22</f>
        <v>0</v>
      </c>
      <c r="V22" s="783">
        <f>Gegenstände!AD22</f>
        <v>0</v>
      </c>
      <c r="W22" s="783">
        <f>Gegenstände!AF22</f>
        <v>0</v>
      </c>
      <c r="AB22" s="3">
        <f>Gegenstände!M22</f>
        <v>0</v>
      </c>
      <c r="AC22" s="3">
        <f>Gegenstände!AB22</f>
        <v>0</v>
      </c>
      <c r="AD22" s="3">
        <f>Gegenstände!F22</f>
        <v>0</v>
      </c>
    </row>
    <row r="23" spans="1:30" x14ac:dyDescent="0.2">
      <c r="A23" s="3">
        <f>Gegenstände!A23</f>
        <v>18</v>
      </c>
      <c r="B23" s="3" t="str">
        <f>Gegenstände!B23</f>
        <v>Schieferziegel</v>
      </c>
      <c r="D23" s="3">
        <f>Gegenstände!K23</f>
        <v>600</v>
      </c>
      <c r="E23" s="3">
        <f>Gegenstände!I23</f>
        <v>31</v>
      </c>
      <c r="F23" s="3">
        <f>VLOOKUP(Gegenstände!E23,Berechnungen!$E$87:$F$115,2,FALSE)</f>
        <v>31</v>
      </c>
      <c r="G23" s="3">
        <f>Gegenstände!H23</f>
        <v>1</v>
      </c>
      <c r="H23" s="3">
        <f>Gegenstände!G23</f>
        <v>0</v>
      </c>
      <c r="I23" s="3">
        <f>Gegenstände!D23</f>
        <v>10</v>
      </c>
      <c r="J23" s="168">
        <f>ROUND(Gegenstände!N23,0)</f>
        <v>180</v>
      </c>
      <c r="K23" s="3">
        <f>Gegenstände!J23</f>
        <v>0</v>
      </c>
      <c r="L23" s="3">
        <f>Gegenstände!L23</f>
        <v>1</v>
      </c>
      <c r="M23" s="3">
        <f>Gegenstände!Z23</f>
        <v>0</v>
      </c>
      <c r="N23" s="783">
        <f>(Gegenstände!Y23*10)</f>
        <v>0</v>
      </c>
      <c r="O23" s="783">
        <f>(Gegenstände!W23*10)</f>
        <v>0</v>
      </c>
      <c r="P23" s="783">
        <f>Gegenstände!AA23*10</f>
        <v>0</v>
      </c>
      <c r="Q23" s="783">
        <f>Gegenstände!O23</f>
        <v>0</v>
      </c>
      <c r="R23" s="168">
        <f>Gegenstände!S23</f>
        <v>0</v>
      </c>
      <c r="S23" s="168">
        <f>Gegenstände!T23</f>
        <v>0</v>
      </c>
      <c r="T23" s="783">
        <f>Gegenstände!AC23</f>
        <v>0</v>
      </c>
      <c r="U23" s="783">
        <f>Gegenstände!AE23</f>
        <v>0</v>
      </c>
      <c r="V23" s="783">
        <f>Gegenstände!AD23</f>
        <v>0</v>
      </c>
      <c r="W23" s="783">
        <f>Gegenstände!AF23</f>
        <v>0</v>
      </c>
      <c r="AB23" s="3">
        <f>Gegenstände!M23</f>
        <v>0</v>
      </c>
      <c r="AC23" s="3">
        <f>Gegenstände!AB23</f>
        <v>0</v>
      </c>
      <c r="AD23" s="3">
        <f>Gegenstände!F23</f>
        <v>0</v>
      </c>
    </row>
    <row r="24" spans="1:30" x14ac:dyDescent="0.2">
      <c r="A24" s="3">
        <f>Gegenstände!A24</f>
        <v>19</v>
      </c>
      <c r="B24" s="3" t="str">
        <f>Gegenstände!B24</f>
        <v>Granitziegel</v>
      </c>
      <c r="D24" s="3">
        <f>Gegenstände!K24</f>
        <v>600</v>
      </c>
      <c r="E24" s="3">
        <f>Gegenstände!I24</f>
        <v>31</v>
      </c>
      <c r="F24" s="3">
        <f>VLOOKUP(Gegenstände!E24,Berechnungen!$E$87:$F$115,2,FALSE)</f>
        <v>31</v>
      </c>
      <c r="G24" s="3">
        <f>Gegenstände!H24</f>
        <v>1</v>
      </c>
      <c r="H24" s="3">
        <f>Gegenstände!G24</f>
        <v>0</v>
      </c>
      <c r="I24" s="3">
        <f>Gegenstände!D24</f>
        <v>15</v>
      </c>
      <c r="J24" s="168">
        <f>ROUND(Gegenstände!N24,0)</f>
        <v>270</v>
      </c>
      <c r="K24" s="3">
        <f>Gegenstände!J24</f>
        <v>0</v>
      </c>
      <c r="L24" s="3">
        <f>Gegenstände!L24</f>
        <v>1</v>
      </c>
      <c r="M24" s="3">
        <f>Gegenstände!Z24</f>
        <v>0</v>
      </c>
      <c r="N24" s="783">
        <f>(Gegenstände!Y24*10)</f>
        <v>0</v>
      </c>
      <c r="O24" s="783">
        <f>(Gegenstände!W24*10)</f>
        <v>0</v>
      </c>
      <c r="P24" s="783">
        <f>Gegenstände!AA24*10</f>
        <v>0</v>
      </c>
      <c r="Q24" s="783">
        <f>Gegenstände!O24</f>
        <v>0</v>
      </c>
      <c r="R24" s="168">
        <f>Gegenstände!S24</f>
        <v>0</v>
      </c>
      <c r="S24" s="168">
        <f>Gegenstände!T24</f>
        <v>0</v>
      </c>
      <c r="T24" s="783">
        <f>Gegenstände!AC24</f>
        <v>0</v>
      </c>
      <c r="U24" s="783">
        <f>Gegenstände!AE24</f>
        <v>0</v>
      </c>
      <c r="V24" s="783">
        <f>Gegenstände!AD24</f>
        <v>0</v>
      </c>
      <c r="W24" s="783">
        <f>Gegenstände!AF24</f>
        <v>0</v>
      </c>
      <c r="AB24" s="3">
        <f>Gegenstände!M24</f>
        <v>0</v>
      </c>
      <c r="AC24" s="3">
        <f>Gegenstände!AB24</f>
        <v>0</v>
      </c>
      <c r="AD24" s="3">
        <f>Gegenstände!F24</f>
        <v>0</v>
      </c>
    </row>
    <row r="25" spans="1:30" x14ac:dyDescent="0.2">
      <c r="A25" s="3">
        <f>Gegenstände!A25</f>
        <v>20</v>
      </c>
      <c r="B25" s="3" t="str">
        <f>Gegenstände!B25</f>
        <v>Marmorziegel</v>
      </c>
      <c r="D25" s="3">
        <f>Gegenstände!K25</f>
        <v>600</v>
      </c>
      <c r="E25" s="3">
        <f>Gegenstände!I25</f>
        <v>31</v>
      </c>
      <c r="F25" s="3">
        <f>VLOOKUP(Gegenstände!E25,Berechnungen!$E$87:$F$115,2,FALSE)</f>
        <v>31</v>
      </c>
      <c r="G25" s="3">
        <f>Gegenstände!H25</f>
        <v>1</v>
      </c>
      <c r="H25" s="3">
        <f>Gegenstände!G25</f>
        <v>0</v>
      </c>
      <c r="I25" s="3">
        <f>Gegenstände!D25</f>
        <v>20</v>
      </c>
      <c r="J25" s="168">
        <f>ROUND(Gegenstände!N25,0)</f>
        <v>360</v>
      </c>
      <c r="K25" s="3">
        <f>Gegenstände!J25</f>
        <v>0</v>
      </c>
      <c r="L25" s="3">
        <f>Gegenstände!L25</f>
        <v>1</v>
      </c>
      <c r="M25" s="3">
        <f>Gegenstände!Z25</f>
        <v>0</v>
      </c>
      <c r="N25" s="783">
        <f>(Gegenstände!Y25*10)</f>
        <v>0</v>
      </c>
      <c r="O25" s="783">
        <f>(Gegenstände!W25*10)</f>
        <v>0</v>
      </c>
      <c r="P25" s="783">
        <f>Gegenstände!AA25*10</f>
        <v>0</v>
      </c>
      <c r="Q25" s="783">
        <f>Gegenstände!O25</f>
        <v>0</v>
      </c>
      <c r="R25" s="168">
        <f>Gegenstände!S25</f>
        <v>0</v>
      </c>
      <c r="S25" s="168">
        <f>Gegenstände!T25</f>
        <v>0</v>
      </c>
      <c r="T25" s="783">
        <f>Gegenstände!AC25</f>
        <v>0</v>
      </c>
      <c r="U25" s="783">
        <f>Gegenstände!AE25</f>
        <v>0</v>
      </c>
      <c r="V25" s="783">
        <f>Gegenstände!AD25</f>
        <v>0</v>
      </c>
      <c r="W25" s="783">
        <f>Gegenstände!AF25</f>
        <v>0</v>
      </c>
      <c r="AB25" s="3">
        <f>Gegenstände!M25</f>
        <v>0</v>
      </c>
      <c r="AC25" s="3">
        <f>Gegenstände!AB25</f>
        <v>0</v>
      </c>
      <c r="AD25" s="3">
        <f>Gegenstände!F25</f>
        <v>0</v>
      </c>
    </row>
    <row r="26" spans="1:30" x14ac:dyDescent="0.2">
      <c r="A26" s="3">
        <f>Gegenstände!A26</f>
        <v>0</v>
      </c>
      <c r="B26" s="3" t="str">
        <f>Gegenstände!B26</f>
        <v>Holz</v>
      </c>
      <c r="D26" s="3">
        <f>Gegenstände!K26</f>
        <v>0</v>
      </c>
      <c r="E26" s="3">
        <f>Gegenstände!I26</f>
        <v>0</v>
      </c>
      <c r="F26" s="3" t="e">
        <f>VLOOKUP(Gegenstände!E26,Berechnungen!$E$87:$F$115,2,FALSE)</f>
        <v>#N/A</v>
      </c>
      <c r="G26" s="3">
        <f>Gegenstände!H26</f>
        <v>0</v>
      </c>
      <c r="H26" s="3">
        <f>Gegenstände!G26</f>
        <v>0</v>
      </c>
      <c r="I26" s="3">
        <f>Gegenstände!D26</f>
        <v>0</v>
      </c>
      <c r="J26" s="168">
        <f>ROUND(Gegenstände!N26,0)</f>
        <v>0</v>
      </c>
      <c r="K26" s="3">
        <f>Gegenstände!J26</f>
        <v>0</v>
      </c>
      <c r="L26" s="3">
        <f>Gegenstände!L26</f>
        <v>0</v>
      </c>
      <c r="M26" s="3">
        <f>Gegenstände!Z26</f>
        <v>0</v>
      </c>
      <c r="N26" s="783">
        <f>(Gegenstände!Y26*10)</f>
        <v>0</v>
      </c>
      <c r="O26" s="783">
        <f>(Gegenstände!W26*10)</f>
        <v>0</v>
      </c>
      <c r="P26" s="783">
        <f>Gegenstände!AA26*10</f>
        <v>0</v>
      </c>
      <c r="Q26" s="783">
        <f>Gegenstände!O26</f>
        <v>0</v>
      </c>
      <c r="R26" s="168">
        <f>Gegenstände!S26</f>
        <v>0</v>
      </c>
      <c r="S26" s="168">
        <f>Gegenstände!T26</f>
        <v>0</v>
      </c>
      <c r="T26" s="783">
        <f>Gegenstände!AC26</f>
        <v>0</v>
      </c>
      <c r="U26" s="783">
        <f>Gegenstände!AE26</f>
        <v>0</v>
      </c>
      <c r="V26" s="783">
        <f>Gegenstände!AD26</f>
        <v>0</v>
      </c>
      <c r="W26" s="783">
        <f>Gegenstände!AF26</f>
        <v>0</v>
      </c>
      <c r="AB26" s="3">
        <f>Gegenstände!M26</f>
        <v>0</v>
      </c>
      <c r="AC26" s="3">
        <f>Gegenstände!AB26</f>
        <v>0</v>
      </c>
      <c r="AD26" s="3">
        <f>Gegenstände!F26</f>
        <v>0</v>
      </c>
    </row>
    <row r="27" spans="1:30" x14ac:dyDescent="0.2">
      <c r="A27" s="3">
        <f>Gegenstände!A27</f>
        <v>21</v>
      </c>
      <c r="B27" s="3" t="str">
        <f>Gegenstände!B27</f>
        <v>Buchenholz</v>
      </c>
      <c r="D27" s="3">
        <f>Gegenstände!K27</f>
        <v>400</v>
      </c>
      <c r="E27" s="3">
        <f>Gegenstände!I27</f>
        <v>31</v>
      </c>
      <c r="F27" s="3">
        <f>VLOOKUP(Gegenstände!E27,Berechnungen!$E$87:$F$115,2,FALSE)</f>
        <v>31</v>
      </c>
      <c r="G27" s="3">
        <f>Gegenstände!H27</f>
        <v>1</v>
      </c>
      <c r="H27" s="3">
        <f>Gegenstände!G27</f>
        <v>0</v>
      </c>
      <c r="I27" s="3">
        <f>Gegenstände!D27</f>
        <v>0</v>
      </c>
      <c r="J27" s="168">
        <f>ROUND(Gegenstände!N27,0)</f>
        <v>20</v>
      </c>
      <c r="K27" s="3">
        <f>Gegenstände!J27</f>
        <v>0</v>
      </c>
      <c r="L27" s="3">
        <f>Gegenstände!L27</f>
        <v>1</v>
      </c>
      <c r="M27" s="3">
        <f>Gegenstände!Z27</f>
        <v>0</v>
      </c>
      <c r="N27" s="783">
        <f>(Gegenstände!Y27*10)</f>
        <v>0</v>
      </c>
      <c r="O27" s="783">
        <f>(Gegenstände!W27*10)</f>
        <v>0</v>
      </c>
      <c r="P27" s="783">
        <f>Gegenstände!AA27*10</f>
        <v>0</v>
      </c>
      <c r="Q27" s="783">
        <f>Gegenstände!O27</f>
        <v>0</v>
      </c>
      <c r="R27" s="168">
        <f>Gegenstände!S27</f>
        <v>0</v>
      </c>
      <c r="S27" s="168">
        <f>Gegenstände!T27</f>
        <v>0</v>
      </c>
      <c r="T27" s="783">
        <f>Gegenstände!AC27</f>
        <v>0</v>
      </c>
      <c r="U27" s="783">
        <f>Gegenstände!AE27</f>
        <v>0</v>
      </c>
      <c r="V27" s="783">
        <f>Gegenstände!AD27</f>
        <v>0</v>
      </c>
      <c r="W27" s="783">
        <f>Gegenstände!AF27</f>
        <v>0</v>
      </c>
      <c r="AB27" s="3">
        <f>Gegenstände!M27</f>
        <v>1</v>
      </c>
      <c r="AC27" s="3">
        <f>Gegenstände!AB27</f>
        <v>0</v>
      </c>
      <c r="AD27" s="3">
        <f>Gegenstände!F27</f>
        <v>0</v>
      </c>
    </row>
    <row r="28" spans="1:30" x14ac:dyDescent="0.2">
      <c r="A28" s="3">
        <f>Gegenstände!A28</f>
        <v>22</v>
      </c>
      <c r="B28" s="3" t="str">
        <f>Gegenstände!B28</f>
        <v>Birkenholz</v>
      </c>
      <c r="D28" s="3">
        <f>Gegenstände!K28</f>
        <v>400</v>
      </c>
      <c r="E28" s="3">
        <f>Gegenstände!I28</f>
        <v>31</v>
      </c>
      <c r="F28" s="3">
        <f>VLOOKUP(Gegenstände!E28,Berechnungen!$E$87:$F$115,2,FALSE)</f>
        <v>31</v>
      </c>
      <c r="G28" s="3">
        <f>Gegenstände!H28</f>
        <v>1</v>
      </c>
      <c r="H28" s="3">
        <f>Gegenstände!G28</f>
        <v>0</v>
      </c>
      <c r="I28" s="3">
        <f>Gegenstände!D28</f>
        <v>5</v>
      </c>
      <c r="J28" s="168">
        <f>ROUND(Gegenstände!N28,0)</f>
        <v>40</v>
      </c>
      <c r="K28" s="3">
        <f>Gegenstände!J28</f>
        <v>0</v>
      </c>
      <c r="L28" s="3">
        <f>Gegenstände!L28</f>
        <v>1</v>
      </c>
      <c r="M28" s="3">
        <f>Gegenstände!Z28</f>
        <v>0</v>
      </c>
      <c r="N28" s="783">
        <f>(Gegenstände!Y28*10)</f>
        <v>0</v>
      </c>
      <c r="O28" s="783">
        <f>(Gegenstände!W28*10)</f>
        <v>0</v>
      </c>
      <c r="P28" s="783">
        <f>Gegenstände!AA28*10</f>
        <v>0</v>
      </c>
      <c r="Q28" s="783">
        <f>Gegenstände!O28</f>
        <v>0</v>
      </c>
      <c r="R28" s="168">
        <f>Gegenstände!S28</f>
        <v>0</v>
      </c>
      <c r="S28" s="168">
        <f>Gegenstände!T28</f>
        <v>0</v>
      </c>
      <c r="T28" s="783">
        <f>Gegenstände!AC28</f>
        <v>0</v>
      </c>
      <c r="U28" s="783">
        <f>Gegenstände!AE28</f>
        <v>0</v>
      </c>
      <c r="V28" s="783">
        <f>Gegenstände!AD28</f>
        <v>0</v>
      </c>
      <c r="W28" s="783">
        <f>Gegenstände!AF28</f>
        <v>0</v>
      </c>
      <c r="AB28" s="3">
        <f>Gegenstände!M28</f>
        <v>0</v>
      </c>
      <c r="AC28" s="3">
        <f>Gegenstände!AB28</f>
        <v>0</v>
      </c>
      <c r="AD28" s="3">
        <f>Gegenstände!F28</f>
        <v>0</v>
      </c>
    </row>
    <row r="29" spans="1:30" x14ac:dyDescent="0.2">
      <c r="A29" s="3">
        <f>Gegenstände!A29</f>
        <v>23</v>
      </c>
      <c r="B29" s="3" t="str">
        <f>Gegenstände!B29</f>
        <v>Eichenholz</v>
      </c>
      <c r="D29" s="3">
        <f>Gegenstände!K29</f>
        <v>400</v>
      </c>
      <c r="E29" s="3">
        <f>Gegenstände!I29</f>
        <v>31</v>
      </c>
      <c r="F29" s="3">
        <f>VLOOKUP(Gegenstände!E29,Berechnungen!$E$87:$F$115,2,FALSE)</f>
        <v>31</v>
      </c>
      <c r="G29" s="3">
        <f>Gegenstände!H29</f>
        <v>1</v>
      </c>
      <c r="H29" s="3">
        <f>Gegenstände!G29</f>
        <v>0</v>
      </c>
      <c r="I29" s="3">
        <f>Gegenstände!D29</f>
        <v>10</v>
      </c>
      <c r="J29" s="168">
        <f>ROUND(Gegenstände!N29,0)</f>
        <v>60</v>
      </c>
      <c r="K29" s="3">
        <f>Gegenstände!J29</f>
        <v>0</v>
      </c>
      <c r="L29" s="3">
        <f>Gegenstände!L29</f>
        <v>1</v>
      </c>
      <c r="M29" s="3">
        <f>Gegenstände!Z29</f>
        <v>0</v>
      </c>
      <c r="N29" s="783">
        <f>(Gegenstände!Y29*10)</f>
        <v>0</v>
      </c>
      <c r="O29" s="783">
        <f>(Gegenstände!W29*10)</f>
        <v>0</v>
      </c>
      <c r="P29" s="783">
        <f>Gegenstände!AA29*10</f>
        <v>0</v>
      </c>
      <c r="Q29" s="783">
        <f>Gegenstände!O29</f>
        <v>0</v>
      </c>
      <c r="R29" s="168">
        <f>Gegenstände!S29</f>
        <v>0</v>
      </c>
      <c r="S29" s="168">
        <f>Gegenstände!T29</f>
        <v>0</v>
      </c>
      <c r="T29" s="783">
        <f>Gegenstände!AC29</f>
        <v>0</v>
      </c>
      <c r="U29" s="783">
        <f>Gegenstände!AE29</f>
        <v>0</v>
      </c>
      <c r="V29" s="783">
        <f>Gegenstände!AD29</f>
        <v>0</v>
      </c>
      <c r="W29" s="783">
        <f>Gegenstände!AF29</f>
        <v>0</v>
      </c>
      <c r="AB29" s="3">
        <f>Gegenstände!M29</f>
        <v>0</v>
      </c>
      <c r="AC29" s="3">
        <f>Gegenstände!AB29</f>
        <v>0</v>
      </c>
      <c r="AD29" s="3">
        <f>Gegenstände!F29</f>
        <v>0</v>
      </c>
    </row>
    <row r="30" spans="1:30" x14ac:dyDescent="0.2">
      <c r="A30" s="3">
        <f>Gegenstände!A30</f>
        <v>24</v>
      </c>
      <c r="B30" s="3" t="str">
        <f>Gegenstände!B30</f>
        <v>Eschenholz</v>
      </c>
      <c r="D30" s="3">
        <f>Gegenstände!K30</f>
        <v>400</v>
      </c>
      <c r="E30" s="3">
        <f>Gegenstände!I30</f>
        <v>31</v>
      </c>
      <c r="F30" s="3">
        <f>VLOOKUP(Gegenstände!E30,Berechnungen!$E$87:$F$115,2,FALSE)</f>
        <v>31</v>
      </c>
      <c r="G30" s="3">
        <f>Gegenstände!H30</f>
        <v>1</v>
      </c>
      <c r="H30" s="3">
        <f>Gegenstände!G30</f>
        <v>0</v>
      </c>
      <c r="I30" s="3">
        <f>Gegenstände!D30</f>
        <v>15</v>
      </c>
      <c r="J30" s="168">
        <f>ROUND(Gegenstände!N30,0)</f>
        <v>90</v>
      </c>
      <c r="K30" s="3">
        <f>Gegenstände!J30</f>
        <v>0</v>
      </c>
      <c r="L30" s="3">
        <f>Gegenstände!L30</f>
        <v>1</v>
      </c>
      <c r="M30" s="3">
        <f>Gegenstände!Z30</f>
        <v>0</v>
      </c>
      <c r="N30" s="783">
        <f>(Gegenstände!Y30*10)</f>
        <v>0</v>
      </c>
      <c r="O30" s="783">
        <f>(Gegenstände!W30*10)</f>
        <v>0</v>
      </c>
      <c r="P30" s="783">
        <f>Gegenstände!AA30*10</f>
        <v>0</v>
      </c>
      <c r="Q30" s="783">
        <f>Gegenstände!O30</f>
        <v>0</v>
      </c>
      <c r="R30" s="168">
        <f>Gegenstände!S30</f>
        <v>0</v>
      </c>
      <c r="S30" s="168">
        <f>Gegenstände!T30</f>
        <v>0</v>
      </c>
      <c r="T30" s="783">
        <f>Gegenstände!AC30</f>
        <v>0</v>
      </c>
      <c r="U30" s="783">
        <f>Gegenstände!AE30</f>
        <v>0</v>
      </c>
      <c r="V30" s="783">
        <f>Gegenstände!AD30</f>
        <v>0</v>
      </c>
      <c r="W30" s="783">
        <f>Gegenstände!AF30</f>
        <v>0</v>
      </c>
      <c r="AB30" s="3">
        <f>Gegenstände!M30</f>
        <v>0</v>
      </c>
      <c r="AC30" s="3">
        <f>Gegenstände!AB30</f>
        <v>0</v>
      </c>
      <c r="AD30" s="3">
        <f>Gegenstände!F30</f>
        <v>0</v>
      </c>
    </row>
    <row r="31" spans="1:30" x14ac:dyDescent="0.2">
      <c r="A31" s="3">
        <f>Gegenstände!A31</f>
        <v>25</v>
      </c>
      <c r="B31" s="3" t="str">
        <f>Gegenstände!B31</f>
        <v>Eibenholz</v>
      </c>
      <c r="D31" s="3">
        <f>Gegenstände!K31</f>
        <v>400</v>
      </c>
      <c r="E31" s="3">
        <f>Gegenstände!I31</f>
        <v>31</v>
      </c>
      <c r="F31" s="3">
        <f>VLOOKUP(Gegenstände!E31,Berechnungen!$E$87:$F$115,2,FALSE)</f>
        <v>31</v>
      </c>
      <c r="G31" s="3">
        <f>Gegenstände!H31</f>
        <v>1</v>
      </c>
      <c r="H31" s="3">
        <f>Gegenstände!G31</f>
        <v>0</v>
      </c>
      <c r="I31" s="3">
        <f>Gegenstände!D31</f>
        <v>20</v>
      </c>
      <c r="J31" s="168">
        <f>ROUND(Gegenstände!N31,0)</f>
        <v>120</v>
      </c>
      <c r="K31" s="3">
        <f>Gegenstände!J31</f>
        <v>0</v>
      </c>
      <c r="L31" s="3">
        <f>Gegenstände!L31</f>
        <v>1</v>
      </c>
      <c r="M31" s="3">
        <f>Gegenstände!Z31</f>
        <v>0</v>
      </c>
      <c r="N31" s="783">
        <f>(Gegenstände!Y31*10)</f>
        <v>0</v>
      </c>
      <c r="O31" s="783">
        <f>(Gegenstände!W31*10)</f>
        <v>0</v>
      </c>
      <c r="P31" s="783">
        <f>Gegenstände!AA31*10</f>
        <v>0</v>
      </c>
      <c r="Q31" s="783">
        <f>Gegenstände!O31</f>
        <v>0</v>
      </c>
      <c r="R31" s="168">
        <f>Gegenstände!S31</f>
        <v>0</v>
      </c>
      <c r="S31" s="168">
        <f>Gegenstände!T31</f>
        <v>0</v>
      </c>
      <c r="T31" s="783">
        <f>Gegenstände!AC31</f>
        <v>0</v>
      </c>
      <c r="U31" s="783">
        <f>Gegenstände!AE31</f>
        <v>0</v>
      </c>
      <c r="V31" s="783">
        <f>Gegenstände!AD31</f>
        <v>0</v>
      </c>
      <c r="W31" s="783">
        <f>Gegenstände!AF31</f>
        <v>0</v>
      </c>
      <c r="AB31" s="3">
        <f>Gegenstände!M31</f>
        <v>0</v>
      </c>
      <c r="AC31" s="3">
        <f>Gegenstände!AB31</f>
        <v>0</v>
      </c>
      <c r="AD31" s="3">
        <f>Gegenstände!F31</f>
        <v>0</v>
      </c>
    </row>
    <row r="32" spans="1:30" x14ac:dyDescent="0.2">
      <c r="A32" s="3">
        <f>Gegenstände!A32</f>
        <v>0</v>
      </c>
      <c r="B32" s="3" t="str">
        <f>Gegenstände!B32</f>
        <v>Bretter</v>
      </c>
      <c r="D32" s="3">
        <f>Gegenstände!K32</f>
        <v>0</v>
      </c>
      <c r="E32" s="3">
        <f>Gegenstände!I32</f>
        <v>0</v>
      </c>
      <c r="F32" s="3" t="e">
        <f>VLOOKUP(Gegenstände!E32,Berechnungen!$E$87:$F$115,2,FALSE)</f>
        <v>#N/A</v>
      </c>
      <c r="G32" s="3">
        <f>Gegenstände!H32</f>
        <v>0</v>
      </c>
      <c r="H32" s="3">
        <f>Gegenstände!G32</f>
        <v>0</v>
      </c>
      <c r="I32" s="3">
        <f>Gegenstände!D32</f>
        <v>0</v>
      </c>
      <c r="J32" s="168">
        <f>ROUND(Gegenstände!N32,0)</f>
        <v>0</v>
      </c>
      <c r="K32" s="3">
        <f>Gegenstände!J32</f>
        <v>0</v>
      </c>
      <c r="L32" s="3">
        <f>Gegenstände!L32</f>
        <v>0</v>
      </c>
      <c r="M32" s="3">
        <f>Gegenstände!Z32</f>
        <v>0</v>
      </c>
      <c r="N32" s="783">
        <f>(Gegenstände!Y32*10)</f>
        <v>0</v>
      </c>
      <c r="O32" s="783">
        <f>(Gegenstände!W32*10)</f>
        <v>0</v>
      </c>
      <c r="P32" s="783">
        <f>Gegenstände!AA32*10</f>
        <v>0</v>
      </c>
      <c r="Q32" s="783">
        <f>Gegenstände!O32</f>
        <v>0</v>
      </c>
      <c r="R32" s="168">
        <f>Gegenstände!S32</f>
        <v>0</v>
      </c>
      <c r="S32" s="168">
        <f>Gegenstände!T32</f>
        <v>0</v>
      </c>
      <c r="T32" s="783">
        <f>Gegenstände!AC32</f>
        <v>0</v>
      </c>
      <c r="U32" s="783">
        <f>Gegenstände!AE32</f>
        <v>0</v>
      </c>
      <c r="V32" s="783">
        <f>Gegenstände!AD32</f>
        <v>0</v>
      </c>
      <c r="W32" s="783">
        <f>Gegenstände!AF32</f>
        <v>0</v>
      </c>
      <c r="AB32" s="3">
        <f>Gegenstände!M32</f>
        <v>0</v>
      </c>
      <c r="AC32" s="3">
        <f>Gegenstände!AB32</f>
        <v>0</v>
      </c>
      <c r="AD32" s="3">
        <f>Gegenstände!F32</f>
        <v>0</v>
      </c>
    </row>
    <row r="33" spans="1:30" x14ac:dyDescent="0.2">
      <c r="A33" s="3">
        <f>Gegenstände!A33</f>
        <v>26</v>
      </c>
      <c r="B33" s="3" t="str">
        <f>Gegenstände!B33</f>
        <v>Buchenbretter</v>
      </c>
      <c r="D33" s="3">
        <f>Gegenstände!K33</f>
        <v>300</v>
      </c>
      <c r="E33" s="3">
        <f>Gegenstände!I33</f>
        <v>31</v>
      </c>
      <c r="F33" s="3">
        <f>VLOOKUP(Gegenstände!E33,Berechnungen!$E$87:$F$115,2,FALSE)</f>
        <v>31</v>
      </c>
      <c r="G33" s="3">
        <f>Gegenstände!H33</f>
        <v>1</v>
      </c>
      <c r="H33" s="3">
        <f>Gegenstände!G33</f>
        <v>0</v>
      </c>
      <c r="I33" s="3">
        <f>Gegenstände!D33</f>
        <v>0</v>
      </c>
      <c r="J33" s="168">
        <f>ROUND(Gegenstände!N33,0)</f>
        <v>60</v>
      </c>
      <c r="K33" s="3">
        <f>Gegenstände!J33</f>
        <v>0</v>
      </c>
      <c r="L33" s="3">
        <f>Gegenstände!L33</f>
        <v>1</v>
      </c>
      <c r="M33" s="3">
        <f>Gegenstände!Z33</f>
        <v>0</v>
      </c>
      <c r="N33" s="783">
        <f>(Gegenstände!Y33*10)</f>
        <v>0</v>
      </c>
      <c r="O33" s="783">
        <f>(Gegenstände!W33*10)</f>
        <v>0</v>
      </c>
      <c r="P33" s="783">
        <f>Gegenstände!AA33*10</f>
        <v>0</v>
      </c>
      <c r="Q33" s="783">
        <f>Gegenstände!O33</f>
        <v>0</v>
      </c>
      <c r="R33" s="168">
        <f>Gegenstände!S33</f>
        <v>0</v>
      </c>
      <c r="S33" s="168">
        <f>Gegenstände!T33</f>
        <v>0</v>
      </c>
      <c r="T33" s="783">
        <f>Gegenstände!AC33</f>
        <v>0</v>
      </c>
      <c r="U33" s="783">
        <f>Gegenstände!AE33</f>
        <v>0</v>
      </c>
      <c r="V33" s="783">
        <f>Gegenstände!AD33</f>
        <v>0</v>
      </c>
      <c r="W33" s="783">
        <f>Gegenstände!AF33</f>
        <v>0</v>
      </c>
      <c r="AB33" s="3">
        <f>Gegenstände!M33</f>
        <v>1</v>
      </c>
      <c r="AC33" s="3">
        <f>Gegenstände!AB33</f>
        <v>0</v>
      </c>
      <c r="AD33" s="3">
        <f>Gegenstände!F33</f>
        <v>0</v>
      </c>
    </row>
    <row r="34" spans="1:30" x14ac:dyDescent="0.2">
      <c r="A34" s="3">
        <f>Gegenstände!A34</f>
        <v>27</v>
      </c>
      <c r="B34" s="3" t="str">
        <f>Gegenstände!B34</f>
        <v>Birkenbretter</v>
      </c>
      <c r="D34" s="3">
        <f>Gegenstände!K34</f>
        <v>300</v>
      </c>
      <c r="E34" s="3">
        <f>Gegenstände!I34</f>
        <v>31</v>
      </c>
      <c r="F34" s="3">
        <f>VLOOKUP(Gegenstände!E34,Berechnungen!$E$87:$F$115,2,FALSE)</f>
        <v>31</v>
      </c>
      <c r="G34" s="3">
        <f>Gegenstände!H34</f>
        <v>1</v>
      </c>
      <c r="H34" s="3">
        <f>Gegenstände!G34</f>
        <v>0</v>
      </c>
      <c r="I34" s="3">
        <f>Gegenstände!D34</f>
        <v>5</v>
      </c>
      <c r="J34" s="168">
        <f>ROUND(Gegenstände!N34,0)</f>
        <v>120</v>
      </c>
      <c r="K34" s="3">
        <f>Gegenstände!J34</f>
        <v>0</v>
      </c>
      <c r="L34" s="3">
        <f>Gegenstände!L34</f>
        <v>1</v>
      </c>
      <c r="M34" s="3">
        <f>Gegenstände!Z34</f>
        <v>0</v>
      </c>
      <c r="N34" s="783">
        <f>(Gegenstände!Y34*10)</f>
        <v>0</v>
      </c>
      <c r="O34" s="783">
        <f>(Gegenstände!W34*10)</f>
        <v>0</v>
      </c>
      <c r="P34" s="783">
        <f>Gegenstände!AA34*10</f>
        <v>0</v>
      </c>
      <c r="Q34" s="783">
        <f>Gegenstände!O34</f>
        <v>0</v>
      </c>
      <c r="R34" s="168">
        <f>Gegenstände!S34</f>
        <v>0</v>
      </c>
      <c r="S34" s="168">
        <f>Gegenstände!T34</f>
        <v>0</v>
      </c>
      <c r="T34" s="783">
        <f>Gegenstände!AC34</f>
        <v>0</v>
      </c>
      <c r="U34" s="783">
        <f>Gegenstände!AE34</f>
        <v>0</v>
      </c>
      <c r="V34" s="783">
        <f>Gegenstände!AD34</f>
        <v>0</v>
      </c>
      <c r="W34" s="783">
        <f>Gegenstände!AF34</f>
        <v>0</v>
      </c>
      <c r="AB34" s="3">
        <f>Gegenstände!M34</f>
        <v>0</v>
      </c>
      <c r="AC34" s="3">
        <f>Gegenstände!AB34</f>
        <v>0</v>
      </c>
      <c r="AD34" s="3">
        <f>Gegenstände!F34</f>
        <v>0</v>
      </c>
    </row>
    <row r="35" spans="1:30" x14ac:dyDescent="0.2">
      <c r="A35" s="3">
        <f>Gegenstände!A35</f>
        <v>28</v>
      </c>
      <c r="B35" s="3" t="str">
        <f>Gegenstände!B35</f>
        <v>Eichenbretter</v>
      </c>
      <c r="D35" s="3">
        <f>Gegenstände!K35</f>
        <v>300</v>
      </c>
      <c r="E35" s="3">
        <f>Gegenstände!I35</f>
        <v>31</v>
      </c>
      <c r="F35" s="3">
        <f>VLOOKUP(Gegenstände!E35,Berechnungen!$E$87:$F$115,2,FALSE)</f>
        <v>31</v>
      </c>
      <c r="G35" s="3">
        <f>Gegenstände!H35</f>
        <v>1</v>
      </c>
      <c r="H35" s="3">
        <f>Gegenstände!G35</f>
        <v>0</v>
      </c>
      <c r="I35" s="3">
        <f>Gegenstände!D35</f>
        <v>10</v>
      </c>
      <c r="J35" s="168">
        <f>ROUND(Gegenstände!N35,0)</f>
        <v>180</v>
      </c>
      <c r="K35" s="3">
        <f>Gegenstände!J35</f>
        <v>0</v>
      </c>
      <c r="L35" s="3">
        <f>Gegenstände!L35</f>
        <v>1</v>
      </c>
      <c r="M35" s="3">
        <f>Gegenstände!Z35</f>
        <v>0</v>
      </c>
      <c r="N35" s="783">
        <f>(Gegenstände!Y35*10)</f>
        <v>0</v>
      </c>
      <c r="O35" s="783">
        <f>(Gegenstände!W35*10)</f>
        <v>0</v>
      </c>
      <c r="P35" s="783">
        <f>Gegenstände!AA35*10</f>
        <v>0</v>
      </c>
      <c r="Q35" s="783">
        <f>Gegenstände!O35</f>
        <v>0</v>
      </c>
      <c r="R35" s="168">
        <f>Gegenstände!S35</f>
        <v>0</v>
      </c>
      <c r="S35" s="168">
        <f>Gegenstände!T35</f>
        <v>0</v>
      </c>
      <c r="T35" s="783">
        <f>Gegenstände!AC35</f>
        <v>0</v>
      </c>
      <c r="U35" s="783">
        <f>Gegenstände!AE35</f>
        <v>0</v>
      </c>
      <c r="V35" s="783">
        <f>Gegenstände!AD35</f>
        <v>0</v>
      </c>
      <c r="W35" s="783">
        <f>Gegenstände!AF35</f>
        <v>0</v>
      </c>
      <c r="AB35" s="3">
        <f>Gegenstände!M35</f>
        <v>0</v>
      </c>
      <c r="AC35" s="3">
        <f>Gegenstände!AB35</f>
        <v>0</v>
      </c>
      <c r="AD35" s="3">
        <f>Gegenstände!F35</f>
        <v>0</v>
      </c>
    </row>
    <row r="36" spans="1:30" x14ac:dyDescent="0.2">
      <c r="A36" s="3">
        <f>Gegenstände!A36</f>
        <v>29</v>
      </c>
      <c r="B36" s="3" t="str">
        <f>Gegenstände!B36</f>
        <v>Eschenbretter</v>
      </c>
      <c r="D36" s="3">
        <f>Gegenstände!K36</f>
        <v>300</v>
      </c>
      <c r="E36" s="3">
        <f>Gegenstände!I36</f>
        <v>31</v>
      </c>
      <c r="F36" s="3">
        <f>VLOOKUP(Gegenstände!E36,Berechnungen!$E$87:$F$115,2,FALSE)</f>
        <v>31</v>
      </c>
      <c r="G36" s="3">
        <f>Gegenstände!H36</f>
        <v>1</v>
      </c>
      <c r="H36" s="3">
        <f>Gegenstände!G36</f>
        <v>0</v>
      </c>
      <c r="I36" s="3">
        <f>Gegenstände!D36</f>
        <v>15</v>
      </c>
      <c r="J36" s="168">
        <f>ROUND(Gegenstände!N36,0)</f>
        <v>270</v>
      </c>
      <c r="K36" s="3">
        <f>Gegenstände!J36</f>
        <v>0</v>
      </c>
      <c r="L36" s="3">
        <f>Gegenstände!L36</f>
        <v>1</v>
      </c>
      <c r="M36" s="3">
        <f>Gegenstände!Z36</f>
        <v>0</v>
      </c>
      <c r="N36" s="783">
        <f>(Gegenstände!Y36*10)</f>
        <v>0</v>
      </c>
      <c r="O36" s="783">
        <f>(Gegenstände!W36*10)</f>
        <v>0</v>
      </c>
      <c r="P36" s="783">
        <f>Gegenstände!AA36*10</f>
        <v>0</v>
      </c>
      <c r="Q36" s="783">
        <f>Gegenstände!O36</f>
        <v>0</v>
      </c>
      <c r="R36" s="168">
        <f>Gegenstände!S36</f>
        <v>0</v>
      </c>
      <c r="S36" s="168">
        <f>Gegenstände!T36</f>
        <v>0</v>
      </c>
      <c r="T36" s="783">
        <f>Gegenstände!AC36</f>
        <v>0</v>
      </c>
      <c r="U36" s="783">
        <f>Gegenstände!AE36</f>
        <v>0</v>
      </c>
      <c r="V36" s="783">
        <f>Gegenstände!AD36</f>
        <v>0</v>
      </c>
      <c r="W36" s="783">
        <f>Gegenstände!AF36</f>
        <v>0</v>
      </c>
      <c r="AB36" s="3">
        <f>Gegenstände!M36</f>
        <v>0</v>
      </c>
      <c r="AC36" s="3">
        <f>Gegenstände!AB36</f>
        <v>0</v>
      </c>
      <c r="AD36" s="3">
        <f>Gegenstände!F36</f>
        <v>0</v>
      </c>
    </row>
    <row r="37" spans="1:30" x14ac:dyDescent="0.2">
      <c r="A37" s="3">
        <f>Gegenstände!A37</f>
        <v>30</v>
      </c>
      <c r="B37" s="3" t="str">
        <f>Gegenstände!B37</f>
        <v>Eibenbretter</v>
      </c>
      <c r="D37" s="3">
        <f>Gegenstände!K37</f>
        <v>300</v>
      </c>
      <c r="E37" s="3">
        <f>Gegenstände!I37</f>
        <v>31</v>
      </c>
      <c r="F37" s="3">
        <f>VLOOKUP(Gegenstände!E37,Berechnungen!$E$87:$F$115,2,FALSE)</f>
        <v>31</v>
      </c>
      <c r="G37" s="3">
        <f>Gegenstände!H37</f>
        <v>1</v>
      </c>
      <c r="H37" s="3">
        <f>Gegenstände!G37</f>
        <v>0</v>
      </c>
      <c r="I37" s="3">
        <f>Gegenstände!D37</f>
        <v>20</v>
      </c>
      <c r="J37" s="168">
        <f>ROUND(Gegenstände!N37,0)</f>
        <v>360</v>
      </c>
      <c r="K37" s="3">
        <f>Gegenstände!J37</f>
        <v>0</v>
      </c>
      <c r="L37" s="3">
        <f>Gegenstände!L37</f>
        <v>1</v>
      </c>
      <c r="M37" s="3">
        <f>Gegenstände!Z37</f>
        <v>0</v>
      </c>
      <c r="N37" s="783">
        <f>(Gegenstände!Y37*10)</f>
        <v>0</v>
      </c>
      <c r="O37" s="783">
        <f>(Gegenstände!W37*10)</f>
        <v>0</v>
      </c>
      <c r="P37" s="783">
        <f>Gegenstände!AA37*10</f>
        <v>0</v>
      </c>
      <c r="Q37" s="783">
        <f>Gegenstände!O37</f>
        <v>0</v>
      </c>
      <c r="R37" s="168">
        <f>Gegenstände!S37</f>
        <v>0</v>
      </c>
      <c r="S37" s="168">
        <f>Gegenstände!T37</f>
        <v>0</v>
      </c>
      <c r="T37" s="783">
        <f>Gegenstände!AC37</f>
        <v>0</v>
      </c>
      <c r="U37" s="783">
        <f>Gegenstände!AE37</f>
        <v>0</v>
      </c>
      <c r="V37" s="783">
        <f>Gegenstände!AD37</f>
        <v>0</v>
      </c>
      <c r="W37" s="783">
        <f>Gegenstände!AF37</f>
        <v>0</v>
      </c>
      <c r="AB37" s="3">
        <f>Gegenstände!M37</f>
        <v>0</v>
      </c>
      <c r="AC37" s="3">
        <f>Gegenstände!AB37</f>
        <v>0</v>
      </c>
      <c r="AD37" s="3">
        <f>Gegenstände!F37</f>
        <v>0</v>
      </c>
    </row>
    <row r="38" spans="1:30" x14ac:dyDescent="0.2">
      <c r="A38" s="3">
        <f>Gegenstände!A38</f>
        <v>0</v>
      </c>
      <c r="B38" s="3" t="str">
        <f>Gegenstände!B38</f>
        <v>Stoffe</v>
      </c>
      <c r="D38" s="3">
        <f>Gegenstände!K38</f>
        <v>0</v>
      </c>
      <c r="E38" s="3">
        <f>Gegenstände!I38</f>
        <v>0</v>
      </c>
      <c r="F38" s="3" t="e">
        <f>VLOOKUP(Gegenstände!E38,Berechnungen!$E$87:$F$115,2,FALSE)</f>
        <v>#N/A</v>
      </c>
      <c r="G38" s="3">
        <f>Gegenstände!H38</f>
        <v>0</v>
      </c>
      <c r="H38" s="3">
        <f>Gegenstände!G38</f>
        <v>0</v>
      </c>
      <c r="I38" s="3">
        <f>Gegenstände!D38</f>
        <v>0</v>
      </c>
      <c r="J38" s="168">
        <f>ROUND(Gegenstände!N38,0)</f>
        <v>0</v>
      </c>
      <c r="K38" s="3">
        <f>Gegenstände!J38</f>
        <v>0</v>
      </c>
      <c r="L38" s="3">
        <f>Gegenstände!L38</f>
        <v>0</v>
      </c>
      <c r="M38" s="3">
        <f>Gegenstände!Z38</f>
        <v>0</v>
      </c>
      <c r="N38" s="783">
        <f>(Gegenstände!Y38*10)</f>
        <v>0</v>
      </c>
      <c r="O38" s="783">
        <f>(Gegenstände!W38*10)</f>
        <v>0</v>
      </c>
      <c r="P38" s="783">
        <f>Gegenstände!AA38*10</f>
        <v>0</v>
      </c>
      <c r="Q38" s="783">
        <f>Gegenstände!O38</f>
        <v>0</v>
      </c>
      <c r="R38" s="168">
        <f>Gegenstände!S38</f>
        <v>0</v>
      </c>
      <c r="S38" s="168">
        <f>Gegenstände!T38</f>
        <v>0</v>
      </c>
      <c r="T38" s="783">
        <f>Gegenstände!AC38</f>
        <v>0</v>
      </c>
      <c r="U38" s="783">
        <f>Gegenstände!AE38</f>
        <v>0</v>
      </c>
      <c r="V38" s="783">
        <f>Gegenstände!AD38</f>
        <v>0</v>
      </c>
      <c r="W38" s="783">
        <f>Gegenstände!AF38</f>
        <v>0</v>
      </c>
      <c r="AB38" s="3">
        <f>Gegenstände!M38</f>
        <v>0</v>
      </c>
      <c r="AC38" s="3">
        <f>Gegenstände!AB38</f>
        <v>0</v>
      </c>
      <c r="AD38" s="3">
        <f>Gegenstände!F38</f>
        <v>0</v>
      </c>
    </row>
    <row r="39" spans="1:30" x14ac:dyDescent="0.2">
      <c r="A39" s="3">
        <f>Gegenstände!A39</f>
        <v>31</v>
      </c>
      <c r="B39" s="3" t="str">
        <f>Gegenstände!B39</f>
        <v>Leinen</v>
      </c>
      <c r="D39" s="3">
        <f>Gegenstände!K39</f>
        <v>250</v>
      </c>
      <c r="E39" s="3">
        <f>Gegenstände!I39</f>
        <v>31</v>
      </c>
      <c r="F39" s="3">
        <f>VLOOKUP(Gegenstände!E39,Berechnungen!$E$87:$F$115,2,FALSE)</f>
        <v>31</v>
      </c>
      <c r="G39" s="3">
        <f>Gegenstände!H39</f>
        <v>1</v>
      </c>
      <c r="H39" s="3">
        <f>Gegenstände!G39</f>
        <v>0</v>
      </c>
      <c r="I39" s="3">
        <f>Gegenstände!D39</f>
        <v>0</v>
      </c>
      <c r="J39" s="168">
        <f>ROUND(Gegenstände!N39,0)</f>
        <v>20</v>
      </c>
      <c r="K39" s="3">
        <f>Gegenstände!J39</f>
        <v>0</v>
      </c>
      <c r="L39" s="3">
        <f>Gegenstände!L39</f>
        <v>1</v>
      </c>
      <c r="M39" s="3">
        <f>Gegenstände!Z39</f>
        <v>0</v>
      </c>
      <c r="N39" s="783">
        <f>(Gegenstände!Y39*10)</f>
        <v>0</v>
      </c>
      <c r="O39" s="783">
        <f>(Gegenstände!W39*10)</f>
        <v>0</v>
      </c>
      <c r="P39" s="783">
        <f>Gegenstände!AA39*10</f>
        <v>0</v>
      </c>
      <c r="Q39" s="783">
        <f>Gegenstände!O39</f>
        <v>0</v>
      </c>
      <c r="R39" s="168">
        <f>Gegenstände!S39</f>
        <v>0</v>
      </c>
      <c r="S39" s="168">
        <f>Gegenstände!T39</f>
        <v>0</v>
      </c>
      <c r="T39" s="783">
        <f>Gegenstände!AC39</f>
        <v>0</v>
      </c>
      <c r="U39" s="783">
        <f>Gegenstände!AE39</f>
        <v>0</v>
      </c>
      <c r="V39" s="783">
        <f>Gegenstände!AD39</f>
        <v>0</v>
      </c>
      <c r="W39" s="783">
        <f>Gegenstände!AF39</f>
        <v>0</v>
      </c>
      <c r="AB39" s="3">
        <f>Gegenstände!M39</f>
        <v>1</v>
      </c>
      <c r="AC39" s="3">
        <f>Gegenstände!AB39</f>
        <v>0</v>
      </c>
      <c r="AD39" s="3">
        <f>Gegenstände!F39</f>
        <v>0</v>
      </c>
    </row>
    <row r="40" spans="1:30" x14ac:dyDescent="0.2">
      <c r="A40" s="3">
        <f>Gegenstände!A40</f>
        <v>32</v>
      </c>
      <c r="B40" s="3" t="str">
        <f>Gegenstände!B40</f>
        <v>Wolle</v>
      </c>
      <c r="D40" s="3">
        <f>Gegenstände!K40</f>
        <v>250</v>
      </c>
      <c r="E40" s="3">
        <f>Gegenstände!I40</f>
        <v>31</v>
      </c>
      <c r="F40" s="3">
        <f>VLOOKUP(Gegenstände!E40,Berechnungen!$E$87:$F$115,2,FALSE)</f>
        <v>31</v>
      </c>
      <c r="G40" s="3">
        <f>Gegenstände!H40</f>
        <v>1</v>
      </c>
      <c r="H40" s="3">
        <f>Gegenstände!G40</f>
        <v>0</v>
      </c>
      <c r="I40" s="3">
        <f>Gegenstände!D40</f>
        <v>5</v>
      </c>
      <c r="J40" s="168">
        <f>ROUND(Gegenstände!N40,0)</f>
        <v>40</v>
      </c>
      <c r="K40" s="3">
        <f>Gegenstände!J40</f>
        <v>0</v>
      </c>
      <c r="L40" s="3">
        <f>Gegenstände!L40</f>
        <v>1</v>
      </c>
      <c r="M40" s="3">
        <f>Gegenstände!Z40</f>
        <v>0</v>
      </c>
      <c r="N40" s="783">
        <f>(Gegenstände!Y40*10)</f>
        <v>0</v>
      </c>
      <c r="O40" s="783">
        <f>(Gegenstände!W40*10)</f>
        <v>0</v>
      </c>
      <c r="P40" s="783">
        <f>Gegenstände!AA40*10</f>
        <v>0</v>
      </c>
      <c r="Q40" s="783">
        <f>Gegenstände!O40</f>
        <v>0</v>
      </c>
      <c r="R40" s="168">
        <f>Gegenstände!S40</f>
        <v>0</v>
      </c>
      <c r="S40" s="168">
        <f>Gegenstände!T40</f>
        <v>0</v>
      </c>
      <c r="T40" s="783">
        <f>Gegenstände!AC40</f>
        <v>0</v>
      </c>
      <c r="U40" s="783">
        <f>Gegenstände!AE40</f>
        <v>0</v>
      </c>
      <c r="V40" s="783">
        <f>Gegenstände!AD40</f>
        <v>0</v>
      </c>
      <c r="W40" s="783">
        <f>Gegenstände!AF40</f>
        <v>0</v>
      </c>
      <c r="AB40" s="3">
        <f>Gegenstände!M40</f>
        <v>0</v>
      </c>
      <c r="AC40" s="3">
        <f>Gegenstände!AB40</f>
        <v>0</v>
      </c>
      <c r="AD40" s="3">
        <f>Gegenstände!F40</f>
        <v>0</v>
      </c>
    </row>
    <row r="41" spans="1:30" x14ac:dyDescent="0.2">
      <c r="A41" s="3">
        <f>Gegenstände!A41</f>
        <v>33</v>
      </c>
      <c r="B41" s="3" t="str">
        <f>Gegenstände!B41</f>
        <v>Baumwolle</v>
      </c>
      <c r="D41" s="3">
        <f>Gegenstände!K41</f>
        <v>250</v>
      </c>
      <c r="E41" s="3">
        <f>Gegenstände!I41</f>
        <v>31</v>
      </c>
      <c r="F41" s="3">
        <f>VLOOKUP(Gegenstände!E41,Berechnungen!$E$87:$F$115,2,FALSE)</f>
        <v>31</v>
      </c>
      <c r="G41" s="3">
        <f>Gegenstände!H41</f>
        <v>1</v>
      </c>
      <c r="H41" s="3">
        <f>Gegenstände!G41</f>
        <v>0</v>
      </c>
      <c r="I41" s="3">
        <f>Gegenstände!D41</f>
        <v>10</v>
      </c>
      <c r="J41" s="168">
        <f>ROUND(Gegenstände!N41,0)</f>
        <v>60</v>
      </c>
      <c r="K41" s="3">
        <f>Gegenstände!J41</f>
        <v>0</v>
      </c>
      <c r="L41" s="3">
        <f>Gegenstände!L41</f>
        <v>1</v>
      </c>
      <c r="M41" s="3">
        <f>Gegenstände!Z41</f>
        <v>0</v>
      </c>
      <c r="N41" s="783">
        <f>(Gegenstände!Y41*10)</f>
        <v>0</v>
      </c>
      <c r="O41" s="783">
        <f>(Gegenstände!W41*10)</f>
        <v>0</v>
      </c>
      <c r="P41" s="783">
        <f>Gegenstände!AA41*10</f>
        <v>0</v>
      </c>
      <c r="Q41" s="783">
        <f>Gegenstände!O41</f>
        <v>0</v>
      </c>
      <c r="R41" s="168">
        <f>Gegenstände!S41</f>
        <v>0</v>
      </c>
      <c r="S41" s="168">
        <f>Gegenstände!T41</f>
        <v>0</v>
      </c>
      <c r="T41" s="783">
        <f>Gegenstände!AC41</f>
        <v>0</v>
      </c>
      <c r="U41" s="783">
        <f>Gegenstände!AE41</f>
        <v>0</v>
      </c>
      <c r="V41" s="783">
        <f>Gegenstände!AD41</f>
        <v>0</v>
      </c>
      <c r="W41" s="783">
        <f>Gegenstände!AF41</f>
        <v>0</v>
      </c>
      <c r="AB41" s="3">
        <f>Gegenstände!M41</f>
        <v>0</v>
      </c>
      <c r="AC41" s="3">
        <f>Gegenstände!AB41</f>
        <v>0</v>
      </c>
      <c r="AD41" s="3">
        <f>Gegenstände!F41</f>
        <v>0</v>
      </c>
    </row>
    <row r="42" spans="1:30" x14ac:dyDescent="0.2">
      <c r="A42" s="3">
        <f>Gegenstände!A42</f>
        <v>34</v>
      </c>
      <c r="B42" s="3" t="str">
        <f>Gegenstände!B42</f>
        <v>Seide</v>
      </c>
      <c r="D42" s="3">
        <f>Gegenstände!K42</f>
        <v>250</v>
      </c>
      <c r="E42" s="3">
        <f>Gegenstände!I42</f>
        <v>31</v>
      </c>
      <c r="F42" s="3">
        <f>VLOOKUP(Gegenstände!E42,Berechnungen!$E$87:$F$115,2,FALSE)</f>
        <v>31</v>
      </c>
      <c r="G42" s="3">
        <f>Gegenstände!H42</f>
        <v>1</v>
      </c>
      <c r="H42" s="3">
        <f>Gegenstände!G42</f>
        <v>0</v>
      </c>
      <c r="I42" s="3">
        <f>Gegenstände!D42</f>
        <v>15</v>
      </c>
      <c r="J42" s="168">
        <f>ROUND(Gegenstände!N42,0)</f>
        <v>90</v>
      </c>
      <c r="K42" s="3">
        <f>Gegenstände!J42</f>
        <v>0</v>
      </c>
      <c r="L42" s="3">
        <f>Gegenstände!L42</f>
        <v>1</v>
      </c>
      <c r="M42" s="3">
        <f>Gegenstände!Z42</f>
        <v>0</v>
      </c>
      <c r="N42" s="783">
        <f>(Gegenstände!Y42*10)</f>
        <v>0</v>
      </c>
      <c r="O42" s="783">
        <f>(Gegenstände!W42*10)</f>
        <v>0</v>
      </c>
      <c r="P42" s="783">
        <f>Gegenstände!AA42*10</f>
        <v>0</v>
      </c>
      <c r="Q42" s="783">
        <f>Gegenstände!O42</f>
        <v>0</v>
      </c>
      <c r="R42" s="168">
        <f>Gegenstände!S42</f>
        <v>0</v>
      </c>
      <c r="S42" s="168">
        <f>Gegenstände!T42</f>
        <v>0</v>
      </c>
      <c r="T42" s="783">
        <f>Gegenstände!AC42</f>
        <v>0</v>
      </c>
      <c r="U42" s="783">
        <f>Gegenstände!AE42</f>
        <v>0</v>
      </c>
      <c r="V42" s="783">
        <f>Gegenstände!AD42</f>
        <v>0</v>
      </c>
      <c r="W42" s="783">
        <f>Gegenstände!AF42</f>
        <v>0</v>
      </c>
      <c r="AB42" s="3">
        <f>Gegenstände!M42</f>
        <v>0</v>
      </c>
      <c r="AC42" s="3">
        <f>Gegenstände!AB42</f>
        <v>0</v>
      </c>
      <c r="AD42" s="3">
        <f>Gegenstände!F42</f>
        <v>0</v>
      </c>
    </row>
    <row r="43" spans="1:30" x14ac:dyDescent="0.2">
      <c r="A43" s="3">
        <f>Gegenstände!A43</f>
        <v>35</v>
      </c>
      <c r="B43" s="3" t="str">
        <f>Gegenstände!B43</f>
        <v>Ätherfäden</v>
      </c>
      <c r="D43" s="3">
        <f>Gegenstände!K43</f>
        <v>250</v>
      </c>
      <c r="E43" s="3">
        <f>Gegenstände!I43</f>
        <v>31</v>
      </c>
      <c r="F43" s="3">
        <f>VLOOKUP(Gegenstände!E43,Berechnungen!$E$87:$F$115,2,FALSE)</f>
        <v>31</v>
      </c>
      <c r="G43" s="3">
        <f>Gegenstände!H43</f>
        <v>1</v>
      </c>
      <c r="H43" s="3">
        <f>Gegenstände!G43</f>
        <v>0</v>
      </c>
      <c r="I43" s="3">
        <f>Gegenstände!D43</f>
        <v>20</v>
      </c>
      <c r="J43" s="168">
        <f>ROUND(Gegenstände!N43,0)</f>
        <v>120</v>
      </c>
      <c r="K43" s="3">
        <f>Gegenstände!J43</f>
        <v>0</v>
      </c>
      <c r="L43" s="3">
        <f>Gegenstände!L43</f>
        <v>1</v>
      </c>
      <c r="M43" s="3">
        <f>Gegenstände!Z43</f>
        <v>0</v>
      </c>
      <c r="N43" s="783">
        <f>(Gegenstände!Y43*10)</f>
        <v>0</v>
      </c>
      <c r="O43" s="783">
        <f>(Gegenstände!W43*10)</f>
        <v>0</v>
      </c>
      <c r="P43" s="783">
        <f>Gegenstände!AA43*10</f>
        <v>0</v>
      </c>
      <c r="Q43" s="783">
        <f>Gegenstände!O43</f>
        <v>0</v>
      </c>
      <c r="R43" s="168">
        <f>Gegenstände!S43</f>
        <v>0</v>
      </c>
      <c r="S43" s="168">
        <f>Gegenstände!T43</f>
        <v>0</v>
      </c>
      <c r="T43" s="783">
        <f>Gegenstände!AC43</f>
        <v>0</v>
      </c>
      <c r="U43" s="783">
        <f>Gegenstände!AE43</f>
        <v>0</v>
      </c>
      <c r="V43" s="783">
        <f>Gegenstände!AD43</f>
        <v>0</v>
      </c>
      <c r="W43" s="783">
        <f>Gegenstände!AF43</f>
        <v>0</v>
      </c>
      <c r="AB43" s="3">
        <f>Gegenstände!M43</f>
        <v>0</v>
      </c>
      <c r="AC43" s="3">
        <f>Gegenstände!AB43</f>
        <v>0</v>
      </c>
      <c r="AD43" s="3">
        <f>Gegenstände!F43</f>
        <v>0</v>
      </c>
    </row>
    <row r="44" spans="1:30" x14ac:dyDescent="0.2">
      <c r="A44" s="3">
        <f>Gegenstände!A44</f>
        <v>0</v>
      </c>
      <c r="B44" s="3" t="str">
        <f>Gegenstände!B44</f>
        <v>Tuche</v>
      </c>
      <c r="D44" s="3">
        <f>Gegenstände!K44</f>
        <v>0</v>
      </c>
      <c r="E44" s="3">
        <f>Gegenstände!I44</f>
        <v>0</v>
      </c>
      <c r="F44" s="3" t="e">
        <f>VLOOKUP(Gegenstände!E44,Berechnungen!$E$87:$F$115,2,FALSE)</f>
        <v>#N/A</v>
      </c>
      <c r="G44" s="3">
        <f>Gegenstände!H44</f>
        <v>0</v>
      </c>
      <c r="H44" s="3">
        <f>Gegenstände!G44</f>
        <v>0</v>
      </c>
      <c r="I44" s="3">
        <f>Gegenstände!D44</f>
        <v>0</v>
      </c>
      <c r="J44" s="168">
        <f>ROUND(Gegenstände!N44,0)</f>
        <v>0</v>
      </c>
      <c r="K44" s="3">
        <f>Gegenstände!J44</f>
        <v>0</v>
      </c>
      <c r="L44" s="3">
        <f>Gegenstände!L44</f>
        <v>0</v>
      </c>
      <c r="M44" s="3">
        <f>Gegenstände!Z44</f>
        <v>0</v>
      </c>
      <c r="N44" s="783">
        <f>(Gegenstände!Y44*10)</f>
        <v>0</v>
      </c>
      <c r="O44" s="783">
        <f>(Gegenstände!W44*10)</f>
        <v>0</v>
      </c>
      <c r="P44" s="783">
        <f>Gegenstände!AA44*10</f>
        <v>0</v>
      </c>
      <c r="Q44" s="783">
        <f>Gegenstände!O44</f>
        <v>0</v>
      </c>
      <c r="R44" s="168">
        <f>Gegenstände!S44</f>
        <v>0</v>
      </c>
      <c r="S44" s="168">
        <f>Gegenstände!T44</f>
        <v>0</v>
      </c>
      <c r="T44" s="783">
        <f>Gegenstände!AC44</f>
        <v>0</v>
      </c>
      <c r="U44" s="783">
        <f>Gegenstände!AE44</f>
        <v>0</v>
      </c>
      <c r="V44" s="783">
        <f>Gegenstände!AD44</f>
        <v>0</v>
      </c>
      <c r="W44" s="783">
        <f>Gegenstände!AF44</f>
        <v>0</v>
      </c>
      <c r="AB44" s="3">
        <f>Gegenstände!M44</f>
        <v>0</v>
      </c>
      <c r="AC44" s="3">
        <f>Gegenstände!AB44</f>
        <v>0</v>
      </c>
      <c r="AD44" s="3">
        <f>Gegenstände!F44</f>
        <v>0</v>
      </c>
    </row>
    <row r="45" spans="1:30" x14ac:dyDescent="0.2">
      <c r="A45" s="3">
        <f>Gegenstände!A45</f>
        <v>36</v>
      </c>
      <c r="B45" s="3" t="str">
        <f>Gegenstände!B45</f>
        <v>Leinentuch</v>
      </c>
      <c r="D45" s="3">
        <f>Gegenstände!K45</f>
        <v>150</v>
      </c>
      <c r="E45" s="3">
        <f>Gegenstände!I45</f>
        <v>31</v>
      </c>
      <c r="F45" s="3">
        <f>VLOOKUP(Gegenstände!E45,Berechnungen!$E$87:$F$115,2,FALSE)</f>
        <v>31</v>
      </c>
      <c r="G45" s="3">
        <f>Gegenstände!H45</f>
        <v>1</v>
      </c>
      <c r="H45" s="3">
        <f>Gegenstände!G45</f>
        <v>0</v>
      </c>
      <c r="I45" s="3">
        <f>Gegenstände!D45</f>
        <v>0</v>
      </c>
      <c r="J45" s="168">
        <f>ROUND(Gegenstände!N45,0)</f>
        <v>60</v>
      </c>
      <c r="K45" s="3">
        <f>Gegenstände!J45</f>
        <v>0</v>
      </c>
      <c r="L45" s="3">
        <f>Gegenstände!L45</f>
        <v>1</v>
      </c>
      <c r="M45" s="3">
        <f>Gegenstände!Z45</f>
        <v>0</v>
      </c>
      <c r="N45" s="783">
        <f>(Gegenstände!Y45*10)</f>
        <v>0</v>
      </c>
      <c r="O45" s="783">
        <f>(Gegenstände!W45*10)</f>
        <v>0</v>
      </c>
      <c r="P45" s="783">
        <f>Gegenstände!AA45*10</f>
        <v>0</v>
      </c>
      <c r="Q45" s="783">
        <f>Gegenstände!O45</f>
        <v>0</v>
      </c>
      <c r="R45" s="168">
        <f>Gegenstände!S45</f>
        <v>0</v>
      </c>
      <c r="S45" s="168">
        <f>Gegenstände!T45</f>
        <v>0</v>
      </c>
      <c r="T45" s="783">
        <f>Gegenstände!AC45</f>
        <v>0</v>
      </c>
      <c r="U45" s="783">
        <f>Gegenstände!AE45</f>
        <v>0</v>
      </c>
      <c r="V45" s="783">
        <f>Gegenstände!AD45</f>
        <v>0</v>
      </c>
      <c r="W45" s="783">
        <f>Gegenstände!AF45</f>
        <v>0</v>
      </c>
      <c r="AB45" s="3">
        <f>Gegenstände!M45</f>
        <v>1</v>
      </c>
      <c r="AC45" s="3">
        <f>Gegenstände!AB45</f>
        <v>0</v>
      </c>
      <c r="AD45" s="3">
        <f>Gegenstände!F45</f>
        <v>0</v>
      </c>
    </row>
    <row r="46" spans="1:30" x14ac:dyDescent="0.2">
      <c r="A46" s="3">
        <f>Gegenstände!A46</f>
        <v>37</v>
      </c>
      <c r="B46" s="3" t="str">
        <f>Gegenstände!B46</f>
        <v>Wolltuch</v>
      </c>
      <c r="D46" s="3">
        <f>Gegenstände!K46</f>
        <v>150</v>
      </c>
      <c r="E46" s="3">
        <f>Gegenstände!I46</f>
        <v>31</v>
      </c>
      <c r="F46" s="3">
        <f>VLOOKUP(Gegenstände!E46,Berechnungen!$E$87:$F$115,2,FALSE)</f>
        <v>31</v>
      </c>
      <c r="G46" s="3">
        <f>Gegenstände!H46</f>
        <v>1</v>
      </c>
      <c r="H46" s="3">
        <f>Gegenstände!G46</f>
        <v>0</v>
      </c>
      <c r="I46" s="3">
        <f>Gegenstände!D46</f>
        <v>5</v>
      </c>
      <c r="J46" s="168">
        <f>ROUND(Gegenstände!N46,0)</f>
        <v>120</v>
      </c>
      <c r="K46" s="3">
        <f>Gegenstände!J46</f>
        <v>0</v>
      </c>
      <c r="L46" s="3">
        <f>Gegenstände!L46</f>
        <v>1</v>
      </c>
      <c r="M46" s="3">
        <f>Gegenstände!Z46</f>
        <v>0</v>
      </c>
      <c r="N46" s="783">
        <f>(Gegenstände!Y46*10)</f>
        <v>0</v>
      </c>
      <c r="O46" s="783">
        <f>(Gegenstände!W46*10)</f>
        <v>0</v>
      </c>
      <c r="P46" s="783">
        <f>Gegenstände!AA46*10</f>
        <v>0</v>
      </c>
      <c r="Q46" s="783">
        <f>Gegenstände!O46</f>
        <v>0</v>
      </c>
      <c r="R46" s="168">
        <f>Gegenstände!S46</f>
        <v>0</v>
      </c>
      <c r="S46" s="168">
        <f>Gegenstände!T46</f>
        <v>0</v>
      </c>
      <c r="T46" s="783">
        <f>Gegenstände!AC46</f>
        <v>0</v>
      </c>
      <c r="U46" s="783">
        <f>Gegenstände!AE46</f>
        <v>0</v>
      </c>
      <c r="V46" s="783">
        <f>Gegenstände!AD46</f>
        <v>0</v>
      </c>
      <c r="W46" s="783">
        <f>Gegenstände!AF46</f>
        <v>0</v>
      </c>
      <c r="AB46" s="3">
        <f>Gegenstände!M46</f>
        <v>0</v>
      </c>
      <c r="AC46" s="3">
        <f>Gegenstände!AB46</f>
        <v>0</v>
      </c>
      <c r="AD46" s="3">
        <f>Gegenstände!F46</f>
        <v>0</v>
      </c>
    </row>
    <row r="47" spans="1:30" x14ac:dyDescent="0.2">
      <c r="A47" s="3">
        <f>Gegenstände!A47</f>
        <v>38</v>
      </c>
      <c r="B47" s="3" t="str">
        <f>Gegenstände!B47</f>
        <v>Baumwolltuch</v>
      </c>
      <c r="D47" s="3">
        <f>Gegenstände!K47</f>
        <v>150</v>
      </c>
      <c r="E47" s="3">
        <f>Gegenstände!I47</f>
        <v>31</v>
      </c>
      <c r="F47" s="3">
        <f>VLOOKUP(Gegenstände!E47,Berechnungen!$E$87:$F$115,2,FALSE)</f>
        <v>31</v>
      </c>
      <c r="G47" s="3">
        <f>Gegenstände!H47</f>
        <v>1</v>
      </c>
      <c r="H47" s="3">
        <f>Gegenstände!G47</f>
        <v>0</v>
      </c>
      <c r="I47" s="3">
        <f>Gegenstände!D47</f>
        <v>10</v>
      </c>
      <c r="J47" s="168">
        <f>ROUND(Gegenstände!N47,0)</f>
        <v>180</v>
      </c>
      <c r="K47" s="3">
        <f>Gegenstände!J47</f>
        <v>0</v>
      </c>
      <c r="L47" s="3">
        <f>Gegenstände!L47</f>
        <v>1</v>
      </c>
      <c r="M47" s="3">
        <f>Gegenstände!Z47</f>
        <v>0</v>
      </c>
      <c r="N47" s="783">
        <f>(Gegenstände!Y47*10)</f>
        <v>0</v>
      </c>
      <c r="O47" s="783">
        <f>(Gegenstände!W47*10)</f>
        <v>0</v>
      </c>
      <c r="P47" s="783">
        <f>Gegenstände!AA47*10</f>
        <v>0</v>
      </c>
      <c r="Q47" s="783">
        <f>Gegenstände!O47</f>
        <v>0</v>
      </c>
      <c r="R47" s="168">
        <f>Gegenstände!S47</f>
        <v>0</v>
      </c>
      <c r="S47" s="168">
        <f>Gegenstände!T47</f>
        <v>0</v>
      </c>
      <c r="T47" s="783">
        <f>Gegenstände!AC47</f>
        <v>0</v>
      </c>
      <c r="U47" s="783">
        <f>Gegenstände!AE47</f>
        <v>0</v>
      </c>
      <c r="V47" s="783">
        <f>Gegenstände!AD47</f>
        <v>0</v>
      </c>
      <c r="W47" s="783">
        <f>Gegenstände!AF47</f>
        <v>0</v>
      </c>
      <c r="AB47" s="3">
        <f>Gegenstände!M47</f>
        <v>0</v>
      </c>
      <c r="AC47" s="3">
        <f>Gegenstände!AB47</f>
        <v>0</v>
      </c>
      <c r="AD47" s="3">
        <f>Gegenstände!F47</f>
        <v>0</v>
      </c>
    </row>
    <row r="48" spans="1:30" x14ac:dyDescent="0.2">
      <c r="A48" s="3">
        <f>Gegenstände!A48</f>
        <v>39</v>
      </c>
      <c r="B48" s="3" t="str">
        <f>Gegenstände!B48</f>
        <v>Seidentuch</v>
      </c>
      <c r="D48" s="3">
        <f>Gegenstände!K48</f>
        <v>150</v>
      </c>
      <c r="E48" s="3">
        <f>Gegenstände!I48</f>
        <v>31</v>
      </c>
      <c r="F48" s="3">
        <f>VLOOKUP(Gegenstände!E48,Berechnungen!$E$87:$F$115,2,FALSE)</f>
        <v>31</v>
      </c>
      <c r="G48" s="3">
        <f>Gegenstände!H48</f>
        <v>1</v>
      </c>
      <c r="H48" s="3">
        <f>Gegenstände!G48</f>
        <v>0</v>
      </c>
      <c r="I48" s="3">
        <f>Gegenstände!D48</f>
        <v>15</v>
      </c>
      <c r="J48" s="168">
        <f>ROUND(Gegenstände!N48,0)</f>
        <v>270</v>
      </c>
      <c r="K48" s="3">
        <f>Gegenstände!J48</f>
        <v>0</v>
      </c>
      <c r="L48" s="3">
        <f>Gegenstände!L48</f>
        <v>1</v>
      </c>
      <c r="M48" s="3">
        <f>Gegenstände!Z48</f>
        <v>0</v>
      </c>
      <c r="N48" s="783">
        <f>(Gegenstände!Y48*10)</f>
        <v>0</v>
      </c>
      <c r="O48" s="783">
        <f>(Gegenstände!W48*10)</f>
        <v>0</v>
      </c>
      <c r="P48" s="783">
        <f>Gegenstände!AA48*10</f>
        <v>0</v>
      </c>
      <c r="Q48" s="783">
        <f>Gegenstände!O48</f>
        <v>0</v>
      </c>
      <c r="R48" s="168">
        <f>Gegenstände!S48</f>
        <v>0</v>
      </c>
      <c r="S48" s="168">
        <f>Gegenstände!T48</f>
        <v>0</v>
      </c>
      <c r="T48" s="783">
        <f>Gegenstände!AC48</f>
        <v>0</v>
      </c>
      <c r="U48" s="783">
        <f>Gegenstände!AE48</f>
        <v>0</v>
      </c>
      <c r="V48" s="783">
        <f>Gegenstände!AD48</f>
        <v>0</v>
      </c>
      <c r="W48" s="783">
        <f>Gegenstände!AF48</f>
        <v>0</v>
      </c>
      <c r="AB48" s="3">
        <f>Gegenstände!M48</f>
        <v>0</v>
      </c>
      <c r="AC48" s="3">
        <f>Gegenstände!AB48</f>
        <v>0</v>
      </c>
      <c r="AD48" s="3">
        <f>Gegenstände!F48</f>
        <v>0</v>
      </c>
    </row>
    <row r="49" spans="1:30" x14ac:dyDescent="0.2">
      <c r="A49" s="3">
        <f>Gegenstände!A49</f>
        <v>40</v>
      </c>
      <c r="B49" s="3" t="str">
        <f>Gegenstände!B49</f>
        <v>Äthertuch</v>
      </c>
      <c r="D49" s="3">
        <f>Gegenstände!K49</f>
        <v>150</v>
      </c>
      <c r="E49" s="3">
        <f>Gegenstände!I49</f>
        <v>31</v>
      </c>
      <c r="F49" s="3">
        <f>VLOOKUP(Gegenstände!E49,Berechnungen!$E$87:$F$115,2,FALSE)</f>
        <v>31</v>
      </c>
      <c r="G49" s="3">
        <f>Gegenstände!H49</f>
        <v>1</v>
      </c>
      <c r="H49" s="3">
        <f>Gegenstände!G49</f>
        <v>0</v>
      </c>
      <c r="I49" s="3">
        <f>Gegenstände!D49</f>
        <v>20</v>
      </c>
      <c r="J49" s="168">
        <f>ROUND(Gegenstände!N49,0)</f>
        <v>360</v>
      </c>
      <c r="K49" s="3">
        <f>Gegenstände!J49</f>
        <v>0</v>
      </c>
      <c r="L49" s="3">
        <f>Gegenstände!L49</f>
        <v>1</v>
      </c>
      <c r="M49" s="3">
        <f>Gegenstände!Z49</f>
        <v>0</v>
      </c>
      <c r="N49" s="783">
        <f>(Gegenstände!Y49*10)</f>
        <v>0</v>
      </c>
      <c r="O49" s="783">
        <f>(Gegenstände!W49*10)</f>
        <v>0</v>
      </c>
      <c r="P49" s="783">
        <f>Gegenstände!AA49*10</f>
        <v>0</v>
      </c>
      <c r="Q49" s="783">
        <f>Gegenstände!O49</f>
        <v>0</v>
      </c>
      <c r="R49" s="168">
        <f>Gegenstände!S49</f>
        <v>0</v>
      </c>
      <c r="S49" s="168">
        <f>Gegenstände!T49</f>
        <v>0</v>
      </c>
      <c r="T49" s="783">
        <f>Gegenstände!AC49</f>
        <v>0</v>
      </c>
      <c r="U49" s="783">
        <f>Gegenstände!AE49</f>
        <v>0</v>
      </c>
      <c r="V49" s="783">
        <f>Gegenstände!AD49</f>
        <v>0</v>
      </c>
      <c r="W49" s="783">
        <f>Gegenstände!AF49</f>
        <v>0</v>
      </c>
      <c r="AB49" s="3">
        <f>Gegenstände!M49</f>
        <v>0</v>
      </c>
      <c r="AC49" s="3">
        <f>Gegenstände!AB49</f>
        <v>0</v>
      </c>
      <c r="AD49" s="3">
        <f>Gegenstände!F49</f>
        <v>0</v>
      </c>
    </row>
    <row r="50" spans="1:30" x14ac:dyDescent="0.2">
      <c r="A50" s="3">
        <f>Gegenstände!A50</f>
        <v>0</v>
      </c>
      <c r="B50" s="3" t="str">
        <f>Gegenstände!B50</f>
        <v>Pelze und Häute</v>
      </c>
      <c r="D50" s="3">
        <f>Gegenstände!K50</f>
        <v>0</v>
      </c>
      <c r="E50" s="3">
        <f>Gegenstände!I50</f>
        <v>0</v>
      </c>
      <c r="F50" s="3" t="e">
        <f>VLOOKUP(Gegenstände!E50,Berechnungen!$E$87:$F$115,2,FALSE)</f>
        <v>#N/A</v>
      </c>
      <c r="G50" s="3">
        <f>Gegenstände!H50</f>
        <v>0</v>
      </c>
      <c r="H50" s="3">
        <f>Gegenstände!G50</f>
        <v>0</v>
      </c>
      <c r="I50" s="3">
        <f>Gegenstände!D50</f>
        <v>0</v>
      </c>
      <c r="J50" s="168">
        <f>ROUND(Gegenstände!N50,0)</f>
        <v>0</v>
      </c>
      <c r="K50" s="3">
        <f>Gegenstände!J50</f>
        <v>0</v>
      </c>
      <c r="L50" s="3">
        <f>Gegenstände!L50</f>
        <v>0</v>
      </c>
      <c r="M50" s="3">
        <f>Gegenstände!Z50</f>
        <v>0</v>
      </c>
      <c r="N50" s="783">
        <f>(Gegenstände!Y50*10)</f>
        <v>0</v>
      </c>
      <c r="O50" s="783">
        <f>(Gegenstände!W50*10)</f>
        <v>0</v>
      </c>
      <c r="P50" s="783">
        <f>Gegenstände!AA50*10</f>
        <v>0</v>
      </c>
      <c r="Q50" s="783">
        <f>Gegenstände!O50</f>
        <v>0</v>
      </c>
      <c r="R50" s="168">
        <f>Gegenstände!S50</f>
        <v>0</v>
      </c>
      <c r="S50" s="168">
        <f>Gegenstände!T50</f>
        <v>0</v>
      </c>
      <c r="T50" s="783">
        <f>Gegenstände!AC50</f>
        <v>0</v>
      </c>
      <c r="U50" s="783">
        <f>Gegenstände!AE50</f>
        <v>0</v>
      </c>
      <c r="V50" s="783">
        <f>Gegenstände!AD50</f>
        <v>0</v>
      </c>
      <c r="W50" s="783">
        <f>Gegenstände!AF50</f>
        <v>0</v>
      </c>
      <c r="AB50" s="3">
        <f>Gegenstände!M50</f>
        <v>0</v>
      </c>
      <c r="AC50" s="3">
        <f>Gegenstände!AB50</f>
        <v>0</v>
      </c>
      <c r="AD50" s="3">
        <f>Gegenstände!F50</f>
        <v>0</v>
      </c>
    </row>
    <row r="51" spans="1:30" x14ac:dyDescent="0.2">
      <c r="A51" s="3">
        <f>Gegenstände!A51</f>
        <v>41</v>
      </c>
      <c r="B51" s="3" t="str">
        <f>Gegenstände!B51</f>
        <v>Weichpelze</v>
      </c>
      <c r="D51" s="3">
        <f>Gegenstände!K51</f>
        <v>400</v>
      </c>
      <c r="E51" s="3">
        <f>Gegenstände!I51</f>
        <v>31</v>
      </c>
      <c r="F51" s="3">
        <f>VLOOKUP(Gegenstände!E51,Berechnungen!$E$87:$F$115,2,FALSE)</f>
        <v>31</v>
      </c>
      <c r="G51" s="3">
        <f>Gegenstände!H51</f>
        <v>1</v>
      </c>
      <c r="H51" s="3">
        <f>Gegenstände!G51</f>
        <v>0</v>
      </c>
      <c r="I51" s="3">
        <f>Gegenstände!D51</f>
        <v>0</v>
      </c>
      <c r="J51" s="168">
        <f>ROUND(Gegenstände!N51,0)</f>
        <v>20</v>
      </c>
      <c r="K51" s="3">
        <f>Gegenstände!J51</f>
        <v>0</v>
      </c>
      <c r="L51" s="3">
        <f>Gegenstände!L51</f>
        <v>1</v>
      </c>
      <c r="M51" s="3">
        <f>Gegenstände!Z51</f>
        <v>0</v>
      </c>
      <c r="N51" s="783">
        <f>(Gegenstände!Y51*10)</f>
        <v>0</v>
      </c>
      <c r="O51" s="783">
        <f>(Gegenstände!W51*10)</f>
        <v>0</v>
      </c>
      <c r="P51" s="783">
        <f>Gegenstände!AA51*10</f>
        <v>0</v>
      </c>
      <c r="Q51" s="783">
        <f>Gegenstände!O51</f>
        <v>0</v>
      </c>
      <c r="R51" s="168">
        <f>Gegenstände!S51</f>
        <v>0</v>
      </c>
      <c r="S51" s="168">
        <f>Gegenstände!T51</f>
        <v>0</v>
      </c>
      <c r="T51" s="783">
        <f>Gegenstände!AC51</f>
        <v>0</v>
      </c>
      <c r="U51" s="783">
        <f>Gegenstände!AE51</f>
        <v>0</v>
      </c>
      <c r="V51" s="783">
        <f>Gegenstände!AD51</f>
        <v>0</v>
      </c>
      <c r="W51" s="783">
        <f>Gegenstände!AF51</f>
        <v>0</v>
      </c>
      <c r="AB51" s="3">
        <f>Gegenstände!M51</f>
        <v>1</v>
      </c>
      <c r="AC51" s="3">
        <f>Gegenstände!AB51</f>
        <v>0</v>
      </c>
      <c r="AD51" s="3">
        <f>Gegenstände!F51</f>
        <v>0</v>
      </c>
    </row>
    <row r="52" spans="1:30" x14ac:dyDescent="0.2">
      <c r="A52" s="3">
        <f>Gegenstände!A52</f>
        <v>42</v>
      </c>
      <c r="B52" s="3" t="str">
        <f>Gegenstände!B52</f>
        <v>Pelze</v>
      </c>
      <c r="D52" s="3">
        <f>Gegenstände!K52</f>
        <v>400</v>
      </c>
      <c r="E52" s="3">
        <f>Gegenstände!I52</f>
        <v>31</v>
      </c>
      <c r="F52" s="3">
        <f>VLOOKUP(Gegenstände!E52,Berechnungen!$E$87:$F$115,2,FALSE)</f>
        <v>31</v>
      </c>
      <c r="G52" s="3">
        <f>Gegenstände!H52</f>
        <v>1</v>
      </c>
      <c r="H52" s="3">
        <f>Gegenstände!G52</f>
        <v>0</v>
      </c>
      <c r="I52" s="3">
        <f>Gegenstände!D52</f>
        <v>5</v>
      </c>
      <c r="J52" s="168">
        <f>ROUND(Gegenstände!N52,0)</f>
        <v>40</v>
      </c>
      <c r="K52" s="3">
        <f>Gegenstände!J52</f>
        <v>0</v>
      </c>
      <c r="L52" s="3">
        <f>Gegenstände!L52</f>
        <v>1</v>
      </c>
      <c r="M52" s="3">
        <f>Gegenstände!Z52</f>
        <v>0</v>
      </c>
      <c r="N52" s="783">
        <f>(Gegenstände!Y52*10)</f>
        <v>0</v>
      </c>
      <c r="O52" s="783">
        <f>(Gegenstände!W52*10)</f>
        <v>0</v>
      </c>
      <c r="P52" s="783">
        <f>Gegenstände!AA52*10</f>
        <v>0</v>
      </c>
      <c r="Q52" s="783">
        <f>Gegenstände!O52</f>
        <v>0</v>
      </c>
      <c r="R52" s="168">
        <f>Gegenstände!S52</f>
        <v>0</v>
      </c>
      <c r="S52" s="168">
        <f>Gegenstände!T52</f>
        <v>0</v>
      </c>
      <c r="T52" s="783">
        <f>Gegenstände!AC52</f>
        <v>0</v>
      </c>
      <c r="U52" s="783">
        <f>Gegenstände!AE52</f>
        <v>0</v>
      </c>
      <c r="V52" s="783">
        <f>Gegenstände!AD52</f>
        <v>0</v>
      </c>
      <c r="W52" s="783">
        <f>Gegenstände!AF52</f>
        <v>0</v>
      </c>
      <c r="AB52" s="3">
        <f>Gegenstände!M52</f>
        <v>0</v>
      </c>
      <c r="AC52" s="3">
        <f>Gegenstände!AB52</f>
        <v>0</v>
      </c>
      <c r="AD52" s="3">
        <f>Gegenstände!F52</f>
        <v>0</v>
      </c>
    </row>
    <row r="53" spans="1:30" x14ac:dyDescent="0.2">
      <c r="A53" s="3">
        <f>Gegenstände!A53</f>
        <v>43</v>
      </c>
      <c r="B53" s="3" t="str">
        <f>Gegenstände!B53</f>
        <v>Hartpelz</v>
      </c>
      <c r="D53" s="3">
        <f>Gegenstände!K53</f>
        <v>400</v>
      </c>
      <c r="E53" s="3">
        <f>Gegenstände!I53</f>
        <v>31</v>
      </c>
      <c r="F53" s="3">
        <f>VLOOKUP(Gegenstände!E53,Berechnungen!$E$87:$F$115,2,FALSE)</f>
        <v>31</v>
      </c>
      <c r="G53" s="3">
        <f>Gegenstände!H53</f>
        <v>1</v>
      </c>
      <c r="H53" s="3">
        <f>Gegenstände!G53</f>
        <v>0</v>
      </c>
      <c r="I53" s="3">
        <f>Gegenstände!D53</f>
        <v>10</v>
      </c>
      <c r="J53" s="168">
        <f>ROUND(Gegenstände!N53,0)</f>
        <v>60</v>
      </c>
      <c r="K53" s="3">
        <f>Gegenstände!J53</f>
        <v>0</v>
      </c>
      <c r="L53" s="3">
        <f>Gegenstände!L53</f>
        <v>1</v>
      </c>
      <c r="M53" s="3">
        <f>Gegenstände!Z53</f>
        <v>0</v>
      </c>
      <c r="N53" s="783">
        <f>(Gegenstände!Y53*10)</f>
        <v>0</v>
      </c>
      <c r="O53" s="783">
        <f>(Gegenstände!W53*10)</f>
        <v>0</v>
      </c>
      <c r="P53" s="783">
        <f>Gegenstände!AA53*10</f>
        <v>0</v>
      </c>
      <c r="Q53" s="783">
        <f>Gegenstände!O53</f>
        <v>0</v>
      </c>
      <c r="R53" s="168">
        <f>Gegenstände!S53</f>
        <v>0</v>
      </c>
      <c r="S53" s="168">
        <f>Gegenstände!T53</f>
        <v>0</v>
      </c>
      <c r="T53" s="783">
        <f>Gegenstände!AC53</f>
        <v>0</v>
      </c>
      <c r="U53" s="783">
        <f>Gegenstände!AE53</f>
        <v>0</v>
      </c>
      <c r="V53" s="783">
        <f>Gegenstände!AD53</f>
        <v>0</v>
      </c>
      <c r="W53" s="783">
        <f>Gegenstände!AF53</f>
        <v>0</v>
      </c>
      <c r="AB53" s="3">
        <f>Gegenstände!M53</f>
        <v>0</v>
      </c>
      <c r="AC53" s="3">
        <f>Gegenstände!AB53</f>
        <v>0</v>
      </c>
      <c r="AD53" s="3">
        <f>Gegenstände!F53</f>
        <v>0</v>
      </c>
    </row>
    <row r="54" spans="1:30" x14ac:dyDescent="0.2">
      <c r="A54" s="3">
        <f>Gegenstände!A54</f>
        <v>44</v>
      </c>
      <c r="B54" s="3" t="str">
        <f>Gegenstände!B54</f>
        <v>Riesenhaut</v>
      </c>
      <c r="D54" s="3">
        <f>Gegenstände!K54</f>
        <v>400</v>
      </c>
      <c r="E54" s="3">
        <f>Gegenstände!I54</f>
        <v>31</v>
      </c>
      <c r="F54" s="3">
        <f>VLOOKUP(Gegenstände!E54,Berechnungen!$E$87:$F$115,2,FALSE)</f>
        <v>31</v>
      </c>
      <c r="G54" s="3">
        <f>Gegenstände!H54</f>
        <v>1</v>
      </c>
      <c r="H54" s="3">
        <f>Gegenstände!G54</f>
        <v>0</v>
      </c>
      <c r="I54" s="3">
        <f>Gegenstände!D54</f>
        <v>15</v>
      </c>
      <c r="J54" s="168">
        <f>ROUND(Gegenstände!N54,0)</f>
        <v>90</v>
      </c>
      <c r="K54" s="3">
        <f>Gegenstände!J54</f>
        <v>0</v>
      </c>
      <c r="L54" s="3">
        <f>Gegenstände!L54</f>
        <v>1</v>
      </c>
      <c r="M54" s="3">
        <f>Gegenstände!Z54</f>
        <v>0</v>
      </c>
      <c r="N54" s="783">
        <f>(Gegenstände!Y54*10)</f>
        <v>0</v>
      </c>
      <c r="O54" s="783">
        <f>(Gegenstände!W54*10)</f>
        <v>0</v>
      </c>
      <c r="P54" s="783">
        <f>Gegenstände!AA54*10</f>
        <v>0</v>
      </c>
      <c r="Q54" s="783">
        <f>Gegenstände!O54</f>
        <v>0</v>
      </c>
      <c r="R54" s="168">
        <f>Gegenstände!S54</f>
        <v>0</v>
      </c>
      <c r="S54" s="168">
        <f>Gegenstände!T54</f>
        <v>0</v>
      </c>
      <c r="T54" s="783">
        <f>Gegenstände!AC54</f>
        <v>0</v>
      </c>
      <c r="U54" s="783">
        <f>Gegenstände!AE54</f>
        <v>0</v>
      </c>
      <c r="V54" s="783">
        <f>Gegenstände!AD54</f>
        <v>0</v>
      </c>
      <c r="W54" s="783">
        <f>Gegenstände!AF54</f>
        <v>0</v>
      </c>
      <c r="AB54" s="3">
        <f>Gegenstände!M54</f>
        <v>0</v>
      </c>
      <c r="AC54" s="3">
        <f>Gegenstände!AB54</f>
        <v>0</v>
      </c>
      <c r="AD54" s="3">
        <f>Gegenstände!F54</f>
        <v>0</v>
      </c>
    </row>
    <row r="55" spans="1:30" x14ac:dyDescent="0.2">
      <c r="A55" s="3">
        <f>Gegenstände!A55</f>
        <v>45</v>
      </c>
      <c r="B55" s="3" t="str">
        <f>Gegenstände!B55</f>
        <v>Drachenhaut</v>
      </c>
      <c r="D55" s="3">
        <f>Gegenstände!K55</f>
        <v>400</v>
      </c>
      <c r="E55" s="3">
        <f>Gegenstände!I55</f>
        <v>31</v>
      </c>
      <c r="F55" s="3">
        <f>VLOOKUP(Gegenstände!E55,Berechnungen!$E$87:$F$115,2,FALSE)</f>
        <v>31</v>
      </c>
      <c r="G55" s="3">
        <f>Gegenstände!H55</f>
        <v>1</v>
      </c>
      <c r="H55" s="3">
        <f>Gegenstände!G55</f>
        <v>0</v>
      </c>
      <c r="I55" s="3">
        <f>Gegenstände!D55</f>
        <v>20</v>
      </c>
      <c r="J55" s="168">
        <f>ROUND(Gegenstände!N55,0)</f>
        <v>120</v>
      </c>
      <c r="K55" s="3">
        <f>Gegenstände!J55</f>
        <v>0</v>
      </c>
      <c r="L55" s="3">
        <f>Gegenstände!L55</f>
        <v>1</v>
      </c>
      <c r="M55" s="3">
        <f>Gegenstände!Z55</f>
        <v>0</v>
      </c>
      <c r="N55" s="783">
        <f>(Gegenstände!Y55*10)</f>
        <v>0</v>
      </c>
      <c r="O55" s="783">
        <f>(Gegenstände!W55*10)</f>
        <v>0</v>
      </c>
      <c r="P55" s="783">
        <f>Gegenstände!AA55*10</f>
        <v>0</v>
      </c>
      <c r="Q55" s="783">
        <f>Gegenstände!O55</f>
        <v>0</v>
      </c>
      <c r="R55" s="168">
        <f>Gegenstände!S55</f>
        <v>0</v>
      </c>
      <c r="S55" s="168">
        <f>Gegenstände!T55</f>
        <v>0</v>
      </c>
      <c r="T55" s="783">
        <f>Gegenstände!AC55</f>
        <v>0</v>
      </c>
      <c r="U55" s="783">
        <f>Gegenstände!AE55</f>
        <v>0</v>
      </c>
      <c r="V55" s="783">
        <f>Gegenstände!AD55</f>
        <v>0</v>
      </c>
      <c r="W55" s="783">
        <f>Gegenstände!AF55</f>
        <v>0</v>
      </c>
      <c r="AB55" s="3">
        <f>Gegenstände!M55</f>
        <v>0</v>
      </c>
      <c r="AC55" s="3">
        <f>Gegenstände!AB55</f>
        <v>0</v>
      </c>
      <c r="AD55" s="3">
        <f>Gegenstände!F55</f>
        <v>0</v>
      </c>
    </row>
    <row r="56" spans="1:30" x14ac:dyDescent="0.2">
      <c r="A56" s="3">
        <f>Gegenstände!A56</f>
        <v>0</v>
      </c>
      <c r="B56" s="3" t="str">
        <f>Gegenstände!B56</f>
        <v>Lederballen</v>
      </c>
      <c r="D56" s="3">
        <f>Gegenstände!K56</f>
        <v>0</v>
      </c>
      <c r="E56" s="3">
        <f>Gegenstände!I56</f>
        <v>0</v>
      </c>
      <c r="F56" s="3" t="e">
        <f>VLOOKUP(Gegenstände!E56,Berechnungen!$E$87:$F$115,2,FALSE)</f>
        <v>#N/A</v>
      </c>
      <c r="G56" s="3">
        <f>Gegenstände!H56</f>
        <v>0</v>
      </c>
      <c r="H56" s="3">
        <f>Gegenstände!G56</f>
        <v>0</v>
      </c>
      <c r="I56" s="3">
        <f>Gegenstände!D56</f>
        <v>0</v>
      </c>
      <c r="J56" s="168">
        <f>ROUND(Gegenstände!N56,0)</f>
        <v>0</v>
      </c>
      <c r="K56" s="3">
        <f>Gegenstände!J56</f>
        <v>0</v>
      </c>
      <c r="L56" s="3">
        <f>Gegenstände!L56</f>
        <v>0</v>
      </c>
      <c r="M56" s="3">
        <f>Gegenstände!Z56</f>
        <v>0</v>
      </c>
      <c r="N56" s="783">
        <f>(Gegenstände!Y56*10)</f>
        <v>0</v>
      </c>
      <c r="O56" s="783">
        <f>(Gegenstände!W56*10)</f>
        <v>0</v>
      </c>
      <c r="P56" s="783">
        <f>Gegenstände!AA56*10</f>
        <v>0</v>
      </c>
      <c r="Q56" s="783">
        <f>Gegenstände!O56</f>
        <v>0</v>
      </c>
      <c r="R56" s="168">
        <f>Gegenstände!S56</f>
        <v>0</v>
      </c>
      <c r="S56" s="168">
        <f>Gegenstände!T56</f>
        <v>0</v>
      </c>
      <c r="T56" s="783">
        <f>Gegenstände!AC56</f>
        <v>0</v>
      </c>
      <c r="U56" s="783">
        <f>Gegenstände!AE56</f>
        <v>0</v>
      </c>
      <c r="V56" s="783">
        <f>Gegenstände!AD56</f>
        <v>0</v>
      </c>
      <c r="W56" s="783">
        <f>Gegenstände!AF56</f>
        <v>0</v>
      </c>
      <c r="AB56" s="3">
        <f>Gegenstände!M56</f>
        <v>0</v>
      </c>
      <c r="AC56" s="3">
        <f>Gegenstände!AB56</f>
        <v>0</v>
      </c>
      <c r="AD56" s="3">
        <f>Gegenstände!F56</f>
        <v>0</v>
      </c>
    </row>
    <row r="57" spans="1:30" x14ac:dyDescent="0.2">
      <c r="A57" s="3">
        <f>Gegenstände!A57</f>
        <v>46</v>
      </c>
      <c r="B57" s="3" t="str">
        <f>Gegenstände!B57</f>
        <v>Weichleder</v>
      </c>
      <c r="D57" s="3">
        <f>Gegenstände!K57</f>
        <v>250</v>
      </c>
      <c r="E57" s="3">
        <f>Gegenstände!I57</f>
        <v>31</v>
      </c>
      <c r="F57" s="3">
        <f>VLOOKUP(Gegenstände!E57,Berechnungen!$E$87:$F$115,2,FALSE)</f>
        <v>31</v>
      </c>
      <c r="G57" s="3">
        <f>Gegenstände!H57</f>
        <v>1</v>
      </c>
      <c r="H57" s="3">
        <f>Gegenstände!G57</f>
        <v>0</v>
      </c>
      <c r="I57" s="3">
        <f>Gegenstände!D57</f>
        <v>0</v>
      </c>
      <c r="J57" s="168">
        <f>ROUND(Gegenstände!N57,0)</f>
        <v>60</v>
      </c>
      <c r="K57" s="3">
        <f>Gegenstände!J57</f>
        <v>0</v>
      </c>
      <c r="L57" s="3">
        <f>Gegenstände!L57</f>
        <v>1</v>
      </c>
      <c r="M57" s="3">
        <f>Gegenstände!Z57</f>
        <v>0</v>
      </c>
      <c r="N57" s="783">
        <f>(Gegenstände!Y57*10)</f>
        <v>0</v>
      </c>
      <c r="O57" s="783">
        <f>(Gegenstände!W57*10)</f>
        <v>0</v>
      </c>
      <c r="P57" s="783">
        <f>Gegenstände!AA57*10</f>
        <v>0</v>
      </c>
      <c r="Q57" s="783">
        <f>Gegenstände!O57</f>
        <v>0</v>
      </c>
      <c r="R57" s="168">
        <f>Gegenstände!S57</f>
        <v>0</v>
      </c>
      <c r="S57" s="168">
        <f>Gegenstände!T57</f>
        <v>0</v>
      </c>
      <c r="T57" s="783">
        <f>Gegenstände!AC57</f>
        <v>0</v>
      </c>
      <c r="U57" s="783">
        <f>Gegenstände!AE57</f>
        <v>0</v>
      </c>
      <c r="V57" s="783">
        <f>Gegenstände!AD57</f>
        <v>0</v>
      </c>
      <c r="W57" s="783">
        <f>Gegenstände!AF57</f>
        <v>0</v>
      </c>
      <c r="AB57" s="3">
        <f>Gegenstände!M57</f>
        <v>1</v>
      </c>
      <c r="AC57" s="3">
        <f>Gegenstände!AB57</f>
        <v>0</v>
      </c>
      <c r="AD57" s="3">
        <f>Gegenstände!F57</f>
        <v>0</v>
      </c>
    </row>
    <row r="58" spans="1:30" x14ac:dyDescent="0.2">
      <c r="A58" s="3">
        <f>Gegenstände!A58</f>
        <v>47</v>
      </c>
      <c r="B58" s="3" t="str">
        <f>Gegenstände!B58</f>
        <v>Leder</v>
      </c>
      <c r="D58" s="3">
        <f>Gegenstände!K58</f>
        <v>250</v>
      </c>
      <c r="E58" s="3">
        <f>Gegenstände!I58</f>
        <v>31</v>
      </c>
      <c r="F58" s="3">
        <f>VLOOKUP(Gegenstände!E58,Berechnungen!$E$87:$F$115,2,FALSE)</f>
        <v>31</v>
      </c>
      <c r="G58" s="3">
        <f>Gegenstände!H58</f>
        <v>1</v>
      </c>
      <c r="H58" s="3">
        <f>Gegenstände!G58</f>
        <v>0</v>
      </c>
      <c r="I58" s="3">
        <f>Gegenstände!D58</f>
        <v>5</v>
      </c>
      <c r="J58" s="168">
        <f>ROUND(Gegenstände!N58,0)</f>
        <v>120</v>
      </c>
      <c r="K58" s="3">
        <f>Gegenstände!J58</f>
        <v>0</v>
      </c>
      <c r="L58" s="3">
        <f>Gegenstände!L58</f>
        <v>1</v>
      </c>
      <c r="M58" s="3">
        <f>Gegenstände!Z58</f>
        <v>0</v>
      </c>
      <c r="N58" s="783">
        <f>(Gegenstände!Y58*10)</f>
        <v>0</v>
      </c>
      <c r="O58" s="783">
        <f>(Gegenstände!W58*10)</f>
        <v>0</v>
      </c>
      <c r="P58" s="783">
        <f>Gegenstände!AA58*10</f>
        <v>0</v>
      </c>
      <c r="Q58" s="783">
        <f>Gegenstände!O58</f>
        <v>0</v>
      </c>
      <c r="R58" s="168">
        <f>Gegenstände!S58</f>
        <v>0</v>
      </c>
      <c r="S58" s="168">
        <f>Gegenstände!T58</f>
        <v>0</v>
      </c>
      <c r="T58" s="783">
        <f>Gegenstände!AC58</f>
        <v>0</v>
      </c>
      <c r="U58" s="783">
        <f>Gegenstände!AE58</f>
        <v>0</v>
      </c>
      <c r="V58" s="783">
        <f>Gegenstände!AD58</f>
        <v>0</v>
      </c>
      <c r="W58" s="783">
        <f>Gegenstände!AF58</f>
        <v>0</v>
      </c>
      <c r="AB58" s="3">
        <f>Gegenstände!M58</f>
        <v>0</v>
      </c>
      <c r="AC58" s="3">
        <f>Gegenstände!AB58</f>
        <v>0</v>
      </c>
      <c r="AD58" s="3">
        <f>Gegenstände!F58</f>
        <v>0</v>
      </c>
    </row>
    <row r="59" spans="1:30" x14ac:dyDescent="0.2">
      <c r="A59" s="3">
        <f>Gegenstände!A59</f>
        <v>48</v>
      </c>
      <c r="B59" s="3" t="str">
        <f>Gegenstände!B59</f>
        <v>Hartleder</v>
      </c>
      <c r="D59" s="3">
        <f>Gegenstände!K59</f>
        <v>250</v>
      </c>
      <c r="E59" s="3">
        <f>Gegenstände!I59</f>
        <v>31</v>
      </c>
      <c r="F59" s="3">
        <f>VLOOKUP(Gegenstände!E59,Berechnungen!$E$87:$F$115,2,FALSE)</f>
        <v>31</v>
      </c>
      <c r="G59" s="3">
        <f>Gegenstände!H59</f>
        <v>1</v>
      </c>
      <c r="H59" s="3">
        <f>Gegenstände!G59</f>
        <v>0</v>
      </c>
      <c r="I59" s="3">
        <f>Gegenstände!D59</f>
        <v>10</v>
      </c>
      <c r="J59" s="168">
        <f>ROUND(Gegenstände!N59,0)</f>
        <v>180</v>
      </c>
      <c r="K59" s="3">
        <f>Gegenstände!J59</f>
        <v>0</v>
      </c>
      <c r="L59" s="3">
        <f>Gegenstände!L59</f>
        <v>1</v>
      </c>
      <c r="M59" s="3">
        <f>Gegenstände!Z59</f>
        <v>0</v>
      </c>
      <c r="N59" s="783">
        <f>(Gegenstände!Y59*10)</f>
        <v>0</v>
      </c>
      <c r="O59" s="783">
        <f>(Gegenstände!W59*10)</f>
        <v>0</v>
      </c>
      <c r="P59" s="783">
        <f>Gegenstände!AA59*10</f>
        <v>0</v>
      </c>
      <c r="Q59" s="783">
        <f>Gegenstände!O59</f>
        <v>0</v>
      </c>
      <c r="R59" s="168">
        <f>Gegenstände!S59</f>
        <v>0</v>
      </c>
      <c r="S59" s="168">
        <f>Gegenstände!T59</f>
        <v>0</v>
      </c>
      <c r="T59" s="783">
        <f>Gegenstände!AC59</f>
        <v>0</v>
      </c>
      <c r="U59" s="783">
        <f>Gegenstände!AE59</f>
        <v>0</v>
      </c>
      <c r="V59" s="783">
        <f>Gegenstände!AD59</f>
        <v>0</v>
      </c>
      <c r="W59" s="783">
        <f>Gegenstände!AF59</f>
        <v>0</v>
      </c>
      <c r="AB59" s="3">
        <f>Gegenstände!M59</f>
        <v>0</v>
      </c>
      <c r="AC59" s="3">
        <f>Gegenstände!AB59</f>
        <v>0</v>
      </c>
      <c r="AD59" s="3">
        <f>Gegenstände!F59</f>
        <v>0</v>
      </c>
    </row>
    <row r="60" spans="1:30" x14ac:dyDescent="0.2">
      <c r="A60" s="3">
        <f>Gegenstände!A60</f>
        <v>49</v>
      </c>
      <c r="B60" s="3" t="str">
        <f>Gegenstände!B60</f>
        <v>Riesenleder</v>
      </c>
      <c r="D60" s="3">
        <f>Gegenstände!K60</f>
        <v>250</v>
      </c>
      <c r="E60" s="3">
        <f>Gegenstände!I60</f>
        <v>31</v>
      </c>
      <c r="F60" s="3">
        <f>VLOOKUP(Gegenstände!E60,Berechnungen!$E$87:$F$115,2,FALSE)</f>
        <v>31</v>
      </c>
      <c r="G60" s="3">
        <f>Gegenstände!H60</f>
        <v>1</v>
      </c>
      <c r="H60" s="3">
        <f>Gegenstände!G60</f>
        <v>0</v>
      </c>
      <c r="I60" s="3">
        <f>Gegenstände!D60</f>
        <v>15</v>
      </c>
      <c r="J60" s="168">
        <f>ROUND(Gegenstände!N60,0)</f>
        <v>270</v>
      </c>
      <c r="K60" s="3">
        <f>Gegenstände!J60</f>
        <v>0</v>
      </c>
      <c r="L60" s="3">
        <f>Gegenstände!L60</f>
        <v>1</v>
      </c>
      <c r="M60" s="3">
        <f>Gegenstände!Z60</f>
        <v>0</v>
      </c>
      <c r="N60" s="783">
        <f>(Gegenstände!Y60*10)</f>
        <v>0</v>
      </c>
      <c r="O60" s="783">
        <f>(Gegenstände!W60*10)</f>
        <v>0</v>
      </c>
      <c r="P60" s="783">
        <f>Gegenstände!AA60*10</f>
        <v>0</v>
      </c>
      <c r="Q60" s="783">
        <f>Gegenstände!O60</f>
        <v>0</v>
      </c>
      <c r="R60" s="168">
        <f>Gegenstände!S60</f>
        <v>0</v>
      </c>
      <c r="S60" s="168">
        <f>Gegenstände!T60</f>
        <v>0</v>
      </c>
      <c r="T60" s="783">
        <f>Gegenstände!AC60</f>
        <v>0</v>
      </c>
      <c r="U60" s="783">
        <f>Gegenstände!AE60</f>
        <v>0</v>
      </c>
      <c r="V60" s="783">
        <f>Gegenstände!AD60</f>
        <v>0</v>
      </c>
      <c r="W60" s="783">
        <f>Gegenstände!AF60</f>
        <v>0</v>
      </c>
      <c r="AB60" s="3">
        <f>Gegenstände!M60</f>
        <v>0</v>
      </c>
      <c r="AC60" s="3">
        <f>Gegenstände!AB60</f>
        <v>0</v>
      </c>
      <c r="AD60" s="3">
        <f>Gegenstände!F60</f>
        <v>0</v>
      </c>
    </row>
    <row r="61" spans="1:30" x14ac:dyDescent="0.2">
      <c r="A61" s="3">
        <f>Gegenstände!A61</f>
        <v>50</v>
      </c>
      <c r="B61" s="3" t="str">
        <f>Gegenstände!B61</f>
        <v>Drachenleder</v>
      </c>
      <c r="D61" s="3">
        <f>Gegenstände!K61</f>
        <v>250</v>
      </c>
      <c r="E61" s="3">
        <f>Gegenstände!I61</f>
        <v>31</v>
      </c>
      <c r="F61" s="3">
        <f>VLOOKUP(Gegenstände!E61,Berechnungen!$E$87:$F$115,2,FALSE)</f>
        <v>31</v>
      </c>
      <c r="G61" s="3">
        <f>Gegenstände!H61</f>
        <v>1</v>
      </c>
      <c r="H61" s="3">
        <f>Gegenstände!G61</f>
        <v>0</v>
      </c>
      <c r="I61" s="3">
        <f>Gegenstände!D61</f>
        <v>20</v>
      </c>
      <c r="J61" s="168">
        <f>ROUND(Gegenstände!N61,0)</f>
        <v>360</v>
      </c>
      <c r="K61" s="3">
        <f>Gegenstände!J61</f>
        <v>0</v>
      </c>
      <c r="L61" s="3">
        <f>Gegenstände!L61</f>
        <v>1</v>
      </c>
      <c r="M61" s="3">
        <f>Gegenstände!Z61</f>
        <v>0</v>
      </c>
      <c r="N61" s="783">
        <f>(Gegenstände!Y61*10)</f>
        <v>0</v>
      </c>
      <c r="O61" s="783">
        <f>(Gegenstände!W61*10)</f>
        <v>0</v>
      </c>
      <c r="P61" s="783">
        <f>Gegenstände!AA61*10</f>
        <v>0</v>
      </c>
      <c r="Q61" s="783">
        <f>Gegenstände!O61</f>
        <v>0</v>
      </c>
      <c r="R61" s="168">
        <f>Gegenstände!S61</f>
        <v>0</v>
      </c>
      <c r="S61" s="168">
        <f>Gegenstände!T61</f>
        <v>0</v>
      </c>
      <c r="T61" s="783">
        <f>Gegenstände!AC61</f>
        <v>0</v>
      </c>
      <c r="U61" s="783">
        <f>Gegenstände!AE61</f>
        <v>0</v>
      </c>
      <c r="V61" s="783">
        <f>Gegenstände!AD61</f>
        <v>0</v>
      </c>
      <c r="W61" s="783">
        <f>Gegenstände!AF61</f>
        <v>0</v>
      </c>
      <c r="AB61" s="3">
        <f>Gegenstände!M61</f>
        <v>0</v>
      </c>
      <c r="AC61" s="3">
        <f>Gegenstände!AB61</f>
        <v>0</v>
      </c>
      <c r="AD61" s="3">
        <f>Gegenstände!F61</f>
        <v>0</v>
      </c>
    </row>
    <row r="62" spans="1:30" x14ac:dyDescent="0.2">
      <c r="A62" s="3">
        <f>Gegenstände!A62</f>
        <v>0</v>
      </c>
      <c r="B62" s="3" t="str">
        <f>Gegenstände!B62</f>
        <v>Staub</v>
      </c>
      <c r="D62" s="3">
        <f>Gegenstände!K62</f>
        <v>0</v>
      </c>
      <c r="E62" s="3">
        <f>Gegenstände!I62</f>
        <v>0</v>
      </c>
      <c r="F62" s="3" t="e">
        <f>VLOOKUP(Gegenstände!E62,Berechnungen!$E$87:$F$115,2,FALSE)</f>
        <v>#N/A</v>
      </c>
      <c r="G62" s="3">
        <f>Gegenstände!H62</f>
        <v>0</v>
      </c>
      <c r="H62" s="3">
        <f>Gegenstände!G62</f>
        <v>0</v>
      </c>
      <c r="I62" s="3">
        <f>Gegenstände!D62</f>
        <v>0</v>
      </c>
      <c r="J62" s="168">
        <f>ROUND(Gegenstände!N62,0)</f>
        <v>0</v>
      </c>
      <c r="K62" s="3">
        <f>Gegenstände!J62</f>
        <v>0</v>
      </c>
      <c r="L62" s="3">
        <f>Gegenstände!L62</f>
        <v>0</v>
      </c>
      <c r="M62" s="3">
        <f>Gegenstände!Z62</f>
        <v>0</v>
      </c>
      <c r="N62" s="783">
        <f>(Gegenstände!Y62*10)</f>
        <v>0</v>
      </c>
      <c r="O62" s="783">
        <f>(Gegenstände!W62*10)</f>
        <v>0</v>
      </c>
      <c r="P62" s="783">
        <f>Gegenstände!AA62*10</f>
        <v>0</v>
      </c>
      <c r="Q62" s="783">
        <f>Gegenstände!O62</f>
        <v>0</v>
      </c>
      <c r="R62" s="168">
        <f>Gegenstände!S62</f>
        <v>0</v>
      </c>
      <c r="S62" s="168">
        <f>Gegenstände!T62</f>
        <v>0</v>
      </c>
      <c r="T62" s="783">
        <f>Gegenstände!AC62</f>
        <v>0</v>
      </c>
      <c r="U62" s="783">
        <f>Gegenstände!AE62</f>
        <v>0</v>
      </c>
      <c r="V62" s="783">
        <f>Gegenstände!AD62</f>
        <v>0</v>
      </c>
      <c r="W62" s="783">
        <f>Gegenstände!AF62</f>
        <v>0</v>
      </c>
      <c r="AB62" s="3">
        <f>Gegenstände!M62</f>
        <v>0</v>
      </c>
      <c r="AC62" s="3">
        <f>Gegenstände!AB62</f>
        <v>0</v>
      </c>
      <c r="AD62" s="3">
        <f>Gegenstände!F62</f>
        <v>0</v>
      </c>
    </row>
    <row r="63" spans="1:30" x14ac:dyDescent="0.2">
      <c r="A63" s="3">
        <f>Gegenstände!A63</f>
        <v>51</v>
      </c>
      <c r="B63" s="3" t="str">
        <f>Gegenstände!B63</f>
        <v>Magiestaub</v>
      </c>
      <c r="D63" s="3">
        <f>Gegenstände!K63</f>
        <v>100</v>
      </c>
      <c r="E63" s="3">
        <f>Gegenstände!I63</f>
        <v>31</v>
      </c>
      <c r="F63" s="3">
        <f>VLOOKUP(Gegenstände!E63,Berechnungen!$E$87:$F$115,2,FALSE)</f>
        <v>31</v>
      </c>
      <c r="G63" s="3">
        <f>Gegenstände!H63</f>
        <v>1</v>
      </c>
      <c r="H63" s="3">
        <f>Gegenstände!G63</f>
        <v>0</v>
      </c>
      <c r="I63" s="3">
        <f>Gegenstände!D63</f>
        <v>0</v>
      </c>
      <c r="J63" s="168">
        <f>ROUND(Gegenstände!N63,0)</f>
        <v>20</v>
      </c>
      <c r="K63" s="3">
        <f>Gegenstände!J63</f>
        <v>0</v>
      </c>
      <c r="L63" s="3">
        <f>Gegenstände!L63</f>
        <v>1</v>
      </c>
      <c r="M63" s="3">
        <f>Gegenstände!Z63</f>
        <v>0</v>
      </c>
      <c r="N63" s="783">
        <f>(Gegenstände!Y63*10)</f>
        <v>0</v>
      </c>
      <c r="O63" s="783">
        <f>(Gegenstände!W63*10)</f>
        <v>0</v>
      </c>
      <c r="P63" s="783">
        <f>Gegenstände!AA63*10</f>
        <v>0</v>
      </c>
      <c r="Q63" s="783">
        <f>Gegenstände!O63</f>
        <v>0</v>
      </c>
      <c r="R63" s="168">
        <f>Gegenstände!S63</f>
        <v>0</v>
      </c>
      <c r="S63" s="168">
        <f>Gegenstände!T63</f>
        <v>0</v>
      </c>
      <c r="T63" s="783">
        <f>Gegenstände!AC63</f>
        <v>0</v>
      </c>
      <c r="U63" s="783">
        <f>Gegenstände!AE63</f>
        <v>0</v>
      </c>
      <c r="V63" s="783">
        <f>Gegenstände!AD63</f>
        <v>0</v>
      </c>
      <c r="W63" s="783">
        <f>Gegenstände!AF63</f>
        <v>0</v>
      </c>
      <c r="AB63" s="3">
        <f>Gegenstände!M63</f>
        <v>1</v>
      </c>
      <c r="AC63" s="3">
        <f>Gegenstände!AB63</f>
        <v>0</v>
      </c>
      <c r="AD63" s="3">
        <f>Gegenstände!F63</f>
        <v>0</v>
      </c>
    </row>
    <row r="64" spans="1:30" x14ac:dyDescent="0.2">
      <c r="A64" s="3">
        <f>Gegenstände!A64</f>
        <v>52</v>
      </c>
      <c r="B64" s="3" t="str">
        <f>Gegenstände!B64</f>
        <v>Todesstaub</v>
      </c>
      <c r="D64" s="3">
        <f>Gegenstände!K64</f>
        <v>100</v>
      </c>
      <c r="E64" s="3">
        <f>Gegenstände!I64</f>
        <v>31</v>
      </c>
      <c r="F64" s="3">
        <f>VLOOKUP(Gegenstände!E64,Berechnungen!$E$87:$F$115,2,FALSE)</f>
        <v>31</v>
      </c>
      <c r="G64" s="3">
        <f>Gegenstände!H64</f>
        <v>1</v>
      </c>
      <c r="H64" s="3">
        <f>Gegenstände!G64</f>
        <v>0</v>
      </c>
      <c r="I64" s="3">
        <f>Gegenstände!D64</f>
        <v>5</v>
      </c>
      <c r="J64" s="168">
        <f>ROUND(Gegenstände!N64,0)</f>
        <v>40</v>
      </c>
      <c r="K64" s="3">
        <f>Gegenstände!J64</f>
        <v>0</v>
      </c>
      <c r="L64" s="3">
        <f>Gegenstände!L64</f>
        <v>1</v>
      </c>
      <c r="M64" s="3">
        <f>Gegenstände!Z64</f>
        <v>0</v>
      </c>
      <c r="N64" s="783">
        <f>(Gegenstände!Y64*10)</f>
        <v>0</v>
      </c>
      <c r="O64" s="783">
        <f>(Gegenstände!W64*10)</f>
        <v>0</v>
      </c>
      <c r="P64" s="783">
        <f>Gegenstände!AA64*10</f>
        <v>0</v>
      </c>
      <c r="Q64" s="783">
        <f>Gegenstände!O64</f>
        <v>0</v>
      </c>
      <c r="R64" s="168">
        <f>Gegenstände!S64</f>
        <v>0</v>
      </c>
      <c r="S64" s="168">
        <f>Gegenstände!T64</f>
        <v>0</v>
      </c>
      <c r="T64" s="783">
        <f>Gegenstände!AC64</f>
        <v>0</v>
      </c>
      <c r="U64" s="783">
        <f>Gegenstände!AE64</f>
        <v>0</v>
      </c>
      <c r="V64" s="783">
        <f>Gegenstände!AD64</f>
        <v>0</v>
      </c>
      <c r="W64" s="783">
        <f>Gegenstände!AF64</f>
        <v>0</v>
      </c>
      <c r="AB64" s="3">
        <f>Gegenstände!M64</f>
        <v>0</v>
      </c>
      <c r="AC64" s="3">
        <f>Gegenstände!AB64</f>
        <v>0</v>
      </c>
      <c r="AD64" s="3">
        <f>Gegenstände!F64</f>
        <v>0</v>
      </c>
    </row>
    <row r="65" spans="1:30" x14ac:dyDescent="0.2">
      <c r="A65" s="3">
        <f>Gegenstände!A65</f>
        <v>53</v>
      </c>
      <c r="B65" s="3" t="str">
        <f>Gegenstände!B65</f>
        <v>Schattenstaub</v>
      </c>
      <c r="D65" s="3">
        <f>Gegenstände!K65</f>
        <v>100</v>
      </c>
      <c r="E65" s="3">
        <f>Gegenstände!I65</f>
        <v>31</v>
      </c>
      <c r="F65" s="3">
        <f>VLOOKUP(Gegenstände!E65,Berechnungen!$E$87:$F$115,2,FALSE)</f>
        <v>31</v>
      </c>
      <c r="G65" s="3">
        <f>Gegenstände!H65</f>
        <v>1</v>
      </c>
      <c r="H65" s="3">
        <f>Gegenstände!G65</f>
        <v>0</v>
      </c>
      <c r="I65" s="3">
        <f>Gegenstände!D65</f>
        <v>10</v>
      </c>
      <c r="J65" s="168">
        <f>ROUND(Gegenstände!N65,0)</f>
        <v>60</v>
      </c>
      <c r="K65" s="3">
        <f>Gegenstände!J65</f>
        <v>0</v>
      </c>
      <c r="L65" s="3">
        <f>Gegenstände!L65</f>
        <v>1</v>
      </c>
      <c r="M65" s="3">
        <f>Gegenstände!Z65</f>
        <v>0</v>
      </c>
      <c r="N65" s="783">
        <f>(Gegenstände!Y65*10)</f>
        <v>0</v>
      </c>
      <c r="O65" s="783">
        <f>(Gegenstände!W65*10)</f>
        <v>0</v>
      </c>
      <c r="P65" s="783">
        <f>Gegenstände!AA65*10</f>
        <v>0</v>
      </c>
      <c r="Q65" s="783">
        <f>Gegenstände!O65</f>
        <v>0</v>
      </c>
      <c r="R65" s="168">
        <f>Gegenstände!S65</f>
        <v>0</v>
      </c>
      <c r="S65" s="168">
        <f>Gegenstände!T65</f>
        <v>0</v>
      </c>
      <c r="T65" s="783">
        <f>Gegenstände!AC65</f>
        <v>0</v>
      </c>
      <c r="U65" s="783">
        <f>Gegenstände!AE65</f>
        <v>0</v>
      </c>
      <c r="V65" s="783">
        <f>Gegenstände!AD65</f>
        <v>0</v>
      </c>
      <c r="W65" s="783">
        <f>Gegenstände!AF65</f>
        <v>0</v>
      </c>
      <c r="AB65" s="3">
        <f>Gegenstände!M65</f>
        <v>0</v>
      </c>
      <c r="AC65" s="3">
        <f>Gegenstände!AB65</f>
        <v>0</v>
      </c>
      <c r="AD65" s="3">
        <f>Gegenstände!F65</f>
        <v>0</v>
      </c>
    </row>
    <row r="66" spans="1:30" x14ac:dyDescent="0.2">
      <c r="A66" s="3">
        <f>Gegenstände!A66</f>
        <v>54</v>
      </c>
      <c r="B66" s="3" t="str">
        <f>Gegenstände!B66</f>
        <v>Mondstaub</v>
      </c>
      <c r="D66" s="3">
        <f>Gegenstände!K66</f>
        <v>100</v>
      </c>
      <c r="E66" s="3">
        <f>Gegenstände!I66</f>
        <v>31</v>
      </c>
      <c r="F66" s="3">
        <f>VLOOKUP(Gegenstände!E66,Berechnungen!$E$87:$F$115,2,FALSE)</f>
        <v>31</v>
      </c>
      <c r="G66" s="3">
        <f>Gegenstände!H66</f>
        <v>1</v>
      </c>
      <c r="H66" s="3">
        <f>Gegenstände!G66</f>
        <v>0</v>
      </c>
      <c r="I66" s="3">
        <f>Gegenstände!D66</f>
        <v>15</v>
      </c>
      <c r="J66" s="168">
        <f>ROUND(Gegenstände!N66,0)</f>
        <v>90</v>
      </c>
      <c r="K66" s="3">
        <f>Gegenstände!J66</f>
        <v>0</v>
      </c>
      <c r="L66" s="3">
        <f>Gegenstände!L66</f>
        <v>1</v>
      </c>
      <c r="M66" s="3">
        <f>Gegenstände!Z66</f>
        <v>0</v>
      </c>
      <c r="N66" s="783">
        <f>(Gegenstände!Y66*10)</f>
        <v>0</v>
      </c>
      <c r="O66" s="783">
        <f>(Gegenstände!W66*10)</f>
        <v>0</v>
      </c>
      <c r="P66" s="783">
        <f>Gegenstände!AA66*10</f>
        <v>0</v>
      </c>
      <c r="Q66" s="783">
        <f>Gegenstände!O66</f>
        <v>0</v>
      </c>
      <c r="R66" s="168">
        <f>Gegenstände!S66</f>
        <v>0</v>
      </c>
      <c r="S66" s="168">
        <f>Gegenstände!T66</f>
        <v>0</v>
      </c>
      <c r="T66" s="783">
        <f>Gegenstände!AC66</f>
        <v>0</v>
      </c>
      <c r="U66" s="783">
        <f>Gegenstände!AE66</f>
        <v>0</v>
      </c>
      <c r="V66" s="783">
        <f>Gegenstände!AD66</f>
        <v>0</v>
      </c>
      <c r="W66" s="783">
        <f>Gegenstände!AF66</f>
        <v>0</v>
      </c>
      <c r="AB66" s="3">
        <f>Gegenstände!M66</f>
        <v>0</v>
      </c>
      <c r="AC66" s="3">
        <f>Gegenstände!AB66</f>
        <v>0</v>
      </c>
      <c r="AD66" s="3">
        <f>Gegenstände!F66</f>
        <v>0</v>
      </c>
    </row>
    <row r="67" spans="1:30" x14ac:dyDescent="0.2">
      <c r="A67" s="3">
        <f>Gegenstände!A67</f>
        <v>55</v>
      </c>
      <c r="B67" s="3" t="str">
        <f>Gegenstände!B67</f>
        <v>Sternenstaub</v>
      </c>
      <c r="D67" s="3">
        <f>Gegenstände!K67</f>
        <v>100</v>
      </c>
      <c r="E67" s="3">
        <f>Gegenstände!I67</f>
        <v>31</v>
      </c>
      <c r="F67" s="3">
        <f>VLOOKUP(Gegenstände!E67,Berechnungen!$E$87:$F$115,2,FALSE)</f>
        <v>31</v>
      </c>
      <c r="G67" s="3">
        <f>Gegenstände!H67</f>
        <v>1</v>
      </c>
      <c r="H67" s="3">
        <f>Gegenstände!G67</f>
        <v>0</v>
      </c>
      <c r="I67" s="3">
        <f>Gegenstände!D67</f>
        <v>20</v>
      </c>
      <c r="J67" s="168">
        <f>ROUND(Gegenstände!N67,0)</f>
        <v>120</v>
      </c>
      <c r="K67" s="3">
        <f>Gegenstände!J67</f>
        <v>0</v>
      </c>
      <c r="L67" s="3">
        <f>Gegenstände!L67</f>
        <v>1</v>
      </c>
      <c r="M67" s="3">
        <f>Gegenstände!Z67</f>
        <v>0</v>
      </c>
      <c r="N67" s="783">
        <f>(Gegenstände!Y67*10)</f>
        <v>0</v>
      </c>
      <c r="O67" s="783">
        <f>(Gegenstände!W67*10)</f>
        <v>0</v>
      </c>
      <c r="P67" s="783">
        <f>Gegenstände!AA67*10</f>
        <v>0</v>
      </c>
      <c r="Q67" s="783">
        <f>Gegenstände!O67</f>
        <v>0</v>
      </c>
      <c r="R67" s="168">
        <f>Gegenstände!S67</f>
        <v>0</v>
      </c>
      <c r="S67" s="168">
        <f>Gegenstände!T67</f>
        <v>0</v>
      </c>
      <c r="T67" s="783">
        <f>Gegenstände!AC67</f>
        <v>0</v>
      </c>
      <c r="U67" s="783">
        <f>Gegenstände!AE67</f>
        <v>0</v>
      </c>
      <c r="V67" s="783">
        <f>Gegenstände!AD67</f>
        <v>0</v>
      </c>
      <c r="W67" s="783">
        <f>Gegenstände!AF67</f>
        <v>0</v>
      </c>
      <c r="AB67" s="3">
        <f>Gegenstände!M67</f>
        <v>0</v>
      </c>
      <c r="AC67" s="3">
        <f>Gegenstände!AB67</f>
        <v>0</v>
      </c>
      <c r="AD67" s="3">
        <f>Gegenstände!F67</f>
        <v>0</v>
      </c>
    </row>
    <row r="68" spans="1:30" x14ac:dyDescent="0.2">
      <c r="A68" s="3">
        <f>Gegenstände!A68</f>
        <v>0</v>
      </c>
      <c r="B68" s="3" t="str">
        <f>Gegenstände!B68</f>
        <v>Handwerksmaterialien</v>
      </c>
      <c r="D68" s="3">
        <f>Gegenstände!K68</f>
        <v>0</v>
      </c>
      <c r="E68" s="3">
        <f>Gegenstände!I68</f>
        <v>0</v>
      </c>
      <c r="F68" s="3" t="e">
        <f>VLOOKUP(Gegenstände!E68,Berechnungen!$E$87:$F$115,2,FALSE)</f>
        <v>#N/A</v>
      </c>
      <c r="G68" s="3">
        <f>Gegenstände!H68</f>
        <v>0</v>
      </c>
      <c r="H68" s="3">
        <f>Gegenstände!G68</f>
        <v>0</v>
      </c>
      <c r="I68" s="3">
        <f>Gegenstände!D68</f>
        <v>0</v>
      </c>
      <c r="J68" s="168">
        <f>ROUND(Gegenstände!N68,0)</f>
        <v>0</v>
      </c>
      <c r="K68" s="3">
        <f>Gegenstände!J68</f>
        <v>0</v>
      </c>
      <c r="L68" s="3">
        <f>Gegenstände!L68</f>
        <v>0</v>
      </c>
      <c r="M68" s="3">
        <f>Gegenstände!Z68</f>
        <v>0</v>
      </c>
      <c r="N68" s="783">
        <f>(Gegenstände!Y68*10)</f>
        <v>0</v>
      </c>
      <c r="O68" s="783">
        <f>(Gegenstände!W68*10)</f>
        <v>0</v>
      </c>
      <c r="P68" s="783">
        <f>Gegenstände!AA68*10</f>
        <v>0</v>
      </c>
      <c r="Q68" s="783">
        <f>Gegenstände!O68</f>
        <v>0</v>
      </c>
      <c r="R68" s="168">
        <f>Gegenstände!S68</f>
        <v>0</v>
      </c>
      <c r="S68" s="168">
        <f>Gegenstände!T68</f>
        <v>0</v>
      </c>
      <c r="T68" s="783">
        <f>Gegenstände!AC68</f>
        <v>0</v>
      </c>
      <c r="U68" s="783">
        <f>Gegenstände!AE68</f>
        <v>0</v>
      </c>
      <c r="V68" s="783">
        <f>Gegenstände!AD68</f>
        <v>0</v>
      </c>
      <c r="W68" s="783">
        <f>Gegenstände!AF68</f>
        <v>0</v>
      </c>
      <c r="AB68" s="3">
        <f>Gegenstände!M68</f>
        <v>0</v>
      </c>
      <c r="AC68" s="3">
        <f>Gegenstände!AB68</f>
        <v>0</v>
      </c>
      <c r="AD68" s="3">
        <f>Gegenstände!F68</f>
        <v>0</v>
      </c>
    </row>
    <row r="69" spans="1:30" x14ac:dyDescent="0.2">
      <c r="A69" s="3">
        <f>Gegenstände!A69</f>
        <v>101</v>
      </c>
      <c r="B69" s="3" t="str">
        <f>Gegenstände!B69</f>
        <v>Schmiedeöl</v>
      </c>
      <c r="D69" s="3">
        <f>Gegenstände!K69</f>
        <v>100</v>
      </c>
      <c r="E69" s="3">
        <f>Gegenstände!I69</f>
        <v>32</v>
      </c>
      <c r="F69" s="3">
        <f>VLOOKUP(Gegenstände!E69,Berechnungen!$E$87:$F$115,2,FALSE)</f>
        <v>32</v>
      </c>
      <c r="G69" s="3">
        <f>Gegenstände!H69</f>
        <v>1</v>
      </c>
      <c r="H69" s="3">
        <f>Gegenstände!G69</f>
        <v>0</v>
      </c>
      <c r="I69" s="3">
        <f>Gegenstände!D69</f>
        <v>0</v>
      </c>
      <c r="J69" s="168">
        <f>ROUND(Gegenstände!N69,0)</f>
        <v>80</v>
      </c>
      <c r="K69" s="3">
        <f>Gegenstände!J69</f>
        <v>0</v>
      </c>
      <c r="L69" s="3">
        <f>Gegenstände!L69</f>
        <v>1</v>
      </c>
      <c r="M69" s="3">
        <f>Gegenstände!Z69</f>
        <v>0</v>
      </c>
      <c r="N69" s="783">
        <f>(Gegenstände!Y69*10)</f>
        <v>0</v>
      </c>
      <c r="O69" s="783">
        <f>(Gegenstände!W69*10)</f>
        <v>0</v>
      </c>
      <c r="P69" s="783">
        <f>Gegenstände!AA69*10</f>
        <v>0</v>
      </c>
      <c r="Q69" s="783">
        <f>Gegenstände!O69</f>
        <v>0</v>
      </c>
      <c r="R69" s="168">
        <f>Gegenstände!S69</f>
        <v>0</v>
      </c>
      <c r="S69" s="168">
        <f>Gegenstände!T69</f>
        <v>0</v>
      </c>
      <c r="T69" s="783">
        <f>Gegenstände!AC69</f>
        <v>0</v>
      </c>
      <c r="U69" s="783">
        <f>Gegenstände!AE69</f>
        <v>0</v>
      </c>
      <c r="V69" s="783">
        <f>Gegenstände!AD69</f>
        <v>0</v>
      </c>
      <c r="W69" s="783">
        <f>Gegenstände!AF69</f>
        <v>0</v>
      </c>
      <c r="AB69" s="3">
        <f>Gegenstände!M69</f>
        <v>1</v>
      </c>
      <c r="AC69" s="3">
        <f>Gegenstände!AB69</f>
        <v>0</v>
      </c>
      <c r="AD69" s="3">
        <f>Gegenstände!F69</f>
        <v>0</v>
      </c>
    </row>
    <row r="70" spans="1:30" x14ac:dyDescent="0.2">
      <c r="A70" s="3">
        <f>Gegenstände!A70</f>
        <v>102</v>
      </c>
      <c r="B70" s="3" t="str">
        <f>Gegenstände!B70</f>
        <v>Schleifstein</v>
      </c>
      <c r="D70" s="3">
        <f>Gegenstände!K70</f>
        <v>100</v>
      </c>
      <c r="E70" s="3">
        <f>Gegenstände!I70</f>
        <v>32</v>
      </c>
      <c r="F70" s="3">
        <f>VLOOKUP(Gegenstände!E70,Berechnungen!$E$87:$F$115,2,FALSE)</f>
        <v>32</v>
      </c>
      <c r="G70" s="3">
        <f>Gegenstände!H70</f>
        <v>1</v>
      </c>
      <c r="H70" s="3">
        <f>Gegenstände!G70</f>
        <v>0</v>
      </c>
      <c r="I70" s="3">
        <f>Gegenstände!D70</f>
        <v>10</v>
      </c>
      <c r="J70" s="168">
        <f>ROUND(Gegenstände!N70,0)</f>
        <v>200</v>
      </c>
      <c r="K70" s="3">
        <f>Gegenstände!J70</f>
        <v>0</v>
      </c>
      <c r="L70" s="3">
        <f>Gegenstände!L70</f>
        <v>1</v>
      </c>
      <c r="M70" s="3">
        <f>Gegenstände!Z70</f>
        <v>0</v>
      </c>
      <c r="N70" s="783">
        <f>(Gegenstände!Y70*10)</f>
        <v>0</v>
      </c>
      <c r="O70" s="783">
        <f>(Gegenstände!W70*10)</f>
        <v>0</v>
      </c>
      <c r="P70" s="783">
        <f>Gegenstände!AA70*10</f>
        <v>0</v>
      </c>
      <c r="Q70" s="783">
        <f>Gegenstände!O70</f>
        <v>0</v>
      </c>
      <c r="R70" s="168">
        <f>Gegenstände!S70</f>
        <v>0</v>
      </c>
      <c r="S70" s="168">
        <f>Gegenstände!T70</f>
        <v>0</v>
      </c>
      <c r="T70" s="783">
        <f>Gegenstände!AC70</f>
        <v>0</v>
      </c>
      <c r="U70" s="783">
        <f>Gegenstände!AE70</f>
        <v>0</v>
      </c>
      <c r="V70" s="783">
        <f>Gegenstände!AD70</f>
        <v>0</v>
      </c>
      <c r="W70" s="783">
        <f>Gegenstände!AF70</f>
        <v>0</v>
      </c>
      <c r="AB70" s="3">
        <f>Gegenstände!M70</f>
        <v>3</v>
      </c>
      <c r="AC70" s="3">
        <f>Gegenstände!AB70</f>
        <v>0</v>
      </c>
      <c r="AD70" s="3">
        <f>Gegenstände!F70</f>
        <v>0</v>
      </c>
    </row>
    <row r="71" spans="1:30" x14ac:dyDescent="0.2">
      <c r="A71" s="3">
        <f>Gegenstände!A71</f>
        <v>103</v>
      </c>
      <c r="B71" s="3" t="str">
        <f>Gegenstände!B71</f>
        <v>Griffband</v>
      </c>
      <c r="D71" s="3">
        <f>Gegenstände!K71</f>
        <v>100</v>
      </c>
      <c r="E71" s="3">
        <f>Gegenstände!I71</f>
        <v>32</v>
      </c>
      <c r="F71" s="3">
        <f>VLOOKUP(Gegenstände!E71,Berechnungen!$E$87:$F$115,2,FALSE)</f>
        <v>32</v>
      </c>
      <c r="G71" s="3">
        <f>Gegenstände!H71</f>
        <v>1</v>
      </c>
      <c r="H71" s="3">
        <f>Gegenstände!G71</f>
        <v>0</v>
      </c>
      <c r="I71" s="3">
        <f>Gegenstände!D71</f>
        <v>20</v>
      </c>
      <c r="J71" s="168">
        <f>ROUND(Gegenstände!N71,0)</f>
        <v>500</v>
      </c>
      <c r="K71" s="3">
        <f>Gegenstände!J71</f>
        <v>0</v>
      </c>
      <c r="L71" s="3">
        <f>Gegenstände!L71</f>
        <v>1</v>
      </c>
      <c r="M71" s="3">
        <f>Gegenstände!Z71</f>
        <v>0</v>
      </c>
      <c r="N71" s="783">
        <f>(Gegenstände!Y71*10)</f>
        <v>0</v>
      </c>
      <c r="O71" s="783">
        <f>(Gegenstände!W71*10)</f>
        <v>0</v>
      </c>
      <c r="P71" s="783">
        <f>Gegenstände!AA71*10</f>
        <v>0</v>
      </c>
      <c r="Q71" s="783">
        <f>Gegenstände!O71</f>
        <v>0</v>
      </c>
      <c r="R71" s="168">
        <f>Gegenstände!S71</f>
        <v>0</v>
      </c>
      <c r="S71" s="168">
        <f>Gegenstände!T71</f>
        <v>0</v>
      </c>
      <c r="T71" s="783">
        <f>Gegenstände!AC71</f>
        <v>0</v>
      </c>
      <c r="U71" s="783">
        <f>Gegenstände!AE71</f>
        <v>0</v>
      </c>
      <c r="V71" s="783">
        <f>Gegenstände!AD71</f>
        <v>0</v>
      </c>
      <c r="W71" s="783">
        <f>Gegenstände!AF71</f>
        <v>0</v>
      </c>
      <c r="AB71" s="3">
        <f>Gegenstände!M71</f>
        <v>5</v>
      </c>
      <c r="AC71" s="3">
        <f>Gegenstände!AB71</f>
        <v>0</v>
      </c>
      <c r="AD71" s="3">
        <f>Gegenstände!F71</f>
        <v>0</v>
      </c>
    </row>
    <row r="72" spans="1:30" x14ac:dyDescent="0.2">
      <c r="A72" s="3">
        <f>Gegenstände!A72</f>
        <v>104</v>
      </c>
      <c r="B72" s="3" t="str">
        <f>Gegenstände!B72</f>
        <v>Bogensalbe</v>
      </c>
      <c r="D72" s="3">
        <f>Gegenstände!K72</f>
        <v>100</v>
      </c>
      <c r="E72" s="3">
        <f>Gegenstände!I72</f>
        <v>32</v>
      </c>
      <c r="F72" s="3">
        <f>VLOOKUP(Gegenstände!E72,Berechnungen!$E$87:$F$115,2,FALSE)</f>
        <v>32</v>
      </c>
      <c r="G72" s="3">
        <f>Gegenstände!H72</f>
        <v>1</v>
      </c>
      <c r="H72" s="3">
        <f>Gegenstände!G72</f>
        <v>0</v>
      </c>
      <c r="I72" s="3">
        <f>Gegenstände!D72</f>
        <v>0</v>
      </c>
      <c r="J72" s="168">
        <f>ROUND(Gegenstände!N72,0)</f>
        <v>80</v>
      </c>
      <c r="K72" s="3">
        <f>Gegenstände!J72</f>
        <v>0</v>
      </c>
      <c r="L72" s="3">
        <f>Gegenstände!L72</f>
        <v>1</v>
      </c>
      <c r="M72" s="3">
        <f>Gegenstände!Z72</f>
        <v>0</v>
      </c>
      <c r="N72" s="783">
        <f>(Gegenstände!Y72*10)</f>
        <v>0</v>
      </c>
      <c r="O72" s="783">
        <f>(Gegenstände!W72*10)</f>
        <v>0</v>
      </c>
      <c r="P72" s="783">
        <f>Gegenstände!AA72*10</f>
        <v>0</v>
      </c>
      <c r="Q72" s="783">
        <f>Gegenstände!O72</f>
        <v>0</v>
      </c>
      <c r="R72" s="168">
        <f>Gegenstände!S72</f>
        <v>0</v>
      </c>
      <c r="S72" s="168">
        <f>Gegenstände!T72</f>
        <v>0</v>
      </c>
      <c r="T72" s="783">
        <f>Gegenstände!AC72</f>
        <v>0</v>
      </c>
      <c r="U72" s="783">
        <f>Gegenstände!AE72</f>
        <v>0</v>
      </c>
      <c r="V72" s="783">
        <f>Gegenstände!AD72</f>
        <v>0</v>
      </c>
      <c r="W72" s="783">
        <f>Gegenstände!AF72</f>
        <v>0</v>
      </c>
      <c r="AB72" s="3">
        <f>Gegenstände!M72</f>
        <v>1</v>
      </c>
      <c r="AC72" s="3">
        <f>Gegenstände!AB72</f>
        <v>0</v>
      </c>
      <c r="AD72" s="3">
        <f>Gegenstände!F72</f>
        <v>0</v>
      </c>
    </row>
    <row r="73" spans="1:30" x14ac:dyDescent="0.2">
      <c r="A73" s="3">
        <f>Gegenstände!A73</f>
        <v>105</v>
      </c>
      <c r="B73" s="3" t="str">
        <f>Gegenstände!B73</f>
        <v>Elbenhaar</v>
      </c>
      <c r="D73" s="3">
        <f>Gegenstände!K73</f>
        <v>100</v>
      </c>
      <c r="E73" s="3">
        <f>Gegenstände!I73</f>
        <v>32</v>
      </c>
      <c r="F73" s="3">
        <f>VLOOKUP(Gegenstände!E73,Berechnungen!$E$87:$F$115,2,FALSE)</f>
        <v>32</v>
      </c>
      <c r="G73" s="3">
        <f>Gegenstände!H73</f>
        <v>1</v>
      </c>
      <c r="H73" s="3">
        <f>Gegenstände!G73</f>
        <v>0</v>
      </c>
      <c r="I73" s="3">
        <f>Gegenstände!D73</f>
        <v>10</v>
      </c>
      <c r="J73" s="168">
        <f>ROUND(Gegenstände!N73,0)</f>
        <v>200</v>
      </c>
      <c r="K73" s="3">
        <f>Gegenstände!J73</f>
        <v>0</v>
      </c>
      <c r="L73" s="3">
        <f>Gegenstände!L73</f>
        <v>1</v>
      </c>
      <c r="M73" s="3">
        <f>Gegenstände!Z73</f>
        <v>0</v>
      </c>
      <c r="N73" s="783">
        <f>(Gegenstände!Y73*10)</f>
        <v>0</v>
      </c>
      <c r="O73" s="783">
        <f>(Gegenstände!W73*10)</f>
        <v>0</v>
      </c>
      <c r="P73" s="783">
        <f>Gegenstände!AA73*10</f>
        <v>0</v>
      </c>
      <c r="Q73" s="783">
        <f>Gegenstände!O73</f>
        <v>0</v>
      </c>
      <c r="R73" s="168">
        <f>Gegenstände!S73</f>
        <v>0</v>
      </c>
      <c r="S73" s="168">
        <f>Gegenstände!T73</f>
        <v>0</v>
      </c>
      <c r="T73" s="783">
        <f>Gegenstände!AC73</f>
        <v>0</v>
      </c>
      <c r="U73" s="783">
        <f>Gegenstände!AE73</f>
        <v>0</v>
      </c>
      <c r="V73" s="783">
        <f>Gegenstände!AD73</f>
        <v>0</v>
      </c>
      <c r="W73" s="783">
        <f>Gegenstände!AF73</f>
        <v>0</v>
      </c>
      <c r="AB73" s="3">
        <f>Gegenstände!M73</f>
        <v>3</v>
      </c>
      <c r="AC73" s="3">
        <f>Gegenstände!AB73</f>
        <v>0</v>
      </c>
      <c r="AD73" s="3">
        <f>Gegenstände!F73</f>
        <v>0</v>
      </c>
    </row>
    <row r="74" spans="1:30" x14ac:dyDescent="0.2">
      <c r="A74" s="3">
        <f>Gegenstände!A74</f>
        <v>106</v>
      </c>
      <c r="B74" s="3" t="str">
        <f>Gegenstände!B74</f>
        <v>Wattierung</v>
      </c>
      <c r="D74" s="3">
        <f>Gegenstände!K74</f>
        <v>100</v>
      </c>
      <c r="E74" s="3">
        <f>Gegenstände!I74</f>
        <v>32</v>
      </c>
      <c r="F74" s="3">
        <f>VLOOKUP(Gegenstände!E74,Berechnungen!$E$87:$F$115,2,FALSE)</f>
        <v>32</v>
      </c>
      <c r="G74" s="3">
        <f>Gegenstände!H74</f>
        <v>1</v>
      </c>
      <c r="H74" s="3">
        <f>Gegenstände!G74</f>
        <v>0</v>
      </c>
      <c r="I74" s="3">
        <f>Gegenstände!D74</f>
        <v>10</v>
      </c>
      <c r="J74" s="168">
        <f>ROUND(Gegenstände!N74,0)</f>
        <v>200</v>
      </c>
      <c r="K74" s="3">
        <f>Gegenstände!J74</f>
        <v>0</v>
      </c>
      <c r="L74" s="3">
        <f>Gegenstände!L74</f>
        <v>1</v>
      </c>
      <c r="M74" s="3">
        <f>Gegenstände!Z74</f>
        <v>0</v>
      </c>
      <c r="N74" s="783">
        <f>(Gegenstände!Y74*10)</f>
        <v>0</v>
      </c>
      <c r="O74" s="783">
        <f>(Gegenstände!W74*10)</f>
        <v>0</v>
      </c>
      <c r="P74" s="783">
        <f>Gegenstände!AA74*10</f>
        <v>0</v>
      </c>
      <c r="Q74" s="783">
        <f>Gegenstände!O74</f>
        <v>0</v>
      </c>
      <c r="R74" s="168">
        <f>Gegenstände!S74</f>
        <v>0</v>
      </c>
      <c r="S74" s="168">
        <f>Gegenstände!T74</f>
        <v>0</v>
      </c>
      <c r="T74" s="783">
        <f>Gegenstände!AC74</f>
        <v>0</v>
      </c>
      <c r="U74" s="783">
        <f>Gegenstände!AE74</f>
        <v>0</v>
      </c>
      <c r="V74" s="783">
        <f>Gegenstände!AD74</f>
        <v>0</v>
      </c>
      <c r="W74" s="783">
        <f>Gegenstände!AF74</f>
        <v>0</v>
      </c>
      <c r="AB74" s="3">
        <f>Gegenstände!M74</f>
        <v>3</v>
      </c>
      <c r="AC74" s="3">
        <f>Gegenstände!AB74</f>
        <v>0</v>
      </c>
      <c r="AD74" s="3">
        <f>Gegenstände!F74</f>
        <v>0</v>
      </c>
    </row>
    <row r="75" spans="1:30" x14ac:dyDescent="0.2">
      <c r="A75" s="3">
        <f>Gegenstände!A75</f>
        <v>107</v>
      </c>
      <c r="B75" s="3" t="str">
        <f>Gegenstände!B75</f>
        <v>Nieten</v>
      </c>
      <c r="D75" s="3">
        <f>Gegenstände!K75</f>
        <v>100</v>
      </c>
      <c r="E75" s="3">
        <f>Gegenstände!I75</f>
        <v>32</v>
      </c>
      <c r="F75" s="3">
        <f>VLOOKUP(Gegenstände!E75,Berechnungen!$E$87:$F$115,2,FALSE)</f>
        <v>32</v>
      </c>
      <c r="G75" s="3">
        <f>Gegenstände!H75</f>
        <v>1</v>
      </c>
      <c r="H75" s="3">
        <f>Gegenstände!G75</f>
        <v>0</v>
      </c>
      <c r="I75" s="3">
        <f>Gegenstände!D75</f>
        <v>20</v>
      </c>
      <c r="J75" s="168">
        <f>ROUND(Gegenstände!N75,0)</f>
        <v>500</v>
      </c>
      <c r="K75" s="3">
        <f>Gegenstände!J75</f>
        <v>0</v>
      </c>
      <c r="L75" s="3">
        <f>Gegenstände!L75</f>
        <v>1</v>
      </c>
      <c r="M75" s="3">
        <f>Gegenstände!Z75</f>
        <v>0</v>
      </c>
      <c r="N75" s="783">
        <f>(Gegenstände!Y75*10)</f>
        <v>0</v>
      </c>
      <c r="O75" s="783">
        <f>(Gegenstände!W75*10)</f>
        <v>0</v>
      </c>
      <c r="P75" s="783">
        <f>Gegenstände!AA75*10</f>
        <v>0</v>
      </c>
      <c r="Q75" s="783">
        <f>Gegenstände!O75</f>
        <v>0</v>
      </c>
      <c r="R75" s="168">
        <f>Gegenstände!S75</f>
        <v>0</v>
      </c>
      <c r="S75" s="168">
        <f>Gegenstände!T75</f>
        <v>0</v>
      </c>
      <c r="T75" s="783">
        <f>Gegenstände!AC75</f>
        <v>0</v>
      </c>
      <c r="U75" s="783">
        <f>Gegenstände!AE75</f>
        <v>0</v>
      </c>
      <c r="V75" s="783">
        <f>Gegenstände!AD75</f>
        <v>0</v>
      </c>
      <c r="W75" s="783">
        <f>Gegenstände!AF75</f>
        <v>0</v>
      </c>
      <c r="AB75" s="3">
        <f>Gegenstände!M75</f>
        <v>5</v>
      </c>
      <c r="AC75" s="3">
        <f>Gegenstände!AB75</f>
        <v>0</v>
      </c>
      <c r="AD75" s="3">
        <f>Gegenstände!F75</f>
        <v>0</v>
      </c>
    </row>
    <row r="76" spans="1:30" x14ac:dyDescent="0.2">
      <c r="A76" s="3">
        <f>Gegenstände!A76</f>
        <v>108</v>
      </c>
      <c r="B76" s="3" t="str">
        <f>Gegenstände!B76</f>
        <v>Harz</v>
      </c>
      <c r="D76" s="3">
        <f>Gegenstände!K76</f>
        <v>100</v>
      </c>
      <c r="E76" s="3">
        <f>Gegenstände!I76</f>
        <v>32</v>
      </c>
      <c r="F76" s="3">
        <f>VLOOKUP(Gegenstände!E76,Berechnungen!$E$87:$F$115,2,FALSE)</f>
        <v>32</v>
      </c>
      <c r="G76" s="3">
        <f>Gegenstände!H76</f>
        <v>1</v>
      </c>
      <c r="H76" s="3">
        <f>Gegenstände!G76</f>
        <v>0</v>
      </c>
      <c r="I76" s="3">
        <f>Gegenstände!D76</f>
        <v>0</v>
      </c>
      <c r="J76" s="168">
        <f>ROUND(Gegenstände!N76,0)</f>
        <v>100</v>
      </c>
      <c r="K76" s="3">
        <f>Gegenstände!J76</f>
        <v>0</v>
      </c>
      <c r="L76" s="3">
        <f>Gegenstände!L76</f>
        <v>1</v>
      </c>
      <c r="M76" s="3">
        <f>Gegenstände!Z76</f>
        <v>0</v>
      </c>
      <c r="N76" s="783">
        <f>(Gegenstände!Y76*10)</f>
        <v>0</v>
      </c>
      <c r="O76" s="783">
        <f>(Gegenstände!W76*10)</f>
        <v>0</v>
      </c>
      <c r="P76" s="783">
        <f>Gegenstände!AA76*10</f>
        <v>0</v>
      </c>
      <c r="Q76" s="783">
        <f>Gegenstände!O76</f>
        <v>0</v>
      </c>
      <c r="R76" s="168">
        <f>Gegenstände!S76</f>
        <v>0</v>
      </c>
      <c r="S76" s="168">
        <f>Gegenstände!T76</f>
        <v>0</v>
      </c>
      <c r="T76" s="783">
        <f>Gegenstände!AC76</f>
        <v>0</v>
      </c>
      <c r="U76" s="783">
        <f>Gegenstände!AE76</f>
        <v>0</v>
      </c>
      <c r="V76" s="783">
        <f>Gegenstände!AD76</f>
        <v>0</v>
      </c>
      <c r="W76" s="783">
        <f>Gegenstände!AF76</f>
        <v>0</v>
      </c>
      <c r="AB76" s="3">
        <f>Gegenstände!M76</f>
        <v>1</v>
      </c>
      <c r="AC76" s="3">
        <f>Gegenstände!AB76</f>
        <v>0</v>
      </c>
      <c r="AD76" s="3">
        <f>Gegenstände!F76</f>
        <v>0</v>
      </c>
    </row>
    <row r="77" spans="1:30" x14ac:dyDescent="0.2">
      <c r="A77" s="3">
        <f>Gegenstände!A77</f>
        <v>109</v>
      </c>
      <c r="B77" s="3" t="str">
        <f>Gegenstände!B77</f>
        <v>Granitharz</v>
      </c>
      <c r="D77" s="3">
        <f>Gegenstände!K77</f>
        <v>100</v>
      </c>
      <c r="E77" s="3">
        <f>Gegenstände!I77</f>
        <v>32</v>
      </c>
      <c r="F77" s="3">
        <f>VLOOKUP(Gegenstände!E77,Berechnungen!$E$87:$F$115,2,FALSE)</f>
        <v>32</v>
      </c>
      <c r="G77" s="3">
        <f>Gegenstände!H77</f>
        <v>1</v>
      </c>
      <c r="H77" s="3">
        <f>Gegenstände!G77</f>
        <v>0</v>
      </c>
      <c r="I77" s="3">
        <f>Gegenstände!D77</f>
        <v>10</v>
      </c>
      <c r="J77" s="168">
        <f>ROUND(Gegenstände!N77,0)</f>
        <v>150</v>
      </c>
      <c r="K77" s="3">
        <f>Gegenstände!J77</f>
        <v>0</v>
      </c>
      <c r="L77" s="3">
        <f>Gegenstände!L77</f>
        <v>1</v>
      </c>
      <c r="M77" s="3">
        <f>Gegenstände!Z77</f>
        <v>0</v>
      </c>
      <c r="N77" s="783">
        <f>(Gegenstände!Y77*10)</f>
        <v>0</v>
      </c>
      <c r="O77" s="783">
        <f>(Gegenstände!W77*10)</f>
        <v>0</v>
      </c>
      <c r="P77" s="783">
        <f>Gegenstände!AA77*10</f>
        <v>0</v>
      </c>
      <c r="Q77" s="783">
        <f>Gegenstände!O77</f>
        <v>0</v>
      </c>
      <c r="R77" s="168">
        <f>Gegenstände!S77</f>
        <v>0</v>
      </c>
      <c r="S77" s="168">
        <f>Gegenstände!T77</f>
        <v>0</v>
      </c>
      <c r="T77" s="783">
        <f>Gegenstände!AC77</f>
        <v>0</v>
      </c>
      <c r="U77" s="783">
        <f>Gegenstände!AE77</f>
        <v>0</v>
      </c>
      <c r="V77" s="783">
        <f>Gegenstände!AD77</f>
        <v>0</v>
      </c>
      <c r="W77" s="783">
        <f>Gegenstände!AF77</f>
        <v>0</v>
      </c>
      <c r="AB77" s="3">
        <f>Gegenstände!M77</f>
        <v>3</v>
      </c>
      <c r="AC77" s="3">
        <f>Gegenstände!AB77</f>
        <v>0</v>
      </c>
      <c r="AD77" s="3">
        <f>Gegenstände!F77</f>
        <v>0</v>
      </c>
    </row>
    <row r="78" spans="1:30" x14ac:dyDescent="0.2">
      <c r="A78" s="3">
        <f>Gegenstände!A78</f>
        <v>110</v>
      </c>
      <c r="B78" s="3" t="str">
        <f>Gegenstände!B78</f>
        <v>Zwirn</v>
      </c>
      <c r="D78" s="3">
        <f>Gegenstände!K78</f>
        <v>100</v>
      </c>
      <c r="E78" s="3">
        <f>Gegenstände!I78</f>
        <v>32</v>
      </c>
      <c r="F78" s="3">
        <f>VLOOKUP(Gegenstände!E78,Berechnungen!$E$87:$F$115,2,FALSE)</f>
        <v>32</v>
      </c>
      <c r="G78" s="3">
        <f>Gegenstände!H78</f>
        <v>1</v>
      </c>
      <c r="H78" s="3">
        <f>Gegenstände!G78</f>
        <v>0</v>
      </c>
      <c r="I78" s="3">
        <f>Gegenstände!D78</f>
        <v>0</v>
      </c>
      <c r="J78" s="168">
        <f>ROUND(Gegenstände!N78,0)</f>
        <v>100</v>
      </c>
      <c r="K78" s="3">
        <f>Gegenstände!J78</f>
        <v>0</v>
      </c>
      <c r="L78" s="3">
        <f>Gegenstände!L78</f>
        <v>1</v>
      </c>
      <c r="M78" s="3">
        <f>Gegenstände!Z78</f>
        <v>0</v>
      </c>
      <c r="N78" s="783">
        <f>(Gegenstände!Y78*10)</f>
        <v>0</v>
      </c>
      <c r="O78" s="783">
        <f>(Gegenstände!W78*10)</f>
        <v>0</v>
      </c>
      <c r="P78" s="783">
        <f>Gegenstände!AA78*10</f>
        <v>0</v>
      </c>
      <c r="Q78" s="783">
        <f>Gegenstände!O78</f>
        <v>0</v>
      </c>
      <c r="R78" s="168">
        <f>Gegenstände!S78</f>
        <v>0</v>
      </c>
      <c r="S78" s="168">
        <f>Gegenstände!T78</f>
        <v>0</v>
      </c>
      <c r="T78" s="783">
        <f>Gegenstände!AC78</f>
        <v>0</v>
      </c>
      <c r="U78" s="783">
        <f>Gegenstände!AE78</f>
        <v>0</v>
      </c>
      <c r="V78" s="783">
        <f>Gegenstände!AD78</f>
        <v>0</v>
      </c>
      <c r="W78" s="783">
        <f>Gegenstände!AF78</f>
        <v>0</v>
      </c>
      <c r="AB78" s="3">
        <f>Gegenstände!M78</f>
        <v>1</v>
      </c>
      <c r="AC78" s="3">
        <f>Gegenstände!AB78</f>
        <v>0</v>
      </c>
      <c r="AD78" s="3">
        <f>Gegenstände!F78</f>
        <v>0</v>
      </c>
    </row>
    <row r="79" spans="1:30" x14ac:dyDescent="0.2">
      <c r="A79" s="3">
        <f>Gegenstände!A79</f>
        <v>111</v>
      </c>
      <c r="B79" s="3" t="str">
        <f>Gegenstände!B79</f>
        <v>Glaszwirn</v>
      </c>
      <c r="D79" s="3">
        <f>Gegenstände!K79</f>
        <v>100</v>
      </c>
      <c r="E79" s="3">
        <f>Gegenstände!I79</f>
        <v>32</v>
      </c>
      <c r="F79" s="3">
        <f>VLOOKUP(Gegenstände!E79,Berechnungen!$E$87:$F$115,2,FALSE)</f>
        <v>32</v>
      </c>
      <c r="G79" s="3">
        <f>Gegenstände!H79</f>
        <v>1</v>
      </c>
      <c r="H79" s="3">
        <f>Gegenstände!G79</f>
        <v>0</v>
      </c>
      <c r="I79" s="3">
        <f>Gegenstände!D79</f>
        <v>10</v>
      </c>
      <c r="J79" s="168">
        <f>ROUND(Gegenstände!N79,0)</f>
        <v>150</v>
      </c>
      <c r="K79" s="3">
        <f>Gegenstände!J79</f>
        <v>0</v>
      </c>
      <c r="L79" s="3">
        <f>Gegenstände!L79</f>
        <v>1</v>
      </c>
      <c r="M79" s="3">
        <f>Gegenstände!Z79</f>
        <v>0</v>
      </c>
      <c r="N79" s="783">
        <f>(Gegenstände!Y79*10)</f>
        <v>0</v>
      </c>
      <c r="O79" s="783">
        <f>(Gegenstände!W79*10)</f>
        <v>0</v>
      </c>
      <c r="P79" s="783">
        <f>Gegenstände!AA79*10</f>
        <v>0</v>
      </c>
      <c r="Q79" s="783">
        <f>Gegenstände!O79</f>
        <v>0</v>
      </c>
      <c r="R79" s="168">
        <f>Gegenstände!S79</f>
        <v>0</v>
      </c>
      <c r="S79" s="168">
        <f>Gegenstände!T79</f>
        <v>0</v>
      </c>
      <c r="T79" s="783">
        <f>Gegenstände!AC79</f>
        <v>0</v>
      </c>
      <c r="U79" s="783">
        <f>Gegenstände!AE79</f>
        <v>0</v>
      </c>
      <c r="V79" s="783">
        <f>Gegenstände!AD79</f>
        <v>0</v>
      </c>
      <c r="W79" s="783">
        <f>Gegenstände!AF79</f>
        <v>0</v>
      </c>
      <c r="AB79" s="3">
        <f>Gegenstände!M79</f>
        <v>3</v>
      </c>
      <c r="AC79" s="3">
        <f>Gegenstände!AB79</f>
        <v>0</v>
      </c>
      <c r="AD79" s="3">
        <f>Gegenstände!F79</f>
        <v>0</v>
      </c>
    </row>
    <row r="80" spans="1:30" x14ac:dyDescent="0.2">
      <c r="A80" s="3">
        <f>Gegenstände!A80</f>
        <v>112</v>
      </c>
      <c r="B80" s="3" t="str">
        <f>Gegenstände!B80</f>
        <v>Steinkohle</v>
      </c>
      <c r="D80" s="3">
        <f>Gegenstände!K80</f>
        <v>100</v>
      </c>
      <c r="E80" s="3">
        <f>Gegenstände!I80</f>
        <v>32</v>
      </c>
      <c r="F80" s="3">
        <f>VLOOKUP(Gegenstände!E80,Berechnungen!$E$87:$F$115,2,FALSE)</f>
        <v>32</v>
      </c>
      <c r="G80" s="3">
        <f>Gegenstände!H80</f>
        <v>1</v>
      </c>
      <c r="H80" s="3">
        <f>Gegenstände!G80</f>
        <v>0</v>
      </c>
      <c r="I80" s="3">
        <f>Gegenstände!D80</f>
        <v>0</v>
      </c>
      <c r="J80" s="168">
        <f>ROUND(Gegenstände!N80,0)</f>
        <v>100</v>
      </c>
      <c r="K80" s="3">
        <f>Gegenstände!J80</f>
        <v>0</v>
      </c>
      <c r="L80" s="3">
        <f>Gegenstände!L80</f>
        <v>1</v>
      </c>
      <c r="M80" s="3">
        <f>Gegenstände!Z80</f>
        <v>0</v>
      </c>
      <c r="N80" s="783">
        <f>(Gegenstände!Y80*10)</f>
        <v>0</v>
      </c>
      <c r="O80" s="783">
        <f>(Gegenstände!W80*10)</f>
        <v>0</v>
      </c>
      <c r="P80" s="783">
        <f>Gegenstände!AA80*10</f>
        <v>0</v>
      </c>
      <c r="Q80" s="783">
        <f>Gegenstände!O80</f>
        <v>0</v>
      </c>
      <c r="R80" s="168">
        <f>Gegenstände!S80</f>
        <v>0</v>
      </c>
      <c r="S80" s="168">
        <f>Gegenstände!T80</f>
        <v>0</v>
      </c>
      <c r="T80" s="783">
        <f>Gegenstände!AC80</f>
        <v>0</v>
      </c>
      <c r="U80" s="783">
        <f>Gegenstände!AE80</f>
        <v>0</v>
      </c>
      <c r="V80" s="783">
        <f>Gegenstände!AD80</f>
        <v>0</v>
      </c>
      <c r="W80" s="783">
        <f>Gegenstände!AF80</f>
        <v>0</v>
      </c>
      <c r="AB80" s="3">
        <f>Gegenstände!M80</f>
        <v>1</v>
      </c>
      <c r="AC80" s="3">
        <f>Gegenstände!AB80</f>
        <v>0</v>
      </c>
      <c r="AD80" s="3">
        <f>Gegenstände!F80</f>
        <v>0</v>
      </c>
    </row>
    <row r="81" spans="1:30" x14ac:dyDescent="0.2">
      <c r="A81" s="3">
        <f>Gegenstände!A81</f>
        <v>113</v>
      </c>
      <c r="B81" s="3" t="str">
        <f>Gegenstände!B81</f>
        <v>Drachenzunder</v>
      </c>
      <c r="D81" s="3">
        <f>Gegenstände!K81</f>
        <v>100</v>
      </c>
      <c r="E81" s="3">
        <f>Gegenstände!I81</f>
        <v>32</v>
      </c>
      <c r="F81" s="3">
        <f>VLOOKUP(Gegenstände!E81,Berechnungen!$E$87:$F$115,2,FALSE)</f>
        <v>32</v>
      </c>
      <c r="G81" s="3">
        <f>Gegenstände!H81</f>
        <v>1</v>
      </c>
      <c r="H81" s="3">
        <f>Gegenstände!G81</f>
        <v>0</v>
      </c>
      <c r="I81" s="3">
        <f>Gegenstände!D81</f>
        <v>10</v>
      </c>
      <c r="J81" s="168">
        <f>ROUND(Gegenstände!N81,0)</f>
        <v>150</v>
      </c>
      <c r="K81" s="3">
        <f>Gegenstände!J81</f>
        <v>0</v>
      </c>
      <c r="L81" s="3">
        <f>Gegenstände!L81</f>
        <v>1</v>
      </c>
      <c r="M81" s="3">
        <f>Gegenstände!Z81</f>
        <v>0</v>
      </c>
      <c r="N81" s="783">
        <f>(Gegenstände!Y81*10)</f>
        <v>0</v>
      </c>
      <c r="O81" s="783">
        <f>(Gegenstände!W81*10)</f>
        <v>0</v>
      </c>
      <c r="P81" s="783">
        <f>Gegenstände!AA81*10</f>
        <v>0</v>
      </c>
      <c r="Q81" s="783">
        <f>Gegenstände!O81</f>
        <v>0</v>
      </c>
      <c r="R81" s="168">
        <f>Gegenstände!S81</f>
        <v>0</v>
      </c>
      <c r="S81" s="168">
        <f>Gegenstände!T81</f>
        <v>0</v>
      </c>
      <c r="T81" s="783">
        <f>Gegenstände!AC81</f>
        <v>0</v>
      </c>
      <c r="U81" s="783">
        <f>Gegenstände!AE81</f>
        <v>0</v>
      </c>
      <c r="V81" s="783">
        <f>Gegenstände!AD81</f>
        <v>0</v>
      </c>
      <c r="W81" s="783">
        <f>Gegenstände!AF81</f>
        <v>0</v>
      </c>
      <c r="AB81" s="3">
        <f>Gegenstände!M81</f>
        <v>3</v>
      </c>
      <c r="AC81" s="3">
        <f>Gegenstände!AB81</f>
        <v>0</v>
      </c>
      <c r="AD81" s="3">
        <f>Gegenstände!F81</f>
        <v>0</v>
      </c>
    </row>
    <row r="82" spans="1:30" x14ac:dyDescent="0.2">
      <c r="A82" s="3">
        <f>Gegenstände!A82</f>
        <v>114</v>
      </c>
      <c r="B82" s="3" t="str">
        <f>Gegenstände!B82</f>
        <v>Nähgarn</v>
      </c>
      <c r="D82" s="3">
        <f>Gegenstände!K82</f>
        <v>100</v>
      </c>
      <c r="E82" s="3">
        <f>Gegenstände!I82</f>
        <v>32</v>
      </c>
      <c r="F82" s="3">
        <f>VLOOKUP(Gegenstände!E82,Berechnungen!$E$87:$F$115,2,FALSE)</f>
        <v>32</v>
      </c>
      <c r="G82" s="3">
        <f>Gegenstände!H82</f>
        <v>1</v>
      </c>
      <c r="H82" s="3">
        <f>Gegenstände!G82</f>
        <v>0</v>
      </c>
      <c r="I82" s="3">
        <f>Gegenstände!D82</f>
        <v>0</v>
      </c>
      <c r="J82" s="168">
        <f>ROUND(Gegenstände!N82,0)</f>
        <v>80</v>
      </c>
      <c r="K82" s="3">
        <f>Gegenstände!J82</f>
        <v>0</v>
      </c>
      <c r="L82" s="3">
        <f>Gegenstände!L82</f>
        <v>1</v>
      </c>
      <c r="M82" s="3">
        <f>Gegenstände!Z82</f>
        <v>0</v>
      </c>
      <c r="N82" s="783">
        <f>(Gegenstände!Y82*10)</f>
        <v>0</v>
      </c>
      <c r="O82" s="783">
        <f>(Gegenstände!W82*10)</f>
        <v>0</v>
      </c>
      <c r="P82" s="783">
        <f>Gegenstände!AA82*10</f>
        <v>0</v>
      </c>
      <c r="Q82" s="783">
        <f>Gegenstände!O82</f>
        <v>0</v>
      </c>
      <c r="R82" s="168">
        <f>Gegenstände!S82</f>
        <v>0</v>
      </c>
      <c r="S82" s="168">
        <f>Gegenstände!T82</f>
        <v>0</v>
      </c>
      <c r="T82" s="783">
        <f>Gegenstände!AC82</f>
        <v>0</v>
      </c>
      <c r="U82" s="783">
        <f>Gegenstände!AE82</f>
        <v>0</v>
      </c>
      <c r="V82" s="783">
        <f>Gegenstände!AD82</f>
        <v>0</v>
      </c>
      <c r="W82" s="783">
        <f>Gegenstände!AF82</f>
        <v>0</v>
      </c>
      <c r="AB82" s="3">
        <f>Gegenstände!M82</f>
        <v>1</v>
      </c>
      <c r="AC82" s="3">
        <f>Gegenstände!AB82</f>
        <v>0</v>
      </c>
      <c r="AD82" s="3">
        <f>Gegenstände!F82</f>
        <v>0</v>
      </c>
    </row>
    <row r="83" spans="1:30" x14ac:dyDescent="0.2">
      <c r="A83" s="3">
        <f>Gegenstände!A83</f>
        <v>115</v>
      </c>
      <c r="B83" s="3" t="str">
        <f>Gegenstände!B83</f>
        <v>Schutzpolster</v>
      </c>
      <c r="D83" s="3">
        <f>Gegenstände!K83</f>
        <v>100</v>
      </c>
      <c r="E83" s="3">
        <f>Gegenstände!I83</f>
        <v>32</v>
      </c>
      <c r="F83" s="3">
        <f>VLOOKUP(Gegenstände!E83,Berechnungen!$E$87:$F$115,2,FALSE)</f>
        <v>32</v>
      </c>
      <c r="G83" s="3">
        <f>Gegenstände!H83</f>
        <v>1</v>
      </c>
      <c r="H83" s="3">
        <f>Gegenstände!G83</f>
        <v>0</v>
      </c>
      <c r="I83" s="3">
        <f>Gegenstände!D83</f>
        <v>10</v>
      </c>
      <c r="J83" s="168">
        <f>ROUND(Gegenstände!N83,0)</f>
        <v>200</v>
      </c>
      <c r="K83" s="3">
        <f>Gegenstände!J83</f>
        <v>0</v>
      </c>
      <c r="L83" s="3">
        <f>Gegenstände!L83</f>
        <v>1</v>
      </c>
      <c r="M83" s="3">
        <f>Gegenstände!Z83</f>
        <v>0</v>
      </c>
      <c r="N83" s="783">
        <f>(Gegenstände!Y83*10)</f>
        <v>0</v>
      </c>
      <c r="O83" s="783">
        <f>(Gegenstände!W83*10)</f>
        <v>0</v>
      </c>
      <c r="P83" s="783">
        <f>Gegenstände!AA83*10</f>
        <v>0</v>
      </c>
      <c r="Q83" s="783">
        <f>Gegenstände!O83</f>
        <v>0</v>
      </c>
      <c r="R83" s="168">
        <f>Gegenstände!S83</f>
        <v>0</v>
      </c>
      <c r="S83" s="168">
        <f>Gegenstände!T83</f>
        <v>0</v>
      </c>
      <c r="T83" s="783">
        <f>Gegenstände!AC83</f>
        <v>0</v>
      </c>
      <c r="U83" s="783">
        <f>Gegenstände!AE83</f>
        <v>0</v>
      </c>
      <c r="V83" s="783">
        <f>Gegenstände!AD83</f>
        <v>0</v>
      </c>
      <c r="W83" s="783">
        <f>Gegenstände!AF83</f>
        <v>0</v>
      </c>
      <c r="AB83" s="3">
        <f>Gegenstände!M83</f>
        <v>3</v>
      </c>
      <c r="AC83" s="3">
        <f>Gegenstände!AB83</f>
        <v>0</v>
      </c>
      <c r="AD83" s="3">
        <f>Gegenstände!F83</f>
        <v>0</v>
      </c>
    </row>
    <row r="84" spans="1:30" x14ac:dyDescent="0.2">
      <c r="A84" s="3">
        <f>Gegenstände!A84</f>
        <v>116</v>
      </c>
      <c r="B84" s="3" t="str">
        <f>Gegenstände!B84</f>
        <v>Vulkandraht</v>
      </c>
      <c r="D84" s="3">
        <f>Gegenstände!K84</f>
        <v>100</v>
      </c>
      <c r="E84" s="3">
        <f>Gegenstände!I84</f>
        <v>32</v>
      </c>
      <c r="F84" s="3">
        <f>VLOOKUP(Gegenstände!E84,Berechnungen!$E$87:$F$115,2,FALSE)</f>
        <v>32</v>
      </c>
      <c r="G84" s="3">
        <f>Gegenstände!H84</f>
        <v>1</v>
      </c>
      <c r="H84" s="3">
        <f>Gegenstände!G84</f>
        <v>0</v>
      </c>
      <c r="I84" s="3">
        <f>Gegenstände!D84</f>
        <v>20</v>
      </c>
      <c r="J84" s="168">
        <f>ROUND(Gegenstände!N84,0)</f>
        <v>500</v>
      </c>
      <c r="K84" s="3">
        <f>Gegenstände!J84</f>
        <v>0</v>
      </c>
      <c r="L84" s="3">
        <f>Gegenstände!L84</f>
        <v>1</v>
      </c>
      <c r="M84" s="3">
        <f>Gegenstände!Z84</f>
        <v>0</v>
      </c>
      <c r="N84" s="783">
        <f>(Gegenstände!Y84*10)</f>
        <v>0</v>
      </c>
      <c r="O84" s="783">
        <f>(Gegenstände!W84*10)</f>
        <v>0</v>
      </c>
      <c r="P84" s="783">
        <f>Gegenstände!AA84*10</f>
        <v>0</v>
      </c>
      <c r="Q84" s="783">
        <f>Gegenstände!O84</f>
        <v>0</v>
      </c>
      <c r="R84" s="168">
        <f>Gegenstände!S84</f>
        <v>0</v>
      </c>
      <c r="S84" s="168">
        <f>Gegenstände!T84</f>
        <v>0</v>
      </c>
      <c r="T84" s="783">
        <f>Gegenstände!AC84</f>
        <v>0</v>
      </c>
      <c r="U84" s="783">
        <f>Gegenstände!AE84</f>
        <v>0</v>
      </c>
      <c r="V84" s="783">
        <f>Gegenstände!AD84</f>
        <v>0</v>
      </c>
      <c r="W84" s="783">
        <f>Gegenstände!AF84</f>
        <v>0</v>
      </c>
      <c r="AB84" s="3">
        <f>Gegenstände!M84</f>
        <v>5</v>
      </c>
      <c r="AC84" s="3">
        <f>Gegenstände!AB84</f>
        <v>0</v>
      </c>
      <c r="AD84" s="3">
        <f>Gegenstände!F84</f>
        <v>0</v>
      </c>
    </row>
    <row r="85" spans="1:30" x14ac:dyDescent="0.2">
      <c r="A85" s="3">
        <f>Gegenstände!A85</f>
        <v>117</v>
      </c>
      <c r="B85" s="3" t="str">
        <f>Gegenstände!B85</f>
        <v>Lederfett</v>
      </c>
      <c r="D85" s="3">
        <f>Gegenstände!K85</f>
        <v>100</v>
      </c>
      <c r="E85" s="3">
        <f>Gegenstände!I85</f>
        <v>32</v>
      </c>
      <c r="F85" s="3">
        <f>VLOOKUP(Gegenstände!E85,Berechnungen!$E$87:$F$115,2,FALSE)</f>
        <v>32</v>
      </c>
      <c r="G85" s="3">
        <f>Gegenstände!H85</f>
        <v>1</v>
      </c>
      <c r="H85" s="3">
        <f>Gegenstände!G85</f>
        <v>0</v>
      </c>
      <c r="I85" s="3">
        <f>Gegenstände!D85</f>
        <v>0</v>
      </c>
      <c r="J85" s="168">
        <f>ROUND(Gegenstände!N85,0)</f>
        <v>80</v>
      </c>
      <c r="K85" s="3">
        <f>Gegenstände!J85</f>
        <v>0</v>
      </c>
      <c r="L85" s="3">
        <f>Gegenstände!L85</f>
        <v>1</v>
      </c>
      <c r="M85" s="3">
        <f>Gegenstände!Z85</f>
        <v>0</v>
      </c>
      <c r="N85" s="783">
        <f>(Gegenstände!Y85*10)</f>
        <v>0</v>
      </c>
      <c r="O85" s="783">
        <f>(Gegenstände!W85*10)</f>
        <v>0</v>
      </c>
      <c r="P85" s="783">
        <f>Gegenstände!AA85*10</f>
        <v>0</v>
      </c>
      <c r="Q85" s="783">
        <f>Gegenstände!O85</f>
        <v>0</v>
      </c>
      <c r="R85" s="168">
        <f>Gegenstände!S85</f>
        <v>0</v>
      </c>
      <c r="S85" s="168">
        <f>Gegenstände!T85</f>
        <v>0</v>
      </c>
      <c r="T85" s="783">
        <f>Gegenstände!AC85</f>
        <v>0</v>
      </c>
      <c r="U85" s="783">
        <f>Gegenstände!AE85</f>
        <v>0</v>
      </c>
      <c r="V85" s="783">
        <f>Gegenstände!AD85</f>
        <v>0</v>
      </c>
      <c r="W85" s="783">
        <f>Gegenstände!AF85</f>
        <v>0</v>
      </c>
      <c r="AB85" s="3">
        <f>Gegenstände!M85</f>
        <v>1</v>
      </c>
      <c r="AC85" s="3">
        <f>Gegenstände!AB85</f>
        <v>0</v>
      </c>
      <c r="AD85" s="3">
        <f>Gegenstände!F85</f>
        <v>0</v>
      </c>
    </row>
    <row r="86" spans="1:30" x14ac:dyDescent="0.2">
      <c r="A86" s="3">
        <f>Gegenstände!A86</f>
        <v>118</v>
      </c>
      <c r="B86" s="3" t="str">
        <f>Gegenstände!B86</f>
        <v>Ledernieten</v>
      </c>
      <c r="D86" s="3">
        <f>Gegenstände!K86</f>
        <v>100</v>
      </c>
      <c r="E86" s="3">
        <f>Gegenstände!I86</f>
        <v>32</v>
      </c>
      <c r="F86" s="3">
        <f>VLOOKUP(Gegenstände!E86,Berechnungen!$E$87:$F$115,2,FALSE)</f>
        <v>32</v>
      </c>
      <c r="G86" s="3">
        <f>Gegenstände!H86</f>
        <v>1</v>
      </c>
      <c r="H86" s="3">
        <f>Gegenstände!G86</f>
        <v>0</v>
      </c>
      <c r="I86" s="3">
        <f>Gegenstände!D86</f>
        <v>10</v>
      </c>
      <c r="J86" s="168">
        <f>ROUND(Gegenstände!N86,0)</f>
        <v>200</v>
      </c>
      <c r="K86" s="3">
        <f>Gegenstände!J86</f>
        <v>0</v>
      </c>
      <c r="L86" s="3">
        <f>Gegenstände!L86</f>
        <v>1</v>
      </c>
      <c r="M86" s="3">
        <f>Gegenstände!Z86</f>
        <v>0</v>
      </c>
      <c r="N86" s="783">
        <f>(Gegenstände!Y86*10)</f>
        <v>0</v>
      </c>
      <c r="O86" s="783">
        <f>(Gegenstände!W86*10)</f>
        <v>0</v>
      </c>
      <c r="P86" s="783">
        <f>Gegenstände!AA86*10</f>
        <v>0</v>
      </c>
      <c r="Q86" s="783">
        <f>Gegenstände!O86</f>
        <v>0</v>
      </c>
      <c r="R86" s="168">
        <f>Gegenstände!S86</f>
        <v>0</v>
      </c>
      <c r="S86" s="168">
        <f>Gegenstände!T86</f>
        <v>0</v>
      </c>
      <c r="T86" s="783">
        <f>Gegenstände!AC86</f>
        <v>0</v>
      </c>
      <c r="U86" s="783">
        <f>Gegenstände!AE86</f>
        <v>0</v>
      </c>
      <c r="V86" s="783">
        <f>Gegenstände!AD86</f>
        <v>0</v>
      </c>
      <c r="W86" s="783">
        <f>Gegenstände!AF86</f>
        <v>0</v>
      </c>
      <c r="AB86" s="3">
        <f>Gegenstände!M86</f>
        <v>3</v>
      </c>
      <c r="AC86" s="3">
        <f>Gegenstände!AB86</f>
        <v>0</v>
      </c>
      <c r="AD86" s="3">
        <f>Gegenstände!F86</f>
        <v>0</v>
      </c>
    </row>
    <row r="87" spans="1:30" x14ac:dyDescent="0.2">
      <c r="A87" s="3">
        <f>Gegenstände!A87</f>
        <v>119</v>
      </c>
      <c r="B87" s="3" t="str">
        <f>Gegenstände!B87</f>
        <v>Beschläge</v>
      </c>
      <c r="D87" s="3">
        <f>Gegenstände!K87</f>
        <v>100</v>
      </c>
      <c r="E87" s="3">
        <f>Gegenstände!I87</f>
        <v>32</v>
      </c>
      <c r="F87" s="3">
        <f>VLOOKUP(Gegenstände!E87,Berechnungen!$E$87:$F$115,2,FALSE)</f>
        <v>32</v>
      </c>
      <c r="G87" s="3">
        <f>Gegenstände!H87</f>
        <v>1</v>
      </c>
      <c r="H87" s="3">
        <f>Gegenstände!G87</f>
        <v>0</v>
      </c>
      <c r="I87" s="3">
        <f>Gegenstände!D87</f>
        <v>20</v>
      </c>
      <c r="J87" s="168">
        <f>ROUND(Gegenstände!N87,0)</f>
        <v>500</v>
      </c>
      <c r="K87" s="3">
        <f>Gegenstände!J87</f>
        <v>0</v>
      </c>
      <c r="L87" s="3">
        <f>Gegenstände!L87</f>
        <v>1</v>
      </c>
      <c r="M87" s="3">
        <f>Gegenstände!Z87</f>
        <v>0</v>
      </c>
      <c r="N87" s="783">
        <f>(Gegenstände!Y87*10)</f>
        <v>0</v>
      </c>
      <c r="O87" s="783">
        <f>(Gegenstände!W87*10)</f>
        <v>0</v>
      </c>
      <c r="P87" s="783">
        <f>Gegenstände!AA87*10</f>
        <v>0</v>
      </c>
      <c r="Q87" s="783">
        <f>Gegenstände!O87</f>
        <v>0</v>
      </c>
      <c r="R87" s="168">
        <f>Gegenstände!S87</f>
        <v>0</v>
      </c>
      <c r="S87" s="168">
        <f>Gegenstände!T87</f>
        <v>0</v>
      </c>
      <c r="T87" s="783">
        <f>Gegenstände!AC87</f>
        <v>0</v>
      </c>
      <c r="U87" s="783">
        <f>Gegenstände!AE87</f>
        <v>0</v>
      </c>
      <c r="V87" s="783">
        <f>Gegenstände!AD87</f>
        <v>0</v>
      </c>
      <c r="W87" s="783">
        <f>Gegenstände!AF87</f>
        <v>0</v>
      </c>
      <c r="AB87" s="3">
        <f>Gegenstände!M87</f>
        <v>5</v>
      </c>
      <c r="AC87" s="3">
        <f>Gegenstände!AB87</f>
        <v>0</v>
      </c>
      <c r="AD87" s="3">
        <f>Gegenstände!F87</f>
        <v>0</v>
      </c>
    </row>
    <row r="88" spans="1:30" x14ac:dyDescent="0.2">
      <c r="A88" s="3">
        <f>Gegenstände!A88</f>
        <v>120</v>
      </c>
      <c r="B88" s="3" t="str">
        <f>Gegenstände!B88</f>
        <v>Magiesplitter</v>
      </c>
      <c r="D88" s="3">
        <f>Gegenstände!K88</f>
        <v>100</v>
      </c>
      <c r="E88" s="3">
        <f>Gegenstände!I88</f>
        <v>32</v>
      </c>
      <c r="F88" s="3">
        <f>VLOOKUP(Gegenstände!E88,Berechnungen!$E$87:$F$115,2,FALSE)</f>
        <v>32</v>
      </c>
      <c r="G88" s="3">
        <f>Gegenstände!H88</f>
        <v>1</v>
      </c>
      <c r="H88" s="3">
        <f>Gegenstände!G88</f>
        <v>0</v>
      </c>
      <c r="I88" s="3">
        <f>Gegenstände!D88</f>
        <v>0</v>
      </c>
      <c r="J88" s="168">
        <f>ROUND(Gegenstände!N88,0)</f>
        <v>60</v>
      </c>
      <c r="K88" s="3">
        <f>Gegenstände!J88</f>
        <v>0</v>
      </c>
      <c r="L88" s="3">
        <f>Gegenstände!L88</f>
        <v>1</v>
      </c>
      <c r="M88" s="3">
        <f>Gegenstände!Z88</f>
        <v>0</v>
      </c>
      <c r="N88" s="783">
        <f>(Gegenstände!Y88*10)</f>
        <v>0</v>
      </c>
      <c r="O88" s="783">
        <f>(Gegenstände!W88*10)</f>
        <v>0</v>
      </c>
      <c r="P88" s="783">
        <f>Gegenstände!AA88*10</f>
        <v>0</v>
      </c>
      <c r="Q88" s="783">
        <f>Gegenstände!O88</f>
        <v>0</v>
      </c>
      <c r="R88" s="168">
        <f>Gegenstände!S88</f>
        <v>0</v>
      </c>
      <c r="S88" s="168">
        <f>Gegenstände!T88</f>
        <v>0</v>
      </c>
      <c r="T88" s="783">
        <f>Gegenstände!AC88</f>
        <v>0</v>
      </c>
      <c r="U88" s="783">
        <f>Gegenstände!AE88</f>
        <v>0</v>
      </c>
      <c r="V88" s="783">
        <f>Gegenstände!AD88</f>
        <v>0</v>
      </c>
      <c r="W88" s="783">
        <f>Gegenstände!AF88</f>
        <v>0</v>
      </c>
      <c r="AB88" s="3">
        <f>Gegenstände!M88</f>
        <v>1</v>
      </c>
      <c r="AC88" s="3">
        <f>Gegenstände!AB88</f>
        <v>0</v>
      </c>
      <c r="AD88" s="3">
        <f>Gegenstände!F88</f>
        <v>0</v>
      </c>
    </row>
    <row r="89" spans="1:30" x14ac:dyDescent="0.2">
      <c r="A89" s="3">
        <f>Gegenstände!A89</f>
        <v>121</v>
      </c>
      <c r="B89" s="3" t="str">
        <f>Gegenstände!B89</f>
        <v>Phasenkraut</v>
      </c>
      <c r="D89" s="3">
        <f>Gegenstände!K89</f>
        <v>100</v>
      </c>
      <c r="E89" s="3">
        <f>Gegenstände!I89</f>
        <v>32</v>
      </c>
      <c r="F89" s="3">
        <f>VLOOKUP(Gegenstände!E89,Berechnungen!$E$87:$F$115,2,FALSE)</f>
        <v>32</v>
      </c>
      <c r="G89" s="3">
        <f>Gegenstände!H89</f>
        <v>1</v>
      </c>
      <c r="H89" s="3">
        <f>Gegenstände!G89</f>
        <v>0</v>
      </c>
      <c r="I89" s="3">
        <f>Gegenstände!D89</f>
        <v>10</v>
      </c>
      <c r="J89" s="168">
        <f>ROUND(Gegenstände!N89,0)</f>
        <v>200</v>
      </c>
      <c r="K89" s="3">
        <f>Gegenstände!J89</f>
        <v>0</v>
      </c>
      <c r="L89" s="3">
        <f>Gegenstände!L89</f>
        <v>1</v>
      </c>
      <c r="M89" s="3">
        <f>Gegenstände!Z89</f>
        <v>0</v>
      </c>
      <c r="N89" s="783">
        <f>(Gegenstände!Y89*10)</f>
        <v>0</v>
      </c>
      <c r="O89" s="783">
        <f>(Gegenstände!W89*10)</f>
        <v>0</v>
      </c>
      <c r="P89" s="783">
        <f>Gegenstände!AA89*10</f>
        <v>0</v>
      </c>
      <c r="Q89" s="783">
        <f>Gegenstände!O89</f>
        <v>0</v>
      </c>
      <c r="R89" s="168">
        <f>Gegenstände!S89</f>
        <v>0</v>
      </c>
      <c r="S89" s="168">
        <f>Gegenstände!T89</f>
        <v>0</v>
      </c>
      <c r="T89" s="783">
        <f>Gegenstände!AC89</f>
        <v>0</v>
      </c>
      <c r="U89" s="783">
        <f>Gegenstände!AE89</f>
        <v>0</v>
      </c>
      <c r="V89" s="783">
        <f>Gegenstände!AD89</f>
        <v>0</v>
      </c>
      <c r="W89" s="783">
        <f>Gegenstände!AF89</f>
        <v>0</v>
      </c>
      <c r="AB89" s="3">
        <f>Gegenstände!M89</f>
        <v>3</v>
      </c>
      <c r="AC89" s="3">
        <f>Gegenstände!AB89</f>
        <v>0</v>
      </c>
      <c r="AD89" s="3">
        <f>Gegenstände!F89</f>
        <v>0</v>
      </c>
    </row>
    <row r="90" spans="1:30" x14ac:dyDescent="0.2">
      <c r="A90" s="3">
        <f>Gegenstände!A90</f>
        <v>122</v>
      </c>
      <c r="B90" s="3" t="str">
        <f>Gegenstände!B90</f>
        <v>Erdenblut</v>
      </c>
      <c r="D90" s="3">
        <f>Gegenstände!K90</f>
        <v>100</v>
      </c>
      <c r="E90" s="3">
        <f>Gegenstände!I90</f>
        <v>32</v>
      </c>
      <c r="F90" s="3">
        <f>VLOOKUP(Gegenstände!E90,Berechnungen!$E$87:$F$115,2,FALSE)</f>
        <v>32</v>
      </c>
      <c r="G90" s="3">
        <f>Gegenstände!H90</f>
        <v>1</v>
      </c>
      <c r="H90" s="3">
        <f>Gegenstände!G90</f>
        <v>0</v>
      </c>
      <c r="I90" s="3">
        <f>Gegenstände!D90</f>
        <v>20</v>
      </c>
      <c r="J90" s="168">
        <f>ROUND(Gegenstände!N90,0)</f>
        <v>500</v>
      </c>
      <c r="K90" s="3">
        <f>Gegenstände!J90</f>
        <v>0</v>
      </c>
      <c r="L90" s="3">
        <f>Gegenstände!L90</f>
        <v>1</v>
      </c>
      <c r="M90" s="3">
        <f>Gegenstände!Z90</f>
        <v>0</v>
      </c>
      <c r="N90" s="783">
        <f>(Gegenstände!Y90*10)</f>
        <v>0</v>
      </c>
      <c r="O90" s="783">
        <f>(Gegenstände!W90*10)</f>
        <v>0</v>
      </c>
      <c r="P90" s="783">
        <f>Gegenstände!AA90*10</f>
        <v>0</v>
      </c>
      <c r="Q90" s="783">
        <f>Gegenstände!O90</f>
        <v>0</v>
      </c>
      <c r="R90" s="168">
        <f>Gegenstände!S90</f>
        <v>0</v>
      </c>
      <c r="S90" s="168">
        <f>Gegenstände!T90</f>
        <v>0</v>
      </c>
      <c r="T90" s="783">
        <f>Gegenstände!AC90</f>
        <v>0</v>
      </c>
      <c r="U90" s="783">
        <f>Gegenstände!AE90</f>
        <v>0</v>
      </c>
      <c r="V90" s="783">
        <f>Gegenstände!AD90</f>
        <v>0</v>
      </c>
      <c r="W90" s="783">
        <f>Gegenstände!AF90</f>
        <v>0</v>
      </c>
      <c r="AB90" s="3">
        <f>Gegenstände!M90</f>
        <v>5</v>
      </c>
      <c r="AC90" s="3">
        <f>Gegenstände!AB90</f>
        <v>0</v>
      </c>
      <c r="AD90" s="3">
        <f>Gegenstände!F90</f>
        <v>0</v>
      </c>
    </row>
    <row r="91" spans="1:30" x14ac:dyDescent="0.2">
      <c r="A91" s="3">
        <f>Gegenstände!A91</f>
        <v>123</v>
      </c>
      <c r="B91" s="3" t="str">
        <f>Gegenstände!B91</f>
        <v>Federn</v>
      </c>
      <c r="D91" s="3">
        <f>Gegenstände!K91</f>
        <v>100</v>
      </c>
      <c r="E91" s="3">
        <f>Gegenstände!I91</f>
        <v>32</v>
      </c>
      <c r="F91" s="3">
        <f>VLOOKUP(Gegenstände!E91,Berechnungen!$E$87:$F$115,2,FALSE)</f>
        <v>32</v>
      </c>
      <c r="G91" s="3">
        <f>Gegenstände!H91</f>
        <v>1</v>
      </c>
      <c r="H91" s="3">
        <f>Gegenstände!G91</f>
        <v>0</v>
      </c>
      <c r="I91" s="3">
        <f>Gegenstände!D91</f>
        <v>0</v>
      </c>
      <c r="J91" s="168">
        <f>ROUND(Gegenstände!N91,0)</f>
        <v>25</v>
      </c>
      <c r="K91" s="3">
        <f>Gegenstände!J91</f>
        <v>0</v>
      </c>
      <c r="L91" s="3">
        <f>Gegenstände!L91</f>
        <v>1</v>
      </c>
      <c r="M91" s="3">
        <f>Gegenstände!Z91</f>
        <v>0</v>
      </c>
      <c r="N91" s="783">
        <f>(Gegenstände!Y91*10)</f>
        <v>0</v>
      </c>
      <c r="O91" s="783">
        <f>(Gegenstände!W91*10)</f>
        <v>0</v>
      </c>
      <c r="P91" s="783">
        <f>Gegenstände!AA91*10</f>
        <v>0</v>
      </c>
      <c r="Q91" s="783">
        <f>Gegenstände!O91</f>
        <v>0</v>
      </c>
      <c r="R91" s="168">
        <f>Gegenstände!S91</f>
        <v>0</v>
      </c>
      <c r="S91" s="168">
        <f>Gegenstände!T91</f>
        <v>0</v>
      </c>
      <c r="T91" s="783">
        <f>Gegenstände!AC91</f>
        <v>0</v>
      </c>
      <c r="U91" s="783">
        <f>Gegenstände!AE91</f>
        <v>0</v>
      </c>
      <c r="V91" s="783">
        <f>Gegenstände!AD91</f>
        <v>0</v>
      </c>
      <c r="W91" s="783">
        <f>Gegenstände!AF91</f>
        <v>0</v>
      </c>
      <c r="AB91" s="3">
        <f>Gegenstände!M91</f>
        <v>1</v>
      </c>
      <c r="AC91" s="3">
        <f>Gegenstände!AB91</f>
        <v>0</v>
      </c>
      <c r="AD91" s="3">
        <f>Gegenstände!F91</f>
        <v>0</v>
      </c>
    </row>
    <row r="92" spans="1:30" x14ac:dyDescent="0.2">
      <c r="A92" s="3">
        <f>Gegenstände!A92</f>
        <v>124</v>
      </c>
      <c r="B92" s="3" t="str">
        <f>Gegenstände!B92</f>
        <v>Pfeilharz</v>
      </c>
      <c r="D92" s="3">
        <f>Gegenstände!K92</f>
        <v>100</v>
      </c>
      <c r="E92" s="3">
        <f>Gegenstände!I92</f>
        <v>32</v>
      </c>
      <c r="F92" s="3">
        <f>VLOOKUP(Gegenstände!E92,Berechnungen!$E$87:$F$115,2,FALSE)</f>
        <v>32</v>
      </c>
      <c r="G92" s="3">
        <f>Gegenstände!H92</f>
        <v>1</v>
      </c>
      <c r="H92" s="3">
        <f>Gegenstände!G92</f>
        <v>0</v>
      </c>
      <c r="I92" s="3">
        <f>Gegenstände!D92</f>
        <v>10</v>
      </c>
      <c r="J92" s="168">
        <f>ROUND(Gegenstände!N92,0)</f>
        <v>150</v>
      </c>
      <c r="K92" s="3">
        <f>Gegenstände!J92</f>
        <v>0</v>
      </c>
      <c r="L92" s="3">
        <f>Gegenstände!L92</f>
        <v>1</v>
      </c>
      <c r="M92" s="3">
        <f>Gegenstände!Z92</f>
        <v>0</v>
      </c>
      <c r="N92" s="783">
        <f>(Gegenstände!Y92*10)</f>
        <v>0</v>
      </c>
      <c r="O92" s="783">
        <f>(Gegenstände!W92*10)</f>
        <v>0</v>
      </c>
      <c r="P92" s="783">
        <f>Gegenstände!AA92*10</f>
        <v>0</v>
      </c>
      <c r="Q92" s="783">
        <f>Gegenstände!O92</f>
        <v>0</v>
      </c>
      <c r="R92" s="168">
        <f>Gegenstände!S92</f>
        <v>0</v>
      </c>
      <c r="S92" s="168">
        <f>Gegenstände!T92</f>
        <v>0</v>
      </c>
      <c r="T92" s="783">
        <f>Gegenstände!AC92</f>
        <v>0</v>
      </c>
      <c r="U92" s="783">
        <f>Gegenstände!AE92</f>
        <v>0</v>
      </c>
      <c r="V92" s="783">
        <f>Gegenstände!AD92</f>
        <v>0</v>
      </c>
      <c r="W92" s="783">
        <f>Gegenstände!AF92</f>
        <v>0</v>
      </c>
      <c r="AB92" s="3">
        <f>Gegenstände!M92</f>
        <v>3</v>
      </c>
      <c r="AC92" s="3">
        <f>Gegenstände!AB92</f>
        <v>0</v>
      </c>
      <c r="AD92" s="3">
        <f>Gegenstände!F92</f>
        <v>0</v>
      </c>
    </row>
    <row r="93" spans="1:30" x14ac:dyDescent="0.2">
      <c r="A93" s="3">
        <f>Gegenstände!A93</f>
        <v>125</v>
      </c>
      <c r="B93" s="3" t="str">
        <f>Gegenstände!B93</f>
        <v>Drachinschneiden</v>
      </c>
      <c r="D93" s="3">
        <f>Gegenstände!K93</f>
        <v>100</v>
      </c>
      <c r="E93" s="3">
        <f>Gegenstände!I93</f>
        <v>32</v>
      </c>
      <c r="F93" s="3">
        <f>VLOOKUP(Gegenstände!E93,Berechnungen!$E$87:$F$115,2,FALSE)</f>
        <v>32</v>
      </c>
      <c r="G93" s="3">
        <f>Gegenstände!H93</f>
        <v>1</v>
      </c>
      <c r="H93" s="3">
        <f>Gegenstände!G93</f>
        <v>0</v>
      </c>
      <c r="I93" s="3">
        <f>Gegenstände!D93</f>
        <v>20</v>
      </c>
      <c r="J93" s="168">
        <f>ROUND(Gegenstände!N93,0)</f>
        <v>500</v>
      </c>
      <c r="K93" s="3">
        <f>Gegenstände!J93</f>
        <v>0</v>
      </c>
      <c r="L93" s="3">
        <f>Gegenstände!L93</f>
        <v>1</v>
      </c>
      <c r="M93" s="3">
        <f>Gegenstände!Z93</f>
        <v>0</v>
      </c>
      <c r="N93" s="783">
        <f>(Gegenstände!Y93*10)</f>
        <v>0</v>
      </c>
      <c r="O93" s="783">
        <f>(Gegenstände!W93*10)</f>
        <v>0</v>
      </c>
      <c r="P93" s="783">
        <f>Gegenstände!AA93*10</f>
        <v>0</v>
      </c>
      <c r="Q93" s="783">
        <f>Gegenstände!O93</f>
        <v>0</v>
      </c>
      <c r="R93" s="168">
        <f>Gegenstände!S93</f>
        <v>0</v>
      </c>
      <c r="S93" s="168">
        <f>Gegenstände!T93</f>
        <v>0</v>
      </c>
      <c r="T93" s="783">
        <f>Gegenstände!AC93</f>
        <v>0</v>
      </c>
      <c r="U93" s="783">
        <f>Gegenstände!AE93</f>
        <v>0</v>
      </c>
      <c r="V93" s="783">
        <f>Gegenstände!AD93</f>
        <v>0</v>
      </c>
      <c r="W93" s="783">
        <f>Gegenstände!AF93</f>
        <v>0</v>
      </c>
      <c r="AB93" s="3">
        <f>Gegenstände!M93</f>
        <v>5</v>
      </c>
      <c r="AC93" s="3">
        <f>Gegenstände!AB93</f>
        <v>0</v>
      </c>
      <c r="AD93" s="3">
        <f>Gegenstände!F93</f>
        <v>0</v>
      </c>
    </row>
    <row r="94" spans="1:30" x14ac:dyDescent="0.2">
      <c r="A94" s="3">
        <f>Gegenstände!A94</f>
        <v>126</v>
      </c>
      <c r="B94" s="3" t="str">
        <f>Gegenstände!B94</f>
        <v>Salz</v>
      </c>
      <c r="D94" s="3">
        <f>Gegenstände!K94</f>
        <v>100</v>
      </c>
      <c r="E94" s="3">
        <f>Gegenstände!I94</f>
        <v>32</v>
      </c>
      <c r="F94" s="3">
        <f>VLOOKUP(Gegenstände!E94,Berechnungen!$E$87:$F$115,2,FALSE)</f>
        <v>32</v>
      </c>
      <c r="G94" s="3">
        <f>Gegenstände!H94</f>
        <v>1</v>
      </c>
      <c r="H94" s="3">
        <f>Gegenstände!G94</f>
        <v>0</v>
      </c>
      <c r="I94" s="3">
        <f>Gegenstände!D94</f>
        <v>0</v>
      </c>
      <c r="J94" s="168">
        <f>ROUND(Gegenstände!N94,0)</f>
        <v>100</v>
      </c>
      <c r="K94" s="3">
        <f>Gegenstände!J94</f>
        <v>0</v>
      </c>
      <c r="L94" s="3">
        <f>Gegenstände!L94</f>
        <v>1</v>
      </c>
      <c r="M94" s="3">
        <f>Gegenstände!Z94</f>
        <v>0</v>
      </c>
      <c r="N94" s="783">
        <f>(Gegenstände!Y94*10)</f>
        <v>0</v>
      </c>
      <c r="O94" s="783">
        <f>(Gegenstände!W94*10)</f>
        <v>0</v>
      </c>
      <c r="P94" s="783">
        <f>Gegenstände!AA94*10</f>
        <v>0</v>
      </c>
      <c r="Q94" s="783">
        <f>Gegenstände!O94</f>
        <v>0</v>
      </c>
      <c r="R94" s="168">
        <f>Gegenstände!S94</f>
        <v>0</v>
      </c>
      <c r="S94" s="168">
        <f>Gegenstände!T94</f>
        <v>0</v>
      </c>
      <c r="T94" s="783">
        <f>Gegenstände!AC94</f>
        <v>0</v>
      </c>
      <c r="U94" s="783">
        <f>Gegenstände!AE94</f>
        <v>0</v>
      </c>
      <c r="V94" s="783">
        <f>Gegenstände!AD94</f>
        <v>0</v>
      </c>
      <c r="W94" s="783">
        <f>Gegenstände!AF94</f>
        <v>0</v>
      </c>
      <c r="AB94" s="3">
        <f>Gegenstände!M94</f>
        <v>1</v>
      </c>
      <c r="AC94" s="3">
        <f>Gegenstände!AB94</f>
        <v>0</v>
      </c>
      <c r="AD94" s="3">
        <f>Gegenstände!F94</f>
        <v>0</v>
      </c>
    </row>
    <row r="95" spans="1:30" x14ac:dyDescent="0.2">
      <c r="A95" s="3">
        <f>Gegenstände!A95</f>
        <v>127</v>
      </c>
      <c r="B95" s="3" t="str">
        <f>Gegenstände!B95</f>
        <v>Kristallat</v>
      </c>
      <c r="D95" s="3">
        <f>Gegenstände!K95</f>
        <v>100</v>
      </c>
      <c r="E95" s="3">
        <f>Gegenstände!I95</f>
        <v>32</v>
      </c>
      <c r="F95" s="3">
        <f>VLOOKUP(Gegenstände!E95,Berechnungen!$E$87:$F$115,2,FALSE)</f>
        <v>32</v>
      </c>
      <c r="G95" s="3">
        <f>Gegenstände!H95</f>
        <v>1</v>
      </c>
      <c r="H95" s="3">
        <f>Gegenstände!G95</f>
        <v>0</v>
      </c>
      <c r="I95" s="3">
        <f>Gegenstände!D95</f>
        <v>10</v>
      </c>
      <c r="J95" s="168">
        <f>ROUND(Gegenstände!N95,0)</f>
        <v>150</v>
      </c>
      <c r="K95" s="3">
        <f>Gegenstände!J95</f>
        <v>0</v>
      </c>
      <c r="L95" s="3">
        <f>Gegenstände!L95</f>
        <v>1</v>
      </c>
      <c r="M95" s="3">
        <f>Gegenstände!Z95</f>
        <v>0</v>
      </c>
      <c r="N95" s="783">
        <f>(Gegenstände!Y95*10)</f>
        <v>0</v>
      </c>
      <c r="O95" s="783">
        <f>(Gegenstände!W95*10)</f>
        <v>0</v>
      </c>
      <c r="P95" s="783">
        <f>Gegenstände!AA95*10</f>
        <v>0</v>
      </c>
      <c r="Q95" s="783">
        <f>Gegenstände!O95</f>
        <v>0</v>
      </c>
      <c r="R95" s="168">
        <f>Gegenstände!S95</f>
        <v>0</v>
      </c>
      <c r="S95" s="168">
        <f>Gegenstände!T95</f>
        <v>0</v>
      </c>
      <c r="T95" s="783">
        <f>Gegenstände!AC95</f>
        <v>0</v>
      </c>
      <c r="U95" s="783">
        <f>Gegenstände!AE95</f>
        <v>0</v>
      </c>
      <c r="V95" s="783">
        <f>Gegenstände!AD95</f>
        <v>0</v>
      </c>
      <c r="W95" s="783">
        <f>Gegenstände!AF95</f>
        <v>0</v>
      </c>
      <c r="AB95" s="3">
        <f>Gegenstände!M95</f>
        <v>3</v>
      </c>
      <c r="AC95" s="3">
        <f>Gegenstände!AB95</f>
        <v>0</v>
      </c>
      <c r="AD95" s="3">
        <f>Gegenstände!F95</f>
        <v>0</v>
      </c>
    </row>
    <row r="96" spans="1:30" x14ac:dyDescent="0.2">
      <c r="A96" s="3">
        <f>Gegenstände!A96</f>
        <v>128</v>
      </c>
      <c r="B96" s="3" t="str">
        <f>Gegenstände!B96</f>
        <v>Mörtel</v>
      </c>
      <c r="D96" s="3">
        <f>Gegenstände!K96</f>
        <v>200</v>
      </c>
      <c r="E96" s="3">
        <f>Gegenstände!I96</f>
        <v>32</v>
      </c>
      <c r="F96" s="3">
        <f>VLOOKUP(Gegenstände!E96,Berechnungen!$E$87:$F$115,2,FALSE)</f>
        <v>32</v>
      </c>
      <c r="G96" s="3">
        <f>Gegenstände!H96</f>
        <v>1</v>
      </c>
      <c r="H96" s="3">
        <f>Gegenstände!G96</f>
        <v>0</v>
      </c>
      <c r="I96" s="3">
        <f>Gegenstände!D96</f>
        <v>0</v>
      </c>
      <c r="J96" s="168">
        <f>ROUND(Gegenstände!N96,0)</f>
        <v>80</v>
      </c>
      <c r="K96" s="3">
        <f>Gegenstände!J96</f>
        <v>0</v>
      </c>
      <c r="L96" s="3">
        <f>Gegenstände!L96</f>
        <v>1</v>
      </c>
      <c r="M96" s="3">
        <f>Gegenstände!Z96</f>
        <v>0</v>
      </c>
      <c r="N96" s="783">
        <f>(Gegenstände!Y96*10)</f>
        <v>0</v>
      </c>
      <c r="O96" s="783">
        <f>(Gegenstände!W96*10)</f>
        <v>0</v>
      </c>
      <c r="P96" s="783">
        <f>Gegenstände!AA96*10</f>
        <v>0</v>
      </c>
      <c r="Q96" s="783">
        <f>Gegenstände!O96</f>
        <v>0</v>
      </c>
      <c r="R96" s="168">
        <f>Gegenstände!S96</f>
        <v>0</v>
      </c>
      <c r="S96" s="168">
        <f>Gegenstände!T96</f>
        <v>0</v>
      </c>
      <c r="T96" s="783">
        <f>Gegenstände!AC96</f>
        <v>0</v>
      </c>
      <c r="U96" s="783">
        <f>Gegenstände!AE96</f>
        <v>0</v>
      </c>
      <c r="V96" s="783">
        <f>Gegenstände!AD96</f>
        <v>0</v>
      </c>
      <c r="W96" s="783">
        <f>Gegenstände!AF96</f>
        <v>0</v>
      </c>
      <c r="AB96" s="3">
        <f>Gegenstände!M96</f>
        <v>1</v>
      </c>
      <c r="AC96" s="3">
        <f>Gegenstände!AB96</f>
        <v>0</v>
      </c>
      <c r="AD96" s="3">
        <f>Gegenstände!F96</f>
        <v>0</v>
      </c>
    </row>
    <row r="97" spans="1:30" x14ac:dyDescent="0.2">
      <c r="A97" s="3">
        <f>Gegenstände!A97</f>
        <v>129</v>
      </c>
      <c r="B97" s="3" t="str">
        <f>Gegenstände!B97</f>
        <v>Edelmörtel</v>
      </c>
      <c r="D97" s="3">
        <f>Gegenstände!K97</f>
        <v>200</v>
      </c>
      <c r="E97" s="3">
        <f>Gegenstände!I97</f>
        <v>32</v>
      </c>
      <c r="F97" s="3">
        <f>VLOOKUP(Gegenstände!E97,Berechnungen!$E$87:$F$115,2,FALSE)</f>
        <v>32</v>
      </c>
      <c r="G97" s="3">
        <f>Gegenstände!H97</f>
        <v>1</v>
      </c>
      <c r="H97" s="3">
        <f>Gegenstände!G97</f>
        <v>0</v>
      </c>
      <c r="I97" s="3">
        <f>Gegenstände!D97</f>
        <v>10</v>
      </c>
      <c r="J97" s="168">
        <f>ROUND(Gegenstände!N97,0)</f>
        <v>180</v>
      </c>
      <c r="K97" s="3">
        <f>Gegenstände!J97</f>
        <v>0</v>
      </c>
      <c r="L97" s="3">
        <f>Gegenstände!L97</f>
        <v>1</v>
      </c>
      <c r="M97" s="3">
        <f>Gegenstände!Z97</f>
        <v>0</v>
      </c>
      <c r="N97" s="783">
        <f>(Gegenstände!Y97*10)</f>
        <v>0</v>
      </c>
      <c r="O97" s="783">
        <f>(Gegenstände!W97*10)</f>
        <v>0</v>
      </c>
      <c r="P97" s="783">
        <f>Gegenstände!AA97*10</f>
        <v>0</v>
      </c>
      <c r="Q97" s="783">
        <f>Gegenstände!O97</f>
        <v>0</v>
      </c>
      <c r="R97" s="168">
        <f>Gegenstände!S97</f>
        <v>0</v>
      </c>
      <c r="S97" s="168">
        <f>Gegenstände!T97</f>
        <v>0</v>
      </c>
      <c r="T97" s="783">
        <f>Gegenstände!AC97</f>
        <v>0</v>
      </c>
      <c r="U97" s="783">
        <f>Gegenstände!AE97</f>
        <v>0</v>
      </c>
      <c r="V97" s="783">
        <f>Gegenstände!AD97</f>
        <v>0</v>
      </c>
      <c r="W97" s="783">
        <f>Gegenstände!AF97</f>
        <v>0</v>
      </c>
      <c r="AB97" s="3">
        <f>Gegenstände!M97</f>
        <v>3</v>
      </c>
      <c r="AC97" s="3">
        <f>Gegenstände!AB97</f>
        <v>0</v>
      </c>
      <c r="AD97" s="3">
        <f>Gegenstände!F97</f>
        <v>0</v>
      </c>
    </row>
    <row r="98" spans="1:30" x14ac:dyDescent="0.2">
      <c r="A98" s="3">
        <f>Gegenstände!A98</f>
        <v>0</v>
      </c>
      <c r="B98" s="3" t="str">
        <f>Gegenstände!B98</f>
        <v>Bauteile</v>
      </c>
      <c r="D98" s="3">
        <f>Gegenstände!K98</f>
        <v>0</v>
      </c>
      <c r="E98" s="3">
        <f>Gegenstände!I98</f>
        <v>0</v>
      </c>
      <c r="F98" s="3" t="e">
        <f>VLOOKUP(Gegenstände!E98,Berechnungen!$E$87:$F$115,2,FALSE)</f>
        <v>#N/A</v>
      </c>
      <c r="G98" s="3">
        <f>Gegenstände!H98</f>
        <v>0</v>
      </c>
      <c r="H98" s="3">
        <f>Gegenstände!G98</f>
        <v>0</v>
      </c>
      <c r="I98" s="3">
        <f>Gegenstände!D98</f>
        <v>0</v>
      </c>
      <c r="J98" s="168">
        <f>ROUND(Gegenstände!N98,0)</f>
        <v>0</v>
      </c>
      <c r="K98" s="3">
        <f>Gegenstände!J98</f>
        <v>0</v>
      </c>
      <c r="L98" s="3">
        <f>Gegenstände!L98</f>
        <v>0</v>
      </c>
      <c r="M98" s="3">
        <f>Gegenstände!Z98</f>
        <v>0</v>
      </c>
      <c r="N98" s="783">
        <f>(Gegenstände!Y98*10)</f>
        <v>0</v>
      </c>
      <c r="O98" s="783">
        <f>(Gegenstände!W98*10)</f>
        <v>0</v>
      </c>
      <c r="P98" s="783">
        <f>Gegenstände!AA98*10</f>
        <v>0</v>
      </c>
      <c r="Q98" s="783">
        <f>Gegenstände!O98</f>
        <v>0</v>
      </c>
      <c r="R98" s="168">
        <f>Gegenstände!S98</f>
        <v>0</v>
      </c>
      <c r="S98" s="168">
        <f>Gegenstände!T98</f>
        <v>0</v>
      </c>
      <c r="T98" s="783">
        <f>Gegenstände!AC98</f>
        <v>0</v>
      </c>
      <c r="U98" s="783">
        <f>Gegenstände!AE98</f>
        <v>0</v>
      </c>
      <c r="V98" s="783">
        <f>Gegenstände!AD98</f>
        <v>0</v>
      </c>
      <c r="W98" s="783">
        <f>Gegenstände!AF98</f>
        <v>0</v>
      </c>
      <c r="AB98" s="3">
        <f>Gegenstände!M98</f>
        <v>0</v>
      </c>
      <c r="AC98" s="3">
        <f>Gegenstände!AB98</f>
        <v>0</v>
      </c>
      <c r="AD98" s="3">
        <f>Gegenstände!F98</f>
        <v>0</v>
      </c>
    </row>
    <row r="99" spans="1:30" x14ac:dyDescent="0.2">
      <c r="A99" s="3">
        <f>Gegenstände!A99</f>
        <v>201</v>
      </c>
      <c r="B99" s="3" t="str">
        <f>Gegenstände!B99</f>
        <v>Kalk-Mauerstück</v>
      </c>
      <c r="D99" s="3">
        <f>Gegenstände!K99</f>
        <v>10000</v>
      </c>
      <c r="E99" s="3">
        <f>Gegenstände!I99</f>
        <v>33</v>
      </c>
      <c r="F99" s="3">
        <f>VLOOKUP(Gegenstände!E99,Berechnungen!$E$87:$F$115,2,FALSE)</f>
        <v>33</v>
      </c>
      <c r="G99" s="3">
        <f>Gegenstände!H99</f>
        <v>1</v>
      </c>
      <c r="H99" s="3">
        <f>Gegenstände!G99</f>
        <v>0</v>
      </c>
      <c r="I99" s="3">
        <f>Gegenstände!D99</f>
        <v>0</v>
      </c>
      <c r="J99" s="168">
        <f>ROUND(Gegenstände!N99,0)</f>
        <v>2600</v>
      </c>
      <c r="K99" s="3">
        <f>Gegenstände!J99</f>
        <v>0</v>
      </c>
      <c r="L99" s="3">
        <f>Gegenstände!L99</f>
        <v>1</v>
      </c>
      <c r="M99" s="3">
        <f>Gegenstände!Z99</f>
        <v>0</v>
      </c>
      <c r="N99" s="783">
        <f>(Gegenstände!Y99*10)</f>
        <v>0</v>
      </c>
      <c r="O99" s="783">
        <f>(Gegenstände!W99*10)</f>
        <v>0</v>
      </c>
      <c r="P99" s="783">
        <f>Gegenstände!AA99*10</f>
        <v>0</v>
      </c>
      <c r="Q99" s="783">
        <f>Gegenstände!O99</f>
        <v>0</v>
      </c>
      <c r="R99" s="168">
        <f>Gegenstände!S99</f>
        <v>0</v>
      </c>
      <c r="S99" s="168">
        <f>Gegenstände!T99</f>
        <v>0</v>
      </c>
      <c r="T99" s="783">
        <f>Gegenstände!AC99</f>
        <v>0</v>
      </c>
      <c r="U99" s="783">
        <f>Gegenstände!AE99</f>
        <v>0</v>
      </c>
      <c r="V99" s="783">
        <f>Gegenstände!AD99</f>
        <v>0</v>
      </c>
      <c r="W99" s="783">
        <f>Gegenstände!AF99</f>
        <v>0</v>
      </c>
      <c r="AB99" s="3">
        <f>Gegenstände!M99</f>
        <v>0</v>
      </c>
      <c r="AC99" s="3">
        <f>Gegenstände!AB99</f>
        <v>0</v>
      </c>
      <c r="AD99" s="3">
        <f>Gegenstände!F99</f>
        <v>0</v>
      </c>
    </row>
    <row r="100" spans="1:30" x14ac:dyDescent="0.2">
      <c r="A100" s="3">
        <f>Gegenstände!A100</f>
        <v>202</v>
      </c>
      <c r="B100" s="3" t="str">
        <f>Gegenstände!B100</f>
        <v>Kalk-Bodenplatte</v>
      </c>
      <c r="D100" s="3">
        <f>Gegenstände!K100</f>
        <v>10000</v>
      </c>
      <c r="E100" s="3">
        <f>Gegenstände!I100</f>
        <v>33</v>
      </c>
      <c r="F100" s="3">
        <f>VLOOKUP(Gegenstände!E100,Berechnungen!$E$87:$F$115,2,FALSE)</f>
        <v>33</v>
      </c>
      <c r="G100" s="3">
        <f>Gegenstände!H100</f>
        <v>1</v>
      </c>
      <c r="H100" s="3">
        <f>Gegenstände!G100</f>
        <v>0</v>
      </c>
      <c r="I100" s="3">
        <f>Gegenstände!D100</f>
        <v>0</v>
      </c>
      <c r="J100" s="168">
        <f>ROUND(Gegenstände!N100,0)</f>
        <v>2200</v>
      </c>
      <c r="K100" s="3">
        <f>Gegenstände!J100</f>
        <v>0</v>
      </c>
      <c r="L100" s="3">
        <f>Gegenstände!L100</f>
        <v>1</v>
      </c>
      <c r="M100" s="3">
        <f>Gegenstände!Z100</f>
        <v>0</v>
      </c>
      <c r="N100" s="783">
        <f>(Gegenstände!Y100*10)</f>
        <v>0</v>
      </c>
      <c r="O100" s="783">
        <f>(Gegenstände!W100*10)</f>
        <v>0</v>
      </c>
      <c r="P100" s="783">
        <f>Gegenstände!AA100*10</f>
        <v>0</v>
      </c>
      <c r="Q100" s="783">
        <f>Gegenstände!O100</f>
        <v>0</v>
      </c>
      <c r="R100" s="168">
        <f>Gegenstände!S100</f>
        <v>0</v>
      </c>
      <c r="S100" s="168">
        <f>Gegenstände!T100</f>
        <v>0</v>
      </c>
      <c r="T100" s="783">
        <f>Gegenstände!AC100</f>
        <v>0</v>
      </c>
      <c r="U100" s="783">
        <f>Gegenstände!AE100</f>
        <v>0</v>
      </c>
      <c r="V100" s="783">
        <f>Gegenstände!AD100</f>
        <v>0</v>
      </c>
      <c r="W100" s="783">
        <f>Gegenstände!AF100</f>
        <v>0</v>
      </c>
      <c r="AB100" s="3">
        <f>Gegenstände!M100</f>
        <v>0</v>
      </c>
      <c r="AC100" s="3">
        <f>Gegenstände!AB100</f>
        <v>0</v>
      </c>
      <c r="AD100" s="3">
        <f>Gegenstände!F100</f>
        <v>0</v>
      </c>
    </row>
    <row r="101" spans="1:30" x14ac:dyDescent="0.2">
      <c r="A101" s="3">
        <f>Gegenstände!A101</f>
        <v>203</v>
      </c>
      <c r="B101" s="3" t="str">
        <f>Gegenstände!B101</f>
        <v>Buchen-Dachkonstrukt</v>
      </c>
      <c r="D101" s="3">
        <f>Gegenstände!K101</f>
        <v>10000</v>
      </c>
      <c r="E101" s="3">
        <f>Gegenstände!I101</f>
        <v>33</v>
      </c>
      <c r="F101" s="3">
        <f>VLOOKUP(Gegenstände!E101,Berechnungen!$E$87:$F$115,2,FALSE)</f>
        <v>33</v>
      </c>
      <c r="G101" s="3">
        <f>Gegenstände!H101</f>
        <v>1</v>
      </c>
      <c r="H101" s="3">
        <f>Gegenstände!G101</f>
        <v>0</v>
      </c>
      <c r="I101" s="3">
        <f>Gegenstände!D101</f>
        <v>0</v>
      </c>
      <c r="J101" s="168">
        <f>ROUND(Gegenstände!N101,0)</f>
        <v>3200</v>
      </c>
      <c r="K101" s="3">
        <f>Gegenstände!J101</f>
        <v>0</v>
      </c>
      <c r="L101" s="3">
        <f>Gegenstände!L101</f>
        <v>1</v>
      </c>
      <c r="M101" s="3">
        <f>Gegenstände!Z101</f>
        <v>0</v>
      </c>
      <c r="N101" s="783">
        <f>(Gegenstände!Y101*10)</f>
        <v>0</v>
      </c>
      <c r="O101" s="783">
        <f>(Gegenstände!W101*10)</f>
        <v>0</v>
      </c>
      <c r="P101" s="783">
        <f>Gegenstände!AA101*10</f>
        <v>0</v>
      </c>
      <c r="Q101" s="783">
        <f>Gegenstände!O101</f>
        <v>0</v>
      </c>
      <c r="R101" s="168">
        <f>Gegenstände!S101</f>
        <v>0</v>
      </c>
      <c r="S101" s="168">
        <f>Gegenstände!T101</f>
        <v>0</v>
      </c>
      <c r="T101" s="783">
        <f>Gegenstände!AC101</f>
        <v>0</v>
      </c>
      <c r="U101" s="783">
        <f>Gegenstände!AE101</f>
        <v>0</v>
      </c>
      <c r="V101" s="783">
        <f>Gegenstände!AD101</f>
        <v>0</v>
      </c>
      <c r="W101" s="783">
        <f>Gegenstände!AF101</f>
        <v>0</v>
      </c>
      <c r="AB101" s="3">
        <f>Gegenstände!M101</f>
        <v>0</v>
      </c>
      <c r="AC101" s="3">
        <f>Gegenstände!AB101</f>
        <v>0</v>
      </c>
      <c r="AD101" s="3">
        <f>Gegenstände!F101</f>
        <v>0</v>
      </c>
    </row>
    <row r="102" spans="1:30" x14ac:dyDescent="0.2">
      <c r="A102" s="3">
        <f>Gegenstände!A102</f>
        <v>204</v>
      </c>
      <c r="B102" s="3" t="str">
        <f>Gegenstände!B102</f>
        <v>Buchen-Stützbalken</v>
      </c>
      <c r="D102" s="3">
        <f>Gegenstände!K102</f>
        <v>10000</v>
      </c>
      <c r="E102" s="3">
        <f>Gegenstände!I102</f>
        <v>33</v>
      </c>
      <c r="F102" s="3">
        <f>VLOOKUP(Gegenstände!E102,Berechnungen!$E$87:$F$115,2,FALSE)</f>
        <v>33</v>
      </c>
      <c r="G102" s="3">
        <f>Gegenstände!H102</f>
        <v>1</v>
      </c>
      <c r="H102" s="3">
        <f>Gegenstände!G102</f>
        <v>0</v>
      </c>
      <c r="I102" s="3">
        <f>Gegenstände!D102</f>
        <v>0</v>
      </c>
      <c r="J102" s="168">
        <f>ROUND(Gegenstände!N102,0)</f>
        <v>1800</v>
      </c>
      <c r="K102" s="3">
        <f>Gegenstände!J102</f>
        <v>0</v>
      </c>
      <c r="L102" s="3">
        <f>Gegenstände!L102</f>
        <v>1</v>
      </c>
      <c r="M102" s="3">
        <f>Gegenstände!Z102</f>
        <v>0</v>
      </c>
      <c r="N102" s="783">
        <f>(Gegenstände!Y102*10)</f>
        <v>0</v>
      </c>
      <c r="O102" s="783">
        <f>(Gegenstände!W102*10)</f>
        <v>0</v>
      </c>
      <c r="P102" s="783">
        <f>Gegenstände!AA102*10</f>
        <v>0</v>
      </c>
      <c r="Q102" s="783">
        <f>Gegenstände!O102</f>
        <v>0</v>
      </c>
      <c r="R102" s="168">
        <f>Gegenstände!S102</f>
        <v>0</v>
      </c>
      <c r="S102" s="168">
        <f>Gegenstände!T102</f>
        <v>0</v>
      </c>
      <c r="T102" s="783">
        <f>Gegenstände!AC102</f>
        <v>0</v>
      </c>
      <c r="U102" s="783">
        <f>Gegenstände!AE102</f>
        <v>0</v>
      </c>
      <c r="V102" s="783">
        <f>Gegenstände!AD102</f>
        <v>0</v>
      </c>
      <c r="W102" s="783">
        <f>Gegenstände!AF102</f>
        <v>0</v>
      </c>
      <c r="AB102" s="3">
        <f>Gegenstände!M102</f>
        <v>0</v>
      </c>
      <c r="AC102" s="3">
        <f>Gegenstände!AB102</f>
        <v>0</v>
      </c>
      <c r="AD102" s="3">
        <f>Gegenstände!F102</f>
        <v>0</v>
      </c>
    </row>
    <row r="103" spans="1:30" x14ac:dyDescent="0.2">
      <c r="A103" s="3">
        <f>Gegenstände!A103</f>
        <v>0</v>
      </c>
      <c r="B103" s="3">
        <f>Gegenstände!B103</f>
        <v>0</v>
      </c>
      <c r="D103" s="3">
        <f>Gegenstände!K103</f>
        <v>0</v>
      </c>
      <c r="E103" s="3">
        <f>Gegenstände!I103</f>
        <v>0</v>
      </c>
      <c r="F103" s="3" t="e">
        <f>VLOOKUP(Gegenstände!E103,Berechnungen!$E$87:$F$115,2,FALSE)</f>
        <v>#N/A</v>
      </c>
      <c r="G103" s="3">
        <f>Gegenstände!H103</f>
        <v>0</v>
      </c>
      <c r="H103" s="3">
        <f>Gegenstände!G103</f>
        <v>0</v>
      </c>
      <c r="I103" s="3">
        <f>Gegenstände!D103</f>
        <v>0</v>
      </c>
      <c r="J103" s="168">
        <f>ROUND(Gegenstände!N103,0)</f>
        <v>0</v>
      </c>
      <c r="K103" s="3">
        <f>Gegenstände!J103</f>
        <v>0</v>
      </c>
      <c r="L103" s="3">
        <f>Gegenstände!L103</f>
        <v>0</v>
      </c>
      <c r="M103" s="3">
        <f>Gegenstände!Z103</f>
        <v>0</v>
      </c>
      <c r="N103" s="783">
        <f>(Gegenstände!Y103*10)</f>
        <v>0</v>
      </c>
      <c r="O103" s="783">
        <f>(Gegenstände!W103*10)</f>
        <v>0</v>
      </c>
      <c r="P103" s="783">
        <f>Gegenstände!AA103*10</f>
        <v>0</v>
      </c>
      <c r="Q103" s="783">
        <f>Gegenstände!O103</f>
        <v>0</v>
      </c>
      <c r="R103" s="168">
        <f>Gegenstände!S103</f>
        <v>0</v>
      </c>
      <c r="S103" s="168">
        <f>Gegenstände!T103</f>
        <v>0</v>
      </c>
      <c r="T103" s="783">
        <f>Gegenstände!AC103</f>
        <v>0</v>
      </c>
      <c r="U103" s="783">
        <f>Gegenstände!AE103</f>
        <v>0</v>
      </c>
      <c r="V103" s="783">
        <f>Gegenstände!AD103</f>
        <v>0</v>
      </c>
      <c r="W103" s="783">
        <f>Gegenstände!AF103</f>
        <v>0</v>
      </c>
      <c r="AB103" s="3">
        <f>Gegenstände!M103</f>
        <v>0</v>
      </c>
      <c r="AC103" s="3">
        <f>Gegenstände!AB103</f>
        <v>0</v>
      </c>
      <c r="AD103" s="3">
        <f>Gegenstände!F103</f>
        <v>0</v>
      </c>
    </row>
    <row r="104" spans="1:30" x14ac:dyDescent="0.2">
      <c r="A104" s="3">
        <f>Gegenstände!A104</f>
        <v>211</v>
      </c>
      <c r="B104" s="3" t="str">
        <f>Gegenstände!B104</f>
        <v>Sand-Mauerstück</v>
      </c>
      <c r="D104" s="3">
        <f>Gegenstände!K104</f>
        <v>10000</v>
      </c>
      <c r="E104" s="3">
        <f>Gegenstände!I104</f>
        <v>33</v>
      </c>
      <c r="F104" s="3">
        <f>VLOOKUP(Gegenstände!E104,Berechnungen!$E$87:$F$115,2,FALSE)</f>
        <v>33</v>
      </c>
      <c r="G104" s="3">
        <f>Gegenstände!H104</f>
        <v>1</v>
      </c>
      <c r="H104" s="3">
        <f>Gegenstände!G104</f>
        <v>0</v>
      </c>
      <c r="I104" s="3">
        <f>Gegenstände!D104</f>
        <v>5</v>
      </c>
      <c r="J104" s="168">
        <f>ROUND(Gegenstände!N104,0)</f>
        <v>5200</v>
      </c>
      <c r="K104" s="3">
        <f>Gegenstände!J104</f>
        <v>0</v>
      </c>
      <c r="L104" s="3">
        <f>Gegenstände!L104</f>
        <v>1</v>
      </c>
      <c r="M104" s="3">
        <f>Gegenstände!Z104</f>
        <v>0</v>
      </c>
      <c r="N104" s="783">
        <f>(Gegenstände!Y104*10)</f>
        <v>0</v>
      </c>
      <c r="O104" s="783">
        <f>(Gegenstände!W104*10)</f>
        <v>0</v>
      </c>
      <c r="P104" s="783">
        <f>Gegenstände!AA104*10</f>
        <v>0</v>
      </c>
      <c r="Q104" s="783">
        <f>Gegenstände!O104</f>
        <v>0</v>
      </c>
      <c r="R104" s="168">
        <f>Gegenstände!S104</f>
        <v>0</v>
      </c>
      <c r="S104" s="168">
        <f>Gegenstände!T104</f>
        <v>0</v>
      </c>
      <c r="T104" s="783">
        <f>Gegenstände!AC104</f>
        <v>0</v>
      </c>
      <c r="U104" s="783">
        <f>Gegenstände!AE104</f>
        <v>0</v>
      </c>
      <c r="V104" s="783">
        <f>Gegenstände!AD104</f>
        <v>0</v>
      </c>
      <c r="W104" s="783">
        <f>Gegenstände!AF104</f>
        <v>0</v>
      </c>
      <c r="AB104" s="3">
        <f>Gegenstände!M104</f>
        <v>0</v>
      </c>
      <c r="AC104" s="3">
        <f>Gegenstände!AB104</f>
        <v>0</v>
      </c>
      <c r="AD104" s="3">
        <f>Gegenstände!F104</f>
        <v>0</v>
      </c>
    </row>
    <row r="105" spans="1:30" x14ac:dyDescent="0.2">
      <c r="A105" s="3">
        <f>Gegenstände!A105</f>
        <v>212</v>
      </c>
      <c r="B105" s="3" t="str">
        <f>Gegenstände!B105</f>
        <v>Sand-Bodenplatte</v>
      </c>
      <c r="D105" s="3">
        <f>Gegenstände!K105</f>
        <v>10000</v>
      </c>
      <c r="E105" s="3">
        <f>Gegenstände!I105</f>
        <v>33</v>
      </c>
      <c r="F105" s="3">
        <f>VLOOKUP(Gegenstände!E105,Berechnungen!$E$87:$F$115,2,FALSE)</f>
        <v>33</v>
      </c>
      <c r="G105" s="3">
        <f>Gegenstände!H105</f>
        <v>1</v>
      </c>
      <c r="H105" s="3">
        <f>Gegenstände!G105</f>
        <v>0</v>
      </c>
      <c r="I105" s="3">
        <f>Gegenstände!D105</f>
        <v>5</v>
      </c>
      <c r="J105" s="168">
        <f>ROUND(Gegenstände!N105,0)</f>
        <v>4400</v>
      </c>
      <c r="K105" s="3">
        <f>Gegenstände!J105</f>
        <v>0</v>
      </c>
      <c r="L105" s="3">
        <f>Gegenstände!L105</f>
        <v>1</v>
      </c>
      <c r="M105" s="3">
        <f>Gegenstände!Z105</f>
        <v>0</v>
      </c>
      <c r="N105" s="783">
        <f>(Gegenstände!Y105*10)</f>
        <v>0</v>
      </c>
      <c r="O105" s="783">
        <f>(Gegenstände!W105*10)</f>
        <v>0</v>
      </c>
      <c r="P105" s="783">
        <f>Gegenstände!AA105*10</f>
        <v>0</v>
      </c>
      <c r="Q105" s="783">
        <f>Gegenstände!O105</f>
        <v>0</v>
      </c>
      <c r="R105" s="168">
        <f>Gegenstände!S105</f>
        <v>0</v>
      </c>
      <c r="S105" s="168">
        <f>Gegenstände!T105</f>
        <v>0</v>
      </c>
      <c r="T105" s="783">
        <f>Gegenstände!AC105</f>
        <v>0</v>
      </c>
      <c r="U105" s="783">
        <f>Gegenstände!AE105</f>
        <v>0</v>
      </c>
      <c r="V105" s="783">
        <f>Gegenstände!AD105</f>
        <v>0</v>
      </c>
      <c r="W105" s="783">
        <f>Gegenstände!AF105</f>
        <v>0</v>
      </c>
      <c r="AB105" s="3">
        <f>Gegenstände!M105</f>
        <v>0</v>
      </c>
      <c r="AC105" s="3">
        <f>Gegenstände!AB105</f>
        <v>0</v>
      </c>
      <c r="AD105" s="3">
        <f>Gegenstände!F105</f>
        <v>0</v>
      </c>
    </row>
    <row r="106" spans="1:30" x14ac:dyDescent="0.2">
      <c r="A106" s="3">
        <f>Gegenstände!A106</f>
        <v>213</v>
      </c>
      <c r="B106" s="3" t="str">
        <f>Gegenstände!B106</f>
        <v>Birken-Dachkonstrukt</v>
      </c>
      <c r="D106" s="3">
        <f>Gegenstände!K106</f>
        <v>10000</v>
      </c>
      <c r="E106" s="3">
        <f>Gegenstände!I106</f>
        <v>33</v>
      </c>
      <c r="F106" s="3">
        <f>VLOOKUP(Gegenstände!E106,Berechnungen!$E$87:$F$115,2,FALSE)</f>
        <v>33</v>
      </c>
      <c r="G106" s="3">
        <f>Gegenstände!H106</f>
        <v>1</v>
      </c>
      <c r="H106" s="3">
        <f>Gegenstände!G106</f>
        <v>0</v>
      </c>
      <c r="I106" s="3">
        <f>Gegenstände!D106</f>
        <v>5</v>
      </c>
      <c r="J106" s="168">
        <f>ROUND(Gegenstände!N106,0)</f>
        <v>6400</v>
      </c>
      <c r="K106" s="3">
        <f>Gegenstände!J106</f>
        <v>0</v>
      </c>
      <c r="L106" s="3">
        <f>Gegenstände!L106</f>
        <v>1</v>
      </c>
      <c r="M106" s="3">
        <f>Gegenstände!Z106</f>
        <v>0</v>
      </c>
      <c r="N106" s="783">
        <f>(Gegenstände!Y106*10)</f>
        <v>0</v>
      </c>
      <c r="O106" s="783">
        <f>(Gegenstände!W106*10)</f>
        <v>0</v>
      </c>
      <c r="P106" s="783">
        <f>Gegenstände!AA106*10</f>
        <v>0</v>
      </c>
      <c r="Q106" s="783">
        <f>Gegenstände!O106</f>
        <v>0</v>
      </c>
      <c r="R106" s="168">
        <f>Gegenstände!S106</f>
        <v>0</v>
      </c>
      <c r="S106" s="168">
        <f>Gegenstände!T106</f>
        <v>0</v>
      </c>
      <c r="T106" s="783">
        <f>Gegenstände!AC106</f>
        <v>0</v>
      </c>
      <c r="U106" s="783">
        <f>Gegenstände!AE106</f>
        <v>0</v>
      </c>
      <c r="V106" s="783">
        <f>Gegenstände!AD106</f>
        <v>0</v>
      </c>
      <c r="W106" s="783">
        <f>Gegenstände!AF106</f>
        <v>0</v>
      </c>
      <c r="AB106" s="3">
        <f>Gegenstände!M106</f>
        <v>0</v>
      </c>
      <c r="AC106" s="3">
        <f>Gegenstände!AB106</f>
        <v>0</v>
      </c>
      <c r="AD106" s="3">
        <f>Gegenstände!F106</f>
        <v>0</v>
      </c>
    </row>
    <row r="107" spans="1:30" x14ac:dyDescent="0.2">
      <c r="A107" s="3">
        <f>Gegenstände!A107</f>
        <v>214</v>
      </c>
      <c r="B107" s="3" t="str">
        <f>Gegenstände!B107</f>
        <v>Birken-Stützbalken</v>
      </c>
      <c r="D107" s="3">
        <f>Gegenstände!K107</f>
        <v>10000</v>
      </c>
      <c r="E107" s="3">
        <f>Gegenstände!I107</f>
        <v>33</v>
      </c>
      <c r="F107" s="3">
        <f>VLOOKUP(Gegenstände!E107,Berechnungen!$E$87:$F$115,2,FALSE)</f>
        <v>33</v>
      </c>
      <c r="G107" s="3">
        <f>Gegenstände!H107</f>
        <v>1</v>
      </c>
      <c r="H107" s="3">
        <f>Gegenstände!G107</f>
        <v>0</v>
      </c>
      <c r="I107" s="3">
        <f>Gegenstände!D107</f>
        <v>5</v>
      </c>
      <c r="J107" s="168">
        <f>ROUND(Gegenstände!N107,0)</f>
        <v>3600</v>
      </c>
      <c r="K107" s="3">
        <f>Gegenstände!J107</f>
        <v>0</v>
      </c>
      <c r="L107" s="3">
        <f>Gegenstände!L107</f>
        <v>1</v>
      </c>
      <c r="M107" s="3">
        <f>Gegenstände!Z107</f>
        <v>0</v>
      </c>
      <c r="N107" s="783">
        <f>(Gegenstände!Y107*10)</f>
        <v>0</v>
      </c>
      <c r="O107" s="783">
        <f>(Gegenstände!W107*10)</f>
        <v>0</v>
      </c>
      <c r="P107" s="783">
        <f>Gegenstände!AA107*10</f>
        <v>0</v>
      </c>
      <c r="Q107" s="783">
        <f>Gegenstände!O107</f>
        <v>0</v>
      </c>
      <c r="R107" s="168">
        <f>Gegenstände!S107</f>
        <v>0</v>
      </c>
      <c r="S107" s="168">
        <f>Gegenstände!T107</f>
        <v>0</v>
      </c>
      <c r="T107" s="783">
        <f>Gegenstände!AC107</f>
        <v>0</v>
      </c>
      <c r="U107" s="783">
        <f>Gegenstände!AE107</f>
        <v>0</v>
      </c>
      <c r="V107" s="783">
        <f>Gegenstände!AD107</f>
        <v>0</v>
      </c>
      <c r="W107" s="783">
        <f>Gegenstände!AF107</f>
        <v>0</v>
      </c>
      <c r="AB107" s="3">
        <f>Gegenstände!M107</f>
        <v>0</v>
      </c>
      <c r="AC107" s="3">
        <f>Gegenstände!AB107</f>
        <v>0</v>
      </c>
      <c r="AD107" s="3">
        <f>Gegenstände!F107</f>
        <v>0</v>
      </c>
    </row>
    <row r="108" spans="1:30" x14ac:dyDescent="0.2">
      <c r="A108" s="3">
        <f>Gegenstände!A108</f>
        <v>0</v>
      </c>
      <c r="B108" s="3">
        <f>Gegenstände!B108</f>
        <v>0</v>
      </c>
      <c r="D108" s="3">
        <f>Gegenstände!K108</f>
        <v>0</v>
      </c>
      <c r="E108" s="3">
        <f>Gegenstände!I108</f>
        <v>0</v>
      </c>
      <c r="F108" s="3" t="e">
        <f>VLOOKUP(Gegenstände!E108,Berechnungen!$E$87:$F$115,2,FALSE)</f>
        <v>#N/A</v>
      </c>
      <c r="G108" s="3">
        <f>Gegenstände!H108</f>
        <v>0</v>
      </c>
      <c r="H108" s="3">
        <f>Gegenstände!G108</f>
        <v>0</v>
      </c>
      <c r="I108" s="3">
        <f>Gegenstände!D108</f>
        <v>0</v>
      </c>
      <c r="J108" s="168">
        <f>ROUND(Gegenstände!N108,0)</f>
        <v>0</v>
      </c>
      <c r="K108" s="3">
        <f>Gegenstände!J108</f>
        <v>0</v>
      </c>
      <c r="L108" s="3">
        <f>Gegenstände!L108</f>
        <v>0</v>
      </c>
      <c r="M108" s="3">
        <f>Gegenstände!Z108</f>
        <v>0</v>
      </c>
      <c r="N108" s="783">
        <f>(Gegenstände!Y108*10)</f>
        <v>0</v>
      </c>
      <c r="O108" s="783">
        <f>(Gegenstände!W108*10)</f>
        <v>0</v>
      </c>
      <c r="P108" s="783">
        <f>Gegenstände!AA108*10</f>
        <v>0</v>
      </c>
      <c r="Q108" s="783">
        <f>Gegenstände!O108</f>
        <v>0</v>
      </c>
      <c r="R108" s="168">
        <f>Gegenstände!S108</f>
        <v>0</v>
      </c>
      <c r="S108" s="168">
        <f>Gegenstände!T108</f>
        <v>0</v>
      </c>
      <c r="T108" s="783">
        <f>Gegenstände!AC108</f>
        <v>0</v>
      </c>
      <c r="U108" s="783">
        <f>Gegenstände!AE108</f>
        <v>0</v>
      </c>
      <c r="V108" s="783">
        <f>Gegenstände!AD108</f>
        <v>0</v>
      </c>
      <c r="W108" s="783">
        <f>Gegenstände!AF108</f>
        <v>0</v>
      </c>
      <c r="AB108" s="3">
        <f>Gegenstände!M108</f>
        <v>0</v>
      </c>
      <c r="AC108" s="3">
        <f>Gegenstände!AB108</f>
        <v>0</v>
      </c>
      <c r="AD108" s="3">
        <f>Gegenstände!F108</f>
        <v>0</v>
      </c>
    </row>
    <row r="109" spans="1:30" x14ac:dyDescent="0.2">
      <c r="A109" s="3">
        <f>Gegenstände!A109</f>
        <v>221</v>
      </c>
      <c r="B109" s="3" t="str">
        <f>Gegenstände!B109</f>
        <v>Schiefer-Mauerstück</v>
      </c>
      <c r="D109" s="3">
        <f>Gegenstände!K109</f>
        <v>10000</v>
      </c>
      <c r="E109" s="3">
        <f>Gegenstände!I109</f>
        <v>33</v>
      </c>
      <c r="F109" s="3">
        <f>VLOOKUP(Gegenstände!E109,Berechnungen!$E$87:$F$115,2,FALSE)</f>
        <v>33</v>
      </c>
      <c r="G109" s="3">
        <f>Gegenstände!H109</f>
        <v>1</v>
      </c>
      <c r="H109" s="3">
        <f>Gegenstände!G109</f>
        <v>0</v>
      </c>
      <c r="I109" s="3">
        <f>Gegenstände!D109</f>
        <v>10</v>
      </c>
      <c r="J109" s="168">
        <f>ROUND(Gegenstände!N109,0)</f>
        <v>10400</v>
      </c>
      <c r="K109" s="3">
        <f>Gegenstände!J109</f>
        <v>0</v>
      </c>
      <c r="L109" s="3">
        <f>Gegenstände!L109</f>
        <v>1</v>
      </c>
      <c r="M109" s="3">
        <f>Gegenstände!Z109</f>
        <v>0</v>
      </c>
      <c r="N109" s="783">
        <f>(Gegenstände!Y109*10)</f>
        <v>0</v>
      </c>
      <c r="O109" s="783">
        <f>(Gegenstände!W109*10)</f>
        <v>0</v>
      </c>
      <c r="P109" s="783">
        <f>Gegenstände!AA109*10</f>
        <v>0</v>
      </c>
      <c r="Q109" s="783">
        <f>Gegenstände!O109</f>
        <v>0</v>
      </c>
      <c r="R109" s="168">
        <f>Gegenstände!S109</f>
        <v>0</v>
      </c>
      <c r="S109" s="168">
        <f>Gegenstände!T109</f>
        <v>0</v>
      </c>
      <c r="T109" s="783">
        <f>Gegenstände!AC109</f>
        <v>0</v>
      </c>
      <c r="U109" s="783">
        <f>Gegenstände!AE109</f>
        <v>0</v>
      </c>
      <c r="V109" s="783">
        <f>Gegenstände!AD109</f>
        <v>0</v>
      </c>
      <c r="W109" s="783">
        <f>Gegenstände!AF109</f>
        <v>0</v>
      </c>
      <c r="AB109" s="3">
        <f>Gegenstände!M109</f>
        <v>0</v>
      </c>
      <c r="AC109" s="3">
        <f>Gegenstände!AB109</f>
        <v>0</v>
      </c>
      <c r="AD109" s="3">
        <f>Gegenstände!F109</f>
        <v>0</v>
      </c>
    </row>
    <row r="110" spans="1:30" x14ac:dyDescent="0.2">
      <c r="A110" s="3">
        <f>Gegenstände!A110</f>
        <v>222</v>
      </c>
      <c r="B110" s="3" t="str">
        <f>Gegenstände!B110</f>
        <v>Schiefer-Bodenplatte</v>
      </c>
      <c r="D110" s="3">
        <f>Gegenstände!K110</f>
        <v>10000</v>
      </c>
      <c r="E110" s="3">
        <f>Gegenstände!I110</f>
        <v>33</v>
      </c>
      <c r="F110" s="3">
        <f>VLOOKUP(Gegenstände!E110,Berechnungen!$E$87:$F$115,2,FALSE)</f>
        <v>33</v>
      </c>
      <c r="G110" s="3">
        <f>Gegenstände!H110</f>
        <v>1</v>
      </c>
      <c r="H110" s="3">
        <f>Gegenstände!G110</f>
        <v>0</v>
      </c>
      <c r="I110" s="3">
        <f>Gegenstände!D110</f>
        <v>10</v>
      </c>
      <c r="J110" s="168">
        <f>ROUND(Gegenstände!N110,0)</f>
        <v>8800</v>
      </c>
      <c r="K110" s="3">
        <f>Gegenstände!J110</f>
        <v>0</v>
      </c>
      <c r="L110" s="3">
        <f>Gegenstände!L110</f>
        <v>1</v>
      </c>
      <c r="M110" s="3">
        <f>Gegenstände!Z110</f>
        <v>0</v>
      </c>
      <c r="N110" s="783">
        <f>(Gegenstände!Y110*10)</f>
        <v>0</v>
      </c>
      <c r="O110" s="783">
        <f>(Gegenstände!W110*10)</f>
        <v>0</v>
      </c>
      <c r="P110" s="783">
        <f>Gegenstände!AA110*10</f>
        <v>0</v>
      </c>
      <c r="Q110" s="783">
        <f>Gegenstände!O110</f>
        <v>0</v>
      </c>
      <c r="R110" s="168">
        <f>Gegenstände!S110</f>
        <v>0</v>
      </c>
      <c r="S110" s="168">
        <f>Gegenstände!T110</f>
        <v>0</v>
      </c>
      <c r="T110" s="783">
        <f>Gegenstände!AC110</f>
        <v>0</v>
      </c>
      <c r="U110" s="783">
        <f>Gegenstände!AE110</f>
        <v>0</v>
      </c>
      <c r="V110" s="783">
        <f>Gegenstände!AD110</f>
        <v>0</v>
      </c>
      <c r="W110" s="783">
        <f>Gegenstände!AF110</f>
        <v>0</v>
      </c>
      <c r="AB110" s="3">
        <f>Gegenstände!M110</f>
        <v>0</v>
      </c>
      <c r="AC110" s="3">
        <f>Gegenstände!AB110</f>
        <v>0</v>
      </c>
      <c r="AD110" s="3">
        <f>Gegenstände!F110</f>
        <v>0</v>
      </c>
    </row>
    <row r="111" spans="1:30" x14ac:dyDescent="0.2">
      <c r="A111" s="3">
        <f>Gegenstände!A111</f>
        <v>223</v>
      </c>
      <c r="B111" s="3" t="str">
        <f>Gegenstände!B111</f>
        <v>Eichen-Dachkonstrukt</v>
      </c>
      <c r="D111" s="3">
        <f>Gegenstände!K111</f>
        <v>10000</v>
      </c>
      <c r="E111" s="3">
        <f>Gegenstände!I111</f>
        <v>33</v>
      </c>
      <c r="F111" s="3">
        <f>VLOOKUP(Gegenstände!E111,Berechnungen!$E$87:$F$115,2,FALSE)</f>
        <v>33</v>
      </c>
      <c r="G111" s="3">
        <f>Gegenstände!H111</f>
        <v>1</v>
      </c>
      <c r="H111" s="3">
        <f>Gegenstände!G111</f>
        <v>0</v>
      </c>
      <c r="I111" s="3">
        <f>Gegenstände!D111</f>
        <v>10</v>
      </c>
      <c r="J111" s="168">
        <f>ROUND(Gegenstände!N111,0)</f>
        <v>12800</v>
      </c>
      <c r="K111" s="3">
        <f>Gegenstände!J111</f>
        <v>0</v>
      </c>
      <c r="L111" s="3">
        <f>Gegenstände!L111</f>
        <v>1</v>
      </c>
      <c r="M111" s="3">
        <f>Gegenstände!Z111</f>
        <v>0</v>
      </c>
      <c r="N111" s="783">
        <f>(Gegenstände!Y111*10)</f>
        <v>0</v>
      </c>
      <c r="O111" s="783">
        <f>(Gegenstände!W111*10)</f>
        <v>0</v>
      </c>
      <c r="P111" s="783">
        <f>Gegenstände!AA111*10</f>
        <v>0</v>
      </c>
      <c r="Q111" s="783">
        <f>Gegenstände!O111</f>
        <v>0</v>
      </c>
      <c r="R111" s="168">
        <f>Gegenstände!S111</f>
        <v>0</v>
      </c>
      <c r="S111" s="168">
        <f>Gegenstände!T111</f>
        <v>0</v>
      </c>
      <c r="T111" s="783">
        <f>Gegenstände!AC111</f>
        <v>0</v>
      </c>
      <c r="U111" s="783">
        <f>Gegenstände!AE111</f>
        <v>0</v>
      </c>
      <c r="V111" s="783">
        <f>Gegenstände!AD111</f>
        <v>0</v>
      </c>
      <c r="W111" s="783">
        <f>Gegenstände!AF111</f>
        <v>0</v>
      </c>
      <c r="AB111" s="3">
        <f>Gegenstände!M111</f>
        <v>0</v>
      </c>
      <c r="AC111" s="3">
        <f>Gegenstände!AB111</f>
        <v>0</v>
      </c>
      <c r="AD111" s="3">
        <f>Gegenstände!F111</f>
        <v>0</v>
      </c>
    </row>
    <row r="112" spans="1:30" x14ac:dyDescent="0.2">
      <c r="A112" s="3">
        <f>Gegenstände!A112</f>
        <v>224</v>
      </c>
      <c r="B112" s="3" t="str">
        <f>Gegenstände!B112</f>
        <v>Eichen-Stützbalken</v>
      </c>
      <c r="D112" s="3">
        <f>Gegenstände!K112</f>
        <v>10000</v>
      </c>
      <c r="E112" s="3">
        <f>Gegenstände!I112</f>
        <v>33</v>
      </c>
      <c r="F112" s="3">
        <f>VLOOKUP(Gegenstände!E112,Berechnungen!$E$87:$F$115,2,FALSE)</f>
        <v>33</v>
      </c>
      <c r="G112" s="3">
        <f>Gegenstände!H112</f>
        <v>1</v>
      </c>
      <c r="H112" s="3">
        <f>Gegenstände!G112</f>
        <v>0</v>
      </c>
      <c r="I112" s="3">
        <f>Gegenstände!D112</f>
        <v>10</v>
      </c>
      <c r="J112" s="168">
        <f>ROUND(Gegenstände!N112,0)</f>
        <v>7200</v>
      </c>
      <c r="K112" s="3">
        <f>Gegenstände!J112</f>
        <v>0</v>
      </c>
      <c r="L112" s="3">
        <f>Gegenstände!L112</f>
        <v>1</v>
      </c>
      <c r="M112" s="3">
        <f>Gegenstände!Z112</f>
        <v>0</v>
      </c>
      <c r="N112" s="783">
        <f>(Gegenstände!Y112*10)</f>
        <v>0</v>
      </c>
      <c r="O112" s="783">
        <f>(Gegenstände!W112*10)</f>
        <v>0</v>
      </c>
      <c r="P112" s="783">
        <f>Gegenstände!AA112*10</f>
        <v>0</v>
      </c>
      <c r="Q112" s="783">
        <f>Gegenstände!O112</f>
        <v>0</v>
      </c>
      <c r="R112" s="168">
        <f>Gegenstände!S112</f>
        <v>0</v>
      </c>
      <c r="S112" s="168">
        <f>Gegenstände!T112</f>
        <v>0</v>
      </c>
      <c r="T112" s="783">
        <f>Gegenstände!AC112</f>
        <v>0</v>
      </c>
      <c r="U112" s="783">
        <f>Gegenstände!AE112</f>
        <v>0</v>
      </c>
      <c r="V112" s="783">
        <f>Gegenstände!AD112</f>
        <v>0</v>
      </c>
      <c r="W112" s="783">
        <f>Gegenstände!AF112</f>
        <v>0</v>
      </c>
      <c r="AB112" s="3">
        <f>Gegenstände!M112</f>
        <v>0</v>
      </c>
      <c r="AC112" s="3">
        <f>Gegenstände!AB112</f>
        <v>0</v>
      </c>
      <c r="AD112" s="3">
        <f>Gegenstände!F112</f>
        <v>0</v>
      </c>
    </row>
    <row r="113" spans="1:30" x14ac:dyDescent="0.2">
      <c r="A113" s="3">
        <f>Gegenstände!A113</f>
        <v>0</v>
      </c>
      <c r="B113" s="3">
        <f>Gegenstände!B113</f>
        <v>0</v>
      </c>
      <c r="D113" s="3">
        <f>Gegenstände!K113</f>
        <v>0</v>
      </c>
      <c r="E113" s="3">
        <f>Gegenstände!I113</f>
        <v>0</v>
      </c>
      <c r="F113" s="3" t="e">
        <f>VLOOKUP(Gegenstände!E113,Berechnungen!$E$87:$F$115,2,FALSE)</f>
        <v>#N/A</v>
      </c>
      <c r="G113" s="3">
        <f>Gegenstände!H113</f>
        <v>0</v>
      </c>
      <c r="H113" s="3">
        <f>Gegenstände!G113</f>
        <v>0</v>
      </c>
      <c r="I113" s="3">
        <f>Gegenstände!D113</f>
        <v>0</v>
      </c>
      <c r="J113" s="168">
        <f>ROUND(Gegenstände!N113,0)</f>
        <v>0</v>
      </c>
      <c r="K113" s="3">
        <f>Gegenstände!J113</f>
        <v>0</v>
      </c>
      <c r="L113" s="3">
        <f>Gegenstände!L113</f>
        <v>0</v>
      </c>
      <c r="M113" s="3">
        <f>Gegenstände!Z113</f>
        <v>0</v>
      </c>
      <c r="N113" s="783">
        <f>(Gegenstände!Y113*10)</f>
        <v>0</v>
      </c>
      <c r="O113" s="783">
        <f>(Gegenstände!W113*10)</f>
        <v>0</v>
      </c>
      <c r="P113" s="783">
        <f>Gegenstände!AA113*10</f>
        <v>0</v>
      </c>
      <c r="Q113" s="783">
        <f>Gegenstände!O113</f>
        <v>0</v>
      </c>
      <c r="R113" s="168">
        <f>Gegenstände!S113</f>
        <v>0</v>
      </c>
      <c r="S113" s="168">
        <f>Gegenstände!T113</f>
        <v>0</v>
      </c>
      <c r="T113" s="783">
        <f>Gegenstände!AC113</f>
        <v>0</v>
      </c>
      <c r="U113" s="783">
        <f>Gegenstände!AE113</f>
        <v>0</v>
      </c>
      <c r="V113" s="783">
        <f>Gegenstände!AD113</f>
        <v>0</v>
      </c>
      <c r="W113" s="783">
        <f>Gegenstände!AF113</f>
        <v>0</v>
      </c>
      <c r="AB113" s="3">
        <f>Gegenstände!M113</f>
        <v>0</v>
      </c>
      <c r="AC113" s="3">
        <f>Gegenstände!AB113</f>
        <v>0</v>
      </c>
      <c r="AD113" s="3">
        <f>Gegenstände!F113</f>
        <v>0</v>
      </c>
    </row>
    <row r="114" spans="1:30" x14ac:dyDescent="0.2">
      <c r="A114" s="3">
        <f>Gegenstände!A114</f>
        <v>231</v>
      </c>
      <c r="B114" s="3" t="str">
        <f>Gegenstände!B114</f>
        <v>Granit-Mauerstück</v>
      </c>
      <c r="D114" s="3">
        <f>Gegenstände!K114</f>
        <v>10000</v>
      </c>
      <c r="E114" s="3">
        <f>Gegenstände!I114</f>
        <v>33</v>
      </c>
      <c r="F114" s="3">
        <f>VLOOKUP(Gegenstände!E114,Berechnungen!$E$87:$F$115,2,FALSE)</f>
        <v>33</v>
      </c>
      <c r="G114" s="3">
        <f>Gegenstände!H114</f>
        <v>1</v>
      </c>
      <c r="H114" s="3">
        <f>Gegenstände!G114</f>
        <v>0</v>
      </c>
      <c r="I114" s="3">
        <f>Gegenstände!D114</f>
        <v>15</v>
      </c>
      <c r="J114" s="168">
        <f>ROUND(Gegenstände!N114,0)</f>
        <v>20800</v>
      </c>
      <c r="K114" s="3">
        <f>Gegenstände!J114</f>
        <v>0</v>
      </c>
      <c r="L114" s="3">
        <f>Gegenstände!L114</f>
        <v>1</v>
      </c>
      <c r="M114" s="3">
        <f>Gegenstände!Z114</f>
        <v>0</v>
      </c>
      <c r="N114" s="783">
        <f>(Gegenstände!Y114*10)</f>
        <v>0</v>
      </c>
      <c r="O114" s="783">
        <f>(Gegenstände!W114*10)</f>
        <v>0</v>
      </c>
      <c r="P114" s="783">
        <f>Gegenstände!AA114*10</f>
        <v>0</v>
      </c>
      <c r="Q114" s="783">
        <f>Gegenstände!O114</f>
        <v>0</v>
      </c>
      <c r="R114" s="168">
        <f>Gegenstände!S114</f>
        <v>0</v>
      </c>
      <c r="S114" s="168">
        <f>Gegenstände!T114</f>
        <v>0</v>
      </c>
      <c r="T114" s="783">
        <f>Gegenstände!AC114</f>
        <v>0</v>
      </c>
      <c r="U114" s="783">
        <f>Gegenstände!AE114</f>
        <v>0</v>
      </c>
      <c r="V114" s="783">
        <f>Gegenstände!AD114</f>
        <v>0</v>
      </c>
      <c r="W114" s="783">
        <f>Gegenstände!AF114</f>
        <v>0</v>
      </c>
      <c r="AB114" s="3">
        <f>Gegenstände!M114</f>
        <v>0</v>
      </c>
      <c r="AC114" s="3">
        <f>Gegenstände!AB114</f>
        <v>0</v>
      </c>
      <c r="AD114" s="3">
        <f>Gegenstände!F114</f>
        <v>0</v>
      </c>
    </row>
    <row r="115" spans="1:30" x14ac:dyDescent="0.2">
      <c r="A115" s="3">
        <f>Gegenstände!A115</f>
        <v>232</v>
      </c>
      <c r="B115" s="3" t="str">
        <f>Gegenstände!B115</f>
        <v>Granit-Bodenplatte</v>
      </c>
      <c r="D115" s="3">
        <f>Gegenstände!K115</f>
        <v>10000</v>
      </c>
      <c r="E115" s="3">
        <f>Gegenstände!I115</f>
        <v>33</v>
      </c>
      <c r="F115" s="3">
        <f>VLOOKUP(Gegenstände!E115,Berechnungen!$E$87:$F$115,2,FALSE)</f>
        <v>33</v>
      </c>
      <c r="G115" s="3">
        <f>Gegenstände!H115</f>
        <v>1</v>
      </c>
      <c r="H115" s="3">
        <f>Gegenstände!G115</f>
        <v>0</v>
      </c>
      <c r="I115" s="3">
        <f>Gegenstände!D115</f>
        <v>15</v>
      </c>
      <c r="J115" s="168">
        <f>ROUND(Gegenstände!N115,0)</f>
        <v>17600</v>
      </c>
      <c r="K115" s="3">
        <f>Gegenstände!J115</f>
        <v>0</v>
      </c>
      <c r="L115" s="3">
        <f>Gegenstände!L115</f>
        <v>1</v>
      </c>
      <c r="M115" s="3">
        <f>Gegenstände!Z115</f>
        <v>0</v>
      </c>
      <c r="N115" s="783">
        <f>(Gegenstände!Y115*10)</f>
        <v>0</v>
      </c>
      <c r="O115" s="783">
        <f>(Gegenstände!W115*10)</f>
        <v>0</v>
      </c>
      <c r="P115" s="783">
        <f>Gegenstände!AA115*10</f>
        <v>0</v>
      </c>
      <c r="Q115" s="783">
        <f>Gegenstände!O115</f>
        <v>0</v>
      </c>
      <c r="R115" s="168">
        <f>Gegenstände!S115</f>
        <v>0</v>
      </c>
      <c r="S115" s="168">
        <f>Gegenstände!T115</f>
        <v>0</v>
      </c>
      <c r="T115" s="783">
        <f>Gegenstände!AC115</f>
        <v>0</v>
      </c>
      <c r="U115" s="783">
        <f>Gegenstände!AE115</f>
        <v>0</v>
      </c>
      <c r="V115" s="783">
        <f>Gegenstände!AD115</f>
        <v>0</v>
      </c>
      <c r="W115" s="783">
        <f>Gegenstände!AF115</f>
        <v>0</v>
      </c>
      <c r="AB115" s="3">
        <f>Gegenstände!M115</f>
        <v>0</v>
      </c>
      <c r="AC115" s="3">
        <f>Gegenstände!AB115</f>
        <v>0</v>
      </c>
      <c r="AD115" s="3">
        <f>Gegenstände!F115</f>
        <v>0</v>
      </c>
    </row>
    <row r="116" spans="1:30" x14ac:dyDescent="0.2">
      <c r="A116" s="3">
        <f>Gegenstände!A116</f>
        <v>233</v>
      </c>
      <c r="B116" s="3" t="str">
        <f>Gegenstände!B116</f>
        <v>Eschen-Dachkonstrukt</v>
      </c>
      <c r="D116" s="3">
        <f>Gegenstände!K116</f>
        <v>10000</v>
      </c>
      <c r="E116" s="3">
        <f>Gegenstände!I116</f>
        <v>33</v>
      </c>
      <c r="F116" s="3">
        <f>VLOOKUP(Gegenstände!E116,Berechnungen!$E$87:$F$115,2,FALSE)</f>
        <v>33</v>
      </c>
      <c r="G116" s="3">
        <f>Gegenstände!H116</f>
        <v>1</v>
      </c>
      <c r="H116" s="3">
        <f>Gegenstände!G116</f>
        <v>0</v>
      </c>
      <c r="I116" s="3">
        <f>Gegenstände!D116</f>
        <v>15</v>
      </c>
      <c r="J116" s="168">
        <f>ROUND(Gegenstände!N116,0)</f>
        <v>25600</v>
      </c>
      <c r="K116" s="3">
        <f>Gegenstände!J116</f>
        <v>0</v>
      </c>
      <c r="L116" s="3">
        <f>Gegenstände!L116</f>
        <v>1</v>
      </c>
      <c r="M116" s="3">
        <f>Gegenstände!Z116</f>
        <v>0</v>
      </c>
      <c r="N116" s="783">
        <f>(Gegenstände!Y116*10)</f>
        <v>0</v>
      </c>
      <c r="O116" s="783">
        <f>(Gegenstände!W116*10)</f>
        <v>0</v>
      </c>
      <c r="P116" s="783">
        <f>Gegenstände!AA116*10</f>
        <v>0</v>
      </c>
      <c r="Q116" s="783">
        <f>Gegenstände!O116</f>
        <v>0</v>
      </c>
      <c r="R116" s="168">
        <f>Gegenstände!S116</f>
        <v>0</v>
      </c>
      <c r="S116" s="168">
        <f>Gegenstände!T116</f>
        <v>0</v>
      </c>
      <c r="T116" s="783">
        <f>Gegenstände!AC116</f>
        <v>0</v>
      </c>
      <c r="U116" s="783">
        <f>Gegenstände!AE116</f>
        <v>0</v>
      </c>
      <c r="V116" s="783">
        <f>Gegenstände!AD116</f>
        <v>0</v>
      </c>
      <c r="W116" s="783">
        <f>Gegenstände!AF116</f>
        <v>0</v>
      </c>
      <c r="AB116" s="3">
        <f>Gegenstände!M116</f>
        <v>0</v>
      </c>
      <c r="AC116" s="3">
        <f>Gegenstände!AB116</f>
        <v>0</v>
      </c>
      <c r="AD116" s="3">
        <f>Gegenstände!F116</f>
        <v>0</v>
      </c>
    </row>
    <row r="117" spans="1:30" x14ac:dyDescent="0.2">
      <c r="A117" s="3">
        <f>Gegenstände!A117</f>
        <v>234</v>
      </c>
      <c r="B117" s="3" t="str">
        <f>Gegenstände!B117</f>
        <v>Eschen-Stützbalken</v>
      </c>
      <c r="D117" s="3">
        <f>Gegenstände!K117</f>
        <v>10000</v>
      </c>
      <c r="E117" s="3">
        <f>Gegenstände!I117</f>
        <v>33</v>
      </c>
      <c r="F117" s="3">
        <f>VLOOKUP(Gegenstände!E117,Berechnungen!$E$87:$F$115,2,FALSE)</f>
        <v>33</v>
      </c>
      <c r="G117" s="3">
        <f>Gegenstände!H117</f>
        <v>1</v>
      </c>
      <c r="H117" s="3">
        <f>Gegenstände!G117</f>
        <v>0</v>
      </c>
      <c r="I117" s="3">
        <f>Gegenstände!D117</f>
        <v>15</v>
      </c>
      <c r="J117" s="168">
        <f>ROUND(Gegenstände!N117,0)</f>
        <v>14400</v>
      </c>
      <c r="K117" s="3">
        <f>Gegenstände!J117</f>
        <v>0</v>
      </c>
      <c r="L117" s="3">
        <f>Gegenstände!L117</f>
        <v>1</v>
      </c>
      <c r="M117" s="3">
        <f>Gegenstände!Z117</f>
        <v>0</v>
      </c>
      <c r="N117" s="783">
        <f>(Gegenstände!Y117*10)</f>
        <v>0</v>
      </c>
      <c r="O117" s="783">
        <f>(Gegenstände!W117*10)</f>
        <v>0</v>
      </c>
      <c r="P117" s="783">
        <f>Gegenstände!AA117*10</f>
        <v>0</v>
      </c>
      <c r="Q117" s="783">
        <f>Gegenstände!O117</f>
        <v>0</v>
      </c>
      <c r="R117" s="168">
        <f>Gegenstände!S117</f>
        <v>0</v>
      </c>
      <c r="S117" s="168">
        <f>Gegenstände!T117</f>
        <v>0</v>
      </c>
      <c r="T117" s="783">
        <f>Gegenstände!AC117</f>
        <v>0</v>
      </c>
      <c r="U117" s="783">
        <f>Gegenstände!AE117</f>
        <v>0</v>
      </c>
      <c r="V117" s="783">
        <f>Gegenstände!AD117</f>
        <v>0</v>
      </c>
      <c r="W117" s="783">
        <f>Gegenstände!AF117</f>
        <v>0</v>
      </c>
      <c r="AB117" s="3">
        <f>Gegenstände!M117</f>
        <v>0</v>
      </c>
      <c r="AC117" s="3">
        <f>Gegenstände!AB117</f>
        <v>0</v>
      </c>
      <c r="AD117" s="3">
        <f>Gegenstände!F117</f>
        <v>0</v>
      </c>
    </row>
    <row r="118" spans="1:30" x14ac:dyDescent="0.2">
      <c r="A118" s="3">
        <f>Gegenstände!A118</f>
        <v>0</v>
      </c>
      <c r="B118" s="3">
        <f>Gegenstände!B118</f>
        <v>0</v>
      </c>
      <c r="D118" s="3">
        <f>Gegenstände!K118</f>
        <v>0</v>
      </c>
      <c r="E118" s="3">
        <f>Gegenstände!I118</f>
        <v>0</v>
      </c>
      <c r="F118" s="3" t="e">
        <f>VLOOKUP(Gegenstände!E118,Berechnungen!$E$87:$F$115,2,FALSE)</f>
        <v>#N/A</v>
      </c>
      <c r="G118" s="3">
        <f>Gegenstände!H118</f>
        <v>0</v>
      </c>
      <c r="H118" s="3">
        <f>Gegenstände!G118</f>
        <v>0</v>
      </c>
      <c r="I118" s="3">
        <f>Gegenstände!D118</f>
        <v>0</v>
      </c>
      <c r="J118" s="168">
        <f>ROUND(Gegenstände!N118,0)</f>
        <v>0</v>
      </c>
      <c r="K118" s="3">
        <f>Gegenstände!J118</f>
        <v>0</v>
      </c>
      <c r="L118" s="3">
        <f>Gegenstände!L118</f>
        <v>0</v>
      </c>
      <c r="M118" s="3">
        <f>Gegenstände!Z118</f>
        <v>0</v>
      </c>
      <c r="N118" s="783">
        <f>(Gegenstände!Y118*10)</f>
        <v>0</v>
      </c>
      <c r="O118" s="783">
        <f>(Gegenstände!W118*10)</f>
        <v>0</v>
      </c>
      <c r="P118" s="783">
        <f>Gegenstände!AA118*10</f>
        <v>0</v>
      </c>
      <c r="Q118" s="783">
        <f>Gegenstände!O118</f>
        <v>0</v>
      </c>
      <c r="R118" s="168">
        <f>Gegenstände!S118</f>
        <v>0</v>
      </c>
      <c r="S118" s="168">
        <f>Gegenstände!T118</f>
        <v>0</v>
      </c>
      <c r="T118" s="783">
        <f>Gegenstände!AC118</f>
        <v>0</v>
      </c>
      <c r="U118" s="783">
        <f>Gegenstände!AE118</f>
        <v>0</v>
      </c>
      <c r="V118" s="783">
        <f>Gegenstände!AD118</f>
        <v>0</v>
      </c>
      <c r="W118" s="783">
        <f>Gegenstände!AF118</f>
        <v>0</v>
      </c>
      <c r="AB118" s="3">
        <f>Gegenstände!M118</f>
        <v>0</v>
      </c>
      <c r="AC118" s="3">
        <f>Gegenstände!AB118</f>
        <v>0</v>
      </c>
      <c r="AD118" s="3">
        <f>Gegenstände!F118</f>
        <v>0</v>
      </c>
    </row>
    <row r="119" spans="1:30" x14ac:dyDescent="0.2">
      <c r="A119" s="3">
        <f>Gegenstände!A119</f>
        <v>241</v>
      </c>
      <c r="B119" s="3" t="str">
        <f>Gegenstände!B119</f>
        <v>Marmor-Mauerstück</v>
      </c>
      <c r="D119" s="3">
        <f>Gegenstände!K119</f>
        <v>10000</v>
      </c>
      <c r="E119" s="3">
        <f>Gegenstände!I119</f>
        <v>33</v>
      </c>
      <c r="F119" s="3">
        <f>VLOOKUP(Gegenstände!E119,Berechnungen!$E$87:$F$115,2,FALSE)</f>
        <v>33</v>
      </c>
      <c r="G119" s="3">
        <f>Gegenstände!H119</f>
        <v>1</v>
      </c>
      <c r="H119" s="3">
        <f>Gegenstände!G119</f>
        <v>0</v>
      </c>
      <c r="I119" s="3">
        <f>Gegenstände!D119</f>
        <v>20</v>
      </c>
      <c r="J119" s="168">
        <f>ROUND(Gegenstände!N119,0)</f>
        <v>41600</v>
      </c>
      <c r="K119" s="3">
        <f>Gegenstände!J119</f>
        <v>0</v>
      </c>
      <c r="L119" s="3">
        <f>Gegenstände!L119</f>
        <v>1</v>
      </c>
      <c r="M119" s="3">
        <f>Gegenstände!Z119</f>
        <v>0</v>
      </c>
      <c r="N119" s="783">
        <f>(Gegenstände!Y119*10)</f>
        <v>0</v>
      </c>
      <c r="O119" s="783">
        <f>(Gegenstände!W119*10)</f>
        <v>0</v>
      </c>
      <c r="P119" s="783">
        <f>Gegenstände!AA119*10</f>
        <v>0</v>
      </c>
      <c r="Q119" s="783">
        <f>Gegenstände!O119</f>
        <v>0</v>
      </c>
      <c r="R119" s="168">
        <f>Gegenstände!S119</f>
        <v>0</v>
      </c>
      <c r="S119" s="168">
        <f>Gegenstände!T119</f>
        <v>0</v>
      </c>
      <c r="T119" s="783">
        <f>Gegenstände!AC119</f>
        <v>0</v>
      </c>
      <c r="U119" s="783">
        <f>Gegenstände!AE119</f>
        <v>0</v>
      </c>
      <c r="V119" s="783">
        <f>Gegenstände!AD119</f>
        <v>0</v>
      </c>
      <c r="W119" s="783">
        <f>Gegenstände!AF119</f>
        <v>0</v>
      </c>
      <c r="AB119" s="3">
        <f>Gegenstände!M119</f>
        <v>0</v>
      </c>
      <c r="AC119" s="3">
        <f>Gegenstände!AB119</f>
        <v>0</v>
      </c>
      <c r="AD119" s="3">
        <f>Gegenstände!F119</f>
        <v>0</v>
      </c>
    </row>
    <row r="120" spans="1:30" x14ac:dyDescent="0.2">
      <c r="A120" s="3">
        <f>Gegenstände!A120</f>
        <v>242</v>
      </c>
      <c r="B120" s="3" t="str">
        <f>Gegenstände!B120</f>
        <v>Marmor-Bodenplatte</v>
      </c>
      <c r="D120" s="3">
        <f>Gegenstände!K120</f>
        <v>10000</v>
      </c>
      <c r="E120" s="3">
        <f>Gegenstände!I120</f>
        <v>33</v>
      </c>
      <c r="F120" s="3">
        <f>VLOOKUP(Gegenstände!E120,Berechnungen!$E$87:$F$115,2,FALSE)</f>
        <v>33</v>
      </c>
      <c r="G120" s="3">
        <f>Gegenstände!H120</f>
        <v>1</v>
      </c>
      <c r="H120" s="3">
        <f>Gegenstände!G120</f>
        <v>0</v>
      </c>
      <c r="I120" s="3">
        <f>Gegenstände!D120</f>
        <v>20</v>
      </c>
      <c r="J120" s="168">
        <f>ROUND(Gegenstände!N120,0)</f>
        <v>35200</v>
      </c>
      <c r="K120" s="3">
        <f>Gegenstände!J120</f>
        <v>0</v>
      </c>
      <c r="L120" s="3">
        <f>Gegenstände!L120</f>
        <v>1</v>
      </c>
      <c r="M120" s="3">
        <f>Gegenstände!Z120</f>
        <v>0</v>
      </c>
      <c r="N120" s="783">
        <f>(Gegenstände!Y120*10)</f>
        <v>0</v>
      </c>
      <c r="O120" s="783">
        <f>(Gegenstände!W120*10)</f>
        <v>0</v>
      </c>
      <c r="P120" s="783">
        <f>Gegenstände!AA120*10</f>
        <v>0</v>
      </c>
      <c r="Q120" s="783">
        <f>Gegenstände!O120</f>
        <v>0</v>
      </c>
      <c r="R120" s="168">
        <f>Gegenstände!S120</f>
        <v>0</v>
      </c>
      <c r="S120" s="168">
        <f>Gegenstände!T120</f>
        <v>0</v>
      </c>
      <c r="T120" s="783">
        <f>Gegenstände!AC120</f>
        <v>0</v>
      </c>
      <c r="U120" s="783">
        <f>Gegenstände!AE120</f>
        <v>0</v>
      </c>
      <c r="V120" s="783">
        <f>Gegenstände!AD120</f>
        <v>0</v>
      </c>
      <c r="W120" s="783">
        <f>Gegenstände!AF120</f>
        <v>0</v>
      </c>
      <c r="AB120" s="3">
        <f>Gegenstände!M120</f>
        <v>0</v>
      </c>
      <c r="AC120" s="3">
        <f>Gegenstände!AB120</f>
        <v>0</v>
      </c>
      <c r="AD120" s="3">
        <f>Gegenstände!F120</f>
        <v>0</v>
      </c>
    </row>
    <row r="121" spans="1:30" x14ac:dyDescent="0.2">
      <c r="A121" s="3">
        <f>Gegenstände!A121</f>
        <v>243</v>
      </c>
      <c r="B121" s="3" t="str">
        <f>Gegenstände!B121</f>
        <v>Eiben-Dachkonstrukt</v>
      </c>
      <c r="D121" s="3">
        <f>Gegenstände!K121</f>
        <v>10000</v>
      </c>
      <c r="E121" s="3">
        <f>Gegenstände!I121</f>
        <v>33</v>
      </c>
      <c r="F121" s="3">
        <f>VLOOKUP(Gegenstände!E121,Berechnungen!$E$87:$F$115,2,FALSE)</f>
        <v>33</v>
      </c>
      <c r="G121" s="3">
        <f>Gegenstände!H121</f>
        <v>1</v>
      </c>
      <c r="H121" s="3">
        <f>Gegenstände!G121</f>
        <v>0</v>
      </c>
      <c r="I121" s="3">
        <f>Gegenstände!D121</f>
        <v>20</v>
      </c>
      <c r="J121" s="168">
        <f>ROUND(Gegenstände!N121,0)</f>
        <v>51200</v>
      </c>
      <c r="K121" s="3">
        <f>Gegenstände!J121</f>
        <v>0</v>
      </c>
      <c r="L121" s="3">
        <f>Gegenstände!L121</f>
        <v>1</v>
      </c>
      <c r="M121" s="3">
        <f>Gegenstände!Z121</f>
        <v>0</v>
      </c>
      <c r="N121" s="783">
        <f>(Gegenstände!Y121*10)</f>
        <v>0</v>
      </c>
      <c r="O121" s="783">
        <f>(Gegenstände!W121*10)</f>
        <v>0</v>
      </c>
      <c r="P121" s="783">
        <f>Gegenstände!AA121*10</f>
        <v>0</v>
      </c>
      <c r="Q121" s="783">
        <f>Gegenstände!O121</f>
        <v>0</v>
      </c>
      <c r="R121" s="168">
        <f>Gegenstände!S121</f>
        <v>0</v>
      </c>
      <c r="S121" s="168">
        <f>Gegenstände!T121</f>
        <v>0</v>
      </c>
      <c r="T121" s="783">
        <f>Gegenstände!AC121</f>
        <v>0</v>
      </c>
      <c r="U121" s="783">
        <f>Gegenstände!AE121</f>
        <v>0</v>
      </c>
      <c r="V121" s="783">
        <f>Gegenstände!AD121</f>
        <v>0</v>
      </c>
      <c r="W121" s="783">
        <f>Gegenstände!AF121</f>
        <v>0</v>
      </c>
      <c r="AB121" s="3">
        <f>Gegenstände!M121</f>
        <v>0</v>
      </c>
      <c r="AC121" s="3">
        <f>Gegenstände!AB121</f>
        <v>0</v>
      </c>
      <c r="AD121" s="3">
        <f>Gegenstände!F121</f>
        <v>0</v>
      </c>
    </row>
    <row r="122" spans="1:30" x14ac:dyDescent="0.2">
      <c r="A122" s="3">
        <f>Gegenstände!A122</f>
        <v>244</v>
      </c>
      <c r="B122" s="3" t="str">
        <f>Gegenstände!B122</f>
        <v>Eiben-Stützbalken</v>
      </c>
      <c r="D122" s="3">
        <f>Gegenstände!K122</f>
        <v>10000</v>
      </c>
      <c r="E122" s="3">
        <f>Gegenstände!I122</f>
        <v>33</v>
      </c>
      <c r="F122" s="3">
        <f>VLOOKUP(Gegenstände!E122,Berechnungen!$E$87:$F$115,2,FALSE)</f>
        <v>33</v>
      </c>
      <c r="G122" s="3">
        <f>Gegenstände!H122</f>
        <v>1</v>
      </c>
      <c r="H122" s="3">
        <f>Gegenstände!G122</f>
        <v>0</v>
      </c>
      <c r="I122" s="3">
        <f>Gegenstände!D122</f>
        <v>20</v>
      </c>
      <c r="J122" s="168">
        <f>ROUND(Gegenstände!N122,0)</f>
        <v>28800</v>
      </c>
      <c r="K122" s="3">
        <f>Gegenstände!J122</f>
        <v>0</v>
      </c>
      <c r="L122" s="3">
        <f>Gegenstände!L122</f>
        <v>1</v>
      </c>
      <c r="M122" s="3">
        <f>Gegenstände!Z122</f>
        <v>0</v>
      </c>
      <c r="N122" s="783">
        <f>(Gegenstände!Y122*10)</f>
        <v>0</v>
      </c>
      <c r="O122" s="783">
        <f>(Gegenstände!W122*10)</f>
        <v>0</v>
      </c>
      <c r="P122" s="783">
        <f>Gegenstände!AA122*10</f>
        <v>0</v>
      </c>
      <c r="Q122" s="783">
        <f>Gegenstände!O122</f>
        <v>0</v>
      </c>
      <c r="R122" s="168">
        <f>Gegenstände!S122</f>
        <v>0</v>
      </c>
      <c r="S122" s="168">
        <f>Gegenstände!T122</f>
        <v>0</v>
      </c>
      <c r="T122" s="783">
        <f>Gegenstände!AC122</f>
        <v>0</v>
      </c>
      <c r="U122" s="783">
        <f>Gegenstände!AE122</f>
        <v>0</v>
      </c>
      <c r="V122" s="783">
        <f>Gegenstände!AD122</f>
        <v>0</v>
      </c>
      <c r="W122" s="783">
        <f>Gegenstände!AF122</f>
        <v>0</v>
      </c>
      <c r="AB122" s="3">
        <f>Gegenstände!M122</f>
        <v>0</v>
      </c>
      <c r="AC122" s="3">
        <f>Gegenstände!AB122</f>
        <v>0</v>
      </c>
      <c r="AD122" s="3">
        <f>Gegenstände!F122</f>
        <v>0</v>
      </c>
    </row>
    <row r="123" spans="1:30" x14ac:dyDescent="0.2">
      <c r="A123" s="3">
        <f>Gegenstände!A123</f>
        <v>0</v>
      </c>
      <c r="B123" s="3" t="str">
        <f>Gegenstände!B123</f>
        <v>Edelsteine</v>
      </c>
      <c r="D123" s="3">
        <f>Gegenstände!K123</f>
        <v>0</v>
      </c>
      <c r="E123" s="3">
        <f>Gegenstände!I123</f>
        <v>0</v>
      </c>
      <c r="F123" s="3" t="e">
        <f>VLOOKUP(Gegenstände!E123,Berechnungen!$E$87:$F$115,2,FALSE)</f>
        <v>#N/A</v>
      </c>
      <c r="G123" s="3">
        <f>Gegenstände!H123</f>
        <v>0</v>
      </c>
      <c r="H123" s="3">
        <f>Gegenstände!G123</f>
        <v>0</v>
      </c>
      <c r="I123" s="3">
        <f>Gegenstände!D123</f>
        <v>0</v>
      </c>
      <c r="J123" s="168">
        <f>ROUND(Gegenstände!N123,0)</f>
        <v>0</v>
      </c>
      <c r="K123" s="3">
        <f>Gegenstände!J123</f>
        <v>0</v>
      </c>
      <c r="L123" s="3">
        <f>Gegenstände!L123</f>
        <v>0</v>
      </c>
      <c r="M123" s="3">
        <f>Gegenstände!Z123</f>
        <v>0</v>
      </c>
      <c r="N123" s="783">
        <f>(Gegenstände!Y123*10)</f>
        <v>0</v>
      </c>
      <c r="O123" s="783">
        <f>(Gegenstände!W123*10)</f>
        <v>0</v>
      </c>
      <c r="P123" s="783">
        <f>Gegenstände!AA123*10</f>
        <v>0</v>
      </c>
      <c r="Q123" s="783">
        <f>Gegenstände!O123</f>
        <v>0</v>
      </c>
      <c r="R123" s="168">
        <f>Gegenstände!S123</f>
        <v>0</v>
      </c>
      <c r="S123" s="168">
        <f>Gegenstände!T123</f>
        <v>0</v>
      </c>
      <c r="T123" s="783">
        <f>Gegenstände!AC123</f>
        <v>0</v>
      </c>
      <c r="U123" s="783">
        <f>Gegenstände!AE123</f>
        <v>0</v>
      </c>
      <c r="V123" s="783">
        <f>Gegenstände!AD123</f>
        <v>0</v>
      </c>
      <c r="W123" s="783">
        <f>Gegenstände!AF123</f>
        <v>0</v>
      </c>
      <c r="AB123" s="3">
        <f>Gegenstände!M123</f>
        <v>0</v>
      </c>
      <c r="AC123" s="3">
        <f>Gegenstände!AB123</f>
        <v>0</v>
      </c>
      <c r="AD123" s="3">
        <f>Gegenstände!F123</f>
        <v>0</v>
      </c>
    </row>
    <row r="124" spans="1:30" x14ac:dyDescent="0.2">
      <c r="A124" s="3">
        <f>Gegenstände!A124</f>
        <v>301</v>
      </c>
      <c r="B124" s="3" t="str">
        <f>Gegenstände!B124</f>
        <v>Kristall</v>
      </c>
      <c r="D124" s="3">
        <f>Gegenstände!K124</f>
        <v>100</v>
      </c>
      <c r="E124" s="3">
        <f>Gegenstände!I124</f>
        <v>34</v>
      </c>
      <c r="F124" s="3">
        <f>VLOOKUP(Gegenstände!E124,Berechnungen!$E$87:$F$115,2,FALSE)</f>
        <v>34</v>
      </c>
      <c r="G124" s="3">
        <f>Gegenstände!H124</f>
        <v>2</v>
      </c>
      <c r="H124" s="3">
        <f>Gegenstände!G124</f>
        <v>0</v>
      </c>
      <c r="I124" s="3">
        <f>Gegenstände!D124</f>
        <v>0</v>
      </c>
      <c r="J124" s="168">
        <f>ROUND(Gegenstände!N124,0)</f>
        <v>500</v>
      </c>
      <c r="K124" s="3">
        <f>Gegenstände!J124</f>
        <v>0</v>
      </c>
      <c r="L124" s="3">
        <f>Gegenstände!L124</f>
        <v>1</v>
      </c>
      <c r="M124" s="3">
        <f>Gegenstände!Z124</f>
        <v>0</v>
      </c>
      <c r="N124" s="783">
        <f>(Gegenstände!Y124*10)</f>
        <v>0</v>
      </c>
      <c r="O124" s="783">
        <f>(Gegenstände!W124*10)</f>
        <v>0</v>
      </c>
      <c r="P124" s="783">
        <f>Gegenstände!AA124*10</f>
        <v>0</v>
      </c>
      <c r="Q124" s="783">
        <f>Gegenstände!O124</f>
        <v>0</v>
      </c>
      <c r="R124" s="168">
        <f>Gegenstände!S124</f>
        <v>0</v>
      </c>
      <c r="S124" s="168">
        <f>Gegenstände!T124</f>
        <v>0</v>
      </c>
      <c r="T124" s="783">
        <f>Gegenstände!AC124</f>
        <v>0</v>
      </c>
      <c r="U124" s="783">
        <f>Gegenstände!AE124</f>
        <v>0</v>
      </c>
      <c r="V124" s="783">
        <f>Gegenstände!AD124</f>
        <v>0</v>
      </c>
      <c r="W124" s="783">
        <f>Gegenstände!AF124</f>
        <v>0</v>
      </c>
      <c r="AB124" s="3">
        <f>Gegenstände!M124</f>
        <v>0</v>
      </c>
      <c r="AC124" s="3">
        <f>Gegenstände!AB124</f>
        <v>0</v>
      </c>
      <c r="AD124" s="3">
        <f>Gegenstände!F124</f>
        <v>0</v>
      </c>
    </row>
    <row r="125" spans="1:30" x14ac:dyDescent="0.2">
      <c r="A125" s="3">
        <f>Gegenstände!A125</f>
        <v>302</v>
      </c>
      <c r="B125" s="3" t="str">
        <f>Gegenstände!B125</f>
        <v>Quarz</v>
      </c>
      <c r="D125" s="3">
        <f>Gegenstände!K125</f>
        <v>100</v>
      </c>
      <c r="E125" s="3">
        <f>Gegenstände!I125</f>
        <v>34</v>
      </c>
      <c r="F125" s="3">
        <f>VLOOKUP(Gegenstände!E125,Berechnungen!$E$87:$F$115,2,FALSE)</f>
        <v>34</v>
      </c>
      <c r="G125" s="3">
        <f>Gegenstände!H125</f>
        <v>2</v>
      </c>
      <c r="H125" s="3">
        <f>Gegenstände!G125</f>
        <v>0</v>
      </c>
      <c r="I125" s="3">
        <f>Gegenstände!D125</f>
        <v>5</v>
      </c>
      <c r="J125" s="168">
        <f>ROUND(Gegenstände!N125,0)</f>
        <v>1000</v>
      </c>
      <c r="K125" s="3">
        <f>Gegenstände!J125</f>
        <v>0</v>
      </c>
      <c r="L125" s="3">
        <f>Gegenstände!L125</f>
        <v>1</v>
      </c>
      <c r="M125" s="3">
        <f>Gegenstände!Z125</f>
        <v>0</v>
      </c>
      <c r="N125" s="783">
        <f>(Gegenstände!Y125*10)</f>
        <v>0</v>
      </c>
      <c r="O125" s="783">
        <f>(Gegenstände!W125*10)</f>
        <v>0</v>
      </c>
      <c r="P125" s="783">
        <f>Gegenstände!AA125*10</f>
        <v>0</v>
      </c>
      <c r="Q125" s="783">
        <f>Gegenstände!O125</f>
        <v>0</v>
      </c>
      <c r="R125" s="168">
        <f>Gegenstände!S125</f>
        <v>0</v>
      </c>
      <c r="S125" s="168">
        <f>Gegenstände!T125</f>
        <v>0</v>
      </c>
      <c r="T125" s="783">
        <f>Gegenstände!AC125</f>
        <v>0</v>
      </c>
      <c r="U125" s="783">
        <f>Gegenstände!AE125</f>
        <v>0</v>
      </c>
      <c r="V125" s="783">
        <f>Gegenstände!AD125</f>
        <v>0</v>
      </c>
      <c r="W125" s="783">
        <f>Gegenstände!AF125</f>
        <v>0</v>
      </c>
      <c r="AB125" s="3">
        <f>Gegenstände!M125</f>
        <v>0</v>
      </c>
      <c r="AC125" s="3">
        <f>Gegenstände!AB125</f>
        <v>0</v>
      </c>
      <c r="AD125" s="3">
        <f>Gegenstände!F125</f>
        <v>0</v>
      </c>
    </row>
    <row r="126" spans="1:30" x14ac:dyDescent="0.2">
      <c r="A126" s="3">
        <f>Gegenstände!A126</f>
        <v>303</v>
      </c>
      <c r="B126" s="3" t="str">
        <f>Gegenstände!B126</f>
        <v>Smaragd</v>
      </c>
      <c r="D126" s="3">
        <f>Gegenstände!K126</f>
        <v>100</v>
      </c>
      <c r="E126" s="3">
        <f>Gegenstände!I126</f>
        <v>34</v>
      </c>
      <c r="F126" s="3">
        <f>VLOOKUP(Gegenstände!E126,Berechnungen!$E$87:$F$115,2,FALSE)</f>
        <v>34</v>
      </c>
      <c r="G126" s="3">
        <f>Gegenstände!H126</f>
        <v>2</v>
      </c>
      <c r="H126" s="3">
        <f>Gegenstände!G126</f>
        <v>0</v>
      </c>
      <c r="I126" s="3">
        <f>Gegenstände!D126</f>
        <v>10</v>
      </c>
      <c r="J126" s="168">
        <f>ROUND(Gegenstände!N126,0)</f>
        <v>2000</v>
      </c>
      <c r="K126" s="3">
        <f>Gegenstände!J126</f>
        <v>0</v>
      </c>
      <c r="L126" s="3">
        <f>Gegenstände!L126</f>
        <v>1</v>
      </c>
      <c r="M126" s="3">
        <f>Gegenstände!Z126</f>
        <v>0</v>
      </c>
      <c r="N126" s="783">
        <f>(Gegenstände!Y126*10)</f>
        <v>0</v>
      </c>
      <c r="O126" s="783">
        <f>(Gegenstände!W126*10)</f>
        <v>0</v>
      </c>
      <c r="P126" s="783">
        <f>Gegenstände!AA126*10</f>
        <v>0</v>
      </c>
      <c r="Q126" s="783">
        <f>Gegenstände!O126</f>
        <v>0</v>
      </c>
      <c r="R126" s="168">
        <f>Gegenstände!S126</f>
        <v>0</v>
      </c>
      <c r="S126" s="168">
        <f>Gegenstände!T126</f>
        <v>0</v>
      </c>
      <c r="T126" s="783">
        <f>Gegenstände!AC126</f>
        <v>0</v>
      </c>
      <c r="U126" s="783">
        <f>Gegenstände!AE126</f>
        <v>0</v>
      </c>
      <c r="V126" s="783">
        <f>Gegenstände!AD126</f>
        <v>0</v>
      </c>
      <c r="W126" s="783">
        <f>Gegenstände!AF126</f>
        <v>0</v>
      </c>
      <c r="AB126" s="3">
        <f>Gegenstände!M126</f>
        <v>0</v>
      </c>
      <c r="AC126" s="3">
        <f>Gegenstände!AB126</f>
        <v>0</v>
      </c>
      <c r="AD126" s="3">
        <f>Gegenstände!F126</f>
        <v>0</v>
      </c>
    </row>
    <row r="127" spans="1:30" x14ac:dyDescent="0.2">
      <c r="A127" s="3">
        <f>Gegenstände!A127</f>
        <v>304</v>
      </c>
      <c r="B127" s="3" t="str">
        <f>Gegenstände!B127</f>
        <v>Rubin</v>
      </c>
      <c r="D127" s="3">
        <f>Gegenstände!K127</f>
        <v>100</v>
      </c>
      <c r="E127" s="3">
        <f>Gegenstände!I127</f>
        <v>34</v>
      </c>
      <c r="F127" s="3">
        <f>VLOOKUP(Gegenstände!E127,Berechnungen!$E$87:$F$115,2,FALSE)</f>
        <v>34</v>
      </c>
      <c r="G127" s="3">
        <f>Gegenstände!H127</f>
        <v>2</v>
      </c>
      <c r="H127" s="3">
        <f>Gegenstände!G127</f>
        <v>0</v>
      </c>
      <c r="I127" s="3">
        <f>Gegenstände!D127</f>
        <v>15</v>
      </c>
      <c r="J127" s="168">
        <f>ROUND(Gegenstände!N127,0)</f>
        <v>3500</v>
      </c>
      <c r="K127" s="3">
        <f>Gegenstände!J127</f>
        <v>0</v>
      </c>
      <c r="L127" s="3">
        <f>Gegenstände!L127</f>
        <v>1</v>
      </c>
      <c r="M127" s="3">
        <f>Gegenstände!Z127</f>
        <v>0</v>
      </c>
      <c r="N127" s="783">
        <f>(Gegenstände!Y127*10)</f>
        <v>0</v>
      </c>
      <c r="O127" s="783">
        <f>(Gegenstände!W127*10)</f>
        <v>0</v>
      </c>
      <c r="P127" s="783">
        <f>Gegenstände!AA127*10</f>
        <v>0</v>
      </c>
      <c r="Q127" s="783">
        <f>Gegenstände!O127</f>
        <v>0</v>
      </c>
      <c r="R127" s="168">
        <f>Gegenstände!S127</f>
        <v>0</v>
      </c>
      <c r="S127" s="168">
        <f>Gegenstände!T127</f>
        <v>0</v>
      </c>
      <c r="T127" s="783">
        <f>Gegenstände!AC127</f>
        <v>0</v>
      </c>
      <c r="U127" s="783">
        <f>Gegenstände!AE127</f>
        <v>0</v>
      </c>
      <c r="V127" s="783">
        <f>Gegenstände!AD127</f>
        <v>0</v>
      </c>
      <c r="W127" s="783">
        <f>Gegenstände!AF127</f>
        <v>0</v>
      </c>
      <c r="AB127" s="3">
        <f>Gegenstände!M127</f>
        <v>0</v>
      </c>
      <c r="AC127" s="3">
        <f>Gegenstände!AB127</f>
        <v>0</v>
      </c>
      <c r="AD127" s="3">
        <f>Gegenstände!F127</f>
        <v>0</v>
      </c>
    </row>
    <row r="128" spans="1:30" x14ac:dyDescent="0.2">
      <c r="A128" s="3">
        <f>Gegenstände!A128</f>
        <v>305</v>
      </c>
      <c r="B128" s="3" t="str">
        <f>Gegenstände!B128</f>
        <v>Obsidian</v>
      </c>
      <c r="D128" s="3">
        <f>Gegenstände!K128</f>
        <v>100</v>
      </c>
      <c r="E128" s="3">
        <f>Gegenstände!I128</f>
        <v>34</v>
      </c>
      <c r="F128" s="3">
        <f>VLOOKUP(Gegenstände!E128,Berechnungen!$E$87:$F$115,2,FALSE)</f>
        <v>34</v>
      </c>
      <c r="G128" s="3">
        <f>Gegenstände!H128</f>
        <v>2</v>
      </c>
      <c r="H128" s="3">
        <f>Gegenstände!G128</f>
        <v>0</v>
      </c>
      <c r="I128" s="3">
        <f>Gegenstände!D128</f>
        <v>20</v>
      </c>
      <c r="J128" s="168">
        <f>ROUND(Gegenstände!N128,0)</f>
        <v>5000</v>
      </c>
      <c r="K128" s="3">
        <f>Gegenstände!J128</f>
        <v>0</v>
      </c>
      <c r="L128" s="3">
        <f>Gegenstände!L128</f>
        <v>1</v>
      </c>
      <c r="M128" s="3">
        <f>Gegenstände!Z128</f>
        <v>0</v>
      </c>
      <c r="N128" s="783">
        <f>(Gegenstände!Y128*10)</f>
        <v>0</v>
      </c>
      <c r="O128" s="783">
        <f>(Gegenstände!W128*10)</f>
        <v>0</v>
      </c>
      <c r="P128" s="783">
        <f>Gegenstände!AA128*10</f>
        <v>0</v>
      </c>
      <c r="Q128" s="783">
        <f>Gegenstände!O128</f>
        <v>0</v>
      </c>
      <c r="R128" s="168">
        <f>Gegenstände!S128</f>
        <v>0</v>
      </c>
      <c r="S128" s="168">
        <f>Gegenstände!T128</f>
        <v>0</v>
      </c>
      <c r="T128" s="783">
        <f>Gegenstände!AC128</f>
        <v>0</v>
      </c>
      <c r="U128" s="783">
        <f>Gegenstände!AE128</f>
        <v>0</v>
      </c>
      <c r="V128" s="783">
        <f>Gegenstände!AD128</f>
        <v>0</v>
      </c>
      <c r="W128" s="783">
        <f>Gegenstände!AF128</f>
        <v>0</v>
      </c>
      <c r="AB128" s="3">
        <f>Gegenstände!M128</f>
        <v>0</v>
      </c>
      <c r="AC128" s="3">
        <f>Gegenstände!AB128</f>
        <v>0</v>
      </c>
      <c r="AD128" s="3">
        <f>Gegenstände!F128</f>
        <v>0</v>
      </c>
    </row>
    <row r="129" spans="1:30" x14ac:dyDescent="0.2">
      <c r="A129" s="3">
        <f>Gegenstände!A129</f>
        <v>306</v>
      </c>
      <c r="B129" s="3" t="str">
        <f>Gegenstände!B129</f>
        <v>Achat</v>
      </c>
      <c r="D129" s="3">
        <f>Gegenstände!K129</f>
        <v>100</v>
      </c>
      <c r="E129" s="3">
        <f>Gegenstände!I129</f>
        <v>34</v>
      </c>
      <c r="F129" s="3">
        <f>VLOOKUP(Gegenstände!E129,Berechnungen!$E$87:$F$115,2,FALSE)</f>
        <v>34</v>
      </c>
      <c r="G129" s="3">
        <f>Gegenstände!H129</f>
        <v>2</v>
      </c>
      <c r="H129" s="3">
        <f>Gegenstände!G129</f>
        <v>0</v>
      </c>
      <c r="I129" s="3">
        <f>Gegenstände!D129</f>
        <v>0</v>
      </c>
      <c r="J129" s="168">
        <f>ROUND(Gegenstände!N129,0)</f>
        <v>500</v>
      </c>
      <c r="K129" s="3">
        <f>Gegenstände!J129</f>
        <v>0</v>
      </c>
      <c r="L129" s="3">
        <f>Gegenstände!L129</f>
        <v>1</v>
      </c>
      <c r="M129" s="3">
        <f>Gegenstände!Z129</f>
        <v>0</v>
      </c>
      <c r="N129" s="783">
        <f>(Gegenstände!Y129*10)</f>
        <v>0</v>
      </c>
      <c r="O129" s="783">
        <f>(Gegenstände!W129*10)</f>
        <v>0</v>
      </c>
      <c r="P129" s="783">
        <f>Gegenstände!AA129*10</f>
        <v>0</v>
      </c>
      <c r="Q129" s="783">
        <f>Gegenstände!O129</f>
        <v>0</v>
      </c>
      <c r="R129" s="168">
        <f>Gegenstände!S129</f>
        <v>0</v>
      </c>
      <c r="S129" s="168">
        <f>Gegenstände!T129</f>
        <v>0</v>
      </c>
      <c r="T129" s="783">
        <f>Gegenstände!AC129</f>
        <v>0</v>
      </c>
      <c r="U129" s="783">
        <f>Gegenstände!AE129</f>
        <v>0</v>
      </c>
      <c r="V129" s="783">
        <f>Gegenstände!AD129</f>
        <v>0</v>
      </c>
      <c r="W129" s="783">
        <f>Gegenstände!AF129</f>
        <v>0</v>
      </c>
      <c r="AB129" s="3">
        <f>Gegenstände!M129</f>
        <v>0</v>
      </c>
      <c r="AC129" s="3">
        <f>Gegenstände!AB129</f>
        <v>0</v>
      </c>
      <c r="AD129" s="3">
        <f>Gegenstände!F129</f>
        <v>0</v>
      </c>
    </row>
    <row r="130" spans="1:30" x14ac:dyDescent="0.2">
      <c r="A130" s="3">
        <f>Gegenstände!A130</f>
        <v>307</v>
      </c>
      <c r="B130" s="3" t="str">
        <f>Gegenstände!B130</f>
        <v>Topas</v>
      </c>
      <c r="D130" s="3">
        <f>Gegenstände!K130</f>
        <v>100</v>
      </c>
      <c r="E130" s="3">
        <f>Gegenstände!I130</f>
        <v>34</v>
      </c>
      <c r="F130" s="3">
        <f>VLOOKUP(Gegenstände!E130,Berechnungen!$E$87:$F$115,2,FALSE)</f>
        <v>34</v>
      </c>
      <c r="G130" s="3">
        <f>Gegenstände!H130</f>
        <v>2</v>
      </c>
      <c r="H130" s="3">
        <f>Gegenstände!G130</f>
        <v>0</v>
      </c>
      <c r="I130" s="3">
        <f>Gegenstände!D130</f>
        <v>5</v>
      </c>
      <c r="J130" s="168">
        <f>ROUND(Gegenstände!N130,0)</f>
        <v>1000</v>
      </c>
      <c r="K130" s="3">
        <f>Gegenstände!J130</f>
        <v>0</v>
      </c>
      <c r="L130" s="3">
        <f>Gegenstände!L130</f>
        <v>1</v>
      </c>
      <c r="M130" s="3">
        <f>Gegenstände!Z130</f>
        <v>0</v>
      </c>
      <c r="N130" s="783">
        <f>(Gegenstände!Y130*10)</f>
        <v>0</v>
      </c>
      <c r="O130" s="783">
        <f>(Gegenstände!W130*10)</f>
        <v>0</v>
      </c>
      <c r="P130" s="783">
        <f>Gegenstände!AA130*10</f>
        <v>0</v>
      </c>
      <c r="Q130" s="783">
        <f>Gegenstände!O130</f>
        <v>0</v>
      </c>
      <c r="R130" s="168">
        <f>Gegenstände!S130</f>
        <v>0</v>
      </c>
      <c r="S130" s="168">
        <f>Gegenstände!T130</f>
        <v>0</v>
      </c>
      <c r="T130" s="783">
        <f>Gegenstände!AC130</f>
        <v>0</v>
      </c>
      <c r="U130" s="783">
        <f>Gegenstände!AE130</f>
        <v>0</v>
      </c>
      <c r="V130" s="783">
        <f>Gegenstände!AD130</f>
        <v>0</v>
      </c>
      <c r="W130" s="783">
        <f>Gegenstände!AF130</f>
        <v>0</v>
      </c>
      <c r="AB130" s="3">
        <f>Gegenstände!M130</f>
        <v>0</v>
      </c>
      <c r="AC130" s="3">
        <f>Gegenstände!AB130</f>
        <v>0</v>
      </c>
      <c r="AD130" s="3">
        <f>Gegenstände!F130</f>
        <v>0</v>
      </c>
    </row>
    <row r="131" spans="1:30" x14ac:dyDescent="0.2">
      <c r="A131" s="3">
        <f>Gegenstände!A131</f>
        <v>308</v>
      </c>
      <c r="B131" s="3" t="str">
        <f>Gegenstände!B131</f>
        <v>Saphir</v>
      </c>
      <c r="D131" s="3">
        <f>Gegenstände!K131</f>
        <v>100</v>
      </c>
      <c r="E131" s="3">
        <f>Gegenstände!I131</f>
        <v>34</v>
      </c>
      <c r="F131" s="3">
        <f>VLOOKUP(Gegenstände!E131,Berechnungen!$E$87:$F$115,2,FALSE)</f>
        <v>34</v>
      </c>
      <c r="G131" s="3">
        <f>Gegenstände!H131</f>
        <v>2</v>
      </c>
      <c r="H131" s="3">
        <f>Gegenstände!G131</f>
        <v>0</v>
      </c>
      <c r="I131" s="3">
        <f>Gegenstände!D131</f>
        <v>10</v>
      </c>
      <c r="J131" s="168">
        <f>ROUND(Gegenstände!N131,0)</f>
        <v>2000</v>
      </c>
      <c r="K131" s="3">
        <f>Gegenstände!J131</f>
        <v>0</v>
      </c>
      <c r="L131" s="3">
        <f>Gegenstände!L131</f>
        <v>1</v>
      </c>
      <c r="M131" s="3">
        <f>Gegenstände!Z131</f>
        <v>0</v>
      </c>
      <c r="N131" s="783">
        <f>(Gegenstände!Y131*10)</f>
        <v>0</v>
      </c>
      <c r="O131" s="783">
        <f>(Gegenstände!W131*10)</f>
        <v>0</v>
      </c>
      <c r="P131" s="783">
        <f>Gegenstände!AA131*10</f>
        <v>0</v>
      </c>
      <c r="Q131" s="783">
        <f>Gegenstände!O131</f>
        <v>0</v>
      </c>
      <c r="R131" s="168">
        <f>Gegenstände!S131</f>
        <v>0</v>
      </c>
      <c r="S131" s="168">
        <f>Gegenstände!T131</f>
        <v>0</v>
      </c>
      <c r="T131" s="783">
        <f>Gegenstände!AC131</f>
        <v>0</v>
      </c>
      <c r="U131" s="783">
        <f>Gegenstände!AE131</f>
        <v>0</v>
      </c>
      <c r="V131" s="783">
        <f>Gegenstände!AD131</f>
        <v>0</v>
      </c>
      <c r="W131" s="783">
        <f>Gegenstände!AF131</f>
        <v>0</v>
      </c>
      <c r="AB131" s="3">
        <f>Gegenstände!M131</f>
        <v>0</v>
      </c>
      <c r="AC131" s="3">
        <f>Gegenstände!AB131</f>
        <v>0</v>
      </c>
      <c r="AD131" s="3">
        <f>Gegenstände!F131</f>
        <v>0</v>
      </c>
    </row>
    <row r="132" spans="1:30" x14ac:dyDescent="0.2">
      <c r="A132" s="3">
        <f>Gegenstände!A132</f>
        <v>309</v>
      </c>
      <c r="B132" s="3" t="str">
        <f>Gegenstände!B132</f>
        <v>Lapis</v>
      </c>
      <c r="D132" s="3">
        <f>Gegenstände!K132</f>
        <v>100</v>
      </c>
      <c r="E132" s="3">
        <f>Gegenstände!I132</f>
        <v>34</v>
      </c>
      <c r="F132" s="3">
        <f>VLOOKUP(Gegenstände!E132,Berechnungen!$E$87:$F$115,2,FALSE)</f>
        <v>34</v>
      </c>
      <c r="G132" s="3">
        <f>Gegenstände!H132</f>
        <v>2</v>
      </c>
      <c r="H132" s="3">
        <f>Gegenstände!G132</f>
        <v>0</v>
      </c>
      <c r="I132" s="3">
        <f>Gegenstände!D132</f>
        <v>15</v>
      </c>
      <c r="J132" s="168">
        <f>ROUND(Gegenstände!N132,0)</f>
        <v>3500</v>
      </c>
      <c r="K132" s="3">
        <f>Gegenstände!J132</f>
        <v>0</v>
      </c>
      <c r="L132" s="3">
        <f>Gegenstände!L132</f>
        <v>1</v>
      </c>
      <c r="M132" s="3">
        <f>Gegenstände!Z132</f>
        <v>0</v>
      </c>
      <c r="N132" s="783">
        <f>(Gegenstände!Y132*10)</f>
        <v>0</v>
      </c>
      <c r="O132" s="783">
        <f>(Gegenstände!W132*10)</f>
        <v>0</v>
      </c>
      <c r="P132" s="783">
        <f>Gegenstände!AA132*10</f>
        <v>0</v>
      </c>
      <c r="Q132" s="783">
        <f>Gegenstände!O132</f>
        <v>0</v>
      </c>
      <c r="R132" s="168">
        <f>Gegenstände!S132</f>
        <v>0</v>
      </c>
      <c r="S132" s="168">
        <f>Gegenstände!T132</f>
        <v>0</v>
      </c>
      <c r="T132" s="783">
        <f>Gegenstände!AC132</f>
        <v>0</v>
      </c>
      <c r="U132" s="783">
        <f>Gegenstände!AE132</f>
        <v>0</v>
      </c>
      <c r="V132" s="783">
        <f>Gegenstände!AD132</f>
        <v>0</v>
      </c>
      <c r="W132" s="783">
        <f>Gegenstände!AF132</f>
        <v>0</v>
      </c>
      <c r="AB132" s="3">
        <f>Gegenstände!M132</f>
        <v>0</v>
      </c>
      <c r="AC132" s="3">
        <f>Gegenstände!AB132</f>
        <v>0</v>
      </c>
      <c r="AD132" s="3">
        <f>Gegenstände!F132</f>
        <v>0</v>
      </c>
    </row>
    <row r="133" spans="1:30" x14ac:dyDescent="0.2">
      <c r="A133" s="3">
        <f>Gegenstände!A133</f>
        <v>310</v>
      </c>
      <c r="B133" s="3" t="str">
        <f>Gegenstände!B133</f>
        <v>Diamant</v>
      </c>
      <c r="D133" s="3">
        <f>Gegenstände!K133</f>
        <v>100</v>
      </c>
      <c r="E133" s="3">
        <f>Gegenstände!I133</f>
        <v>34</v>
      </c>
      <c r="F133" s="3">
        <f>VLOOKUP(Gegenstände!E133,Berechnungen!$E$87:$F$115,2,FALSE)</f>
        <v>34</v>
      </c>
      <c r="G133" s="3">
        <f>Gegenstände!H133</f>
        <v>2</v>
      </c>
      <c r="H133" s="3">
        <f>Gegenstände!G133</f>
        <v>0</v>
      </c>
      <c r="I133" s="3">
        <f>Gegenstände!D133</f>
        <v>20</v>
      </c>
      <c r="J133" s="168">
        <f>ROUND(Gegenstände!N133,0)</f>
        <v>5000</v>
      </c>
      <c r="K133" s="3">
        <f>Gegenstände!J133</f>
        <v>0</v>
      </c>
      <c r="L133" s="3">
        <f>Gegenstände!L133</f>
        <v>1</v>
      </c>
      <c r="M133" s="3">
        <f>Gegenstände!Z133</f>
        <v>0</v>
      </c>
      <c r="N133" s="783">
        <f>(Gegenstände!Y133*10)</f>
        <v>0</v>
      </c>
      <c r="O133" s="783">
        <f>(Gegenstände!W133*10)</f>
        <v>0</v>
      </c>
      <c r="P133" s="783">
        <f>Gegenstände!AA133*10</f>
        <v>0</v>
      </c>
      <c r="Q133" s="783">
        <f>Gegenstände!O133</f>
        <v>0</v>
      </c>
      <c r="R133" s="168">
        <f>Gegenstände!S133</f>
        <v>0</v>
      </c>
      <c r="S133" s="168">
        <f>Gegenstände!T133</f>
        <v>0</v>
      </c>
      <c r="T133" s="783">
        <f>Gegenstände!AC133</f>
        <v>0</v>
      </c>
      <c r="U133" s="783">
        <f>Gegenstände!AE133</f>
        <v>0</v>
      </c>
      <c r="V133" s="783">
        <f>Gegenstände!AD133</f>
        <v>0</v>
      </c>
      <c r="W133" s="783">
        <f>Gegenstände!AF133</f>
        <v>0</v>
      </c>
      <c r="AB133" s="3">
        <f>Gegenstände!M133</f>
        <v>0</v>
      </c>
      <c r="AC133" s="3">
        <f>Gegenstände!AB133</f>
        <v>0</v>
      </c>
      <c r="AD133" s="3">
        <f>Gegenstände!F133</f>
        <v>0</v>
      </c>
    </row>
    <row r="134" spans="1:30" x14ac:dyDescent="0.2">
      <c r="A134" s="3">
        <f>Gegenstände!A134</f>
        <v>311</v>
      </c>
      <c r="B134" s="3" t="str">
        <f>Gegenstände!B134</f>
        <v>Pyrit</v>
      </c>
      <c r="D134" s="3">
        <f>Gegenstände!K134</f>
        <v>100</v>
      </c>
      <c r="E134" s="3">
        <f>Gegenstände!I134</f>
        <v>34</v>
      </c>
      <c r="F134" s="3">
        <f>VLOOKUP(Gegenstände!E134,Berechnungen!$E$87:$F$115,2,FALSE)</f>
        <v>34</v>
      </c>
      <c r="G134" s="3">
        <f>Gegenstände!H134</f>
        <v>2</v>
      </c>
      <c r="H134" s="3">
        <f>Gegenstände!G134</f>
        <v>0</v>
      </c>
      <c r="I134" s="3">
        <f>Gegenstände!D134</f>
        <v>0</v>
      </c>
      <c r="J134" s="168">
        <f>ROUND(Gegenstände!N134,0)</f>
        <v>500</v>
      </c>
      <c r="K134" s="3">
        <f>Gegenstände!J134</f>
        <v>0</v>
      </c>
      <c r="L134" s="3">
        <f>Gegenstände!L134</f>
        <v>1</v>
      </c>
      <c r="M134" s="3">
        <f>Gegenstände!Z134</f>
        <v>0</v>
      </c>
      <c r="N134" s="783">
        <f>(Gegenstände!Y134*10)</f>
        <v>0</v>
      </c>
      <c r="O134" s="783">
        <f>(Gegenstände!W134*10)</f>
        <v>0</v>
      </c>
      <c r="P134" s="783">
        <f>Gegenstände!AA134*10</f>
        <v>0</v>
      </c>
      <c r="Q134" s="783">
        <f>Gegenstände!O134</f>
        <v>0</v>
      </c>
      <c r="R134" s="168">
        <f>Gegenstände!S134</f>
        <v>0</v>
      </c>
      <c r="S134" s="168">
        <f>Gegenstände!T134</f>
        <v>0</v>
      </c>
      <c r="T134" s="783">
        <f>Gegenstände!AC134</f>
        <v>0</v>
      </c>
      <c r="U134" s="783">
        <f>Gegenstände!AE134</f>
        <v>0</v>
      </c>
      <c r="V134" s="783">
        <f>Gegenstände!AD134</f>
        <v>0</v>
      </c>
      <c r="W134" s="783">
        <f>Gegenstände!AF134</f>
        <v>0</v>
      </c>
      <c r="AB134" s="3">
        <f>Gegenstände!M134</f>
        <v>0</v>
      </c>
      <c r="AC134" s="3">
        <f>Gegenstände!AB134</f>
        <v>0</v>
      </c>
      <c r="AD134" s="3">
        <f>Gegenstände!F134</f>
        <v>0</v>
      </c>
    </row>
    <row r="135" spans="1:30" x14ac:dyDescent="0.2">
      <c r="A135" s="3">
        <f>Gegenstände!A135</f>
        <v>312</v>
      </c>
      <c r="B135" s="3" t="str">
        <f>Gegenstände!B135</f>
        <v>Jaspis</v>
      </c>
      <c r="D135" s="3">
        <f>Gegenstände!K135</f>
        <v>100</v>
      </c>
      <c r="E135" s="3">
        <f>Gegenstände!I135</f>
        <v>34</v>
      </c>
      <c r="F135" s="3">
        <f>VLOOKUP(Gegenstände!E135,Berechnungen!$E$87:$F$115,2,FALSE)</f>
        <v>34</v>
      </c>
      <c r="G135" s="3">
        <f>Gegenstände!H135</f>
        <v>2</v>
      </c>
      <c r="H135" s="3">
        <f>Gegenstände!G135</f>
        <v>0</v>
      </c>
      <c r="I135" s="3">
        <f>Gegenstände!D135</f>
        <v>5</v>
      </c>
      <c r="J135" s="168">
        <f>ROUND(Gegenstände!N135,0)</f>
        <v>1000</v>
      </c>
      <c r="K135" s="3">
        <f>Gegenstände!J135</f>
        <v>0</v>
      </c>
      <c r="L135" s="3">
        <f>Gegenstände!L135</f>
        <v>1</v>
      </c>
      <c r="M135" s="3">
        <f>Gegenstände!Z135</f>
        <v>0</v>
      </c>
      <c r="N135" s="783">
        <f>(Gegenstände!Y135*10)</f>
        <v>0</v>
      </c>
      <c r="O135" s="783">
        <f>(Gegenstände!W135*10)</f>
        <v>0</v>
      </c>
      <c r="P135" s="783">
        <f>Gegenstände!AA135*10</f>
        <v>0</v>
      </c>
      <c r="Q135" s="783">
        <f>Gegenstände!O135</f>
        <v>0</v>
      </c>
      <c r="R135" s="168">
        <f>Gegenstände!S135</f>
        <v>0</v>
      </c>
      <c r="S135" s="168">
        <f>Gegenstände!T135</f>
        <v>0</v>
      </c>
      <c r="T135" s="783">
        <f>Gegenstände!AC135</f>
        <v>0</v>
      </c>
      <c r="U135" s="783">
        <f>Gegenstände!AE135</f>
        <v>0</v>
      </c>
      <c r="V135" s="783">
        <f>Gegenstände!AD135</f>
        <v>0</v>
      </c>
      <c r="W135" s="783">
        <f>Gegenstände!AF135</f>
        <v>0</v>
      </c>
      <c r="AB135" s="3">
        <f>Gegenstände!M135</f>
        <v>0</v>
      </c>
      <c r="AC135" s="3">
        <f>Gegenstände!AB135</f>
        <v>0</v>
      </c>
      <c r="AD135" s="3">
        <f>Gegenstände!F135</f>
        <v>0</v>
      </c>
    </row>
    <row r="136" spans="1:30" x14ac:dyDescent="0.2">
      <c r="A136" s="3">
        <f>Gegenstände!A136</f>
        <v>313</v>
      </c>
      <c r="B136" s="3" t="str">
        <f>Gegenstände!B136</f>
        <v>Perlmutt</v>
      </c>
      <c r="D136" s="3">
        <f>Gegenstände!K136</f>
        <v>100</v>
      </c>
      <c r="E136" s="3">
        <f>Gegenstände!I136</f>
        <v>34</v>
      </c>
      <c r="F136" s="3">
        <f>VLOOKUP(Gegenstände!E136,Berechnungen!$E$87:$F$115,2,FALSE)</f>
        <v>34</v>
      </c>
      <c r="G136" s="3">
        <f>Gegenstände!H136</f>
        <v>2</v>
      </c>
      <c r="H136" s="3">
        <f>Gegenstände!G136</f>
        <v>0</v>
      </c>
      <c r="I136" s="3">
        <f>Gegenstände!D136</f>
        <v>10</v>
      </c>
      <c r="J136" s="168">
        <f>ROUND(Gegenstände!N136,0)</f>
        <v>2000</v>
      </c>
      <c r="K136" s="3">
        <f>Gegenstände!J136</f>
        <v>0</v>
      </c>
      <c r="L136" s="3">
        <f>Gegenstände!L136</f>
        <v>1</v>
      </c>
      <c r="M136" s="3">
        <f>Gegenstände!Z136</f>
        <v>0</v>
      </c>
      <c r="N136" s="783">
        <f>(Gegenstände!Y136*10)</f>
        <v>0</v>
      </c>
      <c r="O136" s="783">
        <f>(Gegenstände!W136*10)</f>
        <v>0</v>
      </c>
      <c r="P136" s="783">
        <f>Gegenstände!AA136*10</f>
        <v>0</v>
      </c>
      <c r="Q136" s="783">
        <f>Gegenstände!O136</f>
        <v>0</v>
      </c>
      <c r="R136" s="168">
        <f>Gegenstände!S136</f>
        <v>0</v>
      </c>
      <c r="S136" s="168">
        <f>Gegenstände!T136</f>
        <v>0</v>
      </c>
      <c r="T136" s="783">
        <f>Gegenstände!AC136</f>
        <v>0</v>
      </c>
      <c r="U136" s="783">
        <f>Gegenstände!AE136</f>
        <v>0</v>
      </c>
      <c r="V136" s="783">
        <f>Gegenstände!AD136</f>
        <v>0</v>
      </c>
      <c r="W136" s="783">
        <f>Gegenstände!AF136</f>
        <v>0</v>
      </c>
      <c r="AB136" s="3">
        <f>Gegenstände!M136</f>
        <v>0</v>
      </c>
      <c r="AC136" s="3">
        <f>Gegenstände!AB136</f>
        <v>0</v>
      </c>
      <c r="AD136" s="3">
        <f>Gegenstände!F136</f>
        <v>0</v>
      </c>
    </row>
    <row r="137" spans="1:30" x14ac:dyDescent="0.2">
      <c r="A137" s="3">
        <f>Gegenstände!A137</f>
        <v>314</v>
      </c>
      <c r="B137" s="3" t="str">
        <f>Gegenstände!B137</f>
        <v>Jade</v>
      </c>
      <c r="D137" s="3">
        <f>Gegenstände!K137</f>
        <v>100</v>
      </c>
      <c r="E137" s="3">
        <f>Gegenstände!I137</f>
        <v>34</v>
      </c>
      <c r="F137" s="3">
        <f>VLOOKUP(Gegenstände!E137,Berechnungen!$E$87:$F$115,2,FALSE)</f>
        <v>34</v>
      </c>
      <c r="G137" s="3">
        <f>Gegenstände!H137</f>
        <v>2</v>
      </c>
      <c r="H137" s="3">
        <f>Gegenstände!G137</f>
        <v>0</v>
      </c>
      <c r="I137" s="3">
        <f>Gegenstände!D137</f>
        <v>15</v>
      </c>
      <c r="J137" s="168">
        <f>ROUND(Gegenstände!N137,0)</f>
        <v>3500</v>
      </c>
      <c r="K137" s="3">
        <f>Gegenstände!J137</f>
        <v>0</v>
      </c>
      <c r="L137" s="3">
        <f>Gegenstände!L137</f>
        <v>1</v>
      </c>
      <c r="M137" s="3">
        <f>Gegenstände!Z137</f>
        <v>0</v>
      </c>
      <c r="N137" s="783">
        <f>(Gegenstände!Y137*10)</f>
        <v>0</v>
      </c>
      <c r="O137" s="783">
        <f>(Gegenstände!W137*10)</f>
        <v>0</v>
      </c>
      <c r="P137" s="783">
        <f>Gegenstände!AA137*10</f>
        <v>0</v>
      </c>
      <c r="Q137" s="783">
        <f>Gegenstände!O137</f>
        <v>0</v>
      </c>
      <c r="R137" s="168">
        <f>Gegenstände!S137</f>
        <v>0</v>
      </c>
      <c r="S137" s="168">
        <f>Gegenstände!T137</f>
        <v>0</v>
      </c>
      <c r="T137" s="783">
        <f>Gegenstände!AC137</f>
        <v>0</v>
      </c>
      <c r="U137" s="783">
        <f>Gegenstände!AE137</f>
        <v>0</v>
      </c>
      <c r="V137" s="783">
        <f>Gegenstände!AD137</f>
        <v>0</v>
      </c>
      <c r="W137" s="783">
        <f>Gegenstände!AF137</f>
        <v>0</v>
      </c>
      <c r="AB137" s="3">
        <f>Gegenstände!M137</f>
        <v>0</v>
      </c>
      <c r="AC137" s="3">
        <f>Gegenstände!AB137</f>
        <v>0</v>
      </c>
      <c r="AD137" s="3">
        <f>Gegenstände!F137</f>
        <v>0</v>
      </c>
    </row>
    <row r="138" spans="1:30" x14ac:dyDescent="0.2">
      <c r="A138" s="3">
        <f>Gegenstände!A138</f>
        <v>315</v>
      </c>
      <c r="B138" s="3" t="str">
        <f>Gegenstände!B138</f>
        <v>Onyx</v>
      </c>
      <c r="D138" s="3">
        <f>Gegenstände!K138</f>
        <v>100</v>
      </c>
      <c r="E138" s="3">
        <f>Gegenstände!I138</f>
        <v>34</v>
      </c>
      <c r="F138" s="3">
        <f>VLOOKUP(Gegenstände!E138,Berechnungen!$E$87:$F$115,2,FALSE)</f>
        <v>34</v>
      </c>
      <c r="G138" s="3">
        <f>Gegenstände!H138</f>
        <v>2</v>
      </c>
      <c r="H138" s="3">
        <f>Gegenstände!G138</f>
        <v>0</v>
      </c>
      <c r="I138" s="3">
        <f>Gegenstände!D138</f>
        <v>20</v>
      </c>
      <c r="J138" s="168">
        <f>ROUND(Gegenstände!N138,0)</f>
        <v>5000</v>
      </c>
      <c r="K138" s="3">
        <f>Gegenstände!J138</f>
        <v>0</v>
      </c>
      <c r="L138" s="3">
        <f>Gegenstände!L138</f>
        <v>1</v>
      </c>
      <c r="M138" s="3">
        <f>Gegenstände!Z138</f>
        <v>0</v>
      </c>
      <c r="N138" s="783">
        <f>(Gegenstände!Y138*10)</f>
        <v>0</v>
      </c>
      <c r="O138" s="783">
        <f>(Gegenstände!W138*10)</f>
        <v>0</v>
      </c>
      <c r="P138" s="783">
        <f>Gegenstände!AA138*10</f>
        <v>0</v>
      </c>
      <c r="Q138" s="783">
        <f>Gegenstände!O138</f>
        <v>0</v>
      </c>
      <c r="R138" s="168">
        <f>Gegenstände!S138</f>
        <v>0</v>
      </c>
      <c r="S138" s="168">
        <f>Gegenstände!T138</f>
        <v>0</v>
      </c>
      <c r="T138" s="783">
        <f>Gegenstände!AC138</f>
        <v>0</v>
      </c>
      <c r="U138" s="783">
        <f>Gegenstände!AE138</f>
        <v>0</v>
      </c>
      <c r="V138" s="783">
        <f>Gegenstände!AD138</f>
        <v>0</v>
      </c>
      <c r="W138" s="783">
        <f>Gegenstände!AF138</f>
        <v>0</v>
      </c>
      <c r="AB138" s="3">
        <f>Gegenstände!M138</f>
        <v>0</v>
      </c>
      <c r="AC138" s="3">
        <f>Gegenstände!AB138</f>
        <v>0</v>
      </c>
      <c r="AD138" s="3">
        <f>Gegenstände!F138</f>
        <v>0</v>
      </c>
    </row>
    <row r="139" spans="1:30" x14ac:dyDescent="0.2">
      <c r="A139" s="3">
        <f>Gegenstände!A139</f>
        <v>0</v>
      </c>
      <c r="B139" s="3" t="str">
        <f>Gegenstände!B139</f>
        <v>Sprengstoff/Diebstahlsachen</v>
      </c>
      <c r="D139" s="3">
        <f>Gegenstände!K139</f>
        <v>0</v>
      </c>
      <c r="E139" s="3">
        <f>Gegenstände!I139</f>
        <v>0</v>
      </c>
      <c r="F139" s="3" t="e">
        <f>VLOOKUP(Gegenstände!E139,Berechnungen!$E$87:$F$115,2,FALSE)</f>
        <v>#N/A</v>
      </c>
      <c r="G139" s="3">
        <f>Gegenstände!H139</f>
        <v>0</v>
      </c>
      <c r="H139" s="3">
        <f>Gegenstände!G139</f>
        <v>0</v>
      </c>
      <c r="I139" s="3">
        <f>Gegenstände!D139</f>
        <v>0</v>
      </c>
      <c r="J139" s="168">
        <f>ROUND(Gegenstände!N139,0)</f>
        <v>0</v>
      </c>
      <c r="K139" s="3">
        <f>Gegenstände!J139</f>
        <v>0</v>
      </c>
      <c r="L139" s="3">
        <f>Gegenstände!L139</f>
        <v>0</v>
      </c>
      <c r="M139" s="3">
        <f>Gegenstände!Z139</f>
        <v>0</v>
      </c>
      <c r="N139" s="783">
        <f>(Gegenstände!Y139*10)</f>
        <v>0</v>
      </c>
      <c r="O139" s="783">
        <f>(Gegenstände!W139*10)</f>
        <v>0</v>
      </c>
      <c r="P139" s="783">
        <f>Gegenstände!AA139*10</f>
        <v>0</v>
      </c>
      <c r="Q139" s="783">
        <f>Gegenstände!O139</f>
        <v>0</v>
      </c>
      <c r="R139" s="168">
        <f>Gegenstände!S139</f>
        <v>0</v>
      </c>
      <c r="S139" s="168">
        <f>Gegenstände!T139</f>
        <v>0</v>
      </c>
      <c r="T139" s="783">
        <f>Gegenstände!AC139</f>
        <v>0</v>
      </c>
      <c r="U139" s="783">
        <f>Gegenstände!AE139</f>
        <v>0</v>
      </c>
      <c r="V139" s="783">
        <f>Gegenstände!AD139</f>
        <v>0</v>
      </c>
      <c r="W139" s="783">
        <f>Gegenstände!AF139</f>
        <v>0</v>
      </c>
      <c r="AB139" s="3">
        <f>Gegenstände!M139</f>
        <v>0</v>
      </c>
      <c r="AC139" s="3">
        <f>Gegenstände!AB139</f>
        <v>0</v>
      </c>
      <c r="AD139" s="3">
        <f>Gegenstände!F139</f>
        <v>0</v>
      </c>
    </row>
    <row r="140" spans="1:30" x14ac:dyDescent="0.2">
      <c r="A140" s="3">
        <f>Gegenstände!A140</f>
        <v>401</v>
      </c>
      <c r="B140" s="3" t="str">
        <f>Gegenstände!B140</f>
        <v>Sprengstoff I</v>
      </c>
      <c r="D140" s="3">
        <f>Gegenstände!K140</f>
        <v>100</v>
      </c>
      <c r="E140" s="3">
        <f>Gegenstände!I140</f>
        <v>36</v>
      </c>
      <c r="F140" s="3">
        <f>VLOOKUP(Gegenstände!E140,Berechnungen!$E$87:$F$115,2,FALSE)</f>
        <v>36</v>
      </c>
      <c r="G140" s="3">
        <f>Gegenstände!H140</f>
        <v>0</v>
      </c>
      <c r="H140" s="3">
        <f>Gegenstände!G140</f>
        <v>16</v>
      </c>
      <c r="I140" s="3">
        <f>Gegenstände!D140</f>
        <v>0</v>
      </c>
      <c r="J140" s="168">
        <f>ROUND(Gegenstände!N140,0)</f>
        <v>2000</v>
      </c>
      <c r="K140" s="3">
        <f>Gegenstände!J140</f>
        <v>0</v>
      </c>
      <c r="L140" s="3">
        <f>Gegenstände!L140</f>
        <v>1</v>
      </c>
      <c r="M140" s="3">
        <f>Gegenstände!Z140</f>
        <v>0</v>
      </c>
      <c r="N140" s="783">
        <f>(Gegenstände!Y140*10)</f>
        <v>0</v>
      </c>
      <c r="O140" s="783">
        <f>(Gegenstände!W140*10)</f>
        <v>0</v>
      </c>
      <c r="P140" s="783">
        <f>Gegenstände!AA140*10</f>
        <v>0</v>
      </c>
      <c r="Q140" s="783">
        <f>Gegenstände!O140</f>
        <v>0</v>
      </c>
      <c r="R140" s="168">
        <f>Gegenstände!S140</f>
        <v>0</v>
      </c>
      <c r="S140" s="168">
        <f>Gegenstände!T140</f>
        <v>0</v>
      </c>
      <c r="T140" s="783">
        <f>Gegenstände!AC140</f>
        <v>0</v>
      </c>
      <c r="U140" s="783">
        <f>Gegenstände!AE140</f>
        <v>0</v>
      </c>
      <c r="V140" s="783">
        <f>Gegenstände!AD140</f>
        <v>0</v>
      </c>
      <c r="W140" s="783">
        <f>Gegenstände!AF140</f>
        <v>0</v>
      </c>
      <c r="AB140" s="3">
        <f>Gegenstände!M140</f>
        <v>0</v>
      </c>
      <c r="AC140" s="3">
        <f>Gegenstände!AB140</f>
        <v>0</v>
      </c>
      <c r="AD140" s="3">
        <f>Gegenstände!F140</f>
        <v>0</v>
      </c>
    </row>
    <row r="141" spans="1:30" x14ac:dyDescent="0.2">
      <c r="A141" s="3">
        <f>Gegenstände!A141</f>
        <v>402</v>
      </c>
      <c r="B141" s="3" t="str">
        <f>Gegenstände!B141</f>
        <v>Sprengstoff II</v>
      </c>
      <c r="D141" s="3">
        <f>Gegenstände!K141</f>
        <v>150</v>
      </c>
      <c r="E141" s="3">
        <f>Gegenstände!I141</f>
        <v>36</v>
      </c>
      <c r="F141" s="3">
        <f>VLOOKUP(Gegenstände!E141,Berechnungen!$E$87:$F$115,2,FALSE)</f>
        <v>36</v>
      </c>
      <c r="G141" s="3">
        <f>Gegenstände!H141</f>
        <v>0</v>
      </c>
      <c r="H141" s="3">
        <f>Gegenstände!G141</f>
        <v>16</v>
      </c>
      <c r="I141" s="3">
        <f>Gegenstände!D141</f>
        <v>5</v>
      </c>
      <c r="J141" s="168">
        <f>ROUND(Gegenstände!N141,0)</f>
        <v>5000</v>
      </c>
      <c r="K141" s="3">
        <f>Gegenstände!J141</f>
        <v>0</v>
      </c>
      <c r="L141" s="3">
        <f>Gegenstände!L141</f>
        <v>1</v>
      </c>
      <c r="M141" s="3">
        <f>Gegenstände!Z141</f>
        <v>0</v>
      </c>
      <c r="N141" s="783">
        <f>(Gegenstände!Y141*10)</f>
        <v>0</v>
      </c>
      <c r="O141" s="783">
        <f>(Gegenstände!W141*10)</f>
        <v>0</v>
      </c>
      <c r="P141" s="783">
        <f>Gegenstände!AA141*10</f>
        <v>0</v>
      </c>
      <c r="Q141" s="783">
        <f>Gegenstände!O141</f>
        <v>0</v>
      </c>
      <c r="R141" s="168">
        <f>Gegenstände!S141</f>
        <v>0</v>
      </c>
      <c r="S141" s="168">
        <f>Gegenstände!T141</f>
        <v>0</v>
      </c>
      <c r="T141" s="783">
        <f>Gegenstände!AC141</f>
        <v>0</v>
      </c>
      <c r="U141" s="783">
        <f>Gegenstände!AE141</f>
        <v>0</v>
      </c>
      <c r="V141" s="783">
        <f>Gegenstände!AD141</f>
        <v>0</v>
      </c>
      <c r="W141" s="783">
        <f>Gegenstände!AF141</f>
        <v>0</v>
      </c>
      <c r="AB141" s="3">
        <f>Gegenstände!M141</f>
        <v>0</v>
      </c>
      <c r="AC141" s="3">
        <f>Gegenstände!AB141</f>
        <v>0</v>
      </c>
      <c r="AD141" s="3">
        <f>Gegenstände!F141</f>
        <v>0</v>
      </c>
    </row>
    <row r="142" spans="1:30" x14ac:dyDescent="0.2">
      <c r="A142" s="3">
        <f>Gegenstände!A142</f>
        <v>403</v>
      </c>
      <c r="B142" s="3" t="str">
        <f>Gegenstände!B142</f>
        <v>Sprengstoff III</v>
      </c>
      <c r="D142" s="3">
        <f>Gegenstände!K142</f>
        <v>200</v>
      </c>
      <c r="E142" s="3">
        <f>Gegenstände!I142</f>
        <v>36</v>
      </c>
      <c r="F142" s="3">
        <f>VLOOKUP(Gegenstände!E142,Berechnungen!$E$87:$F$115,2,FALSE)</f>
        <v>36</v>
      </c>
      <c r="G142" s="3">
        <f>Gegenstände!H142</f>
        <v>0</v>
      </c>
      <c r="H142" s="3">
        <f>Gegenstände!G142</f>
        <v>16</v>
      </c>
      <c r="I142" s="3">
        <f>Gegenstände!D142</f>
        <v>10</v>
      </c>
      <c r="J142" s="168">
        <f>ROUND(Gegenstände!N142,0)</f>
        <v>10000</v>
      </c>
      <c r="K142" s="3">
        <f>Gegenstände!J142</f>
        <v>0</v>
      </c>
      <c r="L142" s="3">
        <f>Gegenstände!L142</f>
        <v>1</v>
      </c>
      <c r="M142" s="3">
        <f>Gegenstände!Z142</f>
        <v>0</v>
      </c>
      <c r="N142" s="783">
        <f>(Gegenstände!Y142*10)</f>
        <v>0</v>
      </c>
      <c r="O142" s="783">
        <f>(Gegenstände!W142*10)</f>
        <v>0</v>
      </c>
      <c r="P142" s="783">
        <f>Gegenstände!AA142*10</f>
        <v>0</v>
      </c>
      <c r="Q142" s="783">
        <f>Gegenstände!O142</f>
        <v>0</v>
      </c>
      <c r="R142" s="168">
        <f>Gegenstände!S142</f>
        <v>0</v>
      </c>
      <c r="S142" s="168">
        <f>Gegenstände!T142</f>
        <v>0</v>
      </c>
      <c r="T142" s="783">
        <f>Gegenstände!AC142</f>
        <v>0</v>
      </c>
      <c r="U142" s="783">
        <f>Gegenstände!AE142</f>
        <v>0</v>
      </c>
      <c r="V142" s="783">
        <f>Gegenstände!AD142</f>
        <v>0</v>
      </c>
      <c r="W142" s="783">
        <f>Gegenstände!AF142</f>
        <v>0</v>
      </c>
      <c r="AB142" s="3">
        <f>Gegenstände!M142</f>
        <v>0</v>
      </c>
      <c r="AC142" s="3">
        <f>Gegenstände!AB142</f>
        <v>0</v>
      </c>
      <c r="AD142" s="3">
        <f>Gegenstände!F142</f>
        <v>0</v>
      </c>
    </row>
    <row r="143" spans="1:30" x14ac:dyDescent="0.2">
      <c r="A143" s="3">
        <f>Gegenstände!A143</f>
        <v>404</v>
      </c>
      <c r="B143" s="3" t="str">
        <f>Gegenstände!B143</f>
        <v>Sprengstoff IV</v>
      </c>
      <c r="D143" s="3">
        <f>Gegenstände!K143</f>
        <v>250</v>
      </c>
      <c r="E143" s="3">
        <f>Gegenstände!I143</f>
        <v>36</v>
      </c>
      <c r="F143" s="3">
        <f>VLOOKUP(Gegenstände!E143,Berechnungen!$E$87:$F$115,2,FALSE)</f>
        <v>36</v>
      </c>
      <c r="G143" s="3">
        <f>Gegenstände!H143</f>
        <v>0</v>
      </c>
      <c r="H143" s="3">
        <f>Gegenstände!G143</f>
        <v>16</v>
      </c>
      <c r="I143" s="3">
        <f>Gegenstände!D143</f>
        <v>15</v>
      </c>
      <c r="J143" s="168">
        <f>ROUND(Gegenstände!N143,0)</f>
        <v>25000</v>
      </c>
      <c r="K143" s="3">
        <f>Gegenstände!J143</f>
        <v>0</v>
      </c>
      <c r="L143" s="3">
        <f>Gegenstände!L143</f>
        <v>1</v>
      </c>
      <c r="M143" s="3">
        <f>Gegenstände!Z143</f>
        <v>0</v>
      </c>
      <c r="N143" s="783">
        <f>(Gegenstände!Y143*10)</f>
        <v>0</v>
      </c>
      <c r="O143" s="783">
        <f>(Gegenstände!W143*10)</f>
        <v>0</v>
      </c>
      <c r="P143" s="783">
        <f>Gegenstände!AA143*10</f>
        <v>0</v>
      </c>
      <c r="Q143" s="783">
        <f>Gegenstände!O143</f>
        <v>0</v>
      </c>
      <c r="R143" s="168">
        <f>Gegenstände!S143</f>
        <v>0</v>
      </c>
      <c r="S143" s="168">
        <f>Gegenstände!T143</f>
        <v>0</v>
      </c>
      <c r="T143" s="783">
        <f>Gegenstände!AC143</f>
        <v>0</v>
      </c>
      <c r="U143" s="783">
        <f>Gegenstände!AE143</f>
        <v>0</v>
      </c>
      <c r="V143" s="783">
        <f>Gegenstände!AD143</f>
        <v>0</v>
      </c>
      <c r="W143" s="783">
        <f>Gegenstände!AF143</f>
        <v>0</v>
      </c>
      <c r="AB143" s="3">
        <f>Gegenstände!M143</f>
        <v>0</v>
      </c>
      <c r="AC143" s="3">
        <f>Gegenstände!AB143</f>
        <v>0</v>
      </c>
      <c r="AD143" s="3">
        <f>Gegenstände!F143</f>
        <v>0</v>
      </c>
    </row>
    <row r="144" spans="1:30" x14ac:dyDescent="0.2">
      <c r="A144" s="3">
        <f>Gegenstände!A144</f>
        <v>405</v>
      </c>
      <c r="B144" s="3" t="str">
        <f>Gegenstände!B144</f>
        <v>Sprengstoff V</v>
      </c>
      <c r="D144" s="3">
        <f>Gegenstände!K144</f>
        <v>300</v>
      </c>
      <c r="E144" s="3">
        <f>Gegenstände!I144</f>
        <v>36</v>
      </c>
      <c r="F144" s="3">
        <f>VLOOKUP(Gegenstände!E144,Berechnungen!$E$87:$F$115,2,FALSE)</f>
        <v>36</v>
      </c>
      <c r="G144" s="3">
        <f>Gegenstände!H144</f>
        <v>0</v>
      </c>
      <c r="H144" s="3">
        <f>Gegenstände!G144</f>
        <v>16</v>
      </c>
      <c r="I144" s="3">
        <f>Gegenstände!D144</f>
        <v>20</v>
      </c>
      <c r="J144" s="168">
        <f>ROUND(Gegenstände!N144,0)</f>
        <v>50000</v>
      </c>
      <c r="K144" s="3">
        <f>Gegenstände!J144</f>
        <v>0</v>
      </c>
      <c r="L144" s="3">
        <f>Gegenstände!L144</f>
        <v>1</v>
      </c>
      <c r="M144" s="3">
        <f>Gegenstände!Z144</f>
        <v>0</v>
      </c>
      <c r="N144" s="783">
        <f>(Gegenstände!Y144*10)</f>
        <v>0</v>
      </c>
      <c r="O144" s="783">
        <f>(Gegenstände!W144*10)</f>
        <v>0</v>
      </c>
      <c r="P144" s="783">
        <f>Gegenstände!AA144*10</f>
        <v>0</v>
      </c>
      <c r="Q144" s="783">
        <f>Gegenstände!O144</f>
        <v>0</v>
      </c>
      <c r="R144" s="168">
        <f>Gegenstände!S144</f>
        <v>0</v>
      </c>
      <c r="S144" s="168">
        <f>Gegenstände!T144</f>
        <v>0</v>
      </c>
      <c r="T144" s="783">
        <f>Gegenstände!AC144</f>
        <v>0</v>
      </c>
      <c r="U144" s="783">
        <f>Gegenstände!AE144</f>
        <v>0</v>
      </c>
      <c r="V144" s="783">
        <f>Gegenstände!AD144</f>
        <v>0</v>
      </c>
      <c r="W144" s="783">
        <f>Gegenstände!AF144</f>
        <v>0</v>
      </c>
      <c r="AB144" s="3">
        <f>Gegenstände!M144</f>
        <v>0</v>
      </c>
      <c r="AC144" s="3">
        <f>Gegenstände!AB144</f>
        <v>0</v>
      </c>
      <c r="AD144" s="3">
        <f>Gegenstände!F144</f>
        <v>0</v>
      </c>
    </row>
    <row r="145" spans="1:30" x14ac:dyDescent="0.2">
      <c r="A145" s="3">
        <f>Gegenstände!A145</f>
        <v>411</v>
      </c>
      <c r="B145" s="3" t="str">
        <f>Gegenstände!B145</f>
        <v>Dietrich I</v>
      </c>
      <c r="D145" s="3">
        <f>Gegenstände!K145</f>
        <v>50</v>
      </c>
      <c r="E145" s="3">
        <f>Gegenstände!I145</f>
        <v>37</v>
      </c>
      <c r="F145" s="3">
        <f>VLOOKUP(Gegenstände!E145,Berechnungen!$E$87:$F$115,2,FALSE)</f>
        <v>37</v>
      </c>
      <c r="G145" s="3">
        <f>Gegenstände!H145</f>
        <v>0</v>
      </c>
      <c r="H145" s="3">
        <f>Gegenstände!G145</f>
        <v>15</v>
      </c>
      <c r="I145" s="3">
        <f>Gegenstände!D145</f>
        <v>0</v>
      </c>
      <c r="J145" s="168">
        <f>ROUND(Gegenstände!N145,0)</f>
        <v>2000</v>
      </c>
      <c r="K145" s="3">
        <f>Gegenstände!J145</f>
        <v>0</v>
      </c>
      <c r="L145" s="3">
        <f>Gegenstände!L145</f>
        <v>1</v>
      </c>
      <c r="M145" s="3">
        <f>Gegenstände!Z145</f>
        <v>0</v>
      </c>
      <c r="N145" s="783">
        <f>(Gegenstände!Y145*10)</f>
        <v>0</v>
      </c>
      <c r="O145" s="783">
        <f>(Gegenstände!W145*10)</f>
        <v>0</v>
      </c>
      <c r="P145" s="783">
        <f>Gegenstände!AA145*10</f>
        <v>0</v>
      </c>
      <c r="Q145" s="783">
        <f>Gegenstände!O145</f>
        <v>0</v>
      </c>
      <c r="R145" s="168">
        <f>Gegenstände!S145</f>
        <v>0</v>
      </c>
      <c r="S145" s="168">
        <f>Gegenstände!T145</f>
        <v>0</v>
      </c>
      <c r="T145" s="783">
        <f>Gegenstände!AC145</f>
        <v>0</v>
      </c>
      <c r="U145" s="783">
        <f>Gegenstände!AE145</f>
        <v>0</v>
      </c>
      <c r="V145" s="783">
        <f>Gegenstände!AD145</f>
        <v>0</v>
      </c>
      <c r="W145" s="783">
        <f>Gegenstände!AF145</f>
        <v>0</v>
      </c>
      <c r="AB145" s="3">
        <f>Gegenstände!M145</f>
        <v>0</v>
      </c>
      <c r="AC145" s="3">
        <f>Gegenstände!AB145</f>
        <v>0</v>
      </c>
      <c r="AD145" s="3">
        <f>Gegenstände!F145</f>
        <v>0</v>
      </c>
    </row>
    <row r="146" spans="1:30" x14ac:dyDescent="0.2">
      <c r="A146" s="3">
        <f>Gegenstände!A146</f>
        <v>412</v>
      </c>
      <c r="B146" s="3" t="str">
        <f>Gegenstände!B146</f>
        <v>Dietrich II</v>
      </c>
      <c r="D146" s="3">
        <f>Gegenstände!K146</f>
        <v>50</v>
      </c>
      <c r="E146" s="3">
        <f>Gegenstände!I146</f>
        <v>37</v>
      </c>
      <c r="F146" s="3">
        <f>VLOOKUP(Gegenstände!E146,Berechnungen!$E$87:$F$115,2,FALSE)</f>
        <v>37</v>
      </c>
      <c r="G146" s="3">
        <f>Gegenstände!H146</f>
        <v>0</v>
      </c>
      <c r="H146" s="3">
        <f>Gegenstände!G146</f>
        <v>15</v>
      </c>
      <c r="I146" s="3">
        <f>Gegenstände!D146</f>
        <v>5</v>
      </c>
      <c r="J146" s="168">
        <f>ROUND(Gegenstände!N146,0)</f>
        <v>5000</v>
      </c>
      <c r="K146" s="3">
        <f>Gegenstände!J146</f>
        <v>0</v>
      </c>
      <c r="L146" s="3">
        <f>Gegenstände!L146</f>
        <v>1</v>
      </c>
      <c r="M146" s="3">
        <f>Gegenstände!Z146</f>
        <v>0</v>
      </c>
      <c r="N146" s="783">
        <f>(Gegenstände!Y146*10)</f>
        <v>0</v>
      </c>
      <c r="O146" s="783">
        <f>(Gegenstände!W146*10)</f>
        <v>0</v>
      </c>
      <c r="P146" s="783">
        <f>Gegenstände!AA146*10</f>
        <v>0</v>
      </c>
      <c r="Q146" s="783">
        <f>Gegenstände!O146</f>
        <v>0</v>
      </c>
      <c r="R146" s="168">
        <f>Gegenstände!S146</f>
        <v>0</v>
      </c>
      <c r="S146" s="168">
        <f>Gegenstände!T146</f>
        <v>0</v>
      </c>
      <c r="T146" s="783">
        <f>Gegenstände!AC146</f>
        <v>0</v>
      </c>
      <c r="U146" s="783">
        <f>Gegenstände!AE146</f>
        <v>0</v>
      </c>
      <c r="V146" s="783">
        <f>Gegenstände!AD146</f>
        <v>0</v>
      </c>
      <c r="W146" s="783">
        <f>Gegenstände!AF146</f>
        <v>0</v>
      </c>
      <c r="AB146" s="3">
        <f>Gegenstände!M146</f>
        <v>0</v>
      </c>
      <c r="AC146" s="3">
        <f>Gegenstände!AB146</f>
        <v>0</v>
      </c>
      <c r="AD146" s="3">
        <f>Gegenstände!F146</f>
        <v>0</v>
      </c>
    </row>
    <row r="147" spans="1:30" x14ac:dyDescent="0.2">
      <c r="A147" s="3">
        <f>Gegenstände!A147</f>
        <v>413</v>
      </c>
      <c r="B147" s="3" t="str">
        <f>Gegenstände!B147</f>
        <v>Dietrich III</v>
      </c>
      <c r="D147" s="3">
        <f>Gegenstände!K147</f>
        <v>50</v>
      </c>
      <c r="E147" s="3">
        <f>Gegenstände!I147</f>
        <v>37</v>
      </c>
      <c r="F147" s="3">
        <f>VLOOKUP(Gegenstände!E147,Berechnungen!$E$87:$F$115,2,FALSE)</f>
        <v>37</v>
      </c>
      <c r="G147" s="3">
        <f>Gegenstände!H147</f>
        <v>0</v>
      </c>
      <c r="H147" s="3">
        <f>Gegenstände!G147</f>
        <v>15</v>
      </c>
      <c r="I147" s="3">
        <f>Gegenstände!D147</f>
        <v>10</v>
      </c>
      <c r="J147" s="168">
        <f>ROUND(Gegenstände!N147,0)</f>
        <v>10000</v>
      </c>
      <c r="K147" s="3">
        <f>Gegenstände!J147</f>
        <v>0</v>
      </c>
      <c r="L147" s="3">
        <f>Gegenstände!L147</f>
        <v>1</v>
      </c>
      <c r="M147" s="3">
        <f>Gegenstände!Z147</f>
        <v>0</v>
      </c>
      <c r="N147" s="783">
        <f>(Gegenstände!Y147*10)</f>
        <v>0</v>
      </c>
      <c r="O147" s="783">
        <f>(Gegenstände!W147*10)</f>
        <v>0</v>
      </c>
      <c r="P147" s="783">
        <f>Gegenstände!AA147*10</f>
        <v>0</v>
      </c>
      <c r="Q147" s="783">
        <f>Gegenstände!O147</f>
        <v>0</v>
      </c>
      <c r="R147" s="168">
        <f>Gegenstände!S147</f>
        <v>0</v>
      </c>
      <c r="S147" s="168">
        <f>Gegenstände!T147</f>
        <v>0</v>
      </c>
      <c r="T147" s="783">
        <f>Gegenstände!AC147</f>
        <v>0</v>
      </c>
      <c r="U147" s="783">
        <f>Gegenstände!AE147</f>
        <v>0</v>
      </c>
      <c r="V147" s="783">
        <f>Gegenstände!AD147</f>
        <v>0</v>
      </c>
      <c r="W147" s="783">
        <f>Gegenstände!AF147</f>
        <v>0</v>
      </c>
      <c r="AB147" s="3">
        <f>Gegenstände!M147</f>
        <v>0</v>
      </c>
      <c r="AC147" s="3">
        <f>Gegenstände!AB147</f>
        <v>0</v>
      </c>
      <c r="AD147" s="3">
        <f>Gegenstände!F147</f>
        <v>0</v>
      </c>
    </row>
    <row r="148" spans="1:30" x14ac:dyDescent="0.2">
      <c r="A148" s="3">
        <f>Gegenstände!A148</f>
        <v>414</v>
      </c>
      <c r="B148" s="3" t="str">
        <f>Gegenstände!B148</f>
        <v>Dietrich IV</v>
      </c>
      <c r="D148" s="3">
        <f>Gegenstände!K148</f>
        <v>50</v>
      </c>
      <c r="E148" s="3">
        <f>Gegenstände!I148</f>
        <v>37</v>
      </c>
      <c r="F148" s="3">
        <f>VLOOKUP(Gegenstände!E148,Berechnungen!$E$87:$F$115,2,FALSE)</f>
        <v>37</v>
      </c>
      <c r="G148" s="3">
        <f>Gegenstände!H148</f>
        <v>0</v>
      </c>
      <c r="H148" s="3">
        <f>Gegenstände!G148</f>
        <v>15</v>
      </c>
      <c r="I148" s="3">
        <f>Gegenstände!D148</f>
        <v>15</v>
      </c>
      <c r="J148" s="168">
        <f>ROUND(Gegenstände!N148,0)</f>
        <v>25000</v>
      </c>
      <c r="K148" s="3">
        <f>Gegenstände!J148</f>
        <v>0</v>
      </c>
      <c r="L148" s="3">
        <f>Gegenstände!L148</f>
        <v>1</v>
      </c>
      <c r="M148" s="3">
        <f>Gegenstände!Z148</f>
        <v>0</v>
      </c>
      <c r="N148" s="783">
        <f>(Gegenstände!Y148*10)</f>
        <v>0</v>
      </c>
      <c r="O148" s="783">
        <f>(Gegenstände!W148*10)</f>
        <v>0</v>
      </c>
      <c r="P148" s="783">
        <f>Gegenstände!AA148*10</f>
        <v>0</v>
      </c>
      <c r="Q148" s="783">
        <f>Gegenstände!O148</f>
        <v>0</v>
      </c>
      <c r="R148" s="168">
        <f>Gegenstände!S148</f>
        <v>0</v>
      </c>
      <c r="S148" s="168">
        <f>Gegenstände!T148</f>
        <v>0</v>
      </c>
      <c r="T148" s="783">
        <f>Gegenstände!AC148</f>
        <v>0</v>
      </c>
      <c r="U148" s="783">
        <f>Gegenstände!AE148</f>
        <v>0</v>
      </c>
      <c r="V148" s="783">
        <f>Gegenstände!AD148</f>
        <v>0</v>
      </c>
      <c r="W148" s="783">
        <f>Gegenstände!AF148</f>
        <v>0</v>
      </c>
      <c r="AB148" s="3">
        <f>Gegenstände!M148</f>
        <v>0</v>
      </c>
      <c r="AC148" s="3">
        <f>Gegenstände!AB148</f>
        <v>0</v>
      </c>
      <c r="AD148" s="3">
        <f>Gegenstände!F148</f>
        <v>0</v>
      </c>
    </row>
    <row r="149" spans="1:30" x14ac:dyDescent="0.2">
      <c r="A149" s="3">
        <f>Gegenstände!A149</f>
        <v>415</v>
      </c>
      <c r="B149" s="3" t="str">
        <f>Gegenstände!B149</f>
        <v>Dietrich V</v>
      </c>
      <c r="D149" s="3">
        <f>Gegenstände!K149</f>
        <v>50</v>
      </c>
      <c r="E149" s="3">
        <f>Gegenstände!I149</f>
        <v>37</v>
      </c>
      <c r="F149" s="3">
        <f>VLOOKUP(Gegenstände!E149,Berechnungen!$E$87:$F$115,2,FALSE)</f>
        <v>37</v>
      </c>
      <c r="G149" s="3">
        <f>Gegenstände!H149</f>
        <v>0</v>
      </c>
      <c r="H149" s="3">
        <f>Gegenstände!G149</f>
        <v>15</v>
      </c>
      <c r="I149" s="3">
        <f>Gegenstände!D149</f>
        <v>20</v>
      </c>
      <c r="J149" s="168">
        <f>ROUND(Gegenstände!N149,0)</f>
        <v>50000</v>
      </c>
      <c r="K149" s="3">
        <f>Gegenstände!J149</f>
        <v>0</v>
      </c>
      <c r="L149" s="3">
        <f>Gegenstände!L149</f>
        <v>1</v>
      </c>
      <c r="M149" s="3">
        <f>Gegenstände!Z149</f>
        <v>0</v>
      </c>
      <c r="N149" s="783">
        <f>(Gegenstände!Y149*10)</f>
        <v>0</v>
      </c>
      <c r="O149" s="783">
        <f>(Gegenstände!W149*10)</f>
        <v>0</v>
      </c>
      <c r="P149" s="783">
        <f>Gegenstände!AA149*10</f>
        <v>0</v>
      </c>
      <c r="Q149" s="783">
        <f>Gegenstände!O149</f>
        <v>0</v>
      </c>
      <c r="R149" s="168">
        <f>Gegenstände!S149</f>
        <v>0</v>
      </c>
      <c r="S149" s="168">
        <f>Gegenstände!T149</f>
        <v>0</v>
      </c>
      <c r="T149" s="783">
        <f>Gegenstände!AC149</f>
        <v>0</v>
      </c>
      <c r="U149" s="783">
        <f>Gegenstände!AE149</f>
        <v>0</v>
      </c>
      <c r="V149" s="783">
        <f>Gegenstände!AD149</f>
        <v>0</v>
      </c>
      <c r="W149" s="783">
        <f>Gegenstände!AF149</f>
        <v>0</v>
      </c>
      <c r="AB149" s="3">
        <f>Gegenstände!M149</f>
        <v>0</v>
      </c>
      <c r="AC149" s="3">
        <f>Gegenstände!AB149</f>
        <v>0</v>
      </c>
      <c r="AD149" s="3">
        <f>Gegenstände!F149</f>
        <v>0</v>
      </c>
    </row>
    <row r="150" spans="1:30" x14ac:dyDescent="0.2">
      <c r="A150" s="3">
        <f>Gegenstände!A150</f>
        <v>0</v>
      </c>
      <c r="B150" s="3" t="str">
        <f>Gegenstände!B150</f>
        <v>Training</v>
      </c>
      <c r="D150" s="3">
        <f>Gegenstände!K150</f>
        <v>0</v>
      </c>
      <c r="E150" s="3">
        <f>Gegenstände!I150</f>
        <v>0</v>
      </c>
      <c r="F150" s="3" t="e">
        <f>VLOOKUP(Gegenstände!E150,Berechnungen!$E$87:$F$115,2,FALSE)</f>
        <v>#N/A</v>
      </c>
      <c r="G150" s="3">
        <f>Gegenstände!H150</f>
        <v>0</v>
      </c>
      <c r="H150" s="3">
        <f>Gegenstände!G150</f>
        <v>0</v>
      </c>
      <c r="I150" s="3">
        <f>Gegenstände!D150</f>
        <v>0</v>
      </c>
      <c r="J150" s="168">
        <f>ROUND(Gegenstände!N150,0)</f>
        <v>0</v>
      </c>
      <c r="K150" s="3">
        <f>Gegenstände!J150</f>
        <v>0</v>
      </c>
      <c r="L150" s="3">
        <f>Gegenstände!L150</f>
        <v>0</v>
      </c>
      <c r="M150" s="3">
        <f>Gegenstände!Z150</f>
        <v>0</v>
      </c>
      <c r="N150" s="783">
        <f>(Gegenstände!Y150*10)</f>
        <v>0</v>
      </c>
      <c r="O150" s="783">
        <f>(Gegenstände!W150*10)</f>
        <v>0</v>
      </c>
      <c r="P150" s="783">
        <f>Gegenstände!AA150*10</f>
        <v>0</v>
      </c>
      <c r="Q150" s="783">
        <f>Gegenstände!O150</f>
        <v>0</v>
      </c>
      <c r="R150" s="168">
        <f>Gegenstände!S150</f>
        <v>0</v>
      </c>
      <c r="S150" s="168">
        <f>Gegenstände!T150</f>
        <v>0</v>
      </c>
      <c r="T150" s="783">
        <f>Gegenstände!AC150</f>
        <v>0</v>
      </c>
      <c r="U150" s="783">
        <f>Gegenstände!AE150</f>
        <v>0</v>
      </c>
      <c r="V150" s="783">
        <f>Gegenstände!AD150</f>
        <v>0</v>
      </c>
      <c r="W150" s="783">
        <f>Gegenstände!AF150</f>
        <v>0</v>
      </c>
      <c r="AB150" s="3">
        <f>Gegenstände!M150</f>
        <v>0</v>
      </c>
      <c r="AC150" s="3">
        <f>Gegenstände!AB150</f>
        <v>0</v>
      </c>
      <c r="AD150" s="3">
        <f>Gegenstände!F150</f>
        <v>0</v>
      </c>
    </row>
    <row r="151" spans="1:30" x14ac:dyDescent="0.2">
      <c r="A151" s="3">
        <f>Gegenstände!A151</f>
        <v>901</v>
      </c>
      <c r="B151" s="3" t="str">
        <f>Gegenstände!B151</f>
        <v>Schwert (Training)</v>
      </c>
      <c r="D151" s="3">
        <f>Gegenstände!K151</f>
        <v>1600</v>
      </c>
      <c r="E151" s="3">
        <f>Gegenstände!I151</f>
        <v>1</v>
      </c>
      <c r="F151" s="3">
        <f>VLOOKUP(Gegenstände!E151,Berechnungen!$E$87:$F$115,2,FALSE)</f>
        <v>1</v>
      </c>
      <c r="G151" s="3">
        <f>Gegenstände!H151</f>
        <v>0</v>
      </c>
      <c r="H151" s="3">
        <f>Gegenstände!G151</f>
        <v>1</v>
      </c>
      <c r="I151" s="3">
        <f>Gegenstände!D151</f>
        <v>0</v>
      </c>
      <c r="J151" s="168">
        <f>ROUND(Gegenstände!N151,0)</f>
        <v>0</v>
      </c>
      <c r="K151" s="3">
        <f>Gegenstände!J151</f>
        <v>200</v>
      </c>
      <c r="L151" s="3">
        <f>Gegenstände!L151</f>
        <v>0</v>
      </c>
      <c r="M151" s="3">
        <f>Gegenstände!Z151</f>
        <v>0</v>
      </c>
      <c r="N151" s="783">
        <f>(Gegenstände!Y151*10)</f>
        <v>0</v>
      </c>
      <c r="O151" s="783">
        <f>(Gegenstände!W151*10)</f>
        <v>0</v>
      </c>
      <c r="P151" s="783">
        <f>Gegenstände!AA151*10</f>
        <v>0</v>
      </c>
      <c r="Q151" s="783">
        <f>Gegenstände!O151</f>
        <v>4</v>
      </c>
      <c r="R151" s="168">
        <f>Gegenstände!S151</f>
        <v>6</v>
      </c>
      <c r="S151" s="168">
        <f>Gegenstände!T151</f>
        <v>9</v>
      </c>
      <c r="T151" s="783">
        <f>Gegenstände!AC151</f>
        <v>0</v>
      </c>
      <c r="U151" s="783">
        <f>Gegenstände!AE151</f>
        <v>0</v>
      </c>
      <c r="V151" s="783">
        <f>Gegenstände!AD151</f>
        <v>0</v>
      </c>
      <c r="W151" s="783">
        <f>Gegenstände!AF151</f>
        <v>0</v>
      </c>
      <c r="AB151" s="3">
        <f>Gegenstände!M151</f>
        <v>0</v>
      </c>
      <c r="AC151" s="3">
        <f>Gegenstände!AB151</f>
        <v>0</v>
      </c>
      <c r="AD151" s="3">
        <f>Gegenstände!F151</f>
        <v>0</v>
      </c>
    </row>
    <row r="152" spans="1:30" x14ac:dyDescent="0.2">
      <c r="A152" s="3">
        <f>Gegenstände!A152</f>
        <v>902</v>
      </c>
      <c r="B152" s="3" t="str">
        <f>Gegenstände!B152</f>
        <v>Dolch (Training)</v>
      </c>
      <c r="D152" s="3">
        <f>Gegenstände!K152</f>
        <v>1200</v>
      </c>
      <c r="E152" s="3">
        <f>Gegenstände!I152</f>
        <v>1</v>
      </c>
      <c r="F152" s="3">
        <f>VLOOKUP(Gegenstände!E152,Berechnungen!$E$87:$F$115,2,FALSE)</f>
        <v>3</v>
      </c>
      <c r="G152" s="3">
        <f>Gegenstände!H152</f>
        <v>0</v>
      </c>
      <c r="H152" s="3">
        <f>Gegenstände!G152</f>
        <v>2</v>
      </c>
      <c r="I152" s="3">
        <f>Gegenstände!D152</f>
        <v>0</v>
      </c>
      <c r="J152" s="168">
        <f>ROUND(Gegenstände!N152,0)</f>
        <v>0</v>
      </c>
      <c r="K152" s="3">
        <f>Gegenstände!J152</f>
        <v>200</v>
      </c>
      <c r="L152" s="3">
        <f>Gegenstände!L152</f>
        <v>0</v>
      </c>
      <c r="M152" s="3">
        <f>Gegenstände!Z152</f>
        <v>0</v>
      </c>
      <c r="N152" s="783">
        <f>(Gegenstände!Y152*10)</f>
        <v>0</v>
      </c>
      <c r="O152" s="783">
        <f>(Gegenstände!W152*10)</f>
        <v>0</v>
      </c>
      <c r="P152" s="783">
        <f>Gegenstände!AA152*10</f>
        <v>0</v>
      </c>
      <c r="Q152" s="783">
        <f>Gegenstände!O152</f>
        <v>4</v>
      </c>
      <c r="R152" s="168">
        <f>Gegenstände!S152</f>
        <v>7</v>
      </c>
      <c r="S152" s="168">
        <f>Gegenstände!T152</f>
        <v>9</v>
      </c>
      <c r="T152" s="783">
        <f>Gegenstände!AC152</f>
        <v>0</v>
      </c>
      <c r="U152" s="783">
        <f>Gegenstände!AE152</f>
        <v>0</v>
      </c>
      <c r="V152" s="783">
        <f>Gegenstände!AD152</f>
        <v>0</v>
      </c>
      <c r="W152" s="783">
        <f>Gegenstände!AF152</f>
        <v>0</v>
      </c>
      <c r="AB152" s="3">
        <f>Gegenstände!M152</f>
        <v>0</v>
      </c>
      <c r="AC152" s="3">
        <f>Gegenstände!AB152</f>
        <v>0</v>
      </c>
      <c r="AD152" s="3">
        <f>Gegenstände!F152</f>
        <v>0</v>
      </c>
    </row>
    <row r="153" spans="1:30" x14ac:dyDescent="0.2">
      <c r="A153" s="3">
        <f>Gegenstände!A153</f>
        <v>903</v>
      </c>
      <c r="B153" s="3" t="str">
        <f>Gegenstände!B153</f>
        <v>Axt (Training)</v>
      </c>
      <c r="D153" s="3">
        <f>Gegenstände!K153</f>
        <v>1700</v>
      </c>
      <c r="E153" s="3">
        <f>Gegenstände!I153</f>
        <v>1</v>
      </c>
      <c r="F153" s="3">
        <f>VLOOKUP(Gegenstände!E153,Berechnungen!$E$87:$F$115,2,FALSE)</f>
        <v>4</v>
      </c>
      <c r="G153" s="3">
        <f>Gegenstände!H153</f>
        <v>0</v>
      </c>
      <c r="H153" s="3">
        <f>Gegenstände!G153</f>
        <v>3</v>
      </c>
      <c r="I153" s="3">
        <f>Gegenstände!D153</f>
        <v>0</v>
      </c>
      <c r="J153" s="168">
        <f>ROUND(Gegenstände!N153,0)</f>
        <v>0</v>
      </c>
      <c r="K153" s="3">
        <f>Gegenstände!J153</f>
        <v>200</v>
      </c>
      <c r="L153" s="3">
        <f>Gegenstände!L153</f>
        <v>0</v>
      </c>
      <c r="M153" s="3">
        <f>Gegenstände!Z153</f>
        <v>0</v>
      </c>
      <c r="N153" s="783">
        <f>(Gegenstände!Y153*10)</f>
        <v>0</v>
      </c>
      <c r="O153" s="783">
        <f>(Gegenstände!W153*10)</f>
        <v>0</v>
      </c>
      <c r="P153" s="783">
        <f>Gegenstände!AA153*10</f>
        <v>0</v>
      </c>
      <c r="Q153" s="783">
        <f>Gegenstände!O153</f>
        <v>3</v>
      </c>
      <c r="R153" s="168">
        <f>Gegenstände!S153</f>
        <v>8</v>
      </c>
      <c r="S153" s="168">
        <f>Gegenstände!T153</f>
        <v>11</v>
      </c>
      <c r="T153" s="783">
        <f>Gegenstände!AC153</f>
        <v>0</v>
      </c>
      <c r="U153" s="783">
        <f>Gegenstände!AE153</f>
        <v>0</v>
      </c>
      <c r="V153" s="783">
        <f>Gegenstände!AD153</f>
        <v>0</v>
      </c>
      <c r="W153" s="783">
        <f>Gegenstände!AF153</f>
        <v>0</v>
      </c>
      <c r="AB153" s="3">
        <f>Gegenstände!M153</f>
        <v>0</v>
      </c>
      <c r="AC153" s="3">
        <f>Gegenstände!AB153</f>
        <v>0</v>
      </c>
      <c r="AD153" s="3">
        <f>Gegenstände!F153</f>
        <v>0</v>
      </c>
    </row>
    <row r="154" spans="1:30" x14ac:dyDescent="0.2">
      <c r="A154" s="3">
        <f>Gegenstände!A154</f>
        <v>904</v>
      </c>
      <c r="B154" s="3" t="str">
        <f>Gegenstände!B154</f>
        <v>Keule (Training)</v>
      </c>
      <c r="D154" s="3">
        <f>Gegenstände!K154</f>
        <v>1700</v>
      </c>
      <c r="E154" s="3">
        <f>Gegenstände!I154</f>
        <v>1</v>
      </c>
      <c r="F154" s="3">
        <f>VLOOKUP(Gegenstände!E154,Berechnungen!$E$87:$F$115,2,FALSE)</f>
        <v>6</v>
      </c>
      <c r="G154" s="3">
        <f>Gegenstände!H154</f>
        <v>0</v>
      </c>
      <c r="H154" s="3">
        <f>Gegenstände!G154</f>
        <v>4</v>
      </c>
      <c r="I154" s="3">
        <f>Gegenstände!D154</f>
        <v>0</v>
      </c>
      <c r="J154" s="168">
        <f>ROUND(Gegenstände!N154,0)</f>
        <v>0</v>
      </c>
      <c r="K154" s="3">
        <f>Gegenstände!J154</f>
        <v>200</v>
      </c>
      <c r="L154" s="3">
        <f>Gegenstände!L154</f>
        <v>0</v>
      </c>
      <c r="M154" s="3">
        <f>Gegenstände!Z154</f>
        <v>0</v>
      </c>
      <c r="N154" s="783">
        <f>(Gegenstände!Y154*10)</f>
        <v>0</v>
      </c>
      <c r="O154" s="783">
        <f>(Gegenstände!W154*10)</f>
        <v>0</v>
      </c>
      <c r="P154" s="783">
        <f>Gegenstände!AA154*10</f>
        <v>0</v>
      </c>
      <c r="Q154" s="783">
        <f>Gegenstände!O154</f>
        <v>3</v>
      </c>
      <c r="R154" s="168">
        <f>Gegenstände!S154</f>
        <v>6</v>
      </c>
      <c r="S154" s="168">
        <f>Gegenstände!T154</f>
        <v>14</v>
      </c>
      <c r="T154" s="783">
        <f>Gegenstände!AC154</f>
        <v>0</v>
      </c>
      <c r="U154" s="783">
        <f>Gegenstände!AE154</f>
        <v>0</v>
      </c>
      <c r="V154" s="783">
        <f>Gegenstände!AD154</f>
        <v>0</v>
      </c>
      <c r="W154" s="783">
        <f>Gegenstände!AF154</f>
        <v>0</v>
      </c>
      <c r="AB154" s="3">
        <f>Gegenstände!M154</f>
        <v>0</v>
      </c>
      <c r="AC154" s="3">
        <f>Gegenstände!AB154</f>
        <v>0</v>
      </c>
      <c r="AD154" s="3">
        <f>Gegenstände!F154</f>
        <v>0</v>
      </c>
    </row>
    <row r="155" spans="1:30" x14ac:dyDescent="0.2">
      <c r="A155" s="3">
        <f>Gegenstände!A155</f>
        <v>905</v>
      </c>
      <c r="B155" s="3" t="str">
        <f>Gegenstände!B155</f>
        <v>Speer (Training)</v>
      </c>
      <c r="D155" s="3">
        <f>Gegenstände!K155</f>
        <v>1900</v>
      </c>
      <c r="E155" s="3">
        <f>Gegenstände!I155</f>
        <v>2</v>
      </c>
      <c r="F155" s="3">
        <f>VLOOKUP(Gegenstände!E155,Berechnungen!$E$87:$F$115,2,FALSE)</f>
        <v>8</v>
      </c>
      <c r="G155" s="3">
        <f>Gegenstände!H155</f>
        <v>0</v>
      </c>
      <c r="H155" s="3">
        <f>Gegenstände!G155</f>
        <v>5</v>
      </c>
      <c r="I155" s="3">
        <f>Gegenstände!D155</f>
        <v>0</v>
      </c>
      <c r="J155" s="168">
        <f>ROUND(Gegenstände!N155,0)</f>
        <v>0</v>
      </c>
      <c r="K155" s="3">
        <f>Gegenstände!J155</f>
        <v>200</v>
      </c>
      <c r="L155" s="3">
        <f>Gegenstände!L155</f>
        <v>0</v>
      </c>
      <c r="M155" s="3">
        <f>Gegenstände!Z155</f>
        <v>0</v>
      </c>
      <c r="N155" s="783">
        <f>(Gegenstände!Y155*10)</f>
        <v>0</v>
      </c>
      <c r="O155" s="783">
        <f>(Gegenstände!W155*10)</f>
        <v>0</v>
      </c>
      <c r="P155" s="783">
        <f>Gegenstände!AA155*10</f>
        <v>0</v>
      </c>
      <c r="Q155" s="783">
        <f>Gegenstände!O155</f>
        <v>3</v>
      </c>
      <c r="R155" s="168">
        <f>Gegenstände!S155</f>
        <v>11</v>
      </c>
      <c r="S155" s="168">
        <f>Gegenstände!T155</f>
        <v>16</v>
      </c>
      <c r="T155" s="783">
        <f>Gegenstände!AC155</f>
        <v>0</v>
      </c>
      <c r="U155" s="783">
        <f>Gegenstände!AE155</f>
        <v>0</v>
      </c>
      <c r="V155" s="783">
        <f>Gegenstände!AD155</f>
        <v>0</v>
      </c>
      <c r="W155" s="783">
        <f>Gegenstände!AF155</f>
        <v>0</v>
      </c>
      <c r="AB155" s="3">
        <f>Gegenstände!M155</f>
        <v>0</v>
      </c>
      <c r="AC155" s="3">
        <f>Gegenstände!AB155</f>
        <v>0</v>
      </c>
      <c r="AD155" s="3">
        <f>Gegenstände!F155</f>
        <v>0</v>
      </c>
    </row>
    <row r="156" spans="1:30" x14ac:dyDescent="0.2">
      <c r="A156" s="3">
        <f>Gegenstände!A156</f>
        <v>911</v>
      </c>
      <c r="B156" s="3" t="str">
        <f>Gegenstände!B156</f>
        <v>Bogen (Training)</v>
      </c>
      <c r="D156" s="3">
        <f>Gegenstände!K156</f>
        <v>1600</v>
      </c>
      <c r="E156" s="3">
        <f>Gegenstände!I156</f>
        <v>4</v>
      </c>
      <c r="F156" s="3">
        <f>VLOOKUP(Gegenstände!E156,Berechnungen!$E$87:$F$115,2,FALSE)</f>
        <v>11</v>
      </c>
      <c r="G156" s="3">
        <f>Gegenstände!H156</f>
        <v>0</v>
      </c>
      <c r="H156" s="3">
        <f>Gegenstände!G156</f>
        <v>6</v>
      </c>
      <c r="I156" s="3">
        <f>Gegenstände!D156</f>
        <v>0</v>
      </c>
      <c r="J156" s="168">
        <f>ROUND(Gegenstände!N156,0)</f>
        <v>0</v>
      </c>
      <c r="K156" s="3">
        <f>Gegenstände!J156</f>
        <v>200</v>
      </c>
      <c r="L156" s="3">
        <f>Gegenstände!L156</f>
        <v>0</v>
      </c>
      <c r="M156" s="3">
        <f>Gegenstände!Z156</f>
        <v>0</v>
      </c>
      <c r="N156" s="783">
        <f>(Gegenstände!Y156*10)</f>
        <v>0</v>
      </c>
      <c r="O156" s="783">
        <f>(Gegenstände!W156*10)</f>
        <v>0</v>
      </c>
      <c r="P156" s="783">
        <f>Gegenstände!AA156*10</f>
        <v>0</v>
      </c>
      <c r="Q156" s="783">
        <f>Gegenstände!O156</f>
        <v>4</v>
      </c>
      <c r="R156" s="168">
        <f>Gegenstände!S156</f>
        <v>8</v>
      </c>
      <c r="S156" s="168">
        <f>Gegenstände!T156</f>
        <v>11</v>
      </c>
      <c r="T156" s="783">
        <f>Gegenstände!AC156</f>
        <v>0</v>
      </c>
      <c r="U156" s="783">
        <f>Gegenstände!AE156</f>
        <v>0</v>
      </c>
      <c r="V156" s="783">
        <f>Gegenstände!AD156</f>
        <v>0</v>
      </c>
      <c r="W156" s="783">
        <f>Gegenstände!AF156</f>
        <v>0</v>
      </c>
      <c r="AB156" s="3">
        <f>Gegenstände!M156</f>
        <v>0</v>
      </c>
      <c r="AC156" s="3">
        <f>Gegenstände!AB156</f>
        <v>41</v>
      </c>
      <c r="AD156" s="3">
        <f>Gegenstände!F156</f>
        <v>0</v>
      </c>
    </row>
    <row r="157" spans="1:30" x14ac:dyDescent="0.2">
      <c r="A157" s="3">
        <f>Gegenstände!A157</f>
        <v>912</v>
      </c>
      <c r="B157" s="3" t="str">
        <f>Gegenstände!B157</f>
        <v>Armbrust (Training)</v>
      </c>
      <c r="D157" s="3">
        <f>Gegenstände!K157</f>
        <v>1800</v>
      </c>
      <c r="E157" s="3">
        <f>Gegenstände!I157</f>
        <v>4</v>
      </c>
      <c r="F157" s="3">
        <f>VLOOKUP(Gegenstände!E157,Berechnungen!$E$87:$F$115,2,FALSE)</f>
        <v>12</v>
      </c>
      <c r="G157" s="3">
        <f>Gegenstände!H157</f>
        <v>0</v>
      </c>
      <c r="H157" s="3">
        <f>Gegenstände!G157</f>
        <v>7</v>
      </c>
      <c r="I157" s="3">
        <f>Gegenstände!D157</f>
        <v>0</v>
      </c>
      <c r="J157" s="168">
        <f>ROUND(Gegenstände!N157,0)</f>
        <v>0</v>
      </c>
      <c r="K157" s="3">
        <f>Gegenstände!J157</f>
        <v>200</v>
      </c>
      <c r="L157" s="3">
        <f>Gegenstände!L157</f>
        <v>0</v>
      </c>
      <c r="M157" s="3">
        <f>Gegenstände!Z157</f>
        <v>0</v>
      </c>
      <c r="N157" s="783">
        <f>(Gegenstände!Y157*10)</f>
        <v>0</v>
      </c>
      <c r="O157" s="783">
        <f>(Gegenstände!W157*10)</f>
        <v>0</v>
      </c>
      <c r="P157" s="783">
        <f>Gegenstände!AA157*10</f>
        <v>0</v>
      </c>
      <c r="Q157" s="783">
        <f>Gegenstände!O157</f>
        <v>1</v>
      </c>
      <c r="R157" s="168">
        <f>Gegenstände!S157</f>
        <v>20</v>
      </c>
      <c r="S157" s="168">
        <f>Gegenstände!T157</f>
        <v>33</v>
      </c>
      <c r="T157" s="783">
        <f>Gegenstände!AC157</f>
        <v>0</v>
      </c>
      <c r="U157" s="783">
        <f>Gegenstände!AE157</f>
        <v>0</v>
      </c>
      <c r="V157" s="783">
        <f>Gegenstände!AD157</f>
        <v>0</v>
      </c>
      <c r="W157" s="783">
        <f>Gegenstände!AF157</f>
        <v>0</v>
      </c>
      <c r="AB157" s="3">
        <f>Gegenstände!M157</f>
        <v>0</v>
      </c>
      <c r="AC157" s="3">
        <f>Gegenstände!AB157</f>
        <v>42</v>
      </c>
      <c r="AD157" s="3">
        <f>Gegenstände!F157</f>
        <v>0</v>
      </c>
    </row>
    <row r="158" spans="1:30" x14ac:dyDescent="0.2">
      <c r="A158" s="3">
        <f>Gegenstände!A158</f>
        <v>913</v>
      </c>
      <c r="B158" s="3" t="str">
        <f>Gegenstände!B158</f>
        <v>Feuerstab (Training)</v>
      </c>
      <c r="D158" s="3">
        <f>Gegenstände!K158</f>
        <v>1200</v>
      </c>
      <c r="E158" s="3">
        <f>Gegenstände!I158</f>
        <v>4</v>
      </c>
      <c r="F158" s="3">
        <f>VLOOKUP(Gegenstände!E158,Berechnungen!$E$87:$F$115,2,FALSE)</f>
        <v>13</v>
      </c>
      <c r="G158" s="3">
        <f>Gegenstände!H158</f>
        <v>0</v>
      </c>
      <c r="H158" s="3">
        <f>Gegenstände!G158</f>
        <v>10</v>
      </c>
      <c r="I158" s="3">
        <f>Gegenstände!D158</f>
        <v>0</v>
      </c>
      <c r="J158" s="168">
        <f>ROUND(Gegenstände!N158,0)</f>
        <v>0</v>
      </c>
      <c r="K158" s="3">
        <f>Gegenstände!J158</f>
        <v>200</v>
      </c>
      <c r="L158" s="3">
        <f>Gegenstände!L158</f>
        <v>0</v>
      </c>
      <c r="M158" s="3">
        <f>Gegenstände!Z158</f>
        <v>0</v>
      </c>
      <c r="N158" s="783">
        <f>(Gegenstände!Y158*10)</f>
        <v>0</v>
      </c>
      <c r="O158" s="783">
        <f>(Gegenstände!W158*10)</f>
        <v>0</v>
      </c>
      <c r="P158" s="783">
        <f>Gegenstände!AA158*10</f>
        <v>0</v>
      </c>
      <c r="Q158" s="783">
        <f>Gegenstände!O158</f>
        <v>0</v>
      </c>
      <c r="R158" s="168">
        <f>Gegenstände!S158</f>
        <v>0</v>
      </c>
      <c r="S158" s="168">
        <f>Gegenstände!T158</f>
        <v>0</v>
      </c>
      <c r="T158" s="783">
        <f>Gegenstände!AC158</f>
        <v>0</v>
      </c>
      <c r="U158" s="783">
        <f>Gegenstände!AE158</f>
        <v>0</v>
      </c>
      <c r="V158" s="783">
        <f>Gegenstände!AD158</f>
        <v>0</v>
      </c>
      <c r="W158" s="783">
        <f>Gegenstände!AF158</f>
        <v>0</v>
      </c>
      <c r="AB158" s="3">
        <f>Gegenstände!M158</f>
        <v>0</v>
      </c>
      <c r="AC158" s="3">
        <f>Gegenstände!AB158</f>
        <v>43</v>
      </c>
      <c r="AD158" s="3">
        <f>Gegenstände!F158</f>
        <v>0</v>
      </c>
    </row>
    <row r="159" spans="1:30" x14ac:dyDescent="0.2">
      <c r="A159" s="3">
        <f>Gegenstände!A159</f>
        <v>914</v>
      </c>
      <c r="B159" s="3" t="str">
        <f>Gegenstände!B159</f>
        <v>Wasserstab (Training)</v>
      </c>
      <c r="D159" s="3">
        <f>Gegenstände!K159</f>
        <v>1200</v>
      </c>
      <c r="E159" s="3">
        <f>Gegenstände!I159</f>
        <v>4</v>
      </c>
      <c r="F159" s="3">
        <f>VLOOKUP(Gegenstände!E159,Berechnungen!$E$87:$F$115,2,FALSE)</f>
        <v>14</v>
      </c>
      <c r="G159" s="3">
        <f>Gegenstände!H159</f>
        <v>0</v>
      </c>
      <c r="H159" s="3">
        <f>Gegenstände!G159</f>
        <v>11</v>
      </c>
      <c r="I159" s="3">
        <f>Gegenstände!D159</f>
        <v>0</v>
      </c>
      <c r="J159" s="168">
        <f>ROUND(Gegenstände!N159,0)</f>
        <v>0</v>
      </c>
      <c r="K159" s="3">
        <f>Gegenstände!J159</f>
        <v>200</v>
      </c>
      <c r="L159" s="3">
        <f>Gegenstände!L159</f>
        <v>0</v>
      </c>
      <c r="M159" s="3">
        <f>Gegenstände!Z159</f>
        <v>0</v>
      </c>
      <c r="N159" s="783">
        <f>(Gegenstände!Y159*10)</f>
        <v>0</v>
      </c>
      <c r="O159" s="783">
        <f>(Gegenstände!W159*10)</f>
        <v>0</v>
      </c>
      <c r="P159" s="783">
        <f>Gegenstände!AA159*10</f>
        <v>0</v>
      </c>
      <c r="Q159" s="783">
        <f>Gegenstände!O159</f>
        <v>0</v>
      </c>
      <c r="R159" s="168">
        <f>Gegenstände!S159</f>
        <v>0</v>
      </c>
      <c r="S159" s="168">
        <f>Gegenstände!T159</f>
        <v>0</v>
      </c>
      <c r="T159" s="783">
        <f>Gegenstände!AC159</f>
        <v>0</v>
      </c>
      <c r="U159" s="783">
        <f>Gegenstände!AE159</f>
        <v>0</v>
      </c>
      <c r="V159" s="783">
        <f>Gegenstände!AD159</f>
        <v>0</v>
      </c>
      <c r="W159" s="783">
        <f>Gegenstände!AF159</f>
        <v>0</v>
      </c>
      <c r="AB159" s="3">
        <f>Gegenstände!M159</f>
        <v>0</v>
      </c>
      <c r="AC159" s="3">
        <f>Gegenstände!AB159</f>
        <v>43</v>
      </c>
      <c r="AD159" s="3">
        <f>Gegenstände!F159</f>
        <v>0</v>
      </c>
    </row>
    <row r="160" spans="1:30" x14ac:dyDescent="0.2">
      <c r="A160" s="3">
        <f>Gegenstände!A160</f>
        <v>915</v>
      </c>
      <c r="B160" s="3" t="str">
        <f>Gegenstände!B160</f>
        <v>Erdstab (Training)</v>
      </c>
      <c r="D160" s="3">
        <f>Gegenstände!K160</f>
        <v>1200</v>
      </c>
      <c r="E160" s="3">
        <f>Gegenstände!I160</f>
        <v>4</v>
      </c>
      <c r="F160" s="3">
        <f>VLOOKUP(Gegenstände!E160,Berechnungen!$E$87:$F$115,2,FALSE)</f>
        <v>15</v>
      </c>
      <c r="G160" s="3">
        <f>Gegenstände!H160</f>
        <v>0</v>
      </c>
      <c r="H160" s="3">
        <f>Gegenstände!G160</f>
        <v>12</v>
      </c>
      <c r="I160" s="3">
        <f>Gegenstände!D160</f>
        <v>0</v>
      </c>
      <c r="J160" s="168">
        <f>ROUND(Gegenstände!N160,0)</f>
        <v>0</v>
      </c>
      <c r="K160" s="3">
        <f>Gegenstände!J160</f>
        <v>200</v>
      </c>
      <c r="L160" s="3">
        <f>Gegenstände!L160</f>
        <v>0</v>
      </c>
      <c r="M160" s="3">
        <f>Gegenstände!Z160</f>
        <v>0</v>
      </c>
      <c r="N160" s="783">
        <f>(Gegenstände!Y160*10)</f>
        <v>0</v>
      </c>
      <c r="O160" s="783">
        <f>(Gegenstände!W160*10)</f>
        <v>0</v>
      </c>
      <c r="P160" s="783">
        <f>Gegenstände!AA160*10</f>
        <v>0</v>
      </c>
      <c r="Q160" s="783">
        <f>Gegenstände!O160</f>
        <v>0</v>
      </c>
      <c r="R160" s="168">
        <f>Gegenstände!S160</f>
        <v>0</v>
      </c>
      <c r="S160" s="168">
        <f>Gegenstände!T160</f>
        <v>0</v>
      </c>
      <c r="T160" s="783">
        <f>Gegenstände!AC160</f>
        <v>0</v>
      </c>
      <c r="U160" s="783">
        <f>Gegenstände!AE160</f>
        <v>0</v>
      </c>
      <c r="V160" s="783">
        <f>Gegenstände!AD160</f>
        <v>0</v>
      </c>
      <c r="W160" s="783">
        <f>Gegenstände!AF160</f>
        <v>0</v>
      </c>
      <c r="AB160" s="3">
        <f>Gegenstände!M160</f>
        <v>0</v>
      </c>
      <c r="AC160" s="3">
        <f>Gegenstände!AB160</f>
        <v>43</v>
      </c>
      <c r="AD160" s="3">
        <f>Gegenstände!F160</f>
        <v>0</v>
      </c>
    </row>
    <row r="161" spans="1:30" x14ac:dyDescent="0.2">
      <c r="A161" s="3">
        <f>Gegenstände!A161</f>
        <v>916</v>
      </c>
      <c r="B161" s="3" t="str">
        <f>Gegenstände!B161</f>
        <v>Luftstab (Training)</v>
      </c>
      <c r="D161" s="3">
        <f>Gegenstände!K161</f>
        <v>1200</v>
      </c>
      <c r="E161" s="3">
        <f>Gegenstände!I161</f>
        <v>4</v>
      </c>
      <c r="F161" s="3">
        <f>VLOOKUP(Gegenstände!E161,Berechnungen!$E$87:$F$115,2,FALSE)</f>
        <v>16</v>
      </c>
      <c r="G161" s="3">
        <f>Gegenstände!H161</f>
        <v>0</v>
      </c>
      <c r="H161" s="3">
        <f>Gegenstände!G161</f>
        <v>13</v>
      </c>
      <c r="I161" s="3">
        <f>Gegenstände!D161</f>
        <v>0</v>
      </c>
      <c r="J161" s="168">
        <f>ROUND(Gegenstände!N161,0)</f>
        <v>0</v>
      </c>
      <c r="K161" s="3">
        <f>Gegenstände!J161</f>
        <v>200</v>
      </c>
      <c r="L161" s="3">
        <f>Gegenstände!L161</f>
        <v>0</v>
      </c>
      <c r="M161" s="3">
        <f>Gegenstände!Z161</f>
        <v>0</v>
      </c>
      <c r="N161" s="783">
        <f>(Gegenstände!Y161*10)</f>
        <v>0</v>
      </c>
      <c r="O161" s="783">
        <f>(Gegenstände!W161*10)</f>
        <v>0</v>
      </c>
      <c r="P161" s="783">
        <f>Gegenstände!AA161*10</f>
        <v>0</v>
      </c>
      <c r="Q161" s="783">
        <f>Gegenstände!O161</f>
        <v>0</v>
      </c>
      <c r="R161" s="168">
        <f>Gegenstände!S161</f>
        <v>0</v>
      </c>
      <c r="S161" s="168">
        <f>Gegenstände!T161</f>
        <v>0</v>
      </c>
      <c r="T161" s="783">
        <f>Gegenstände!AC161</f>
        <v>0</v>
      </c>
      <c r="U161" s="783">
        <f>Gegenstände!AE161</f>
        <v>0</v>
      </c>
      <c r="V161" s="783">
        <f>Gegenstände!AD161</f>
        <v>0</v>
      </c>
      <c r="W161" s="783">
        <f>Gegenstände!AF161</f>
        <v>0</v>
      </c>
      <c r="AB161" s="3">
        <f>Gegenstände!M161</f>
        <v>0</v>
      </c>
      <c r="AC161" s="3">
        <f>Gegenstände!AB161</f>
        <v>43</v>
      </c>
      <c r="AD161" s="3">
        <f>Gegenstände!F161</f>
        <v>0</v>
      </c>
    </row>
    <row r="162" spans="1:30" x14ac:dyDescent="0.2">
      <c r="A162" s="3">
        <f>Gegenstände!A162</f>
        <v>921</v>
      </c>
      <c r="B162" s="3" t="str">
        <f>Gegenstände!B162</f>
        <v>Leichte Haube (Training)</v>
      </c>
      <c r="D162" s="3">
        <f>Gegenstände!K162</f>
        <v>1000</v>
      </c>
      <c r="E162" s="3">
        <f>Gegenstände!I162</f>
        <v>11</v>
      </c>
      <c r="F162" s="3">
        <f>VLOOKUP(Gegenstände!E162,Berechnungen!$E$87:$F$115,2,FALSE)</f>
        <v>22</v>
      </c>
      <c r="G162" s="3">
        <f>Gegenstände!H162</f>
        <v>0</v>
      </c>
      <c r="H162" s="3">
        <f>Gegenstände!G162</f>
        <v>8</v>
      </c>
      <c r="I162" s="3">
        <f>Gegenstände!D162</f>
        <v>0</v>
      </c>
      <c r="J162" s="168">
        <f>ROUND(Gegenstände!N162,0)</f>
        <v>0</v>
      </c>
      <c r="K162" s="3">
        <f>Gegenstände!J162</f>
        <v>200</v>
      </c>
      <c r="L162" s="3">
        <f>Gegenstände!L162</f>
        <v>0</v>
      </c>
      <c r="M162" s="3">
        <f>Gegenstände!Z162</f>
        <v>6</v>
      </c>
      <c r="N162" s="783">
        <f>(Gegenstände!Y162*10)</f>
        <v>20</v>
      </c>
      <c r="O162" s="783">
        <f>(Gegenstände!W162*10)</f>
        <v>4</v>
      </c>
      <c r="P162" s="783">
        <f>Gegenstände!AA162*10</f>
        <v>0</v>
      </c>
      <c r="Q162" s="783">
        <f>Gegenstände!O162</f>
        <v>0</v>
      </c>
      <c r="R162" s="168">
        <f>Gegenstände!S162</f>
        <v>0</v>
      </c>
      <c r="S162" s="168">
        <f>Gegenstände!T162</f>
        <v>0</v>
      </c>
      <c r="T162" s="783">
        <f>Gegenstände!AC162</f>
        <v>0</v>
      </c>
      <c r="U162" s="783">
        <f>Gegenstände!AE162</f>
        <v>0</v>
      </c>
      <c r="V162" s="783">
        <f>Gegenstände!AD162</f>
        <v>0</v>
      </c>
      <c r="W162" s="783">
        <f>Gegenstände!AF162</f>
        <v>0</v>
      </c>
      <c r="AB162" s="3">
        <f>Gegenstände!M162</f>
        <v>0</v>
      </c>
      <c r="AC162" s="3">
        <f>Gegenstände!AB162</f>
        <v>0</v>
      </c>
      <c r="AD162" s="3">
        <f>Gegenstände!F162</f>
        <v>0</v>
      </c>
    </row>
    <row r="163" spans="1:30" x14ac:dyDescent="0.2">
      <c r="A163" s="3">
        <f>Gegenstände!A163</f>
        <v>922</v>
      </c>
      <c r="B163" s="3" t="str">
        <f>Gegenstände!B163</f>
        <v>Leichte Weste (Training)</v>
      </c>
      <c r="D163" s="3">
        <f>Gegenstände!K163</f>
        <v>1500</v>
      </c>
      <c r="E163" s="3">
        <f>Gegenstände!I163</f>
        <v>12</v>
      </c>
      <c r="F163" s="3">
        <f>VLOOKUP(Gegenstände!E163,Berechnungen!$E$87:$F$115,2,FALSE)</f>
        <v>22</v>
      </c>
      <c r="G163" s="3">
        <f>Gegenstände!H163</f>
        <v>0</v>
      </c>
      <c r="H163" s="3">
        <f>Gegenstände!G163</f>
        <v>8</v>
      </c>
      <c r="I163" s="3">
        <f>Gegenstände!D163</f>
        <v>0</v>
      </c>
      <c r="J163" s="168">
        <f>ROUND(Gegenstände!N163,0)</f>
        <v>0</v>
      </c>
      <c r="K163" s="3">
        <f>Gegenstände!J163</f>
        <v>200</v>
      </c>
      <c r="L163" s="3">
        <f>Gegenstände!L163</f>
        <v>0</v>
      </c>
      <c r="M163" s="3">
        <f>Gegenstände!Z163</f>
        <v>9</v>
      </c>
      <c r="N163" s="783">
        <f>(Gegenstände!Y163*10)</f>
        <v>30</v>
      </c>
      <c r="O163" s="783">
        <f>(Gegenstände!W163*10)</f>
        <v>6</v>
      </c>
      <c r="P163" s="783">
        <f>Gegenstände!AA163*10</f>
        <v>0</v>
      </c>
      <c r="Q163" s="783">
        <f>Gegenstände!O163</f>
        <v>0</v>
      </c>
      <c r="R163" s="168">
        <f>Gegenstände!S163</f>
        <v>0</v>
      </c>
      <c r="S163" s="168">
        <f>Gegenstände!T163</f>
        <v>0</v>
      </c>
      <c r="T163" s="783">
        <f>Gegenstände!AC163</f>
        <v>0</v>
      </c>
      <c r="U163" s="783">
        <f>Gegenstände!AE163</f>
        <v>0</v>
      </c>
      <c r="V163" s="783">
        <f>Gegenstände!AD163</f>
        <v>0</v>
      </c>
      <c r="W163" s="783">
        <f>Gegenstände!AF163</f>
        <v>0</v>
      </c>
      <c r="AB163" s="3">
        <f>Gegenstände!M163</f>
        <v>0</v>
      </c>
      <c r="AC163" s="3">
        <f>Gegenstände!AB163</f>
        <v>0</v>
      </c>
      <c r="AD163" s="3">
        <f>Gegenstände!F163</f>
        <v>0</v>
      </c>
    </row>
    <row r="164" spans="1:30" x14ac:dyDescent="0.2">
      <c r="A164" s="3">
        <f>Gegenstände!A164</f>
        <v>923</v>
      </c>
      <c r="B164" s="3" t="str">
        <f>Gegenstände!B164</f>
        <v>Leichter Schild (Training)</v>
      </c>
      <c r="D164" s="3">
        <f>Gegenstände!K164</f>
        <v>2200</v>
      </c>
      <c r="E164" s="3">
        <f>Gegenstände!I164</f>
        <v>3</v>
      </c>
      <c r="F164" s="3">
        <f>VLOOKUP(Gegenstände!E164,Berechnungen!$E$87:$F$115,2,FALSE)</f>
        <v>24</v>
      </c>
      <c r="G164" s="3">
        <f>Gegenstände!H164</f>
        <v>0</v>
      </c>
      <c r="H164" s="3">
        <f>Gegenstände!G164</f>
        <v>8</v>
      </c>
      <c r="I164" s="3">
        <f>Gegenstände!D164</f>
        <v>0</v>
      </c>
      <c r="J164" s="168">
        <f>ROUND(Gegenstände!N164,0)</f>
        <v>0</v>
      </c>
      <c r="K164" s="3">
        <f>Gegenstände!J164</f>
        <v>200</v>
      </c>
      <c r="L164" s="3">
        <f>Gegenstände!L164</f>
        <v>0</v>
      </c>
      <c r="M164" s="3">
        <f>Gegenstände!Z164</f>
        <v>0</v>
      </c>
      <c r="N164" s="783">
        <f>(Gegenstände!Y164*10)</f>
        <v>40</v>
      </c>
      <c r="O164" s="783">
        <f>(Gegenstände!W164*10)</f>
        <v>0</v>
      </c>
      <c r="P164" s="783">
        <f>Gegenstände!AA164*10</f>
        <v>200</v>
      </c>
      <c r="Q164" s="783">
        <f>Gegenstände!O164</f>
        <v>0</v>
      </c>
      <c r="R164" s="168">
        <f>Gegenstände!S164</f>
        <v>0</v>
      </c>
      <c r="S164" s="168">
        <f>Gegenstände!T164</f>
        <v>0</v>
      </c>
      <c r="T164" s="783">
        <f>Gegenstände!AC164</f>
        <v>0</v>
      </c>
      <c r="U164" s="783">
        <f>Gegenstände!AE164</f>
        <v>0</v>
      </c>
      <c r="V164" s="783">
        <f>Gegenstände!AD164</f>
        <v>0</v>
      </c>
      <c r="W164" s="783">
        <f>Gegenstände!AF164</f>
        <v>0</v>
      </c>
      <c r="AB164" s="3">
        <f>Gegenstände!M164</f>
        <v>0</v>
      </c>
      <c r="AC164" s="3">
        <f>Gegenstände!AB164</f>
        <v>0</v>
      </c>
      <c r="AD164" s="3">
        <f>Gegenstände!F164</f>
        <v>0</v>
      </c>
    </row>
    <row r="165" spans="1:30" x14ac:dyDescent="0.2">
      <c r="A165" s="3">
        <f>Gegenstände!A165</f>
        <v>931</v>
      </c>
      <c r="B165" s="3" t="str">
        <f>Gegenstände!B165</f>
        <v>Schwere Haube (Training)</v>
      </c>
      <c r="D165" s="3">
        <f>Gegenstände!K165</f>
        <v>1500</v>
      </c>
      <c r="E165" s="3">
        <f>Gegenstände!I165</f>
        <v>11</v>
      </c>
      <c r="F165" s="3">
        <f>VLOOKUP(Gegenstände!E165,Berechnungen!$E$87:$F$115,2,FALSE)</f>
        <v>23</v>
      </c>
      <c r="G165" s="3">
        <f>Gegenstände!H165</f>
        <v>0</v>
      </c>
      <c r="H165" s="3">
        <f>Gegenstände!G165</f>
        <v>9</v>
      </c>
      <c r="I165" s="3">
        <f>Gegenstände!D165</f>
        <v>0</v>
      </c>
      <c r="J165" s="168">
        <f>ROUND(Gegenstände!N165,0)</f>
        <v>0</v>
      </c>
      <c r="K165" s="3">
        <f>Gegenstände!J165</f>
        <v>200</v>
      </c>
      <c r="L165" s="3">
        <f>Gegenstände!L165</f>
        <v>0</v>
      </c>
      <c r="M165" s="3">
        <f>Gegenstände!Z165</f>
        <v>12</v>
      </c>
      <c r="N165" s="783">
        <f>(Gegenstände!Y165*10)</f>
        <v>40</v>
      </c>
      <c r="O165" s="783">
        <f>(Gegenstände!W165*10)</f>
        <v>6</v>
      </c>
      <c r="P165" s="783">
        <f>Gegenstände!AA165*10</f>
        <v>0</v>
      </c>
      <c r="Q165" s="783">
        <f>Gegenstände!O165</f>
        <v>0</v>
      </c>
      <c r="R165" s="168">
        <f>Gegenstände!S165</f>
        <v>0</v>
      </c>
      <c r="S165" s="168">
        <f>Gegenstände!T165</f>
        <v>0</v>
      </c>
      <c r="T165" s="783">
        <f>Gegenstände!AC165</f>
        <v>0</v>
      </c>
      <c r="U165" s="783">
        <f>Gegenstände!AE165</f>
        <v>0</v>
      </c>
      <c r="V165" s="783">
        <f>Gegenstände!AD165</f>
        <v>0</v>
      </c>
      <c r="W165" s="783">
        <f>Gegenstände!AF165</f>
        <v>0</v>
      </c>
      <c r="AB165" s="3">
        <f>Gegenstände!M165</f>
        <v>0</v>
      </c>
      <c r="AC165" s="3">
        <f>Gegenstände!AB165</f>
        <v>0</v>
      </c>
      <c r="AD165" s="3">
        <f>Gegenstände!F165</f>
        <v>0</v>
      </c>
    </row>
    <row r="166" spans="1:30" x14ac:dyDescent="0.2">
      <c r="A166" s="3">
        <f>Gegenstände!A166</f>
        <v>932</v>
      </c>
      <c r="B166" s="3" t="str">
        <f>Gegenstände!B166</f>
        <v>Schwere Weste (Training)</v>
      </c>
      <c r="D166" s="3">
        <f>Gegenstände!K166</f>
        <v>3500</v>
      </c>
      <c r="E166" s="3">
        <f>Gegenstände!I166</f>
        <v>12</v>
      </c>
      <c r="F166" s="3">
        <f>VLOOKUP(Gegenstände!E166,Berechnungen!$E$87:$F$115,2,FALSE)</f>
        <v>23</v>
      </c>
      <c r="G166" s="3">
        <f>Gegenstände!H166</f>
        <v>0</v>
      </c>
      <c r="H166" s="3">
        <f>Gegenstände!G166</f>
        <v>9</v>
      </c>
      <c r="I166" s="3">
        <f>Gegenstände!D166</f>
        <v>0</v>
      </c>
      <c r="J166" s="168">
        <f>ROUND(Gegenstände!N166,0)</f>
        <v>0</v>
      </c>
      <c r="K166" s="3">
        <f>Gegenstände!J166</f>
        <v>200</v>
      </c>
      <c r="L166" s="3">
        <f>Gegenstände!L166</f>
        <v>0</v>
      </c>
      <c r="M166" s="3">
        <f>Gegenstände!Z166</f>
        <v>18</v>
      </c>
      <c r="N166" s="783">
        <f>(Gegenstände!Y166*10)</f>
        <v>60</v>
      </c>
      <c r="O166" s="783">
        <f>(Gegenstände!W166*10)</f>
        <v>9</v>
      </c>
      <c r="P166" s="783">
        <f>Gegenstände!AA166*10</f>
        <v>0</v>
      </c>
      <c r="Q166" s="783">
        <f>Gegenstände!O166</f>
        <v>0</v>
      </c>
      <c r="R166" s="168">
        <f>Gegenstände!S166</f>
        <v>0</v>
      </c>
      <c r="S166" s="168">
        <f>Gegenstände!T166</f>
        <v>0</v>
      </c>
      <c r="T166" s="783">
        <f>Gegenstände!AC166</f>
        <v>0</v>
      </c>
      <c r="U166" s="783">
        <f>Gegenstände!AE166</f>
        <v>0</v>
      </c>
      <c r="V166" s="783">
        <f>Gegenstände!AD166</f>
        <v>0</v>
      </c>
      <c r="W166" s="783">
        <f>Gegenstände!AF166</f>
        <v>0</v>
      </c>
      <c r="AB166" s="3">
        <f>Gegenstände!M166</f>
        <v>0</v>
      </c>
      <c r="AC166" s="3">
        <f>Gegenstände!AB166</f>
        <v>0</v>
      </c>
      <c r="AD166" s="3">
        <f>Gegenstände!F166</f>
        <v>0</v>
      </c>
    </row>
    <row r="167" spans="1:30" x14ac:dyDescent="0.2">
      <c r="A167" s="3">
        <f>Gegenstände!A167</f>
        <v>933</v>
      </c>
      <c r="B167" s="3" t="str">
        <f>Gegenstände!B167</f>
        <v>Schwerer Schild (Training)</v>
      </c>
      <c r="D167" s="3">
        <f>Gegenstände!K167</f>
        <v>2800</v>
      </c>
      <c r="E167" s="3">
        <f>Gegenstände!I167</f>
        <v>3</v>
      </c>
      <c r="F167" s="3">
        <f>VLOOKUP(Gegenstände!E167,Berechnungen!$E$87:$F$115,2,FALSE)</f>
        <v>25</v>
      </c>
      <c r="G167" s="3">
        <f>Gegenstände!H167</f>
        <v>0</v>
      </c>
      <c r="H167" s="3">
        <f>Gegenstände!G167</f>
        <v>9</v>
      </c>
      <c r="I167" s="3">
        <f>Gegenstände!D167</f>
        <v>0</v>
      </c>
      <c r="J167" s="168">
        <f>ROUND(Gegenstände!N167,0)</f>
        <v>0</v>
      </c>
      <c r="K167" s="3">
        <f>Gegenstände!J167</f>
        <v>200</v>
      </c>
      <c r="L167" s="3">
        <f>Gegenstände!L167</f>
        <v>0</v>
      </c>
      <c r="M167" s="3">
        <f>Gegenstände!Z167</f>
        <v>0</v>
      </c>
      <c r="N167" s="783">
        <f>(Gegenstände!Y167*10)</f>
        <v>60</v>
      </c>
      <c r="O167" s="783">
        <f>(Gegenstände!W167*10)</f>
        <v>0</v>
      </c>
      <c r="P167" s="783">
        <f>Gegenstände!AA167*10</f>
        <v>300</v>
      </c>
      <c r="Q167" s="783">
        <f>Gegenstände!O167</f>
        <v>0</v>
      </c>
      <c r="R167" s="168">
        <f>Gegenstände!S167</f>
        <v>0</v>
      </c>
      <c r="S167" s="168">
        <f>Gegenstände!T167</f>
        <v>0</v>
      </c>
      <c r="T167" s="783">
        <f>Gegenstände!AC167</f>
        <v>0</v>
      </c>
      <c r="U167" s="783">
        <f>Gegenstände!AE167</f>
        <v>0</v>
      </c>
      <c r="V167" s="783">
        <f>Gegenstände!AD167</f>
        <v>0</v>
      </c>
      <c r="W167" s="783">
        <f>Gegenstände!AF167</f>
        <v>0</v>
      </c>
      <c r="AB167" s="3">
        <f>Gegenstände!M167</f>
        <v>0</v>
      </c>
      <c r="AC167" s="3">
        <f>Gegenstände!AB167</f>
        <v>0</v>
      </c>
      <c r="AD167" s="3">
        <f>Gegenstände!F167</f>
        <v>0</v>
      </c>
    </row>
    <row r="168" spans="1:30" x14ac:dyDescent="0.2">
      <c r="A168" s="3">
        <f>Gegenstände!A168</f>
        <v>941</v>
      </c>
      <c r="B168" s="3" t="str">
        <f>Gegenstände!B168</f>
        <v>Pfeile (Training)</v>
      </c>
      <c r="D168" s="3">
        <f>Gegenstände!K168</f>
        <v>40</v>
      </c>
      <c r="E168" s="3">
        <f>Gegenstände!I168</f>
        <v>5</v>
      </c>
      <c r="F168" s="3">
        <f>VLOOKUP(Gegenstände!E168,Berechnungen!$E$87:$F$115,2,FALSE)</f>
        <v>41</v>
      </c>
      <c r="G168" s="3">
        <f>Gegenstände!H168</f>
        <v>0</v>
      </c>
      <c r="H168" s="3">
        <f>Gegenstände!G168</f>
        <v>0</v>
      </c>
      <c r="I168" s="3">
        <f>Gegenstände!D168</f>
        <v>0</v>
      </c>
      <c r="J168" s="168">
        <f>ROUND(Gegenstände!N168,0)</f>
        <v>0</v>
      </c>
      <c r="K168" s="3">
        <f>Gegenstände!J168</f>
        <v>0</v>
      </c>
      <c r="L168" s="3">
        <f>Gegenstände!L168</f>
        <v>1</v>
      </c>
      <c r="M168" s="3">
        <f>Gegenstände!Z168</f>
        <v>0</v>
      </c>
      <c r="N168" s="783">
        <f>(Gegenstände!Y168*10)</f>
        <v>0</v>
      </c>
      <c r="O168" s="783">
        <f>(Gegenstände!W168*10)</f>
        <v>0</v>
      </c>
      <c r="P168" s="783">
        <f>Gegenstände!AA168*10</f>
        <v>0</v>
      </c>
      <c r="Q168" s="783">
        <f>Gegenstände!O168</f>
        <v>0</v>
      </c>
      <c r="R168" s="168">
        <f>Gegenstände!S168</f>
        <v>0</v>
      </c>
      <c r="S168" s="168">
        <f>Gegenstände!T168</f>
        <v>0</v>
      </c>
      <c r="T168" s="783">
        <f>Gegenstände!AC168</f>
        <v>-10</v>
      </c>
      <c r="U168" s="783">
        <f>Gegenstände!AE168</f>
        <v>-5</v>
      </c>
      <c r="V168" s="783">
        <f>Gegenstände!AD168</f>
        <v>0</v>
      </c>
      <c r="W168" s="783">
        <f>Gegenstände!AF168</f>
        <v>0</v>
      </c>
      <c r="AB168" s="3">
        <f>Gegenstände!M168</f>
        <v>0</v>
      </c>
      <c r="AC168" s="3">
        <f>Gegenstände!AB168</f>
        <v>0</v>
      </c>
      <c r="AD168" s="3">
        <f>Gegenstände!F168</f>
        <v>0</v>
      </c>
    </row>
    <row r="169" spans="1:30" x14ac:dyDescent="0.2">
      <c r="A169" s="3">
        <f>Gegenstände!A169</f>
        <v>942</v>
      </c>
      <c r="B169" s="3" t="str">
        <f>Gegenstände!B169</f>
        <v>Bolzen (Training)</v>
      </c>
      <c r="D169" s="3">
        <f>Gegenstände!K169</f>
        <v>40</v>
      </c>
      <c r="E169" s="3">
        <f>Gegenstände!I169</f>
        <v>5</v>
      </c>
      <c r="F169" s="3">
        <f>VLOOKUP(Gegenstände!E169,Berechnungen!$E$87:$F$115,2,FALSE)</f>
        <v>42</v>
      </c>
      <c r="G169" s="3">
        <f>Gegenstände!H169</f>
        <v>0</v>
      </c>
      <c r="H169" s="3">
        <f>Gegenstände!G169</f>
        <v>0</v>
      </c>
      <c r="I169" s="3">
        <f>Gegenstände!D169</f>
        <v>0</v>
      </c>
      <c r="J169" s="168">
        <f>ROUND(Gegenstände!N169,0)</f>
        <v>0</v>
      </c>
      <c r="K169" s="3">
        <f>Gegenstände!J169</f>
        <v>0</v>
      </c>
      <c r="L169" s="3">
        <f>Gegenstände!L169</f>
        <v>1</v>
      </c>
      <c r="M169" s="3">
        <f>Gegenstände!Z169</f>
        <v>0</v>
      </c>
      <c r="N169" s="783">
        <f>(Gegenstände!Y169*10)</f>
        <v>0</v>
      </c>
      <c r="O169" s="783">
        <f>(Gegenstände!W169*10)</f>
        <v>0</v>
      </c>
      <c r="P169" s="783">
        <f>Gegenstände!AA169*10</f>
        <v>0</v>
      </c>
      <c r="Q169" s="783">
        <f>Gegenstände!O169</f>
        <v>0</v>
      </c>
      <c r="R169" s="168">
        <f>Gegenstände!S169</f>
        <v>0</v>
      </c>
      <c r="S169" s="168">
        <f>Gegenstände!T169</f>
        <v>0</v>
      </c>
      <c r="T169" s="783">
        <f>Gegenstände!AC169</f>
        <v>-10</v>
      </c>
      <c r="U169" s="783">
        <f>Gegenstände!AE169</f>
        <v>-5</v>
      </c>
      <c r="V169" s="783">
        <f>Gegenstände!AD169</f>
        <v>0</v>
      </c>
      <c r="W169" s="783">
        <f>Gegenstände!AF169</f>
        <v>0</v>
      </c>
      <c r="AB169" s="3">
        <f>Gegenstände!M169</f>
        <v>0</v>
      </c>
      <c r="AC169" s="3">
        <f>Gegenstände!AB169</f>
        <v>0</v>
      </c>
      <c r="AD169" s="3">
        <f>Gegenstände!F169</f>
        <v>0</v>
      </c>
    </row>
    <row r="170" spans="1:30" x14ac:dyDescent="0.2">
      <c r="A170" s="3">
        <f>Gegenstände!A170</f>
        <v>943</v>
      </c>
      <c r="B170" s="3" t="str">
        <f>Gegenstände!B170</f>
        <v>Essenzen (Training)</v>
      </c>
      <c r="D170" s="3">
        <f>Gegenstände!K170</f>
        <v>30</v>
      </c>
      <c r="E170" s="3">
        <f>Gegenstände!I170</f>
        <v>5</v>
      </c>
      <c r="F170" s="3">
        <f>VLOOKUP(Gegenstände!E170,Berechnungen!$E$87:$F$115,2,FALSE)</f>
        <v>43</v>
      </c>
      <c r="G170" s="3">
        <f>Gegenstände!H170</f>
        <v>0</v>
      </c>
      <c r="H170" s="3">
        <f>Gegenstände!G170</f>
        <v>0</v>
      </c>
      <c r="I170" s="3">
        <f>Gegenstände!D170</f>
        <v>0</v>
      </c>
      <c r="J170" s="168">
        <f>ROUND(Gegenstände!N170,0)</f>
        <v>0</v>
      </c>
      <c r="K170" s="3">
        <f>Gegenstände!J170</f>
        <v>0</v>
      </c>
      <c r="L170" s="3">
        <f>Gegenstände!L170</f>
        <v>1</v>
      </c>
      <c r="M170" s="3">
        <f>Gegenstände!Z170</f>
        <v>0</v>
      </c>
      <c r="N170" s="783">
        <f>(Gegenstände!Y170*10)</f>
        <v>0</v>
      </c>
      <c r="O170" s="783">
        <f>(Gegenstände!W170*10)</f>
        <v>0</v>
      </c>
      <c r="P170" s="783">
        <f>Gegenstände!AA170*10</f>
        <v>0</v>
      </c>
      <c r="Q170" s="783">
        <f>Gegenstände!O170</f>
        <v>0</v>
      </c>
      <c r="R170" s="168">
        <f>Gegenstände!S170</f>
        <v>0</v>
      </c>
      <c r="S170" s="168">
        <f>Gegenstände!T170</f>
        <v>0</v>
      </c>
      <c r="T170" s="783">
        <f>Gegenstände!AC170</f>
        <v>-10</v>
      </c>
      <c r="U170" s="783">
        <f>Gegenstände!AE170</f>
        <v>-5</v>
      </c>
      <c r="V170" s="783">
        <f>Gegenstände!AD170</f>
        <v>0</v>
      </c>
      <c r="W170" s="783">
        <f>Gegenstände!AF170</f>
        <v>0</v>
      </c>
      <c r="AB170" s="3">
        <f>Gegenstände!M170</f>
        <v>0</v>
      </c>
      <c r="AC170" s="3">
        <f>Gegenstände!AB170</f>
        <v>0</v>
      </c>
      <c r="AD170" s="3">
        <f>Gegenstände!F170</f>
        <v>0</v>
      </c>
    </row>
    <row r="171" spans="1:30" x14ac:dyDescent="0.2">
      <c r="A171" s="3">
        <f>Gegenstände!A171</f>
        <v>0</v>
      </c>
      <c r="B171" s="3" t="str">
        <f>Gegenstände!B171</f>
        <v>Pfeile</v>
      </c>
      <c r="D171" s="3">
        <f>Gegenstände!K171</f>
        <v>0</v>
      </c>
      <c r="E171" s="3">
        <f>Gegenstände!I171</f>
        <v>5</v>
      </c>
      <c r="F171" s="3" t="e">
        <f>VLOOKUP(Gegenstände!E171,Berechnungen!$E$87:$F$115,2,FALSE)</f>
        <v>#N/A</v>
      </c>
      <c r="G171" s="3">
        <f>Gegenstände!H171</f>
        <v>0</v>
      </c>
      <c r="H171" s="3">
        <f>Gegenstände!G171</f>
        <v>0</v>
      </c>
      <c r="I171" s="3">
        <f>Gegenstände!D171</f>
        <v>0</v>
      </c>
      <c r="J171" s="168">
        <f>ROUND(Gegenstände!N171,0)</f>
        <v>0</v>
      </c>
      <c r="K171" s="3">
        <f>Gegenstände!J171</f>
        <v>0</v>
      </c>
      <c r="L171" s="3">
        <f>Gegenstände!L171</f>
        <v>0</v>
      </c>
      <c r="M171" s="3">
        <f>Gegenstände!Z171</f>
        <v>0</v>
      </c>
      <c r="N171" s="783">
        <f>(Gegenstände!Y171*10)</f>
        <v>0</v>
      </c>
      <c r="O171" s="783">
        <f>(Gegenstände!W171*10)</f>
        <v>0</v>
      </c>
      <c r="P171" s="783">
        <f>Gegenstände!AA171*10</f>
        <v>0</v>
      </c>
      <c r="Q171" s="783">
        <f>Gegenstände!O171</f>
        <v>0</v>
      </c>
      <c r="R171" s="168">
        <f>Gegenstände!S171</f>
        <v>0</v>
      </c>
      <c r="S171" s="168">
        <f>Gegenstände!T171</f>
        <v>0</v>
      </c>
      <c r="T171" s="783">
        <f>Gegenstände!AC171</f>
        <v>0</v>
      </c>
      <c r="U171" s="783">
        <f>Gegenstände!AE171</f>
        <v>0</v>
      </c>
      <c r="V171" s="783">
        <f>Gegenstände!AD171</f>
        <v>0</v>
      </c>
      <c r="W171" s="783">
        <f>Gegenstände!AF171</f>
        <v>0</v>
      </c>
      <c r="AB171" s="3">
        <f>Gegenstände!M171</f>
        <v>0</v>
      </c>
      <c r="AC171" s="3">
        <f>Gegenstände!AB171</f>
        <v>0</v>
      </c>
      <c r="AD171" s="3">
        <f>Gegenstände!F171</f>
        <v>0</v>
      </c>
    </row>
    <row r="172" spans="1:30" x14ac:dyDescent="0.2">
      <c r="A172" s="3">
        <f>Gegenstände!A172</f>
        <v>1001</v>
      </c>
      <c r="B172" s="3" t="str">
        <f>Gegenstände!B172</f>
        <v>Pfeile</v>
      </c>
      <c r="D172" s="3">
        <f>Gegenstände!K172</f>
        <v>30</v>
      </c>
      <c r="E172" s="3">
        <f>Gegenstände!I172</f>
        <v>5</v>
      </c>
      <c r="F172" s="3">
        <f>VLOOKUP(Gegenstände!E172,Berechnungen!$E$87:$F$115,2,FALSE)</f>
        <v>41</v>
      </c>
      <c r="G172" s="3">
        <f>Gegenstände!H172</f>
        <v>1</v>
      </c>
      <c r="H172" s="3">
        <f>Gegenstände!G172</f>
        <v>0</v>
      </c>
      <c r="I172" s="3">
        <f>Gegenstände!D172</f>
        <v>1</v>
      </c>
      <c r="J172" s="168">
        <f>ROUND(Gegenstände!N172,0)</f>
        <v>3</v>
      </c>
      <c r="K172" s="3">
        <f>Gegenstände!J172</f>
        <v>0</v>
      </c>
      <c r="L172" s="3">
        <f>Gegenstände!L172</f>
        <v>1</v>
      </c>
      <c r="M172" s="3">
        <f>Gegenstände!Z172</f>
        <v>0</v>
      </c>
      <c r="N172" s="783">
        <f>(Gegenstände!Y172*10)</f>
        <v>0</v>
      </c>
      <c r="O172" s="783">
        <f>(Gegenstände!W172*10)</f>
        <v>0</v>
      </c>
      <c r="P172" s="783">
        <f>Gegenstände!AA172*10</f>
        <v>0</v>
      </c>
      <c r="Q172" s="783">
        <f>Gegenstände!O172</f>
        <v>0</v>
      </c>
      <c r="R172" s="168">
        <f>Gegenstände!S172</f>
        <v>0</v>
      </c>
      <c r="S172" s="168">
        <f>Gegenstände!T172</f>
        <v>0</v>
      </c>
      <c r="T172" s="783">
        <f>Gegenstände!AC172</f>
        <v>0</v>
      </c>
      <c r="U172" s="783">
        <f>Gegenstände!AE172</f>
        <v>0</v>
      </c>
      <c r="V172" s="783">
        <f>Gegenstände!AD172</f>
        <v>0</v>
      </c>
      <c r="W172" s="783">
        <f>Gegenstände!AF172</f>
        <v>0</v>
      </c>
      <c r="AB172" s="3">
        <f>Gegenstände!M172</f>
        <v>1</v>
      </c>
      <c r="AC172" s="3">
        <f>Gegenstände!AB172</f>
        <v>0</v>
      </c>
      <c r="AD172" s="3">
        <f>Gegenstände!F172</f>
        <v>0</v>
      </c>
    </row>
    <row r="173" spans="1:30" x14ac:dyDescent="0.2">
      <c r="A173" s="3">
        <f>Gegenstände!A173</f>
        <v>1002</v>
      </c>
      <c r="B173" s="3" t="str">
        <f>Gegenstände!B173</f>
        <v>Jagdpfeile</v>
      </c>
      <c r="D173" s="3">
        <f>Gegenstände!K173</f>
        <v>30</v>
      </c>
      <c r="E173" s="3">
        <f>Gegenstände!I173</f>
        <v>5</v>
      </c>
      <c r="F173" s="3">
        <f>VLOOKUP(Gegenstände!E173,Berechnungen!$E$87:$F$115,2,FALSE)</f>
        <v>41</v>
      </c>
      <c r="G173" s="3">
        <f>Gegenstände!H173</f>
        <v>1</v>
      </c>
      <c r="H173" s="3">
        <f>Gegenstände!G173</f>
        <v>0</v>
      </c>
      <c r="I173" s="3">
        <f>Gegenstände!D173</f>
        <v>6</v>
      </c>
      <c r="J173" s="168">
        <f>ROUND(Gegenstände!N173,0)</f>
        <v>6</v>
      </c>
      <c r="K173" s="3">
        <f>Gegenstände!J173</f>
        <v>0</v>
      </c>
      <c r="L173" s="3">
        <f>Gegenstände!L173</f>
        <v>1</v>
      </c>
      <c r="M173" s="3">
        <f>Gegenstände!Z173</f>
        <v>0</v>
      </c>
      <c r="N173" s="783">
        <f>(Gegenstände!Y173*10)</f>
        <v>0</v>
      </c>
      <c r="O173" s="783">
        <f>(Gegenstände!W173*10)</f>
        <v>0</v>
      </c>
      <c r="P173" s="783">
        <f>Gegenstände!AA173*10</f>
        <v>0</v>
      </c>
      <c r="Q173" s="783">
        <f>Gegenstände!O173</f>
        <v>0</v>
      </c>
      <c r="R173" s="168">
        <f>Gegenstände!S173</f>
        <v>0</v>
      </c>
      <c r="S173" s="168">
        <f>Gegenstände!T173</f>
        <v>0</v>
      </c>
      <c r="T173" s="783">
        <f>Gegenstände!AC173</f>
        <v>2</v>
      </c>
      <c r="U173" s="783">
        <f>Gegenstände!AE173</f>
        <v>0</v>
      </c>
      <c r="V173" s="783">
        <f>Gegenstände!AD173</f>
        <v>1</v>
      </c>
      <c r="W173" s="783">
        <f>Gegenstände!AF173</f>
        <v>0</v>
      </c>
      <c r="AB173" s="3">
        <f>Gegenstände!M173</f>
        <v>0</v>
      </c>
      <c r="AC173" s="3">
        <f>Gegenstände!AB173</f>
        <v>0</v>
      </c>
      <c r="AD173" s="3">
        <f>Gegenstände!F173</f>
        <v>0</v>
      </c>
    </row>
    <row r="174" spans="1:30" x14ac:dyDescent="0.2">
      <c r="A174" s="3">
        <f>Gegenstände!A174</f>
        <v>1003</v>
      </c>
      <c r="B174" s="3" t="str">
        <f>Gegenstände!B174</f>
        <v>Kriegspfeile</v>
      </c>
      <c r="D174" s="3">
        <f>Gegenstände!K174</f>
        <v>30</v>
      </c>
      <c r="E174" s="3">
        <f>Gegenstände!I174</f>
        <v>5</v>
      </c>
      <c r="F174" s="3">
        <f>VLOOKUP(Gegenstände!E174,Berechnungen!$E$87:$F$115,2,FALSE)</f>
        <v>41</v>
      </c>
      <c r="G174" s="3">
        <f>Gegenstände!H174</f>
        <v>1</v>
      </c>
      <c r="H174" s="3">
        <f>Gegenstände!G174</f>
        <v>0</v>
      </c>
      <c r="I174" s="3">
        <f>Gegenstände!D174</f>
        <v>11</v>
      </c>
      <c r="J174" s="168">
        <f>ROUND(Gegenstände!N174,0)</f>
        <v>12</v>
      </c>
      <c r="K174" s="3">
        <f>Gegenstände!J174</f>
        <v>0</v>
      </c>
      <c r="L174" s="3">
        <f>Gegenstände!L174</f>
        <v>1</v>
      </c>
      <c r="M174" s="3">
        <f>Gegenstände!Z174</f>
        <v>0</v>
      </c>
      <c r="N174" s="783">
        <f>(Gegenstände!Y174*10)</f>
        <v>0</v>
      </c>
      <c r="O174" s="783">
        <f>(Gegenstände!W174*10)</f>
        <v>0</v>
      </c>
      <c r="P174" s="783">
        <f>Gegenstände!AA174*10</f>
        <v>0</v>
      </c>
      <c r="Q174" s="783">
        <f>Gegenstände!O174</f>
        <v>0</v>
      </c>
      <c r="R174" s="168">
        <f>Gegenstände!S174</f>
        <v>0</v>
      </c>
      <c r="S174" s="168">
        <f>Gegenstände!T174</f>
        <v>0</v>
      </c>
      <c r="T174" s="783">
        <f>Gegenstände!AC174</f>
        <v>4</v>
      </c>
      <c r="U174" s="783">
        <f>Gegenstände!AE174</f>
        <v>0</v>
      </c>
      <c r="V174" s="783">
        <f>Gegenstände!AD174</f>
        <v>2</v>
      </c>
      <c r="W174" s="783">
        <f>Gegenstände!AF174</f>
        <v>0</v>
      </c>
      <c r="AB174" s="3">
        <f>Gegenstände!M174</f>
        <v>0</v>
      </c>
      <c r="AC174" s="3">
        <f>Gegenstände!AB174</f>
        <v>0</v>
      </c>
      <c r="AD174" s="3">
        <f>Gegenstände!F174</f>
        <v>0</v>
      </c>
    </row>
    <row r="175" spans="1:30" x14ac:dyDescent="0.2">
      <c r="A175" s="3">
        <f>Gegenstände!A175</f>
        <v>1004</v>
      </c>
      <c r="B175" s="3" t="str">
        <f>Gegenstände!B175</f>
        <v>Götterstich</v>
      </c>
      <c r="D175" s="3">
        <f>Gegenstände!K175</f>
        <v>30</v>
      </c>
      <c r="E175" s="3">
        <f>Gegenstände!I175</f>
        <v>5</v>
      </c>
      <c r="F175" s="3">
        <f>VLOOKUP(Gegenstände!E175,Berechnungen!$E$87:$F$115,2,FALSE)</f>
        <v>41</v>
      </c>
      <c r="G175" s="3">
        <f>Gegenstände!H175</f>
        <v>1</v>
      </c>
      <c r="H175" s="3">
        <f>Gegenstände!G175</f>
        <v>0</v>
      </c>
      <c r="I175" s="3">
        <f>Gegenstände!D175</f>
        <v>16</v>
      </c>
      <c r="J175" s="168">
        <f>ROUND(Gegenstände!N175,0)</f>
        <v>24</v>
      </c>
      <c r="K175" s="3">
        <f>Gegenstände!J175</f>
        <v>0</v>
      </c>
      <c r="L175" s="3">
        <f>Gegenstände!L175</f>
        <v>1</v>
      </c>
      <c r="M175" s="3">
        <f>Gegenstände!Z175</f>
        <v>0</v>
      </c>
      <c r="N175" s="783">
        <f>(Gegenstände!Y175*10)</f>
        <v>0</v>
      </c>
      <c r="O175" s="783">
        <f>(Gegenstände!W175*10)</f>
        <v>0</v>
      </c>
      <c r="P175" s="783">
        <f>Gegenstände!AA175*10</f>
        <v>0</v>
      </c>
      <c r="Q175" s="783">
        <f>Gegenstände!O175</f>
        <v>0</v>
      </c>
      <c r="R175" s="168">
        <f>Gegenstände!S175</f>
        <v>0</v>
      </c>
      <c r="S175" s="168">
        <f>Gegenstände!T175</f>
        <v>0</v>
      </c>
      <c r="T175" s="783">
        <f>Gegenstände!AC175</f>
        <v>6</v>
      </c>
      <c r="U175" s="783">
        <f>Gegenstände!AE175</f>
        <v>0</v>
      </c>
      <c r="V175" s="783">
        <f>Gegenstände!AD175</f>
        <v>3</v>
      </c>
      <c r="W175" s="783">
        <f>Gegenstände!AF175</f>
        <v>0</v>
      </c>
      <c r="AB175" s="3">
        <f>Gegenstände!M175</f>
        <v>0</v>
      </c>
      <c r="AC175" s="3">
        <f>Gegenstände!AB175</f>
        <v>0</v>
      </c>
      <c r="AD175" s="3">
        <f>Gegenstände!F175</f>
        <v>0</v>
      </c>
    </row>
    <row r="176" spans="1:30" x14ac:dyDescent="0.2">
      <c r="A176" s="3">
        <f>Gegenstände!A176</f>
        <v>1005</v>
      </c>
      <c r="B176" s="3" t="str">
        <f>Gegenstände!B176</f>
        <v>Panzerbrecher</v>
      </c>
      <c r="D176" s="3">
        <f>Gegenstände!K176</f>
        <v>30</v>
      </c>
      <c r="E176" s="3">
        <f>Gegenstände!I176</f>
        <v>5</v>
      </c>
      <c r="F176" s="3">
        <f>VLOOKUP(Gegenstände!E176,Berechnungen!$E$87:$F$115,2,FALSE)</f>
        <v>41</v>
      </c>
      <c r="G176" s="3">
        <f>Gegenstände!H176</f>
        <v>1</v>
      </c>
      <c r="H176" s="3">
        <f>Gegenstände!G176</f>
        <v>0</v>
      </c>
      <c r="I176" s="3">
        <f>Gegenstände!D176</f>
        <v>21</v>
      </c>
      <c r="J176" s="168">
        <f>ROUND(Gegenstände!N176,0)</f>
        <v>49</v>
      </c>
      <c r="K176" s="3">
        <f>Gegenstände!J176</f>
        <v>0</v>
      </c>
      <c r="L176" s="3">
        <f>Gegenstände!L176</f>
        <v>1</v>
      </c>
      <c r="M176" s="3">
        <f>Gegenstände!Z176</f>
        <v>0</v>
      </c>
      <c r="N176" s="783">
        <f>(Gegenstände!Y176*10)</f>
        <v>0</v>
      </c>
      <c r="O176" s="783">
        <f>(Gegenstände!W176*10)</f>
        <v>0</v>
      </c>
      <c r="P176" s="783">
        <f>Gegenstände!AA176*10</f>
        <v>0</v>
      </c>
      <c r="Q176" s="783">
        <f>Gegenstände!O176</f>
        <v>0</v>
      </c>
      <c r="R176" s="168">
        <f>Gegenstände!S176</f>
        <v>0</v>
      </c>
      <c r="S176" s="168">
        <f>Gegenstände!T176</f>
        <v>0</v>
      </c>
      <c r="T176" s="783">
        <f>Gegenstände!AC176</f>
        <v>8</v>
      </c>
      <c r="U176" s="783">
        <f>Gegenstände!AE176</f>
        <v>0</v>
      </c>
      <c r="V176" s="783">
        <f>Gegenstände!AD176</f>
        <v>4</v>
      </c>
      <c r="W176" s="783">
        <f>Gegenstände!AF176</f>
        <v>0</v>
      </c>
      <c r="AB176" s="3">
        <f>Gegenstände!M176</f>
        <v>0</v>
      </c>
      <c r="AC176" s="3">
        <f>Gegenstände!AB176</f>
        <v>0</v>
      </c>
      <c r="AD176" s="3">
        <f>Gegenstände!F176</f>
        <v>0</v>
      </c>
    </row>
    <row r="177" spans="1:30" x14ac:dyDescent="0.2">
      <c r="A177" s="3">
        <f>Gegenstände!A177</f>
        <v>0</v>
      </c>
      <c r="B177" s="3" t="str">
        <f>Gegenstände!B177</f>
        <v xml:space="preserve">Bolzen </v>
      </c>
      <c r="D177" s="3">
        <f>Gegenstände!K177</f>
        <v>0</v>
      </c>
      <c r="E177" s="3">
        <f>Gegenstände!I177</f>
        <v>5</v>
      </c>
      <c r="F177" s="3" t="e">
        <f>VLOOKUP(Gegenstände!E177,Berechnungen!$E$87:$F$115,2,FALSE)</f>
        <v>#N/A</v>
      </c>
      <c r="G177" s="3">
        <f>Gegenstände!H177</f>
        <v>0</v>
      </c>
      <c r="H177" s="3">
        <f>Gegenstände!G177</f>
        <v>0</v>
      </c>
      <c r="I177" s="3">
        <f>Gegenstände!D177</f>
        <v>0</v>
      </c>
      <c r="J177" s="168">
        <f>ROUND(Gegenstände!N177,0)</f>
        <v>0</v>
      </c>
      <c r="K177" s="3">
        <f>Gegenstände!J177</f>
        <v>0</v>
      </c>
      <c r="L177" s="3">
        <f>Gegenstände!L177</f>
        <v>0</v>
      </c>
      <c r="M177" s="3">
        <f>Gegenstände!Z177</f>
        <v>0</v>
      </c>
      <c r="N177" s="783">
        <f>(Gegenstände!Y177*10)</f>
        <v>0</v>
      </c>
      <c r="O177" s="783">
        <f>(Gegenstände!W177*10)</f>
        <v>0</v>
      </c>
      <c r="P177" s="783">
        <f>Gegenstände!AA177*10</f>
        <v>0</v>
      </c>
      <c r="Q177" s="783">
        <f>Gegenstände!O177</f>
        <v>0</v>
      </c>
      <c r="R177" s="168">
        <f>Gegenstände!S177</f>
        <v>0</v>
      </c>
      <c r="S177" s="168">
        <f>Gegenstände!T177</f>
        <v>0</v>
      </c>
      <c r="T177" s="783">
        <f>Gegenstände!AC177</f>
        <v>0</v>
      </c>
      <c r="U177" s="783">
        <f>Gegenstände!AE177</f>
        <v>0</v>
      </c>
      <c r="V177" s="783">
        <f>Gegenstände!AD177</f>
        <v>0</v>
      </c>
      <c r="W177" s="783">
        <f>Gegenstände!AF177</f>
        <v>0</v>
      </c>
      <c r="AB177" s="3">
        <f>Gegenstände!M177</f>
        <v>0</v>
      </c>
      <c r="AC177" s="3">
        <f>Gegenstände!AB177</f>
        <v>0</v>
      </c>
      <c r="AD177" s="3">
        <f>Gegenstände!F177</f>
        <v>0</v>
      </c>
    </row>
    <row r="178" spans="1:30" x14ac:dyDescent="0.2">
      <c r="A178" s="3">
        <f>Gegenstände!A178</f>
        <v>1011</v>
      </c>
      <c r="B178" s="3" t="str">
        <f>Gegenstände!B178</f>
        <v>Bolzen</v>
      </c>
      <c r="D178" s="3">
        <f>Gegenstände!K178</f>
        <v>80</v>
      </c>
      <c r="E178" s="3">
        <f>Gegenstände!I178</f>
        <v>5</v>
      </c>
      <c r="F178" s="3">
        <f>VLOOKUP(Gegenstände!E178,Berechnungen!$E$87:$F$115,2,FALSE)</f>
        <v>42</v>
      </c>
      <c r="G178" s="3">
        <f>Gegenstände!H178</f>
        <v>1</v>
      </c>
      <c r="H178" s="3">
        <f>Gegenstände!G178</f>
        <v>0</v>
      </c>
      <c r="I178" s="3">
        <f>Gegenstände!D178</f>
        <v>1</v>
      </c>
      <c r="J178" s="168">
        <f>ROUND(Gegenstände!N178,0)</f>
        <v>8</v>
      </c>
      <c r="K178" s="3">
        <f>Gegenstände!J178</f>
        <v>0</v>
      </c>
      <c r="L178" s="3">
        <f>Gegenstände!L178</f>
        <v>1</v>
      </c>
      <c r="M178" s="3">
        <f>Gegenstände!Z178</f>
        <v>0</v>
      </c>
      <c r="N178" s="783">
        <f>(Gegenstände!Y178*10)</f>
        <v>0</v>
      </c>
      <c r="O178" s="783">
        <f>(Gegenstände!W178*10)</f>
        <v>0</v>
      </c>
      <c r="P178" s="783">
        <f>Gegenstände!AA178*10</f>
        <v>0</v>
      </c>
      <c r="Q178" s="783">
        <f>Gegenstände!O178</f>
        <v>0</v>
      </c>
      <c r="R178" s="168">
        <f>Gegenstände!S178</f>
        <v>0</v>
      </c>
      <c r="S178" s="168">
        <f>Gegenstände!T178</f>
        <v>0</v>
      </c>
      <c r="T178" s="783">
        <f>Gegenstände!AC178</f>
        <v>0</v>
      </c>
      <c r="U178" s="783">
        <f>Gegenstände!AE178</f>
        <v>0</v>
      </c>
      <c r="V178" s="783">
        <f>Gegenstände!AD178</f>
        <v>0</v>
      </c>
      <c r="W178" s="783">
        <f>Gegenstände!AF178</f>
        <v>0</v>
      </c>
      <c r="AB178" s="3">
        <f>Gegenstände!M178</f>
        <v>1</v>
      </c>
      <c r="AC178" s="3">
        <f>Gegenstände!AB178</f>
        <v>0</v>
      </c>
      <c r="AD178" s="3">
        <f>Gegenstände!F178</f>
        <v>0</v>
      </c>
    </row>
    <row r="179" spans="1:30" x14ac:dyDescent="0.2">
      <c r="A179" s="3">
        <f>Gegenstände!A179</f>
        <v>1012</v>
      </c>
      <c r="B179" s="3" t="str">
        <f>Gegenstände!B179</f>
        <v>Jagdbolzen</v>
      </c>
      <c r="D179" s="3">
        <f>Gegenstände!K179</f>
        <v>80</v>
      </c>
      <c r="E179" s="3">
        <f>Gegenstände!I179</f>
        <v>5</v>
      </c>
      <c r="F179" s="3">
        <f>VLOOKUP(Gegenstände!E179,Berechnungen!$E$87:$F$115,2,FALSE)</f>
        <v>42</v>
      </c>
      <c r="G179" s="3">
        <f>Gegenstände!H179</f>
        <v>1</v>
      </c>
      <c r="H179" s="3">
        <f>Gegenstände!G179</f>
        <v>0</v>
      </c>
      <c r="I179" s="3">
        <f>Gegenstände!D179</f>
        <v>6</v>
      </c>
      <c r="J179" s="168">
        <f>ROUND(Gegenstände!N179,0)</f>
        <v>16</v>
      </c>
      <c r="K179" s="3">
        <f>Gegenstände!J179</f>
        <v>0</v>
      </c>
      <c r="L179" s="3">
        <f>Gegenstände!L179</f>
        <v>1</v>
      </c>
      <c r="M179" s="3">
        <f>Gegenstände!Z179</f>
        <v>0</v>
      </c>
      <c r="N179" s="783">
        <f>(Gegenstände!Y179*10)</f>
        <v>0</v>
      </c>
      <c r="O179" s="783">
        <f>(Gegenstände!W179*10)</f>
        <v>0</v>
      </c>
      <c r="P179" s="783">
        <f>Gegenstände!AA179*10</f>
        <v>0</v>
      </c>
      <c r="Q179" s="783">
        <f>Gegenstände!O179</f>
        <v>0</v>
      </c>
      <c r="R179" s="168">
        <f>Gegenstände!S179</f>
        <v>0</v>
      </c>
      <c r="S179" s="168">
        <f>Gegenstände!T179</f>
        <v>0</v>
      </c>
      <c r="T179" s="783">
        <f>Gegenstände!AC179</f>
        <v>2</v>
      </c>
      <c r="U179" s="783">
        <f>Gegenstände!AE179</f>
        <v>0</v>
      </c>
      <c r="V179" s="783">
        <f>Gegenstände!AD179</f>
        <v>1</v>
      </c>
      <c r="W179" s="783">
        <f>Gegenstände!AF179</f>
        <v>0</v>
      </c>
      <c r="AB179" s="3">
        <f>Gegenstände!M179</f>
        <v>0</v>
      </c>
      <c r="AC179" s="3">
        <f>Gegenstände!AB179</f>
        <v>0</v>
      </c>
      <c r="AD179" s="3">
        <f>Gegenstände!F179</f>
        <v>0</v>
      </c>
    </row>
    <row r="180" spans="1:30" x14ac:dyDescent="0.2">
      <c r="A180" s="3">
        <f>Gegenstände!A180</f>
        <v>1013</v>
      </c>
      <c r="B180" s="3" t="str">
        <f>Gegenstände!B180</f>
        <v>Kriegsbolzen</v>
      </c>
      <c r="D180" s="3">
        <f>Gegenstände!K180</f>
        <v>80</v>
      </c>
      <c r="E180" s="3">
        <f>Gegenstände!I180</f>
        <v>5</v>
      </c>
      <c r="F180" s="3">
        <f>VLOOKUP(Gegenstände!E180,Berechnungen!$E$87:$F$115,2,FALSE)</f>
        <v>42</v>
      </c>
      <c r="G180" s="3">
        <f>Gegenstände!H180</f>
        <v>1</v>
      </c>
      <c r="H180" s="3">
        <f>Gegenstände!G180</f>
        <v>0</v>
      </c>
      <c r="I180" s="3">
        <f>Gegenstände!D180</f>
        <v>11</v>
      </c>
      <c r="J180" s="168">
        <f>ROUND(Gegenstände!N180,0)</f>
        <v>32</v>
      </c>
      <c r="K180" s="3">
        <f>Gegenstände!J180</f>
        <v>0</v>
      </c>
      <c r="L180" s="3">
        <f>Gegenstände!L180</f>
        <v>1</v>
      </c>
      <c r="M180" s="3">
        <f>Gegenstände!Z180</f>
        <v>0</v>
      </c>
      <c r="N180" s="783">
        <f>(Gegenstände!Y180*10)</f>
        <v>0</v>
      </c>
      <c r="O180" s="783">
        <f>(Gegenstände!W180*10)</f>
        <v>0</v>
      </c>
      <c r="P180" s="783">
        <f>Gegenstände!AA180*10</f>
        <v>0</v>
      </c>
      <c r="Q180" s="783">
        <f>Gegenstände!O180</f>
        <v>0</v>
      </c>
      <c r="R180" s="168">
        <f>Gegenstände!S180</f>
        <v>0</v>
      </c>
      <c r="S180" s="168">
        <f>Gegenstände!T180</f>
        <v>0</v>
      </c>
      <c r="T180" s="783">
        <f>Gegenstände!AC180</f>
        <v>4</v>
      </c>
      <c r="U180" s="783">
        <f>Gegenstände!AE180</f>
        <v>0</v>
      </c>
      <c r="V180" s="783">
        <f>Gegenstände!AD180</f>
        <v>2</v>
      </c>
      <c r="W180" s="783">
        <f>Gegenstände!AF180</f>
        <v>0</v>
      </c>
      <c r="AB180" s="3">
        <f>Gegenstände!M180</f>
        <v>0</v>
      </c>
      <c r="AC180" s="3">
        <f>Gegenstände!AB180</f>
        <v>0</v>
      </c>
      <c r="AD180" s="3">
        <f>Gegenstände!F180</f>
        <v>0</v>
      </c>
    </row>
    <row r="181" spans="1:30" x14ac:dyDescent="0.2">
      <c r="A181" s="3">
        <f>Gegenstände!A181</f>
        <v>1014</v>
      </c>
      <c r="B181" s="3" t="str">
        <f>Gegenstände!B181</f>
        <v>Dämonendorn</v>
      </c>
      <c r="D181" s="3">
        <f>Gegenstände!K181</f>
        <v>80</v>
      </c>
      <c r="E181" s="3">
        <f>Gegenstände!I181</f>
        <v>5</v>
      </c>
      <c r="F181" s="3">
        <f>VLOOKUP(Gegenstände!E181,Berechnungen!$E$87:$F$115,2,FALSE)</f>
        <v>42</v>
      </c>
      <c r="G181" s="3">
        <f>Gegenstände!H181</f>
        <v>1</v>
      </c>
      <c r="H181" s="3">
        <f>Gegenstände!G181</f>
        <v>0</v>
      </c>
      <c r="I181" s="3">
        <f>Gegenstände!D181</f>
        <v>16</v>
      </c>
      <c r="J181" s="168">
        <f>ROUND(Gegenstände!N181,0)</f>
        <v>65</v>
      </c>
      <c r="K181" s="3">
        <f>Gegenstände!J181</f>
        <v>0</v>
      </c>
      <c r="L181" s="3">
        <f>Gegenstände!L181</f>
        <v>1</v>
      </c>
      <c r="M181" s="3">
        <f>Gegenstände!Z181</f>
        <v>0</v>
      </c>
      <c r="N181" s="783">
        <f>(Gegenstände!Y181*10)</f>
        <v>0</v>
      </c>
      <c r="O181" s="783">
        <f>(Gegenstände!W181*10)</f>
        <v>0</v>
      </c>
      <c r="P181" s="783">
        <f>Gegenstände!AA181*10</f>
        <v>0</v>
      </c>
      <c r="Q181" s="783">
        <f>Gegenstände!O181</f>
        <v>0</v>
      </c>
      <c r="R181" s="168">
        <f>Gegenstände!S181</f>
        <v>0</v>
      </c>
      <c r="S181" s="168">
        <f>Gegenstände!T181</f>
        <v>0</v>
      </c>
      <c r="T181" s="783">
        <f>Gegenstände!AC181</f>
        <v>6</v>
      </c>
      <c r="U181" s="783">
        <f>Gegenstände!AE181</f>
        <v>0</v>
      </c>
      <c r="V181" s="783">
        <f>Gegenstände!AD181</f>
        <v>3</v>
      </c>
      <c r="W181" s="783">
        <f>Gegenstände!AF181</f>
        <v>0</v>
      </c>
      <c r="AB181" s="3">
        <f>Gegenstände!M181</f>
        <v>0</v>
      </c>
      <c r="AC181" s="3">
        <f>Gegenstände!AB181</f>
        <v>0</v>
      </c>
      <c r="AD181" s="3">
        <f>Gegenstände!F181</f>
        <v>0</v>
      </c>
    </row>
    <row r="182" spans="1:30" x14ac:dyDescent="0.2">
      <c r="A182" s="3">
        <f>Gegenstände!A182</f>
        <v>1015</v>
      </c>
      <c r="B182" s="3" t="str">
        <f>Gegenstände!B182</f>
        <v>Steinbrecher</v>
      </c>
      <c r="D182" s="3">
        <f>Gegenstände!K182</f>
        <v>80</v>
      </c>
      <c r="E182" s="3">
        <f>Gegenstände!I182</f>
        <v>5</v>
      </c>
      <c r="F182" s="3">
        <f>VLOOKUP(Gegenstände!E182,Berechnungen!$E$87:$F$115,2,FALSE)</f>
        <v>42</v>
      </c>
      <c r="G182" s="3">
        <f>Gegenstände!H182</f>
        <v>1</v>
      </c>
      <c r="H182" s="3">
        <f>Gegenstände!G182</f>
        <v>0</v>
      </c>
      <c r="I182" s="3">
        <f>Gegenstände!D182</f>
        <v>21</v>
      </c>
      <c r="J182" s="168">
        <f>ROUND(Gegenstände!N182,0)</f>
        <v>131</v>
      </c>
      <c r="K182" s="3">
        <f>Gegenstände!J182</f>
        <v>0</v>
      </c>
      <c r="L182" s="3">
        <f>Gegenstände!L182</f>
        <v>1</v>
      </c>
      <c r="M182" s="3">
        <f>Gegenstände!Z182</f>
        <v>0</v>
      </c>
      <c r="N182" s="783">
        <f>(Gegenstände!Y182*10)</f>
        <v>0</v>
      </c>
      <c r="O182" s="783">
        <f>(Gegenstände!W182*10)</f>
        <v>0</v>
      </c>
      <c r="P182" s="783">
        <f>Gegenstände!AA182*10</f>
        <v>0</v>
      </c>
      <c r="Q182" s="783">
        <f>Gegenstände!O182</f>
        <v>0</v>
      </c>
      <c r="R182" s="168">
        <f>Gegenstände!S182</f>
        <v>0</v>
      </c>
      <c r="S182" s="168">
        <f>Gegenstände!T182</f>
        <v>0</v>
      </c>
      <c r="T182" s="783">
        <f>Gegenstände!AC182</f>
        <v>8</v>
      </c>
      <c r="U182" s="783">
        <f>Gegenstände!AE182</f>
        <v>0</v>
      </c>
      <c r="V182" s="783">
        <f>Gegenstände!AD182</f>
        <v>4</v>
      </c>
      <c r="W182" s="783">
        <f>Gegenstände!AF182</f>
        <v>0</v>
      </c>
      <c r="AB182" s="3">
        <f>Gegenstände!M182</f>
        <v>0</v>
      </c>
      <c r="AC182" s="3">
        <f>Gegenstände!AB182</f>
        <v>0</v>
      </c>
      <c r="AD182" s="3">
        <f>Gegenstände!F182</f>
        <v>0</v>
      </c>
    </row>
    <row r="183" spans="1:30" x14ac:dyDescent="0.2">
      <c r="A183" s="3">
        <f>Gegenstände!A183</f>
        <v>0</v>
      </c>
      <c r="B183" s="3" t="str">
        <f>Gegenstände!B183</f>
        <v>Magieessenzen</v>
      </c>
      <c r="D183" s="3">
        <f>Gegenstände!K183</f>
        <v>0</v>
      </c>
      <c r="E183" s="3">
        <f>Gegenstände!I183</f>
        <v>5</v>
      </c>
      <c r="F183" s="3" t="e">
        <f>VLOOKUP(Gegenstände!E183,Berechnungen!$E$87:$F$115,2,FALSE)</f>
        <v>#N/A</v>
      </c>
      <c r="G183" s="3">
        <f>Gegenstände!H183</f>
        <v>0</v>
      </c>
      <c r="H183" s="3">
        <f>Gegenstände!G183</f>
        <v>0</v>
      </c>
      <c r="I183" s="3">
        <f>Gegenstände!D183</f>
        <v>0</v>
      </c>
      <c r="J183" s="168">
        <f>ROUND(Gegenstände!N183,0)</f>
        <v>0</v>
      </c>
      <c r="K183" s="3">
        <f>Gegenstände!J183</f>
        <v>0</v>
      </c>
      <c r="L183" s="3">
        <f>Gegenstände!L183</f>
        <v>0</v>
      </c>
      <c r="M183" s="3">
        <f>Gegenstände!Z183</f>
        <v>0</v>
      </c>
      <c r="N183" s="783">
        <f>(Gegenstände!Y183*10)</f>
        <v>0</v>
      </c>
      <c r="O183" s="783">
        <f>(Gegenstände!W183*10)</f>
        <v>0</v>
      </c>
      <c r="P183" s="783">
        <f>Gegenstände!AA183*10</f>
        <v>0</v>
      </c>
      <c r="Q183" s="783">
        <f>Gegenstände!O183</f>
        <v>0</v>
      </c>
      <c r="R183" s="168">
        <f>Gegenstände!S183</f>
        <v>0</v>
      </c>
      <c r="S183" s="168">
        <f>Gegenstände!T183</f>
        <v>0</v>
      </c>
      <c r="T183" s="783">
        <f>Gegenstände!AC183</f>
        <v>0</v>
      </c>
      <c r="U183" s="783">
        <f>Gegenstände!AE183</f>
        <v>0</v>
      </c>
      <c r="V183" s="783">
        <f>Gegenstände!AD183</f>
        <v>0</v>
      </c>
      <c r="W183" s="783">
        <f>Gegenstände!AF183</f>
        <v>0</v>
      </c>
      <c r="AB183" s="3">
        <f>Gegenstände!M183</f>
        <v>0</v>
      </c>
      <c r="AC183" s="3">
        <f>Gegenstände!AB183</f>
        <v>0</v>
      </c>
      <c r="AD183" s="3">
        <f>Gegenstände!F183</f>
        <v>0</v>
      </c>
    </row>
    <row r="184" spans="1:30" x14ac:dyDescent="0.2">
      <c r="A184" s="3">
        <f>Gegenstände!A184</f>
        <v>1021</v>
      </c>
      <c r="B184" s="3" t="str">
        <f>Gegenstände!B184</f>
        <v>Magieessenz</v>
      </c>
      <c r="D184" s="3">
        <f>Gegenstände!K184</f>
        <v>30</v>
      </c>
      <c r="E184" s="3">
        <f>Gegenstände!I184</f>
        <v>5</v>
      </c>
      <c r="F184" s="3">
        <f>VLOOKUP(Gegenstände!E184,Berechnungen!$E$87:$F$115,2,FALSE)</f>
        <v>43</v>
      </c>
      <c r="G184" s="3">
        <f>Gegenstände!H184</f>
        <v>1</v>
      </c>
      <c r="H184" s="3">
        <f>Gegenstände!G184</f>
        <v>0</v>
      </c>
      <c r="I184" s="3">
        <f>Gegenstände!D184</f>
        <v>1</v>
      </c>
      <c r="J184" s="168">
        <f>ROUND(Gegenstände!N184,0)</f>
        <v>4</v>
      </c>
      <c r="K184" s="3">
        <f>Gegenstände!J184</f>
        <v>0</v>
      </c>
      <c r="L184" s="3">
        <f>Gegenstände!L184</f>
        <v>1</v>
      </c>
      <c r="M184" s="3">
        <f>Gegenstände!Z184</f>
        <v>0</v>
      </c>
      <c r="N184" s="783">
        <f>(Gegenstände!Y184*10)</f>
        <v>0</v>
      </c>
      <c r="O184" s="783">
        <f>(Gegenstände!W184*10)</f>
        <v>0</v>
      </c>
      <c r="P184" s="783">
        <f>Gegenstände!AA184*10</f>
        <v>0</v>
      </c>
      <c r="Q184" s="783">
        <f>Gegenstände!O184</f>
        <v>0</v>
      </c>
      <c r="R184" s="168">
        <f>Gegenstände!S184</f>
        <v>0</v>
      </c>
      <c r="S184" s="168">
        <f>Gegenstände!T184</f>
        <v>0</v>
      </c>
      <c r="T184" s="783">
        <f>Gegenstände!AC184</f>
        <v>0</v>
      </c>
      <c r="U184" s="783">
        <f>Gegenstände!AE184</f>
        <v>0</v>
      </c>
      <c r="V184" s="783">
        <f>Gegenstände!AD184</f>
        <v>0</v>
      </c>
      <c r="W184" s="783">
        <f>Gegenstände!AF184</f>
        <v>0</v>
      </c>
      <c r="AB184" s="3">
        <f>Gegenstände!M184</f>
        <v>1</v>
      </c>
      <c r="AC184" s="3">
        <f>Gegenstände!AB184</f>
        <v>0</v>
      </c>
      <c r="AD184" s="3">
        <f>Gegenstände!F184</f>
        <v>0</v>
      </c>
    </row>
    <row r="185" spans="1:30" x14ac:dyDescent="0.2">
      <c r="A185" s="3">
        <f>Gegenstände!A185</f>
        <v>1022</v>
      </c>
      <c r="B185" s="3" t="str">
        <f>Gegenstände!B185</f>
        <v>Todesessenz</v>
      </c>
      <c r="D185" s="3">
        <f>Gegenstände!K185</f>
        <v>30</v>
      </c>
      <c r="E185" s="3">
        <f>Gegenstände!I185</f>
        <v>5</v>
      </c>
      <c r="F185" s="3">
        <f>VLOOKUP(Gegenstände!E185,Berechnungen!$E$87:$F$115,2,FALSE)</f>
        <v>43</v>
      </c>
      <c r="G185" s="3">
        <f>Gegenstände!H185</f>
        <v>1</v>
      </c>
      <c r="H185" s="3">
        <f>Gegenstände!G185</f>
        <v>0</v>
      </c>
      <c r="I185" s="3">
        <f>Gegenstände!D185</f>
        <v>6</v>
      </c>
      <c r="J185" s="168">
        <f>ROUND(Gegenstände!N185,0)</f>
        <v>8</v>
      </c>
      <c r="K185" s="3">
        <f>Gegenstände!J185</f>
        <v>0</v>
      </c>
      <c r="L185" s="3">
        <f>Gegenstände!L185</f>
        <v>1</v>
      </c>
      <c r="M185" s="3">
        <f>Gegenstände!Z185</f>
        <v>0</v>
      </c>
      <c r="N185" s="783">
        <f>(Gegenstände!Y185*10)</f>
        <v>0</v>
      </c>
      <c r="O185" s="783">
        <f>(Gegenstände!W185*10)</f>
        <v>0</v>
      </c>
      <c r="P185" s="783">
        <f>Gegenstände!AA185*10</f>
        <v>0</v>
      </c>
      <c r="Q185" s="783">
        <f>Gegenstände!O185</f>
        <v>0</v>
      </c>
      <c r="R185" s="168">
        <f>Gegenstände!S185</f>
        <v>0</v>
      </c>
      <c r="S185" s="168">
        <f>Gegenstände!T185</f>
        <v>0</v>
      </c>
      <c r="T185" s="783">
        <f>Gegenstände!AC185</f>
        <v>2</v>
      </c>
      <c r="U185" s="783">
        <f>Gegenstände!AE185</f>
        <v>1</v>
      </c>
      <c r="V185" s="783">
        <f>Gegenstände!AD185</f>
        <v>0</v>
      </c>
      <c r="W185" s="783">
        <f>Gegenstände!AF185</f>
        <v>0</v>
      </c>
      <c r="AB185" s="3">
        <f>Gegenstände!M185</f>
        <v>0</v>
      </c>
      <c r="AC185" s="3">
        <f>Gegenstände!AB185</f>
        <v>0</v>
      </c>
      <c r="AD185" s="3">
        <f>Gegenstände!F185</f>
        <v>0</v>
      </c>
    </row>
    <row r="186" spans="1:30" x14ac:dyDescent="0.2">
      <c r="A186" s="3">
        <f>Gegenstände!A186</f>
        <v>1023</v>
      </c>
      <c r="B186" s="3" t="str">
        <f>Gegenstände!B186</f>
        <v>Schattenessenz</v>
      </c>
      <c r="D186" s="3">
        <f>Gegenstände!K186</f>
        <v>30</v>
      </c>
      <c r="E186" s="3">
        <f>Gegenstände!I186</f>
        <v>5</v>
      </c>
      <c r="F186" s="3">
        <f>VLOOKUP(Gegenstände!E186,Berechnungen!$E$87:$F$115,2,FALSE)</f>
        <v>43</v>
      </c>
      <c r="G186" s="3">
        <f>Gegenstände!H186</f>
        <v>1</v>
      </c>
      <c r="H186" s="3">
        <f>Gegenstände!G186</f>
        <v>0</v>
      </c>
      <c r="I186" s="3">
        <f>Gegenstände!D186</f>
        <v>11</v>
      </c>
      <c r="J186" s="168">
        <f>ROUND(Gegenstände!N186,0)</f>
        <v>16</v>
      </c>
      <c r="K186" s="3">
        <f>Gegenstände!J186</f>
        <v>0</v>
      </c>
      <c r="L186" s="3">
        <f>Gegenstände!L186</f>
        <v>1</v>
      </c>
      <c r="M186" s="3">
        <f>Gegenstände!Z186</f>
        <v>0</v>
      </c>
      <c r="N186" s="783">
        <f>(Gegenstände!Y186*10)</f>
        <v>0</v>
      </c>
      <c r="O186" s="783">
        <f>(Gegenstände!W186*10)</f>
        <v>0</v>
      </c>
      <c r="P186" s="783">
        <f>Gegenstände!AA186*10</f>
        <v>0</v>
      </c>
      <c r="Q186" s="783">
        <f>Gegenstände!O186</f>
        <v>0</v>
      </c>
      <c r="R186" s="168">
        <f>Gegenstände!S186</f>
        <v>0</v>
      </c>
      <c r="S186" s="168">
        <f>Gegenstände!T186</f>
        <v>0</v>
      </c>
      <c r="T186" s="783">
        <f>Gegenstände!AC186</f>
        <v>4</v>
      </c>
      <c r="U186" s="783">
        <f>Gegenstände!AE186</f>
        <v>2</v>
      </c>
      <c r="V186" s="783">
        <f>Gegenstände!AD186</f>
        <v>0</v>
      </c>
      <c r="W186" s="783">
        <f>Gegenstände!AF186</f>
        <v>0</v>
      </c>
      <c r="AB186" s="3">
        <f>Gegenstände!M186</f>
        <v>0</v>
      </c>
      <c r="AC186" s="3">
        <f>Gegenstände!AB186</f>
        <v>0</v>
      </c>
      <c r="AD186" s="3">
        <f>Gegenstände!F186</f>
        <v>0</v>
      </c>
    </row>
    <row r="187" spans="1:30" x14ac:dyDescent="0.2">
      <c r="A187" s="3">
        <f>Gegenstände!A187</f>
        <v>1024</v>
      </c>
      <c r="B187" s="3" t="str">
        <f>Gegenstände!B187</f>
        <v>Mondessenz</v>
      </c>
      <c r="D187" s="3">
        <f>Gegenstände!K187</f>
        <v>30</v>
      </c>
      <c r="E187" s="3">
        <f>Gegenstände!I187</f>
        <v>5</v>
      </c>
      <c r="F187" s="3">
        <f>VLOOKUP(Gegenstände!E187,Berechnungen!$E$87:$F$115,2,FALSE)</f>
        <v>43</v>
      </c>
      <c r="G187" s="3">
        <f>Gegenstände!H187</f>
        <v>1</v>
      </c>
      <c r="H187" s="3">
        <f>Gegenstände!G187</f>
        <v>0</v>
      </c>
      <c r="I187" s="3">
        <f>Gegenstände!D187</f>
        <v>16</v>
      </c>
      <c r="J187" s="168">
        <f>ROUND(Gegenstände!N187,0)</f>
        <v>33</v>
      </c>
      <c r="K187" s="3">
        <f>Gegenstände!J187</f>
        <v>0</v>
      </c>
      <c r="L187" s="3">
        <f>Gegenstände!L187</f>
        <v>1</v>
      </c>
      <c r="M187" s="3">
        <f>Gegenstände!Z187</f>
        <v>0</v>
      </c>
      <c r="N187" s="783">
        <f>(Gegenstände!Y187*10)</f>
        <v>0</v>
      </c>
      <c r="O187" s="783">
        <f>(Gegenstände!W187*10)</f>
        <v>0</v>
      </c>
      <c r="P187" s="783">
        <f>Gegenstände!AA187*10</f>
        <v>0</v>
      </c>
      <c r="Q187" s="783">
        <f>Gegenstände!O187</f>
        <v>0</v>
      </c>
      <c r="R187" s="168">
        <f>Gegenstände!S187</f>
        <v>0</v>
      </c>
      <c r="S187" s="168">
        <f>Gegenstände!T187</f>
        <v>0</v>
      </c>
      <c r="T187" s="783">
        <f>Gegenstände!AC187</f>
        <v>6</v>
      </c>
      <c r="U187" s="783">
        <f>Gegenstände!AE187</f>
        <v>3</v>
      </c>
      <c r="V187" s="783">
        <f>Gegenstände!AD187</f>
        <v>0</v>
      </c>
      <c r="W187" s="783">
        <f>Gegenstände!AF187</f>
        <v>0</v>
      </c>
      <c r="AB187" s="3">
        <f>Gegenstände!M187</f>
        <v>0</v>
      </c>
      <c r="AC187" s="3">
        <f>Gegenstände!AB187</f>
        <v>0</v>
      </c>
      <c r="AD187" s="3">
        <f>Gegenstände!F187</f>
        <v>0</v>
      </c>
    </row>
    <row r="188" spans="1:30" x14ac:dyDescent="0.2">
      <c r="A188" s="3">
        <f>Gegenstände!A188</f>
        <v>1025</v>
      </c>
      <c r="B188" s="3" t="str">
        <f>Gegenstände!B188</f>
        <v>Sternenessenz</v>
      </c>
      <c r="D188" s="3">
        <f>Gegenstände!K188</f>
        <v>30</v>
      </c>
      <c r="E188" s="3">
        <f>Gegenstände!I188</f>
        <v>5</v>
      </c>
      <c r="F188" s="3">
        <f>VLOOKUP(Gegenstände!E188,Berechnungen!$E$87:$F$115,2,FALSE)</f>
        <v>43</v>
      </c>
      <c r="G188" s="3">
        <f>Gegenstände!H188</f>
        <v>1</v>
      </c>
      <c r="H188" s="3">
        <f>Gegenstände!G188</f>
        <v>0</v>
      </c>
      <c r="I188" s="3">
        <f>Gegenstände!D188</f>
        <v>21</v>
      </c>
      <c r="J188" s="168">
        <f>ROUND(Gegenstände!N188,0)</f>
        <v>65</v>
      </c>
      <c r="K188" s="3">
        <f>Gegenstände!J188</f>
        <v>0</v>
      </c>
      <c r="L188" s="3">
        <f>Gegenstände!L188</f>
        <v>1</v>
      </c>
      <c r="M188" s="3">
        <f>Gegenstände!Z188</f>
        <v>0</v>
      </c>
      <c r="N188" s="783">
        <f>(Gegenstände!Y188*10)</f>
        <v>0</v>
      </c>
      <c r="O188" s="783">
        <f>(Gegenstände!W188*10)</f>
        <v>0</v>
      </c>
      <c r="P188" s="783">
        <f>Gegenstände!AA188*10</f>
        <v>0</v>
      </c>
      <c r="Q188" s="783">
        <f>Gegenstände!O188</f>
        <v>0</v>
      </c>
      <c r="R188" s="168">
        <f>Gegenstände!S188</f>
        <v>0</v>
      </c>
      <c r="S188" s="168">
        <f>Gegenstände!T188</f>
        <v>0</v>
      </c>
      <c r="T188" s="783">
        <f>Gegenstände!AC188</f>
        <v>8</v>
      </c>
      <c r="U188" s="783">
        <f>Gegenstände!AE188</f>
        <v>4</v>
      </c>
      <c r="V188" s="783">
        <f>Gegenstände!AD188</f>
        <v>0</v>
      </c>
      <c r="W188" s="783">
        <f>Gegenstände!AF188</f>
        <v>0</v>
      </c>
      <c r="AB188" s="3">
        <f>Gegenstände!M188</f>
        <v>0</v>
      </c>
      <c r="AC188" s="3">
        <f>Gegenstände!AB188</f>
        <v>0</v>
      </c>
      <c r="AD188" s="3">
        <f>Gegenstände!F188</f>
        <v>0</v>
      </c>
    </row>
    <row r="189" spans="1:30" x14ac:dyDescent="0.2">
      <c r="A189" s="3">
        <f>Gegenstände!A189</f>
        <v>0</v>
      </c>
      <c r="B189" s="3" t="str">
        <f>Gegenstände!B189</f>
        <v>Schwerter</v>
      </c>
      <c r="D189" s="3">
        <f>Gegenstände!K189</f>
        <v>0</v>
      </c>
      <c r="E189" s="3">
        <f>Gegenstände!I189</f>
        <v>0</v>
      </c>
      <c r="F189" s="3" t="e">
        <f>VLOOKUP(Gegenstände!E189,Berechnungen!$E$87:$F$115,2,FALSE)</f>
        <v>#N/A</v>
      </c>
      <c r="G189" s="3">
        <f>Gegenstände!H189</f>
        <v>0</v>
      </c>
      <c r="H189" s="3">
        <f>Gegenstände!G189</f>
        <v>0</v>
      </c>
      <c r="I189" s="3">
        <f>Gegenstände!D189</f>
        <v>0</v>
      </c>
      <c r="J189" s="168">
        <f>ROUND(Gegenstände!N189,0)</f>
        <v>0</v>
      </c>
      <c r="K189" s="3">
        <f>Gegenstände!J189</f>
        <v>0</v>
      </c>
      <c r="L189" s="3">
        <f>Gegenstände!L189</f>
        <v>0</v>
      </c>
      <c r="M189" s="3">
        <f>Gegenstände!Z189</f>
        <v>0</v>
      </c>
      <c r="N189" s="783">
        <f>(Gegenstände!Y189*10)</f>
        <v>0</v>
      </c>
      <c r="O189" s="783">
        <f>(Gegenstände!W189*10)</f>
        <v>0</v>
      </c>
      <c r="P189" s="783">
        <f>Gegenstände!AA189*10</f>
        <v>0</v>
      </c>
      <c r="Q189" s="783">
        <f>Gegenstände!O189</f>
        <v>4</v>
      </c>
      <c r="R189" s="168">
        <f>Gegenstände!S189</f>
        <v>0</v>
      </c>
      <c r="S189" s="168">
        <f>Gegenstände!T189</f>
        <v>0</v>
      </c>
      <c r="T189" s="783">
        <f>Gegenstände!AC189</f>
        <v>0</v>
      </c>
      <c r="U189" s="783">
        <f>Gegenstände!AE189</f>
        <v>0</v>
      </c>
      <c r="V189" s="783">
        <f>Gegenstände!AD189</f>
        <v>0</v>
      </c>
      <c r="W189" s="783">
        <f>Gegenstände!AF189</f>
        <v>0</v>
      </c>
      <c r="AB189" s="3">
        <f>Gegenstände!M189</f>
        <v>0</v>
      </c>
      <c r="AC189" s="3">
        <f>Gegenstände!AB189</f>
        <v>0</v>
      </c>
      <c r="AD189" s="3">
        <f>Gegenstände!F189</f>
        <v>0</v>
      </c>
    </row>
    <row r="190" spans="1:30" x14ac:dyDescent="0.2">
      <c r="A190" s="3">
        <f>Gegenstände!A190</f>
        <v>1101</v>
      </c>
      <c r="B190" s="3" t="str">
        <f>Gegenstände!B190</f>
        <v>Kurzschwert</v>
      </c>
      <c r="D190" s="3">
        <f>Gegenstände!K190</f>
        <v>2000</v>
      </c>
      <c r="E190" s="3">
        <f>Gegenstände!I190</f>
        <v>1</v>
      </c>
      <c r="F190" s="3">
        <f>VLOOKUP(Gegenstände!E190,Berechnungen!$E$87:$F$115,2,FALSE)</f>
        <v>1</v>
      </c>
      <c r="G190" s="3">
        <f>Gegenstände!H190</f>
        <v>1</v>
      </c>
      <c r="H190" s="3">
        <f>Gegenstände!G190</f>
        <v>1</v>
      </c>
      <c r="I190" s="3">
        <f>Gegenstände!D190</f>
        <v>1</v>
      </c>
      <c r="J190" s="168">
        <f>ROUND(Gegenstände!N190,0)</f>
        <v>1200</v>
      </c>
      <c r="K190" s="3">
        <f>Gegenstände!J190</f>
        <v>100</v>
      </c>
      <c r="L190" s="3">
        <f>Gegenstände!L190</f>
        <v>0</v>
      </c>
      <c r="M190" s="3">
        <f>Gegenstände!Z190</f>
        <v>0</v>
      </c>
      <c r="N190" s="783">
        <f>(Gegenstände!Y190*10)</f>
        <v>0</v>
      </c>
      <c r="O190" s="783">
        <f>(Gegenstände!W190*10)</f>
        <v>0</v>
      </c>
      <c r="P190" s="783">
        <f>Gegenstände!AA190*10</f>
        <v>0</v>
      </c>
      <c r="Q190" s="783">
        <f>Gegenstände!O190</f>
        <v>4</v>
      </c>
      <c r="R190" s="168">
        <f>Gegenstände!S190</f>
        <v>8</v>
      </c>
      <c r="S190" s="168">
        <f>Gegenstände!T190</f>
        <v>12</v>
      </c>
      <c r="T190" s="783">
        <f>Gegenstände!AC190</f>
        <v>0</v>
      </c>
      <c r="U190" s="783">
        <f>Gegenstände!AE190</f>
        <v>0</v>
      </c>
      <c r="V190" s="783">
        <f>Gegenstände!AD190</f>
        <v>0</v>
      </c>
      <c r="W190" s="783">
        <f>Gegenstände!AF190</f>
        <v>0</v>
      </c>
      <c r="AB190" s="3">
        <f>Gegenstände!M190</f>
        <v>1</v>
      </c>
      <c r="AC190" s="3">
        <f>Gegenstände!AB190</f>
        <v>0</v>
      </c>
      <c r="AD190" s="3">
        <f>Gegenstände!F190</f>
        <v>0</v>
      </c>
    </row>
    <row r="191" spans="1:30" x14ac:dyDescent="0.2">
      <c r="A191" s="3">
        <f>Gegenstände!A191</f>
        <v>1102</v>
      </c>
      <c r="B191" s="3" t="str">
        <f>Gegenstände!B191</f>
        <v>Schwert</v>
      </c>
      <c r="D191" s="3">
        <f>Gegenstände!K191</f>
        <v>2200</v>
      </c>
      <c r="E191" s="3">
        <f>Gegenstände!I191</f>
        <v>1</v>
      </c>
      <c r="F191" s="3">
        <f>VLOOKUP(Gegenstände!E191,Berechnungen!$E$87:$F$115,2,FALSE)</f>
        <v>1</v>
      </c>
      <c r="G191" s="3">
        <f>Gegenstände!H191</f>
        <v>1</v>
      </c>
      <c r="H191" s="3">
        <f>Gegenstände!G191</f>
        <v>1</v>
      </c>
      <c r="I191" s="3">
        <f>Gegenstände!D191</f>
        <v>4</v>
      </c>
      <c r="J191" s="168">
        <f>ROUND(Gegenstände!N191,0)</f>
        <v>1800</v>
      </c>
      <c r="K191" s="3">
        <f>Gegenstände!J191</f>
        <v>100</v>
      </c>
      <c r="L191" s="3">
        <f>Gegenstände!L191</f>
        <v>0</v>
      </c>
      <c r="M191" s="3">
        <f>Gegenstände!Z191</f>
        <v>0</v>
      </c>
      <c r="N191" s="783">
        <f>(Gegenstände!Y191*10)</f>
        <v>0</v>
      </c>
      <c r="O191" s="783">
        <f>(Gegenstände!W191*10)</f>
        <v>0</v>
      </c>
      <c r="P191" s="783">
        <f>Gegenstände!AA191*10</f>
        <v>0</v>
      </c>
      <c r="Q191" s="783">
        <f>Gegenstände!O191</f>
        <v>4</v>
      </c>
      <c r="R191" s="168">
        <f>Gegenstände!S191</f>
        <v>12</v>
      </c>
      <c r="S191" s="168">
        <f>Gegenstände!T191</f>
        <v>18</v>
      </c>
      <c r="T191" s="783">
        <f>Gegenstände!AC191</f>
        <v>0</v>
      </c>
      <c r="U191" s="783">
        <f>Gegenstände!AE191</f>
        <v>0</v>
      </c>
      <c r="V191" s="783">
        <f>Gegenstände!AD191</f>
        <v>0</v>
      </c>
      <c r="W191" s="783">
        <f>Gegenstände!AF191</f>
        <v>0</v>
      </c>
      <c r="AB191" s="3">
        <f>Gegenstände!M191</f>
        <v>1</v>
      </c>
      <c r="AC191" s="3">
        <f>Gegenstände!AB191</f>
        <v>0</v>
      </c>
      <c r="AD191" s="3">
        <f>Gegenstände!F191</f>
        <v>0</v>
      </c>
    </row>
    <row r="192" spans="1:30" x14ac:dyDescent="0.2">
      <c r="A192" s="3">
        <f>Gegenstände!A192</f>
        <v>1103</v>
      </c>
      <c r="B192" s="3" t="str">
        <f>Gegenstände!B192</f>
        <v>Breitschwert</v>
      </c>
      <c r="D192" s="3">
        <f>Gegenstände!K192</f>
        <v>2600</v>
      </c>
      <c r="E192" s="3">
        <f>Gegenstände!I192</f>
        <v>1</v>
      </c>
      <c r="F192" s="3">
        <f>VLOOKUP(Gegenstände!E192,Berechnungen!$E$87:$F$115,2,FALSE)</f>
        <v>1</v>
      </c>
      <c r="G192" s="3">
        <f>Gegenstände!H192</f>
        <v>1</v>
      </c>
      <c r="H192" s="3">
        <f>Gegenstände!G192</f>
        <v>1</v>
      </c>
      <c r="I192" s="3">
        <f>Gegenstände!D192</f>
        <v>6</v>
      </c>
      <c r="J192" s="168">
        <f>ROUND(Gegenstände!N192,0)</f>
        <v>2400</v>
      </c>
      <c r="K192" s="3">
        <f>Gegenstände!J192</f>
        <v>100</v>
      </c>
      <c r="L192" s="3">
        <f>Gegenstände!L192</f>
        <v>0</v>
      </c>
      <c r="M192" s="3">
        <f>Gegenstände!Z192</f>
        <v>0</v>
      </c>
      <c r="N192" s="783">
        <f>(Gegenstände!Y192*10)</f>
        <v>0</v>
      </c>
      <c r="O192" s="783">
        <f>(Gegenstände!W192*10)</f>
        <v>0</v>
      </c>
      <c r="P192" s="783">
        <f>Gegenstände!AA192*10</f>
        <v>0</v>
      </c>
      <c r="Q192" s="783">
        <f>Gegenstände!O192</f>
        <v>4</v>
      </c>
      <c r="R192" s="168">
        <f>Gegenstände!S192</f>
        <v>15</v>
      </c>
      <c r="S192" s="168">
        <f>Gegenstände!T192</f>
        <v>22</v>
      </c>
      <c r="T192" s="783">
        <f>Gegenstände!AC192</f>
        <v>0</v>
      </c>
      <c r="U192" s="783">
        <f>Gegenstände!AE192</f>
        <v>0</v>
      </c>
      <c r="V192" s="783">
        <f>Gegenstände!AD192</f>
        <v>0</v>
      </c>
      <c r="W192" s="783">
        <f>Gegenstände!AF192</f>
        <v>0</v>
      </c>
      <c r="AB192" s="3">
        <f>Gegenstände!M192</f>
        <v>2</v>
      </c>
      <c r="AC192" s="3">
        <f>Gegenstände!AB192</f>
        <v>0</v>
      </c>
      <c r="AD192" s="3">
        <f>Gegenstände!F192</f>
        <v>0</v>
      </c>
    </row>
    <row r="193" spans="1:30" x14ac:dyDescent="0.2">
      <c r="A193" s="3">
        <f>Gegenstände!A193</f>
        <v>1104</v>
      </c>
      <c r="B193" s="3" t="str">
        <f>Gegenstände!B193</f>
        <v>Säbel</v>
      </c>
      <c r="D193" s="3">
        <f>Gegenstände!K193</f>
        <v>2100</v>
      </c>
      <c r="E193" s="3">
        <f>Gegenstände!I193</f>
        <v>1</v>
      </c>
      <c r="F193" s="3">
        <f>VLOOKUP(Gegenstände!E193,Berechnungen!$E$87:$F$115,2,FALSE)</f>
        <v>1</v>
      </c>
      <c r="G193" s="3">
        <f>Gegenstände!H193</f>
        <v>1</v>
      </c>
      <c r="H193" s="3">
        <f>Gegenstände!G193</f>
        <v>1</v>
      </c>
      <c r="I193" s="3">
        <f>Gegenstände!D193</f>
        <v>9</v>
      </c>
      <c r="J193" s="168">
        <f>ROUND(Gegenstände!N193,0)</f>
        <v>3700</v>
      </c>
      <c r="K193" s="3">
        <f>Gegenstände!J193</f>
        <v>100</v>
      </c>
      <c r="L193" s="3">
        <f>Gegenstände!L193</f>
        <v>0</v>
      </c>
      <c r="M193" s="3">
        <f>Gegenstände!Z193</f>
        <v>0</v>
      </c>
      <c r="N193" s="783">
        <f>(Gegenstände!Y193*10)</f>
        <v>0</v>
      </c>
      <c r="O193" s="783">
        <f>(Gegenstände!W193*10)</f>
        <v>0</v>
      </c>
      <c r="P193" s="783">
        <f>Gegenstände!AA193*10</f>
        <v>0</v>
      </c>
      <c r="Q193" s="783">
        <f>Gegenstände!O193</f>
        <v>4</v>
      </c>
      <c r="R193" s="168">
        <f>Gegenstände!S193</f>
        <v>19</v>
      </c>
      <c r="S193" s="168">
        <f>Gegenstände!T193</f>
        <v>28</v>
      </c>
      <c r="T193" s="783">
        <f>Gegenstände!AC193</f>
        <v>0</v>
      </c>
      <c r="U193" s="783">
        <f>Gegenstände!AE193</f>
        <v>0</v>
      </c>
      <c r="V193" s="783">
        <f>Gegenstände!AD193</f>
        <v>0</v>
      </c>
      <c r="W193" s="783">
        <f>Gegenstände!AF193</f>
        <v>0</v>
      </c>
      <c r="AB193" s="3">
        <f>Gegenstände!M193</f>
        <v>2</v>
      </c>
      <c r="AC193" s="3">
        <f>Gegenstände!AB193</f>
        <v>0</v>
      </c>
      <c r="AD193" s="3">
        <f>Gegenstände!F193</f>
        <v>0</v>
      </c>
    </row>
    <row r="194" spans="1:30" x14ac:dyDescent="0.2">
      <c r="A194" s="3">
        <f>Gegenstände!A194</f>
        <v>1105</v>
      </c>
      <c r="B194" s="3" t="str">
        <f>Gegenstände!B194</f>
        <v>Krummsäbel</v>
      </c>
      <c r="D194" s="3">
        <f>Gegenstände!K194</f>
        <v>2300</v>
      </c>
      <c r="E194" s="3">
        <f>Gegenstände!I194</f>
        <v>1</v>
      </c>
      <c r="F194" s="3">
        <f>VLOOKUP(Gegenstände!E194,Berechnungen!$E$87:$F$115,2,FALSE)</f>
        <v>1</v>
      </c>
      <c r="G194" s="3">
        <f>Gegenstände!H194</f>
        <v>1</v>
      </c>
      <c r="H194" s="3">
        <f>Gegenstände!G194</f>
        <v>1</v>
      </c>
      <c r="I194" s="3">
        <f>Gegenstände!D194</f>
        <v>11</v>
      </c>
      <c r="J194" s="168">
        <f>ROUND(Gegenstände!N194,0)</f>
        <v>4900</v>
      </c>
      <c r="K194" s="3">
        <f>Gegenstände!J194</f>
        <v>100</v>
      </c>
      <c r="L194" s="3">
        <f>Gegenstände!L194</f>
        <v>0</v>
      </c>
      <c r="M194" s="3">
        <f>Gegenstände!Z194</f>
        <v>0</v>
      </c>
      <c r="N194" s="783">
        <f>(Gegenstände!Y194*10)</f>
        <v>0</v>
      </c>
      <c r="O194" s="783">
        <f>(Gegenstände!W194*10)</f>
        <v>0</v>
      </c>
      <c r="P194" s="783">
        <f>Gegenstände!AA194*10</f>
        <v>0</v>
      </c>
      <c r="Q194" s="783">
        <f>Gegenstände!O194</f>
        <v>4</v>
      </c>
      <c r="R194" s="168">
        <f>Gegenstände!S194</f>
        <v>22</v>
      </c>
      <c r="S194" s="168">
        <f>Gegenstände!T194</f>
        <v>33</v>
      </c>
      <c r="T194" s="783">
        <f>Gegenstände!AC194</f>
        <v>0</v>
      </c>
      <c r="U194" s="783">
        <f>Gegenstände!AE194</f>
        <v>0</v>
      </c>
      <c r="V194" s="783">
        <f>Gegenstände!AD194</f>
        <v>0</v>
      </c>
      <c r="W194" s="783">
        <f>Gegenstände!AF194</f>
        <v>0</v>
      </c>
      <c r="AB194" s="3">
        <f>Gegenstände!M194</f>
        <v>3</v>
      </c>
      <c r="AC194" s="3">
        <f>Gegenstände!AB194</f>
        <v>0</v>
      </c>
      <c r="AD194" s="3">
        <f>Gegenstände!F194</f>
        <v>0</v>
      </c>
    </row>
    <row r="195" spans="1:30" x14ac:dyDescent="0.2">
      <c r="A195" s="3">
        <f>Gegenstände!A195</f>
        <v>1106</v>
      </c>
      <c r="B195" s="3" t="str">
        <f>Gegenstände!B195</f>
        <v>Langschwert</v>
      </c>
      <c r="D195" s="3">
        <f>Gegenstände!K195</f>
        <v>2500</v>
      </c>
      <c r="E195" s="3">
        <f>Gegenstände!I195</f>
        <v>1</v>
      </c>
      <c r="F195" s="3">
        <f>VLOOKUP(Gegenstände!E195,Berechnungen!$E$87:$F$115,2,FALSE)</f>
        <v>1</v>
      </c>
      <c r="G195" s="3">
        <f>Gegenstände!H195</f>
        <v>1</v>
      </c>
      <c r="H195" s="3">
        <f>Gegenstände!G195</f>
        <v>1</v>
      </c>
      <c r="I195" s="3">
        <f>Gegenstände!D195</f>
        <v>14</v>
      </c>
      <c r="J195" s="168">
        <f>ROUND(Gegenstände!N195,0)</f>
        <v>7400</v>
      </c>
      <c r="K195" s="3">
        <f>Gegenstände!J195</f>
        <v>100</v>
      </c>
      <c r="L195" s="3">
        <f>Gegenstände!L195</f>
        <v>0</v>
      </c>
      <c r="M195" s="3">
        <f>Gegenstände!Z195</f>
        <v>0</v>
      </c>
      <c r="N195" s="783">
        <f>(Gegenstände!Y195*10)</f>
        <v>0</v>
      </c>
      <c r="O195" s="783">
        <f>(Gegenstände!W195*10)</f>
        <v>0</v>
      </c>
      <c r="P195" s="783">
        <f>Gegenstände!AA195*10</f>
        <v>0</v>
      </c>
      <c r="Q195" s="783">
        <f>Gegenstände!O195</f>
        <v>4</v>
      </c>
      <c r="R195" s="168">
        <f>Gegenstände!S195</f>
        <v>27</v>
      </c>
      <c r="S195" s="168">
        <f>Gegenstände!T195</f>
        <v>41</v>
      </c>
      <c r="T195" s="783">
        <f>Gegenstände!AC195</f>
        <v>0</v>
      </c>
      <c r="U195" s="783">
        <f>Gegenstände!AE195</f>
        <v>0</v>
      </c>
      <c r="V195" s="783">
        <f>Gegenstände!AD195</f>
        <v>0</v>
      </c>
      <c r="W195" s="783">
        <f>Gegenstände!AF195</f>
        <v>0</v>
      </c>
      <c r="AB195" s="3">
        <f>Gegenstände!M195</f>
        <v>3</v>
      </c>
      <c r="AC195" s="3">
        <f>Gegenstände!AB195</f>
        <v>0</v>
      </c>
      <c r="AD195" s="3">
        <f>Gegenstände!F195</f>
        <v>0</v>
      </c>
    </row>
    <row r="196" spans="1:30" x14ac:dyDescent="0.2">
      <c r="A196" s="3">
        <f>Gegenstände!A196</f>
        <v>1107</v>
      </c>
      <c r="B196" s="3" t="str">
        <f>Gegenstände!B196</f>
        <v>Krummschwert</v>
      </c>
      <c r="D196" s="3">
        <f>Gegenstände!K196</f>
        <v>2400</v>
      </c>
      <c r="E196" s="3">
        <f>Gegenstände!I196</f>
        <v>1</v>
      </c>
      <c r="F196" s="3">
        <f>VLOOKUP(Gegenstände!E196,Berechnungen!$E$87:$F$115,2,FALSE)</f>
        <v>1</v>
      </c>
      <c r="G196" s="3">
        <f>Gegenstände!H196</f>
        <v>1</v>
      </c>
      <c r="H196" s="3">
        <f>Gegenstände!G196</f>
        <v>1</v>
      </c>
      <c r="I196" s="3">
        <f>Gegenstände!D196</f>
        <v>16</v>
      </c>
      <c r="J196" s="168">
        <f>ROUND(Gegenstände!N196,0)</f>
        <v>9800</v>
      </c>
      <c r="K196" s="3">
        <f>Gegenstände!J196</f>
        <v>100</v>
      </c>
      <c r="L196" s="3">
        <f>Gegenstände!L196</f>
        <v>0</v>
      </c>
      <c r="M196" s="3">
        <f>Gegenstände!Z196</f>
        <v>0</v>
      </c>
      <c r="N196" s="783">
        <f>(Gegenstände!Y196*10)</f>
        <v>0</v>
      </c>
      <c r="O196" s="783">
        <f>(Gegenstände!W196*10)</f>
        <v>0</v>
      </c>
      <c r="P196" s="783">
        <f>Gegenstände!AA196*10</f>
        <v>0</v>
      </c>
      <c r="Q196" s="783">
        <f>Gegenstände!O196</f>
        <v>4</v>
      </c>
      <c r="R196" s="168">
        <f>Gegenstände!S196</f>
        <v>31</v>
      </c>
      <c r="S196" s="168">
        <f>Gegenstände!T196</f>
        <v>46</v>
      </c>
      <c r="T196" s="783">
        <f>Gegenstände!AC196</f>
        <v>0</v>
      </c>
      <c r="U196" s="783">
        <f>Gegenstände!AE196</f>
        <v>0</v>
      </c>
      <c r="V196" s="783">
        <f>Gegenstände!AD196</f>
        <v>0</v>
      </c>
      <c r="W196" s="783">
        <f>Gegenstände!AF196</f>
        <v>0</v>
      </c>
      <c r="AB196" s="3">
        <f>Gegenstände!M196</f>
        <v>4</v>
      </c>
      <c r="AC196" s="3">
        <f>Gegenstände!AB196</f>
        <v>0</v>
      </c>
      <c r="AD196" s="3">
        <f>Gegenstände!F196</f>
        <v>0</v>
      </c>
    </row>
    <row r="197" spans="1:30" x14ac:dyDescent="0.2">
      <c r="A197" s="3">
        <f>Gegenstände!A197</f>
        <v>1108</v>
      </c>
      <c r="B197" s="3" t="str">
        <f>Gegenstände!B197</f>
        <v>Gladius</v>
      </c>
      <c r="D197" s="3">
        <f>Gegenstände!K197</f>
        <v>2400</v>
      </c>
      <c r="E197" s="3">
        <f>Gegenstände!I197</f>
        <v>1</v>
      </c>
      <c r="F197" s="3">
        <f>VLOOKUP(Gegenstände!E197,Berechnungen!$E$87:$F$115,2,FALSE)</f>
        <v>1</v>
      </c>
      <c r="G197" s="3">
        <f>Gegenstände!H197</f>
        <v>1</v>
      </c>
      <c r="H197" s="3">
        <f>Gegenstände!G197</f>
        <v>1</v>
      </c>
      <c r="I197" s="3">
        <f>Gegenstände!D197</f>
        <v>19</v>
      </c>
      <c r="J197" s="168">
        <f>ROUND(Gegenstände!N197,0)</f>
        <v>14900</v>
      </c>
      <c r="K197" s="3">
        <f>Gegenstände!J197</f>
        <v>100</v>
      </c>
      <c r="L197" s="3">
        <f>Gegenstände!L197</f>
        <v>0</v>
      </c>
      <c r="M197" s="3">
        <f>Gegenstände!Z197</f>
        <v>0</v>
      </c>
      <c r="N197" s="783">
        <f>(Gegenstände!Y197*10)</f>
        <v>0</v>
      </c>
      <c r="O197" s="783">
        <f>(Gegenstände!W197*10)</f>
        <v>0</v>
      </c>
      <c r="P197" s="783">
        <f>Gegenstände!AA197*10</f>
        <v>0</v>
      </c>
      <c r="Q197" s="783">
        <f>Gegenstände!O197</f>
        <v>4</v>
      </c>
      <c r="R197" s="168">
        <f>Gegenstände!S197</f>
        <v>36</v>
      </c>
      <c r="S197" s="168">
        <f>Gegenstände!T197</f>
        <v>54</v>
      </c>
      <c r="T197" s="783">
        <f>Gegenstände!AC197</f>
        <v>0</v>
      </c>
      <c r="U197" s="783">
        <f>Gegenstände!AE197</f>
        <v>0</v>
      </c>
      <c r="V197" s="783">
        <f>Gegenstände!AD197</f>
        <v>0</v>
      </c>
      <c r="W197" s="783">
        <f>Gegenstände!AF197</f>
        <v>0</v>
      </c>
      <c r="AB197" s="3">
        <f>Gegenstände!M197</f>
        <v>4</v>
      </c>
      <c r="AC197" s="3">
        <f>Gegenstände!AB197</f>
        <v>0</v>
      </c>
      <c r="AD197" s="3">
        <f>Gegenstände!F197</f>
        <v>0</v>
      </c>
    </row>
    <row r="198" spans="1:30" x14ac:dyDescent="0.2">
      <c r="A198" s="3">
        <f>Gegenstände!A198</f>
        <v>1109</v>
      </c>
      <c r="B198" s="3" t="str">
        <f>Gegenstände!B198</f>
        <v>Schimmerklinge</v>
      </c>
      <c r="D198" s="3">
        <f>Gegenstände!K198</f>
        <v>2300</v>
      </c>
      <c r="E198" s="3">
        <f>Gegenstände!I198</f>
        <v>1</v>
      </c>
      <c r="F198" s="3">
        <f>VLOOKUP(Gegenstände!E198,Berechnungen!$E$87:$F$115,2,FALSE)</f>
        <v>1</v>
      </c>
      <c r="G198" s="3">
        <f>Gegenstände!H198</f>
        <v>1</v>
      </c>
      <c r="H198" s="3">
        <f>Gegenstände!G198</f>
        <v>1</v>
      </c>
      <c r="I198" s="3">
        <f>Gegenstände!D198</f>
        <v>22</v>
      </c>
      <c r="J198" s="168">
        <f>ROUND(Gegenstände!N198,0)</f>
        <v>22600</v>
      </c>
      <c r="K198" s="3">
        <f>Gegenstände!J198</f>
        <v>100</v>
      </c>
      <c r="L198" s="3">
        <f>Gegenstände!L198</f>
        <v>0</v>
      </c>
      <c r="M198" s="3">
        <f>Gegenstände!Z198</f>
        <v>0</v>
      </c>
      <c r="N198" s="783">
        <f>(Gegenstände!Y198*10)</f>
        <v>0</v>
      </c>
      <c r="O198" s="783">
        <f>(Gegenstände!W198*10)</f>
        <v>0</v>
      </c>
      <c r="P198" s="783">
        <f>Gegenstände!AA198*10</f>
        <v>0</v>
      </c>
      <c r="Q198" s="783">
        <f>Gegenstände!O198</f>
        <v>4</v>
      </c>
      <c r="R198" s="168">
        <f>Gegenstände!S198</f>
        <v>42</v>
      </c>
      <c r="S198" s="168">
        <f>Gegenstände!T198</f>
        <v>63</v>
      </c>
      <c r="T198" s="783">
        <f>Gegenstände!AC198</f>
        <v>0</v>
      </c>
      <c r="U198" s="783">
        <f>Gegenstände!AE198</f>
        <v>0</v>
      </c>
      <c r="V198" s="783">
        <f>Gegenstände!AD198</f>
        <v>0</v>
      </c>
      <c r="W198" s="783">
        <f>Gegenstände!AF198</f>
        <v>0</v>
      </c>
      <c r="AB198" s="3">
        <f>Gegenstände!M198</f>
        <v>5</v>
      </c>
      <c r="AC198" s="3">
        <f>Gegenstände!AB198</f>
        <v>0</v>
      </c>
      <c r="AD198" s="3">
        <f>Gegenstände!F198</f>
        <v>0</v>
      </c>
    </row>
    <row r="199" spans="1:30" x14ac:dyDescent="0.2">
      <c r="A199" s="3">
        <f>Gegenstände!A199</f>
        <v>1110</v>
      </c>
      <c r="B199" s="3" t="str">
        <f>Gegenstände!B199</f>
        <v>Lilienklinge</v>
      </c>
      <c r="D199" s="3">
        <f>Gegenstände!K199</f>
        <v>2300</v>
      </c>
      <c r="E199" s="3">
        <f>Gegenstände!I199</f>
        <v>1</v>
      </c>
      <c r="F199" s="3">
        <f>VLOOKUP(Gegenstände!E199,Berechnungen!$E$87:$F$115,2,FALSE)</f>
        <v>1</v>
      </c>
      <c r="G199" s="3">
        <f>Gegenstände!H199</f>
        <v>1</v>
      </c>
      <c r="H199" s="3">
        <f>Gegenstände!G199</f>
        <v>1</v>
      </c>
      <c r="I199" s="3">
        <f>Gegenstände!D199</f>
        <v>25</v>
      </c>
      <c r="J199" s="168">
        <f>ROUND(Gegenstände!N199,0)</f>
        <v>34400</v>
      </c>
      <c r="K199" s="3">
        <f>Gegenstände!J199</f>
        <v>100</v>
      </c>
      <c r="L199" s="3">
        <f>Gegenstände!L199</f>
        <v>0</v>
      </c>
      <c r="M199" s="3">
        <f>Gegenstände!Z199</f>
        <v>0</v>
      </c>
      <c r="N199" s="783">
        <f>(Gegenstände!Y199*10)</f>
        <v>0</v>
      </c>
      <c r="O199" s="783">
        <f>(Gegenstände!W199*10)</f>
        <v>0</v>
      </c>
      <c r="P199" s="783">
        <f>Gegenstände!AA199*10</f>
        <v>0</v>
      </c>
      <c r="Q199" s="783">
        <f>Gegenstände!O199</f>
        <v>4</v>
      </c>
      <c r="R199" s="168">
        <f>Gegenstände!S199</f>
        <v>48</v>
      </c>
      <c r="S199" s="168">
        <f>Gegenstände!T199</f>
        <v>72</v>
      </c>
      <c r="T199" s="783">
        <f>Gegenstände!AC199</f>
        <v>0</v>
      </c>
      <c r="U199" s="783">
        <f>Gegenstände!AE199</f>
        <v>0</v>
      </c>
      <c r="V199" s="783">
        <f>Gegenstände!AD199</f>
        <v>0</v>
      </c>
      <c r="W199" s="783">
        <f>Gegenstände!AF199</f>
        <v>0</v>
      </c>
      <c r="AB199" s="3">
        <f>Gegenstände!M199</f>
        <v>5</v>
      </c>
      <c r="AC199" s="3">
        <f>Gegenstände!AB199</f>
        <v>0</v>
      </c>
      <c r="AD199" s="3">
        <f>Gegenstände!F199</f>
        <v>0</v>
      </c>
    </row>
    <row r="200" spans="1:30" x14ac:dyDescent="0.2">
      <c r="A200" s="3">
        <f>Gegenstände!A200</f>
        <v>2101</v>
      </c>
      <c r="B200" s="3" t="str">
        <f>Gegenstände!B200</f>
        <v>Kristall-Schwert</v>
      </c>
      <c r="D200" s="3">
        <f>Gegenstände!K200</f>
        <v>2000</v>
      </c>
      <c r="E200" s="3">
        <f>Gegenstände!I200</f>
        <v>1</v>
      </c>
      <c r="F200" s="3">
        <f>VLOOKUP(Gegenstände!E200,Berechnungen!$E$87:$F$115,2,FALSE)</f>
        <v>1</v>
      </c>
      <c r="G200" s="3">
        <f>Gegenstände!H200</f>
        <v>2</v>
      </c>
      <c r="H200" s="3">
        <f>Gegenstände!G200</f>
        <v>1</v>
      </c>
      <c r="I200" s="3">
        <f>Gegenstände!D200</f>
        <v>4</v>
      </c>
      <c r="J200" s="168">
        <f>ROUND(Gegenstände!N200,0)</f>
        <v>2800</v>
      </c>
      <c r="K200" s="3">
        <f>Gegenstände!J200</f>
        <v>100</v>
      </c>
      <c r="L200" s="3">
        <f>Gegenstände!L200</f>
        <v>0</v>
      </c>
      <c r="M200" s="3">
        <f>Gegenstände!Z200</f>
        <v>0</v>
      </c>
      <c r="N200" s="783">
        <f>(Gegenstände!Y200*10)</f>
        <v>0</v>
      </c>
      <c r="O200" s="783">
        <f>(Gegenstände!W200*10)</f>
        <v>0</v>
      </c>
      <c r="P200" s="783">
        <f>Gegenstände!AA200*10</f>
        <v>0</v>
      </c>
      <c r="Q200" s="783">
        <f>Gegenstände!O200</f>
        <v>4</v>
      </c>
      <c r="R200" s="168">
        <f>Gegenstände!S200</f>
        <v>16</v>
      </c>
      <c r="S200" s="168">
        <f>Gegenstände!T200</f>
        <v>24</v>
      </c>
      <c r="T200" s="783">
        <f>Gegenstände!AC200</f>
        <v>0</v>
      </c>
      <c r="U200" s="783">
        <f>Gegenstände!AE200</f>
        <v>0</v>
      </c>
      <c r="V200" s="783">
        <f>Gegenstände!AD200</f>
        <v>0</v>
      </c>
      <c r="W200" s="783">
        <f>Gegenstände!AF200</f>
        <v>0</v>
      </c>
      <c r="AB200" s="3">
        <f>Gegenstände!M200</f>
        <v>0</v>
      </c>
      <c r="AC200" s="3">
        <f>Gegenstände!AB200</f>
        <v>0</v>
      </c>
      <c r="AD200" s="3">
        <f>Gegenstände!F200</f>
        <v>0</v>
      </c>
    </row>
    <row r="201" spans="1:30" x14ac:dyDescent="0.2">
      <c r="A201" s="3">
        <f>Gegenstände!A201</f>
        <v>2102</v>
      </c>
      <c r="B201" s="3" t="str">
        <f>Gegenstände!B201</f>
        <v>Quarz-Schwert</v>
      </c>
      <c r="D201" s="3">
        <f>Gegenstände!K201</f>
        <v>2600</v>
      </c>
      <c r="E201" s="3">
        <f>Gegenstände!I201</f>
        <v>1</v>
      </c>
      <c r="F201" s="3">
        <f>VLOOKUP(Gegenstände!E201,Berechnungen!$E$87:$F$115,2,FALSE)</f>
        <v>1</v>
      </c>
      <c r="G201" s="3">
        <f>Gegenstände!H201</f>
        <v>2</v>
      </c>
      <c r="H201" s="3">
        <f>Gegenstände!G201</f>
        <v>1</v>
      </c>
      <c r="I201" s="3">
        <f>Gegenstände!D201</f>
        <v>9</v>
      </c>
      <c r="J201" s="168">
        <f>ROUND(Gegenstände!N201,0)</f>
        <v>5700</v>
      </c>
      <c r="K201" s="3">
        <f>Gegenstände!J201</f>
        <v>100</v>
      </c>
      <c r="L201" s="3">
        <f>Gegenstände!L201</f>
        <v>0</v>
      </c>
      <c r="M201" s="3">
        <f>Gegenstände!Z201</f>
        <v>0</v>
      </c>
      <c r="N201" s="783">
        <f>(Gegenstände!Y201*10)</f>
        <v>0</v>
      </c>
      <c r="O201" s="783">
        <f>(Gegenstände!W201*10)</f>
        <v>0</v>
      </c>
      <c r="P201" s="783">
        <f>Gegenstände!AA201*10</f>
        <v>0</v>
      </c>
      <c r="Q201" s="783">
        <f>Gegenstände!O201</f>
        <v>4</v>
      </c>
      <c r="R201" s="168">
        <f>Gegenstände!S201</f>
        <v>24</v>
      </c>
      <c r="S201" s="168">
        <f>Gegenstände!T201</f>
        <v>36</v>
      </c>
      <c r="T201" s="783">
        <f>Gegenstände!AC201</f>
        <v>0</v>
      </c>
      <c r="U201" s="783">
        <f>Gegenstände!AE201</f>
        <v>0</v>
      </c>
      <c r="V201" s="783">
        <f>Gegenstände!AD201</f>
        <v>0</v>
      </c>
      <c r="W201" s="783">
        <f>Gegenstände!AF201</f>
        <v>0</v>
      </c>
      <c r="AB201" s="3">
        <f>Gegenstände!M201</f>
        <v>0</v>
      </c>
      <c r="AC201" s="3">
        <f>Gegenstände!AB201</f>
        <v>0</v>
      </c>
      <c r="AD201" s="3">
        <f>Gegenstände!F201</f>
        <v>0</v>
      </c>
    </row>
    <row r="202" spans="1:30" x14ac:dyDescent="0.2">
      <c r="A202" s="3">
        <f>Gegenstände!A202</f>
        <v>2103</v>
      </c>
      <c r="B202" s="3" t="str">
        <f>Gegenstände!B202</f>
        <v>Smaragd-Schwert</v>
      </c>
      <c r="D202" s="3">
        <f>Gegenstände!K202</f>
        <v>2300</v>
      </c>
      <c r="E202" s="3">
        <f>Gegenstände!I202</f>
        <v>1</v>
      </c>
      <c r="F202" s="3">
        <f>VLOOKUP(Gegenstände!E202,Berechnungen!$E$87:$F$115,2,FALSE)</f>
        <v>1</v>
      </c>
      <c r="G202" s="3">
        <f>Gegenstände!H202</f>
        <v>2</v>
      </c>
      <c r="H202" s="3">
        <f>Gegenstände!G202</f>
        <v>1</v>
      </c>
      <c r="I202" s="3">
        <f>Gegenstände!D202</f>
        <v>14</v>
      </c>
      <c r="J202" s="168">
        <f>ROUND(Gegenstände!N202,0)</f>
        <v>11400</v>
      </c>
      <c r="K202" s="3">
        <f>Gegenstände!J202</f>
        <v>100</v>
      </c>
      <c r="L202" s="3">
        <f>Gegenstände!L202</f>
        <v>0</v>
      </c>
      <c r="M202" s="3">
        <f>Gegenstände!Z202</f>
        <v>0</v>
      </c>
      <c r="N202" s="783">
        <f>(Gegenstände!Y202*10)</f>
        <v>0</v>
      </c>
      <c r="O202" s="783">
        <f>(Gegenstände!W202*10)</f>
        <v>0</v>
      </c>
      <c r="P202" s="783">
        <f>Gegenstände!AA202*10</f>
        <v>0</v>
      </c>
      <c r="Q202" s="783">
        <f>Gegenstände!O202</f>
        <v>4</v>
      </c>
      <c r="R202" s="168">
        <f>Gegenstände!S202</f>
        <v>32</v>
      </c>
      <c r="S202" s="168">
        <f>Gegenstände!T202</f>
        <v>49</v>
      </c>
      <c r="T202" s="783">
        <f>Gegenstände!AC202</f>
        <v>0</v>
      </c>
      <c r="U202" s="783">
        <f>Gegenstände!AE202</f>
        <v>0</v>
      </c>
      <c r="V202" s="783">
        <f>Gegenstände!AD202</f>
        <v>0</v>
      </c>
      <c r="W202" s="783">
        <f>Gegenstände!AF202</f>
        <v>0</v>
      </c>
      <c r="AB202" s="3">
        <f>Gegenstände!M202</f>
        <v>0</v>
      </c>
      <c r="AC202" s="3">
        <f>Gegenstände!AB202</f>
        <v>0</v>
      </c>
      <c r="AD202" s="3">
        <f>Gegenstände!F202</f>
        <v>0</v>
      </c>
    </row>
    <row r="203" spans="1:30" x14ac:dyDescent="0.2">
      <c r="A203" s="3">
        <f>Gegenstände!A203</f>
        <v>2104</v>
      </c>
      <c r="B203" s="3" t="str">
        <f>Gegenstände!B203</f>
        <v>Rubin-Schwert</v>
      </c>
      <c r="D203" s="3">
        <f>Gegenstände!K203</f>
        <v>2400</v>
      </c>
      <c r="E203" s="3">
        <f>Gegenstände!I203</f>
        <v>1</v>
      </c>
      <c r="F203" s="3">
        <f>VLOOKUP(Gegenstände!E203,Berechnungen!$E$87:$F$115,2,FALSE)</f>
        <v>1</v>
      </c>
      <c r="G203" s="3">
        <f>Gegenstände!H203</f>
        <v>2</v>
      </c>
      <c r="H203" s="3">
        <f>Gegenstände!G203</f>
        <v>1</v>
      </c>
      <c r="I203" s="3">
        <f>Gegenstände!D203</f>
        <v>19</v>
      </c>
      <c r="J203" s="168">
        <f>ROUND(Gegenstände!N203,0)</f>
        <v>21900</v>
      </c>
      <c r="K203" s="3">
        <f>Gegenstände!J203</f>
        <v>100</v>
      </c>
      <c r="L203" s="3">
        <f>Gegenstände!L203</f>
        <v>0</v>
      </c>
      <c r="M203" s="3">
        <f>Gegenstände!Z203</f>
        <v>0</v>
      </c>
      <c r="N203" s="783">
        <f>(Gegenstände!Y203*10)</f>
        <v>0</v>
      </c>
      <c r="O203" s="783">
        <f>(Gegenstände!W203*10)</f>
        <v>0</v>
      </c>
      <c r="P203" s="783">
        <f>Gegenstände!AA203*10</f>
        <v>0</v>
      </c>
      <c r="Q203" s="783">
        <f>Gegenstände!O203</f>
        <v>4</v>
      </c>
      <c r="R203" s="168">
        <f>Gegenstände!S203</f>
        <v>42</v>
      </c>
      <c r="S203" s="168">
        <f>Gegenstände!T203</f>
        <v>63</v>
      </c>
      <c r="T203" s="783">
        <f>Gegenstände!AC203</f>
        <v>0</v>
      </c>
      <c r="U203" s="783">
        <f>Gegenstände!AE203</f>
        <v>0</v>
      </c>
      <c r="V203" s="783">
        <f>Gegenstände!AD203</f>
        <v>0</v>
      </c>
      <c r="W203" s="783">
        <f>Gegenstände!AF203</f>
        <v>0</v>
      </c>
      <c r="AB203" s="3">
        <f>Gegenstände!M203</f>
        <v>0</v>
      </c>
      <c r="AC203" s="3">
        <f>Gegenstände!AB203</f>
        <v>0</v>
      </c>
      <c r="AD203" s="3">
        <f>Gegenstände!F203</f>
        <v>0</v>
      </c>
    </row>
    <row r="204" spans="1:30" x14ac:dyDescent="0.2">
      <c r="A204" s="3">
        <f>Gegenstände!A204</f>
        <v>2105</v>
      </c>
      <c r="B204" s="3" t="str">
        <f>Gegenstände!B204</f>
        <v>Obsidian-Schwert</v>
      </c>
      <c r="D204" s="3">
        <f>Gegenstände!K204</f>
        <v>2300</v>
      </c>
      <c r="E204" s="3">
        <f>Gegenstände!I204</f>
        <v>1</v>
      </c>
      <c r="F204" s="3">
        <f>VLOOKUP(Gegenstände!E204,Berechnungen!$E$87:$F$115,2,FALSE)</f>
        <v>1</v>
      </c>
      <c r="G204" s="3">
        <f>Gegenstände!H204</f>
        <v>2</v>
      </c>
      <c r="H204" s="3">
        <f>Gegenstände!G204</f>
        <v>1</v>
      </c>
      <c r="I204" s="3">
        <f>Gegenstände!D204</f>
        <v>25</v>
      </c>
      <c r="J204" s="168">
        <f>ROUND(Gegenstände!N204,0)</f>
        <v>44400</v>
      </c>
      <c r="K204" s="3">
        <f>Gegenstände!J204</f>
        <v>100</v>
      </c>
      <c r="L204" s="3">
        <f>Gegenstände!L204</f>
        <v>0</v>
      </c>
      <c r="M204" s="3">
        <f>Gegenstände!Z204</f>
        <v>0</v>
      </c>
      <c r="N204" s="783">
        <f>(Gegenstände!Y204*10)</f>
        <v>0</v>
      </c>
      <c r="O204" s="783">
        <f>(Gegenstände!W204*10)</f>
        <v>0</v>
      </c>
      <c r="P204" s="783">
        <f>Gegenstände!AA204*10</f>
        <v>0</v>
      </c>
      <c r="Q204" s="783">
        <f>Gegenstände!O204</f>
        <v>4</v>
      </c>
      <c r="R204" s="168">
        <f>Gegenstände!S204</f>
        <v>55</v>
      </c>
      <c r="S204" s="168">
        <f>Gegenstände!T204</f>
        <v>82</v>
      </c>
      <c r="T204" s="783">
        <f>Gegenstände!AC204</f>
        <v>0</v>
      </c>
      <c r="U204" s="783">
        <f>Gegenstände!AE204</f>
        <v>0</v>
      </c>
      <c r="V204" s="783">
        <f>Gegenstände!AD204</f>
        <v>0</v>
      </c>
      <c r="W204" s="783">
        <f>Gegenstände!AF204</f>
        <v>0</v>
      </c>
      <c r="AB204" s="3">
        <f>Gegenstände!M204</f>
        <v>0</v>
      </c>
      <c r="AC204" s="3">
        <f>Gegenstände!AB204</f>
        <v>0</v>
      </c>
      <c r="AD204" s="3">
        <f>Gegenstände!F204</f>
        <v>0</v>
      </c>
    </row>
    <row r="205" spans="1:30" x14ac:dyDescent="0.2">
      <c r="A205" s="3">
        <f>Gegenstände!A205</f>
        <v>0</v>
      </c>
      <c r="B205" s="3" t="str">
        <f>Gegenstände!B205</f>
        <v>2H Schwerter</v>
      </c>
      <c r="D205" s="3">
        <f>Gegenstände!K205</f>
        <v>0</v>
      </c>
      <c r="E205" s="3">
        <f>Gegenstände!I205</f>
        <v>0</v>
      </c>
      <c r="F205" s="3" t="e">
        <f>VLOOKUP(Gegenstände!E205,Berechnungen!$E$87:$F$115,2,FALSE)</f>
        <v>#N/A</v>
      </c>
      <c r="G205" s="3">
        <f>Gegenstände!H205</f>
        <v>0</v>
      </c>
      <c r="H205" s="3">
        <f>Gegenstände!G205</f>
        <v>0</v>
      </c>
      <c r="I205" s="3">
        <f>Gegenstände!D205</f>
        <v>0</v>
      </c>
      <c r="J205" s="168">
        <f>ROUND(Gegenstände!N205,0)</f>
        <v>0</v>
      </c>
      <c r="K205" s="3">
        <f>Gegenstände!J205</f>
        <v>0</v>
      </c>
      <c r="L205" s="3">
        <f>Gegenstände!L205</f>
        <v>0</v>
      </c>
      <c r="M205" s="3">
        <f>Gegenstände!Z205</f>
        <v>0</v>
      </c>
      <c r="N205" s="783">
        <f>(Gegenstände!Y205*10)</f>
        <v>0</v>
      </c>
      <c r="O205" s="783">
        <f>(Gegenstände!W205*10)</f>
        <v>0</v>
      </c>
      <c r="P205" s="783">
        <f>Gegenstände!AA205*10</f>
        <v>0</v>
      </c>
      <c r="Q205" s="783">
        <f>Gegenstände!O205</f>
        <v>3</v>
      </c>
      <c r="R205" s="168">
        <f>Gegenstände!S205</f>
        <v>0</v>
      </c>
      <c r="S205" s="168">
        <f>Gegenstände!T205</f>
        <v>0</v>
      </c>
      <c r="T205" s="783">
        <f>Gegenstände!AC205</f>
        <v>0</v>
      </c>
      <c r="U205" s="783">
        <f>Gegenstände!AE205</f>
        <v>0</v>
      </c>
      <c r="V205" s="783">
        <f>Gegenstände!AD205</f>
        <v>0</v>
      </c>
      <c r="W205" s="783">
        <f>Gegenstände!AF205</f>
        <v>0</v>
      </c>
      <c r="AB205" s="3">
        <f>Gegenstände!M205</f>
        <v>0</v>
      </c>
      <c r="AC205" s="3">
        <f>Gegenstände!AB205</f>
        <v>0</v>
      </c>
      <c r="AD205" s="3">
        <f>Gegenstände!F205</f>
        <v>0</v>
      </c>
    </row>
    <row r="206" spans="1:30" x14ac:dyDescent="0.2">
      <c r="A206" s="3">
        <f>Gegenstände!A206</f>
        <v>1111</v>
      </c>
      <c r="B206" s="3" t="str">
        <f>Gegenstände!B206</f>
        <v>Bastardschwert</v>
      </c>
      <c r="D206" s="3">
        <f>Gegenstände!K206</f>
        <v>3800</v>
      </c>
      <c r="E206" s="3">
        <f>Gegenstände!I206</f>
        <v>2</v>
      </c>
      <c r="F206" s="3">
        <f>VLOOKUP(Gegenstände!E206,Berechnungen!$E$87:$F$115,2,FALSE)</f>
        <v>2</v>
      </c>
      <c r="G206" s="3">
        <f>Gegenstände!H206</f>
        <v>1</v>
      </c>
      <c r="H206" s="3">
        <f>Gegenstände!G206</f>
        <v>1</v>
      </c>
      <c r="I206" s="3">
        <f>Gegenstände!D206</f>
        <v>7</v>
      </c>
      <c r="J206" s="168">
        <f>ROUND(Gegenstände!N206,0)</f>
        <v>4600</v>
      </c>
      <c r="K206" s="3">
        <f>Gegenstände!J206</f>
        <v>100</v>
      </c>
      <c r="L206" s="3">
        <f>Gegenstände!L206</f>
        <v>0</v>
      </c>
      <c r="M206" s="3">
        <f>Gegenstände!Z206</f>
        <v>0</v>
      </c>
      <c r="N206" s="783">
        <f>(Gegenstände!Y206*10)</f>
        <v>0</v>
      </c>
      <c r="O206" s="783">
        <f>(Gegenstände!W206*10)</f>
        <v>0</v>
      </c>
      <c r="P206" s="783">
        <f>Gegenstände!AA206*10</f>
        <v>0</v>
      </c>
      <c r="Q206" s="783">
        <f>Gegenstände!O206</f>
        <v>3</v>
      </c>
      <c r="R206" s="168">
        <f>Gegenstände!S206</f>
        <v>27</v>
      </c>
      <c r="S206" s="168">
        <f>Gegenstände!T206</f>
        <v>40</v>
      </c>
      <c r="T206" s="783">
        <f>Gegenstände!AC206</f>
        <v>0</v>
      </c>
      <c r="U206" s="783">
        <f>Gegenstände!AE206</f>
        <v>0</v>
      </c>
      <c r="V206" s="783">
        <f>Gegenstände!AD206</f>
        <v>0</v>
      </c>
      <c r="W206" s="783">
        <f>Gegenstände!AF206</f>
        <v>0</v>
      </c>
      <c r="AB206" s="3">
        <f>Gegenstände!M206</f>
        <v>2</v>
      </c>
      <c r="AC206" s="3">
        <f>Gegenstände!AB206</f>
        <v>0</v>
      </c>
      <c r="AD206" s="3">
        <f>Gegenstände!F206</f>
        <v>0</v>
      </c>
    </row>
    <row r="207" spans="1:30" x14ac:dyDescent="0.2">
      <c r="A207" s="3">
        <f>Gegenstände!A207</f>
        <v>1112</v>
      </c>
      <c r="B207" s="3" t="str">
        <f>Gegenstände!B207</f>
        <v>Bidenhänder</v>
      </c>
      <c r="D207" s="3">
        <f>Gegenstände!K207</f>
        <v>4200</v>
      </c>
      <c r="E207" s="3">
        <f>Gegenstände!I207</f>
        <v>2</v>
      </c>
      <c r="F207" s="3">
        <f>VLOOKUP(Gegenstände!E207,Berechnungen!$E$87:$F$115,2,FALSE)</f>
        <v>2</v>
      </c>
      <c r="G207" s="3">
        <f>Gegenstände!H207</f>
        <v>1</v>
      </c>
      <c r="H207" s="3">
        <f>Gegenstände!G207</f>
        <v>1</v>
      </c>
      <c r="I207" s="3">
        <f>Gegenstände!D207</f>
        <v>10</v>
      </c>
      <c r="J207" s="168">
        <f>ROUND(Gegenstände!N207,0)</f>
        <v>7000</v>
      </c>
      <c r="K207" s="3">
        <f>Gegenstände!J207</f>
        <v>100</v>
      </c>
      <c r="L207" s="3">
        <f>Gegenstände!L207</f>
        <v>0</v>
      </c>
      <c r="M207" s="3">
        <f>Gegenstände!Z207</f>
        <v>0</v>
      </c>
      <c r="N207" s="783">
        <f>(Gegenstände!Y207*10)</f>
        <v>0</v>
      </c>
      <c r="O207" s="783">
        <f>(Gegenstände!W207*10)</f>
        <v>0</v>
      </c>
      <c r="P207" s="783">
        <f>Gegenstände!AA207*10</f>
        <v>0</v>
      </c>
      <c r="Q207" s="783">
        <f>Gegenstände!O207</f>
        <v>3</v>
      </c>
      <c r="R207" s="168">
        <f>Gegenstände!S207</f>
        <v>35</v>
      </c>
      <c r="S207" s="168">
        <f>Gegenstände!T207</f>
        <v>52</v>
      </c>
      <c r="T207" s="783">
        <f>Gegenstände!AC207</f>
        <v>0</v>
      </c>
      <c r="U207" s="783">
        <f>Gegenstände!AE207</f>
        <v>0</v>
      </c>
      <c r="V207" s="783">
        <f>Gegenstände!AD207</f>
        <v>0</v>
      </c>
      <c r="W207" s="783">
        <f>Gegenstände!AF207</f>
        <v>0</v>
      </c>
      <c r="AB207" s="3">
        <f>Gegenstände!M207</f>
        <v>2</v>
      </c>
      <c r="AC207" s="3">
        <f>Gegenstände!AB207</f>
        <v>0</v>
      </c>
      <c r="AD207" s="3">
        <f>Gegenstände!F207</f>
        <v>0</v>
      </c>
    </row>
    <row r="208" spans="1:30" x14ac:dyDescent="0.2">
      <c r="A208" s="3">
        <f>Gegenstände!A208</f>
        <v>1113</v>
      </c>
      <c r="B208" s="3" t="str">
        <f>Gegenstände!B208</f>
        <v>Schottenschwert</v>
      </c>
      <c r="D208" s="3">
        <f>Gegenstände!K208</f>
        <v>4100</v>
      </c>
      <c r="E208" s="3">
        <f>Gegenstände!I208</f>
        <v>2</v>
      </c>
      <c r="F208" s="3">
        <f>VLOOKUP(Gegenstände!E208,Berechnungen!$E$87:$F$115,2,FALSE)</f>
        <v>2</v>
      </c>
      <c r="G208" s="3">
        <f>Gegenstände!H208</f>
        <v>1</v>
      </c>
      <c r="H208" s="3">
        <f>Gegenstände!G208</f>
        <v>1</v>
      </c>
      <c r="I208" s="3">
        <f>Gegenstände!D208</f>
        <v>12</v>
      </c>
      <c r="J208" s="168">
        <f>ROUND(Gegenstände!N208,0)</f>
        <v>9300</v>
      </c>
      <c r="K208" s="3">
        <f>Gegenstände!J208</f>
        <v>100</v>
      </c>
      <c r="L208" s="3">
        <f>Gegenstände!L208</f>
        <v>0</v>
      </c>
      <c r="M208" s="3">
        <f>Gegenstände!Z208</f>
        <v>0</v>
      </c>
      <c r="N208" s="783">
        <f>(Gegenstände!Y208*10)</f>
        <v>0</v>
      </c>
      <c r="O208" s="783">
        <f>(Gegenstände!W208*10)</f>
        <v>0</v>
      </c>
      <c r="P208" s="783">
        <f>Gegenstände!AA208*10</f>
        <v>0</v>
      </c>
      <c r="Q208" s="783">
        <f>Gegenstände!O208</f>
        <v>3</v>
      </c>
      <c r="R208" s="168">
        <f>Gegenstände!S208</f>
        <v>40</v>
      </c>
      <c r="S208" s="168">
        <f>Gegenstände!T208</f>
        <v>60</v>
      </c>
      <c r="T208" s="783">
        <f>Gegenstände!AC208</f>
        <v>0</v>
      </c>
      <c r="U208" s="783">
        <f>Gegenstände!AE208</f>
        <v>0</v>
      </c>
      <c r="V208" s="783">
        <f>Gegenstände!AD208</f>
        <v>0</v>
      </c>
      <c r="W208" s="783">
        <f>Gegenstände!AF208</f>
        <v>0</v>
      </c>
      <c r="AB208" s="3">
        <f>Gegenstände!M208</f>
        <v>3</v>
      </c>
      <c r="AC208" s="3">
        <f>Gegenstände!AB208</f>
        <v>0</v>
      </c>
      <c r="AD208" s="3">
        <f>Gegenstände!F208</f>
        <v>0</v>
      </c>
    </row>
    <row r="209" spans="1:30" x14ac:dyDescent="0.2">
      <c r="A209" s="3">
        <f>Gegenstände!A209</f>
        <v>1114</v>
      </c>
      <c r="B209" s="3" t="str">
        <f>Gegenstände!B209</f>
        <v>Flamberge</v>
      </c>
      <c r="D209" s="3">
        <f>Gegenstände!K209</f>
        <v>3900</v>
      </c>
      <c r="E209" s="3">
        <f>Gegenstände!I209</f>
        <v>2</v>
      </c>
      <c r="F209" s="3">
        <f>VLOOKUP(Gegenstände!E209,Berechnungen!$E$87:$F$115,2,FALSE)</f>
        <v>2</v>
      </c>
      <c r="G209" s="3">
        <f>Gegenstände!H209</f>
        <v>1</v>
      </c>
      <c r="H209" s="3">
        <f>Gegenstände!G209</f>
        <v>1</v>
      </c>
      <c r="I209" s="3">
        <f>Gegenstände!D209</f>
        <v>15</v>
      </c>
      <c r="J209" s="168">
        <f>ROUND(Gegenstände!N209,0)</f>
        <v>14200</v>
      </c>
      <c r="K209" s="3">
        <f>Gegenstände!J209</f>
        <v>100</v>
      </c>
      <c r="L209" s="3">
        <f>Gegenstände!L209</f>
        <v>0</v>
      </c>
      <c r="M209" s="3">
        <f>Gegenstände!Z209</f>
        <v>0</v>
      </c>
      <c r="N209" s="783">
        <f>(Gegenstände!Y209*10)</f>
        <v>0</v>
      </c>
      <c r="O209" s="783">
        <f>(Gegenstände!W209*10)</f>
        <v>0</v>
      </c>
      <c r="P209" s="783">
        <f>Gegenstände!AA209*10</f>
        <v>0</v>
      </c>
      <c r="Q209" s="783">
        <f>Gegenstände!O209</f>
        <v>3</v>
      </c>
      <c r="R209" s="168">
        <f>Gegenstände!S209</f>
        <v>49</v>
      </c>
      <c r="S209" s="168">
        <f>Gegenstände!T209</f>
        <v>73</v>
      </c>
      <c r="T209" s="783">
        <f>Gegenstände!AC209</f>
        <v>0</v>
      </c>
      <c r="U209" s="783">
        <f>Gegenstände!AE209</f>
        <v>0</v>
      </c>
      <c r="V209" s="783">
        <f>Gegenstände!AD209</f>
        <v>0</v>
      </c>
      <c r="W209" s="783">
        <f>Gegenstände!AF209</f>
        <v>0</v>
      </c>
      <c r="AB209" s="3">
        <f>Gegenstände!M209</f>
        <v>3</v>
      </c>
      <c r="AC209" s="3">
        <f>Gegenstände!AB209</f>
        <v>0</v>
      </c>
      <c r="AD209" s="3">
        <f>Gegenstände!F209</f>
        <v>0</v>
      </c>
    </row>
    <row r="210" spans="1:30" x14ac:dyDescent="0.2">
      <c r="A210" s="3">
        <f>Gegenstände!A210</f>
        <v>1115</v>
      </c>
      <c r="B210" s="3" t="str">
        <f>Gegenstände!B210</f>
        <v>Prunkschwert</v>
      </c>
      <c r="D210" s="3">
        <f>Gegenstände!K210</f>
        <v>4200</v>
      </c>
      <c r="E210" s="3">
        <f>Gegenstände!I210</f>
        <v>2</v>
      </c>
      <c r="F210" s="3">
        <f>VLOOKUP(Gegenstände!E210,Berechnungen!$E$87:$F$115,2,FALSE)</f>
        <v>2</v>
      </c>
      <c r="G210" s="3">
        <f>Gegenstände!H210</f>
        <v>1</v>
      </c>
      <c r="H210" s="3">
        <f>Gegenstände!G210</f>
        <v>1</v>
      </c>
      <c r="I210" s="3">
        <f>Gegenstände!D210</f>
        <v>17</v>
      </c>
      <c r="J210" s="168">
        <f>ROUND(Gegenstände!N210,0)</f>
        <v>18700</v>
      </c>
      <c r="K210" s="3">
        <f>Gegenstände!J210</f>
        <v>100</v>
      </c>
      <c r="L210" s="3">
        <f>Gegenstände!L210</f>
        <v>0</v>
      </c>
      <c r="M210" s="3">
        <f>Gegenstände!Z210</f>
        <v>0</v>
      </c>
      <c r="N210" s="783">
        <f>(Gegenstände!Y210*10)</f>
        <v>0</v>
      </c>
      <c r="O210" s="783">
        <f>(Gegenstände!W210*10)</f>
        <v>0</v>
      </c>
      <c r="P210" s="783">
        <f>Gegenstände!AA210*10</f>
        <v>0</v>
      </c>
      <c r="Q210" s="783">
        <f>Gegenstände!O210</f>
        <v>3</v>
      </c>
      <c r="R210" s="168">
        <f>Gegenstände!S210</f>
        <v>55</v>
      </c>
      <c r="S210" s="168">
        <f>Gegenstände!T210</f>
        <v>82</v>
      </c>
      <c r="T210" s="783">
        <f>Gegenstände!AC210</f>
        <v>0</v>
      </c>
      <c r="U210" s="783">
        <f>Gegenstände!AE210</f>
        <v>0</v>
      </c>
      <c r="V210" s="783">
        <f>Gegenstände!AD210</f>
        <v>0</v>
      </c>
      <c r="W210" s="783">
        <f>Gegenstände!AF210</f>
        <v>0</v>
      </c>
      <c r="AB210" s="3">
        <f>Gegenstände!M210</f>
        <v>4</v>
      </c>
      <c r="AC210" s="3">
        <f>Gegenstände!AB210</f>
        <v>0</v>
      </c>
      <c r="AD210" s="3">
        <f>Gegenstände!F210</f>
        <v>0</v>
      </c>
    </row>
    <row r="211" spans="1:30" x14ac:dyDescent="0.2">
      <c r="A211" s="3">
        <f>Gegenstände!A211</f>
        <v>1116</v>
      </c>
      <c r="B211" s="3" t="str">
        <f>Gegenstände!B211</f>
        <v>Elbenbann</v>
      </c>
      <c r="D211" s="3">
        <f>Gegenstände!K211</f>
        <v>3600</v>
      </c>
      <c r="E211" s="3">
        <f>Gegenstände!I211</f>
        <v>2</v>
      </c>
      <c r="F211" s="3">
        <f>VLOOKUP(Gegenstände!E211,Berechnungen!$E$87:$F$115,2,FALSE)</f>
        <v>2</v>
      </c>
      <c r="G211" s="3">
        <f>Gegenstände!H211</f>
        <v>1</v>
      </c>
      <c r="H211" s="3">
        <f>Gegenstände!G211</f>
        <v>1</v>
      </c>
      <c r="I211" s="3">
        <f>Gegenstände!D211</f>
        <v>20</v>
      </c>
      <c r="J211" s="168">
        <f>ROUND(Gegenstände!N211,0)</f>
        <v>28500</v>
      </c>
      <c r="K211" s="3">
        <f>Gegenstände!J211</f>
        <v>100</v>
      </c>
      <c r="L211" s="3">
        <f>Gegenstände!L211</f>
        <v>0</v>
      </c>
      <c r="M211" s="3">
        <f>Gegenstände!Z211</f>
        <v>0</v>
      </c>
      <c r="N211" s="783">
        <f>(Gegenstände!Y211*10)</f>
        <v>0</v>
      </c>
      <c r="O211" s="783">
        <f>(Gegenstände!W211*10)</f>
        <v>0</v>
      </c>
      <c r="P211" s="783">
        <f>Gegenstände!AA211*10</f>
        <v>0</v>
      </c>
      <c r="Q211" s="783">
        <f>Gegenstände!O211</f>
        <v>3</v>
      </c>
      <c r="R211" s="168">
        <f>Gegenstände!S211</f>
        <v>64</v>
      </c>
      <c r="S211" s="168">
        <f>Gegenstände!T211</f>
        <v>96</v>
      </c>
      <c r="T211" s="783">
        <f>Gegenstände!AC211</f>
        <v>0</v>
      </c>
      <c r="U211" s="783">
        <f>Gegenstände!AE211</f>
        <v>0</v>
      </c>
      <c r="V211" s="783">
        <f>Gegenstände!AD211</f>
        <v>0</v>
      </c>
      <c r="W211" s="783">
        <f>Gegenstände!AF211</f>
        <v>0</v>
      </c>
      <c r="AB211" s="3">
        <f>Gegenstände!M211</f>
        <v>4</v>
      </c>
      <c r="AC211" s="3">
        <f>Gegenstände!AB211</f>
        <v>0</v>
      </c>
      <c r="AD211" s="3">
        <f>Gegenstände!F211</f>
        <v>0</v>
      </c>
    </row>
    <row r="212" spans="1:30" x14ac:dyDescent="0.2">
      <c r="A212" s="3">
        <f>Gegenstände!A212</f>
        <v>1117</v>
      </c>
      <c r="B212" s="3" t="str">
        <f>Gegenstände!B212</f>
        <v>Mondklinge</v>
      </c>
      <c r="D212" s="3">
        <f>Gegenstände!K212</f>
        <v>3700</v>
      </c>
      <c r="E212" s="3">
        <f>Gegenstände!I212</f>
        <v>2</v>
      </c>
      <c r="F212" s="3">
        <f>VLOOKUP(Gegenstände!E212,Berechnungen!$E$87:$F$115,2,FALSE)</f>
        <v>2</v>
      </c>
      <c r="G212" s="3">
        <f>Gegenstände!H212</f>
        <v>1</v>
      </c>
      <c r="H212" s="3">
        <f>Gegenstände!G212</f>
        <v>1</v>
      </c>
      <c r="I212" s="3">
        <f>Gegenstände!D212</f>
        <v>22</v>
      </c>
      <c r="J212" s="168">
        <f>ROUND(Gegenstände!N212,0)</f>
        <v>37600</v>
      </c>
      <c r="K212" s="3">
        <f>Gegenstände!J212</f>
        <v>100</v>
      </c>
      <c r="L212" s="3">
        <f>Gegenstände!L212</f>
        <v>0</v>
      </c>
      <c r="M212" s="3">
        <f>Gegenstände!Z212</f>
        <v>0</v>
      </c>
      <c r="N212" s="783">
        <f>(Gegenstände!Y212*10)</f>
        <v>0</v>
      </c>
      <c r="O212" s="783">
        <f>(Gegenstände!W212*10)</f>
        <v>0</v>
      </c>
      <c r="P212" s="783">
        <f>Gegenstände!AA212*10</f>
        <v>0</v>
      </c>
      <c r="Q212" s="783">
        <f>Gegenstände!O212</f>
        <v>3</v>
      </c>
      <c r="R212" s="168">
        <f>Gegenstände!S212</f>
        <v>71</v>
      </c>
      <c r="S212" s="168">
        <f>Gegenstände!T212</f>
        <v>106</v>
      </c>
      <c r="T212" s="783">
        <f>Gegenstände!AC212</f>
        <v>0</v>
      </c>
      <c r="U212" s="783">
        <f>Gegenstände!AE212</f>
        <v>0</v>
      </c>
      <c r="V212" s="783">
        <f>Gegenstände!AD212</f>
        <v>0</v>
      </c>
      <c r="W212" s="783">
        <f>Gegenstände!AF212</f>
        <v>0</v>
      </c>
      <c r="AB212" s="3">
        <f>Gegenstände!M212</f>
        <v>5</v>
      </c>
      <c r="AC212" s="3">
        <f>Gegenstände!AB212</f>
        <v>0</v>
      </c>
      <c r="AD212" s="3">
        <f>Gegenstände!F212</f>
        <v>0</v>
      </c>
    </row>
    <row r="213" spans="1:30" x14ac:dyDescent="0.2">
      <c r="A213" s="3">
        <f>Gegenstände!A213</f>
        <v>1118</v>
      </c>
      <c r="B213" s="3" t="str">
        <f>Gegenstände!B213</f>
        <v>Engelsklinge</v>
      </c>
      <c r="D213" s="3">
        <f>Gegenstände!K213</f>
        <v>3500</v>
      </c>
      <c r="E213" s="3">
        <f>Gegenstände!I213</f>
        <v>2</v>
      </c>
      <c r="F213" s="3">
        <f>VLOOKUP(Gegenstände!E213,Berechnungen!$E$87:$F$115,2,FALSE)</f>
        <v>2</v>
      </c>
      <c r="G213" s="3">
        <f>Gegenstände!H213</f>
        <v>1</v>
      </c>
      <c r="H213" s="3">
        <f>Gegenstände!G213</f>
        <v>1</v>
      </c>
      <c r="I213" s="3">
        <f>Gegenstände!D213</f>
        <v>25</v>
      </c>
      <c r="J213" s="168">
        <f>ROUND(Gegenstände!N213,0)</f>
        <v>57300</v>
      </c>
      <c r="K213" s="3">
        <f>Gegenstände!J213</f>
        <v>100</v>
      </c>
      <c r="L213" s="3">
        <f>Gegenstände!L213</f>
        <v>0</v>
      </c>
      <c r="M213" s="3">
        <f>Gegenstände!Z213</f>
        <v>0</v>
      </c>
      <c r="N213" s="783">
        <f>(Gegenstände!Y213*10)</f>
        <v>0</v>
      </c>
      <c r="O213" s="783">
        <f>(Gegenstände!W213*10)</f>
        <v>0</v>
      </c>
      <c r="P213" s="783">
        <f>Gegenstände!AA213*10</f>
        <v>0</v>
      </c>
      <c r="Q213" s="783">
        <f>Gegenstände!O213</f>
        <v>3</v>
      </c>
      <c r="R213" s="168">
        <f>Gegenstände!S213</f>
        <v>81</v>
      </c>
      <c r="S213" s="168">
        <f>Gegenstände!T213</f>
        <v>122</v>
      </c>
      <c r="T213" s="783">
        <f>Gegenstände!AC213</f>
        <v>0</v>
      </c>
      <c r="U213" s="783">
        <f>Gegenstände!AE213</f>
        <v>0</v>
      </c>
      <c r="V213" s="783">
        <f>Gegenstände!AD213</f>
        <v>0</v>
      </c>
      <c r="W213" s="783">
        <f>Gegenstände!AF213</f>
        <v>0</v>
      </c>
      <c r="AB213" s="3">
        <f>Gegenstände!M213</f>
        <v>5</v>
      </c>
      <c r="AC213" s="3">
        <f>Gegenstände!AB213</f>
        <v>0</v>
      </c>
      <c r="AD213" s="3">
        <f>Gegenstände!F213</f>
        <v>0</v>
      </c>
    </row>
    <row r="214" spans="1:30" x14ac:dyDescent="0.2">
      <c r="A214" s="3">
        <f>Gegenstände!A214</f>
        <v>2111</v>
      </c>
      <c r="B214" s="3" t="str">
        <f>Gegenstände!B214</f>
        <v>Quarz-Prunkschwert</v>
      </c>
      <c r="D214" s="3">
        <f>Gegenstände!K214</f>
        <v>3800</v>
      </c>
      <c r="E214" s="3">
        <f>Gegenstände!I214</f>
        <v>2</v>
      </c>
      <c r="F214" s="3">
        <f>VLOOKUP(Gegenstände!E214,Berechnungen!$E$87:$F$115,2,FALSE)</f>
        <v>2</v>
      </c>
      <c r="G214" s="3">
        <f>Gegenstände!H214</f>
        <v>2</v>
      </c>
      <c r="H214" s="3">
        <f>Gegenstände!G214</f>
        <v>1</v>
      </c>
      <c r="I214" s="3">
        <f>Gegenstände!D214</f>
        <v>10</v>
      </c>
      <c r="J214" s="168">
        <f>ROUND(Gegenstände!N214,0)</f>
        <v>12000</v>
      </c>
      <c r="K214" s="3">
        <f>Gegenstände!J214</f>
        <v>100</v>
      </c>
      <c r="L214" s="3">
        <f>Gegenstände!L214</f>
        <v>0</v>
      </c>
      <c r="M214" s="3">
        <f>Gegenstände!Z214</f>
        <v>0</v>
      </c>
      <c r="N214" s="783">
        <f>(Gegenstände!Y214*10)</f>
        <v>0</v>
      </c>
      <c r="O214" s="783">
        <f>(Gegenstände!W214*10)</f>
        <v>0</v>
      </c>
      <c r="P214" s="783">
        <f>Gegenstände!AA214*10</f>
        <v>0</v>
      </c>
      <c r="Q214" s="783">
        <f>Gegenstände!O214</f>
        <v>3</v>
      </c>
      <c r="R214" s="168">
        <f>Gegenstände!S214</f>
        <v>43</v>
      </c>
      <c r="S214" s="168">
        <f>Gegenstände!T214</f>
        <v>64</v>
      </c>
      <c r="T214" s="783">
        <f>Gegenstände!AC214</f>
        <v>0</v>
      </c>
      <c r="U214" s="783">
        <f>Gegenstände!AE214</f>
        <v>0</v>
      </c>
      <c r="V214" s="783">
        <f>Gegenstände!AD214</f>
        <v>0</v>
      </c>
      <c r="W214" s="783">
        <f>Gegenstände!AF214</f>
        <v>0</v>
      </c>
      <c r="AB214" s="3">
        <f>Gegenstände!M214</f>
        <v>0</v>
      </c>
      <c r="AC214" s="3">
        <f>Gegenstände!AB214</f>
        <v>0</v>
      </c>
      <c r="AD214" s="3">
        <f>Gegenstände!F214</f>
        <v>0</v>
      </c>
    </row>
    <row r="215" spans="1:30" x14ac:dyDescent="0.2">
      <c r="A215" s="3">
        <f>Gegenstände!A215</f>
        <v>2112</v>
      </c>
      <c r="B215" s="3" t="str">
        <f>Gegenstände!B215</f>
        <v>Smaragd-Prunkschwert</v>
      </c>
      <c r="D215" s="3">
        <f>Gegenstände!K215</f>
        <v>4100</v>
      </c>
      <c r="E215" s="3">
        <f>Gegenstände!I215</f>
        <v>2</v>
      </c>
      <c r="F215" s="3">
        <f>VLOOKUP(Gegenstände!E215,Berechnungen!$E$87:$F$115,2,FALSE)</f>
        <v>2</v>
      </c>
      <c r="G215" s="3">
        <f>Gegenstände!H215</f>
        <v>2</v>
      </c>
      <c r="H215" s="3">
        <f>Gegenstände!G215</f>
        <v>1</v>
      </c>
      <c r="I215" s="3">
        <f>Gegenstände!D215</f>
        <v>15</v>
      </c>
      <c r="J215" s="168">
        <f>ROUND(Gegenstände!N215,0)</f>
        <v>24200</v>
      </c>
      <c r="K215" s="3">
        <f>Gegenstände!J215</f>
        <v>100</v>
      </c>
      <c r="L215" s="3">
        <f>Gegenstände!L215</f>
        <v>0</v>
      </c>
      <c r="M215" s="3">
        <f>Gegenstände!Z215</f>
        <v>0</v>
      </c>
      <c r="N215" s="783">
        <f>(Gegenstände!Y215*10)</f>
        <v>0</v>
      </c>
      <c r="O215" s="783">
        <f>(Gegenstände!W215*10)</f>
        <v>0</v>
      </c>
      <c r="P215" s="783">
        <f>Gegenstände!AA215*10</f>
        <v>0</v>
      </c>
      <c r="Q215" s="783">
        <f>Gegenstände!O215</f>
        <v>3</v>
      </c>
      <c r="R215" s="168">
        <f>Gegenstände!S215</f>
        <v>58</v>
      </c>
      <c r="S215" s="168">
        <f>Gegenstände!T215</f>
        <v>87</v>
      </c>
      <c r="T215" s="783">
        <f>Gegenstände!AC215</f>
        <v>0</v>
      </c>
      <c r="U215" s="783">
        <f>Gegenstände!AE215</f>
        <v>0</v>
      </c>
      <c r="V215" s="783">
        <f>Gegenstände!AD215</f>
        <v>0</v>
      </c>
      <c r="W215" s="783">
        <f>Gegenstände!AF215</f>
        <v>0</v>
      </c>
      <c r="AB215" s="3">
        <f>Gegenstände!M215</f>
        <v>0</v>
      </c>
      <c r="AC215" s="3">
        <f>Gegenstände!AB215</f>
        <v>0</v>
      </c>
      <c r="AD215" s="3">
        <f>Gegenstände!F215</f>
        <v>0</v>
      </c>
    </row>
    <row r="216" spans="1:30" x14ac:dyDescent="0.2">
      <c r="A216" s="3">
        <f>Gegenstände!A216</f>
        <v>2113</v>
      </c>
      <c r="B216" s="3" t="str">
        <f>Gegenstände!B216</f>
        <v>Rubin-Prunkschwert</v>
      </c>
      <c r="D216" s="3">
        <f>Gegenstände!K216</f>
        <v>4200</v>
      </c>
      <c r="E216" s="3">
        <f>Gegenstände!I216</f>
        <v>2</v>
      </c>
      <c r="F216" s="3">
        <f>VLOOKUP(Gegenstände!E216,Berechnungen!$E$87:$F$115,2,FALSE)</f>
        <v>2</v>
      </c>
      <c r="G216" s="3">
        <f>Gegenstände!H216</f>
        <v>2</v>
      </c>
      <c r="H216" s="3">
        <f>Gegenstände!G216</f>
        <v>1</v>
      </c>
      <c r="I216" s="3">
        <f>Gegenstände!D216</f>
        <v>20</v>
      </c>
      <c r="J216" s="168">
        <f>ROUND(Gegenstände!N216,0)</f>
        <v>46000</v>
      </c>
      <c r="K216" s="3">
        <f>Gegenstände!J216</f>
        <v>100</v>
      </c>
      <c r="L216" s="3">
        <f>Gegenstände!L216</f>
        <v>0</v>
      </c>
      <c r="M216" s="3">
        <f>Gegenstände!Z216</f>
        <v>0</v>
      </c>
      <c r="N216" s="783">
        <f>(Gegenstände!Y216*10)</f>
        <v>0</v>
      </c>
      <c r="O216" s="783">
        <f>(Gegenstände!W216*10)</f>
        <v>0</v>
      </c>
      <c r="P216" s="783">
        <f>Gegenstände!AA216*10</f>
        <v>0</v>
      </c>
      <c r="Q216" s="783">
        <f>Gegenstände!O216</f>
        <v>3</v>
      </c>
      <c r="R216" s="168">
        <f>Gegenstände!S216</f>
        <v>74</v>
      </c>
      <c r="S216" s="168">
        <f>Gegenstände!T216</f>
        <v>111</v>
      </c>
      <c r="T216" s="783">
        <f>Gegenstände!AC216</f>
        <v>0</v>
      </c>
      <c r="U216" s="783">
        <f>Gegenstände!AE216</f>
        <v>0</v>
      </c>
      <c r="V216" s="783">
        <f>Gegenstände!AD216</f>
        <v>0</v>
      </c>
      <c r="W216" s="783">
        <f>Gegenstände!AF216</f>
        <v>0</v>
      </c>
      <c r="AB216" s="3">
        <f>Gegenstände!M216</f>
        <v>0</v>
      </c>
      <c r="AC216" s="3">
        <f>Gegenstände!AB216</f>
        <v>0</v>
      </c>
      <c r="AD216" s="3">
        <f>Gegenstände!F216</f>
        <v>0</v>
      </c>
    </row>
    <row r="217" spans="1:30" x14ac:dyDescent="0.2">
      <c r="A217" s="3">
        <f>Gegenstände!A217</f>
        <v>2114</v>
      </c>
      <c r="B217" s="3" t="str">
        <f>Gegenstände!B217</f>
        <v>Obsidian-Prunkschwert</v>
      </c>
      <c r="D217" s="3">
        <f>Gegenstände!K217</f>
        <v>3700</v>
      </c>
      <c r="E217" s="3">
        <f>Gegenstände!I217</f>
        <v>2</v>
      </c>
      <c r="F217" s="3">
        <f>VLOOKUP(Gegenstände!E217,Berechnungen!$E$87:$F$115,2,FALSE)</f>
        <v>2</v>
      </c>
      <c r="G217" s="3">
        <f>Gegenstände!H217</f>
        <v>2</v>
      </c>
      <c r="H217" s="3">
        <f>Gegenstände!G217</f>
        <v>1</v>
      </c>
      <c r="I217" s="3">
        <f>Gegenstände!D217</f>
        <v>25</v>
      </c>
      <c r="J217" s="168">
        <f>ROUND(Gegenstände!N217,0)</f>
        <v>82300</v>
      </c>
      <c r="K217" s="3">
        <f>Gegenstände!J217</f>
        <v>100</v>
      </c>
      <c r="L217" s="3">
        <f>Gegenstände!L217</f>
        <v>0</v>
      </c>
      <c r="M217" s="3">
        <f>Gegenstände!Z217</f>
        <v>0</v>
      </c>
      <c r="N217" s="783">
        <f>(Gegenstände!Y217*10)</f>
        <v>0</v>
      </c>
      <c r="O217" s="783">
        <f>(Gegenstände!W217*10)</f>
        <v>0</v>
      </c>
      <c r="P217" s="783">
        <f>Gegenstände!AA217*10</f>
        <v>0</v>
      </c>
      <c r="Q217" s="783">
        <f>Gegenstände!O217</f>
        <v>3</v>
      </c>
      <c r="R217" s="168">
        <f>Gegenstände!S217</f>
        <v>92</v>
      </c>
      <c r="S217" s="168">
        <f>Gegenstände!T217</f>
        <v>138</v>
      </c>
      <c r="T217" s="783">
        <f>Gegenstände!AC217</f>
        <v>0</v>
      </c>
      <c r="U217" s="783">
        <f>Gegenstände!AE217</f>
        <v>0</v>
      </c>
      <c r="V217" s="783">
        <f>Gegenstände!AD217</f>
        <v>0</v>
      </c>
      <c r="W217" s="783">
        <f>Gegenstände!AF217</f>
        <v>0</v>
      </c>
      <c r="AB217" s="3">
        <f>Gegenstände!M217</f>
        <v>0</v>
      </c>
      <c r="AC217" s="3">
        <f>Gegenstände!AB217</f>
        <v>0</v>
      </c>
      <c r="AD217" s="3">
        <f>Gegenstände!F217</f>
        <v>0</v>
      </c>
    </row>
    <row r="218" spans="1:30" x14ac:dyDescent="0.2">
      <c r="A218" s="3">
        <f>Gegenstände!A218</f>
        <v>0</v>
      </c>
      <c r="B218" s="3" t="str">
        <f>Gegenstände!B218</f>
        <v>Dolche</v>
      </c>
      <c r="D218" s="3">
        <f>Gegenstände!K218</f>
        <v>0</v>
      </c>
      <c r="E218" s="3">
        <f>Gegenstände!I218</f>
        <v>0</v>
      </c>
      <c r="F218" s="3" t="e">
        <f>VLOOKUP(Gegenstände!E218,Berechnungen!$E$87:$F$115,2,FALSE)</f>
        <v>#N/A</v>
      </c>
      <c r="G218" s="3">
        <f>Gegenstände!H218</f>
        <v>0</v>
      </c>
      <c r="H218" s="3">
        <f>Gegenstände!G218</f>
        <v>0</v>
      </c>
      <c r="I218" s="3">
        <f>Gegenstände!D218</f>
        <v>0</v>
      </c>
      <c r="J218" s="168">
        <f>ROUND(Gegenstände!N218,0)</f>
        <v>0</v>
      </c>
      <c r="K218" s="3">
        <f>Gegenstände!J218</f>
        <v>0</v>
      </c>
      <c r="L218" s="3">
        <f>Gegenstände!L218</f>
        <v>0</v>
      </c>
      <c r="M218" s="3">
        <f>Gegenstände!Z218</f>
        <v>0</v>
      </c>
      <c r="N218" s="783">
        <f>(Gegenstände!Y218*10)</f>
        <v>0</v>
      </c>
      <c r="O218" s="783">
        <f>(Gegenstände!W218*10)</f>
        <v>0</v>
      </c>
      <c r="P218" s="783">
        <f>Gegenstände!AA218*10</f>
        <v>0</v>
      </c>
      <c r="Q218" s="783">
        <f>Gegenstände!O218</f>
        <v>4</v>
      </c>
      <c r="R218" s="168">
        <f>Gegenstände!S218</f>
        <v>0</v>
      </c>
      <c r="S218" s="168">
        <f>Gegenstände!T218</f>
        <v>0</v>
      </c>
      <c r="T218" s="783">
        <f>Gegenstände!AC218</f>
        <v>0</v>
      </c>
      <c r="U218" s="783">
        <f>Gegenstände!AE218</f>
        <v>0</v>
      </c>
      <c r="V218" s="783">
        <f>Gegenstände!AD218</f>
        <v>0</v>
      </c>
      <c r="W218" s="783">
        <f>Gegenstände!AF218</f>
        <v>0</v>
      </c>
      <c r="AB218" s="3">
        <f>Gegenstände!M218</f>
        <v>0</v>
      </c>
      <c r="AC218" s="3">
        <f>Gegenstände!AB218</f>
        <v>0</v>
      </c>
      <c r="AD218" s="3">
        <f>Gegenstände!F218</f>
        <v>0</v>
      </c>
    </row>
    <row r="219" spans="1:30" x14ac:dyDescent="0.2">
      <c r="A219" s="3">
        <f>Gegenstände!A219</f>
        <v>1121</v>
      </c>
      <c r="B219" s="3" t="str">
        <f>Gegenstände!B219</f>
        <v>Messer</v>
      </c>
      <c r="D219" s="3">
        <f>Gegenstände!K219</f>
        <v>600</v>
      </c>
      <c r="E219" s="3">
        <f>Gegenstände!I219</f>
        <v>1</v>
      </c>
      <c r="F219" s="3">
        <f>VLOOKUP(Gegenstände!E219,Berechnungen!$E$87:$F$115,2,FALSE)</f>
        <v>3</v>
      </c>
      <c r="G219" s="3">
        <f>Gegenstände!H219</f>
        <v>1</v>
      </c>
      <c r="H219" s="3">
        <f>Gegenstände!G219</f>
        <v>2</v>
      </c>
      <c r="I219" s="3">
        <f>Gegenstände!D219</f>
        <v>1</v>
      </c>
      <c r="J219" s="168">
        <f>ROUND(Gegenstände!N219,0)</f>
        <v>1200</v>
      </c>
      <c r="K219" s="3">
        <f>Gegenstände!J219</f>
        <v>100</v>
      </c>
      <c r="L219" s="3">
        <f>Gegenstände!L219</f>
        <v>0</v>
      </c>
      <c r="M219" s="3">
        <f>Gegenstände!Z219</f>
        <v>0</v>
      </c>
      <c r="N219" s="783">
        <f>(Gegenstände!Y219*10)</f>
        <v>0</v>
      </c>
      <c r="O219" s="783">
        <f>(Gegenstände!W219*10)</f>
        <v>0</v>
      </c>
      <c r="P219" s="783">
        <f>Gegenstände!AA219*10</f>
        <v>0</v>
      </c>
      <c r="Q219" s="783">
        <f>Gegenstände!O219</f>
        <v>4</v>
      </c>
      <c r="R219" s="168">
        <f>Gegenstände!S219</f>
        <v>8</v>
      </c>
      <c r="S219" s="168">
        <f>Gegenstände!T219</f>
        <v>11</v>
      </c>
      <c r="T219" s="783">
        <f>Gegenstände!AC219</f>
        <v>0</v>
      </c>
      <c r="U219" s="783">
        <f>Gegenstände!AE219</f>
        <v>0</v>
      </c>
      <c r="V219" s="783">
        <f>Gegenstände!AD219</f>
        <v>0</v>
      </c>
      <c r="W219" s="783">
        <f>Gegenstände!AF219</f>
        <v>0</v>
      </c>
      <c r="AB219" s="3">
        <f>Gegenstände!M219</f>
        <v>1</v>
      </c>
      <c r="AC219" s="3">
        <f>Gegenstände!AB219</f>
        <v>0</v>
      </c>
      <c r="AD219" s="3">
        <f>Gegenstände!F219</f>
        <v>0</v>
      </c>
    </row>
    <row r="220" spans="1:30" x14ac:dyDescent="0.2">
      <c r="A220" s="3">
        <f>Gegenstände!A220</f>
        <v>1122</v>
      </c>
      <c r="B220" s="3" t="str">
        <f>Gegenstände!B220</f>
        <v>Dolch</v>
      </c>
      <c r="D220" s="3">
        <f>Gegenstände!K220</f>
        <v>800</v>
      </c>
      <c r="E220" s="3">
        <f>Gegenstände!I220</f>
        <v>1</v>
      </c>
      <c r="F220" s="3">
        <f>VLOOKUP(Gegenstände!E220,Berechnungen!$E$87:$F$115,2,FALSE)</f>
        <v>3</v>
      </c>
      <c r="G220" s="3">
        <f>Gegenstände!H220</f>
        <v>1</v>
      </c>
      <c r="H220" s="3">
        <f>Gegenstände!G220</f>
        <v>2</v>
      </c>
      <c r="I220" s="3">
        <f>Gegenstände!D220</f>
        <v>4</v>
      </c>
      <c r="J220" s="168">
        <f>ROUND(Gegenstände!N220,0)</f>
        <v>1800</v>
      </c>
      <c r="K220" s="3">
        <f>Gegenstände!J220</f>
        <v>100</v>
      </c>
      <c r="L220" s="3">
        <f>Gegenstände!L220</f>
        <v>0</v>
      </c>
      <c r="M220" s="3">
        <f>Gegenstände!Z220</f>
        <v>0</v>
      </c>
      <c r="N220" s="783">
        <f>(Gegenstände!Y220*10)</f>
        <v>0</v>
      </c>
      <c r="O220" s="783">
        <f>(Gegenstände!W220*10)</f>
        <v>0</v>
      </c>
      <c r="P220" s="783">
        <f>Gegenstände!AA220*10</f>
        <v>0</v>
      </c>
      <c r="Q220" s="783">
        <f>Gegenstände!O220</f>
        <v>4</v>
      </c>
      <c r="R220" s="168">
        <f>Gegenstände!S220</f>
        <v>12</v>
      </c>
      <c r="S220" s="168">
        <f>Gegenstände!T220</f>
        <v>17</v>
      </c>
      <c r="T220" s="783">
        <f>Gegenstände!AC220</f>
        <v>0</v>
      </c>
      <c r="U220" s="783">
        <f>Gegenstände!AE220</f>
        <v>0</v>
      </c>
      <c r="V220" s="783">
        <f>Gegenstände!AD220</f>
        <v>0</v>
      </c>
      <c r="W220" s="783">
        <f>Gegenstände!AF220</f>
        <v>0</v>
      </c>
      <c r="AB220" s="3">
        <f>Gegenstände!M220</f>
        <v>1</v>
      </c>
      <c r="AC220" s="3">
        <f>Gegenstände!AB220</f>
        <v>0</v>
      </c>
      <c r="AD220" s="3">
        <f>Gegenstände!F220</f>
        <v>0</v>
      </c>
    </row>
    <row r="221" spans="1:30" x14ac:dyDescent="0.2">
      <c r="A221" s="3">
        <f>Gegenstände!A221</f>
        <v>1123</v>
      </c>
      <c r="B221" s="3" t="str">
        <f>Gegenstände!B221</f>
        <v>Stilett</v>
      </c>
      <c r="D221" s="3">
        <f>Gegenstände!K221</f>
        <v>700</v>
      </c>
      <c r="E221" s="3">
        <f>Gegenstände!I221</f>
        <v>1</v>
      </c>
      <c r="F221" s="3">
        <f>VLOOKUP(Gegenstände!E221,Berechnungen!$E$87:$F$115,2,FALSE)</f>
        <v>3</v>
      </c>
      <c r="G221" s="3">
        <f>Gegenstände!H221</f>
        <v>1</v>
      </c>
      <c r="H221" s="3">
        <f>Gegenstände!G221</f>
        <v>2</v>
      </c>
      <c r="I221" s="3">
        <f>Gegenstände!D221</f>
        <v>6</v>
      </c>
      <c r="J221" s="168">
        <f>ROUND(Gegenstände!N221,0)</f>
        <v>2400</v>
      </c>
      <c r="K221" s="3">
        <f>Gegenstände!J221</f>
        <v>100</v>
      </c>
      <c r="L221" s="3">
        <f>Gegenstände!L221</f>
        <v>0</v>
      </c>
      <c r="M221" s="3">
        <f>Gegenstände!Z221</f>
        <v>0</v>
      </c>
      <c r="N221" s="783">
        <f>(Gegenstände!Y221*10)</f>
        <v>0</v>
      </c>
      <c r="O221" s="783">
        <f>(Gegenstände!W221*10)</f>
        <v>0</v>
      </c>
      <c r="P221" s="783">
        <f>Gegenstände!AA221*10</f>
        <v>0</v>
      </c>
      <c r="Q221" s="783">
        <f>Gegenstände!O221</f>
        <v>4</v>
      </c>
      <c r="R221" s="168">
        <f>Gegenstände!S221</f>
        <v>15</v>
      </c>
      <c r="S221" s="168">
        <f>Gegenstände!T221</f>
        <v>21</v>
      </c>
      <c r="T221" s="783">
        <f>Gegenstände!AC221</f>
        <v>0</v>
      </c>
      <c r="U221" s="783">
        <f>Gegenstände!AE221</f>
        <v>0</v>
      </c>
      <c r="V221" s="783">
        <f>Gegenstände!AD221</f>
        <v>0</v>
      </c>
      <c r="W221" s="783">
        <f>Gegenstände!AF221</f>
        <v>0</v>
      </c>
      <c r="AB221" s="3">
        <f>Gegenstände!M221</f>
        <v>2</v>
      </c>
      <c r="AC221" s="3">
        <f>Gegenstände!AB221</f>
        <v>0</v>
      </c>
      <c r="AD221" s="3">
        <f>Gegenstände!F221</f>
        <v>0</v>
      </c>
    </row>
    <row r="222" spans="1:30" x14ac:dyDescent="0.2">
      <c r="A222" s="3">
        <f>Gegenstände!A222</f>
        <v>1124</v>
      </c>
      <c r="B222" s="3" t="str">
        <f>Gegenstände!B222</f>
        <v>Ochsenzunge</v>
      </c>
      <c r="D222" s="3">
        <f>Gegenstände!K222</f>
        <v>1100</v>
      </c>
      <c r="E222" s="3">
        <f>Gegenstände!I222</f>
        <v>1</v>
      </c>
      <c r="F222" s="3">
        <f>VLOOKUP(Gegenstände!E222,Berechnungen!$E$87:$F$115,2,FALSE)</f>
        <v>3</v>
      </c>
      <c r="G222" s="3">
        <f>Gegenstände!H222</f>
        <v>1</v>
      </c>
      <c r="H222" s="3">
        <f>Gegenstände!G222</f>
        <v>2</v>
      </c>
      <c r="I222" s="3">
        <f>Gegenstände!D222</f>
        <v>9</v>
      </c>
      <c r="J222" s="168">
        <f>ROUND(Gegenstände!N222,0)</f>
        <v>3700</v>
      </c>
      <c r="K222" s="3">
        <f>Gegenstände!J222</f>
        <v>100</v>
      </c>
      <c r="L222" s="3">
        <f>Gegenstände!L222</f>
        <v>0</v>
      </c>
      <c r="M222" s="3">
        <f>Gegenstände!Z222</f>
        <v>0</v>
      </c>
      <c r="N222" s="783">
        <f>(Gegenstände!Y222*10)</f>
        <v>0</v>
      </c>
      <c r="O222" s="783">
        <f>(Gegenstände!W222*10)</f>
        <v>0</v>
      </c>
      <c r="P222" s="783">
        <f>Gegenstände!AA222*10</f>
        <v>0</v>
      </c>
      <c r="Q222" s="783">
        <f>Gegenstände!O222</f>
        <v>4</v>
      </c>
      <c r="R222" s="168">
        <f>Gegenstände!S222</f>
        <v>20</v>
      </c>
      <c r="S222" s="168">
        <f>Gegenstände!T222</f>
        <v>27</v>
      </c>
      <c r="T222" s="783">
        <f>Gegenstände!AC222</f>
        <v>0</v>
      </c>
      <c r="U222" s="783">
        <f>Gegenstände!AE222</f>
        <v>0</v>
      </c>
      <c r="V222" s="783">
        <f>Gegenstände!AD222</f>
        <v>0</v>
      </c>
      <c r="W222" s="783">
        <f>Gegenstände!AF222</f>
        <v>0</v>
      </c>
      <c r="AB222" s="3">
        <f>Gegenstände!M222</f>
        <v>2</v>
      </c>
      <c r="AC222" s="3">
        <f>Gegenstände!AB222</f>
        <v>0</v>
      </c>
      <c r="AD222" s="3">
        <f>Gegenstände!F222</f>
        <v>0</v>
      </c>
    </row>
    <row r="223" spans="1:30" x14ac:dyDescent="0.2">
      <c r="A223" s="3">
        <f>Gegenstände!A223</f>
        <v>1125</v>
      </c>
      <c r="B223" s="3" t="str">
        <f>Gegenstände!B223</f>
        <v>Entermesser</v>
      </c>
      <c r="D223" s="3">
        <f>Gegenstände!K223</f>
        <v>1200</v>
      </c>
      <c r="E223" s="3">
        <f>Gegenstände!I223</f>
        <v>1</v>
      </c>
      <c r="F223" s="3">
        <f>VLOOKUP(Gegenstände!E223,Berechnungen!$E$87:$F$115,2,FALSE)</f>
        <v>3</v>
      </c>
      <c r="G223" s="3">
        <f>Gegenstände!H223</f>
        <v>1</v>
      </c>
      <c r="H223" s="3">
        <f>Gegenstände!G223</f>
        <v>2</v>
      </c>
      <c r="I223" s="3">
        <f>Gegenstände!D223</f>
        <v>11</v>
      </c>
      <c r="J223" s="168">
        <f>ROUND(Gegenstände!N223,0)</f>
        <v>4900</v>
      </c>
      <c r="K223" s="3">
        <f>Gegenstände!J223</f>
        <v>100</v>
      </c>
      <c r="L223" s="3">
        <f>Gegenstände!L223</f>
        <v>0</v>
      </c>
      <c r="M223" s="3">
        <f>Gegenstände!Z223</f>
        <v>0</v>
      </c>
      <c r="N223" s="783">
        <f>(Gegenstände!Y223*10)</f>
        <v>0</v>
      </c>
      <c r="O223" s="783">
        <f>(Gegenstände!W223*10)</f>
        <v>0</v>
      </c>
      <c r="P223" s="783">
        <f>Gegenstände!AA223*10</f>
        <v>0</v>
      </c>
      <c r="Q223" s="783">
        <f>Gegenstände!O223</f>
        <v>4</v>
      </c>
      <c r="R223" s="168">
        <f>Gegenstände!S223</f>
        <v>24</v>
      </c>
      <c r="S223" s="168">
        <f>Gegenstände!T223</f>
        <v>32</v>
      </c>
      <c r="T223" s="783">
        <f>Gegenstände!AC223</f>
        <v>0</v>
      </c>
      <c r="U223" s="783">
        <f>Gegenstände!AE223</f>
        <v>0</v>
      </c>
      <c r="V223" s="783">
        <f>Gegenstände!AD223</f>
        <v>0</v>
      </c>
      <c r="W223" s="783">
        <f>Gegenstände!AF223</f>
        <v>0</v>
      </c>
      <c r="AB223" s="3">
        <f>Gegenstände!M223</f>
        <v>3</v>
      </c>
      <c r="AC223" s="3">
        <f>Gegenstände!AB223</f>
        <v>0</v>
      </c>
      <c r="AD223" s="3">
        <f>Gegenstände!F223</f>
        <v>0</v>
      </c>
    </row>
    <row r="224" spans="1:30" x14ac:dyDescent="0.2">
      <c r="A224" s="3">
        <f>Gegenstände!A224</f>
        <v>1126</v>
      </c>
      <c r="B224" s="3" t="str">
        <f>Gegenstände!B224</f>
        <v>Stoßdolch</v>
      </c>
      <c r="D224" s="3">
        <f>Gegenstände!K224</f>
        <v>1000</v>
      </c>
      <c r="E224" s="3">
        <f>Gegenstände!I224</f>
        <v>1</v>
      </c>
      <c r="F224" s="3">
        <f>VLOOKUP(Gegenstände!E224,Berechnungen!$E$87:$F$115,2,FALSE)</f>
        <v>3</v>
      </c>
      <c r="G224" s="3">
        <f>Gegenstände!H224</f>
        <v>1</v>
      </c>
      <c r="H224" s="3">
        <f>Gegenstände!G224</f>
        <v>2</v>
      </c>
      <c r="I224" s="3">
        <f>Gegenstände!D224</f>
        <v>14</v>
      </c>
      <c r="J224" s="168">
        <f>ROUND(Gegenstände!N224,0)</f>
        <v>7400</v>
      </c>
      <c r="K224" s="3">
        <f>Gegenstände!J224</f>
        <v>100</v>
      </c>
      <c r="L224" s="3">
        <f>Gegenstände!L224</f>
        <v>0</v>
      </c>
      <c r="M224" s="3">
        <f>Gegenstände!Z224</f>
        <v>0</v>
      </c>
      <c r="N224" s="783">
        <f>(Gegenstände!Y224*10)</f>
        <v>0</v>
      </c>
      <c r="O224" s="783">
        <f>(Gegenstände!W224*10)</f>
        <v>0</v>
      </c>
      <c r="P224" s="783">
        <f>Gegenstände!AA224*10</f>
        <v>0</v>
      </c>
      <c r="Q224" s="783">
        <f>Gegenstände!O224</f>
        <v>4</v>
      </c>
      <c r="R224" s="168">
        <f>Gegenstände!S224</f>
        <v>29</v>
      </c>
      <c r="S224" s="168">
        <f>Gegenstände!T224</f>
        <v>39</v>
      </c>
      <c r="T224" s="783">
        <f>Gegenstände!AC224</f>
        <v>0</v>
      </c>
      <c r="U224" s="783">
        <f>Gegenstände!AE224</f>
        <v>0</v>
      </c>
      <c r="V224" s="783">
        <f>Gegenstände!AD224</f>
        <v>0</v>
      </c>
      <c r="W224" s="783">
        <f>Gegenstände!AF224</f>
        <v>0</v>
      </c>
      <c r="AB224" s="3">
        <f>Gegenstände!M224</f>
        <v>3</v>
      </c>
      <c r="AC224" s="3">
        <f>Gegenstände!AB224</f>
        <v>0</v>
      </c>
      <c r="AD224" s="3">
        <f>Gegenstände!F224</f>
        <v>0</v>
      </c>
    </row>
    <row r="225" spans="1:30" x14ac:dyDescent="0.2">
      <c r="A225" s="3">
        <f>Gegenstände!A225</f>
        <v>1127</v>
      </c>
      <c r="B225" s="3" t="str">
        <f>Gegenstände!B225</f>
        <v>Schlangendolch</v>
      </c>
      <c r="D225" s="3">
        <f>Gegenstände!K225</f>
        <v>1100</v>
      </c>
      <c r="E225" s="3">
        <f>Gegenstände!I225</f>
        <v>1</v>
      </c>
      <c r="F225" s="3">
        <f>VLOOKUP(Gegenstände!E225,Berechnungen!$E$87:$F$115,2,FALSE)</f>
        <v>3</v>
      </c>
      <c r="G225" s="3">
        <f>Gegenstände!H225</f>
        <v>1</v>
      </c>
      <c r="H225" s="3">
        <f>Gegenstände!G225</f>
        <v>2</v>
      </c>
      <c r="I225" s="3">
        <f>Gegenstände!D225</f>
        <v>16</v>
      </c>
      <c r="J225" s="168">
        <f>ROUND(Gegenstände!N225,0)</f>
        <v>9800</v>
      </c>
      <c r="K225" s="3">
        <f>Gegenstände!J225</f>
        <v>100</v>
      </c>
      <c r="L225" s="3">
        <f>Gegenstände!L225</f>
        <v>0</v>
      </c>
      <c r="M225" s="3">
        <f>Gegenstände!Z225</f>
        <v>0</v>
      </c>
      <c r="N225" s="783">
        <f>(Gegenstände!Y225*10)</f>
        <v>0</v>
      </c>
      <c r="O225" s="783">
        <f>(Gegenstände!W225*10)</f>
        <v>0</v>
      </c>
      <c r="P225" s="783">
        <f>Gegenstände!AA225*10</f>
        <v>0</v>
      </c>
      <c r="Q225" s="783">
        <f>Gegenstände!O225</f>
        <v>4</v>
      </c>
      <c r="R225" s="168">
        <f>Gegenstände!S225</f>
        <v>33</v>
      </c>
      <c r="S225" s="168">
        <f>Gegenstände!T225</f>
        <v>44</v>
      </c>
      <c r="T225" s="783">
        <f>Gegenstände!AC225</f>
        <v>0</v>
      </c>
      <c r="U225" s="783">
        <f>Gegenstände!AE225</f>
        <v>0</v>
      </c>
      <c r="V225" s="783">
        <f>Gegenstände!AD225</f>
        <v>0</v>
      </c>
      <c r="W225" s="783">
        <f>Gegenstände!AF225</f>
        <v>0</v>
      </c>
      <c r="AB225" s="3">
        <f>Gegenstände!M225</f>
        <v>4</v>
      </c>
      <c r="AC225" s="3">
        <f>Gegenstände!AB225</f>
        <v>0</v>
      </c>
      <c r="AD225" s="3">
        <f>Gegenstände!F225</f>
        <v>0</v>
      </c>
    </row>
    <row r="226" spans="1:30" x14ac:dyDescent="0.2">
      <c r="A226" s="3">
        <f>Gegenstände!A226</f>
        <v>1128</v>
      </c>
      <c r="B226" s="3" t="str">
        <f>Gegenstände!B226</f>
        <v>Assassinenklinge</v>
      </c>
      <c r="D226" s="3">
        <f>Gegenstände!K226</f>
        <v>1300</v>
      </c>
      <c r="E226" s="3">
        <f>Gegenstände!I226</f>
        <v>1</v>
      </c>
      <c r="F226" s="3">
        <f>VLOOKUP(Gegenstände!E226,Berechnungen!$E$87:$F$115,2,FALSE)</f>
        <v>3</v>
      </c>
      <c r="G226" s="3">
        <f>Gegenstände!H226</f>
        <v>1</v>
      </c>
      <c r="H226" s="3">
        <f>Gegenstände!G226</f>
        <v>2</v>
      </c>
      <c r="I226" s="3">
        <f>Gegenstände!D226</f>
        <v>19</v>
      </c>
      <c r="J226" s="168">
        <f>ROUND(Gegenstände!N226,0)</f>
        <v>14900</v>
      </c>
      <c r="K226" s="3">
        <f>Gegenstände!J226</f>
        <v>100</v>
      </c>
      <c r="L226" s="3">
        <f>Gegenstände!L226</f>
        <v>0</v>
      </c>
      <c r="M226" s="3">
        <f>Gegenstände!Z226</f>
        <v>0</v>
      </c>
      <c r="N226" s="783">
        <f>(Gegenstände!Y226*10)</f>
        <v>0</v>
      </c>
      <c r="O226" s="783">
        <f>(Gegenstände!W226*10)</f>
        <v>0</v>
      </c>
      <c r="P226" s="783">
        <f>Gegenstände!AA226*10</f>
        <v>0</v>
      </c>
      <c r="Q226" s="783">
        <f>Gegenstände!O226</f>
        <v>4</v>
      </c>
      <c r="R226" s="168">
        <f>Gegenstände!S226</f>
        <v>38</v>
      </c>
      <c r="S226" s="168">
        <f>Gegenstände!T226</f>
        <v>52</v>
      </c>
      <c r="T226" s="783">
        <f>Gegenstände!AC226</f>
        <v>0</v>
      </c>
      <c r="U226" s="783">
        <f>Gegenstände!AE226</f>
        <v>0</v>
      </c>
      <c r="V226" s="783">
        <f>Gegenstände!AD226</f>
        <v>0</v>
      </c>
      <c r="W226" s="783">
        <f>Gegenstände!AF226</f>
        <v>0</v>
      </c>
      <c r="AB226" s="3">
        <f>Gegenstände!M226</f>
        <v>4</v>
      </c>
      <c r="AC226" s="3">
        <f>Gegenstände!AB226</f>
        <v>0</v>
      </c>
      <c r="AD226" s="3">
        <f>Gegenstände!F226</f>
        <v>0</v>
      </c>
    </row>
    <row r="227" spans="1:30" x14ac:dyDescent="0.2">
      <c r="A227" s="3">
        <f>Gegenstände!A227</f>
        <v>1129</v>
      </c>
      <c r="B227" s="3" t="str">
        <f>Gegenstände!B227</f>
        <v>Spitzdolch</v>
      </c>
      <c r="D227" s="3">
        <f>Gegenstände!K227</f>
        <v>1000</v>
      </c>
      <c r="E227" s="3">
        <f>Gegenstände!I227</f>
        <v>1</v>
      </c>
      <c r="F227" s="3">
        <f>VLOOKUP(Gegenstände!E227,Berechnungen!$E$87:$F$115,2,FALSE)</f>
        <v>3</v>
      </c>
      <c r="G227" s="3">
        <f>Gegenstände!H227</f>
        <v>1</v>
      </c>
      <c r="H227" s="3">
        <f>Gegenstände!G227</f>
        <v>2</v>
      </c>
      <c r="I227" s="3">
        <f>Gegenstände!D227</f>
        <v>22</v>
      </c>
      <c r="J227" s="168">
        <f>ROUND(Gegenstände!N227,0)</f>
        <v>22600</v>
      </c>
      <c r="K227" s="3">
        <f>Gegenstände!J227</f>
        <v>100</v>
      </c>
      <c r="L227" s="3">
        <f>Gegenstände!L227</f>
        <v>0</v>
      </c>
      <c r="M227" s="3">
        <f>Gegenstände!Z227</f>
        <v>0</v>
      </c>
      <c r="N227" s="783">
        <f>(Gegenstände!Y227*10)</f>
        <v>0</v>
      </c>
      <c r="O227" s="783">
        <f>(Gegenstände!W227*10)</f>
        <v>0</v>
      </c>
      <c r="P227" s="783">
        <f>Gegenstände!AA227*10</f>
        <v>0</v>
      </c>
      <c r="Q227" s="783">
        <f>Gegenstände!O227</f>
        <v>4</v>
      </c>
      <c r="R227" s="168">
        <f>Gegenstände!S227</f>
        <v>45</v>
      </c>
      <c r="S227" s="168">
        <f>Gegenstände!T227</f>
        <v>60</v>
      </c>
      <c r="T227" s="783">
        <f>Gegenstände!AC227</f>
        <v>0</v>
      </c>
      <c r="U227" s="783">
        <f>Gegenstände!AE227</f>
        <v>0</v>
      </c>
      <c r="V227" s="783">
        <f>Gegenstände!AD227</f>
        <v>0</v>
      </c>
      <c r="W227" s="783">
        <f>Gegenstände!AF227</f>
        <v>0</v>
      </c>
      <c r="AB227" s="3">
        <f>Gegenstände!M227</f>
        <v>5</v>
      </c>
      <c r="AC227" s="3">
        <f>Gegenstände!AB227</f>
        <v>0</v>
      </c>
      <c r="AD227" s="3">
        <f>Gegenstände!F227</f>
        <v>0</v>
      </c>
    </row>
    <row r="228" spans="1:30" x14ac:dyDescent="0.2">
      <c r="A228" s="3">
        <f>Gegenstände!A228</f>
        <v>1130</v>
      </c>
      <c r="B228" s="3" t="str">
        <f>Gegenstände!B228</f>
        <v>Nebeldolch</v>
      </c>
      <c r="D228" s="3">
        <f>Gegenstände!K228</f>
        <v>900</v>
      </c>
      <c r="E228" s="3">
        <f>Gegenstände!I228</f>
        <v>1</v>
      </c>
      <c r="F228" s="3">
        <f>VLOOKUP(Gegenstände!E228,Berechnungen!$E$87:$F$115,2,FALSE)</f>
        <v>3</v>
      </c>
      <c r="G228" s="3">
        <f>Gegenstände!H228</f>
        <v>1</v>
      </c>
      <c r="H228" s="3">
        <f>Gegenstände!G228</f>
        <v>2</v>
      </c>
      <c r="I228" s="3">
        <f>Gegenstände!D228</f>
        <v>25</v>
      </c>
      <c r="J228" s="168">
        <f>ROUND(Gegenstände!N228,0)</f>
        <v>34400</v>
      </c>
      <c r="K228" s="3">
        <f>Gegenstände!J228</f>
        <v>100</v>
      </c>
      <c r="L228" s="3">
        <f>Gegenstände!L228</f>
        <v>0</v>
      </c>
      <c r="M228" s="3">
        <f>Gegenstände!Z228</f>
        <v>0</v>
      </c>
      <c r="N228" s="783">
        <f>(Gegenstände!Y228*10)</f>
        <v>0</v>
      </c>
      <c r="O228" s="783">
        <f>(Gegenstände!W228*10)</f>
        <v>0</v>
      </c>
      <c r="P228" s="783">
        <f>Gegenstände!AA228*10</f>
        <v>0</v>
      </c>
      <c r="Q228" s="783">
        <f>Gegenstände!O228</f>
        <v>4</v>
      </c>
      <c r="R228" s="168">
        <f>Gegenstände!S228</f>
        <v>51</v>
      </c>
      <c r="S228" s="168">
        <f>Gegenstände!T228</f>
        <v>69</v>
      </c>
      <c r="T228" s="783">
        <f>Gegenstände!AC228</f>
        <v>0</v>
      </c>
      <c r="U228" s="783">
        <f>Gegenstände!AE228</f>
        <v>0</v>
      </c>
      <c r="V228" s="783">
        <f>Gegenstände!AD228</f>
        <v>0</v>
      </c>
      <c r="W228" s="783">
        <f>Gegenstände!AF228</f>
        <v>0</v>
      </c>
      <c r="AB228" s="3">
        <f>Gegenstände!M228</f>
        <v>5</v>
      </c>
      <c r="AC228" s="3">
        <f>Gegenstände!AB228</f>
        <v>0</v>
      </c>
      <c r="AD228" s="3">
        <f>Gegenstände!F228</f>
        <v>0</v>
      </c>
    </row>
    <row r="229" spans="1:30" x14ac:dyDescent="0.2">
      <c r="A229" s="3">
        <f>Gegenstände!A229</f>
        <v>2121</v>
      </c>
      <c r="B229" s="3" t="str">
        <f>Gegenstände!B229</f>
        <v>Kristall-Dolch</v>
      </c>
      <c r="D229" s="3">
        <f>Gegenstände!K229</f>
        <v>600</v>
      </c>
      <c r="E229" s="3">
        <f>Gegenstände!I229</f>
        <v>1</v>
      </c>
      <c r="F229" s="3">
        <f>VLOOKUP(Gegenstände!E229,Berechnungen!$E$87:$F$115,2,FALSE)</f>
        <v>3</v>
      </c>
      <c r="G229" s="3">
        <f>Gegenstände!H229</f>
        <v>2</v>
      </c>
      <c r="H229" s="3">
        <f>Gegenstände!G229</f>
        <v>2</v>
      </c>
      <c r="I229" s="3">
        <f>Gegenstände!D229</f>
        <v>4</v>
      </c>
      <c r="J229" s="168">
        <f>ROUND(Gegenstände!N229,0)</f>
        <v>2800</v>
      </c>
      <c r="K229" s="3">
        <f>Gegenstände!J229</f>
        <v>100</v>
      </c>
      <c r="L229" s="3">
        <f>Gegenstände!L229</f>
        <v>0</v>
      </c>
      <c r="M229" s="3">
        <f>Gegenstände!Z229</f>
        <v>0</v>
      </c>
      <c r="N229" s="783">
        <f>(Gegenstände!Y229*10)</f>
        <v>0</v>
      </c>
      <c r="O229" s="783">
        <f>(Gegenstände!W229*10)</f>
        <v>0</v>
      </c>
      <c r="P229" s="783">
        <f>Gegenstände!AA229*10</f>
        <v>0</v>
      </c>
      <c r="Q229" s="783">
        <f>Gegenstände!O229</f>
        <v>4</v>
      </c>
      <c r="R229" s="168">
        <f>Gegenstände!S229</f>
        <v>17</v>
      </c>
      <c r="S229" s="168">
        <f>Gegenstände!T229</f>
        <v>23</v>
      </c>
      <c r="T229" s="783">
        <f>Gegenstände!AC229</f>
        <v>0</v>
      </c>
      <c r="U229" s="783">
        <f>Gegenstände!AE229</f>
        <v>0</v>
      </c>
      <c r="V229" s="783">
        <f>Gegenstände!AD229</f>
        <v>0</v>
      </c>
      <c r="W229" s="783">
        <f>Gegenstände!AF229</f>
        <v>0</v>
      </c>
      <c r="AB229" s="3">
        <f>Gegenstände!M229</f>
        <v>0</v>
      </c>
      <c r="AC229" s="3">
        <f>Gegenstände!AB229</f>
        <v>0</v>
      </c>
      <c r="AD229" s="3">
        <f>Gegenstände!F229</f>
        <v>0</v>
      </c>
    </row>
    <row r="230" spans="1:30" x14ac:dyDescent="0.2">
      <c r="A230" s="3">
        <f>Gegenstände!A230</f>
        <v>2122</v>
      </c>
      <c r="B230" s="3" t="str">
        <f>Gegenstände!B230</f>
        <v>Quarz-Dolch</v>
      </c>
      <c r="D230" s="3">
        <f>Gegenstände!K230</f>
        <v>700</v>
      </c>
      <c r="E230" s="3">
        <f>Gegenstände!I230</f>
        <v>1</v>
      </c>
      <c r="F230" s="3">
        <f>VLOOKUP(Gegenstände!E230,Berechnungen!$E$87:$F$115,2,FALSE)</f>
        <v>3</v>
      </c>
      <c r="G230" s="3">
        <f>Gegenstände!H230</f>
        <v>2</v>
      </c>
      <c r="H230" s="3">
        <f>Gegenstände!G230</f>
        <v>2</v>
      </c>
      <c r="I230" s="3">
        <f>Gegenstände!D230</f>
        <v>9</v>
      </c>
      <c r="J230" s="168">
        <f>ROUND(Gegenstände!N230,0)</f>
        <v>5700</v>
      </c>
      <c r="K230" s="3">
        <f>Gegenstände!J230</f>
        <v>100</v>
      </c>
      <c r="L230" s="3">
        <f>Gegenstände!L230</f>
        <v>0</v>
      </c>
      <c r="M230" s="3">
        <f>Gegenstände!Z230</f>
        <v>0</v>
      </c>
      <c r="N230" s="783">
        <f>(Gegenstände!Y230*10)</f>
        <v>0</v>
      </c>
      <c r="O230" s="783">
        <f>(Gegenstände!W230*10)</f>
        <v>0</v>
      </c>
      <c r="P230" s="783">
        <f>Gegenstände!AA230*10</f>
        <v>0</v>
      </c>
      <c r="Q230" s="783">
        <f>Gegenstände!O230</f>
        <v>4</v>
      </c>
      <c r="R230" s="168">
        <f>Gegenstände!S230</f>
        <v>25</v>
      </c>
      <c r="S230" s="168">
        <f>Gegenstände!T230</f>
        <v>34</v>
      </c>
      <c r="T230" s="783">
        <f>Gegenstände!AC230</f>
        <v>0</v>
      </c>
      <c r="U230" s="783">
        <f>Gegenstände!AE230</f>
        <v>0</v>
      </c>
      <c r="V230" s="783">
        <f>Gegenstände!AD230</f>
        <v>0</v>
      </c>
      <c r="W230" s="783">
        <f>Gegenstände!AF230</f>
        <v>0</v>
      </c>
      <c r="AB230" s="3">
        <f>Gegenstände!M230</f>
        <v>0</v>
      </c>
      <c r="AC230" s="3">
        <f>Gegenstände!AB230</f>
        <v>0</v>
      </c>
      <c r="AD230" s="3">
        <f>Gegenstände!F230</f>
        <v>0</v>
      </c>
    </row>
    <row r="231" spans="1:30" x14ac:dyDescent="0.2">
      <c r="A231" s="3">
        <f>Gegenstände!A231</f>
        <v>2123</v>
      </c>
      <c r="B231" s="3" t="str">
        <f>Gegenstände!B231</f>
        <v>Smaragd-Dolch</v>
      </c>
      <c r="D231" s="3">
        <f>Gegenstände!K231</f>
        <v>1200</v>
      </c>
      <c r="E231" s="3">
        <f>Gegenstände!I231</f>
        <v>1</v>
      </c>
      <c r="F231" s="3">
        <f>VLOOKUP(Gegenstände!E231,Berechnungen!$E$87:$F$115,2,FALSE)</f>
        <v>3</v>
      </c>
      <c r="G231" s="3">
        <f>Gegenstände!H231</f>
        <v>2</v>
      </c>
      <c r="H231" s="3">
        <f>Gegenstände!G231</f>
        <v>2</v>
      </c>
      <c r="I231" s="3">
        <f>Gegenstände!D231</f>
        <v>14</v>
      </c>
      <c r="J231" s="168">
        <f>ROUND(Gegenstände!N231,0)</f>
        <v>11400</v>
      </c>
      <c r="K231" s="3">
        <f>Gegenstände!J231</f>
        <v>100</v>
      </c>
      <c r="L231" s="3">
        <f>Gegenstände!L231</f>
        <v>0</v>
      </c>
      <c r="M231" s="3">
        <f>Gegenstände!Z231</f>
        <v>0</v>
      </c>
      <c r="N231" s="783">
        <f>(Gegenstände!Y231*10)</f>
        <v>0</v>
      </c>
      <c r="O231" s="783">
        <f>(Gegenstände!W231*10)</f>
        <v>0</v>
      </c>
      <c r="P231" s="783">
        <f>Gegenstände!AA231*10</f>
        <v>0</v>
      </c>
      <c r="Q231" s="783">
        <f>Gegenstände!O231</f>
        <v>4</v>
      </c>
      <c r="R231" s="168">
        <f>Gegenstände!S231</f>
        <v>34</v>
      </c>
      <c r="S231" s="168">
        <f>Gegenstände!T231</f>
        <v>47</v>
      </c>
      <c r="T231" s="783">
        <f>Gegenstände!AC231</f>
        <v>0</v>
      </c>
      <c r="U231" s="783">
        <f>Gegenstände!AE231</f>
        <v>0</v>
      </c>
      <c r="V231" s="783">
        <f>Gegenstände!AD231</f>
        <v>0</v>
      </c>
      <c r="W231" s="783">
        <f>Gegenstände!AF231</f>
        <v>0</v>
      </c>
      <c r="AB231" s="3">
        <f>Gegenstände!M231</f>
        <v>0</v>
      </c>
      <c r="AC231" s="3">
        <f>Gegenstände!AB231</f>
        <v>0</v>
      </c>
      <c r="AD231" s="3">
        <f>Gegenstände!F231</f>
        <v>0</v>
      </c>
    </row>
    <row r="232" spans="1:30" x14ac:dyDescent="0.2">
      <c r="A232" s="3">
        <f>Gegenstände!A232</f>
        <v>2124</v>
      </c>
      <c r="B232" s="3" t="str">
        <f>Gegenstände!B232</f>
        <v>Rubin-Dolch</v>
      </c>
      <c r="D232" s="3">
        <f>Gegenstände!K232</f>
        <v>1100</v>
      </c>
      <c r="E232" s="3">
        <f>Gegenstände!I232</f>
        <v>1</v>
      </c>
      <c r="F232" s="3">
        <f>VLOOKUP(Gegenstände!E232,Berechnungen!$E$87:$F$115,2,FALSE)</f>
        <v>3</v>
      </c>
      <c r="G232" s="3">
        <f>Gegenstände!H232</f>
        <v>2</v>
      </c>
      <c r="H232" s="3">
        <f>Gegenstände!G232</f>
        <v>2</v>
      </c>
      <c r="I232" s="3">
        <f>Gegenstände!D232</f>
        <v>19</v>
      </c>
      <c r="J232" s="168">
        <f>ROUND(Gegenstände!N232,0)</f>
        <v>21900</v>
      </c>
      <c r="K232" s="3">
        <f>Gegenstände!J232</f>
        <v>100</v>
      </c>
      <c r="L232" s="3">
        <f>Gegenstände!L232</f>
        <v>0</v>
      </c>
      <c r="M232" s="3">
        <f>Gegenstände!Z232</f>
        <v>0</v>
      </c>
      <c r="N232" s="783">
        <f>(Gegenstände!Y232*10)</f>
        <v>0</v>
      </c>
      <c r="O232" s="783">
        <f>(Gegenstände!W232*10)</f>
        <v>0</v>
      </c>
      <c r="P232" s="783">
        <f>Gegenstände!AA232*10</f>
        <v>0</v>
      </c>
      <c r="Q232" s="783">
        <f>Gegenstände!O232</f>
        <v>4</v>
      </c>
      <c r="R232" s="168">
        <f>Gegenstände!S232</f>
        <v>45</v>
      </c>
      <c r="S232" s="168">
        <f>Gegenstände!T232</f>
        <v>60</v>
      </c>
      <c r="T232" s="783">
        <f>Gegenstände!AC232</f>
        <v>0</v>
      </c>
      <c r="U232" s="783">
        <f>Gegenstände!AE232</f>
        <v>0</v>
      </c>
      <c r="V232" s="783">
        <f>Gegenstände!AD232</f>
        <v>0</v>
      </c>
      <c r="W232" s="783">
        <f>Gegenstände!AF232</f>
        <v>0</v>
      </c>
      <c r="AB232" s="3">
        <f>Gegenstände!M232</f>
        <v>0</v>
      </c>
      <c r="AC232" s="3">
        <f>Gegenstände!AB232</f>
        <v>0</v>
      </c>
      <c r="AD232" s="3">
        <f>Gegenstände!F232</f>
        <v>0</v>
      </c>
    </row>
    <row r="233" spans="1:30" x14ac:dyDescent="0.2">
      <c r="A233" s="3">
        <f>Gegenstände!A233</f>
        <v>2125</v>
      </c>
      <c r="B233" s="3" t="str">
        <f>Gegenstände!B233</f>
        <v>Obsidian-Dolch</v>
      </c>
      <c r="D233" s="3">
        <f>Gegenstände!K233</f>
        <v>1000</v>
      </c>
      <c r="E233" s="3">
        <f>Gegenstände!I233</f>
        <v>1</v>
      </c>
      <c r="F233" s="3">
        <f>VLOOKUP(Gegenstände!E233,Berechnungen!$E$87:$F$115,2,FALSE)</f>
        <v>3</v>
      </c>
      <c r="G233" s="3">
        <f>Gegenstände!H233</f>
        <v>2</v>
      </c>
      <c r="H233" s="3">
        <f>Gegenstände!G233</f>
        <v>2</v>
      </c>
      <c r="I233" s="3">
        <f>Gegenstände!D233</f>
        <v>25</v>
      </c>
      <c r="J233" s="168">
        <f>ROUND(Gegenstände!N233,0)</f>
        <v>44400</v>
      </c>
      <c r="K233" s="3">
        <f>Gegenstände!J233</f>
        <v>100</v>
      </c>
      <c r="L233" s="3">
        <f>Gegenstände!L233</f>
        <v>0</v>
      </c>
      <c r="M233" s="3">
        <f>Gegenstände!Z233</f>
        <v>0</v>
      </c>
      <c r="N233" s="783">
        <f>(Gegenstände!Y233*10)</f>
        <v>0</v>
      </c>
      <c r="O233" s="783">
        <f>(Gegenstände!W233*10)</f>
        <v>0</v>
      </c>
      <c r="P233" s="783">
        <f>Gegenstände!AA233*10</f>
        <v>0</v>
      </c>
      <c r="Q233" s="783">
        <f>Gegenstände!O233</f>
        <v>4</v>
      </c>
      <c r="R233" s="168">
        <f>Gegenstände!S233</f>
        <v>58</v>
      </c>
      <c r="S233" s="168">
        <f>Gegenstände!T233</f>
        <v>79</v>
      </c>
      <c r="T233" s="783">
        <f>Gegenstände!AC233</f>
        <v>0</v>
      </c>
      <c r="U233" s="783">
        <f>Gegenstände!AE233</f>
        <v>0</v>
      </c>
      <c r="V233" s="783">
        <f>Gegenstände!AD233</f>
        <v>0</v>
      </c>
      <c r="W233" s="783">
        <f>Gegenstände!AF233</f>
        <v>0</v>
      </c>
      <c r="AB233" s="3">
        <f>Gegenstände!M233</f>
        <v>0</v>
      </c>
      <c r="AC233" s="3">
        <f>Gegenstände!AB233</f>
        <v>0</v>
      </c>
      <c r="AD233" s="3">
        <f>Gegenstände!F233</f>
        <v>0</v>
      </c>
    </row>
    <row r="234" spans="1:30" x14ac:dyDescent="0.2">
      <c r="A234" s="3">
        <f>Gegenstände!A234</f>
        <v>0</v>
      </c>
      <c r="B234" s="3" t="str">
        <f>Gegenstände!B234</f>
        <v>Äxte</v>
      </c>
      <c r="D234" s="3">
        <f>Gegenstände!K234</f>
        <v>0</v>
      </c>
      <c r="E234" s="3">
        <f>Gegenstände!I234</f>
        <v>0</v>
      </c>
      <c r="F234" s="3" t="e">
        <f>VLOOKUP(Gegenstände!E234,Berechnungen!$E$87:$F$115,2,FALSE)</f>
        <v>#N/A</v>
      </c>
      <c r="G234" s="3">
        <f>Gegenstände!H234</f>
        <v>0</v>
      </c>
      <c r="H234" s="3">
        <f>Gegenstände!G234</f>
        <v>0</v>
      </c>
      <c r="I234" s="3">
        <f>Gegenstände!D234</f>
        <v>0</v>
      </c>
      <c r="J234" s="168">
        <f>ROUND(Gegenstände!N234,0)</f>
        <v>0</v>
      </c>
      <c r="K234" s="3">
        <f>Gegenstände!J234</f>
        <v>0</v>
      </c>
      <c r="L234" s="3">
        <f>Gegenstände!L234</f>
        <v>0</v>
      </c>
      <c r="M234" s="3">
        <f>Gegenstände!Z234</f>
        <v>0</v>
      </c>
      <c r="N234" s="783">
        <f>(Gegenstände!Y234*10)</f>
        <v>0</v>
      </c>
      <c r="O234" s="783">
        <f>(Gegenstände!W234*10)</f>
        <v>0</v>
      </c>
      <c r="P234" s="783">
        <f>Gegenstände!AA234*10</f>
        <v>0</v>
      </c>
      <c r="Q234" s="783">
        <f>Gegenstände!O234</f>
        <v>3</v>
      </c>
      <c r="R234" s="168">
        <f>Gegenstände!S234</f>
        <v>0</v>
      </c>
      <c r="S234" s="168">
        <f>Gegenstände!T234</f>
        <v>0</v>
      </c>
      <c r="T234" s="783">
        <f>Gegenstände!AC234</f>
        <v>0</v>
      </c>
      <c r="U234" s="783">
        <f>Gegenstände!AE234</f>
        <v>0</v>
      </c>
      <c r="V234" s="783">
        <f>Gegenstände!AD234</f>
        <v>0</v>
      </c>
      <c r="W234" s="783">
        <f>Gegenstände!AF234</f>
        <v>0</v>
      </c>
      <c r="AB234" s="3">
        <f>Gegenstände!M234</f>
        <v>0</v>
      </c>
      <c r="AC234" s="3">
        <f>Gegenstände!AB234</f>
        <v>0</v>
      </c>
      <c r="AD234" s="3">
        <f>Gegenstände!F234</f>
        <v>0</v>
      </c>
    </row>
    <row r="235" spans="1:30" x14ac:dyDescent="0.2">
      <c r="A235" s="3">
        <f>Gegenstände!A235</f>
        <v>1131</v>
      </c>
      <c r="B235" s="3" t="str">
        <f>Gegenstände!B235</f>
        <v>Axt</v>
      </c>
      <c r="D235" s="3">
        <f>Gegenstände!K235</f>
        <v>2800</v>
      </c>
      <c r="E235" s="3">
        <f>Gegenstände!I235</f>
        <v>1</v>
      </c>
      <c r="F235" s="3">
        <f>VLOOKUP(Gegenstände!E235,Berechnungen!$E$87:$F$115,2,FALSE)</f>
        <v>4</v>
      </c>
      <c r="G235" s="3">
        <f>Gegenstände!H235</f>
        <v>1</v>
      </c>
      <c r="H235" s="3">
        <f>Gegenstände!G235</f>
        <v>3</v>
      </c>
      <c r="I235" s="3">
        <f>Gegenstände!D235</f>
        <v>1</v>
      </c>
      <c r="J235" s="168">
        <f>ROUND(Gegenstände!N235,0)</f>
        <v>1200</v>
      </c>
      <c r="K235" s="3">
        <f>Gegenstände!J235</f>
        <v>100</v>
      </c>
      <c r="L235" s="3">
        <f>Gegenstände!L235</f>
        <v>0</v>
      </c>
      <c r="M235" s="3">
        <f>Gegenstände!Z235</f>
        <v>0</v>
      </c>
      <c r="N235" s="783">
        <f>(Gegenstände!Y235*10)</f>
        <v>0</v>
      </c>
      <c r="O235" s="783">
        <f>(Gegenstände!W235*10)</f>
        <v>0</v>
      </c>
      <c r="P235" s="783">
        <f>Gegenstände!AA235*10</f>
        <v>0</v>
      </c>
      <c r="Q235" s="783">
        <f>Gegenstände!O235</f>
        <v>3</v>
      </c>
      <c r="R235" s="168">
        <f>Gegenstände!S235</f>
        <v>9</v>
      </c>
      <c r="S235" s="168">
        <f>Gegenstände!T235</f>
        <v>14</v>
      </c>
      <c r="T235" s="783">
        <f>Gegenstände!AC235</f>
        <v>0</v>
      </c>
      <c r="U235" s="783">
        <f>Gegenstände!AE235</f>
        <v>0</v>
      </c>
      <c r="V235" s="783">
        <f>Gegenstände!AD235</f>
        <v>0</v>
      </c>
      <c r="W235" s="783">
        <f>Gegenstände!AF235</f>
        <v>0</v>
      </c>
      <c r="AB235" s="3">
        <f>Gegenstände!M235</f>
        <v>1</v>
      </c>
      <c r="AC235" s="3">
        <f>Gegenstände!AB235</f>
        <v>0</v>
      </c>
      <c r="AD235" s="3">
        <f>Gegenstände!F235</f>
        <v>0</v>
      </c>
    </row>
    <row r="236" spans="1:30" x14ac:dyDescent="0.2">
      <c r="A236" s="3">
        <f>Gegenstände!A236</f>
        <v>1132</v>
      </c>
      <c r="B236" s="3" t="str">
        <f>Gegenstände!B236</f>
        <v>Streitaxt</v>
      </c>
      <c r="D236" s="3">
        <f>Gegenstände!K236</f>
        <v>3200</v>
      </c>
      <c r="E236" s="3">
        <f>Gegenstände!I236</f>
        <v>1</v>
      </c>
      <c r="F236" s="3">
        <f>VLOOKUP(Gegenstände!E236,Berechnungen!$E$87:$F$115,2,FALSE)</f>
        <v>4</v>
      </c>
      <c r="G236" s="3">
        <f>Gegenstände!H236</f>
        <v>1</v>
      </c>
      <c r="H236" s="3">
        <f>Gegenstände!G236</f>
        <v>3</v>
      </c>
      <c r="I236" s="3">
        <f>Gegenstände!D236</f>
        <v>4</v>
      </c>
      <c r="J236" s="168">
        <f>ROUND(Gegenstände!N236,0)</f>
        <v>1800</v>
      </c>
      <c r="K236" s="3">
        <f>Gegenstände!J236</f>
        <v>100</v>
      </c>
      <c r="L236" s="3">
        <f>Gegenstände!L236</f>
        <v>0</v>
      </c>
      <c r="M236" s="3">
        <f>Gegenstände!Z236</f>
        <v>0</v>
      </c>
      <c r="N236" s="783">
        <f>(Gegenstände!Y236*10)</f>
        <v>0</v>
      </c>
      <c r="O236" s="783">
        <f>(Gegenstände!W236*10)</f>
        <v>0</v>
      </c>
      <c r="P236" s="783">
        <f>Gegenstände!AA236*10</f>
        <v>0</v>
      </c>
      <c r="Q236" s="783">
        <f>Gegenstände!O236</f>
        <v>3</v>
      </c>
      <c r="R236" s="168">
        <f>Gegenstände!S236</f>
        <v>14</v>
      </c>
      <c r="S236" s="168">
        <f>Gegenstände!T236</f>
        <v>21</v>
      </c>
      <c r="T236" s="783">
        <f>Gegenstände!AC236</f>
        <v>0</v>
      </c>
      <c r="U236" s="783">
        <f>Gegenstände!AE236</f>
        <v>0</v>
      </c>
      <c r="V236" s="783">
        <f>Gegenstände!AD236</f>
        <v>0</v>
      </c>
      <c r="W236" s="783">
        <f>Gegenstände!AF236</f>
        <v>0</v>
      </c>
      <c r="AB236" s="3">
        <f>Gegenstände!M236</f>
        <v>1</v>
      </c>
      <c r="AC236" s="3">
        <f>Gegenstände!AB236</f>
        <v>0</v>
      </c>
      <c r="AD236" s="3">
        <f>Gegenstände!F236</f>
        <v>0</v>
      </c>
    </row>
    <row r="237" spans="1:30" x14ac:dyDescent="0.2">
      <c r="A237" s="3">
        <f>Gegenstände!A237</f>
        <v>1133</v>
      </c>
      <c r="B237" s="3" t="str">
        <f>Gegenstände!B237</f>
        <v>Holzfälleraxt</v>
      </c>
      <c r="D237" s="3">
        <f>Gegenstände!K237</f>
        <v>3500</v>
      </c>
      <c r="E237" s="3">
        <f>Gegenstände!I237</f>
        <v>1</v>
      </c>
      <c r="F237" s="3">
        <f>VLOOKUP(Gegenstände!E237,Berechnungen!$E$87:$F$115,2,FALSE)</f>
        <v>4</v>
      </c>
      <c r="G237" s="3">
        <f>Gegenstände!H237</f>
        <v>1</v>
      </c>
      <c r="H237" s="3">
        <f>Gegenstände!G237</f>
        <v>3</v>
      </c>
      <c r="I237" s="3">
        <f>Gegenstände!D237</f>
        <v>6</v>
      </c>
      <c r="J237" s="168">
        <f>ROUND(Gegenstände!N237,0)</f>
        <v>2400</v>
      </c>
      <c r="K237" s="3">
        <f>Gegenstände!J237</f>
        <v>100</v>
      </c>
      <c r="L237" s="3">
        <f>Gegenstände!L237</f>
        <v>0</v>
      </c>
      <c r="M237" s="3">
        <f>Gegenstände!Z237</f>
        <v>0</v>
      </c>
      <c r="N237" s="783">
        <f>(Gegenstände!Y237*10)</f>
        <v>0</v>
      </c>
      <c r="O237" s="783">
        <f>(Gegenstände!W237*10)</f>
        <v>0</v>
      </c>
      <c r="P237" s="783">
        <f>Gegenstände!AA237*10</f>
        <v>0</v>
      </c>
      <c r="Q237" s="783">
        <f>Gegenstände!O237</f>
        <v>3</v>
      </c>
      <c r="R237" s="168">
        <f>Gegenstände!S237</f>
        <v>17</v>
      </c>
      <c r="S237" s="168">
        <f>Gegenstände!T237</f>
        <v>26</v>
      </c>
      <c r="T237" s="783">
        <f>Gegenstände!AC237</f>
        <v>0</v>
      </c>
      <c r="U237" s="783">
        <f>Gegenstände!AE237</f>
        <v>0</v>
      </c>
      <c r="V237" s="783">
        <f>Gegenstände!AD237</f>
        <v>0</v>
      </c>
      <c r="W237" s="783">
        <f>Gegenstände!AF237</f>
        <v>0</v>
      </c>
      <c r="AB237" s="3">
        <f>Gegenstände!M237</f>
        <v>2</v>
      </c>
      <c r="AC237" s="3">
        <f>Gegenstände!AB237</f>
        <v>0</v>
      </c>
      <c r="AD237" s="3">
        <f>Gegenstände!F237</f>
        <v>0</v>
      </c>
    </row>
    <row r="238" spans="1:30" x14ac:dyDescent="0.2">
      <c r="A238" s="3">
        <f>Gegenstände!A238</f>
        <v>1134</v>
      </c>
      <c r="B238" s="3" t="str">
        <f>Gegenstände!B238</f>
        <v>Breitaxt</v>
      </c>
      <c r="D238" s="3">
        <f>Gegenstände!K238</f>
        <v>3400</v>
      </c>
      <c r="E238" s="3">
        <f>Gegenstände!I238</f>
        <v>1</v>
      </c>
      <c r="F238" s="3">
        <f>VLOOKUP(Gegenstände!E238,Berechnungen!$E$87:$F$115,2,FALSE)</f>
        <v>4</v>
      </c>
      <c r="G238" s="3">
        <f>Gegenstände!H238</f>
        <v>1</v>
      </c>
      <c r="H238" s="3">
        <f>Gegenstände!G238</f>
        <v>3</v>
      </c>
      <c r="I238" s="3">
        <f>Gegenstände!D238</f>
        <v>9</v>
      </c>
      <c r="J238" s="168">
        <f>ROUND(Gegenstände!N238,0)</f>
        <v>3700</v>
      </c>
      <c r="K238" s="3">
        <f>Gegenstände!J238</f>
        <v>100</v>
      </c>
      <c r="L238" s="3">
        <f>Gegenstände!L238</f>
        <v>0</v>
      </c>
      <c r="M238" s="3">
        <f>Gegenstände!Z238</f>
        <v>0</v>
      </c>
      <c r="N238" s="783">
        <f>(Gegenstände!Y238*10)</f>
        <v>0</v>
      </c>
      <c r="O238" s="783">
        <f>(Gegenstände!W238*10)</f>
        <v>0</v>
      </c>
      <c r="P238" s="783">
        <f>Gegenstände!AA238*10</f>
        <v>0</v>
      </c>
      <c r="Q238" s="783">
        <f>Gegenstände!O238</f>
        <v>3</v>
      </c>
      <c r="R238" s="168">
        <f>Gegenstände!S238</f>
        <v>23</v>
      </c>
      <c r="S238" s="168">
        <f>Gegenstände!T238</f>
        <v>34</v>
      </c>
      <c r="T238" s="783">
        <f>Gegenstände!AC238</f>
        <v>0</v>
      </c>
      <c r="U238" s="783">
        <f>Gegenstände!AE238</f>
        <v>0</v>
      </c>
      <c r="V238" s="783">
        <f>Gegenstände!AD238</f>
        <v>0</v>
      </c>
      <c r="W238" s="783">
        <f>Gegenstände!AF238</f>
        <v>0</v>
      </c>
      <c r="AB238" s="3">
        <f>Gegenstände!M238</f>
        <v>2</v>
      </c>
      <c r="AC238" s="3">
        <f>Gegenstände!AB238</f>
        <v>0</v>
      </c>
      <c r="AD238" s="3">
        <f>Gegenstände!F238</f>
        <v>0</v>
      </c>
    </row>
    <row r="239" spans="1:30" x14ac:dyDescent="0.2">
      <c r="A239" s="3">
        <f>Gegenstände!A239</f>
        <v>1135</v>
      </c>
      <c r="B239" s="3" t="str">
        <f>Gegenstände!B239</f>
        <v>Barbarenaxt</v>
      </c>
      <c r="D239" s="3">
        <f>Gegenstände!K239</f>
        <v>3600</v>
      </c>
      <c r="E239" s="3">
        <f>Gegenstände!I239</f>
        <v>1</v>
      </c>
      <c r="F239" s="3">
        <f>VLOOKUP(Gegenstände!E239,Berechnungen!$E$87:$F$115,2,FALSE)</f>
        <v>4</v>
      </c>
      <c r="G239" s="3">
        <f>Gegenstände!H239</f>
        <v>1</v>
      </c>
      <c r="H239" s="3">
        <f>Gegenstände!G239</f>
        <v>3</v>
      </c>
      <c r="I239" s="3">
        <f>Gegenstände!D239</f>
        <v>11</v>
      </c>
      <c r="J239" s="168">
        <f>ROUND(Gegenstände!N239,0)</f>
        <v>4900</v>
      </c>
      <c r="K239" s="3">
        <f>Gegenstände!J239</f>
        <v>100</v>
      </c>
      <c r="L239" s="3">
        <f>Gegenstände!L239</f>
        <v>0</v>
      </c>
      <c r="M239" s="3">
        <f>Gegenstände!Z239</f>
        <v>0</v>
      </c>
      <c r="N239" s="783">
        <f>(Gegenstände!Y239*10)</f>
        <v>0</v>
      </c>
      <c r="O239" s="783">
        <f>(Gegenstände!W239*10)</f>
        <v>0</v>
      </c>
      <c r="P239" s="783">
        <f>Gegenstände!AA239*10</f>
        <v>0</v>
      </c>
      <c r="Q239" s="783">
        <f>Gegenstände!O239</f>
        <v>3</v>
      </c>
      <c r="R239" s="168">
        <f>Gegenstände!S239</f>
        <v>27</v>
      </c>
      <c r="S239" s="168">
        <f>Gegenstände!T239</f>
        <v>40</v>
      </c>
      <c r="T239" s="783">
        <f>Gegenstände!AC239</f>
        <v>0</v>
      </c>
      <c r="U239" s="783">
        <f>Gegenstände!AE239</f>
        <v>0</v>
      </c>
      <c r="V239" s="783">
        <f>Gegenstände!AD239</f>
        <v>0</v>
      </c>
      <c r="W239" s="783">
        <f>Gegenstände!AF239</f>
        <v>0</v>
      </c>
      <c r="AB239" s="3">
        <f>Gegenstände!M239</f>
        <v>3</v>
      </c>
      <c r="AC239" s="3">
        <f>Gegenstände!AB239</f>
        <v>0</v>
      </c>
      <c r="AD239" s="3">
        <f>Gegenstände!F239</f>
        <v>0</v>
      </c>
    </row>
    <row r="240" spans="1:30" x14ac:dyDescent="0.2">
      <c r="A240" s="3">
        <f>Gegenstände!A240</f>
        <v>1136</v>
      </c>
      <c r="B240" s="3" t="str">
        <f>Gegenstände!B240</f>
        <v>Militärpicke</v>
      </c>
      <c r="D240" s="3">
        <f>Gegenstände!K240</f>
        <v>3100</v>
      </c>
      <c r="E240" s="3">
        <f>Gegenstände!I240</f>
        <v>1</v>
      </c>
      <c r="F240" s="3">
        <f>VLOOKUP(Gegenstände!E240,Berechnungen!$E$87:$F$115,2,FALSE)</f>
        <v>4</v>
      </c>
      <c r="G240" s="3">
        <f>Gegenstände!H240</f>
        <v>1</v>
      </c>
      <c r="H240" s="3">
        <f>Gegenstände!G240</f>
        <v>3</v>
      </c>
      <c r="I240" s="3">
        <f>Gegenstände!D240</f>
        <v>14</v>
      </c>
      <c r="J240" s="168">
        <f>ROUND(Gegenstände!N240,0)</f>
        <v>7400</v>
      </c>
      <c r="K240" s="3">
        <f>Gegenstände!J240</f>
        <v>100</v>
      </c>
      <c r="L240" s="3">
        <f>Gegenstände!L240</f>
        <v>0</v>
      </c>
      <c r="M240" s="3">
        <f>Gegenstände!Z240</f>
        <v>0</v>
      </c>
      <c r="N240" s="783">
        <f>(Gegenstände!Y240*10)</f>
        <v>0</v>
      </c>
      <c r="O240" s="783">
        <f>(Gegenstände!W240*10)</f>
        <v>0</v>
      </c>
      <c r="P240" s="783">
        <f>Gegenstände!AA240*10</f>
        <v>0</v>
      </c>
      <c r="Q240" s="783">
        <f>Gegenstände!O240</f>
        <v>3</v>
      </c>
      <c r="R240" s="168">
        <f>Gegenstände!S240</f>
        <v>33</v>
      </c>
      <c r="S240" s="168">
        <f>Gegenstände!T240</f>
        <v>49</v>
      </c>
      <c r="T240" s="783">
        <f>Gegenstände!AC240</f>
        <v>0</v>
      </c>
      <c r="U240" s="783">
        <f>Gegenstände!AE240</f>
        <v>0</v>
      </c>
      <c r="V240" s="783">
        <f>Gegenstände!AD240</f>
        <v>0</v>
      </c>
      <c r="W240" s="783">
        <f>Gegenstände!AF240</f>
        <v>0</v>
      </c>
      <c r="AB240" s="3">
        <f>Gegenstände!M240</f>
        <v>3</v>
      </c>
      <c r="AC240" s="3">
        <f>Gegenstände!AB240</f>
        <v>0</v>
      </c>
      <c r="AD240" s="3">
        <f>Gegenstände!F240</f>
        <v>0</v>
      </c>
    </row>
    <row r="241" spans="1:30" x14ac:dyDescent="0.2">
      <c r="A241" s="3">
        <f>Gegenstände!A241</f>
        <v>1137</v>
      </c>
      <c r="B241" s="3" t="str">
        <f>Gegenstände!B241</f>
        <v>Zwillingsaxt</v>
      </c>
      <c r="D241" s="3">
        <f>Gegenstände!K241</f>
        <v>3500</v>
      </c>
      <c r="E241" s="3">
        <f>Gegenstände!I241</f>
        <v>1</v>
      </c>
      <c r="F241" s="3">
        <f>VLOOKUP(Gegenstände!E241,Berechnungen!$E$87:$F$115,2,FALSE)</f>
        <v>4</v>
      </c>
      <c r="G241" s="3">
        <f>Gegenstände!H241</f>
        <v>1</v>
      </c>
      <c r="H241" s="3">
        <f>Gegenstände!G241</f>
        <v>3</v>
      </c>
      <c r="I241" s="3">
        <f>Gegenstände!D241</f>
        <v>16</v>
      </c>
      <c r="J241" s="168">
        <f>ROUND(Gegenstände!N241,0)</f>
        <v>9800</v>
      </c>
      <c r="K241" s="3">
        <f>Gegenstände!J241</f>
        <v>100</v>
      </c>
      <c r="L241" s="3">
        <f>Gegenstände!L241</f>
        <v>0</v>
      </c>
      <c r="M241" s="3">
        <f>Gegenstände!Z241</f>
        <v>0</v>
      </c>
      <c r="N241" s="783">
        <f>(Gegenstände!Y241*10)</f>
        <v>0</v>
      </c>
      <c r="O241" s="783">
        <f>(Gegenstände!W241*10)</f>
        <v>0</v>
      </c>
      <c r="P241" s="783">
        <f>Gegenstände!AA241*10</f>
        <v>0</v>
      </c>
      <c r="Q241" s="783">
        <f>Gegenstände!O241</f>
        <v>3</v>
      </c>
      <c r="R241" s="168">
        <f>Gegenstände!S241</f>
        <v>37</v>
      </c>
      <c r="S241" s="168">
        <f>Gegenstände!T241</f>
        <v>55</v>
      </c>
      <c r="T241" s="783">
        <f>Gegenstände!AC241</f>
        <v>0</v>
      </c>
      <c r="U241" s="783">
        <f>Gegenstände!AE241</f>
        <v>0</v>
      </c>
      <c r="V241" s="783">
        <f>Gegenstände!AD241</f>
        <v>0</v>
      </c>
      <c r="W241" s="783">
        <f>Gegenstände!AF241</f>
        <v>0</v>
      </c>
      <c r="AB241" s="3">
        <f>Gegenstände!M241</f>
        <v>4</v>
      </c>
      <c r="AC241" s="3">
        <f>Gegenstände!AB241</f>
        <v>0</v>
      </c>
      <c r="AD241" s="3">
        <f>Gegenstände!F241</f>
        <v>0</v>
      </c>
    </row>
    <row r="242" spans="1:30" x14ac:dyDescent="0.2">
      <c r="A242" s="3">
        <f>Gegenstände!A242</f>
        <v>1138</v>
      </c>
      <c r="B242" s="3" t="str">
        <f>Gegenstände!B242</f>
        <v>Kriegsbeil</v>
      </c>
      <c r="D242" s="3">
        <f>Gegenstände!K242</f>
        <v>3300</v>
      </c>
      <c r="E242" s="3">
        <f>Gegenstände!I242</f>
        <v>1</v>
      </c>
      <c r="F242" s="3">
        <f>VLOOKUP(Gegenstände!E242,Berechnungen!$E$87:$F$115,2,FALSE)</f>
        <v>4</v>
      </c>
      <c r="G242" s="3">
        <f>Gegenstände!H242</f>
        <v>1</v>
      </c>
      <c r="H242" s="3">
        <f>Gegenstände!G242</f>
        <v>3</v>
      </c>
      <c r="I242" s="3">
        <f>Gegenstände!D242</f>
        <v>19</v>
      </c>
      <c r="J242" s="168">
        <f>ROUND(Gegenstände!N242,0)</f>
        <v>14900</v>
      </c>
      <c r="K242" s="3">
        <f>Gegenstände!J242</f>
        <v>100</v>
      </c>
      <c r="L242" s="3">
        <f>Gegenstände!L242</f>
        <v>0</v>
      </c>
      <c r="M242" s="3">
        <f>Gegenstände!Z242</f>
        <v>0</v>
      </c>
      <c r="N242" s="783">
        <f>(Gegenstände!Y242*10)</f>
        <v>0</v>
      </c>
      <c r="O242" s="783">
        <f>(Gegenstände!W242*10)</f>
        <v>0</v>
      </c>
      <c r="P242" s="783">
        <f>Gegenstände!AA242*10</f>
        <v>0</v>
      </c>
      <c r="Q242" s="783">
        <f>Gegenstände!O242</f>
        <v>3</v>
      </c>
      <c r="R242" s="168">
        <f>Gegenstände!S242</f>
        <v>44</v>
      </c>
      <c r="S242" s="168">
        <f>Gegenstände!T242</f>
        <v>65</v>
      </c>
      <c r="T242" s="783">
        <f>Gegenstände!AC242</f>
        <v>0</v>
      </c>
      <c r="U242" s="783">
        <f>Gegenstände!AE242</f>
        <v>0</v>
      </c>
      <c r="V242" s="783">
        <f>Gegenstände!AD242</f>
        <v>0</v>
      </c>
      <c r="W242" s="783">
        <f>Gegenstände!AF242</f>
        <v>0</v>
      </c>
      <c r="AB242" s="3">
        <f>Gegenstände!M242</f>
        <v>4</v>
      </c>
      <c r="AC242" s="3">
        <f>Gegenstände!AB242</f>
        <v>0</v>
      </c>
      <c r="AD242" s="3">
        <f>Gegenstände!F242</f>
        <v>0</v>
      </c>
    </row>
    <row r="243" spans="1:30" x14ac:dyDescent="0.2">
      <c r="A243" s="3">
        <f>Gegenstände!A243</f>
        <v>1139</v>
      </c>
      <c r="B243" s="3" t="str">
        <f>Gegenstände!B243</f>
        <v>Tomahawk</v>
      </c>
      <c r="D243" s="3">
        <f>Gegenstände!K243</f>
        <v>3200</v>
      </c>
      <c r="E243" s="3">
        <f>Gegenstände!I243</f>
        <v>1</v>
      </c>
      <c r="F243" s="3">
        <f>VLOOKUP(Gegenstände!E243,Berechnungen!$E$87:$F$115,2,FALSE)</f>
        <v>4</v>
      </c>
      <c r="G243" s="3">
        <f>Gegenstände!H243</f>
        <v>1</v>
      </c>
      <c r="H243" s="3">
        <f>Gegenstände!G243</f>
        <v>3</v>
      </c>
      <c r="I243" s="3">
        <f>Gegenstände!D243</f>
        <v>22</v>
      </c>
      <c r="J243" s="168">
        <f>ROUND(Gegenstände!N243,0)</f>
        <v>22600</v>
      </c>
      <c r="K243" s="3">
        <f>Gegenstände!J243</f>
        <v>100</v>
      </c>
      <c r="L243" s="3">
        <f>Gegenstände!L243</f>
        <v>0</v>
      </c>
      <c r="M243" s="3">
        <f>Gegenstände!Z243</f>
        <v>0</v>
      </c>
      <c r="N243" s="783">
        <f>(Gegenstände!Y243*10)</f>
        <v>0</v>
      </c>
      <c r="O243" s="783">
        <f>(Gegenstände!W243*10)</f>
        <v>0</v>
      </c>
      <c r="P243" s="783">
        <f>Gegenstände!AA243*10</f>
        <v>0</v>
      </c>
      <c r="Q243" s="783">
        <f>Gegenstände!O243</f>
        <v>3</v>
      </c>
      <c r="R243" s="168">
        <f>Gegenstände!S243</f>
        <v>51</v>
      </c>
      <c r="S243" s="168">
        <f>Gegenstände!T243</f>
        <v>76</v>
      </c>
      <c r="T243" s="783">
        <f>Gegenstände!AC243</f>
        <v>0</v>
      </c>
      <c r="U243" s="783">
        <f>Gegenstände!AE243</f>
        <v>0</v>
      </c>
      <c r="V243" s="783">
        <f>Gegenstände!AD243</f>
        <v>0</v>
      </c>
      <c r="W243" s="783">
        <f>Gegenstände!AF243</f>
        <v>0</v>
      </c>
      <c r="AB243" s="3">
        <f>Gegenstände!M243</f>
        <v>5</v>
      </c>
      <c r="AC243" s="3">
        <f>Gegenstände!AB243</f>
        <v>0</v>
      </c>
      <c r="AD243" s="3">
        <f>Gegenstände!F243</f>
        <v>0</v>
      </c>
    </row>
    <row r="244" spans="1:30" x14ac:dyDescent="0.2">
      <c r="A244" s="3">
        <f>Gegenstände!A244</f>
        <v>1140</v>
      </c>
      <c r="B244" s="3" t="str">
        <f>Gegenstände!B244</f>
        <v>Franziska</v>
      </c>
      <c r="D244" s="3">
        <f>Gegenstände!K244</f>
        <v>3400</v>
      </c>
      <c r="E244" s="3">
        <f>Gegenstände!I244</f>
        <v>1</v>
      </c>
      <c r="F244" s="3">
        <f>VLOOKUP(Gegenstände!E244,Berechnungen!$E$87:$F$115,2,FALSE)</f>
        <v>4</v>
      </c>
      <c r="G244" s="3">
        <f>Gegenstände!H244</f>
        <v>1</v>
      </c>
      <c r="H244" s="3">
        <f>Gegenstände!G244</f>
        <v>3</v>
      </c>
      <c r="I244" s="3">
        <f>Gegenstände!D244</f>
        <v>25</v>
      </c>
      <c r="J244" s="168">
        <f>ROUND(Gegenstände!N244,0)</f>
        <v>34400</v>
      </c>
      <c r="K244" s="3">
        <f>Gegenstände!J244</f>
        <v>100</v>
      </c>
      <c r="L244" s="3">
        <f>Gegenstände!L244</f>
        <v>0</v>
      </c>
      <c r="M244" s="3">
        <f>Gegenstände!Z244</f>
        <v>0</v>
      </c>
      <c r="N244" s="783">
        <f>(Gegenstände!Y244*10)</f>
        <v>0</v>
      </c>
      <c r="O244" s="783">
        <f>(Gegenstände!W244*10)</f>
        <v>0</v>
      </c>
      <c r="P244" s="783">
        <f>Gegenstände!AA244*10</f>
        <v>0</v>
      </c>
      <c r="Q244" s="783">
        <f>Gegenstände!O244</f>
        <v>3</v>
      </c>
      <c r="R244" s="168">
        <f>Gegenstände!S244</f>
        <v>58</v>
      </c>
      <c r="S244" s="168">
        <f>Gegenstände!T244</f>
        <v>87</v>
      </c>
      <c r="T244" s="783">
        <f>Gegenstände!AC244</f>
        <v>0</v>
      </c>
      <c r="U244" s="783">
        <f>Gegenstände!AE244</f>
        <v>0</v>
      </c>
      <c r="V244" s="783">
        <f>Gegenstände!AD244</f>
        <v>0</v>
      </c>
      <c r="W244" s="783">
        <f>Gegenstände!AF244</f>
        <v>0</v>
      </c>
      <c r="AB244" s="3">
        <f>Gegenstände!M244</f>
        <v>5</v>
      </c>
      <c r="AC244" s="3">
        <f>Gegenstände!AB244</f>
        <v>0</v>
      </c>
      <c r="AD244" s="3">
        <f>Gegenstände!F244</f>
        <v>0</v>
      </c>
    </row>
    <row r="245" spans="1:30" x14ac:dyDescent="0.2">
      <c r="A245" s="3">
        <f>Gegenstände!A245</f>
        <v>2131</v>
      </c>
      <c r="B245" s="3" t="str">
        <f>Gegenstände!B245</f>
        <v>Kristall-Axt</v>
      </c>
      <c r="D245" s="3">
        <f>Gegenstände!K245</f>
        <v>2800</v>
      </c>
      <c r="E245" s="3">
        <f>Gegenstände!I245</f>
        <v>1</v>
      </c>
      <c r="F245" s="3">
        <f>VLOOKUP(Gegenstände!E245,Berechnungen!$E$87:$F$115,2,FALSE)</f>
        <v>4</v>
      </c>
      <c r="G245" s="3">
        <f>Gegenstände!H245</f>
        <v>2</v>
      </c>
      <c r="H245" s="3">
        <f>Gegenstände!G245</f>
        <v>3</v>
      </c>
      <c r="I245" s="3">
        <f>Gegenstände!D245</f>
        <v>4</v>
      </c>
      <c r="J245" s="168">
        <f>ROUND(Gegenstände!N245,0)</f>
        <v>2800</v>
      </c>
      <c r="K245" s="3">
        <f>Gegenstände!J245</f>
        <v>100</v>
      </c>
      <c r="L245" s="3">
        <f>Gegenstände!L245</f>
        <v>0</v>
      </c>
      <c r="M245" s="3">
        <f>Gegenstände!Z245</f>
        <v>0</v>
      </c>
      <c r="N245" s="783">
        <f>(Gegenstände!Y245*10)</f>
        <v>0</v>
      </c>
      <c r="O245" s="783">
        <f>(Gegenstände!W245*10)</f>
        <v>0</v>
      </c>
      <c r="P245" s="783">
        <f>Gegenstände!AA245*10</f>
        <v>0</v>
      </c>
      <c r="Q245" s="783">
        <f>Gegenstände!O245</f>
        <v>3</v>
      </c>
      <c r="R245" s="168">
        <f>Gegenstände!S245</f>
        <v>19</v>
      </c>
      <c r="S245" s="168">
        <f>Gegenstände!T245</f>
        <v>29</v>
      </c>
      <c r="T245" s="783">
        <f>Gegenstände!AC245</f>
        <v>0</v>
      </c>
      <c r="U245" s="783">
        <f>Gegenstände!AE245</f>
        <v>0</v>
      </c>
      <c r="V245" s="783">
        <f>Gegenstände!AD245</f>
        <v>0</v>
      </c>
      <c r="W245" s="783">
        <f>Gegenstände!AF245</f>
        <v>0</v>
      </c>
      <c r="AB245" s="3">
        <f>Gegenstände!M245</f>
        <v>0</v>
      </c>
      <c r="AC245" s="3">
        <f>Gegenstände!AB245</f>
        <v>0</v>
      </c>
      <c r="AD245" s="3">
        <f>Gegenstände!F245</f>
        <v>0</v>
      </c>
    </row>
    <row r="246" spans="1:30" x14ac:dyDescent="0.2">
      <c r="A246" s="3">
        <f>Gegenstände!A246</f>
        <v>2132</v>
      </c>
      <c r="B246" s="3" t="str">
        <f>Gegenstände!B246</f>
        <v>Quarz-Axt</v>
      </c>
      <c r="D246" s="3">
        <f>Gegenstände!K246</f>
        <v>3200</v>
      </c>
      <c r="E246" s="3">
        <f>Gegenstände!I246</f>
        <v>1</v>
      </c>
      <c r="F246" s="3">
        <f>VLOOKUP(Gegenstände!E246,Berechnungen!$E$87:$F$115,2,FALSE)</f>
        <v>4</v>
      </c>
      <c r="G246" s="3">
        <f>Gegenstände!H246</f>
        <v>2</v>
      </c>
      <c r="H246" s="3">
        <f>Gegenstände!G246</f>
        <v>3</v>
      </c>
      <c r="I246" s="3">
        <f>Gegenstände!D246</f>
        <v>9</v>
      </c>
      <c r="J246" s="168">
        <f>ROUND(Gegenstände!N246,0)</f>
        <v>5700</v>
      </c>
      <c r="K246" s="3">
        <f>Gegenstände!J246</f>
        <v>100</v>
      </c>
      <c r="L246" s="3">
        <f>Gegenstände!L246</f>
        <v>0</v>
      </c>
      <c r="M246" s="3">
        <f>Gegenstände!Z246</f>
        <v>0</v>
      </c>
      <c r="N246" s="783">
        <f>(Gegenstände!Y246*10)</f>
        <v>0</v>
      </c>
      <c r="O246" s="783">
        <f>(Gegenstände!W246*10)</f>
        <v>0</v>
      </c>
      <c r="P246" s="783">
        <f>Gegenstände!AA246*10</f>
        <v>0</v>
      </c>
      <c r="Q246" s="783">
        <f>Gegenstände!O246</f>
        <v>3</v>
      </c>
      <c r="R246" s="168">
        <f>Gegenstände!S246</f>
        <v>29</v>
      </c>
      <c r="S246" s="168">
        <f>Gegenstände!T246</f>
        <v>43</v>
      </c>
      <c r="T246" s="783">
        <f>Gegenstände!AC246</f>
        <v>0</v>
      </c>
      <c r="U246" s="783">
        <f>Gegenstände!AE246</f>
        <v>0</v>
      </c>
      <c r="V246" s="783">
        <f>Gegenstände!AD246</f>
        <v>0</v>
      </c>
      <c r="W246" s="783">
        <f>Gegenstände!AF246</f>
        <v>0</v>
      </c>
      <c r="AB246" s="3">
        <f>Gegenstände!M246</f>
        <v>0</v>
      </c>
      <c r="AC246" s="3">
        <f>Gegenstände!AB246</f>
        <v>0</v>
      </c>
      <c r="AD246" s="3">
        <f>Gegenstände!F246</f>
        <v>0</v>
      </c>
    </row>
    <row r="247" spans="1:30" x14ac:dyDescent="0.2">
      <c r="A247" s="3">
        <f>Gegenstände!A247</f>
        <v>2133</v>
      </c>
      <c r="B247" s="3" t="str">
        <f>Gegenstände!B247</f>
        <v>Smaragd-Axt</v>
      </c>
      <c r="D247" s="3">
        <f>Gegenstände!K247</f>
        <v>3500</v>
      </c>
      <c r="E247" s="3">
        <f>Gegenstände!I247</f>
        <v>1</v>
      </c>
      <c r="F247" s="3">
        <f>VLOOKUP(Gegenstände!E247,Berechnungen!$E$87:$F$115,2,FALSE)</f>
        <v>4</v>
      </c>
      <c r="G247" s="3">
        <f>Gegenstände!H247</f>
        <v>2</v>
      </c>
      <c r="H247" s="3">
        <f>Gegenstände!G247</f>
        <v>3</v>
      </c>
      <c r="I247" s="3">
        <f>Gegenstände!D247</f>
        <v>14</v>
      </c>
      <c r="J247" s="168">
        <f>ROUND(Gegenstände!N247,0)</f>
        <v>11400</v>
      </c>
      <c r="K247" s="3">
        <f>Gegenstände!J247</f>
        <v>100</v>
      </c>
      <c r="L247" s="3">
        <f>Gegenstände!L247</f>
        <v>0</v>
      </c>
      <c r="M247" s="3">
        <f>Gegenstände!Z247</f>
        <v>0</v>
      </c>
      <c r="N247" s="783">
        <f>(Gegenstände!Y247*10)</f>
        <v>0</v>
      </c>
      <c r="O247" s="783">
        <f>(Gegenstände!W247*10)</f>
        <v>0</v>
      </c>
      <c r="P247" s="783">
        <f>Gegenstände!AA247*10</f>
        <v>0</v>
      </c>
      <c r="Q247" s="783">
        <f>Gegenstände!O247</f>
        <v>3</v>
      </c>
      <c r="R247" s="168">
        <f>Gegenstände!S247</f>
        <v>39</v>
      </c>
      <c r="S247" s="168">
        <f>Gegenstände!T247</f>
        <v>59</v>
      </c>
      <c r="T247" s="783">
        <f>Gegenstände!AC247</f>
        <v>0</v>
      </c>
      <c r="U247" s="783">
        <f>Gegenstände!AE247</f>
        <v>0</v>
      </c>
      <c r="V247" s="783">
        <f>Gegenstände!AD247</f>
        <v>0</v>
      </c>
      <c r="W247" s="783">
        <f>Gegenstände!AF247</f>
        <v>0</v>
      </c>
      <c r="AB247" s="3">
        <f>Gegenstände!M247</f>
        <v>0</v>
      </c>
      <c r="AC247" s="3">
        <f>Gegenstände!AB247</f>
        <v>0</v>
      </c>
      <c r="AD247" s="3">
        <f>Gegenstände!F247</f>
        <v>0</v>
      </c>
    </row>
    <row r="248" spans="1:30" x14ac:dyDescent="0.2">
      <c r="A248" s="3">
        <f>Gegenstände!A248</f>
        <v>2134</v>
      </c>
      <c r="B248" s="3" t="str">
        <f>Gegenstände!B248</f>
        <v>Rubin-Axt</v>
      </c>
      <c r="D248" s="3">
        <f>Gegenstände!K248</f>
        <v>3400</v>
      </c>
      <c r="E248" s="3">
        <f>Gegenstände!I248</f>
        <v>1</v>
      </c>
      <c r="F248" s="3">
        <f>VLOOKUP(Gegenstände!E248,Berechnungen!$E$87:$F$115,2,FALSE)</f>
        <v>4</v>
      </c>
      <c r="G248" s="3">
        <f>Gegenstände!H248</f>
        <v>2</v>
      </c>
      <c r="H248" s="3">
        <f>Gegenstände!G248</f>
        <v>3</v>
      </c>
      <c r="I248" s="3">
        <f>Gegenstände!D248</f>
        <v>19</v>
      </c>
      <c r="J248" s="168">
        <f>ROUND(Gegenstände!N248,0)</f>
        <v>21900</v>
      </c>
      <c r="K248" s="3">
        <f>Gegenstände!J248</f>
        <v>100</v>
      </c>
      <c r="L248" s="3">
        <f>Gegenstände!L248</f>
        <v>0</v>
      </c>
      <c r="M248" s="3">
        <f>Gegenstände!Z248</f>
        <v>0</v>
      </c>
      <c r="N248" s="783">
        <f>(Gegenstände!Y248*10)</f>
        <v>0</v>
      </c>
      <c r="O248" s="783">
        <f>(Gegenstände!W248*10)</f>
        <v>0</v>
      </c>
      <c r="P248" s="783">
        <f>Gegenstände!AA248*10</f>
        <v>0</v>
      </c>
      <c r="Q248" s="783">
        <f>Gegenstände!O248</f>
        <v>3</v>
      </c>
      <c r="R248" s="168">
        <f>Gegenstände!S248</f>
        <v>51</v>
      </c>
      <c r="S248" s="168">
        <f>Gegenstände!T248</f>
        <v>76</v>
      </c>
      <c r="T248" s="783">
        <f>Gegenstände!AC248</f>
        <v>0</v>
      </c>
      <c r="U248" s="783">
        <f>Gegenstände!AE248</f>
        <v>0</v>
      </c>
      <c r="V248" s="783">
        <f>Gegenstände!AD248</f>
        <v>0</v>
      </c>
      <c r="W248" s="783">
        <f>Gegenstände!AF248</f>
        <v>0</v>
      </c>
      <c r="AB248" s="3">
        <f>Gegenstände!M248</f>
        <v>0</v>
      </c>
      <c r="AC248" s="3">
        <f>Gegenstände!AB248</f>
        <v>0</v>
      </c>
      <c r="AD248" s="3">
        <f>Gegenstände!F248</f>
        <v>0</v>
      </c>
    </row>
    <row r="249" spans="1:30" x14ac:dyDescent="0.2">
      <c r="A249" s="3">
        <f>Gegenstände!A249</f>
        <v>2135</v>
      </c>
      <c r="B249" s="3" t="str">
        <f>Gegenstände!B249</f>
        <v>Obsidian-Axt</v>
      </c>
      <c r="D249" s="3">
        <f>Gegenstände!K249</f>
        <v>3400</v>
      </c>
      <c r="E249" s="3">
        <f>Gegenstände!I249</f>
        <v>1</v>
      </c>
      <c r="F249" s="3">
        <f>VLOOKUP(Gegenstände!E249,Berechnungen!$E$87:$F$115,2,FALSE)</f>
        <v>4</v>
      </c>
      <c r="G249" s="3">
        <f>Gegenstände!H249</f>
        <v>2</v>
      </c>
      <c r="H249" s="3">
        <f>Gegenstände!G249</f>
        <v>3</v>
      </c>
      <c r="I249" s="3">
        <f>Gegenstände!D249</f>
        <v>25</v>
      </c>
      <c r="J249" s="168">
        <f>ROUND(Gegenstände!N249,0)</f>
        <v>44400</v>
      </c>
      <c r="K249" s="3">
        <f>Gegenstände!J249</f>
        <v>100</v>
      </c>
      <c r="L249" s="3">
        <f>Gegenstände!L249</f>
        <v>0</v>
      </c>
      <c r="M249" s="3">
        <f>Gegenstände!Z249</f>
        <v>0</v>
      </c>
      <c r="N249" s="783">
        <f>(Gegenstände!Y249*10)</f>
        <v>0</v>
      </c>
      <c r="O249" s="783">
        <f>(Gegenstände!W249*10)</f>
        <v>0</v>
      </c>
      <c r="P249" s="783">
        <f>Gegenstände!AA249*10</f>
        <v>0</v>
      </c>
      <c r="Q249" s="783">
        <f>Gegenstände!O249</f>
        <v>3</v>
      </c>
      <c r="R249" s="168">
        <f>Gegenstände!S249</f>
        <v>66</v>
      </c>
      <c r="S249" s="168">
        <f>Gegenstände!T249</f>
        <v>99</v>
      </c>
      <c r="T249" s="783">
        <f>Gegenstände!AC249</f>
        <v>0</v>
      </c>
      <c r="U249" s="783">
        <f>Gegenstände!AE249</f>
        <v>0</v>
      </c>
      <c r="V249" s="783">
        <f>Gegenstände!AD249</f>
        <v>0</v>
      </c>
      <c r="W249" s="783">
        <f>Gegenstände!AF249</f>
        <v>0</v>
      </c>
      <c r="AB249" s="3">
        <f>Gegenstände!M249</f>
        <v>0</v>
      </c>
      <c r="AC249" s="3">
        <f>Gegenstände!AB249</f>
        <v>0</v>
      </c>
      <c r="AD249" s="3">
        <f>Gegenstände!F249</f>
        <v>0</v>
      </c>
    </row>
    <row r="250" spans="1:30" x14ac:dyDescent="0.2">
      <c r="A250" s="3">
        <f>Gegenstände!A250</f>
        <v>0</v>
      </c>
      <c r="B250" s="3" t="str">
        <f>Gegenstände!B250</f>
        <v>2H Äxte</v>
      </c>
      <c r="D250" s="3">
        <f>Gegenstände!K250</f>
        <v>0</v>
      </c>
      <c r="E250" s="3">
        <f>Gegenstände!I250</f>
        <v>0</v>
      </c>
      <c r="F250" s="3" t="e">
        <f>VLOOKUP(Gegenstände!E250,Berechnungen!$E$87:$F$115,2,FALSE)</f>
        <v>#N/A</v>
      </c>
      <c r="G250" s="3">
        <f>Gegenstände!H250</f>
        <v>0</v>
      </c>
      <c r="H250" s="3" t="str">
        <f>Gegenstände!G250</f>
        <v xml:space="preserve"> </v>
      </c>
      <c r="I250" s="3">
        <f>Gegenstände!D250</f>
        <v>0</v>
      </c>
      <c r="J250" s="168">
        <f>ROUND(Gegenstände!N250,0)</f>
        <v>0</v>
      </c>
      <c r="K250" s="3">
        <f>Gegenstände!J250</f>
        <v>0</v>
      </c>
      <c r="L250" s="3">
        <f>Gegenstände!L250</f>
        <v>0</v>
      </c>
      <c r="M250" s="3">
        <f>Gegenstände!Z250</f>
        <v>0</v>
      </c>
      <c r="N250" s="783">
        <f>(Gegenstände!Y250*10)</f>
        <v>0</v>
      </c>
      <c r="O250" s="783">
        <f>(Gegenstände!W250*10)</f>
        <v>0</v>
      </c>
      <c r="P250" s="783">
        <f>Gegenstände!AA250*10</f>
        <v>0</v>
      </c>
      <c r="Q250" s="783">
        <f>Gegenstände!O250</f>
        <v>2</v>
      </c>
      <c r="R250" s="168">
        <f>Gegenstände!S250</f>
        <v>0</v>
      </c>
      <c r="S250" s="168">
        <f>Gegenstände!T250</f>
        <v>0</v>
      </c>
      <c r="T250" s="783">
        <f>Gegenstände!AC250</f>
        <v>0</v>
      </c>
      <c r="U250" s="783">
        <f>Gegenstände!AE250</f>
        <v>0</v>
      </c>
      <c r="V250" s="783">
        <f>Gegenstände!AD250</f>
        <v>0</v>
      </c>
      <c r="W250" s="783">
        <f>Gegenstände!AF250</f>
        <v>0</v>
      </c>
      <c r="AB250" s="3">
        <f>Gegenstände!M250</f>
        <v>0</v>
      </c>
      <c r="AC250" s="3">
        <f>Gegenstände!AB250</f>
        <v>0</v>
      </c>
      <c r="AD250" s="3">
        <f>Gegenstände!F250</f>
        <v>0</v>
      </c>
    </row>
    <row r="251" spans="1:30" x14ac:dyDescent="0.2">
      <c r="A251" s="3">
        <f>Gegenstände!A251</f>
        <v>1141</v>
      </c>
      <c r="B251" s="3" t="str">
        <f>Gegenstände!B251</f>
        <v>Bidenaxt</v>
      </c>
      <c r="D251" s="3">
        <f>Gegenstände!K251</f>
        <v>4800</v>
      </c>
      <c r="E251" s="3">
        <f>Gegenstände!I251</f>
        <v>2</v>
      </c>
      <c r="F251" s="3">
        <f>VLOOKUP(Gegenstände!E251,Berechnungen!$E$87:$F$115,2,FALSE)</f>
        <v>5</v>
      </c>
      <c r="G251" s="3">
        <f>Gegenstände!H251</f>
        <v>1</v>
      </c>
      <c r="H251" s="3">
        <f>Gegenstände!G251</f>
        <v>3</v>
      </c>
      <c r="I251" s="3">
        <f>Gegenstände!D251</f>
        <v>7</v>
      </c>
      <c r="J251" s="168">
        <f>ROUND(Gegenstände!N251,0)</f>
        <v>4600</v>
      </c>
      <c r="K251" s="3">
        <f>Gegenstände!J251</f>
        <v>100</v>
      </c>
      <c r="L251" s="3">
        <f>Gegenstände!L251</f>
        <v>0</v>
      </c>
      <c r="M251" s="3">
        <f>Gegenstände!Z251</f>
        <v>0</v>
      </c>
      <c r="N251" s="783">
        <f>(Gegenstände!Y251*10)</f>
        <v>0</v>
      </c>
      <c r="O251" s="783">
        <f>(Gegenstände!W251*10)</f>
        <v>0</v>
      </c>
      <c r="P251" s="783">
        <f>Gegenstände!AA251*10</f>
        <v>0</v>
      </c>
      <c r="Q251" s="783">
        <f>Gegenstände!O251</f>
        <v>2</v>
      </c>
      <c r="R251" s="168">
        <f>Gegenstände!S251</f>
        <v>33</v>
      </c>
      <c r="S251" s="168">
        <f>Gegenstände!T251</f>
        <v>55</v>
      </c>
      <c r="T251" s="783">
        <f>Gegenstände!AC251</f>
        <v>0</v>
      </c>
      <c r="U251" s="783">
        <f>Gegenstände!AE251</f>
        <v>0</v>
      </c>
      <c r="V251" s="783">
        <f>Gegenstände!AD251</f>
        <v>0</v>
      </c>
      <c r="W251" s="783">
        <f>Gegenstände!AF251</f>
        <v>0</v>
      </c>
      <c r="AB251" s="3">
        <f>Gegenstände!M251</f>
        <v>2</v>
      </c>
      <c r="AC251" s="3">
        <f>Gegenstände!AB251</f>
        <v>0</v>
      </c>
      <c r="AD251" s="3">
        <f>Gegenstände!F251</f>
        <v>0</v>
      </c>
    </row>
    <row r="252" spans="1:30" x14ac:dyDescent="0.2">
      <c r="A252" s="3">
        <f>Gegenstände!A252</f>
        <v>1142</v>
      </c>
      <c r="B252" s="3" t="str">
        <f>Gegenstände!B252</f>
        <v>Felsenspalter</v>
      </c>
      <c r="D252" s="3">
        <f>Gegenstände!K252</f>
        <v>5100</v>
      </c>
      <c r="E252" s="3">
        <f>Gegenstände!I252</f>
        <v>2</v>
      </c>
      <c r="F252" s="3">
        <f>VLOOKUP(Gegenstände!E252,Berechnungen!$E$87:$F$115,2,FALSE)</f>
        <v>5</v>
      </c>
      <c r="G252" s="3">
        <f>Gegenstände!H252</f>
        <v>1</v>
      </c>
      <c r="H252" s="3">
        <f>Gegenstände!G252</f>
        <v>3</v>
      </c>
      <c r="I252" s="3">
        <f>Gegenstände!D252</f>
        <v>10</v>
      </c>
      <c r="J252" s="168">
        <f>ROUND(Gegenstände!N252,0)</f>
        <v>7000</v>
      </c>
      <c r="K252" s="3">
        <f>Gegenstände!J252</f>
        <v>100</v>
      </c>
      <c r="L252" s="3">
        <f>Gegenstände!L252</f>
        <v>0</v>
      </c>
      <c r="M252" s="3">
        <f>Gegenstände!Z252</f>
        <v>0</v>
      </c>
      <c r="N252" s="783">
        <f>(Gegenstände!Y252*10)</f>
        <v>0</v>
      </c>
      <c r="O252" s="783">
        <f>(Gegenstände!W252*10)</f>
        <v>0</v>
      </c>
      <c r="P252" s="783">
        <f>Gegenstände!AA252*10</f>
        <v>0</v>
      </c>
      <c r="Q252" s="783">
        <f>Gegenstände!O252</f>
        <v>2</v>
      </c>
      <c r="R252" s="168">
        <f>Gegenstände!S252</f>
        <v>42</v>
      </c>
      <c r="S252" s="168">
        <f>Gegenstände!T252</f>
        <v>70</v>
      </c>
      <c r="T252" s="783">
        <f>Gegenstände!AC252</f>
        <v>0</v>
      </c>
      <c r="U252" s="783">
        <f>Gegenstände!AE252</f>
        <v>0</v>
      </c>
      <c r="V252" s="783">
        <f>Gegenstände!AD252</f>
        <v>0</v>
      </c>
      <c r="W252" s="783">
        <f>Gegenstände!AF252</f>
        <v>0</v>
      </c>
      <c r="AB252" s="3">
        <f>Gegenstände!M252</f>
        <v>2</v>
      </c>
      <c r="AC252" s="3">
        <f>Gegenstände!AB252</f>
        <v>0</v>
      </c>
      <c r="AD252" s="3">
        <f>Gegenstände!F252</f>
        <v>0</v>
      </c>
    </row>
    <row r="253" spans="1:30" x14ac:dyDescent="0.2">
      <c r="A253" s="3">
        <f>Gegenstände!A253</f>
        <v>1143</v>
      </c>
      <c r="B253" s="3" t="str">
        <f>Gegenstände!B253</f>
        <v>Prunkaxt</v>
      </c>
      <c r="D253" s="3">
        <f>Gegenstände!K253</f>
        <v>5000</v>
      </c>
      <c r="E253" s="3">
        <f>Gegenstände!I253</f>
        <v>2</v>
      </c>
      <c r="F253" s="3">
        <f>VLOOKUP(Gegenstände!E253,Berechnungen!$E$87:$F$115,2,FALSE)</f>
        <v>5</v>
      </c>
      <c r="G253" s="3">
        <f>Gegenstände!H253</f>
        <v>1</v>
      </c>
      <c r="H253" s="3">
        <f>Gegenstände!G253</f>
        <v>3</v>
      </c>
      <c r="I253" s="3">
        <f>Gegenstände!D253</f>
        <v>12</v>
      </c>
      <c r="J253" s="168">
        <f>ROUND(Gegenstände!N253,0)</f>
        <v>9300</v>
      </c>
      <c r="K253" s="3">
        <f>Gegenstände!J253</f>
        <v>100</v>
      </c>
      <c r="L253" s="3">
        <f>Gegenstände!L253</f>
        <v>0</v>
      </c>
      <c r="M253" s="3">
        <f>Gegenstände!Z253</f>
        <v>0</v>
      </c>
      <c r="N253" s="783">
        <f>(Gegenstände!Y253*10)</f>
        <v>0</v>
      </c>
      <c r="O253" s="783">
        <f>(Gegenstände!W253*10)</f>
        <v>0</v>
      </c>
      <c r="P253" s="783">
        <f>Gegenstände!AA253*10</f>
        <v>0</v>
      </c>
      <c r="Q253" s="783">
        <f>Gegenstände!O253</f>
        <v>2</v>
      </c>
      <c r="R253" s="168">
        <f>Gegenstände!S253</f>
        <v>49</v>
      </c>
      <c r="S253" s="168">
        <f>Gegenstände!T253</f>
        <v>81</v>
      </c>
      <c r="T253" s="783">
        <f>Gegenstände!AC253</f>
        <v>0</v>
      </c>
      <c r="U253" s="783">
        <f>Gegenstände!AE253</f>
        <v>0</v>
      </c>
      <c r="V253" s="783">
        <f>Gegenstände!AD253</f>
        <v>0</v>
      </c>
      <c r="W253" s="783">
        <f>Gegenstände!AF253</f>
        <v>0</v>
      </c>
      <c r="AB253" s="3">
        <f>Gegenstände!M253</f>
        <v>3</v>
      </c>
      <c r="AC253" s="3">
        <f>Gegenstände!AB253</f>
        <v>0</v>
      </c>
      <c r="AD253" s="3">
        <f>Gegenstände!F253</f>
        <v>0</v>
      </c>
    </row>
    <row r="254" spans="1:30" x14ac:dyDescent="0.2">
      <c r="A254" s="3">
        <f>Gegenstände!A254</f>
        <v>1144</v>
      </c>
      <c r="B254" s="3" t="str">
        <f>Gegenstände!B254</f>
        <v>Heldenaxt</v>
      </c>
      <c r="D254" s="3">
        <f>Gegenstände!K254</f>
        <v>5300</v>
      </c>
      <c r="E254" s="3">
        <f>Gegenstände!I254</f>
        <v>2</v>
      </c>
      <c r="F254" s="3">
        <f>VLOOKUP(Gegenstände!E254,Berechnungen!$E$87:$F$115,2,FALSE)</f>
        <v>5</v>
      </c>
      <c r="G254" s="3">
        <f>Gegenstände!H254</f>
        <v>1</v>
      </c>
      <c r="H254" s="3">
        <f>Gegenstände!G254</f>
        <v>3</v>
      </c>
      <c r="I254" s="3">
        <f>Gegenstände!D254</f>
        <v>15</v>
      </c>
      <c r="J254" s="168">
        <f>ROUND(Gegenstände!N254,0)</f>
        <v>14200</v>
      </c>
      <c r="K254" s="3">
        <f>Gegenstände!J254</f>
        <v>100</v>
      </c>
      <c r="L254" s="3">
        <f>Gegenstände!L254</f>
        <v>0</v>
      </c>
      <c r="M254" s="3">
        <f>Gegenstände!Z254</f>
        <v>0</v>
      </c>
      <c r="N254" s="783">
        <f>(Gegenstände!Y254*10)</f>
        <v>0</v>
      </c>
      <c r="O254" s="783">
        <f>(Gegenstände!W254*10)</f>
        <v>0</v>
      </c>
      <c r="P254" s="783">
        <f>Gegenstände!AA254*10</f>
        <v>0</v>
      </c>
      <c r="Q254" s="783">
        <f>Gegenstände!O254</f>
        <v>2</v>
      </c>
      <c r="R254" s="168">
        <f>Gegenstände!S254</f>
        <v>59</v>
      </c>
      <c r="S254" s="168">
        <f>Gegenstände!T254</f>
        <v>99</v>
      </c>
      <c r="T254" s="783">
        <f>Gegenstände!AC254</f>
        <v>0</v>
      </c>
      <c r="U254" s="783">
        <f>Gegenstände!AE254</f>
        <v>0</v>
      </c>
      <c r="V254" s="783">
        <f>Gegenstände!AD254</f>
        <v>0</v>
      </c>
      <c r="W254" s="783">
        <f>Gegenstände!AF254</f>
        <v>0</v>
      </c>
      <c r="AB254" s="3">
        <f>Gegenstände!M254</f>
        <v>3</v>
      </c>
      <c r="AC254" s="3">
        <f>Gegenstände!AB254</f>
        <v>0</v>
      </c>
      <c r="AD254" s="3">
        <f>Gegenstände!F254</f>
        <v>0</v>
      </c>
    </row>
    <row r="255" spans="1:30" x14ac:dyDescent="0.2">
      <c r="A255" s="3">
        <f>Gegenstände!A255</f>
        <v>1145</v>
      </c>
      <c r="B255" s="3" t="str">
        <f>Gegenstände!B255</f>
        <v>Sonnensichel</v>
      </c>
      <c r="D255" s="3">
        <f>Gegenstände!K255</f>
        <v>4900</v>
      </c>
      <c r="E255" s="3">
        <f>Gegenstände!I255</f>
        <v>2</v>
      </c>
      <c r="F255" s="3">
        <f>VLOOKUP(Gegenstände!E255,Berechnungen!$E$87:$F$115,2,FALSE)</f>
        <v>5</v>
      </c>
      <c r="G255" s="3">
        <f>Gegenstände!H255</f>
        <v>1</v>
      </c>
      <c r="H255" s="3">
        <f>Gegenstände!G255</f>
        <v>3</v>
      </c>
      <c r="I255" s="3">
        <f>Gegenstände!D255</f>
        <v>17</v>
      </c>
      <c r="J255" s="168">
        <f>ROUND(Gegenstände!N255,0)</f>
        <v>18700</v>
      </c>
      <c r="K255" s="3">
        <f>Gegenstände!J255</f>
        <v>100</v>
      </c>
      <c r="L255" s="3">
        <f>Gegenstände!L255</f>
        <v>0</v>
      </c>
      <c r="M255" s="3">
        <f>Gegenstände!Z255</f>
        <v>0</v>
      </c>
      <c r="N255" s="783">
        <f>(Gegenstände!Y255*10)</f>
        <v>0</v>
      </c>
      <c r="O255" s="783">
        <f>(Gegenstände!W255*10)</f>
        <v>0</v>
      </c>
      <c r="P255" s="783">
        <f>Gegenstände!AA255*10</f>
        <v>0</v>
      </c>
      <c r="Q255" s="783">
        <f>Gegenstände!O255</f>
        <v>2</v>
      </c>
      <c r="R255" s="168">
        <f>Gegenstände!S255</f>
        <v>67</v>
      </c>
      <c r="S255" s="168">
        <f>Gegenstände!T255</f>
        <v>111</v>
      </c>
      <c r="T255" s="783">
        <f>Gegenstände!AC255</f>
        <v>0</v>
      </c>
      <c r="U255" s="783">
        <f>Gegenstände!AE255</f>
        <v>0</v>
      </c>
      <c r="V255" s="783">
        <f>Gegenstände!AD255</f>
        <v>0</v>
      </c>
      <c r="W255" s="783">
        <f>Gegenstände!AF255</f>
        <v>0</v>
      </c>
      <c r="AB255" s="3">
        <f>Gegenstände!M255</f>
        <v>4</v>
      </c>
      <c r="AC255" s="3">
        <f>Gegenstände!AB255</f>
        <v>0</v>
      </c>
      <c r="AD255" s="3">
        <f>Gegenstände!F255</f>
        <v>0</v>
      </c>
    </row>
    <row r="256" spans="1:30" x14ac:dyDescent="0.2">
      <c r="A256" s="3">
        <f>Gegenstände!A256</f>
        <v>1146</v>
      </c>
      <c r="B256" s="3" t="str">
        <f>Gegenstände!B256</f>
        <v>Kampfschnitter</v>
      </c>
      <c r="D256" s="3">
        <f>Gegenstände!K256</f>
        <v>5100</v>
      </c>
      <c r="E256" s="3">
        <f>Gegenstände!I256</f>
        <v>2</v>
      </c>
      <c r="F256" s="3">
        <f>VLOOKUP(Gegenstände!E256,Berechnungen!$E$87:$F$115,2,FALSE)</f>
        <v>5</v>
      </c>
      <c r="G256" s="3">
        <f>Gegenstände!H256</f>
        <v>1</v>
      </c>
      <c r="H256" s="3">
        <f>Gegenstände!G256</f>
        <v>3</v>
      </c>
      <c r="I256" s="3">
        <f>Gegenstände!D256</f>
        <v>20</v>
      </c>
      <c r="J256" s="168">
        <f>ROUND(Gegenstände!N256,0)</f>
        <v>28500</v>
      </c>
      <c r="K256" s="3">
        <f>Gegenstände!J256</f>
        <v>100</v>
      </c>
      <c r="L256" s="3">
        <f>Gegenstände!L256</f>
        <v>0</v>
      </c>
      <c r="M256" s="3">
        <f>Gegenstände!Z256</f>
        <v>0</v>
      </c>
      <c r="N256" s="783">
        <f>(Gegenstände!Y256*10)</f>
        <v>0</v>
      </c>
      <c r="O256" s="783">
        <f>(Gegenstände!W256*10)</f>
        <v>0</v>
      </c>
      <c r="P256" s="783">
        <f>Gegenstände!AA256*10</f>
        <v>0</v>
      </c>
      <c r="Q256" s="783">
        <f>Gegenstände!O256</f>
        <v>2</v>
      </c>
      <c r="R256" s="168">
        <f>Gegenstände!S256</f>
        <v>78</v>
      </c>
      <c r="S256" s="168">
        <f>Gegenstände!T256</f>
        <v>131</v>
      </c>
      <c r="T256" s="783">
        <f>Gegenstände!AC256</f>
        <v>0</v>
      </c>
      <c r="U256" s="783">
        <f>Gegenstände!AE256</f>
        <v>0</v>
      </c>
      <c r="V256" s="783">
        <f>Gegenstände!AD256</f>
        <v>0</v>
      </c>
      <c r="W256" s="783">
        <f>Gegenstände!AF256</f>
        <v>0</v>
      </c>
      <c r="AB256" s="3">
        <f>Gegenstände!M256</f>
        <v>4</v>
      </c>
      <c r="AC256" s="3">
        <f>Gegenstände!AB256</f>
        <v>0</v>
      </c>
      <c r="AD256" s="3">
        <f>Gegenstände!F256</f>
        <v>0</v>
      </c>
    </row>
    <row r="257" spans="1:30" x14ac:dyDescent="0.2">
      <c r="A257" s="3">
        <f>Gegenstände!A257</f>
        <v>1147</v>
      </c>
      <c r="B257" s="3" t="str">
        <f>Gegenstände!B257</f>
        <v>Berserkeraxt</v>
      </c>
      <c r="D257" s="3">
        <f>Gegenstände!K257</f>
        <v>5400</v>
      </c>
      <c r="E257" s="3">
        <f>Gegenstände!I257</f>
        <v>2</v>
      </c>
      <c r="F257" s="3">
        <f>VLOOKUP(Gegenstände!E257,Berechnungen!$E$87:$F$115,2,FALSE)</f>
        <v>5</v>
      </c>
      <c r="G257" s="3">
        <f>Gegenstände!H257</f>
        <v>1</v>
      </c>
      <c r="H257" s="3">
        <f>Gegenstände!G257</f>
        <v>3</v>
      </c>
      <c r="I257" s="3">
        <f>Gegenstände!D257</f>
        <v>22</v>
      </c>
      <c r="J257" s="168">
        <f>ROUND(Gegenstände!N257,0)</f>
        <v>37600</v>
      </c>
      <c r="K257" s="3">
        <f>Gegenstände!J257</f>
        <v>100</v>
      </c>
      <c r="L257" s="3">
        <f>Gegenstände!L257</f>
        <v>0</v>
      </c>
      <c r="M257" s="3">
        <f>Gegenstände!Z257</f>
        <v>0</v>
      </c>
      <c r="N257" s="783">
        <f>(Gegenstände!Y257*10)</f>
        <v>0</v>
      </c>
      <c r="O257" s="783">
        <f>(Gegenstände!W257*10)</f>
        <v>0</v>
      </c>
      <c r="P257" s="783">
        <f>Gegenstände!AA257*10</f>
        <v>0</v>
      </c>
      <c r="Q257" s="783">
        <f>Gegenstände!O257</f>
        <v>2</v>
      </c>
      <c r="R257" s="168">
        <f>Gegenstände!S257</f>
        <v>87</v>
      </c>
      <c r="S257" s="168">
        <f>Gegenstände!T257</f>
        <v>144</v>
      </c>
      <c r="T257" s="783">
        <f>Gegenstände!AC257</f>
        <v>0</v>
      </c>
      <c r="U257" s="783">
        <f>Gegenstände!AE257</f>
        <v>0</v>
      </c>
      <c r="V257" s="783">
        <f>Gegenstände!AD257</f>
        <v>0</v>
      </c>
      <c r="W257" s="783">
        <f>Gegenstände!AF257</f>
        <v>0</v>
      </c>
      <c r="AB257" s="3">
        <f>Gegenstände!M257</f>
        <v>5</v>
      </c>
      <c r="AC257" s="3">
        <f>Gegenstände!AB257</f>
        <v>0</v>
      </c>
      <c r="AD257" s="3">
        <f>Gegenstände!F257</f>
        <v>0</v>
      </c>
    </row>
    <row r="258" spans="1:30" x14ac:dyDescent="0.2">
      <c r="A258" s="3">
        <f>Gegenstände!A258</f>
        <v>1148</v>
      </c>
      <c r="B258" s="3" t="str">
        <f>Gegenstände!B258</f>
        <v>Tyrannenaxt</v>
      </c>
      <c r="D258" s="3">
        <f>Gegenstände!K258</f>
        <v>5200</v>
      </c>
      <c r="E258" s="3">
        <f>Gegenstände!I258</f>
        <v>2</v>
      </c>
      <c r="F258" s="3">
        <f>VLOOKUP(Gegenstände!E258,Berechnungen!$E$87:$F$115,2,FALSE)</f>
        <v>5</v>
      </c>
      <c r="G258" s="3">
        <f>Gegenstände!H258</f>
        <v>1</v>
      </c>
      <c r="H258" s="3">
        <f>Gegenstände!G258</f>
        <v>3</v>
      </c>
      <c r="I258" s="3">
        <f>Gegenstände!D258</f>
        <v>25</v>
      </c>
      <c r="J258" s="168">
        <f>ROUND(Gegenstände!N258,0)</f>
        <v>57300</v>
      </c>
      <c r="K258" s="3">
        <f>Gegenstände!J258</f>
        <v>100</v>
      </c>
      <c r="L258" s="3">
        <f>Gegenstände!L258</f>
        <v>0</v>
      </c>
      <c r="M258" s="3">
        <f>Gegenstände!Z258</f>
        <v>0</v>
      </c>
      <c r="N258" s="783">
        <f>(Gegenstände!Y258*10)</f>
        <v>0</v>
      </c>
      <c r="O258" s="783">
        <f>(Gegenstände!W258*10)</f>
        <v>0</v>
      </c>
      <c r="P258" s="783">
        <f>Gegenstände!AA258*10</f>
        <v>0</v>
      </c>
      <c r="Q258" s="783">
        <f>Gegenstände!O258</f>
        <v>2</v>
      </c>
      <c r="R258" s="168">
        <f>Gegenstände!S258</f>
        <v>99</v>
      </c>
      <c r="S258" s="168">
        <f>Gegenstände!T258</f>
        <v>166</v>
      </c>
      <c r="T258" s="783">
        <f>Gegenstände!AC258</f>
        <v>0</v>
      </c>
      <c r="U258" s="783">
        <f>Gegenstände!AE258</f>
        <v>0</v>
      </c>
      <c r="V258" s="783">
        <f>Gegenstände!AD258</f>
        <v>0</v>
      </c>
      <c r="W258" s="783">
        <f>Gegenstände!AF258</f>
        <v>0</v>
      </c>
      <c r="AB258" s="3">
        <f>Gegenstände!M258</f>
        <v>5</v>
      </c>
      <c r="AC258" s="3">
        <f>Gegenstände!AB258</f>
        <v>0</v>
      </c>
      <c r="AD258" s="3">
        <f>Gegenstände!F258</f>
        <v>0</v>
      </c>
    </row>
    <row r="259" spans="1:30" x14ac:dyDescent="0.2">
      <c r="A259" s="3">
        <f>Gegenstände!A259</f>
        <v>2141</v>
      </c>
      <c r="B259" s="3" t="str">
        <f>Gegenstände!B259</f>
        <v>Quarz-Prunkaxt</v>
      </c>
      <c r="D259" s="3">
        <f>Gegenstände!K259</f>
        <v>4800</v>
      </c>
      <c r="E259" s="3">
        <f>Gegenstände!I259</f>
        <v>2</v>
      </c>
      <c r="F259" s="3">
        <f>VLOOKUP(Gegenstände!E259,Berechnungen!$E$87:$F$115,2,FALSE)</f>
        <v>5</v>
      </c>
      <c r="G259" s="3">
        <f>Gegenstände!H259</f>
        <v>2</v>
      </c>
      <c r="H259" s="3">
        <f>Gegenstände!G259</f>
        <v>3</v>
      </c>
      <c r="I259" s="3">
        <f>Gegenstände!D259</f>
        <v>10</v>
      </c>
      <c r="J259" s="168">
        <f>ROUND(Gegenstände!N259,0)</f>
        <v>12000</v>
      </c>
      <c r="K259" s="3">
        <f>Gegenstände!J259</f>
        <v>100</v>
      </c>
      <c r="L259" s="3">
        <f>Gegenstände!L259</f>
        <v>0</v>
      </c>
      <c r="M259" s="3">
        <f>Gegenstände!Z259</f>
        <v>0</v>
      </c>
      <c r="N259" s="783">
        <f>(Gegenstände!Y259*10)</f>
        <v>0</v>
      </c>
      <c r="O259" s="783">
        <f>(Gegenstände!W259*10)</f>
        <v>0</v>
      </c>
      <c r="P259" s="783">
        <f>Gegenstände!AA259*10</f>
        <v>0</v>
      </c>
      <c r="Q259" s="783">
        <f>Gegenstände!O259</f>
        <v>2</v>
      </c>
      <c r="R259" s="168">
        <f>Gegenstände!S259</f>
        <v>52</v>
      </c>
      <c r="S259" s="168">
        <f>Gegenstände!T259</f>
        <v>87</v>
      </c>
      <c r="T259" s="783">
        <f>Gegenstände!AC259</f>
        <v>0</v>
      </c>
      <c r="U259" s="783">
        <f>Gegenstände!AE259</f>
        <v>0</v>
      </c>
      <c r="V259" s="783">
        <f>Gegenstände!AD259</f>
        <v>0</v>
      </c>
      <c r="W259" s="783">
        <f>Gegenstände!AF259</f>
        <v>0</v>
      </c>
      <c r="AB259" s="3">
        <f>Gegenstände!M259</f>
        <v>0</v>
      </c>
      <c r="AC259" s="3">
        <f>Gegenstände!AB259</f>
        <v>0</v>
      </c>
      <c r="AD259" s="3">
        <f>Gegenstände!F259</f>
        <v>0</v>
      </c>
    </row>
    <row r="260" spans="1:30" x14ac:dyDescent="0.2">
      <c r="A260" s="3">
        <f>Gegenstände!A260</f>
        <v>2142</v>
      </c>
      <c r="B260" s="3" t="str">
        <f>Gegenstände!B260</f>
        <v>Smaragd-Prunkaxt</v>
      </c>
      <c r="D260" s="3">
        <f>Gegenstände!K260</f>
        <v>5100</v>
      </c>
      <c r="E260" s="3">
        <f>Gegenstände!I260</f>
        <v>2</v>
      </c>
      <c r="F260" s="3">
        <f>VLOOKUP(Gegenstände!E260,Berechnungen!$E$87:$F$115,2,FALSE)</f>
        <v>5</v>
      </c>
      <c r="G260" s="3">
        <f>Gegenstände!H260</f>
        <v>2</v>
      </c>
      <c r="H260" s="3">
        <f>Gegenstände!G260</f>
        <v>3</v>
      </c>
      <c r="I260" s="3">
        <f>Gegenstände!D260</f>
        <v>15</v>
      </c>
      <c r="J260" s="168">
        <f>ROUND(Gegenstände!N260,0)</f>
        <v>24200</v>
      </c>
      <c r="K260" s="3">
        <f>Gegenstände!J260</f>
        <v>100</v>
      </c>
      <c r="L260" s="3">
        <f>Gegenstände!L260</f>
        <v>0</v>
      </c>
      <c r="M260" s="3">
        <f>Gegenstände!Z260</f>
        <v>0</v>
      </c>
      <c r="N260" s="783">
        <f>(Gegenstände!Y260*10)</f>
        <v>0</v>
      </c>
      <c r="O260" s="783">
        <f>(Gegenstände!W260*10)</f>
        <v>0</v>
      </c>
      <c r="P260" s="783">
        <f>Gegenstände!AA260*10</f>
        <v>0</v>
      </c>
      <c r="Q260" s="783">
        <f>Gegenstände!O260</f>
        <v>2</v>
      </c>
      <c r="R260" s="168">
        <f>Gegenstände!S260</f>
        <v>71</v>
      </c>
      <c r="S260" s="168">
        <f>Gegenstände!T260</f>
        <v>118</v>
      </c>
      <c r="T260" s="783">
        <f>Gegenstände!AC260</f>
        <v>0</v>
      </c>
      <c r="U260" s="783">
        <f>Gegenstände!AE260</f>
        <v>0</v>
      </c>
      <c r="V260" s="783">
        <f>Gegenstände!AD260</f>
        <v>0</v>
      </c>
      <c r="W260" s="783">
        <f>Gegenstände!AF260</f>
        <v>0</v>
      </c>
      <c r="AB260" s="3">
        <f>Gegenstände!M260</f>
        <v>0</v>
      </c>
      <c r="AC260" s="3">
        <f>Gegenstände!AB260</f>
        <v>0</v>
      </c>
      <c r="AD260" s="3">
        <f>Gegenstände!F260</f>
        <v>0</v>
      </c>
    </row>
    <row r="261" spans="1:30" x14ac:dyDescent="0.2">
      <c r="A261" s="3">
        <f>Gegenstände!A261</f>
        <v>2143</v>
      </c>
      <c r="B261" s="3" t="str">
        <f>Gegenstände!B261</f>
        <v>Rubin-Prunkaxt</v>
      </c>
      <c r="D261" s="3">
        <f>Gegenstände!K261</f>
        <v>5000</v>
      </c>
      <c r="E261" s="3">
        <f>Gegenstände!I261</f>
        <v>2</v>
      </c>
      <c r="F261" s="3">
        <f>VLOOKUP(Gegenstände!E261,Berechnungen!$E$87:$F$115,2,FALSE)</f>
        <v>5</v>
      </c>
      <c r="G261" s="3">
        <f>Gegenstände!H261</f>
        <v>2</v>
      </c>
      <c r="H261" s="3">
        <f>Gegenstände!G261</f>
        <v>3</v>
      </c>
      <c r="I261" s="3">
        <f>Gegenstände!D261</f>
        <v>20</v>
      </c>
      <c r="J261" s="168">
        <f>ROUND(Gegenstände!N261,0)</f>
        <v>46000</v>
      </c>
      <c r="K261" s="3">
        <f>Gegenstände!J261</f>
        <v>100</v>
      </c>
      <c r="L261" s="3">
        <f>Gegenstände!L261</f>
        <v>0</v>
      </c>
      <c r="M261" s="3">
        <f>Gegenstände!Z261</f>
        <v>0</v>
      </c>
      <c r="N261" s="783">
        <f>(Gegenstände!Y261*10)</f>
        <v>0</v>
      </c>
      <c r="O261" s="783">
        <f>(Gegenstände!W261*10)</f>
        <v>0</v>
      </c>
      <c r="P261" s="783">
        <f>Gegenstände!AA261*10</f>
        <v>0</v>
      </c>
      <c r="Q261" s="783">
        <f>Gegenstände!O261</f>
        <v>2</v>
      </c>
      <c r="R261" s="168">
        <f>Gegenstände!S261</f>
        <v>91</v>
      </c>
      <c r="S261" s="168">
        <f>Gegenstände!T261</f>
        <v>151</v>
      </c>
      <c r="T261" s="783">
        <f>Gegenstände!AC261</f>
        <v>0</v>
      </c>
      <c r="U261" s="783">
        <f>Gegenstände!AE261</f>
        <v>0</v>
      </c>
      <c r="V261" s="783">
        <f>Gegenstände!AD261</f>
        <v>0</v>
      </c>
      <c r="W261" s="783">
        <f>Gegenstände!AF261</f>
        <v>0</v>
      </c>
      <c r="AB261" s="3">
        <f>Gegenstände!M261</f>
        <v>0</v>
      </c>
      <c r="AC261" s="3">
        <f>Gegenstände!AB261</f>
        <v>0</v>
      </c>
      <c r="AD261" s="3">
        <f>Gegenstände!F261</f>
        <v>0</v>
      </c>
    </row>
    <row r="262" spans="1:30" x14ac:dyDescent="0.2">
      <c r="A262" s="3">
        <f>Gegenstände!A262</f>
        <v>2144</v>
      </c>
      <c r="B262" s="3" t="str">
        <f>Gegenstände!B262</f>
        <v>Obsidian-Prunkaxt</v>
      </c>
      <c r="D262" s="3">
        <f>Gegenstände!K262</f>
        <v>5300</v>
      </c>
      <c r="E262" s="3">
        <f>Gegenstände!I262</f>
        <v>2</v>
      </c>
      <c r="F262" s="3">
        <f>VLOOKUP(Gegenstände!E262,Berechnungen!$E$87:$F$115,2,FALSE)</f>
        <v>5</v>
      </c>
      <c r="G262" s="3">
        <f>Gegenstände!H262</f>
        <v>2</v>
      </c>
      <c r="H262" s="3">
        <f>Gegenstände!G262</f>
        <v>3</v>
      </c>
      <c r="I262" s="3">
        <f>Gegenstände!D262</f>
        <v>25</v>
      </c>
      <c r="J262" s="168">
        <f>ROUND(Gegenstände!N262,0)</f>
        <v>82300</v>
      </c>
      <c r="K262" s="3">
        <f>Gegenstände!J262</f>
        <v>100</v>
      </c>
      <c r="L262" s="3">
        <f>Gegenstände!L262</f>
        <v>0</v>
      </c>
      <c r="M262" s="3">
        <f>Gegenstände!Z262</f>
        <v>0</v>
      </c>
      <c r="N262" s="783">
        <f>(Gegenstände!Y262*10)</f>
        <v>0</v>
      </c>
      <c r="O262" s="783">
        <f>(Gegenstände!W262*10)</f>
        <v>0</v>
      </c>
      <c r="P262" s="783">
        <f>Gegenstände!AA262*10</f>
        <v>0</v>
      </c>
      <c r="Q262" s="783">
        <f>Gegenstände!O262</f>
        <v>2</v>
      </c>
      <c r="R262" s="168">
        <f>Gegenstände!S262</f>
        <v>113</v>
      </c>
      <c r="S262" s="168">
        <f>Gegenstände!T262</f>
        <v>188</v>
      </c>
      <c r="T262" s="783">
        <f>Gegenstände!AC262</f>
        <v>0</v>
      </c>
      <c r="U262" s="783">
        <f>Gegenstände!AE262</f>
        <v>0</v>
      </c>
      <c r="V262" s="783">
        <f>Gegenstände!AD262</f>
        <v>0</v>
      </c>
      <c r="W262" s="783">
        <f>Gegenstände!AF262</f>
        <v>0</v>
      </c>
      <c r="AB262" s="3">
        <f>Gegenstände!M262</f>
        <v>0</v>
      </c>
      <c r="AC262" s="3">
        <f>Gegenstände!AB262</f>
        <v>0</v>
      </c>
      <c r="AD262" s="3">
        <f>Gegenstände!F262</f>
        <v>0</v>
      </c>
    </row>
    <row r="263" spans="1:30" x14ac:dyDescent="0.2">
      <c r="A263" s="3">
        <f>Gegenstände!A263</f>
        <v>0</v>
      </c>
      <c r="B263" s="3" t="str">
        <f>Gegenstände!B263</f>
        <v>Keulen</v>
      </c>
      <c r="D263" s="3">
        <f>Gegenstände!K263</f>
        <v>0</v>
      </c>
      <c r="E263" s="3">
        <f>Gegenstände!I263</f>
        <v>0</v>
      </c>
      <c r="F263" s="3" t="e">
        <f>VLOOKUP(Gegenstände!E263,Berechnungen!$E$87:$F$115,2,FALSE)</f>
        <v>#N/A</v>
      </c>
      <c r="G263" s="3">
        <f>Gegenstände!H263</f>
        <v>0</v>
      </c>
      <c r="H263" s="3">
        <f>Gegenstände!G263</f>
        <v>0</v>
      </c>
      <c r="I263" s="3">
        <f>Gegenstände!D263</f>
        <v>0</v>
      </c>
      <c r="J263" s="168">
        <f>ROUND(Gegenstände!N263,0)</f>
        <v>0</v>
      </c>
      <c r="K263" s="3">
        <f>Gegenstände!J263</f>
        <v>0</v>
      </c>
      <c r="L263" s="3">
        <f>Gegenstände!L263</f>
        <v>0</v>
      </c>
      <c r="M263" s="3">
        <f>Gegenstände!Z263</f>
        <v>0</v>
      </c>
      <c r="N263" s="783">
        <f>(Gegenstände!Y263*10)</f>
        <v>0</v>
      </c>
      <c r="O263" s="783">
        <f>(Gegenstände!W263*10)</f>
        <v>0</v>
      </c>
      <c r="P263" s="783">
        <f>Gegenstände!AA263*10</f>
        <v>0</v>
      </c>
      <c r="Q263" s="783">
        <f>Gegenstände!O263</f>
        <v>3</v>
      </c>
      <c r="R263" s="168">
        <f>Gegenstände!S263</f>
        <v>0</v>
      </c>
      <c r="S263" s="168">
        <f>Gegenstände!T263</f>
        <v>0</v>
      </c>
      <c r="T263" s="783">
        <f>Gegenstände!AC263</f>
        <v>0</v>
      </c>
      <c r="U263" s="783">
        <f>Gegenstände!AE263</f>
        <v>0</v>
      </c>
      <c r="V263" s="783">
        <f>Gegenstände!AD263</f>
        <v>0</v>
      </c>
      <c r="W263" s="783">
        <f>Gegenstände!AF263</f>
        <v>0</v>
      </c>
      <c r="AB263" s="3">
        <f>Gegenstände!M263</f>
        <v>0</v>
      </c>
      <c r="AC263" s="3">
        <f>Gegenstände!AB263</f>
        <v>0</v>
      </c>
      <c r="AD263" s="3">
        <f>Gegenstände!F263</f>
        <v>0</v>
      </c>
    </row>
    <row r="264" spans="1:30" x14ac:dyDescent="0.2">
      <c r="A264" s="3">
        <f>Gegenstände!A264</f>
        <v>1151</v>
      </c>
      <c r="B264" s="3" t="str">
        <f>Gegenstände!B264</f>
        <v>Knüppel</v>
      </c>
      <c r="D264" s="3">
        <f>Gegenstände!K264</f>
        <v>3000</v>
      </c>
      <c r="E264" s="3">
        <f>Gegenstände!I264</f>
        <v>1</v>
      </c>
      <c r="F264" s="3">
        <f>VLOOKUP(Gegenstände!E264,Berechnungen!$E$87:$F$115,2,FALSE)</f>
        <v>6</v>
      </c>
      <c r="G264" s="3">
        <f>Gegenstände!H264</f>
        <v>1</v>
      </c>
      <c r="H264" s="3">
        <f>Gegenstände!G264</f>
        <v>4</v>
      </c>
      <c r="I264" s="3">
        <f>Gegenstände!D264</f>
        <v>1</v>
      </c>
      <c r="J264" s="168">
        <f>ROUND(Gegenstände!N264,0)</f>
        <v>1200</v>
      </c>
      <c r="K264" s="3">
        <f>Gegenstände!J264</f>
        <v>100</v>
      </c>
      <c r="L264" s="3">
        <f>Gegenstände!L264</f>
        <v>0</v>
      </c>
      <c r="M264" s="3">
        <f>Gegenstände!Z264</f>
        <v>0</v>
      </c>
      <c r="N264" s="783">
        <f>(Gegenstände!Y264*10)</f>
        <v>0</v>
      </c>
      <c r="O264" s="783">
        <f>(Gegenstände!W264*10)</f>
        <v>0</v>
      </c>
      <c r="P264" s="783">
        <f>Gegenstände!AA264*10</f>
        <v>0</v>
      </c>
      <c r="Q264" s="783">
        <f>Gegenstände!O264</f>
        <v>3</v>
      </c>
      <c r="R264" s="168">
        <f>Gegenstände!S264</f>
        <v>7</v>
      </c>
      <c r="S264" s="168">
        <f>Gegenstände!T264</f>
        <v>17</v>
      </c>
      <c r="T264" s="783">
        <f>Gegenstände!AC264</f>
        <v>0</v>
      </c>
      <c r="U264" s="783">
        <f>Gegenstände!AE264</f>
        <v>0</v>
      </c>
      <c r="V264" s="783">
        <f>Gegenstände!AD264</f>
        <v>0</v>
      </c>
      <c r="W264" s="783">
        <f>Gegenstände!AF264</f>
        <v>0</v>
      </c>
      <c r="AB264" s="3">
        <f>Gegenstände!M264</f>
        <v>1</v>
      </c>
      <c r="AC264" s="3">
        <f>Gegenstände!AB264</f>
        <v>0</v>
      </c>
      <c r="AD264" s="3">
        <f>Gegenstände!F264</f>
        <v>0</v>
      </c>
    </row>
    <row r="265" spans="1:30" x14ac:dyDescent="0.2">
      <c r="A265" s="3">
        <f>Gegenstände!A265</f>
        <v>1152</v>
      </c>
      <c r="B265" s="3" t="str">
        <f>Gegenstände!B265</f>
        <v>Hammer</v>
      </c>
      <c r="D265" s="3">
        <f>Gegenstände!K265</f>
        <v>3200</v>
      </c>
      <c r="E265" s="3">
        <f>Gegenstände!I265</f>
        <v>1</v>
      </c>
      <c r="F265" s="3">
        <f>VLOOKUP(Gegenstände!E265,Berechnungen!$E$87:$F$115,2,FALSE)</f>
        <v>6</v>
      </c>
      <c r="G265" s="3">
        <f>Gegenstände!H265</f>
        <v>1</v>
      </c>
      <c r="H265" s="3">
        <f>Gegenstände!G265</f>
        <v>4</v>
      </c>
      <c r="I265" s="3">
        <f>Gegenstände!D265</f>
        <v>4</v>
      </c>
      <c r="J265" s="168">
        <f>ROUND(Gegenstände!N265,0)</f>
        <v>1800</v>
      </c>
      <c r="K265" s="3">
        <f>Gegenstände!J265</f>
        <v>100</v>
      </c>
      <c r="L265" s="3">
        <f>Gegenstände!L265</f>
        <v>0</v>
      </c>
      <c r="M265" s="3">
        <f>Gegenstände!Z265</f>
        <v>0</v>
      </c>
      <c r="N265" s="783">
        <f>(Gegenstände!Y265*10)</f>
        <v>0</v>
      </c>
      <c r="O265" s="783">
        <f>(Gegenstände!W265*10)</f>
        <v>0</v>
      </c>
      <c r="P265" s="783">
        <f>Gegenstände!AA265*10</f>
        <v>0</v>
      </c>
      <c r="Q265" s="783">
        <f>Gegenstände!O265</f>
        <v>3</v>
      </c>
      <c r="R265" s="168">
        <f>Gegenstände!S265</f>
        <v>11</v>
      </c>
      <c r="S265" s="168">
        <f>Gegenstände!T265</f>
        <v>26</v>
      </c>
      <c r="T265" s="783">
        <f>Gegenstände!AC265</f>
        <v>0</v>
      </c>
      <c r="U265" s="783">
        <f>Gegenstände!AE265</f>
        <v>0</v>
      </c>
      <c r="V265" s="783">
        <f>Gegenstände!AD265</f>
        <v>0</v>
      </c>
      <c r="W265" s="783">
        <f>Gegenstände!AF265</f>
        <v>0</v>
      </c>
      <c r="AB265" s="3">
        <f>Gegenstände!M265</f>
        <v>1</v>
      </c>
      <c r="AC265" s="3">
        <f>Gegenstände!AB265</f>
        <v>0</v>
      </c>
      <c r="AD265" s="3">
        <f>Gegenstände!F265</f>
        <v>0</v>
      </c>
    </row>
    <row r="266" spans="1:30" x14ac:dyDescent="0.2">
      <c r="A266" s="3">
        <f>Gegenstände!A266</f>
        <v>1153</v>
      </c>
      <c r="B266" s="3" t="str">
        <f>Gegenstände!B266</f>
        <v>Streitkolben</v>
      </c>
      <c r="D266" s="3">
        <f>Gegenstände!K266</f>
        <v>3400</v>
      </c>
      <c r="E266" s="3">
        <f>Gegenstände!I266</f>
        <v>1</v>
      </c>
      <c r="F266" s="3">
        <f>VLOOKUP(Gegenstände!E266,Berechnungen!$E$87:$F$115,2,FALSE)</f>
        <v>6</v>
      </c>
      <c r="G266" s="3">
        <f>Gegenstände!H266</f>
        <v>1</v>
      </c>
      <c r="H266" s="3">
        <f>Gegenstände!G266</f>
        <v>4</v>
      </c>
      <c r="I266" s="3">
        <f>Gegenstände!D266</f>
        <v>6</v>
      </c>
      <c r="J266" s="168">
        <f>ROUND(Gegenstände!N266,0)</f>
        <v>2400</v>
      </c>
      <c r="K266" s="3">
        <f>Gegenstände!J266</f>
        <v>100</v>
      </c>
      <c r="L266" s="3">
        <f>Gegenstände!L266</f>
        <v>0</v>
      </c>
      <c r="M266" s="3">
        <f>Gegenstände!Z266</f>
        <v>0</v>
      </c>
      <c r="N266" s="783">
        <f>(Gegenstände!Y266*10)</f>
        <v>0</v>
      </c>
      <c r="O266" s="783">
        <f>(Gegenstände!W266*10)</f>
        <v>0</v>
      </c>
      <c r="P266" s="783">
        <f>Gegenstände!AA266*10</f>
        <v>0</v>
      </c>
      <c r="Q266" s="783">
        <f>Gegenstände!O266</f>
        <v>3</v>
      </c>
      <c r="R266" s="168">
        <f>Gegenstände!S266</f>
        <v>14</v>
      </c>
      <c r="S266" s="168">
        <f>Gegenstände!T266</f>
        <v>32</v>
      </c>
      <c r="T266" s="783">
        <f>Gegenstände!AC266</f>
        <v>0</v>
      </c>
      <c r="U266" s="783">
        <f>Gegenstände!AE266</f>
        <v>0</v>
      </c>
      <c r="V266" s="783">
        <f>Gegenstände!AD266</f>
        <v>0</v>
      </c>
      <c r="W266" s="783">
        <f>Gegenstände!AF266</f>
        <v>0</v>
      </c>
      <c r="AB266" s="3">
        <f>Gegenstände!M266</f>
        <v>2</v>
      </c>
      <c r="AC266" s="3">
        <f>Gegenstände!AB266</f>
        <v>0</v>
      </c>
      <c r="AD266" s="3">
        <f>Gegenstände!F266</f>
        <v>0</v>
      </c>
    </row>
    <row r="267" spans="1:30" x14ac:dyDescent="0.2">
      <c r="A267" s="3">
        <f>Gegenstände!A267</f>
        <v>1154</v>
      </c>
      <c r="B267" s="3" t="str">
        <f>Gegenstände!B267</f>
        <v>Flegel</v>
      </c>
      <c r="D267" s="3">
        <f>Gegenstände!K267</f>
        <v>3100</v>
      </c>
      <c r="E267" s="3">
        <f>Gegenstände!I267</f>
        <v>1</v>
      </c>
      <c r="F267" s="3">
        <f>VLOOKUP(Gegenstände!E267,Berechnungen!$E$87:$F$115,2,FALSE)</f>
        <v>6</v>
      </c>
      <c r="G267" s="3">
        <f>Gegenstände!H267</f>
        <v>1</v>
      </c>
      <c r="H267" s="3">
        <f>Gegenstände!G267</f>
        <v>4</v>
      </c>
      <c r="I267" s="3">
        <f>Gegenstände!D267</f>
        <v>9</v>
      </c>
      <c r="J267" s="168">
        <f>ROUND(Gegenstände!N267,0)</f>
        <v>3700</v>
      </c>
      <c r="K267" s="3">
        <f>Gegenstände!J267</f>
        <v>100</v>
      </c>
      <c r="L267" s="3">
        <f>Gegenstände!L267</f>
        <v>0</v>
      </c>
      <c r="M267" s="3">
        <f>Gegenstände!Z267</f>
        <v>0</v>
      </c>
      <c r="N267" s="783">
        <f>(Gegenstände!Y267*10)</f>
        <v>0</v>
      </c>
      <c r="O267" s="783">
        <f>(Gegenstände!W267*10)</f>
        <v>0</v>
      </c>
      <c r="P267" s="783">
        <f>Gegenstände!AA267*10</f>
        <v>0</v>
      </c>
      <c r="Q267" s="783">
        <f>Gegenstände!O267</f>
        <v>3</v>
      </c>
      <c r="R267" s="168">
        <f>Gegenstände!S267</f>
        <v>18</v>
      </c>
      <c r="S267" s="168">
        <f>Gegenstände!T267</f>
        <v>42</v>
      </c>
      <c r="T267" s="783">
        <f>Gegenstände!AC267</f>
        <v>0</v>
      </c>
      <c r="U267" s="783">
        <f>Gegenstände!AE267</f>
        <v>0</v>
      </c>
      <c r="V267" s="783">
        <f>Gegenstände!AD267</f>
        <v>0</v>
      </c>
      <c r="W267" s="783">
        <f>Gegenstände!AF267</f>
        <v>0</v>
      </c>
      <c r="AB267" s="3">
        <f>Gegenstände!M267</f>
        <v>2</v>
      </c>
      <c r="AC267" s="3">
        <f>Gegenstände!AB267</f>
        <v>0</v>
      </c>
      <c r="AD267" s="3">
        <f>Gegenstände!F267</f>
        <v>0</v>
      </c>
    </row>
    <row r="268" spans="1:30" x14ac:dyDescent="0.2">
      <c r="A268" s="3">
        <f>Gegenstände!A268</f>
        <v>1155</v>
      </c>
      <c r="B268" s="3" t="str">
        <f>Gegenstände!B268</f>
        <v>Morgenstern</v>
      </c>
      <c r="D268" s="3">
        <f>Gegenstände!K268</f>
        <v>3400</v>
      </c>
      <c r="E268" s="3">
        <f>Gegenstände!I268</f>
        <v>1</v>
      </c>
      <c r="F268" s="3">
        <f>VLOOKUP(Gegenstände!E268,Berechnungen!$E$87:$F$115,2,FALSE)</f>
        <v>6</v>
      </c>
      <c r="G268" s="3">
        <f>Gegenstände!H268</f>
        <v>1</v>
      </c>
      <c r="H268" s="3">
        <f>Gegenstände!G268</f>
        <v>4</v>
      </c>
      <c r="I268" s="3">
        <f>Gegenstände!D268</f>
        <v>11</v>
      </c>
      <c r="J268" s="168">
        <f>ROUND(Gegenstände!N268,0)</f>
        <v>4900</v>
      </c>
      <c r="K268" s="3">
        <f>Gegenstände!J268</f>
        <v>100</v>
      </c>
      <c r="L268" s="3">
        <f>Gegenstände!L268</f>
        <v>0</v>
      </c>
      <c r="M268" s="3">
        <f>Gegenstände!Z268</f>
        <v>0</v>
      </c>
      <c r="N268" s="783">
        <f>(Gegenstände!Y268*10)</f>
        <v>0</v>
      </c>
      <c r="O268" s="783">
        <f>(Gegenstände!W268*10)</f>
        <v>0</v>
      </c>
      <c r="P268" s="783">
        <f>Gegenstände!AA268*10</f>
        <v>0</v>
      </c>
      <c r="Q268" s="783">
        <f>Gegenstände!O268</f>
        <v>3</v>
      </c>
      <c r="R268" s="168">
        <f>Gegenstände!S268</f>
        <v>21</v>
      </c>
      <c r="S268" s="168">
        <f>Gegenstände!T268</f>
        <v>49</v>
      </c>
      <c r="T268" s="783">
        <f>Gegenstände!AC268</f>
        <v>0</v>
      </c>
      <c r="U268" s="783">
        <f>Gegenstände!AE268</f>
        <v>0</v>
      </c>
      <c r="V268" s="783">
        <f>Gegenstände!AD268</f>
        <v>0</v>
      </c>
      <c r="W268" s="783">
        <f>Gegenstände!AF268</f>
        <v>0</v>
      </c>
      <c r="AB268" s="3">
        <f>Gegenstände!M268</f>
        <v>3</v>
      </c>
      <c r="AC268" s="3">
        <f>Gegenstände!AB268</f>
        <v>0</v>
      </c>
      <c r="AD268" s="3">
        <f>Gegenstände!F268</f>
        <v>0</v>
      </c>
    </row>
    <row r="269" spans="1:30" x14ac:dyDescent="0.2">
      <c r="A269" s="3">
        <f>Gegenstände!A269</f>
        <v>1156</v>
      </c>
      <c r="B269" s="3" t="str">
        <f>Gegenstände!B269</f>
        <v>Kriegskolben</v>
      </c>
      <c r="D269" s="3">
        <f>Gegenstände!K269</f>
        <v>3500</v>
      </c>
      <c r="E269" s="3">
        <f>Gegenstände!I269</f>
        <v>1</v>
      </c>
      <c r="F269" s="3">
        <f>VLOOKUP(Gegenstände!E269,Berechnungen!$E$87:$F$115,2,FALSE)</f>
        <v>6</v>
      </c>
      <c r="G269" s="3">
        <f>Gegenstände!H269</f>
        <v>1</v>
      </c>
      <c r="H269" s="3">
        <f>Gegenstände!G269</f>
        <v>4</v>
      </c>
      <c r="I269" s="3">
        <f>Gegenstände!D269</f>
        <v>14</v>
      </c>
      <c r="J269" s="168">
        <f>ROUND(Gegenstände!N269,0)</f>
        <v>7400</v>
      </c>
      <c r="K269" s="3">
        <f>Gegenstände!J269</f>
        <v>100</v>
      </c>
      <c r="L269" s="3">
        <f>Gegenstände!L269</f>
        <v>0</v>
      </c>
      <c r="M269" s="3">
        <f>Gegenstände!Z269</f>
        <v>0</v>
      </c>
      <c r="N269" s="783">
        <f>(Gegenstände!Y269*10)</f>
        <v>0</v>
      </c>
      <c r="O269" s="783">
        <f>(Gegenstände!W269*10)</f>
        <v>0</v>
      </c>
      <c r="P269" s="783">
        <f>Gegenstände!AA269*10</f>
        <v>0</v>
      </c>
      <c r="Q269" s="783">
        <f>Gegenstände!O269</f>
        <v>3</v>
      </c>
      <c r="R269" s="168">
        <f>Gegenstände!S269</f>
        <v>26</v>
      </c>
      <c r="S269" s="168">
        <f>Gegenstände!T269</f>
        <v>60</v>
      </c>
      <c r="T269" s="783">
        <f>Gegenstände!AC269</f>
        <v>0</v>
      </c>
      <c r="U269" s="783">
        <f>Gegenstände!AE269</f>
        <v>0</v>
      </c>
      <c r="V269" s="783">
        <f>Gegenstände!AD269</f>
        <v>0</v>
      </c>
      <c r="W269" s="783">
        <f>Gegenstände!AF269</f>
        <v>0</v>
      </c>
      <c r="AB269" s="3">
        <f>Gegenstände!M269</f>
        <v>3</v>
      </c>
      <c r="AC269" s="3">
        <f>Gegenstände!AB269</f>
        <v>0</v>
      </c>
      <c r="AD269" s="3">
        <f>Gegenstände!F269</f>
        <v>0</v>
      </c>
    </row>
    <row r="270" spans="1:30" x14ac:dyDescent="0.2">
      <c r="A270" s="3">
        <f>Gegenstände!A270</f>
        <v>1157</v>
      </c>
      <c r="B270" s="3" t="str">
        <f>Gegenstände!B270</f>
        <v>Ogerherde</v>
      </c>
      <c r="D270" s="3">
        <f>Gegenstände!K270</f>
        <v>3600</v>
      </c>
      <c r="E270" s="3">
        <f>Gegenstände!I270</f>
        <v>1</v>
      </c>
      <c r="F270" s="3">
        <f>VLOOKUP(Gegenstände!E270,Berechnungen!$E$87:$F$115,2,FALSE)</f>
        <v>6</v>
      </c>
      <c r="G270" s="3">
        <f>Gegenstände!H270</f>
        <v>1</v>
      </c>
      <c r="H270" s="3">
        <f>Gegenstände!G270</f>
        <v>4</v>
      </c>
      <c r="I270" s="3">
        <f>Gegenstände!D270</f>
        <v>16</v>
      </c>
      <c r="J270" s="168">
        <f>ROUND(Gegenstände!N270,0)</f>
        <v>9800</v>
      </c>
      <c r="K270" s="3">
        <f>Gegenstände!J270</f>
        <v>100</v>
      </c>
      <c r="L270" s="3">
        <f>Gegenstände!L270</f>
        <v>0</v>
      </c>
      <c r="M270" s="3">
        <f>Gegenstände!Z270</f>
        <v>0</v>
      </c>
      <c r="N270" s="783">
        <f>(Gegenstände!Y270*10)</f>
        <v>0</v>
      </c>
      <c r="O270" s="783">
        <f>(Gegenstände!W270*10)</f>
        <v>0</v>
      </c>
      <c r="P270" s="783">
        <f>Gegenstände!AA270*10</f>
        <v>0</v>
      </c>
      <c r="Q270" s="783">
        <f>Gegenstände!O270</f>
        <v>3</v>
      </c>
      <c r="R270" s="168">
        <f>Gegenstände!S270</f>
        <v>29</v>
      </c>
      <c r="S270" s="168">
        <f>Gegenstände!T270</f>
        <v>68</v>
      </c>
      <c r="T270" s="783">
        <f>Gegenstände!AC270</f>
        <v>0</v>
      </c>
      <c r="U270" s="783">
        <f>Gegenstände!AE270</f>
        <v>0</v>
      </c>
      <c r="V270" s="783">
        <f>Gegenstände!AD270</f>
        <v>0</v>
      </c>
      <c r="W270" s="783">
        <f>Gegenstände!AF270</f>
        <v>0</v>
      </c>
      <c r="AB270" s="3">
        <f>Gegenstände!M270</f>
        <v>4</v>
      </c>
      <c r="AC270" s="3">
        <f>Gegenstände!AB270</f>
        <v>0</v>
      </c>
      <c r="AD270" s="3">
        <f>Gegenstände!F270</f>
        <v>0</v>
      </c>
    </row>
    <row r="271" spans="1:30" x14ac:dyDescent="0.2">
      <c r="A271" s="3">
        <f>Gegenstände!A271</f>
        <v>1158</v>
      </c>
      <c r="B271" s="3" t="str">
        <f>Gegenstände!B271</f>
        <v>Kriegsknüppel</v>
      </c>
      <c r="D271" s="3">
        <f>Gegenstände!K271</f>
        <v>3200</v>
      </c>
      <c r="E271" s="3">
        <f>Gegenstände!I271</f>
        <v>1</v>
      </c>
      <c r="F271" s="3">
        <f>VLOOKUP(Gegenstände!E271,Berechnungen!$E$87:$F$115,2,FALSE)</f>
        <v>6</v>
      </c>
      <c r="G271" s="3">
        <f>Gegenstände!H271</f>
        <v>1</v>
      </c>
      <c r="H271" s="3">
        <f>Gegenstände!G271</f>
        <v>4</v>
      </c>
      <c r="I271" s="3">
        <f>Gegenstände!D271</f>
        <v>19</v>
      </c>
      <c r="J271" s="168">
        <f>ROUND(Gegenstände!N271,0)</f>
        <v>14900</v>
      </c>
      <c r="K271" s="3">
        <f>Gegenstände!J271</f>
        <v>100</v>
      </c>
      <c r="L271" s="3">
        <f>Gegenstände!L271</f>
        <v>0</v>
      </c>
      <c r="M271" s="3">
        <f>Gegenstände!Z271</f>
        <v>0</v>
      </c>
      <c r="N271" s="783">
        <f>(Gegenstände!Y271*10)</f>
        <v>0</v>
      </c>
      <c r="O271" s="783">
        <f>(Gegenstände!W271*10)</f>
        <v>0</v>
      </c>
      <c r="P271" s="783">
        <f>Gegenstände!AA271*10</f>
        <v>0</v>
      </c>
      <c r="Q271" s="783">
        <f>Gegenstände!O271</f>
        <v>3</v>
      </c>
      <c r="R271" s="168">
        <f>Gegenstände!S271</f>
        <v>34</v>
      </c>
      <c r="S271" s="168">
        <f>Gegenstände!T271</f>
        <v>80</v>
      </c>
      <c r="T271" s="783">
        <f>Gegenstände!AC271</f>
        <v>0</v>
      </c>
      <c r="U271" s="783">
        <f>Gegenstände!AE271</f>
        <v>0</v>
      </c>
      <c r="V271" s="783">
        <f>Gegenstände!AD271</f>
        <v>0</v>
      </c>
      <c r="W271" s="783">
        <f>Gegenstände!AF271</f>
        <v>0</v>
      </c>
      <c r="AB271" s="3">
        <f>Gegenstände!M271</f>
        <v>4</v>
      </c>
      <c r="AC271" s="3">
        <f>Gegenstände!AB271</f>
        <v>0</v>
      </c>
      <c r="AD271" s="3">
        <f>Gegenstände!F271</f>
        <v>0</v>
      </c>
    </row>
    <row r="272" spans="1:30" x14ac:dyDescent="0.2">
      <c r="A272" s="3">
        <f>Gegenstände!A272</f>
        <v>1159</v>
      </c>
      <c r="B272" s="3" t="str">
        <f>Gegenstände!B272</f>
        <v>Kriegszepter</v>
      </c>
      <c r="D272" s="3">
        <f>Gegenstände!K272</f>
        <v>3400</v>
      </c>
      <c r="E272" s="3">
        <f>Gegenstände!I272</f>
        <v>1</v>
      </c>
      <c r="F272" s="3">
        <f>VLOOKUP(Gegenstände!E272,Berechnungen!$E$87:$F$115,2,FALSE)</f>
        <v>6</v>
      </c>
      <c r="G272" s="3">
        <f>Gegenstände!H272</f>
        <v>1</v>
      </c>
      <c r="H272" s="3">
        <f>Gegenstände!G272</f>
        <v>4</v>
      </c>
      <c r="I272" s="3">
        <f>Gegenstände!D272</f>
        <v>22</v>
      </c>
      <c r="J272" s="168">
        <f>ROUND(Gegenstände!N272,0)</f>
        <v>22600</v>
      </c>
      <c r="K272" s="3">
        <f>Gegenstände!J272</f>
        <v>100</v>
      </c>
      <c r="L272" s="3">
        <f>Gegenstände!L272</f>
        <v>0</v>
      </c>
      <c r="M272" s="3">
        <f>Gegenstände!Z272</f>
        <v>0</v>
      </c>
      <c r="N272" s="783">
        <f>(Gegenstände!Y272*10)</f>
        <v>0</v>
      </c>
      <c r="O272" s="783">
        <f>(Gegenstände!W272*10)</f>
        <v>0</v>
      </c>
      <c r="P272" s="783">
        <f>Gegenstände!AA272*10</f>
        <v>0</v>
      </c>
      <c r="Q272" s="783">
        <f>Gegenstände!O272</f>
        <v>3</v>
      </c>
      <c r="R272" s="168">
        <f>Gegenstände!S272</f>
        <v>40</v>
      </c>
      <c r="S272" s="168">
        <f>Gegenstände!T272</f>
        <v>93</v>
      </c>
      <c r="T272" s="783">
        <f>Gegenstände!AC272</f>
        <v>0</v>
      </c>
      <c r="U272" s="783">
        <f>Gegenstände!AE272</f>
        <v>0</v>
      </c>
      <c r="V272" s="783">
        <f>Gegenstände!AD272</f>
        <v>0</v>
      </c>
      <c r="W272" s="783">
        <f>Gegenstände!AF272</f>
        <v>0</v>
      </c>
      <c r="AB272" s="3">
        <f>Gegenstände!M272</f>
        <v>5</v>
      </c>
      <c r="AC272" s="3">
        <f>Gegenstände!AB272</f>
        <v>0</v>
      </c>
      <c r="AD272" s="3">
        <f>Gegenstände!F272</f>
        <v>0</v>
      </c>
    </row>
    <row r="273" spans="1:30" x14ac:dyDescent="0.2">
      <c r="A273" s="3">
        <f>Gegenstände!A273</f>
        <v>1160</v>
      </c>
      <c r="B273" s="3" t="str">
        <f>Gegenstände!B273</f>
        <v>Zackenstern</v>
      </c>
      <c r="D273" s="3">
        <f>Gegenstände!K273</f>
        <v>3100</v>
      </c>
      <c r="E273" s="3">
        <f>Gegenstände!I273</f>
        <v>1</v>
      </c>
      <c r="F273" s="3">
        <f>VLOOKUP(Gegenstände!E273,Berechnungen!$E$87:$F$115,2,FALSE)</f>
        <v>6</v>
      </c>
      <c r="G273" s="3">
        <f>Gegenstände!H273</f>
        <v>1</v>
      </c>
      <c r="H273" s="3">
        <f>Gegenstände!G273</f>
        <v>4</v>
      </c>
      <c r="I273" s="3">
        <f>Gegenstände!D273</f>
        <v>25</v>
      </c>
      <c r="J273" s="168">
        <f>ROUND(Gegenstände!N273,0)</f>
        <v>34400</v>
      </c>
      <c r="K273" s="3">
        <f>Gegenstände!J273</f>
        <v>100</v>
      </c>
      <c r="L273" s="3">
        <f>Gegenstände!L273</f>
        <v>0</v>
      </c>
      <c r="M273" s="3">
        <f>Gegenstände!Z273</f>
        <v>0</v>
      </c>
      <c r="N273" s="783">
        <f>(Gegenstände!Y273*10)</f>
        <v>0</v>
      </c>
      <c r="O273" s="783">
        <f>(Gegenstände!W273*10)</f>
        <v>0</v>
      </c>
      <c r="P273" s="783">
        <f>Gegenstände!AA273*10</f>
        <v>0</v>
      </c>
      <c r="Q273" s="783">
        <f>Gegenstände!O273</f>
        <v>3</v>
      </c>
      <c r="R273" s="168">
        <f>Gegenstände!S273</f>
        <v>46</v>
      </c>
      <c r="S273" s="168">
        <f>Gegenstände!T273</f>
        <v>107</v>
      </c>
      <c r="T273" s="783">
        <f>Gegenstände!AC273</f>
        <v>0</v>
      </c>
      <c r="U273" s="783">
        <f>Gegenstände!AE273</f>
        <v>0</v>
      </c>
      <c r="V273" s="783">
        <f>Gegenstände!AD273</f>
        <v>0</v>
      </c>
      <c r="W273" s="783">
        <f>Gegenstände!AF273</f>
        <v>0</v>
      </c>
      <c r="AB273" s="3">
        <f>Gegenstände!M273</f>
        <v>5</v>
      </c>
      <c r="AC273" s="3">
        <f>Gegenstände!AB273</f>
        <v>0</v>
      </c>
      <c r="AD273" s="3">
        <f>Gegenstände!F273</f>
        <v>0</v>
      </c>
    </row>
    <row r="274" spans="1:30" x14ac:dyDescent="0.2">
      <c r="A274" s="3">
        <f>Gegenstände!A274</f>
        <v>2151</v>
      </c>
      <c r="B274" s="3" t="str">
        <f>Gegenstände!B274</f>
        <v>Kristall-Hammer</v>
      </c>
      <c r="D274" s="3">
        <f>Gegenstände!K274</f>
        <v>3000</v>
      </c>
      <c r="E274" s="3">
        <f>Gegenstände!I274</f>
        <v>1</v>
      </c>
      <c r="F274" s="3">
        <f>VLOOKUP(Gegenstände!E274,Berechnungen!$E$87:$F$115,2,FALSE)</f>
        <v>6</v>
      </c>
      <c r="G274" s="3">
        <f>Gegenstände!H274</f>
        <v>2</v>
      </c>
      <c r="H274" s="3">
        <f>Gegenstände!G274</f>
        <v>4</v>
      </c>
      <c r="I274" s="3">
        <f>Gegenstände!D274</f>
        <v>4</v>
      </c>
      <c r="J274" s="168">
        <f>ROUND(Gegenstände!N274,0)</f>
        <v>2800</v>
      </c>
      <c r="K274" s="3">
        <f>Gegenstände!J274</f>
        <v>100</v>
      </c>
      <c r="L274" s="3">
        <f>Gegenstände!L274</f>
        <v>0</v>
      </c>
      <c r="M274" s="3">
        <f>Gegenstände!Z274</f>
        <v>0</v>
      </c>
      <c r="N274" s="783">
        <f>(Gegenstände!Y274*10)</f>
        <v>0</v>
      </c>
      <c r="O274" s="783">
        <f>(Gegenstände!W274*10)</f>
        <v>0</v>
      </c>
      <c r="P274" s="783">
        <f>Gegenstände!AA274*10</f>
        <v>0</v>
      </c>
      <c r="Q274" s="783">
        <f>Gegenstände!O274</f>
        <v>3</v>
      </c>
      <c r="R274" s="168">
        <f>Gegenstände!S274</f>
        <v>15</v>
      </c>
      <c r="S274" s="168">
        <f>Gegenstände!T274</f>
        <v>35</v>
      </c>
      <c r="T274" s="783">
        <f>Gegenstände!AC274</f>
        <v>0</v>
      </c>
      <c r="U274" s="783">
        <f>Gegenstände!AE274</f>
        <v>0</v>
      </c>
      <c r="V274" s="783">
        <f>Gegenstände!AD274</f>
        <v>0</v>
      </c>
      <c r="W274" s="783">
        <f>Gegenstände!AF274</f>
        <v>0</v>
      </c>
      <c r="AB274" s="3">
        <f>Gegenstände!M274</f>
        <v>0</v>
      </c>
      <c r="AC274" s="3">
        <f>Gegenstände!AB274</f>
        <v>0</v>
      </c>
      <c r="AD274" s="3">
        <f>Gegenstände!F274</f>
        <v>0</v>
      </c>
    </row>
    <row r="275" spans="1:30" x14ac:dyDescent="0.2">
      <c r="A275" s="3">
        <f>Gegenstände!A275</f>
        <v>2152</v>
      </c>
      <c r="B275" s="3" t="str">
        <f>Gegenstände!B275</f>
        <v>Quarz-Hammer</v>
      </c>
      <c r="D275" s="3">
        <f>Gegenstände!K275</f>
        <v>3200</v>
      </c>
      <c r="E275" s="3">
        <f>Gegenstände!I275</f>
        <v>1</v>
      </c>
      <c r="F275" s="3">
        <f>VLOOKUP(Gegenstände!E275,Berechnungen!$E$87:$F$115,2,FALSE)</f>
        <v>6</v>
      </c>
      <c r="G275" s="3">
        <f>Gegenstände!H275</f>
        <v>2</v>
      </c>
      <c r="H275" s="3">
        <f>Gegenstände!G275</f>
        <v>4</v>
      </c>
      <c r="I275" s="3">
        <f>Gegenstände!D275</f>
        <v>9</v>
      </c>
      <c r="J275" s="168">
        <f>ROUND(Gegenstände!N275,0)</f>
        <v>5700</v>
      </c>
      <c r="K275" s="3">
        <f>Gegenstände!J275</f>
        <v>100</v>
      </c>
      <c r="L275" s="3">
        <f>Gegenstände!L275</f>
        <v>0</v>
      </c>
      <c r="M275" s="3">
        <f>Gegenstände!Z275</f>
        <v>0</v>
      </c>
      <c r="N275" s="783">
        <f>(Gegenstände!Y275*10)</f>
        <v>0</v>
      </c>
      <c r="O275" s="783">
        <f>(Gegenstände!W275*10)</f>
        <v>0</v>
      </c>
      <c r="P275" s="783">
        <f>Gegenstände!AA275*10</f>
        <v>0</v>
      </c>
      <c r="Q275" s="783">
        <f>Gegenstände!O275</f>
        <v>3</v>
      </c>
      <c r="R275" s="168">
        <f>Gegenstände!S275</f>
        <v>22</v>
      </c>
      <c r="S275" s="168">
        <f>Gegenstände!T275</f>
        <v>52</v>
      </c>
      <c r="T275" s="783">
        <f>Gegenstände!AC275</f>
        <v>0</v>
      </c>
      <c r="U275" s="783">
        <f>Gegenstände!AE275</f>
        <v>0</v>
      </c>
      <c r="V275" s="783">
        <f>Gegenstände!AD275</f>
        <v>0</v>
      </c>
      <c r="W275" s="783">
        <f>Gegenstände!AF275</f>
        <v>0</v>
      </c>
      <c r="AB275" s="3">
        <f>Gegenstände!M275</f>
        <v>0</v>
      </c>
      <c r="AC275" s="3">
        <f>Gegenstände!AB275</f>
        <v>0</v>
      </c>
      <c r="AD275" s="3">
        <f>Gegenstände!F275</f>
        <v>0</v>
      </c>
    </row>
    <row r="276" spans="1:30" x14ac:dyDescent="0.2">
      <c r="A276" s="3">
        <f>Gegenstände!A276</f>
        <v>2153</v>
      </c>
      <c r="B276" s="3" t="str">
        <f>Gegenstände!B276</f>
        <v>Smaragd-Hammer</v>
      </c>
      <c r="D276" s="3">
        <f>Gegenstände!K276</f>
        <v>3400</v>
      </c>
      <c r="E276" s="3">
        <f>Gegenstände!I276</f>
        <v>1</v>
      </c>
      <c r="F276" s="3">
        <f>VLOOKUP(Gegenstände!E276,Berechnungen!$E$87:$F$115,2,FALSE)</f>
        <v>6</v>
      </c>
      <c r="G276" s="3">
        <f>Gegenstände!H276</f>
        <v>2</v>
      </c>
      <c r="H276" s="3">
        <f>Gegenstände!G276</f>
        <v>4</v>
      </c>
      <c r="I276" s="3">
        <f>Gegenstände!D276</f>
        <v>14</v>
      </c>
      <c r="J276" s="168">
        <f>ROUND(Gegenstände!N276,0)</f>
        <v>11400</v>
      </c>
      <c r="K276" s="3">
        <f>Gegenstände!J276</f>
        <v>100</v>
      </c>
      <c r="L276" s="3">
        <f>Gegenstände!L276</f>
        <v>0</v>
      </c>
      <c r="M276" s="3">
        <f>Gegenstände!Z276</f>
        <v>0</v>
      </c>
      <c r="N276" s="783">
        <f>(Gegenstände!Y276*10)</f>
        <v>0</v>
      </c>
      <c r="O276" s="783">
        <f>(Gegenstände!W276*10)</f>
        <v>0</v>
      </c>
      <c r="P276" s="783">
        <f>Gegenstände!AA276*10</f>
        <v>0</v>
      </c>
      <c r="Q276" s="783">
        <f>Gegenstände!O276</f>
        <v>3</v>
      </c>
      <c r="R276" s="168">
        <f>Gegenstände!S276</f>
        <v>31</v>
      </c>
      <c r="S276" s="168">
        <f>Gegenstände!T276</f>
        <v>72</v>
      </c>
      <c r="T276" s="783">
        <f>Gegenstände!AC276</f>
        <v>0</v>
      </c>
      <c r="U276" s="783">
        <f>Gegenstände!AE276</f>
        <v>0</v>
      </c>
      <c r="V276" s="783">
        <f>Gegenstände!AD276</f>
        <v>0</v>
      </c>
      <c r="W276" s="783">
        <f>Gegenstände!AF276</f>
        <v>0</v>
      </c>
      <c r="AB276" s="3">
        <f>Gegenstände!M276</f>
        <v>0</v>
      </c>
      <c r="AC276" s="3">
        <f>Gegenstände!AB276</f>
        <v>0</v>
      </c>
      <c r="AD276" s="3">
        <f>Gegenstände!F276</f>
        <v>0</v>
      </c>
    </row>
    <row r="277" spans="1:30" x14ac:dyDescent="0.2">
      <c r="A277" s="3">
        <f>Gegenstände!A277</f>
        <v>2154</v>
      </c>
      <c r="B277" s="3" t="str">
        <f>Gegenstände!B277</f>
        <v>Rubin-Hammer</v>
      </c>
      <c r="D277" s="3">
        <f>Gegenstände!K277</f>
        <v>3100</v>
      </c>
      <c r="E277" s="3">
        <f>Gegenstände!I277</f>
        <v>1</v>
      </c>
      <c r="F277" s="3">
        <f>VLOOKUP(Gegenstände!E277,Berechnungen!$E$87:$F$115,2,FALSE)</f>
        <v>6</v>
      </c>
      <c r="G277" s="3">
        <f>Gegenstände!H277</f>
        <v>2</v>
      </c>
      <c r="H277" s="3">
        <f>Gegenstände!G277</f>
        <v>4</v>
      </c>
      <c r="I277" s="3">
        <f>Gegenstände!D277</f>
        <v>19</v>
      </c>
      <c r="J277" s="168">
        <f>ROUND(Gegenstände!N277,0)</f>
        <v>21900</v>
      </c>
      <c r="K277" s="3">
        <f>Gegenstände!J277</f>
        <v>100</v>
      </c>
      <c r="L277" s="3">
        <f>Gegenstände!L277</f>
        <v>0</v>
      </c>
      <c r="M277" s="3">
        <f>Gegenstände!Z277</f>
        <v>0</v>
      </c>
      <c r="N277" s="783">
        <f>(Gegenstände!Y277*10)</f>
        <v>0</v>
      </c>
      <c r="O277" s="783">
        <f>(Gegenstände!W277*10)</f>
        <v>0</v>
      </c>
      <c r="P277" s="783">
        <f>Gegenstände!AA277*10</f>
        <v>0</v>
      </c>
      <c r="Q277" s="783">
        <f>Gegenstände!O277</f>
        <v>3</v>
      </c>
      <c r="R277" s="168">
        <f>Gegenstände!S277</f>
        <v>40</v>
      </c>
      <c r="S277" s="168">
        <f>Gegenstände!T277</f>
        <v>93</v>
      </c>
      <c r="T277" s="783">
        <f>Gegenstände!AC277</f>
        <v>0</v>
      </c>
      <c r="U277" s="783">
        <f>Gegenstände!AE277</f>
        <v>0</v>
      </c>
      <c r="V277" s="783">
        <f>Gegenstände!AD277</f>
        <v>0</v>
      </c>
      <c r="W277" s="783">
        <f>Gegenstände!AF277</f>
        <v>0</v>
      </c>
      <c r="AB277" s="3">
        <f>Gegenstände!M277</f>
        <v>0</v>
      </c>
      <c r="AC277" s="3">
        <f>Gegenstände!AB277</f>
        <v>0</v>
      </c>
      <c r="AD277" s="3">
        <f>Gegenstände!F277</f>
        <v>0</v>
      </c>
    </row>
    <row r="278" spans="1:30" x14ac:dyDescent="0.2">
      <c r="A278" s="3">
        <f>Gegenstände!A278</f>
        <v>2155</v>
      </c>
      <c r="B278" s="3" t="str">
        <f>Gegenstände!B278</f>
        <v>Obsidian-Hammer</v>
      </c>
      <c r="D278" s="3">
        <f>Gegenstände!K278</f>
        <v>3400</v>
      </c>
      <c r="E278" s="3">
        <f>Gegenstände!I278</f>
        <v>1</v>
      </c>
      <c r="F278" s="3">
        <f>VLOOKUP(Gegenstände!E278,Berechnungen!$E$87:$F$115,2,FALSE)</f>
        <v>6</v>
      </c>
      <c r="G278" s="3">
        <f>Gegenstände!H278</f>
        <v>2</v>
      </c>
      <c r="H278" s="3">
        <f>Gegenstände!G278</f>
        <v>4</v>
      </c>
      <c r="I278" s="3">
        <f>Gegenstände!D278</f>
        <v>25</v>
      </c>
      <c r="J278" s="168">
        <f>ROUND(Gegenstände!N278,0)</f>
        <v>44400</v>
      </c>
      <c r="K278" s="3">
        <f>Gegenstände!J278</f>
        <v>100</v>
      </c>
      <c r="L278" s="3">
        <f>Gegenstände!L278</f>
        <v>0</v>
      </c>
      <c r="M278" s="3">
        <f>Gegenstände!Z278</f>
        <v>0</v>
      </c>
      <c r="N278" s="783">
        <f>(Gegenstände!Y278*10)</f>
        <v>0</v>
      </c>
      <c r="O278" s="783">
        <f>(Gegenstände!W278*10)</f>
        <v>0</v>
      </c>
      <c r="P278" s="783">
        <f>Gegenstände!AA278*10</f>
        <v>0</v>
      </c>
      <c r="Q278" s="783">
        <f>Gegenstände!O278</f>
        <v>3</v>
      </c>
      <c r="R278" s="168">
        <f>Gegenstände!S278</f>
        <v>52</v>
      </c>
      <c r="S278" s="168">
        <f>Gegenstände!T278</f>
        <v>121</v>
      </c>
      <c r="T278" s="783">
        <f>Gegenstände!AC278</f>
        <v>0</v>
      </c>
      <c r="U278" s="783">
        <f>Gegenstände!AE278</f>
        <v>0</v>
      </c>
      <c r="V278" s="783">
        <f>Gegenstände!AD278</f>
        <v>0</v>
      </c>
      <c r="W278" s="783">
        <f>Gegenstände!AF278</f>
        <v>0</v>
      </c>
      <c r="AB278" s="3">
        <f>Gegenstände!M278</f>
        <v>0</v>
      </c>
      <c r="AC278" s="3">
        <f>Gegenstände!AB278</f>
        <v>0</v>
      </c>
      <c r="AD278" s="3">
        <f>Gegenstände!F278</f>
        <v>0</v>
      </c>
    </row>
    <row r="279" spans="1:30" x14ac:dyDescent="0.2">
      <c r="A279" s="3">
        <f>Gegenstände!A279</f>
        <v>0</v>
      </c>
      <c r="B279" s="3" t="str">
        <f>Gegenstände!B279</f>
        <v>2H Keulen</v>
      </c>
      <c r="D279" s="3">
        <f>Gegenstände!K279</f>
        <v>0</v>
      </c>
      <c r="E279" s="3">
        <f>Gegenstände!I279</f>
        <v>0</v>
      </c>
      <c r="F279" s="3" t="e">
        <f>VLOOKUP(Gegenstände!E279,Berechnungen!$E$87:$F$115,2,FALSE)</f>
        <v>#N/A</v>
      </c>
      <c r="G279" s="3">
        <f>Gegenstände!H279</f>
        <v>0</v>
      </c>
      <c r="H279" s="3">
        <f>Gegenstände!G279</f>
        <v>0</v>
      </c>
      <c r="I279" s="3">
        <f>Gegenstände!D279</f>
        <v>0</v>
      </c>
      <c r="J279" s="168">
        <f>ROUND(Gegenstände!N279,0)</f>
        <v>0</v>
      </c>
      <c r="K279" s="3">
        <f>Gegenstände!J279</f>
        <v>0</v>
      </c>
      <c r="L279" s="3">
        <f>Gegenstände!L279</f>
        <v>0</v>
      </c>
      <c r="M279" s="3">
        <f>Gegenstände!Z279</f>
        <v>0</v>
      </c>
      <c r="N279" s="783">
        <f>(Gegenstände!Y279*10)</f>
        <v>0</v>
      </c>
      <c r="O279" s="783">
        <f>(Gegenstände!W279*10)</f>
        <v>0</v>
      </c>
      <c r="P279" s="783">
        <f>Gegenstände!AA279*10</f>
        <v>0</v>
      </c>
      <c r="Q279" s="783">
        <f>Gegenstände!O279</f>
        <v>2</v>
      </c>
      <c r="R279" s="168">
        <f>Gegenstände!S279</f>
        <v>0</v>
      </c>
      <c r="S279" s="168">
        <f>Gegenstände!T279</f>
        <v>0</v>
      </c>
      <c r="T279" s="783">
        <f>Gegenstände!AC279</f>
        <v>0</v>
      </c>
      <c r="U279" s="783">
        <f>Gegenstände!AE279</f>
        <v>0</v>
      </c>
      <c r="V279" s="783">
        <f>Gegenstände!AD279</f>
        <v>0</v>
      </c>
      <c r="W279" s="783">
        <f>Gegenstände!AF279</f>
        <v>0</v>
      </c>
      <c r="AB279" s="3">
        <f>Gegenstände!M279</f>
        <v>0</v>
      </c>
      <c r="AC279" s="3">
        <f>Gegenstände!AB279</f>
        <v>0</v>
      </c>
      <c r="AD279" s="3">
        <f>Gegenstände!F279</f>
        <v>0</v>
      </c>
    </row>
    <row r="280" spans="1:30" x14ac:dyDescent="0.2">
      <c r="A280" s="3">
        <f>Gegenstände!A280</f>
        <v>1161</v>
      </c>
      <c r="B280" s="3" t="str">
        <f>Gegenstände!B280</f>
        <v>Vorschlaghammer</v>
      </c>
      <c r="D280" s="3">
        <f>Gegenstände!K280</f>
        <v>5400</v>
      </c>
      <c r="E280" s="3">
        <f>Gegenstände!I280</f>
        <v>2</v>
      </c>
      <c r="F280" s="3">
        <f>VLOOKUP(Gegenstände!E280,Berechnungen!$E$87:$F$115,2,FALSE)</f>
        <v>7</v>
      </c>
      <c r="G280" s="3">
        <f>Gegenstände!H280</f>
        <v>1</v>
      </c>
      <c r="H280" s="3">
        <f>Gegenstände!G280</f>
        <v>4</v>
      </c>
      <c r="I280" s="3">
        <f>Gegenstände!D280</f>
        <v>7</v>
      </c>
      <c r="J280" s="168">
        <f>ROUND(Gegenstände!N280,0)</f>
        <v>4600</v>
      </c>
      <c r="K280" s="3">
        <f>Gegenstände!J280</f>
        <v>100</v>
      </c>
      <c r="L280" s="3">
        <f>Gegenstände!L280</f>
        <v>0</v>
      </c>
      <c r="M280" s="3">
        <f>Gegenstände!Z280</f>
        <v>0</v>
      </c>
      <c r="N280" s="783">
        <f>(Gegenstände!Y280*10)</f>
        <v>0</v>
      </c>
      <c r="O280" s="783">
        <f>(Gegenstände!W280*10)</f>
        <v>0</v>
      </c>
      <c r="P280" s="783">
        <f>Gegenstände!AA280*10</f>
        <v>0</v>
      </c>
      <c r="Q280" s="783">
        <f>Gegenstände!O280</f>
        <v>2</v>
      </c>
      <c r="R280" s="168">
        <f>Gegenstände!S280</f>
        <v>23</v>
      </c>
      <c r="S280" s="168">
        <f>Gegenstände!T280</f>
        <v>68</v>
      </c>
      <c r="T280" s="783">
        <f>Gegenstände!AC280</f>
        <v>0</v>
      </c>
      <c r="U280" s="783">
        <f>Gegenstände!AE280</f>
        <v>0</v>
      </c>
      <c r="V280" s="783">
        <f>Gegenstände!AD280</f>
        <v>0</v>
      </c>
      <c r="W280" s="783">
        <f>Gegenstände!AF280</f>
        <v>0</v>
      </c>
      <c r="AB280" s="3">
        <f>Gegenstände!M280</f>
        <v>2</v>
      </c>
      <c r="AC280" s="3">
        <f>Gegenstände!AB280</f>
        <v>0</v>
      </c>
      <c r="AD280" s="3">
        <f>Gegenstände!F280</f>
        <v>0</v>
      </c>
    </row>
    <row r="281" spans="1:30" x14ac:dyDescent="0.2">
      <c r="A281" s="3">
        <f>Gegenstände!A281</f>
        <v>1162</v>
      </c>
      <c r="B281" s="3" t="str">
        <f>Gegenstände!B281</f>
        <v>Eisenkeule</v>
      </c>
      <c r="D281" s="3">
        <f>Gegenstände!K281</f>
        <v>5800</v>
      </c>
      <c r="E281" s="3">
        <f>Gegenstände!I281</f>
        <v>2</v>
      </c>
      <c r="F281" s="3">
        <f>VLOOKUP(Gegenstände!E281,Berechnungen!$E$87:$F$115,2,FALSE)</f>
        <v>7</v>
      </c>
      <c r="G281" s="3">
        <f>Gegenstände!H281</f>
        <v>1</v>
      </c>
      <c r="H281" s="3">
        <f>Gegenstände!G281</f>
        <v>4</v>
      </c>
      <c r="I281" s="3">
        <f>Gegenstände!D281</f>
        <v>10</v>
      </c>
      <c r="J281" s="168">
        <f>ROUND(Gegenstände!N281,0)</f>
        <v>7000</v>
      </c>
      <c r="K281" s="3">
        <f>Gegenstände!J281</f>
        <v>100</v>
      </c>
      <c r="L281" s="3">
        <f>Gegenstände!L281</f>
        <v>0</v>
      </c>
      <c r="M281" s="3">
        <f>Gegenstände!Z281</f>
        <v>0</v>
      </c>
      <c r="N281" s="783">
        <f>(Gegenstände!Y281*10)</f>
        <v>0</v>
      </c>
      <c r="O281" s="783">
        <f>(Gegenstände!W281*10)</f>
        <v>0</v>
      </c>
      <c r="P281" s="783">
        <f>Gegenstände!AA281*10</f>
        <v>0</v>
      </c>
      <c r="Q281" s="783">
        <f>Gegenstände!O281</f>
        <v>2</v>
      </c>
      <c r="R281" s="168">
        <f>Gegenstände!S281</f>
        <v>29</v>
      </c>
      <c r="S281" s="168">
        <f>Gegenstände!T281</f>
        <v>87</v>
      </c>
      <c r="T281" s="783">
        <f>Gegenstände!AC281</f>
        <v>0</v>
      </c>
      <c r="U281" s="783">
        <f>Gegenstände!AE281</f>
        <v>0</v>
      </c>
      <c r="V281" s="783">
        <f>Gegenstände!AD281</f>
        <v>0</v>
      </c>
      <c r="W281" s="783">
        <f>Gegenstände!AF281</f>
        <v>0</v>
      </c>
      <c r="AB281" s="3">
        <f>Gegenstände!M281</f>
        <v>2</v>
      </c>
      <c r="AC281" s="3">
        <f>Gegenstände!AB281</f>
        <v>0</v>
      </c>
      <c r="AD281" s="3">
        <f>Gegenstände!F281</f>
        <v>0</v>
      </c>
    </row>
    <row r="282" spans="1:30" x14ac:dyDescent="0.2">
      <c r="A282" s="3">
        <f>Gegenstände!A282</f>
        <v>1163</v>
      </c>
      <c r="B282" s="3" t="str">
        <f>Gegenstände!B282</f>
        <v>Stachelkeule</v>
      </c>
      <c r="D282" s="3">
        <f>Gegenstände!K282</f>
        <v>5500</v>
      </c>
      <c r="E282" s="3">
        <f>Gegenstände!I282</f>
        <v>2</v>
      </c>
      <c r="F282" s="3">
        <f>VLOOKUP(Gegenstände!E282,Berechnungen!$E$87:$F$115,2,FALSE)</f>
        <v>7</v>
      </c>
      <c r="G282" s="3">
        <f>Gegenstände!H282</f>
        <v>1</v>
      </c>
      <c r="H282" s="3">
        <f>Gegenstände!G282</f>
        <v>4</v>
      </c>
      <c r="I282" s="3">
        <f>Gegenstände!D282</f>
        <v>12</v>
      </c>
      <c r="J282" s="168">
        <f>ROUND(Gegenstände!N282,0)</f>
        <v>9300</v>
      </c>
      <c r="K282" s="3">
        <f>Gegenstände!J282</f>
        <v>100</v>
      </c>
      <c r="L282" s="3">
        <f>Gegenstände!L282</f>
        <v>0</v>
      </c>
      <c r="M282" s="3">
        <f>Gegenstände!Z282</f>
        <v>0</v>
      </c>
      <c r="N282" s="783">
        <f>(Gegenstände!Y282*10)</f>
        <v>0</v>
      </c>
      <c r="O282" s="783">
        <f>(Gegenstände!W282*10)</f>
        <v>0</v>
      </c>
      <c r="P282" s="783">
        <f>Gegenstände!AA282*10</f>
        <v>0</v>
      </c>
      <c r="Q282" s="783">
        <f>Gegenstände!O282</f>
        <v>2</v>
      </c>
      <c r="R282" s="168">
        <f>Gegenstände!S282</f>
        <v>34</v>
      </c>
      <c r="S282" s="168">
        <f>Gegenstände!T282</f>
        <v>101</v>
      </c>
      <c r="T282" s="783">
        <f>Gegenstände!AC282</f>
        <v>0</v>
      </c>
      <c r="U282" s="783">
        <f>Gegenstände!AE282</f>
        <v>0</v>
      </c>
      <c r="V282" s="783">
        <f>Gegenstände!AD282</f>
        <v>0</v>
      </c>
      <c r="W282" s="783">
        <f>Gegenstände!AF282</f>
        <v>0</v>
      </c>
      <c r="AB282" s="3">
        <f>Gegenstände!M282</f>
        <v>3</v>
      </c>
      <c r="AC282" s="3">
        <f>Gegenstände!AB282</f>
        <v>0</v>
      </c>
      <c r="AD282" s="3">
        <f>Gegenstände!F282</f>
        <v>0</v>
      </c>
    </row>
    <row r="283" spans="1:30" x14ac:dyDescent="0.2">
      <c r="A283" s="3">
        <f>Gegenstände!A283</f>
        <v>1164</v>
      </c>
      <c r="B283" s="3" t="str">
        <f>Gegenstände!B283</f>
        <v>Kriegshammer</v>
      </c>
      <c r="D283" s="3">
        <f>Gegenstände!K283</f>
        <v>5600</v>
      </c>
      <c r="E283" s="3">
        <f>Gegenstände!I283</f>
        <v>2</v>
      </c>
      <c r="F283" s="3">
        <f>VLOOKUP(Gegenstände!E283,Berechnungen!$E$87:$F$115,2,FALSE)</f>
        <v>7</v>
      </c>
      <c r="G283" s="3">
        <f>Gegenstände!H283</f>
        <v>1</v>
      </c>
      <c r="H283" s="3">
        <f>Gegenstände!G283</f>
        <v>4</v>
      </c>
      <c r="I283" s="3">
        <f>Gegenstände!D283</f>
        <v>15</v>
      </c>
      <c r="J283" s="168">
        <f>ROUND(Gegenstände!N283,0)</f>
        <v>14200</v>
      </c>
      <c r="K283" s="3">
        <f>Gegenstände!J283</f>
        <v>100</v>
      </c>
      <c r="L283" s="3">
        <f>Gegenstände!L283</f>
        <v>0</v>
      </c>
      <c r="M283" s="3">
        <f>Gegenstände!Z283</f>
        <v>0</v>
      </c>
      <c r="N283" s="783">
        <f>(Gegenstände!Y283*10)</f>
        <v>0</v>
      </c>
      <c r="O283" s="783">
        <f>(Gegenstände!W283*10)</f>
        <v>0</v>
      </c>
      <c r="P283" s="783">
        <f>Gegenstände!AA283*10</f>
        <v>0</v>
      </c>
      <c r="Q283" s="783">
        <f>Gegenstände!O283</f>
        <v>2</v>
      </c>
      <c r="R283" s="168">
        <f>Gegenstände!S283</f>
        <v>41</v>
      </c>
      <c r="S283" s="168">
        <f>Gegenstände!T283</f>
        <v>123</v>
      </c>
      <c r="T283" s="783">
        <f>Gegenstände!AC283</f>
        <v>0</v>
      </c>
      <c r="U283" s="783">
        <f>Gegenstände!AE283</f>
        <v>0</v>
      </c>
      <c r="V283" s="783">
        <f>Gegenstände!AD283</f>
        <v>0</v>
      </c>
      <c r="W283" s="783">
        <f>Gegenstände!AF283</f>
        <v>0</v>
      </c>
      <c r="AB283" s="3">
        <f>Gegenstände!M283</f>
        <v>3</v>
      </c>
      <c r="AC283" s="3">
        <f>Gegenstände!AB283</f>
        <v>0</v>
      </c>
      <c r="AD283" s="3">
        <f>Gegenstände!F283</f>
        <v>0</v>
      </c>
    </row>
    <row r="284" spans="1:30" x14ac:dyDescent="0.2">
      <c r="A284" s="3">
        <f>Gegenstände!A284</f>
        <v>1165</v>
      </c>
      <c r="B284" s="3" t="str">
        <f>Gegenstände!B284</f>
        <v>Knochenbrecher</v>
      </c>
      <c r="D284" s="3">
        <f>Gegenstände!K284</f>
        <v>5700</v>
      </c>
      <c r="E284" s="3">
        <f>Gegenstände!I284</f>
        <v>2</v>
      </c>
      <c r="F284" s="3">
        <f>VLOOKUP(Gegenstände!E284,Berechnungen!$E$87:$F$115,2,FALSE)</f>
        <v>7</v>
      </c>
      <c r="G284" s="3">
        <f>Gegenstände!H284</f>
        <v>1</v>
      </c>
      <c r="H284" s="3">
        <f>Gegenstände!G284</f>
        <v>4</v>
      </c>
      <c r="I284" s="3">
        <f>Gegenstände!D284</f>
        <v>17</v>
      </c>
      <c r="J284" s="168">
        <f>ROUND(Gegenstände!N284,0)</f>
        <v>18700</v>
      </c>
      <c r="K284" s="3">
        <f>Gegenstände!J284</f>
        <v>100</v>
      </c>
      <c r="L284" s="3">
        <f>Gegenstände!L284</f>
        <v>0</v>
      </c>
      <c r="M284" s="3">
        <f>Gegenstände!Z284</f>
        <v>0</v>
      </c>
      <c r="N284" s="783">
        <f>(Gegenstände!Y284*10)</f>
        <v>0</v>
      </c>
      <c r="O284" s="783">
        <f>(Gegenstände!W284*10)</f>
        <v>0</v>
      </c>
      <c r="P284" s="783">
        <f>Gegenstände!AA284*10</f>
        <v>0</v>
      </c>
      <c r="Q284" s="783">
        <f>Gegenstände!O284</f>
        <v>2</v>
      </c>
      <c r="R284" s="168">
        <f>Gegenstände!S284</f>
        <v>46</v>
      </c>
      <c r="S284" s="168">
        <f>Gegenstände!T284</f>
        <v>138</v>
      </c>
      <c r="T284" s="783">
        <f>Gegenstände!AC284</f>
        <v>0</v>
      </c>
      <c r="U284" s="783">
        <f>Gegenstände!AE284</f>
        <v>0</v>
      </c>
      <c r="V284" s="783">
        <f>Gegenstände!AD284</f>
        <v>0</v>
      </c>
      <c r="W284" s="783">
        <f>Gegenstände!AF284</f>
        <v>0</v>
      </c>
      <c r="AB284" s="3">
        <f>Gegenstände!M284</f>
        <v>4</v>
      </c>
      <c r="AC284" s="3">
        <f>Gegenstände!AB284</f>
        <v>0</v>
      </c>
      <c r="AD284" s="3">
        <f>Gegenstände!F284</f>
        <v>0</v>
      </c>
    </row>
    <row r="285" spans="1:30" x14ac:dyDescent="0.2">
      <c r="A285" s="3">
        <f>Gegenstände!A285</f>
        <v>1166</v>
      </c>
      <c r="B285" s="3" t="str">
        <f>Gegenstände!B285</f>
        <v>Kriegskeule</v>
      </c>
      <c r="D285" s="3">
        <f>Gegenstände!K285</f>
        <v>5300</v>
      </c>
      <c r="E285" s="3">
        <f>Gegenstände!I285</f>
        <v>2</v>
      </c>
      <c r="F285" s="3">
        <f>VLOOKUP(Gegenstände!E285,Berechnungen!$E$87:$F$115,2,FALSE)</f>
        <v>7</v>
      </c>
      <c r="G285" s="3">
        <f>Gegenstände!H285</f>
        <v>1</v>
      </c>
      <c r="H285" s="3">
        <f>Gegenstände!G285</f>
        <v>4</v>
      </c>
      <c r="I285" s="3">
        <f>Gegenstände!D285</f>
        <v>20</v>
      </c>
      <c r="J285" s="168">
        <f>ROUND(Gegenstände!N285,0)</f>
        <v>28500</v>
      </c>
      <c r="K285" s="3">
        <f>Gegenstände!J285</f>
        <v>100</v>
      </c>
      <c r="L285" s="3">
        <f>Gegenstände!L285</f>
        <v>0</v>
      </c>
      <c r="M285" s="3">
        <f>Gegenstände!Z285</f>
        <v>0</v>
      </c>
      <c r="N285" s="783">
        <f>(Gegenstände!Y285*10)</f>
        <v>0</v>
      </c>
      <c r="O285" s="783">
        <f>(Gegenstände!W285*10)</f>
        <v>0</v>
      </c>
      <c r="P285" s="783">
        <f>Gegenstände!AA285*10</f>
        <v>0</v>
      </c>
      <c r="Q285" s="783">
        <f>Gegenstände!O285</f>
        <v>2</v>
      </c>
      <c r="R285" s="168">
        <f>Gegenstände!S285</f>
        <v>54</v>
      </c>
      <c r="S285" s="168">
        <f>Gegenstände!T285</f>
        <v>162</v>
      </c>
      <c r="T285" s="783">
        <f>Gegenstände!AC285</f>
        <v>0</v>
      </c>
      <c r="U285" s="783">
        <f>Gegenstände!AE285</f>
        <v>0</v>
      </c>
      <c r="V285" s="783">
        <f>Gegenstände!AD285</f>
        <v>0</v>
      </c>
      <c r="W285" s="783">
        <f>Gegenstände!AF285</f>
        <v>0</v>
      </c>
      <c r="AB285" s="3">
        <f>Gegenstände!M285</f>
        <v>4</v>
      </c>
      <c r="AC285" s="3">
        <f>Gegenstände!AB285</f>
        <v>0</v>
      </c>
      <c r="AD285" s="3">
        <f>Gegenstände!F285</f>
        <v>0</v>
      </c>
    </row>
    <row r="286" spans="1:30" x14ac:dyDescent="0.2">
      <c r="A286" s="3">
        <f>Gegenstände!A286</f>
        <v>1167</v>
      </c>
      <c r="B286" s="3" t="str">
        <f>Gegenstände!B286</f>
        <v>Stabzepter</v>
      </c>
      <c r="D286" s="3">
        <f>Gegenstände!K286</f>
        <v>5900</v>
      </c>
      <c r="E286" s="3">
        <f>Gegenstände!I286</f>
        <v>2</v>
      </c>
      <c r="F286" s="3">
        <f>VLOOKUP(Gegenstände!E286,Berechnungen!$E$87:$F$115,2,FALSE)</f>
        <v>7</v>
      </c>
      <c r="G286" s="3">
        <f>Gegenstände!H286</f>
        <v>1</v>
      </c>
      <c r="H286" s="3">
        <f>Gegenstände!G286</f>
        <v>4</v>
      </c>
      <c r="I286" s="3">
        <f>Gegenstände!D286</f>
        <v>22</v>
      </c>
      <c r="J286" s="168">
        <f>ROUND(Gegenstände!N286,0)</f>
        <v>37600</v>
      </c>
      <c r="K286" s="3">
        <f>Gegenstände!J286</f>
        <v>100</v>
      </c>
      <c r="L286" s="3">
        <f>Gegenstände!L286</f>
        <v>0</v>
      </c>
      <c r="M286" s="3">
        <f>Gegenstände!Z286</f>
        <v>0</v>
      </c>
      <c r="N286" s="783">
        <f>(Gegenstände!Y286*10)</f>
        <v>0</v>
      </c>
      <c r="O286" s="783">
        <f>(Gegenstände!W286*10)</f>
        <v>0</v>
      </c>
      <c r="P286" s="783">
        <f>Gegenstände!AA286*10</f>
        <v>0</v>
      </c>
      <c r="Q286" s="783">
        <f>Gegenstände!O286</f>
        <v>2</v>
      </c>
      <c r="R286" s="168">
        <f>Gegenstände!S286</f>
        <v>60</v>
      </c>
      <c r="S286" s="168">
        <f>Gegenstände!T286</f>
        <v>179</v>
      </c>
      <c r="T286" s="783">
        <f>Gegenstände!AC286</f>
        <v>0</v>
      </c>
      <c r="U286" s="783">
        <f>Gegenstände!AE286</f>
        <v>0</v>
      </c>
      <c r="V286" s="783">
        <f>Gegenstände!AD286</f>
        <v>0</v>
      </c>
      <c r="W286" s="783">
        <f>Gegenstände!AF286</f>
        <v>0</v>
      </c>
      <c r="AB286" s="3">
        <f>Gegenstände!M286</f>
        <v>5</v>
      </c>
      <c r="AC286" s="3">
        <f>Gegenstände!AB286</f>
        <v>0</v>
      </c>
      <c r="AD286" s="3">
        <f>Gegenstände!F286</f>
        <v>0</v>
      </c>
    </row>
    <row r="287" spans="1:30" x14ac:dyDescent="0.2">
      <c r="A287" s="3">
        <f>Gegenstände!A287</f>
        <v>1168</v>
      </c>
      <c r="B287" s="3" t="str">
        <f>Gegenstände!B287</f>
        <v>Donnerhammer</v>
      </c>
      <c r="D287" s="3">
        <f>Gegenstände!K287</f>
        <v>5800</v>
      </c>
      <c r="E287" s="3">
        <f>Gegenstände!I287</f>
        <v>2</v>
      </c>
      <c r="F287" s="3">
        <f>VLOOKUP(Gegenstände!E287,Berechnungen!$E$87:$F$115,2,FALSE)</f>
        <v>7</v>
      </c>
      <c r="G287" s="3">
        <f>Gegenstände!H287</f>
        <v>1</v>
      </c>
      <c r="H287" s="3">
        <f>Gegenstände!G287</f>
        <v>4</v>
      </c>
      <c r="I287" s="3">
        <f>Gegenstände!D287</f>
        <v>25</v>
      </c>
      <c r="J287" s="168">
        <f>ROUND(Gegenstände!N287,0)</f>
        <v>57300</v>
      </c>
      <c r="K287" s="3">
        <f>Gegenstände!J287</f>
        <v>100</v>
      </c>
      <c r="L287" s="3">
        <f>Gegenstände!L287</f>
        <v>0</v>
      </c>
      <c r="M287" s="3">
        <f>Gegenstände!Z287</f>
        <v>0</v>
      </c>
      <c r="N287" s="783">
        <f>(Gegenstände!Y287*10)</f>
        <v>0</v>
      </c>
      <c r="O287" s="783">
        <f>(Gegenstände!W287*10)</f>
        <v>0</v>
      </c>
      <c r="P287" s="783">
        <f>Gegenstände!AA287*10</f>
        <v>0</v>
      </c>
      <c r="Q287" s="783">
        <f>Gegenstände!O287</f>
        <v>2</v>
      </c>
      <c r="R287" s="168">
        <f>Gegenstände!S287</f>
        <v>69</v>
      </c>
      <c r="S287" s="168">
        <f>Gegenstände!T287</f>
        <v>206</v>
      </c>
      <c r="T287" s="783">
        <f>Gegenstände!AC287</f>
        <v>0</v>
      </c>
      <c r="U287" s="783">
        <f>Gegenstände!AE287</f>
        <v>0</v>
      </c>
      <c r="V287" s="783">
        <f>Gegenstände!AD287</f>
        <v>0</v>
      </c>
      <c r="W287" s="783">
        <f>Gegenstände!AF287</f>
        <v>0</v>
      </c>
      <c r="AB287" s="3">
        <f>Gegenstände!M287</f>
        <v>5</v>
      </c>
      <c r="AC287" s="3">
        <f>Gegenstände!AB287</f>
        <v>0</v>
      </c>
      <c r="AD287" s="3">
        <f>Gegenstände!F287</f>
        <v>0</v>
      </c>
    </row>
    <row r="288" spans="1:30" x14ac:dyDescent="0.2">
      <c r="A288" s="3">
        <f>Gegenstände!A288</f>
        <v>2161</v>
      </c>
      <c r="B288" s="3" t="str">
        <f>Gegenstände!B288</f>
        <v>Quarz-Kriegshammer</v>
      </c>
      <c r="D288" s="3">
        <f>Gegenstände!K288</f>
        <v>5400</v>
      </c>
      <c r="E288" s="3">
        <f>Gegenstände!I288</f>
        <v>2</v>
      </c>
      <c r="F288" s="3">
        <f>VLOOKUP(Gegenstände!E288,Berechnungen!$E$87:$F$115,2,FALSE)</f>
        <v>7</v>
      </c>
      <c r="G288" s="3">
        <f>Gegenstände!H288</f>
        <v>2</v>
      </c>
      <c r="H288" s="3">
        <f>Gegenstände!G288</f>
        <v>4</v>
      </c>
      <c r="I288" s="3">
        <f>Gegenstände!D288</f>
        <v>10</v>
      </c>
      <c r="J288" s="168">
        <f>ROUND(Gegenstände!N288,0)</f>
        <v>12000</v>
      </c>
      <c r="K288" s="3">
        <f>Gegenstände!J288</f>
        <v>100</v>
      </c>
      <c r="L288" s="3">
        <f>Gegenstände!L288</f>
        <v>0</v>
      </c>
      <c r="M288" s="3">
        <f>Gegenstände!Z288</f>
        <v>0</v>
      </c>
      <c r="N288" s="783">
        <f>(Gegenstände!Y288*10)</f>
        <v>0</v>
      </c>
      <c r="O288" s="783">
        <f>(Gegenstände!W288*10)</f>
        <v>0</v>
      </c>
      <c r="P288" s="783">
        <f>Gegenstände!AA288*10</f>
        <v>0</v>
      </c>
      <c r="Q288" s="783">
        <f>Gegenstände!O288</f>
        <v>2</v>
      </c>
      <c r="R288" s="168">
        <f>Gegenstände!S288</f>
        <v>36</v>
      </c>
      <c r="S288" s="168">
        <f>Gegenstände!T288</f>
        <v>108</v>
      </c>
      <c r="T288" s="783">
        <f>Gegenstände!AC288</f>
        <v>0</v>
      </c>
      <c r="U288" s="783">
        <f>Gegenstände!AE288</f>
        <v>0</v>
      </c>
      <c r="V288" s="783">
        <f>Gegenstände!AD288</f>
        <v>0</v>
      </c>
      <c r="W288" s="783">
        <f>Gegenstände!AF288</f>
        <v>0</v>
      </c>
      <c r="AB288" s="3">
        <f>Gegenstände!M288</f>
        <v>0</v>
      </c>
      <c r="AC288" s="3">
        <f>Gegenstände!AB288</f>
        <v>0</v>
      </c>
      <c r="AD288" s="3">
        <f>Gegenstände!F288</f>
        <v>0</v>
      </c>
    </row>
    <row r="289" spans="1:30" x14ac:dyDescent="0.2">
      <c r="A289" s="3">
        <f>Gegenstände!A289</f>
        <v>2162</v>
      </c>
      <c r="B289" s="3" t="str">
        <f>Gegenstände!B289</f>
        <v>Smaragd-Kriegshammer</v>
      </c>
      <c r="D289" s="3">
        <f>Gegenstände!K289</f>
        <v>5800</v>
      </c>
      <c r="E289" s="3">
        <f>Gegenstände!I289</f>
        <v>2</v>
      </c>
      <c r="F289" s="3">
        <f>VLOOKUP(Gegenstände!E289,Berechnungen!$E$87:$F$115,2,FALSE)</f>
        <v>7</v>
      </c>
      <c r="G289" s="3">
        <f>Gegenstände!H289</f>
        <v>2</v>
      </c>
      <c r="H289" s="3">
        <f>Gegenstände!G289</f>
        <v>4</v>
      </c>
      <c r="I289" s="3">
        <f>Gegenstände!D289</f>
        <v>15</v>
      </c>
      <c r="J289" s="168">
        <f>ROUND(Gegenstände!N289,0)</f>
        <v>24200</v>
      </c>
      <c r="K289" s="3">
        <f>Gegenstände!J289</f>
        <v>100</v>
      </c>
      <c r="L289" s="3">
        <f>Gegenstände!L289</f>
        <v>0</v>
      </c>
      <c r="M289" s="3">
        <f>Gegenstände!Z289</f>
        <v>0</v>
      </c>
      <c r="N289" s="783">
        <f>(Gegenstände!Y289*10)</f>
        <v>0</v>
      </c>
      <c r="O289" s="783">
        <f>(Gegenstände!W289*10)</f>
        <v>0</v>
      </c>
      <c r="P289" s="783">
        <f>Gegenstände!AA289*10</f>
        <v>0</v>
      </c>
      <c r="Q289" s="783">
        <f>Gegenstände!O289</f>
        <v>2</v>
      </c>
      <c r="R289" s="168">
        <f>Gegenstände!S289</f>
        <v>49</v>
      </c>
      <c r="S289" s="168">
        <f>Gegenstände!T289</f>
        <v>146</v>
      </c>
      <c r="T289" s="783">
        <f>Gegenstände!AC289</f>
        <v>0</v>
      </c>
      <c r="U289" s="783">
        <f>Gegenstände!AE289</f>
        <v>0</v>
      </c>
      <c r="V289" s="783">
        <f>Gegenstände!AD289</f>
        <v>0</v>
      </c>
      <c r="W289" s="783">
        <f>Gegenstände!AF289</f>
        <v>0</v>
      </c>
      <c r="AB289" s="3">
        <f>Gegenstände!M289</f>
        <v>0</v>
      </c>
      <c r="AC289" s="3">
        <f>Gegenstände!AB289</f>
        <v>0</v>
      </c>
      <c r="AD289" s="3">
        <f>Gegenstände!F289</f>
        <v>0</v>
      </c>
    </row>
    <row r="290" spans="1:30" x14ac:dyDescent="0.2">
      <c r="A290" s="3">
        <f>Gegenstände!A290</f>
        <v>2163</v>
      </c>
      <c r="B290" s="3" t="str">
        <f>Gegenstände!B290</f>
        <v>Rubin-Kriegshammer</v>
      </c>
      <c r="D290" s="3">
        <f>Gegenstände!K290</f>
        <v>5500</v>
      </c>
      <c r="E290" s="3">
        <f>Gegenstände!I290</f>
        <v>2</v>
      </c>
      <c r="F290" s="3">
        <f>VLOOKUP(Gegenstände!E290,Berechnungen!$E$87:$F$115,2,FALSE)</f>
        <v>7</v>
      </c>
      <c r="G290" s="3">
        <f>Gegenstände!H290</f>
        <v>2</v>
      </c>
      <c r="H290" s="3">
        <f>Gegenstände!G290</f>
        <v>4</v>
      </c>
      <c r="I290" s="3">
        <f>Gegenstände!D290</f>
        <v>20</v>
      </c>
      <c r="J290" s="168">
        <f>ROUND(Gegenstände!N290,0)</f>
        <v>46000</v>
      </c>
      <c r="K290" s="3">
        <f>Gegenstände!J290</f>
        <v>100</v>
      </c>
      <c r="L290" s="3">
        <f>Gegenstände!L290</f>
        <v>0</v>
      </c>
      <c r="M290" s="3">
        <f>Gegenstände!Z290</f>
        <v>0</v>
      </c>
      <c r="N290" s="783">
        <f>(Gegenstände!Y290*10)</f>
        <v>0</v>
      </c>
      <c r="O290" s="783">
        <f>(Gegenstände!W290*10)</f>
        <v>0</v>
      </c>
      <c r="P290" s="783">
        <f>Gegenstände!AA290*10</f>
        <v>0</v>
      </c>
      <c r="Q290" s="783">
        <f>Gegenstände!O290</f>
        <v>2</v>
      </c>
      <c r="R290" s="168">
        <f>Gegenstände!S290</f>
        <v>63</v>
      </c>
      <c r="S290" s="168">
        <f>Gegenstände!T290</f>
        <v>188</v>
      </c>
      <c r="T290" s="783">
        <f>Gegenstände!AC290</f>
        <v>0</v>
      </c>
      <c r="U290" s="783">
        <f>Gegenstände!AE290</f>
        <v>0</v>
      </c>
      <c r="V290" s="783">
        <f>Gegenstände!AD290</f>
        <v>0</v>
      </c>
      <c r="W290" s="783">
        <f>Gegenstände!AF290</f>
        <v>0</v>
      </c>
      <c r="AB290" s="3">
        <f>Gegenstände!M290</f>
        <v>0</v>
      </c>
      <c r="AC290" s="3">
        <f>Gegenstände!AB290</f>
        <v>0</v>
      </c>
      <c r="AD290" s="3">
        <f>Gegenstände!F290</f>
        <v>0</v>
      </c>
    </row>
    <row r="291" spans="1:30" x14ac:dyDescent="0.2">
      <c r="A291" s="3">
        <f>Gegenstände!A291</f>
        <v>2164</v>
      </c>
      <c r="B291" s="3" t="str">
        <f>Gegenstände!B291</f>
        <v>Obsidian-Kriegshammer</v>
      </c>
      <c r="D291" s="3">
        <f>Gegenstände!K291</f>
        <v>5600</v>
      </c>
      <c r="E291" s="3">
        <f>Gegenstände!I291</f>
        <v>2</v>
      </c>
      <c r="F291" s="3">
        <f>VLOOKUP(Gegenstände!E291,Berechnungen!$E$87:$F$115,2,FALSE)</f>
        <v>7</v>
      </c>
      <c r="G291" s="3">
        <f>Gegenstände!H291</f>
        <v>2</v>
      </c>
      <c r="H291" s="3">
        <f>Gegenstände!G291</f>
        <v>4</v>
      </c>
      <c r="I291" s="3">
        <f>Gegenstände!D291</f>
        <v>25</v>
      </c>
      <c r="J291" s="168">
        <f>ROUND(Gegenstände!N291,0)</f>
        <v>82300</v>
      </c>
      <c r="K291" s="3">
        <f>Gegenstände!J291</f>
        <v>100</v>
      </c>
      <c r="L291" s="3">
        <f>Gegenstände!L291</f>
        <v>0</v>
      </c>
      <c r="M291" s="3">
        <f>Gegenstände!Z291</f>
        <v>0</v>
      </c>
      <c r="N291" s="783">
        <f>(Gegenstände!Y291*10)</f>
        <v>0</v>
      </c>
      <c r="O291" s="783">
        <f>(Gegenstände!W291*10)</f>
        <v>0</v>
      </c>
      <c r="P291" s="783">
        <f>Gegenstände!AA291*10</f>
        <v>0</v>
      </c>
      <c r="Q291" s="783">
        <f>Gegenstände!O291</f>
        <v>2</v>
      </c>
      <c r="R291" s="168">
        <f>Gegenstände!S291</f>
        <v>78</v>
      </c>
      <c r="S291" s="168">
        <f>Gegenstände!T291</f>
        <v>234</v>
      </c>
      <c r="T291" s="783">
        <f>Gegenstände!AC291</f>
        <v>0</v>
      </c>
      <c r="U291" s="783">
        <f>Gegenstände!AE291</f>
        <v>0</v>
      </c>
      <c r="V291" s="783">
        <f>Gegenstände!AD291</f>
        <v>0</v>
      </c>
      <c r="W291" s="783">
        <f>Gegenstände!AF291</f>
        <v>0</v>
      </c>
      <c r="AB291" s="3">
        <f>Gegenstände!M291</f>
        <v>0</v>
      </c>
      <c r="AC291" s="3">
        <f>Gegenstände!AB291</f>
        <v>0</v>
      </c>
      <c r="AD291" s="3">
        <f>Gegenstände!F291</f>
        <v>0</v>
      </c>
    </row>
    <row r="292" spans="1:30" x14ac:dyDescent="0.2">
      <c r="A292" s="3">
        <f>Gegenstände!A292</f>
        <v>0</v>
      </c>
      <c r="B292" s="3" t="str">
        <f>Gegenstände!B292</f>
        <v>Stangenwaffen</v>
      </c>
      <c r="D292" s="3">
        <f>Gegenstände!K292</f>
        <v>0</v>
      </c>
      <c r="E292" s="3">
        <f>Gegenstände!I292</f>
        <v>0</v>
      </c>
      <c r="F292" s="3" t="e">
        <f>VLOOKUP(Gegenstände!E292,Berechnungen!$E$87:$F$115,2,FALSE)</f>
        <v>#N/A</v>
      </c>
      <c r="G292" s="3">
        <f>Gegenstände!H292</f>
        <v>0</v>
      </c>
      <c r="H292" s="3">
        <f>Gegenstände!G292</f>
        <v>0</v>
      </c>
      <c r="I292" s="3">
        <f>Gegenstände!D292</f>
        <v>0</v>
      </c>
      <c r="J292" s="168">
        <f>ROUND(Gegenstände!N292,0)</f>
        <v>0</v>
      </c>
      <c r="K292" s="3">
        <f>Gegenstände!J292</f>
        <v>0</v>
      </c>
      <c r="L292" s="3">
        <f>Gegenstände!L292</f>
        <v>0</v>
      </c>
      <c r="M292" s="3">
        <f>Gegenstände!Z292</f>
        <v>0</v>
      </c>
      <c r="N292" s="783">
        <f>(Gegenstände!Y292*10)</f>
        <v>0</v>
      </c>
      <c r="O292" s="783">
        <f>(Gegenstände!W292*10)</f>
        <v>0</v>
      </c>
      <c r="P292" s="783">
        <f>Gegenstände!AA292*10</f>
        <v>0</v>
      </c>
      <c r="Q292" s="783">
        <f>Gegenstände!O292</f>
        <v>3</v>
      </c>
      <c r="R292" s="168">
        <f>Gegenstände!S292</f>
        <v>0</v>
      </c>
      <c r="S292" s="168">
        <f>Gegenstände!T292</f>
        <v>0</v>
      </c>
      <c r="T292" s="783">
        <f>Gegenstände!AC292</f>
        <v>0</v>
      </c>
      <c r="U292" s="783">
        <f>Gegenstände!AE292</f>
        <v>0</v>
      </c>
      <c r="V292" s="783">
        <f>Gegenstände!AD292</f>
        <v>0</v>
      </c>
      <c r="W292" s="783">
        <f>Gegenstände!AF292</f>
        <v>0</v>
      </c>
      <c r="AB292" s="3">
        <f>Gegenstände!M292</f>
        <v>0</v>
      </c>
      <c r="AC292" s="3">
        <f>Gegenstände!AB292</f>
        <v>0</v>
      </c>
      <c r="AD292" s="3">
        <f>Gegenstände!F292</f>
        <v>0</v>
      </c>
    </row>
    <row r="293" spans="1:30" x14ac:dyDescent="0.2">
      <c r="A293" s="3">
        <f>Gegenstände!A293</f>
        <v>1171</v>
      </c>
      <c r="B293" s="3" t="str">
        <f>Gegenstände!B293</f>
        <v>Speer</v>
      </c>
      <c r="D293" s="3">
        <f>Gegenstände!K293</f>
        <v>4600</v>
      </c>
      <c r="E293" s="3">
        <f>Gegenstände!I293</f>
        <v>2</v>
      </c>
      <c r="F293" s="3">
        <f>VLOOKUP(Gegenstände!E293,Berechnungen!$E$87:$F$115,2,FALSE)</f>
        <v>8</v>
      </c>
      <c r="G293" s="3">
        <f>Gegenstände!H293</f>
        <v>1</v>
      </c>
      <c r="H293" s="3">
        <f>Gegenstände!G293</f>
        <v>5</v>
      </c>
      <c r="I293" s="3">
        <f>Gegenstände!D293</f>
        <v>1</v>
      </c>
      <c r="J293" s="168">
        <f>ROUND(Gegenstände!N293,0)</f>
        <v>2000</v>
      </c>
      <c r="K293" s="3">
        <f>Gegenstände!J293</f>
        <v>100</v>
      </c>
      <c r="L293" s="3">
        <f>Gegenstände!L293</f>
        <v>0</v>
      </c>
      <c r="M293" s="3">
        <f>Gegenstände!Z293</f>
        <v>0</v>
      </c>
      <c r="N293" s="783">
        <f>(Gegenstände!Y293*10)</f>
        <v>0</v>
      </c>
      <c r="O293" s="783">
        <f>(Gegenstände!W293*10)</f>
        <v>0</v>
      </c>
      <c r="P293" s="783">
        <f>Gegenstände!AA293*10</f>
        <v>0</v>
      </c>
      <c r="Q293" s="783">
        <f>Gegenstände!O293</f>
        <v>3</v>
      </c>
      <c r="R293" s="168">
        <f>Gegenstände!S293</f>
        <v>12</v>
      </c>
      <c r="S293" s="168">
        <f>Gegenstände!T293</f>
        <v>21</v>
      </c>
      <c r="T293" s="783">
        <f>Gegenstände!AC293</f>
        <v>0</v>
      </c>
      <c r="U293" s="783">
        <f>Gegenstände!AE293</f>
        <v>0</v>
      </c>
      <c r="V293" s="783">
        <f>Gegenstände!AD293</f>
        <v>0</v>
      </c>
      <c r="W293" s="783">
        <f>Gegenstände!AF293</f>
        <v>0</v>
      </c>
      <c r="AB293" s="3">
        <f>Gegenstände!M293</f>
        <v>1</v>
      </c>
      <c r="AC293" s="3">
        <f>Gegenstände!AB293</f>
        <v>0</v>
      </c>
      <c r="AD293" s="3">
        <f>Gegenstände!F293</f>
        <v>0</v>
      </c>
    </row>
    <row r="294" spans="1:30" x14ac:dyDescent="0.2">
      <c r="A294" s="3">
        <f>Gegenstände!A294</f>
        <v>1172</v>
      </c>
      <c r="B294" s="3" t="str">
        <f>Gegenstände!B294</f>
        <v>Bauernsense</v>
      </c>
      <c r="D294" s="3">
        <f>Gegenstände!K294</f>
        <v>4900</v>
      </c>
      <c r="E294" s="3">
        <f>Gegenstände!I294</f>
        <v>2</v>
      </c>
      <c r="F294" s="3">
        <f>VLOOKUP(Gegenstände!E294,Berechnungen!$E$87:$F$115,2,FALSE)</f>
        <v>8</v>
      </c>
      <c r="G294" s="3">
        <f>Gegenstände!H294</f>
        <v>1</v>
      </c>
      <c r="H294" s="3">
        <f>Gegenstände!G294</f>
        <v>5</v>
      </c>
      <c r="I294" s="3">
        <f>Gegenstände!D294</f>
        <v>4</v>
      </c>
      <c r="J294" s="168">
        <f>ROUND(Gegenstände!N294,0)</f>
        <v>3000</v>
      </c>
      <c r="K294" s="3">
        <f>Gegenstände!J294</f>
        <v>100</v>
      </c>
      <c r="L294" s="3">
        <f>Gegenstände!L294</f>
        <v>0</v>
      </c>
      <c r="M294" s="3">
        <f>Gegenstände!Z294</f>
        <v>0</v>
      </c>
      <c r="N294" s="783">
        <f>(Gegenstände!Y294*10)</f>
        <v>0</v>
      </c>
      <c r="O294" s="783">
        <f>(Gegenstände!W294*10)</f>
        <v>0</v>
      </c>
      <c r="P294" s="783">
        <f>Gegenstände!AA294*10</f>
        <v>0</v>
      </c>
      <c r="Q294" s="783">
        <f>Gegenstände!O294</f>
        <v>3</v>
      </c>
      <c r="R294" s="168">
        <f>Gegenstände!S294</f>
        <v>19</v>
      </c>
      <c r="S294" s="168">
        <f>Gegenstände!T294</f>
        <v>31</v>
      </c>
      <c r="T294" s="783">
        <f>Gegenstände!AC294</f>
        <v>0</v>
      </c>
      <c r="U294" s="783">
        <f>Gegenstände!AE294</f>
        <v>0</v>
      </c>
      <c r="V294" s="783">
        <f>Gegenstände!AD294</f>
        <v>0</v>
      </c>
      <c r="W294" s="783">
        <f>Gegenstände!AF294</f>
        <v>0</v>
      </c>
      <c r="AB294" s="3">
        <f>Gegenstände!M294</f>
        <v>1</v>
      </c>
      <c r="AC294" s="3">
        <f>Gegenstände!AB294</f>
        <v>0</v>
      </c>
      <c r="AD294" s="3">
        <f>Gegenstände!F294</f>
        <v>0</v>
      </c>
    </row>
    <row r="295" spans="1:30" x14ac:dyDescent="0.2">
      <c r="A295" s="3">
        <f>Gegenstände!A295</f>
        <v>1173</v>
      </c>
      <c r="B295" s="3" t="str">
        <f>Gegenstände!B295</f>
        <v>Jagdspeer</v>
      </c>
      <c r="D295" s="3">
        <f>Gegenstände!K295</f>
        <v>4200</v>
      </c>
      <c r="E295" s="3">
        <f>Gegenstände!I295</f>
        <v>2</v>
      </c>
      <c r="F295" s="3">
        <f>VLOOKUP(Gegenstände!E295,Berechnungen!$E$87:$F$115,2,FALSE)</f>
        <v>8</v>
      </c>
      <c r="G295" s="3">
        <f>Gegenstände!H295</f>
        <v>1</v>
      </c>
      <c r="H295" s="3">
        <f>Gegenstände!G295</f>
        <v>5</v>
      </c>
      <c r="I295" s="3">
        <f>Gegenstände!D295</f>
        <v>6</v>
      </c>
      <c r="J295" s="168">
        <f>ROUND(Gegenstände!N295,0)</f>
        <v>4000</v>
      </c>
      <c r="K295" s="3">
        <f>Gegenstände!J295</f>
        <v>100</v>
      </c>
      <c r="L295" s="3">
        <f>Gegenstände!L295</f>
        <v>0</v>
      </c>
      <c r="M295" s="3">
        <f>Gegenstände!Z295</f>
        <v>0</v>
      </c>
      <c r="N295" s="783">
        <f>(Gegenstände!Y295*10)</f>
        <v>0</v>
      </c>
      <c r="O295" s="783">
        <f>(Gegenstände!W295*10)</f>
        <v>0</v>
      </c>
      <c r="P295" s="783">
        <f>Gegenstände!AA295*10</f>
        <v>0</v>
      </c>
      <c r="Q295" s="783">
        <f>Gegenstände!O295</f>
        <v>3</v>
      </c>
      <c r="R295" s="168">
        <f>Gegenstände!S295</f>
        <v>23</v>
      </c>
      <c r="S295" s="168">
        <f>Gegenstände!T295</f>
        <v>38</v>
      </c>
      <c r="T295" s="783">
        <f>Gegenstände!AC295</f>
        <v>0</v>
      </c>
      <c r="U295" s="783">
        <f>Gegenstände!AE295</f>
        <v>0</v>
      </c>
      <c r="V295" s="783">
        <f>Gegenstände!AD295</f>
        <v>0</v>
      </c>
      <c r="W295" s="783">
        <f>Gegenstände!AF295</f>
        <v>0</v>
      </c>
      <c r="AB295" s="3">
        <f>Gegenstände!M295</f>
        <v>2</v>
      </c>
      <c r="AC295" s="3">
        <f>Gegenstände!AB295</f>
        <v>0</v>
      </c>
      <c r="AD295" s="3">
        <f>Gegenstände!F295</f>
        <v>0</v>
      </c>
    </row>
    <row r="296" spans="1:30" x14ac:dyDescent="0.2">
      <c r="A296" s="3">
        <f>Gegenstände!A296</f>
        <v>1174</v>
      </c>
      <c r="B296" s="3" t="str">
        <f>Gegenstände!B296</f>
        <v>Sense</v>
      </c>
      <c r="D296" s="3">
        <f>Gegenstände!K296</f>
        <v>4600</v>
      </c>
      <c r="E296" s="3">
        <f>Gegenstände!I296</f>
        <v>2</v>
      </c>
      <c r="F296" s="3">
        <f>VLOOKUP(Gegenstände!E296,Berechnungen!$E$87:$F$115,2,FALSE)</f>
        <v>8</v>
      </c>
      <c r="G296" s="3">
        <f>Gegenstände!H296</f>
        <v>1</v>
      </c>
      <c r="H296" s="3">
        <f>Gegenstände!G296</f>
        <v>5</v>
      </c>
      <c r="I296" s="3">
        <f>Gegenstände!D296</f>
        <v>9</v>
      </c>
      <c r="J296" s="168">
        <f>ROUND(Gegenstände!N296,0)</f>
        <v>6100</v>
      </c>
      <c r="K296" s="3">
        <f>Gegenstände!J296</f>
        <v>100</v>
      </c>
      <c r="L296" s="3">
        <f>Gegenstände!L296</f>
        <v>0</v>
      </c>
      <c r="M296" s="3">
        <f>Gegenstände!Z296</f>
        <v>0</v>
      </c>
      <c r="N296" s="783">
        <f>(Gegenstände!Y296*10)</f>
        <v>0</v>
      </c>
      <c r="O296" s="783">
        <f>(Gegenstände!W296*10)</f>
        <v>0</v>
      </c>
      <c r="P296" s="783">
        <f>Gegenstände!AA296*10</f>
        <v>0</v>
      </c>
      <c r="Q296" s="783">
        <f>Gegenstände!O296</f>
        <v>3</v>
      </c>
      <c r="R296" s="168">
        <f>Gegenstände!S296</f>
        <v>30</v>
      </c>
      <c r="S296" s="168">
        <f>Gegenstände!T296</f>
        <v>50</v>
      </c>
      <c r="T296" s="783">
        <f>Gegenstände!AC296</f>
        <v>0</v>
      </c>
      <c r="U296" s="783">
        <f>Gegenstände!AE296</f>
        <v>0</v>
      </c>
      <c r="V296" s="783">
        <f>Gegenstände!AD296</f>
        <v>0</v>
      </c>
      <c r="W296" s="783">
        <f>Gegenstände!AF296</f>
        <v>0</v>
      </c>
      <c r="AB296" s="3">
        <f>Gegenstände!M296</f>
        <v>2</v>
      </c>
      <c r="AC296" s="3">
        <f>Gegenstände!AB296</f>
        <v>0</v>
      </c>
      <c r="AD296" s="3">
        <f>Gegenstände!F296</f>
        <v>0</v>
      </c>
    </row>
    <row r="297" spans="1:30" x14ac:dyDescent="0.2">
      <c r="A297" s="3">
        <f>Gegenstände!A297</f>
        <v>1175</v>
      </c>
      <c r="B297" s="3" t="str">
        <f>Gegenstände!B297</f>
        <v>Pike</v>
      </c>
      <c r="D297" s="3">
        <f>Gegenstände!K297</f>
        <v>4400</v>
      </c>
      <c r="E297" s="3">
        <f>Gegenstände!I297</f>
        <v>2</v>
      </c>
      <c r="F297" s="3">
        <f>VLOOKUP(Gegenstände!E297,Berechnungen!$E$87:$F$115,2,FALSE)</f>
        <v>8</v>
      </c>
      <c r="G297" s="3">
        <f>Gegenstände!H297</f>
        <v>1</v>
      </c>
      <c r="H297" s="3">
        <f>Gegenstände!G297</f>
        <v>5</v>
      </c>
      <c r="I297" s="3">
        <f>Gegenstände!D297</f>
        <v>11</v>
      </c>
      <c r="J297" s="168">
        <f>ROUND(Gegenstände!N297,0)</f>
        <v>8100</v>
      </c>
      <c r="K297" s="3">
        <f>Gegenstände!J297</f>
        <v>100</v>
      </c>
      <c r="L297" s="3">
        <f>Gegenstände!L297</f>
        <v>0</v>
      </c>
      <c r="M297" s="3">
        <f>Gegenstände!Z297</f>
        <v>0</v>
      </c>
      <c r="N297" s="783">
        <f>(Gegenstände!Y297*10)</f>
        <v>0</v>
      </c>
      <c r="O297" s="783">
        <f>(Gegenstände!W297*10)</f>
        <v>0</v>
      </c>
      <c r="P297" s="783">
        <f>Gegenstände!AA297*10</f>
        <v>0</v>
      </c>
      <c r="Q297" s="783">
        <f>Gegenstände!O297</f>
        <v>3</v>
      </c>
      <c r="R297" s="168">
        <f>Gegenstände!S297</f>
        <v>35</v>
      </c>
      <c r="S297" s="168">
        <f>Gegenstände!T297</f>
        <v>58</v>
      </c>
      <c r="T297" s="783">
        <f>Gegenstände!AC297</f>
        <v>0</v>
      </c>
      <c r="U297" s="783">
        <f>Gegenstände!AE297</f>
        <v>0</v>
      </c>
      <c r="V297" s="783">
        <f>Gegenstände!AD297</f>
        <v>0</v>
      </c>
      <c r="W297" s="783">
        <f>Gegenstände!AF297</f>
        <v>0</v>
      </c>
      <c r="AB297" s="3">
        <f>Gegenstände!M297</f>
        <v>3</v>
      </c>
      <c r="AC297" s="3">
        <f>Gegenstände!AB297</f>
        <v>0</v>
      </c>
      <c r="AD297" s="3">
        <f>Gegenstände!F297</f>
        <v>0</v>
      </c>
    </row>
    <row r="298" spans="1:30" x14ac:dyDescent="0.2">
      <c r="A298" s="3">
        <f>Gegenstände!A298</f>
        <v>1176</v>
      </c>
      <c r="B298" s="3" t="str">
        <f>Gegenstände!B298</f>
        <v>Lanze</v>
      </c>
      <c r="D298" s="3">
        <f>Gegenstände!K298</f>
        <v>4800</v>
      </c>
      <c r="E298" s="3">
        <f>Gegenstände!I298</f>
        <v>2</v>
      </c>
      <c r="F298" s="3">
        <f>VLOOKUP(Gegenstände!E298,Berechnungen!$E$87:$F$115,2,FALSE)</f>
        <v>8</v>
      </c>
      <c r="G298" s="3">
        <f>Gegenstände!H298</f>
        <v>1</v>
      </c>
      <c r="H298" s="3">
        <f>Gegenstände!G298</f>
        <v>5</v>
      </c>
      <c r="I298" s="3">
        <f>Gegenstände!D298</f>
        <v>14</v>
      </c>
      <c r="J298" s="168">
        <f>ROUND(Gegenstände!N298,0)</f>
        <v>12300</v>
      </c>
      <c r="K298" s="3">
        <f>Gegenstände!J298</f>
        <v>100</v>
      </c>
      <c r="L298" s="3">
        <f>Gegenstände!L298</f>
        <v>0</v>
      </c>
      <c r="M298" s="3">
        <f>Gegenstände!Z298</f>
        <v>0</v>
      </c>
      <c r="N298" s="783">
        <f>(Gegenstände!Y298*10)</f>
        <v>0</v>
      </c>
      <c r="O298" s="783">
        <f>(Gegenstände!W298*10)</f>
        <v>0</v>
      </c>
      <c r="P298" s="783">
        <f>Gegenstände!AA298*10</f>
        <v>0</v>
      </c>
      <c r="Q298" s="783">
        <f>Gegenstände!O298</f>
        <v>3</v>
      </c>
      <c r="R298" s="168">
        <f>Gegenstände!S298</f>
        <v>43</v>
      </c>
      <c r="S298" s="168">
        <f>Gegenstände!T298</f>
        <v>71</v>
      </c>
      <c r="T298" s="783">
        <f>Gegenstände!AC298</f>
        <v>0</v>
      </c>
      <c r="U298" s="783">
        <f>Gegenstände!AE298</f>
        <v>0</v>
      </c>
      <c r="V298" s="783">
        <f>Gegenstände!AD298</f>
        <v>0</v>
      </c>
      <c r="W298" s="783">
        <f>Gegenstände!AF298</f>
        <v>0</v>
      </c>
      <c r="AB298" s="3">
        <f>Gegenstände!M298</f>
        <v>3</v>
      </c>
      <c r="AC298" s="3">
        <f>Gegenstände!AB298</f>
        <v>0</v>
      </c>
      <c r="AD298" s="3">
        <f>Gegenstände!F298</f>
        <v>0</v>
      </c>
    </row>
    <row r="299" spans="1:30" x14ac:dyDescent="0.2">
      <c r="A299" s="3">
        <f>Gegenstände!A299</f>
        <v>1177</v>
      </c>
      <c r="B299" s="3" t="str">
        <f>Gegenstände!B299</f>
        <v>Dreizack</v>
      </c>
      <c r="D299" s="3">
        <f>Gegenstände!K299</f>
        <v>4300</v>
      </c>
      <c r="E299" s="3">
        <f>Gegenstände!I299</f>
        <v>2</v>
      </c>
      <c r="F299" s="3">
        <f>VLOOKUP(Gegenstände!E299,Berechnungen!$E$87:$F$115,2,FALSE)</f>
        <v>8</v>
      </c>
      <c r="G299" s="3">
        <f>Gegenstände!H299</f>
        <v>1</v>
      </c>
      <c r="H299" s="3">
        <f>Gegenstände!G299</f>
        <v>5</v>
      </c>
      <c r="I299" s="3">
        <f>Gegenstände!D299</f>
        <v>16</v>
      </c>
      <c r="J299" s="168">
        <f>ROUND(Gegenstände!N299,0)</f>
        <v>16300</v>
      </c>
      <c r="K299" s="3">
        <f>Gegenstände!J299</f>
        <v>100</v>
      </c>
      <c r="L299" s="3">
        <f>Gegenstände!L299</f>
        <v>0</v>
      </c>
      <c r="M299" s="3">
        <f>Gegenstände!Z299</f>
        <v>0</v>
      </c>
      <c r="N299" s="783">
        <f>(Gegenstände!Y299*10)</f>
        <v>0</v>
      </c>
      <c r="O299" s="783">
        <f>(Gegenstände!W299*10)</f>
        <v>0</v>
      </c>
      <c r="P299" s="783">
        <f>Gegenstände!AA299*10</f>
        <v>0</v>
      </c>
      <c r="Q299" s="783">
        <f>Gegenstände!O299</f>
        <v>3</v>
      </c>
      <c r="R299" s="168">
        <f>Gegenstände!S299</f>
        <v>48</v>
      </c>
      <c r="S299" s="168">
        <f>Gegenstände!T299</f>
        <v>81</v>
      </c>
      <c r="T299" s="783">
        <f>Gegenstände!AC299</f>
        <v>0</v>
      </c>
      <c r="U299" s="783">
        <f>Gegenstände!AE299</f>
        <v>0</v>
      </c>
      <c r="V299" s="783">
        <f>Gegenstände!AD299</f>
        <v>0</v>
      </c>
      <c r="W299" s="783">
        <f>Gegenstände!AF299</f>
        <v>0</v>
      </c>
      <c r="AB299" s="3">
        <f>Gegenstände!M299</f>
        <v>4</v>
      </c>
      <c r="AC299" s="3">
        <f>Gegenstände!AB299</f>
        <v>0</v>
      </c>
      <c r="AD299" s="3">
        <f>Gegenstände!F299</f>
        <v>0</v>
      </c>
    </row>
    <row r="300" spans="1:30" x14ac:dyDescent="0.2">
      <c r="A300" s="3">
        <f>Gegenstände!A300</f>
        <v>1178</v>
      </c>
      <c r="B300" s="3" t="str">
        <f>Gegenstände!B300</f>
        <v>Hellebarde</v>
      </c>
      <c r="D300" s="3">
        <f>Gegenstände!K300</f>
        <v>5200</v>
      </c>
      <c r="E300" s="3">
        <f>Gegenstände!I300</f>
        <v>2</v>
      </c>
      <c r="F300" s="3">
        <f>VLOOKUP(Gegenstände!E300,Berechnungen!$E$87:$F$115,2,FALSE)</f>
        <v>8</v>
      </c>
      <c r="G300" s="3">
        <f>Gegenstände!H300</f>
        <v>1</v>
      </c>
      <c r="H300" s="3">
        <f>Gegenstände!G300</f>
        <v>5</v>
      </c>
      <c r="I300" s="3">
        <f>Gegenstände!D300</f>
        <v>19</v>
      </c>
      <c r="J300" s="168">
        <f>ROUND(Gegenstände!N300,0)</f>
        <v>24800</v>
      </c>
      <c r="K300" s="3">
        <f>Gegenstände!J300</f>
        <v>100</v>
      </c>
      <c r="L300" s="3">
        <f>Gegenstände!L300</f>
        <v>0</v>
      </c>
      <c r="M300" s="3">
        <f>Gegenstände!Z300</f>
        <v>0</v>
      </c>
      <c r="N300" s="783">
        <f>(Gegenstände!Y300*10)</f>
        <v>0</v>
      </c>
      <c r="O300" s="783">
        <f>(Gegenstände!W300*10)</f>
        <v>0</v>
      </c>
      <c r="P300" s="783">
        <f>Gegenstände!AA300*10</f>
        <v>0</v>
      </c>
      <c r="Q300" s="783">
        <f>Gegenstände!O300</f>
        <v>3</v>
      </c>
      <c r="R300" s="168">
        <f>Gegenstände!S300</f>
        <v>57</v>
      </c>
      <c r="S300" s="168">
        <f>Gegenstände!T300</f>
        <v>95</v>
      </c>
      <c r="T300" s="783">
        <f>Gegenstände!AC300</f>
        <v>0</v>
      </c>
      <c r="U300" s="783">
        <f>Gegenstände!AE300</f>
        <v>0</v>
      </c>
      <c r="V300" s="783">
        <f>Gegenstände!AD300</f>
        <v>0</v>
      </c>
      <c r="W300" s="783">
        <f>Gegenstände!AF300</f>
        <v>0</v>
      </c>
      <c r="AB300" s="3">
        <f>Gegenstände!M300</f>
        <v>4</v>
      </c>
      <c r="AC300" s="3">
        <f>Gegenstände!AB300</f>
        <v>0</v>
      </c>
      <c r="AD300" s="3">
        <f>Gegenstände!F300</f>
        <v>0</v>
      </c>
    </row>
    <row r="301" spans="1:30" x14ac:dyDescent="0.2">
      <c r="A301" s="3">
        <f>Gegenstände!A301</f>
        <v>1179</v>
      </c>
      <c r="B301" s="3" t="str">
        <f>Gegenstände!B301</f>
        <v>Drescher</v>
      </c>
      <c r="D301" s="3">
        <f>Gegenstände!K301</f>
        <v>5100</v>
      </c>
      <c r="E301" s="3">
        <f>Gegenstände!I301</f>
        <v>2</v>
      </c>
      <c r="F301" s="3">
        <f>VLOOKUP(Gegenstände!E301,Berechnungen!$E$87:$F$115,2,FALSE)</f>
        <v>8</v>
      </c>
      <c r="G301" s="3">
        <f>Gegenstände!H301</f>
        <v>1</v>
      </c>
      <c r="H301" s="3">
        <f>Gegenstände!G301</f>
        <v>5</v>
      </c>
      <c r="I301" s="3">
        <f>Gegenstände!D301</f>
        <v>22</v>
      </c>
      <c r="J301" s="168">
        <f>ROUND(Gegenstände!N301,0)</f>
        <v>37600</v>
      </c>
      <c r="K301" s="3">
        <f>Gegenstände!J301</f>
        <v>100</v>
      </c>
      <c r="L301" s="3">
        <f>Gegenstände!L301</f>
        <v>0</v>
      </c>
      <c r="M301" s="3">
        <f>Gegenstände!Z301</f>
        <v>0</v>
      </c>
      <c r="N301" s="783">
        <f>(Gegenstände!Y301*10)</f>
        <v>0</v>
      </c>
      <c r="O301" s="783">
        <f>(Gegenstände!W301*10)</f>
        <v>0</v>
      </c>
      <c r="P301" s="783">
        <f>Gegenstände!AA301*10</f>
        <v>0</v>
      </c>
      <c r="Q301" s="783">
        <f>Gegenstände!O301</f>
        <v>3</v>
      </c>
      <c r="R301" s="168">
        <f>Gegenstände!S301</f>
        <v>66</v>
      </c>
      <c r="S301" s="168">
        <f>Gegenstände!T301</f>
        <v>111</v>
      </c>
      <c r="T301" s="783">
        <f>Gegenstände!AC301</f>
        <v>0</v>
      </c>
      <c r="U301" s="783">
        <f>Gegenstände!AE301</f>
        <v>0</v>
      </c>
      <c r="V301" s="783">
        <f>Gegenstände!AD301</f>
        <v>0</v>
      </c>
      <c r="W301" s="783">
        <f>Gegenstände!AF301</f>
        <v>0</v>
      </c>
      <c r="AB301" s="3">
        <f>Gegenstände!M301</f>
        <v>5</v>
      </c>
      <c r="AC301" s="3">
        <f>Gegenstände!AB301</f>
        <v>0</v>
      </c>
      <c r="AD301" s="3">
        <f>Gegenstände!F301</f>
        <v>0</v>
      </c>
    </row>
    <row r="302" spans="1:30" x14ac:dyDescent="0.2">
      <c r="A302" s="3">
        <f>Gegenstände!A302</f>
        <v>1180</v>
      </c>
      <c r="B302" s="3" t="str">
        <f>Gegenstände!B302</f>
        <v>Kriegspike</v>
      </c>
      <c r="D302" s="3">
        <f>Gegenstände!K302</f>
        <v>4600</v>
      </c>
      <c r="E302" s="3">
        <f>Gegenstände!I302</f>
        <v>2</v>
      </c>
      <c r="F302" s="3">
        <f>VLOOKUP(Gegenstände!E302,Berechnungen!$E$87:$F$115,2,FALSE)</f>
        <v>8</v>
      </c>
      <c r="G302" s="3">
        <f>Gegenstände!H302</f>
        <v>1</v>
      </c>
      <c r="H302" s="3">
        <f>Gegenstände!G302</f>
        <v>5</v>
      </c>
      <c r="I302" s="3">
        <f>Gegenstände!D302</f>
        <v>25</v>
      </c>
      <c r="J302" s="168">
        <f>ROUND(Gegenstände!N302,0)</f>
        <v>57300</v>
      </c>
      <c r="K302" s="3">
        <f>Gegenstände!J302</f>
        <v>100</v>
      </c>
      <c r="L302" s="3">
        <f>Gegenstände!L302</f>
        <v>0</v>
      </c>
      <c r="M302" s="3">
        <f>Gegenstände!Z302</f>
        <v>0</v>
      </c>
      <c r="N302" s="783">
        <f>(Gegenstände!Y302*10)</f>
        <v>0</v>
      </c>
      <c r="O302" s="783">
        <f>(Gegenstände!W302*10)</f>
        <v>0</v>
      </c>
      <c r="P302" s="783">
        <f>Gegenstände!AA302*10</f>
        <v>0</v>
      </c>
      <c r="Q302" s="783">
        <f>Gegenstände!O302</f>
        <v>3</v>
      </c>
      <c r="R302" s="168">
        <f>Gegenstände!S302</f>
        <v>76</v>
      </c>
      <c r="S302" s="168">
        <f>Gegenstände!T302</f>
        <v>127</v>
      </c>
      <c r="T302" s="783">
        <f>Gegenstände!AC302</f>
        <v>0</v>
      </c>
      <c r="U302" s="783">
        <f>Gegenstände!AE302</f>
        <v>0</v>
      </c>
      <c r="V302" s="783">
        <f>Gegenstände!AD302</f>
        <v>0</v>
      </c>
      <c r="W302" s="783">
        <f>Gegenstände!AF302</f>
        <v>0</v>
      </c>
      <c r="AB302" s="3">
        <f>Gegenstände!M302</f>
        <v>5</v>
      </c>
      <c r="AC302" s="3">
        <f>Gegenstände!AB302</f>
        <v>0</v>
      </c>
      <c r="AD302" s="3">
        <f>Gegenstände!F302</f>
        <v>0</v>
      </c>
    </row>
    <row r="303" spans="1:30" x14ac:dyDescent="0.2">
      <c r="A303" s="3">
        <f>Gegenstände!A303</f>
        <v>2171</v>
      </c>
      <c r="B303" s="3" t="str">
        <f>Gegenstände!B303</f>
        <v>Kristall-Pike</v>
      </c>
      <c r="D303" s="3">
        <f>Gegenstände!K303</f>
        <v>4600</v>
      </c>
      <c r="E303" s="3">
        <f>Gegenstände!I303</f>
        <v>2</v>
      </c>
      <c r="F303" s="3">
        <f>VLOOKUP(Gegenstände!E303,Berechnungen!$E$87:$F$115,2,FALSE)</f>
        <v>8</v>
      </c>
      <c r="G303" s="3">
        <f>Gegenstände!H303</f>
        <v>2</v>
      </c>
      <c r="H303" s="3">
        <f>Gegenstände!G303</f>
        <v>5</v>
      </c>
      <c r="I303" s="3">
        <f>Gegenstände!D303</f>
        <v>4</v>
      </c>
      <c r="J303" s="168">
        <f>ROUND(Gegenstände!N303,0)</f>
        <v>5500</v>
      </c>
      <c r="K303" s="3">
        <f>Gegenstände!J303</f>
        <v>100</v>
      </c>
      <c r="L303" s="3">
        <f>Gegenstände!L303</f>
        <v>0</v>
      </c>
      <c r="M303" s="3">
        <f>Gegenstände!Z303</f>
        <v>0</v>
      </c>
      <c r="N303" s="783">
        <f>(Gegenstände!Y303*10)</f>
        <v>0</v>
      </c>
      <c r="O303" s="783">
        <f>(Gegenstände!W303*10)</f>
        <v>0</v>
      </c>
      <c r="P303" s="783">
        <f>Gegenstände!AA303*10</f>
        <v>0</v>
      </c>
      <c r="Q303" s="783">
        <f>Gegenstände!O303</f>
        <v>3</v>
      </c>
      <c r="R303" s="168">
        <f>Gegenstände!S303</f>
        <v>25</v>
      </c>
      <c r="S303" s="168">
        <f>Gegenstände!T303</f>
        <v>42</v>
      </c>
      <c r="T303" s="783">
        <f>Gegenstände!AC303</f>
        <v>0</v>
      </c>
      <c r="U303" s="783">
        <f>Gegenstände!AE303</f>
        <v>0</v>
      </c>
      <c r="V303" s="783">
        <f>Gegenstände!AD303</f>
        <v>0</v>
      </c>
      <c r="W303" s="783">
        <f>Gegenstände!AF303</f>
        <v>0</v>
      </c>
      <c r="AB303" s="3">
        <f>Gegenstände!M303</f>
        <v>0</v>
      </c>
      <c r="AC303" s="3">
        <f>Gegenstände!AB303</f>
        <v>0</v>
      </c>
      <c r="AD303" s="3">
        <f>Gegenstände!F303</f>
        <v>0</v>
      </c>
    </row>
    <row r="304" spans="1:30" x14ac:dyDescent="0.2">
      <c r="A304" s="3">
        <f>Gegenstände!A304</f>
        <v>2172</v>
      </c>
      <c r="B304" s="3" t="str">
        <f>Gegenstände!B304</f>
        <v>Quarz-Pike</v>
      </c>
      <c r="D304" s="3">
        <f>Gegenstände!K304</f>
        <v>4900</v>
      </c>
      <c r="E304" s="3">
        <f>Gegenstände!I304</f>
        <v>2</v>
      </c>
      <c r="F304" s="3">
        <f>VLOOKUP(Gegenstände!E304,Berechnungen!$E$87:$F$115,2,FALSE)</f>
        <v>8</v>
      </c>
      <c r="G304" s="3">
        <f>Gegenstände!H304</f>
        <v>2</v>
      </c>
      <c r="H304" s="3">
        <f>Gegenstände!G304</f>
        <v>5</v>
      </c>
      <c r="I304" s="3">
        <f>Gegenstände!D304</f>
        <v>9</v>
      </c>
      <c r="J304" s="168">
        <f>ROUND(Gegenstände!N304,0)</f>
        <v>11100</v>
      </c>
      <c r="K304" s="3">
        <f>Gegenstände!J304</f>
        <v>100</v>
      </c>
      <c r="L304" s="3">
        <f>Gegenstände!L304</f>
        <v>0</v>
      </c>
      <c r="M304" s="3">
        <f>Gegenstände!Z304</f>
        <v>0</v>
      </c>
      <c r="N304" s="783">
        <f>(Gegenstände!Y304*10)</f>
        <v>0</v>
      </c>
      <c r="O304" s="783">
        <f>(Gegenstände!W304*10)</f>
        <v>0</v>
      </c>
      <c r="P304" s="783">
        <f>Gegenstände!AA304*10</f>
        <v>0</v>
      </c>
      <c r="Q304" s="783">
        <f>Gegenstände!O304</f>
        <v>3</v>
      </c>
      <c r="R304" s="168">
        <f>Gegenstände!S304</f>
        <v>37</v>
      </c>
      <c r="S304" s="168">
        <f>Gegenstände!T304</f>
        <v>62</v>
      </c>
      <c r="T304" s="783">
        <f>Gegenstände!AC304</f>
        <v>0</v>
      </c>
      <c r="U304" s="783">
        <f>Gegenstände!AE304</f>
        <v>0</v>
      </c>
      <c r="V304" s="783">
        <f>Gegenstände!AD304</f>
        <v>0</v>
      </c>
      <c r="W304" s="783">
        <f>Gegenstände!AF304</f>
        <v>0</v>
      </c>
      <c r="AB304" s="3">
        <f>Gegenstände!M304</f>
        <v>0</v>
      </c>
      <c r="AC304" s="3">
        <f>Gegenstände!AB304</f>
        <v>0</v>
      </c>
      <c r="AD304" s="3">
        <f>Gegenstände!F304</f>
        <v>0</v>
      </c>
    </row>
    <row r="305" spans="1:30" x14ac:dyDescent="0.2">
      <c r="A305" s="3">
        <f>Gegenstände!A305</f>
        <v>2173</v>
      </c>
      <c r="B305" s="3" t="str">
        <f>Gegenstände!B305</f>
        <v>Smaragd-Pike</v>
      </c>
      <c r="D305" s="3">
        <f>Gegenstände!K305</f>
        <v>4200</v>
      </c>
      <c r="E305" s="3">
        <f>Gegenstände!I305</f>
        <v>2</v>
      </c>
      <c r="F305" s="3">
        <f>VLOOKUP(Gegenstände!E305,Berechnungen!$E$87:$F$115,2,FALSE)</f>
        <v>8</v>
      </c>
      <c r="G305" s="3">
        <f>Gegenstände!H305</f>
        <v>2</v>
      </c>
      <c r="H305" s="3">
        <f>Gegenstände!G305</f>
        <v>5</v>
      </c>
      <c r="I305" s="3">
        <f>Gegenstände!D305</f>
        <v>14</v>
      </c>
      <c r="J305" s="168">
        <f>ROUND(Gegenstände!N305,0)</f>
        <v>22300</v>
      </c>
      <c r="K305" s="3">
        <f>Gegenstände!J305</f>
        <v>100</v>
      </c>
      <c r="L305" s="3">
        <f>Gegenstände!L305</f>
        <v>0</v>
      </c>
      <c r="M305" s="3">
        <f>Gegenstände!Z305</f>
        <v>0</v>
      </c>
      <c r="N305" s="783">
        <f>(Gegenstände!Y305*10)</f>
        <v>0</v>
      </c>
      <c r="O305" s="783">
        <f>(Gegenstände!W305*10)</f>
        <v>0</v>
      </c>
      <c r="P305" s="783">
        <f>Gegenstände!AA305*10</f>
        <v>0</v>
      </c>
      <c r="Q305" s="783">
        <f>Gegenstände!O305</f>
        <v>3</v>
      </c>
      <c r="R305" s="168">
        <f>Gegenstände!S305</f>
        <v>51</v>
      </c>
      <c r="S305" s="168">
        <f>Gegenstände!T305</f>
        <v>85</v>
      </c>
      <c r="T305" s="783">
        <f>Gegenstände!AC305</f>
        <v>0</v>
      </c>
      <c r="U305" s="783">
        <f>Gegenstände!AE305</f>
        <v>0</v>
      </c>
      <c r="V305" s="783">
        <f>Gegenstände!AD305</f>
        <v>0</v>
      </c>
      <c r="W305" s="783">
        <f>Gegenstände!AF305</f>
        <v>0</v>
      </c>
      <c r="AB305" s="3">
        <f>Gegenstände!M305</f>
        <v>0</v>
      </c>
      <c r="AC305" s="3">
        <f>Gegenstände!AB305</f>
        <v>0</v>
      </c>
      <c r="AD305" s="3">
        <f>Gegenstände!F305</f>
        <v>0</v>
      </c>
    </row>
    <row r="306" spans="1:30" x14ac:dyDescent="0.2">
      <c r="A306" s="3">
        <f>Gegenstände!A306</f>
        <v>2174</v>
      </c>
      <c r="B306" s="3" t="str">
        <f>Gegenstände!B306</f>
        <v>Rubin-Pike</v>
      </c>
      <c r="D306" s="3">
        <f>Gegenstände!K306</f>
        <v>4600</v>
      </c>
      <c r="E306" s="3">
        <f>Gegenstände!I306</f>
        <v>2</v>
      </c>
      <c r="F306" s="3">
        <f>VLOOKUP(Gegenstände!E306,Berechnungen!$E$87:$F$115,2,FALSE)</f>
        <v>8</v>
      </c>
      <c r="G306" s="3">
        <f>Gegenstände!H306</f>
        <v>2</v>
      </c>
      <c r="H306" s="3">
        <f>Gegenstände!G306</f>
        <v>5</v>
      </c>
      <c r="I306" s="3">
        <f>Gegenstände!D306</f>
        <v>19</v>
      </c>
      <c r="J306" s="168">
        <f>ROUND(Gegenstände!N306,0)</f>
        <v>42300</v>
      </c>
      <c r="K306" s="3">
        <f>Gegenstände!J306</f>
        <v>100</v>
      </c>
      <c r="L306" s="3">
        <f>Gegenstände!L306</f>
        <v>0</v>
      </c>
      <c r="M306" s="3">
        <f>Gegenstände!Z306</f>
        <v>0</v>
      </c>
      <c r="N306" s="783">
        <f>(Gegenstände!Y306*10)</f>
        <v>0</v>
      </c>
      <c r="O306" s="783">
        <f>(Gegenstände!W306*10)</f>
        <v>0</v>
      </c>
      <c r="P306" s="783">
        <f>Gegenstände!AA306*10</f>
        <v>0</v>
      </c>
      <c r="Q306" s="783">
        <f>Gegenstände!O306</f>
        <v>3</v>
      </c>
      <c r="R306" s="168">
        <f>Gegenstände!S306</f>
        <v>66</v>
      </c>
      <c r="S306" s="168">
        <f>Gegenstände!T306</f>
        <v>111</v>
      </c>
      <c r="T306" s="783">
        <f>Gegenstände!AC306</f>
        <v>0</v>
      </c>
      <c r="U306" s="783">
        <f>Gegenstände!AE306</f>
        <v>0</v>
      </c>
      <c r="V306" s="783">
        <f>Gegenstände!AD306</f>
        <v>0</v>
      </c>
      <c r="W306" s="783">
        <f>Gegenstände!AF306</f>
        <v>0</v>
      </c>
      <c r="AB306" s="3">
        <f>Gegenstände!M306</f>
        <v>0</v>
      </c>
      <c r="AC306" s="3">
        <f>Gegenstände!AB306</f>
        <v>0</v>
      </c>
      <c r="AD306" s="3">
        <f>Gegenstände!F306</f>
        <v>0</v>
      </c>
    </row>
    <row r="307" spans="1:30" x14ac:dyDescent="0.2">
      <c r="A307" s="3">
        <f>Gegenstände!A307</f>
        <v>2175</v>
      </c>
      <c r="B307" s="3" t="str">
        <f>Gegenstände!B307</f>
        <v>Obsidian-Pike</v>
      </c>
      <c r="D307" s="3">
        <f>Gegenstände!K307</f>
        <v>4400</v>
      </c>
      <c r="E307" s="3">
        <f>Gegenstände!I307</f>
        <v>2</v>
      </c>
      <c r="F307" s="3">
        <f>VLOOKUP(Gegenstände!E307,Berechnungen!$E$87:$F$115,2,FALSE)</f>
        <v>8</v>
      </c>
      <c r="G307" s="3">
        <f>Gegenstände!H307</f>
        <v>2</v>
      </c>
      <c r="H307" s="3">
        <f>Gegenstände!G307</f>
        <v>5</v>
      </c>
      <c r="I307" s="3">
        <f>Gegenstände!D307</f>
        <v>25</v>
      </c>
      <c r="J307" s="168">
        <f>ROUND(Gegenstände!N307,0)</f>
        <v>82300</v>
      </c>
      <c r="K307" s="3">
        <f>Gegenstände!J307</f>
        <v>100</v>
      </c>
      <c r="L307" s="3">
        <f>Gegenstände!L307</f>
        <v>0</v>
      </c>
      <c r="M307" s="3">
        <f>Gegenstände!Z307</f>
        <v>0</v>
      </c>
      <c r="N307" s="783">
        <f>(Gegenstände!Y307*10)</f>
        <v>0</v>
      </c>
      <c r="O307" s="783">
        <f>(Gegenstände!W307*10)</f>
        <v>0</v>
      </c>
      <c r="P307" s="783">
        <f>Gegenstände!AA307*10</f>
        <v>0</v>
      </c>
      <c r="Q307" s="783">
        <f>Gegenstände!O307</f>
        <v>3</v>
      </c>
      <c r="R307" s="168">
        <f>Gegenstände!S307</f>
        <v>87</v>
      </c>
      <c r="S307" s="168">
        <f>Gegenstände!T307</f>
        <v>144</v>
      </c>
      <c r="T307" s="783">
        <f>Gegenstände!AC307</f>
        <v>0</v>
      </c>
      <c r="U307" s="783">
        <f>Gegenstände!AE307</f>
        <v>0</v>
      </c>
      <c r="V307" s="783">
        <f>Gegenstände!AD307</f>
        <v>0</v>
      </c>
      <c r="W307" s="783">
        <f>Gegenstände!AF307</f>
        <v>0</v>
      </c>
      <c r="AB307" s="3">
        <f>Gegenstände!M307</f>
        <v>0</v>
      </c>
      <c r="AC307" s="3">
        <f>Gegenstände!AB307</f>
        <v>0</v>
      </c>
      <c r="AD307" s="3">
        <f>Gegenstände!F307</f>
        <v>0</v>
      </c>
    </row>
    <row r="308" spans="1:30" x14ac:dyDescent="0.2">
      <c r="A308" s="3">
        <f>Gegenstände!A308</f>
        <v>0</v>
      </c>
      <c r="B308" s="3" t="str">
        <f>Gegenstände!B308</f>
        <v>Bögen</v>
      </c>
      <c r="D308" s="3">
        <f>Gegenstände!K308</f>
        <v>0</v>
      </c>
      <c r="E308" s="3">
        <f>Gegenstände!I308</f>
        <v>0</v>
      </c>
      <c r="F308" s="3" t="e">
        <f>VLOOKUP(Gegenstände!E308,Berechnungen!$E$87:$F$115,2,FALSE)</f>
        <v>#N/A</v>
      </c>
      <c r="G308" s="3">
        <f>Gegenstände!H308</f>
        <v>0</v>
      </c>
      <c r="H308" s="3">
        <f>Gegenstände!G308</f>
        <v>0</v>
      </c>
      <c r="I308" s="3">
        <f>Gegenstände!D308</f>
        <v>0</v>
      </c>
      <c r="J308" s="168">
        <f>ROUND(Gegenstände!N308,0)</f>
        <v>0</v>
      </c>
      <c r="K308" s="3">
        <f>Gegenstände!J308</f>
        <v>0</v>
      </c>
      <c r="L308" s="3">
        <f>Gegenstände!L308</f>
        <v>0</v>
      </c>
      <c r="M308" s="3">
        <f>Gegenstände!Z308</f>
        <v>0</v>
      </c>
      <c r="N308" s="783">
        <f>(Gegenstände!Y308*10)</f>
        <v>0</v>
      </c>
      <c r="O308" s="783">
        <f>(Gegenstände!W308*10)</f>
        <v>0</v>
      </c>
      <c r="P308" s="783">
        <f>Gegenstände!AA308*10</f>
        <v>0</v>
      </c>
      <c r="Q308" s="783">
        <f>Gegenstände!O308</f>
        <v>4</v>
      </c>
      <c r="R308" s="168">
        <f>Gegenstände!S308</f>
        <v>0</v>
      </c>
      <c r="S308" s="168">
        <f>Gegenstände!T308</f>
        <v>0</v>
      </c>
      <c r="T308" s="783">
        <f>Gegenstände!AC308</f>
        <v>0</v>
      </c>
      <c r="U308" s="783">
        <f>Gegenstände!AE308</f>
        <v>0</v>
      </c>
      <c r="V308" s="783">
        <f>Gegenstände!AD308</f>
        <v>0</v>
      </c>
      <c r="W308" s="783">
        <f>Gegenstände!AF308</f>
        <v>0</v>
      </c>
      <c r="AB308" s="3">
        <f>Gegenstände!M308</f>
        <v>0</v>
      </c>
      <c r="AC308" s="3">
        <f>Gegenstände!AB308</f>
        <v>0</v>
      </c>
      <c r="AD308" s="3">
        <f>Gegenstände!F308</f>
        <v>0</v>
      </c>
    </row>
    <row r="309" spans="1:30" x14ac:dyDescent="0.2">
      <c r="A309" s="3">
        <f>Gegenstände!A309</f>
        <v>1181</v>
      </c>
      <c r="B309" s="3" t="str">
        <f>Gegenstände!B309</f>
        <v>Kurzbogen</v>
      </c>
      <c r="D309" s="3">
        <f>Gegenstände!K309</f>
        <v>1800</v>
      </c>
      <c r="E309" s="3">
        <f>Gegenstände!I309</f>
        <v>4</v>
      </c>
      <c r="F309" s="3">
        <f>VLOOKUP(Gegenstände!E309,Berechnungen!$E$87:$F$115,2,FALSE)</f>
        <v>11</v>
      </c>
      <c r="G309" s="3">
        <f>Gegenstände!H309</f>
        <v>1</v>
      </c>
      <c r="H309" s="3">
        <f>Gegenstände!G309</f>
        <v>6</v>
      </c>
      <c r="I309" s="3">
        <f>Gegenstände!D309</f>
        <v>1</v>
      </c>
      <c r="J309" s="168">
        <f>ROUND(Gegenstände!N309,0)</f>
        <v>2000</v>
      </c>
      <c r="K309" s="3">
        <f>Gegenstände!J309</f>
        <v>100</v>
      </c>
      <c r="L309" s="3">
        <f>Gegenstände!L309</f>
        <v>0</v>
      </c>
      <c r="M309" s="3">
        <f>Gegenstände!Z309</f>
        <v>0</v>
      </c>
      <c r="N309" s="783">
        <f>(Gegenstände!Y309*10)</f>
        <v>0</v>
      </c>
      <c r="O309" s="783">
        <f>(Gegenstände!W309*10)</f>
        <v>0</v>
      </c>
      <c r="P309" s="783">
        <f>Gegenstände!AA309*10</f>
        <v>0</v>
      </c>
      <c r="Q309" s="783">
        <f>Gegenstände!O309</f>
        <v>4</v>
      </c>
      <c r="R309" s="168">
        <f>Gegenstände!S309</f>
        <v>10</v>
      </c>
      <c r="S309" s="168">
        <f>Gegenstände!T309</f>
        <v>15</v>
      </c>
      <c r="T309" s="783">
        <f>Gegenstände!AC309</f>
        <v>0</v>
      </c>
      <c r="U309" s="783">
        <f>Gegenstände!AE309</f>
        <v>0</v>
      </c>
      <c r="V309" s="783">
        <f>Gegenstände!AD309</f>
        <v>0</v>
      </c>
      <c r="W309" s="783">
        <f>Gegenstände!AF309</f>
        <v>0</v>
      </c>
      <c r="AB309" s="3">
        <f>Gegenstände!M309</f>
        <v>1</v>
      </c>
      <c r="AC309" s="3">
        <f>Gegenstände!AB309</f>
        <v>41</v>
      </c>
      <c r="AD309" s="3">
        <f>Gegenstände!F309</f>
        <v>0</v>
      </c>
    </row>
    <row r="310" spans="1:30" x14ac:dyDescent="0.2">
      <c r="A310" s="3">
        <f>Gegenstände!A310</f>
        <v>1182</v>
      </c>
      <c r="B310" s="3" t="str">
        <f>Gegenstände!B310</f>
        <v>Jagdbogen</v>
      </c>
      <c r="D310" s="3">
        <f>Gegenstände!K310</f>
        <v>1900</v>
      </c>
      <c r="E310" s="3">
        <f>Gegenstände!I310</f>
        <v>4</v>
      </c>
      <c r="F310" s="3">
        <f>VLOOKUP(Gegenstände!E310,Berechnungen!$E$87:$F$115,2,FALSE)</f>
        <v>11</v>
      </c>
      <c r="G310" s="3">
        <f>Gegenstände!H310</f>
        <v>1</v>
      </c>
      <c r="H310" s="3">
        <f>Gegenstände!G310</f>
        <v>6</v>
      </c>
      <c r="I310" s="3">
        <f>Gegenstände!D310</f>
        <v>4</v>
      </c>
      <c r="J310" s="168">
        <f>ROUND(Gegenstände!N310,0)</f>
        <v>3000</v>
      </c>
      <c r="K310" s="3">
        <f>Gegenstände!J310</f>
        <v>100</v>
      </c>
      <c r="L310" s="3">
        <f>Gegenstände!L310</f>
        <v>0</v>
      </c>
      <c r="M310" s="3">
        <f>Gegenstände!Z310</f>
        <v>0</v>
      </c>
      <c r="N310" s="783">
        <f>(Gegenstände!Y310*10)</f>
        <v>0</v>
      </c>
      <c r="O310" s="783">
        <f>(Gegenstände!W310*10)</f>
        <v>0</v>
      </c>
      <c r="P310" s="783">
        <f>Gegenstände!AA310*10</f>
        <v>0</v>
      </c>
      <c r="Q310" s="783">
        <f>Gegenstände!O310</f>
        <v>4</v>
      </c>
      <c r="R310" s="168">
        <f>Gegenstände!S310</f>
        <v>15</v>
      </c>
      <c r="S310" s="168">
        <f>Gegenstände!T310</f>
        <v>22</v>
      </c>
      <c r="T310" s="783">
        <f>Gegenstände!AC310</f>
        <v>0</v>
      </c>
      <c r="U310" s="783">
        <f>Gegenstände!AE310</f>
        <v>0</v>
      </c>
      <c r="V310" s="783">
        <f>Gegenstände!AD310</f>
        <v>0</v>
      </c>
      <c r="W310" s="783">
        <f>Gegenstände!AF310</f>
        <v>0</v>
      </c>
      <c r="AB310" s="3">
        <f>Gegenstände!M310</f>
        <v>1</v>
      </c>
      <c r="AC310" s="3">
        <f>Gegenstände!AB310</f>
        <v>41</v>
      </c>
      <c r="AD310" s="3">
        <f>Gegenstände!F310</f>
        <v>0</v>
      </c>
    </row>
    <row r="311" spans="1:30" x14ac:dyDescent="0.2">
      <c r="A311" s="3">
        <f>Gegenstände!A311</f>
        <v>1183</v>
      </c>
      <c r="B311" s="3" t="str">
        <f>Gegenstände!B311</f>
        <v>Kompositbogen</v>
      </c>
      <c r="D311" s="3">
        <f>Gegenstände!K311</f>
        <v>2400</v>
      </c>
      <c r="E311" s="3">
        <f>Gegenstände!I311</f>
        <v>4</v>
      </c>
      <c r="F311" s="3">
        <f>VLOOKUP(Gegenstände!E311,Berechnungen!$E$87:$F$115,2,FALSE)</f>
        <v>11</v>
      </c>
      <c r="G311" s="3">
        <f>Gegenstände!H311</f>
        <v>1</v>
      </c>
      <c r="H311" s="3">
        <f>Gegenstände!G311</f>
        <v>6</v>
      </c>
      <c r="I311" s="3">
        <f>Gegenstände!D311</f>
        <v>6</v>
      </c>
      <c r="J311" s="168">
        <f>ROUND(Gegenstände!N311,0)</f>
        <v>4000</v>
      </c>
      <c r="K311" s="3">
        <f>Gegenstände!J311</f>
        <v>100</v>
      </c>
      <c r="L311" s="3">
        <f>Gegenstände!L311</f>
        <v>0</v>
      </c>
      <c r="M311" s="3">
        <f>Gegenstände!Z311</f>
        <v>0</v>
      </c>
      <c r="N311" s="783">
        <f>(Gegenstände!Y311*10)</f>
        <v>0</v>
      </c>
      <c r="O311" s="783">
        <f>(Gegenstände!W311*10)</f>
        <v>0</v>
      </c>
      <c r="P311" s="783">
        <f>Gegenstände!AA311*10</f>
        <v>0</v>
      </c>
      <c r="Q311" s="783">
        <f>Gegenstände!O311</f>
        <v>4</v>
      </c>
      <c r="R311" s="168">
        <f>Gegenstände!S311</f>
        <v>18</v>
      </c>
      <c r="S311" s="168">
        <f>Gegenstände!T311</f>
        <v>27</v>
      </c>
      <c r="T311" s="783">
        <f>Gegenstände!AC311</f>
        <v>0</v>
      </c>
      <c r="U311" s="783">
        <f>Gegenstände!AE311</f>
        <v>0</v>
      </c>
      <c r="V311" s="783">
        <f>Gegenstände!AD311</f>
        <v>0</v>
      </c>
      <c r="W311" s="783">
        <f>Gegenstände!AF311</f>
        <v>0</v>
      </c>
      <c r="AB311" s="3">
        <f>Gegenstände!M311</f>
        <v>2</v>
      </c>
      <c r="AC311" s="3">
        <f>Gegenstände!AB311</f>
        <v>41</v>
      </c>
      <c r="AD311" s="3">
        <f>Gegenstände!F311</f>
        <v>0</v>
      </c>
    </row>
    <row r="312" spans="1:30" x14ac:dyDescent="0.2">
      <c r="A312" s="3">
        <f>Gegenstände!A312</f>
        <v>1184</v>
      </c>
      <c r="B312" s="3" t="str">
        <f>Gegenstände!B312</f>
        <v>Langbogen</v>
      </c>
      <c r="D312" s="3">
        <f>Gegenstände!K312</f>
        <v>2600</v>
      </c>
      <c r="E312" s="3">
        <f>Gegenstände!I312</f>
        <v>4</v>
      </c>
      <c r="F312" s="3">
        <f>VLOOKUP(Gegenstände!E312,Berechnungen!$E$87:$F$115,2,FALSE)</f>
        <v>11</v>
      </c>
      <c r="G312" s="3">
        <f>Gegenstände!H312</f>
        <v>1</v>
      </c>
      <c r="H312" s="3">
        <f>Gegenstände!G312</f>
        <v>6</v>
      </c>
      <c r="I312" s="3">
        <f>Gegenstände!D312</f>
        <v>9</v>
      </c>
      <c r="J312" s="168">
        <f>ROUND(Gegenstände!N312,0)</f>
        <v>6100</v>
      </c>
      <c r="K312" s="3">
        <f>Gegenstände!J312</f>
        <v>100</v>
      </c>
      <c r="L312" s="3">
        <f>Gegenstände!L312</f>
        <v>0</v>
      </c>
      <c r="M312" s="3">
        <f>Gegenstände!Z312</f>
        <v>0</v>
      </c>
      <c r="N312" s="783">
        <f>(Gegenstände!Y312*10)</f>
        <v>0</v>
      </c>
      <c r="O312" s="783">
        <f>(Gegenstände!W312*10)</f>
        <v>0</v>
      </c>
      <c r="P312" s="783">
        <f>Gegenstände!AA312*10</f>
        <v>0</v>
      </c>
      <c r="Q312" s="783">
        <f>Gegenstände!O312</f>
        <v>4</v>
      </c>
      <c r="R312" s="168">
        <f>Gegenstände!S312</f>
        <v>24</v>
      </c>
      <c r="S312" s="168">
        <f>Gegenstände!T312</f>
        <v>36</v>
      </c>
      <c r="T312" s="783">
        <f>Gegenstände!AC312</f>
        <v>0</v>
      </c>
      <c r="U312" s="783">
        <f>Gegenstände!AE312</f>
        <v>0</v>
      </c>
      <c r="V312" s="783">
        <f>Gegenstände!AD312</f>
        <v>0</v>
      </c>
      <c r="W312" s="783">
        <f>Gegenstände!AF312</f>
        <v>0</v>
      </c>
      <c r="AB312" s="3">
        <f>Gegenstände!M312</f>
        <v>2</v>
      </c>
      <c r="AC312" s="3">
        <f>Gegenstände!AB312</f>
        <v>41</v>
      </c>
      <c r="AD312" s="3">
        <f>Gegenstände!F312</f>
        <v>0</v>
      </c>
    </row>
    <row r="313" spans="1:30" x14ac:dyDescent="0.2">
      <c r="A313" s="3">
        <f>Gegenstände!A313</f>
        <v>1185</v>
      </c>
      <c r="B313" s="3" t="str">
        <f>Gegenstände!B313</f>
        <v>Spinnenbogen</v>
      </c>
      <c r="D313" s="3">
        <f>Gegenstände!K313</f>
        <v>2300</v>
      </c>
      <c r="E313" s="3">
        <f>Gegenstände!I313</f>
        <v>4</v>
      </c>
      <c r="F313" s="3">
        <f>VLOOKUP(Gegenstände!E313,Berechnungen!$E$87:$F$115,2,FALSE)</f>
        <v>11</v>
      </c>
      <c r="G313" s="3">
        <f>Gegenstände!H313</f>
        <v>1</v>
      </c>
      <c r="H313" s="3">
        <f>Gegenstände!G313</f>
        <v>6</v>
      </c>
      <c r="I313" s="3">
        <f>Gegenstände!D313</f>
        <v>11</v>
      </c>
      <c r="J313" s="168">
        <f>ROUND(Gegenstände!N313,0)</f>
        <v>8100</v>
      </c>
      <c r="K313" s="3">
        <f>Gegenstände!J313</f>
        <v>100</v>
      </c>
      <c r="L313" s="3">
        <f>Gegenstände!L313</f>
        <v>0</v>
      </c>
      <c r="M313" s="3">
        <f>Gegenstände!Z313</f>
        <v>0</v>
      </c>
      <c r="N313" s="783">
        <f>(Gegenstände!Y313*10)</f>
        <v>0</v>
      </c>
      <c r="O313" s="783">
        <f>(Gegenstände!W313*10)</f>
        <v>0</v>
      </c>
      <c r="P313" s="783">
        <f>Gegenstände!AA313*10</f>
        <v>0</v>
      </c>
      <c r="Q313" s="783">
        <f>Gegenstände!O313</f>
        <v>4</v>
      </c>
      <c r="R313" s="168">
        <f>Gegenstände!S313</f>
        <v>28</v>
      </c>
      <c r="S313" s="168">
        <f>Gegenstände!T313</f>
        <v>41</v>
      </c>
      <c r="T313" s="783">
        <f>Gegenstände!AC313</f>
        <v>0</v>
      </c>
      <c r="U313" s="783">
        <f>Gegenstände!AE313</f>
        <v>0</v>
      </c>
      <c r="V313" s="783">
        <f>Gegenstände!AD313</f>
        <v>0</v>
      </c>
      <c r="W313" s="783">
        <f>Gegenstände!AF313</f>
        <v>0</v>
      </c>
      <c r="AB313" s="3">
        <f>Gegenstände!M313</f>
        <v>3</v>
      </c>
      <c r="AC313" s="3">
        <f>Gegenstände!AB313</f>
        <v>41</v>
      </c>
      <c r="AD313" s="3">
        <f>Gegenstände!F313</f>
        <v>0</v>
      </c>
    </row>
    <row r="314" spans="1:30" x14ac:dyDescent="0.2">
      <c r="A314" s="3">
        <f>Gegenstände!A314</f>
        <v>1186</v>
      </c>
      <c r="B314" s="3" t="str">
        <f>Gegenstände!B314</f>
        <v>Kriegsbogen</v>
      </c>
      <c r="D314" s="3">
        <f>Gegenstände!K314</f>
        <v>2500</v>
      </c>
      <c r="E314" s="3">
        <f>Gegenstände!I314</f>
        <v>4</v>
      </c>
      <c r="F314" s="3">
        <f>VLOOKUP(Gegenstände!E314,Berechnungen!$E$87:$F$115,2,FALSE)</f>
        <v>11</v>
      </c>
      <c r="G314" s="3">
        <f>Gegenstände!H314</f>
        <v>1</v>
      </c>
      <c r="H314" s="3">
        <f>Gegenstände!G314</f>
        <v>6</v>
      </c>
      <c r="I314" s="3">
        <f>Gegenstände!D314</f>
        <v>14</v>
      </c>
      <c r="J314" s="168">
        <f>ROUND(Gegenstände!N314,0)</f>
        <v>12300</v>
      </c>
      <c r="K314" s="3">
        <f>Gegenstände!J314</f>
        <v>100</v>
      </c>
      <c r="L314" s="3">
        <f>Gegenstände!L314</f>
        <v>0</v>
      </c>
      <c r="M314" s="3">
        <f>Gegenstände!Z314</f>
        <v>0</v>
      </c>
      <c r="N314" s="783">
        <f>(Gegenstände!Y314*10)</f>
        <v>0</v>
      </c>
      <c r="O314" s="783">
        <f>(Gegenstände!W314*10)</f>
        <v>0</v>
      </c>
      <c r="P314" s="783">
        <f>Gegenstände!AA314*10</f>
        <v>0</v>
      </c>
      <c r="Q314" s="783">
        <f>Gegenstände!O314</f>
        <v>4</v>
      </c>
      <c r="R314" s="168">
        <f>Gegenstände!S314</f>
        <v>34</v>
      </c>
      <c r="S314" s="168">
        <f>Gegenstände!T314</f>
        <v>51</v>
      </c>
      <c r="T314" s="783">
        <f>Gegenstände!AC314</f>
        <v>0</v>
      </c>
      <c r="U314" s="783">
        <f>Gegenstände!AE314</f>
        <v>0</v>
      </c>
      <c r="V314" s="783">
        <f>Gegenstände!AD314</f>
        <v>0</v>
      </c>
      <c r="W314" s="783">
        <f>Gegenstände!AF314</f>
        <v>0</v>
      </c>
      <c r="AB314" s="3">
        <f>Gegenstände!M314</f>
        <v>3</v>
      </c>
      <c r="AC314" s="3">
        <f>Gegenstände!AB314</f>
        <v>41</v>
      </c>
      <c r="AD314" s="3">
        <f>Gegenstände!F314</f>
        <v>0</v>
      </c>
    </row>
    <row r="315" spans="1:30" x14ac:dyDescent="0.2">
      <c r="A315" s="3">
        <f>Gegenstände!A315</f>
        <v>1187</v>
      </c>
      <c r="B315" s="3" t="str">
        <f>Gegenstände!B315</f>
        <v>Zedernbogen</v>
      </c>
      <c r="D315" s="3">
        <f>Gegenstände!K315</f>
        <v>2400</v>
      </c>
      <c r="E315" s="3">
        <f>Gegenstände!I315</f>
        <v>4</v>
      </c>
      <c r="F315" s="3">
        <f>VLOOKUP(Gegenstände!E315,Berechnungen!$E$87:$F$115,2,FALSE)</f>
        <v>11</v>
      </c>
      <c r="G315" s="3">
        <f>Gegenstände!H315</f>
        <v>1</v>
      </c>
      <c r="H315" s="3">
        <f>Gegenstände!G315</f>
        <v>6</v>
      </c>
      <c r="I315" s="3">
        <f>Gegenstände!D315</f>
        <v>16</v>
      </c>
      <c r="J315" s="168">
        <f>ROUND(Gegenstände!N315,0)</f>
        <v>16300</v>
      </c>
      <c r="K315" s="3">
        <f>Gegenstände!J315</f>
        <v>100</v>
      </c>
      <c r="L315" s="3">
        <f>Gegenstände!L315</f>
        <v>0</v>
      </c>
      <c r="M315" s="3">
        <f>Gegenstände!Z315</f>
        <v>0</v>
      </c>
      <c r="N315" s="783">
        <f>(Gegenstände!Y315*10)</f>
        <v>0</v>
      </c>
      <c r="O315" s="783">
        <f>(Gegenstände!W315*10)</f>
        <v>0</v>
      </c>
      <c r="P315" s="783">
        <f>Gegenstände!AA315*10</f>
        <v>0</v>
      </c>
      <c r="Q315" s="783">
        <f>Gegenstände!O315</f>
        <v>4</v>
      </c>
      <c r="R315" s="168">
        <f>Gegenstände!S315</f>
        <v>38</v>
      </c>
      <c r="S315" s="168">
        <f>Gegenstände!T315</f>
        <v>57</v>
      </c>
      <c r="T315" s="783">
        <f>Gegenstände!AC315</f>
        <v>0</v>
      </c>
      <c r="U315" s="783">
        <f>Gegenstände!AE315</f>
        <v>0</v>
      </c>
      <c r="V315" s="783">
        <f>Gegenstände!AD315</f>
        <v>0</v>
      </c>
      <c r="W315" s="783">
        <f>Gegenstände!AF315</f>
        <v>0</v>
      </c>
      <c r="AB315" s="3">
        <f>Gegenstände!M315</f>
        <v>4</v>
      </c>
      <c r="AC315" s="3">
        <f>Gegenstände!AB315</f>
        <v>41</v>
      </c>
      <c r="AD315" s="3">
        <f>Gegenstände!F315</f>
        <v>0</v>
      </c>
    </row>
    <row r="316" spans="1:30" x14ac:dyDescent="0.2">
      <c r="A316" s="3">
        <f>Gegenstände!A316</f>
        <v>1188</v>
      </c>
      <c r="B316" s="3" t="str">
        <f>Gegenstände!B316</f>
        <v>Runenbogen</v>
      </c>
      <c r="D316" s="3">
        <f>Gegenstände!K316</f>
        <v>2500</v>
      </c>
      <c r="E316" s="3">
        <f>Gegenstände!I316</f>
        <v>4</v>
      </c>
      <c r="F316" s="3">
        <f>VLOOKUP(Gegenstände!E316,Berechnungen!$E$87:$F$115,2,FALSE)</f>
        <v>11</v>
      </c>
      <c r="G316" s="3">
        <f>Gegenstände!H316</f>
        <v>1</v>
      </c>
      <c r="H316" s="3">
        <f>Gegenstände!G316</f>
        <v>6</v>
      </c>
      <c r="I316" s="3">
        <f>Gegenstände!D316</f>
        <v>19</v>
      </c>
      <c r="J316" s="168">
        <f>ROUND(Gegenstände!N316,0)</f>
        <v>24800</v>
      </c>
      <c r="K316" s="3">
        <f>Gegenstände!J316</f>
        <v>100</v>
      </c>
      <c r="L316" s="3">
        <f>Gegenstände!L316</f>
        <v>0</v>
      </c>
      <c r="M316" s="3">
        <f>Gegenstände!Z316</f>
        <v>0</v>
      </c>
      <c r="N316" s="783">
        <f>(Gegenstände!Y316*10)</f>
        <v>0</v>
      </c>
      <c r="O316" s="783">
        <f>(Gegenstände!W316*10)</f>
        <v>0</v>
      </c>
      <c r="P316" s="783">
        <f>Gegenstände!AA316*10</f>
        <v>0</v>
      </c>
      <c r="Q316" s="783">
        <f>Gegenstände!O316</f>
        <v>4</v>
      </c>
      <c r="R316" s="168">
        <f>Gegenstände!S316</f>
        <v>45</v>
      </c>
      <c r="S316" s="168">
        <f>Gegenstände!T316</f>
        <v>68</v>
      </c>
      <c r="T316" s="783">
        <f>Gegenstände!AC316</f>
        <v>0</v>
      </c>
      <c r="U316" s="783">
        <f>Gegenstände!AE316</f>
        <v>0</v>
      </c>
      <c r="V316" s="783">
        <f>Gegenstände!AD316</f>
        <v>0</v>
      </c>
      <c r="W316" s="783">
        <f>Gegenstände!AF316</f>
        <v>0</v>
      </c>
      <c r="AB316" s="3">
        <f>Gegenstände!M316</f>
        <v>4</v>
      </c>
      <c r="AC316" s="3">
        <f>Gegenstände!AB316</f>
        <v>41</v>
      </c>
      <c r="AD316" s="3">
        <f>Gegenstände!F316</f>
        <v>0</v>
      </c>
    </row>
    <row r="317" spans="1:30" x14ac:dyDescent="0.2">
      <c r="A317" s="3">
        <f>Gegenstände!A317</f>
        <v>1189</v>
      </c>
      <c r="B317" s="3" t="str">
        <f>Gegenstände!B317</f>
        <v>Klingenbogen</v>
      </c>
      <c r="D317" s="3">
        <f>Gegenstände!K317</f>
        <v>2200</v>
      </c>
      <c r="E317" s="3">
        <f>Gegenstände!I317</f>
        <v>4</v>
      </c>
      <c r="F317" s="3">
        <f>VLOOKUP(Gegenstände!E317,Berechnungen!$E$87:$F$115,2,FALSE)</f>
        <v>11</v>
      </c>
      <c r="G317" s="3">
        <f>Gegenstände!H317</f>
        <v>1</v>
      </c>
      <c r="H317" s="3">
        <f>Gegenstände!G317</f>
        <v>6</v>
      </c>
      <c r="I317" s="3">
        <f>Gegenstände!D317</f>
        <v>22</v>
      </c>
      <c r="J317" s="168">
        <f>ROUND(Gegenstände!N317,0)</f>
        <v>37600</v>
      </c>
      <c r="K317" s="3">
        <f>Gegenstände!J317</f>
        <v>100</v>
      </c>
      <c r="L317" s="3">
        <f>Gegenstände!L317</f>
        <v>0</v>
      </c>
      <c r="M317" s="3">
        <f>Gegenstände!Z317</f>
        <v>0</v>
      </c>
      <c r="N317" s="783">
        <f>(Gegenstände!Y317*10)</f>
        <v>0</v>
      </c>
      <c r="O317" s="783">
        <f>(Gegenstände!W317*10)</f>
        <v>0</v>
      </c>
      <c r="P317" s="783">
        <f>Gegenstände!AA317*10</f>
        <v>0</v>
      </c>
      <c r="Q317" s="783">
        <f>Gegenstände!O317</f>
        <v>4</v>
      </c>
      <c r="R317" s="168">
        <f>Gegenstände!S317</f>
        <v>53</v>
      </c>
      <c r="S317" s="168">
        <f>Gegenstände!T317</f>
        <v>79</v>
      </c>
      <c r="T317" s="783">
        <f>Gegenstände!AC317</f>
        <v>0</v>
      </c>
      <c r="U317" s="783">
        <f>Gegenstände!AE317</f>
        <v>0</v>
      </c>
      <c r="V317" s="783">
        <f>Gegenstände!AD317</f>
        <v>0</v>
      </c>
      <c r="W317" s="783">
        <f>Gegenstände!AF317</f>
        <v>0</v>
      </c>
      <c r="AB317" s="3">
        <f>Gegenstände!M317</f>
        <v>5</v>
      </c>
      <c r="AC317" s="3">
        <f>Gegenstände!AB317</f>
        <v>41</v>
      </c>
      <c r="AD317" s="3">
        <f>Gegenstände!F317</f>
        <v>0</v>
      </c>
    </row>
    <row r="318" spans="1:30" x14ac:dyDescent="0.2">
      <c r="A318" s="3">
        <f>Gegenstände!A318</f>
        <v>1190</v>
      </c>
      <c r="B318" s="3" t="str">
        <f>Gegenstände!B318</f>
        <v>Prunkbogen</v>
      </c>
      <c r="D318" s="3">
        <f>Gegenstände!K318</f>
        <v>2600</v>
      </c>
      <c r="E318" s="3">
        <f>Gegenstände!I318</f>
        <v>4</v>
      </c>
      <c r="F318" s="3">
        <f>VLOOKUP(Gegenstände!E318,Berechnungen!$E$87:$F$115,2,FALSE)</f>
        <v>11</v>
      </c>
      <c r="G318" s="3">
        <f>Gegenstände!H318</f>
        <v>1</v>
      </c>
      <c r="H318" s="3">
        <f>Gegenstände!G318</f>
        <v>6</v>
      </c>
      <c r="I318" s="3">
        <f>Gegenstände!D318</f>
        <v>25</v>
      </c>
      <c r="J318" s="168">
        <f>ROUND(Gegenstände!N318,0)</f>
        <v>57300</v>
      </c>
      <c r="K318" s="3">
        <f>Gegenstände!J318</f>
        <v>100</v>
      </c>
      <c r="L318" s="3">
        <f>Gegenstände!L318</f>
        <v>0</v>
      </c>
      <c r="M318" s="3">
        <f>Gegenstände!Z318</f>
        <v>0</v>
      </c>
      <c r="N318" s="783">
        <f>(Gegenstände!Y318*10)</f>
        <v>0</v>
      </c>
      <c r="O318" s="783">
        <f>(Gegenstände!W318*10)</f>
        <v>0</v>
      </c>
      <c r="P318" s="783">
        <f>Gegenstände!AA318*10</f>
        <v>0</v>
      </c>
      <c r="Q318" s="783">
        <f>Gegenstände!O318</f>
        <v>4</v>
      </c>
      <c r="R318" s="168">
        <f>Gegenstände!S318</f>
        <v>60</v>
      </c>
      <c r="S318" s="168">
        <f>Gegenstände!T318</f>
        <v>91</v>
      </c>
      <c r="T318" s="783">
        <f>Gegenstände!AC318</f>
        <v>0</v>
      </c>
      <c r="U318" s="783">
        <f>Gegenstände!AE318</f>
        <v>0</v>
      </c>
      <c r="V318" s="783">
        <f>Gegenstände!AD318</f>
        <v>0</v>
      </c>
      <c r="W318" s="783">
        <f>Gegenstände!AF318</f>
        <v>0</v>
      </c>
      <c r="AB318" s="3">
        <f>Gegenstände!M318</f>
        <v>5</v>
      </c>
      <c r="AC318" s="3">
        <f>Gegenstände!AB318</f>
        <v>41</v>
      </c>
      <c r="AD318" s="3">
        <f>Gegenstände!F318</f>
        <v>0</v>
      </c>
    </row>
    <row r="319" spans="1:30" x14ac:dyDescent="0.2">
      <c r="A319" s="3">
        <f>Gegenstände!A319</f>
        <v>2181</v>
      </c>
      <c r="B319" s="3" t="str">
        <f>Gegenstände!B319</f>
        <v>Achat-Bogen</v>
      </c>
      <c r="D319" s="3">
        <f>Gegenstände!K319</f>
        <v>1800</v>
      </c>
      <c r="E319" s="3">
        <f>Gegenstände!I319</f>
        <v>4</v>
      </c>
      <c r="F319" s="3">
        <f>VLOOKUP(Gegenstände!E319,Berechnungen!$E$87:$F$115,2,FALSE)</f>
        <v>11</v>
      </c>
      <c r="G319" s="3">
        <f>Gegenstände!H319</f>
        <v>2</v>
      </c>
      <c r="H319" s="3">
        <f>Gegenstände!G319</f>
        <v>6</v>
      </c>
      <c r="I319" s="3">
        <f>Gegenstände!D319</f>
        <v>4</v>
      </c>
      <c r="J319" s="168">
        <f>ROUND(Gegenstände!N319,0)</f>
        <v>5500</v>
      </c>
      <c r="K319" s="3">
        <f>Gegenstände!J319</f>
        <v>100</v>
      </c>
      <c r="L319" s="3">
        <f>Gegenstände!L319</f>
        <v>0</v>
      </c>
      <c r="M319" s="3">
        <f>Gegenstände!Z319</f>
        <v>0</v>
      </c>
      <c r="N319" s="783">
        <f>(Gegenstände!Y319*10)</f>
        <v>0</v>
      </c>
      <c r="O319" s="783">
        <f>(Gegenstände!W319*10)</f>
        <v>0</v>
      </c>
      <c r="P319" s="783">
        <f>Gegenstände!AA319*10</f>
        <v>0</v>
      </c>
      <c r="Q319" s="783">
        <f>Gegenstände!O319</f>
        <v>4</v>
      </c>
      <c r="R319" s="168">
        <f>Gegenstände!S319</f>
        <v>20</v>
      </c>
      <c r="S319" s="168">
        <f>Gegenstände!T319</f>
        <v>30</v>
      </c>
      <c r="T319" s="783">
        <f>Gegenstände!AC319</f>
        <v>0</v>
      </c>
      <c r="U319" s="783">
        <f>Gegenstände!AE319</f>
        <v>0</v>
      </c>
      <c r="V319" s="783">
        <f>Gegenstände!AD319</f>
        <v>0</v>
      </c>
      <c r="W319" s="783">
        <f>Gegenstände!AF319</f>
        <v>0</v>
      </c>
      <c r="AB319" s="3">
        <f>Gegenstände!M319</f>
        <v>0</v>
      </c>
      <c r="AC319" s="3">
        <f>Gegenstände!AB319</f>
        <v>41</v>
      </c>
      <c r="AD319" s="3">
        <f>Gegenstände!F319</f>
        <v>0</v>
      </c>
    </row>
    <row r="320" spans="1:30" x14ac:dyDescent="0.2">
      <c r="A320" s="3">
        <f>Gegenstände!A320</f>
        <v>2182</v>
      </c>
      <c r="B320" s="3" t="str">
        <f>Gegenstände!B320</f>
        <v>Topas-Bogen</v>
      </c>
      <c r="D320" s="3">
        <f>Gegenstände!K320</f>
        <v>1900</v>
      </c>
      <c r="E320" s="3">
        <f>Gegenstände!I320</f>
        <v>4</v>
      </c>
      <c r="F320" s="3">
        <f>VLOOKUP(Gegenstände!E320,Berechnungen!$E$87:$F$115,2,FALSE)</f>
        <v>11</v>
      </c>
      <c r="G320" s="3">
        <f>Gegenstände!H320</f>
        <v>2</v>
      </c>
      <c r="H320" s="3">
        <f>Gegenstände!G320</f>
        <v>6</v>
      </c>
      <c r="I320" s="3">
        <f>Gegenstände!D320</f>
        <v>9</v>
      </c>
      <c r="J320" s="168">
        <f>ROUND(Gegenstände!N320,0)</f>
        <v>11100</v>
      </c>
      <c r="K320" s="3">
        <f>Gegenstände!J320</f>
        <v>100</v>
      </c>
      <c r="L320" s="3">
        <f>Gegenstände!L320</f>
        <v>0</v>
      </c>
      <c r="M320" s="3">
        <f>Gegenstände!Z320</f>
        <v>0</v>
      </c>
      <c r="N320" s="783">
        <f>(Gegenstände!Y320*10)</f>
        <v>0</v>
      </c>
      <c r="O320" s="783">
        <f>(Gegenstände!W320*10)</f>
        <v>0</v>
      </c>
      <c r="P320" s="783">
        <f>Gegenstände!AA320*10</f>
        <v>0</v>
      </c>
      <c r="Q320" s="783">
        <f>Gegenstände!O320</f>
        <v>4</v>
      </c>
      <c r="R320" s="168">
        <f>Gegenstände!S320</f>
        <v>30</v>
      </c>
      <c r="S320" s="168">
        <f>Gegenstände!T320</f>
        <v>45</v>
      </c>
      <c r="T320" s="783">
        <f>Gegenstände!AC320</f>
        <v>0</v>
      </c>
      <c r="U320" s="783">
        <f>Gegenstände!AE320</f>
        <v>0</v>
      </c>
      <c r="V320" s="783">
        <f>Gegenstände!AD320</f>
        <v>0</v>
      </c>
      <c r="W320" s="783">
        <f>Gegenstände!AF320</f>
        <v>0</v>
      </c>
      <c r="AB320" s="3">
        <f>Gegenstände!M320</f>
        <v>0</v>
      </c>
      <c r="AC320" s="3">
        <f>Gegenstände!AB320</f>
        <v>41</v>
      </c>
      <c r="AD320" s="3">
        <f>Gegenstände!F320</f>
        <v>0</v>
      </c>
    </row>
    <row r="321" spans="1:30" x14ac:dyDescent="0.2">
      <c r="A321" s="3">
        <f>Gegenstände!A321</f>
        <v>2183</v>
      </c>
      <c r="B321" s="3" t="str">
        <f>Gegenstände!B321</f>
        <v>Saphir-Bogen</v>
      </c>
      <c r="D321" s="3">
        <f>Gegenstände!K321</f>
        <v>2400</v>
      </c>
      <c r="E321" s="3">
        <f>Gegenstände!I321</f>
        <v>4</v>
      </c>
      <c r="F321" s="3">
        <f>VLOOKUP(Gegenstände!E321,Berechnungen!$E$87:$F$115,2,FALSE)</f>
        <v>11</v>
      </c>
      <c r="G321" s="3">
        <f>Gegenstände!H321</f>
        <v>2</v>
      </c>
      <c r="H321" s="3">
        <f>Gegenstände!G321</f>
        <v>6</v>
      </c>
      <c r="I321" s="3">
        <f>Gegenstände!D321</f>
        <v>14</v>
      </c>
      <c r="J321" s="168">
        <f>ROUND(Gegenstände!N321,0)</f>
        <v>22300</v>
      </c>
      <c r="K321" s="3">
        <f>Gegenstände!J321</f>
        <v>100</v>
      </c>
      <c r="L321" s="3">
        <f>Gegenstände!L321</f>
        <v>0</v>
      </c>
      <c r="M321" s="3">
        <f>Gegenstände!Z321</f>
        <v>0</v>
      </c>
      <c r="N321" s="783">
        <f>(Gegenstände!Y321*10)</f>
        <v>0</v>
      </c>
      <c r="O321" s="783">
        <f>(Gegenstände!W321*10)</f>
        <v>0</v>
      </c>
      <c r="P321" s="783">
        <f>Gegenstände!AA321*10</f>
        <v>0</v>
      </c>
      <c r="Q321" s="783">
        <f>Gegenstände!O321</f>
        <v>4</v>
      </c>
      <c r="R321" s="168">
        <f>Gegenstände!S321</f>
        <v>41</v>
      </c>
      <c r="S321" s="168">
        <f>Gegenstände!T321</f>
        <v>61</v>
      </c>
      <c r="T321" s="783">
        <f>Gegenstände!AC321</f>
        <v>0</v>
      </c>
      <c r="U321" s="783">
        <f>Gegenstände!AE321</f>
        <v>0</v>
      </c>
      <c r="V321" s="783">
        <f>Gegenstände!AD321</f>
        <v>0</v>
      </c>
      <c r="W321" s="783">
        <f>Gegenstände!AF321</f>
        <v>0</v>
      </c>
      <c r="AB321" s="3">
        <f>Gegenstände!M321</f>
        <v>0</v>
      </c>
      <c r="AC321" s="3">
        <f>Gegenstände!AB321</f>
        <v>41</v>
      </c>
      <c r="AD321" s="3">
        <f>Gegenstände!F321</f>
        <v>0</v>
      </c>
    </row>
    <row r="322" spans="1:30" x14ac:dyDescent="0.2">
      <c r="A322" s="3">
        <f>Gegenstände!A322</f>
        <v>2184</v>
      </c>
      <c r="B322" s="3" t="str">
        <f>Gegenstände!B322</f>
        <v>Lapis-Bogen</v>
      </c>
      <c r="D322" s="3">
        <f>Gegenstände!K322</f>
        <v>2600</v>
      </c>
      <c r="E322" s="3">
        <f>Gegenstände!I322</f>
        <v>4</v>
      </c>
      <c r="F322" s="3">
        <f>VLOOKUP(Gegenstände!E322,Berechnungen!$E$87:$F$115,2,FALSE)</f>
        <v>11</v>
      </c>
      <c r="G322" s="3">
        <f>Gegenstände!H322</f>
        <v>2</v>
      </c>
      <c r="H322" s="3">
        <f>Gegenstände!G322</f>
        <v>6</v>
      </c>
      <c r="I322" s="3">
        <f>Gegenstände!D322</f>
        <v>19</v>
      </c>
      <c r="J322" s="168">
        <f>ROUND(Gegenstände!N322,0)</f>
        <v>42300</v>
      </c>
      <c r="K322" s="3">
        <f>Gegenstände!J322</f>
        <v>100</v>
      </c>
      <c r="L322" s="3">
        <f>Gegenstände!L322</f>
        <v>0</v>
      </c>
      <c r="M322" s="3">
        <f>Gegenstände!Z322</f>
        <v>0</v>
      </c>
      <c r="N322" s="783">
        <f>(Gegenstände!Y322*10)</f>
        <v>0</v>
      </c>
      <c r="O322" s="783">
        <f>(Gegenstände!W322*10)</f>
        <v>0</v>
      </c>
      <c r="P322" s="783">
        <f>Gegenstände!AA322*10</f>
        <v>0</v>
      </c>
      <c r="Q322" s="783">
        <f>Gegenstände!O322</f>
        <v>4</v>
      </c>
      <c r="R322" s="168">
        <f>Gegenstände!S322</f>
        <v>53</v>
      </c>
      <c r="S322" s="168">
        <f>Gegenstände!T322</f>
        <v>79</v>
      </c>
      <c r="T322" s="783">
        <f>Gegenstände!AC322</f>
        <v>0</v>
      </c>
      <c r="U322" s="783">
        <f>Gegenstände!AE322</f>
        <v>0</v>
      </c>
      <c r="V322" s="783">
        <f>Gegenstände!AD322</f>
        <v>0</v>
      </c>
      <c r="W322" s="783">
        <f>Gegenstände!AF322</f>
        <v>0</v>
      </c>
      <c r="AB322" s="3">
        <f>Gegenstände!M322</f>
        <v>0</v>
      </c>
      <c r="AC322" s="3">
        <f>Gegenstände!AB322</f>
        <v>41</v>
      </c>
      <c r="AD322" s="3">
        <f>Gegenstände!F322</f>
        <v>0</v>
      </c>
    </row>
    <row r="323" spans="1:30" x14ac:dyDescent="0.2">
      <c r="A323" s="3">
        <f>Gegenstände!A323</f>
        <v>2185</v>
      </c>
      <c r="B323" s="3" t="str">
        <f>Gegenstände!B323</f>
        <v>Diamant-Bogen</v>
      </c>
      <c r="D323" s="3">
        <f>Gegenstände!K323</f>
        <v>2300</v>
      </c>
      <c r="E323" s="3">
        <f>Gegenstände!I323</f>
        <v>4</v>
      </c>
      <c r="F323" s="3">
        <f>VLOOKUP(Gegenstände!E323,Berechnungen!$E$87:$F$115,2,FALSE)</f>
        <v>11</v>
      </c>
      <c r="G323" s="3">
        <f>Gegenstände!H323</f>
        <v>2</v>
      </c>
      <c r="H323" s="3">
        <f>Gegenstände!G323</f>
        <v>6</v>
      </c>
      <c r="I323" s="3">
        <f>Gegenstände!D323</f>
        <v>25</v>
      </c>
      <c r="J323" s="168">
        <f>ROUND(Gegenstände!N323,0)</f>
        <v>82300</v>
      </c>
      <c r="K323" s="3">
        <f>Gegenstände!J323</f>
        <v>100</v>
      </c>
      <c r="L323" s="3">
        <f>Gegenstände!L323</f>
        <v>0</v>
      </c>
      <c r="M323" s="3">
        <f>Gegenstände!Z323</f>
        <v>0</v>
      </c>
      <c r="N323" s="783">
        <f>(Gegenstände!Y323*10)</f>
        <v>0</v>
      </c>
      <c r="O323" s="783">
        <f>(Gegenstände!W323*10)</f>
        <v>0</v>
      </c>
      <c r="P323" s="783">
        <f>Gegenstände!AA323*10</f>
        <v>0</v>
      </c>
      <c r="Q323" s="783">
        <f>Gegenstände!O323</f>
        <v>4</v>
      </c>
      <c r="R323" s="168">
        <f>Gegenstände!S323</f>
        <v>69</v>
      </c>
      <c r="S323" s="168">
        <f>Gegenstände!T323</f>
        <v>103</v>
      </c>
      <c r="T323" s="783">
        <f>Gegenstände!AC323</f>
        <v>0</v>
      </c>
      <c r="U323" s="783">
        <f>Gegenstände!AE323</f>
        <v>0</v>
      </c>
      <c r="V323" s="783">
        <f>Gegenstände!AD323</f>
        <v>0</v>
      </c>
      <c r="W323" s="783">
        <f>Gegenstände!AF323</f>
        <v>0</v>
      </c>
      <c r="AB323" s="3">
        <f>Gegenstände!M323</f>
        <v>0</v>
      </c>
      <c r="AC323" s="3">
        <f>Gegenstände!AB323</f>
        <v>41</v>
      </c>
      <c r="AD323" s="3">
        <f>Gegenstände!F323</f>
        <v>0</v>
      </c>
    </row>
    <row r="324" spans="1:30" x14ac:dyDescent="0.2">
      <c r="A324" s="3">
        <f>Gegenstände!A324</f>
        <v>0</v>
      </c>
      <c r="B324" s="3" t="str">
        <f>Gegenstände!B324</f>
        <v>Armbrüste</v>
      </c>
      <c r="D324" s="3">
        <f>Gegenstände!K324</f>
        <v>0</v>
      </c>
      <c r="E324" s="3">
        <f>Gegenstände!I324</f>
        <v>0</v>
      </c>
      <c r="F324" s="3" t="e">
        <f>VLOOKUP(Gegenstände!E324,Berechnungen!$E$87:$F$115,2,FALSE)</f>
        <v>#N/A</v>
      </c>
      <c r="G324" s="3">
        <f>Gegenstände!H324</f>
        <v>0</v>
      </c>
      <c r="H324" s="3">
        <f>Gegenstände!G324</f>
        <v>0</v>
      </c>
      <c r="I324" s="3">
        <f>Gegenstände!D324</f>
        <v>0</v>
      </c>
      <c r="J324" s="168">
        <f>ROUND(Gegenstände!N324,0)</f>
        <v>0</v>
      </c>
      <c r="K324" s="3">
        <f>Gegenstände!J324</f>
        <v>0</v>
      </c>
      <c r="L324" s="3">
        <f>Gegenstände!L324</f>
        <v>0</v>
      </c>
      <c r="M324" s="3">
        <f>Gegenstände!Z324</f>
        <v>0</v>
      </c>
      <c r="N324" s="783">
        <f>(Gegenstände!Y324*10)</f>
        <v>0</v>
      </c>
      <c r="O324" s="783">
        <f>(Gegenstände!W324*10)</f>
        <v>0</v>
      </c>
      <c r="P324" s="783">
        <f>Gegenstände!AA324*10</f>
        <v>0</v>
      </c>
      <c r="Q324" s="783">
        <f>Gegenstände!O324</f>
        <v>1</v>
      </c>
      <c r="R324" s="168">
        <f>Gegenstände!S324</f>
        <v>0</v>
      </c>
      <c r="S324" s="168">
        <f>Gegenstände!T324</f>
        <v>0</v>
      </c>
      <c r="T324" s="783">
        <f>Gegenstände!AC324</f>
        <v>0</v>
      </c>
      <c r="U324" s="783">
        <f>Gegenstände!AE324</f>
        <v>0</v>
      </c>
      <c r="V324" s="783">
        <f>Gegenstände!AD324</f>
        <v>0</v>
      </c>
      <c r="W324" s="783">
        <f>Gegenstände!AF324</f>
        <v>0</v>
      </c>
      <c r="AB324" s="3">
        <f>Gegenstände!M324</f>
        <v>0</v>
      </c>
      <c r="AC324" s="3">
        <f>Gegenstände!AB324</f>
        <v>0</v>
      </c>
      <c r="AD324" s="3">
        <f>Gegenstände!F324</f>
        <v>0</v>
      </c>
    </row>
    <row r="325" spans="1:30" x14ac:dyDescent="0.2">
      <c r="A325" s="3">
        <f>Gegenstände!A325</f>
        <v>1191</v>
      </c>
      <c r="B325" s="3" t="str">
        <f>Gegenstände!B325</f>
        <v>Handarmbrust</v>
      </c>
      <c r="D325" s="3">
        <f>Gegenstände!K325</f>
        <v>2600</v>
      </c>
      <c r="E325" s="3">
        <f>Gegenstände!I325</f>
        <v>4</v>
      </c>
      <c r="F325" s="3">
        <f>VLOOKUP(Gegenstände!E325,Berechnungen!$E$87:$F$115,2,FALSE)</f>
        <v>12</v>
      </c>
      <c r="G325" s="3">
        <f>Gegenstände!H325</f>
        <v>1</v>
      </c>
      <c r="H325" s="3">
        <f>Gegenstände!G325</f>
        <v>7</v>
      </c>
      <c r="I325" s="3">
        <f>Gegenstände!D325</f>
        <v>1</v>
      </c>
      <c r="J325" s="168">
        <f>ROUND(Gegenstände!N325,0)</f>
        <v>2000</v>
      </c>
      <c r="K325" s="3">
        <f>Gegenstände!J325</f>
        <v>100</v>
      </c>
      <c r="L325" s="3">
        <f>Gegenstände!L325</f>
        <v>0</v>
      </c>
      <c r="M325" s="3">
        <f>Gegenstände!Z325</f>
        <v>0</v>
      </c>
      <c r="N325" s="783">
        <f>(Gegenstände!Y325*10)</f>
        <v>0</v>
      </c>
      <c r="O325" s="783">
        <f>(Gegenstände!W325*10)</f>
        <v>0</v>
      </c>
      <c r="P325" s="783">
        <f>Gegenstände!AA325*10</f>
        <v>0</v>
      </c>
      <c r="Q325" s="783">
        <f>Gegenstände!O325</f>
        <v>1</v>
      </c>
      <c r="R325" s="168">
        <f>Gegenstände!S325</f>
        <v>30</v>
      </c>
      <c r="S325" s="168">
        <f>Gegenstände!T325</f>
        <v>50</v>
      </c>
      <c r="T325" s="783">
        <f>Gegenstände!AC325</f>
        <v>0</v>
      </c>
      <c r="U325" s="783">
        <f>Gegenstände!AE325</f>
        <v>0</v>
      </c>
      <c r="V325" s="783">
        <f>Gegenstände!AD325</f>
        <v>0</v>
      </c>
      <c r="W325" s="783">
        <f>Gegenstände!AF325</f>
        <v>0</v>
      </c>
      <c r="AB325" s="3">
        <f>Gegenstände!M325</f>
        <v>1</v>
      </c>
      <c r="AC325" s="3">
        <f>Gegenstände!AB325</f>
        <v>42</v>
      </c>
      <c r="AD325" s="3">
        <f>Gegenstände!F325</f>
        <v>0</v>
      </c>
    </row>
    <row r="326" spans="1:30" x14ac:dyDescent="0.2">
      <c r="A326" s="3">
        <f>Gegenstände!A326</f>
        <v>1192</v>
      </c>
      <c r="B326" s="3" t="str">
        <f>Gegenstände!B326</f>
        <v>Armbrust</v>
      </c>
      <c r="D326" s="3">
        <f>Gegenstände!K326</f>
        <v>2900</v>
      </c>
      <c r="E326" s="3">
        <f>Gegenstände!I326</f>
        <v>4</v>
      </c>
      <c r="F326" s="3">
        <f>VLOOKUP(Gegenstände!E326,Berechnungen!$E$87:$F$115,2,FALSE)</f>
        <v>12</v>
      </c>
      <c r="G326" s="3">
        <f>Gegenstände!H326</f>
        <v>1</v>
      </c>
      <c r="H326" s="3">
        <f>Gegenstände!G326</f>
        <v>7</v>
      </c>
      <c r="I326" s="3">
        <f>Gegenstände!D326</f>
        <v>4</v>
      </c>
      <c r="J326" s="168">
        <f>ROUND(Gegenstände!N326,0)</f>
        <v>3000</v>
      </c>
      <c r="K326" s="3">
        <f>Gegenstände!J326</f>
        <v>100</v>
      </c>
      <c r="L326" s="3">
        <f>Gegenstände!L326</f>
        <v>0</v>
      </c>
      <c r="M326" s="3">
        <f>Gegenstände!Z326</f>
        <v>0</v>
      </c>
      <c r="N326" s="783">
        <f>(Gegenstände!Y326*10)</f>
        <v>0</v>
      </c>
      <c r="O326" s="783">
        <f>(Gegenstände!W326*10)</f>
        <v>0</v>
      </c>
      <c r="P326" s="783">
        <f>Gegenstände!AA326*10</f>
        <v>0</v>
      </c>
      <c r="Q326" s="783">
        <f>Gegenstände!O326</f>
        <v>1</v>
      </c>
      <c r="R326" s="168">
        <f>Gegenstände!S326</f>
        <v>45</v>
      </c>
      <c r="S326" s="168">
        <f>Gegenstände!T326</f>
        <v>76</v>
      </c>
      <c r="T326" s="783">
        <f>Gegenstände!AC326</f>
        <v>0</v>
      </c>
      <c r="U326" s="783">
        <f>Gegenstände!AE326</f>
        <v>0</v>
      </c>
      <c r="V326" s="783">
        <f>Gegenstände!AD326</f>
        <v>0</v>
      </c>
      <c r="W326" s="783">
        <f>Gegenstände!AF326</f>
        <v>0</v>
      </c>
      <c r="AB326" s="3">
        <f>Gegenstände!M326</f>
        <v>1</v>
      </c>
      <c r="AC326" s="3">
        <f>Gegenstände!AB326</f>
        <v>42</v>
      </c>
      <c r="AD326" s="3">
        <f>Gegenstände!F326</f>
        <v>0</v>
      </c>
    </row>
    <row r="327" spans="1:30" x14ac:dyDescent="0.2">
      <c r="A327" s="3">
        <f>Gegenstände!A327</f>
        <v>1193</v>
      </c>
      <c r="B327" s="3" t="str">
        <f>Gegenstände!B327</f>
        <v>Arbaleste</v>
      </c>
      <c r="D327" s="3">
        <f>Gegenstände!K327</f>
        <v>2800</v>
      </c>
      <c r="E327" s="3">
        <f>Gegenstände!I327</f>
        <v>4</v>
      </c>
      <c r="F327" s="3">
        <f>VLOOKUP(Gegenstände!E327,Berechnungen!$E$87:$F$115,2,FALSE)</f>
        <v>12</v>
      </c>
      <c r="G327" s="3">
        <f>Gegenstände!H327</f>
        <v>1</v>
      </c>
      <c r="H327" s="3">
        <f>Gegenstände!G327</f>
        <v>7</v>
      </c>
      <c r="I327" s="3">
        <f>Gegenstände!D327</f>
        <v>6</v>
      </c>
      <c r="J327" s="168">
        <f>ROUND(Gegenstände!N327,0)</f>
        <v>4000</v>
      </c>
      <c r="K327" s="3">
        <f>Gegenstände!J327</f>
        <v>100</v>
      </c>
      <c r="L327" s="3">
        <f>Gegenstände!L327</f>
        <v>0</v>
      </c>
      <c r="M327" s="3">
        <f>Gegenstände!Z327</f>
        <v>0</v>
      </c>
      <c r="N327" s="783">
        <f>(Gegenstände!Y327*10)</f>
        <v>0</v>
      </c>
      <c r="O327" s="783">
        <f>(Gegenstände!W327*10)</f>
        <v>0</v>
      </c>
      <c r="P327" s="783">
        <f>Gegenstände!AA327*10</f>
        <v>0</v>
      </c>
      <c r="Q327" s="783">
        <f>Gegenstände!O327</f>
        <v>1</v>
      </c>
      <c r="R327" s="168">
        <f>Gegenstände!S327</f>
        <v>56</v>
      </c>
      <c r="S327" s="168">
        <f>Gegenstände!T327</f>
        <v>94</v>
      </c>
      <c r="T327" s="783">
        <f>Gegenstände!AC327</f>
        <v>0</v>
      </c>
      <c r="U327" s="783">
        <f>Gegenstände!AE327</f>
        <v>0</v>
      </c>
      <c r="V327" s="783">
        <f>Gegenstände!AD327</f>
        <v>0</v>
      </c>
      <c r="W327" s="783">
        <f>Gegenstände!AF327</f>
        <v>0</v>
      </c>
      <c r="AB327" s="3">
        <f>Gegenstände!M327</f>
        <v>2</v>
      </c>
      <c r="AC327" s="3">
        <f>Gegenstände!AB327</f>
        <v>42</v>
      </c>
      <c r="AD327" s="3">
        <f>Gegenstände!F327</f>
        <v>0</v>
      </c>
    </row>
    <row r="328" spans="1:30" x14ac:dyDescent="0.2">
      <c r="A328" s="3">
        <f>Gegenstände!A328</f>
        <v>1194</v>
      </c>
      <c r="B328" s="3" t="str">
        <f>Gegenstände!B328</f>
        <v>Ballista</v>
      </c>
      <c r="D328" s="3">
        <f>Gegenstände!K328</f>
        <v>3100</v>
      </c>
      <c r="E328" s="3">
        <f>Gegenstände!I328</f>
        <v>4</v>
      </c>
      <c r="F328" s="3">
        <f>VLOOKUP(Gegenstände!E328,Berechnungen!$E$87:$F$115,2,FALSE)</f>
        <v>12</v>
      </c>
      <c r="G328" s="3">
        <f>Gegenstände!H328</f>
        <v>1</v>
      </c>
      <c r="H328" s="3">
        <f>Gegenstände!G328</f>
        <v>7</v>
      </c>
      <c r="I328" s="3">
        <f>Gegenstände!D328</f>
        <v>9</v>
      </c>
      <c r="J328" s="168">
        <f>ROUND(Gegenstände!N328,0)</f>
        <v>6100</v>
      </c>
      <c r="K328" s="3">
        <f>Gegenstände!J328</f>
        <v>100</v>
      </c>
      <c r="L328" s="3">
        <f>Gegenstände!L328</f>
        <v>0</v>
      </c>
      <c r="M328" s="3">
        <f>Gegenstände!Z328</f>
        <v>0</v>
      </c>
      <c r="N328" s="783">
        <f>(Gegenstände!Y328*10)</f>
        <v>0</v>
      </c>
      <c r="O328" s="783">
        <f>(Gegenstände!W328*10)</f>
        <v>0</v>
      </c>
      <c r="P328" s="783">
        <f>Gegenstände!AA328*10</f>
        <v>0</v>
      </c>
      <c r="Q328" s="783">
        <f>Gegenstände!O328</f>
        <v>1</v>
      </c>
      <c r="R328" s="168">
        <f>Gegenstände!S328</f>
        <v>73</v>
      </c>
      <c r="S328" s="168">
        <f>Gegenstände!T328</f>
        <v>122</v>
      </c>
      <c r="T328" s="783">
        <f>Gegenstände!AC328</f>
        <v>0</v>
      </c>
      <c r="U328" s="783">
        <f>Gegenstände!AE328</f>
        <v>0</v>
      </c>
      <c r="V328" s="783">
        <f>Gegenstände!AD328</f>
        <v>0</v>
      </c>
      <c r="W328" s="783">
        <f>Gegenstände!AF328</f>
        <v>0</v>
      </c>
      <c r="AB328" s="3">
        <f>Gegenstände!M328</f>
        <v>2</v>
      </c>
      <c r="AC328" s="3">
        <f>Gegenstände!AB328</f>
        <v>42</v>
      </c>
      <c r="AD328" s="3">
        <f>Gegenstände!F328</f>
        <v>0</v>
      </c>
    </row>
    <row r="329" spans="1:30" x14ac:dyDescent="0.2">
      <c r="A329" s="3">
        <f>Gegenstände!A329</f>
        <v>1195</v>
      </c>
      <c r="B329" s="3" t="str">
        <f>Gegenstände!B329</f>
        <v>Repetierarmbrust</v>
      </c>
      <c r="D329" s="3">
        <f>Gegenstände!K329</f>
        <v>3200</v>
      </c>
      <c r="E329" s="3">
        <f>Gegenstände!I329</f>
        <v>4</v>
      </c>
      <c r="F329" s="3">
        <f>VLOOKUP(Gegenstände!E329,Berechnungen!$E$87:$F$115,2,FALSE)</f>
        <v>12</v>
      </c>
      <c r="G329" s="3">
        <f>Gegenstände!H329</f>
        <v>1</v>
      </c>
      <c r="H329" s="3">
        <f>Gegenstände!G329</f>
        <v>7</v>
      </c>
      <c r="I329" s="3">
        <f>Gegenstände!D329</f>
        <v>11</v>
      </c>
      <c r="J329" s="168">
        <f>ROUND(Gegenstände!N329,0)</f>
        <v>8100</v>
      </c>
      <c r="K329" s="3">
        <f>Gegenstände!J329</f>
        <v>100</v>
      </c>
      <c r="L329" s="3">
        <f>Gegenstände!L329</f>
        <v>0</v>
      </c>
      <c r="M329" s="3">
        <f>Gegenstände!Z329</f>
        <v>0</v>
      </c>
      <c r="N329" s="783">
        <f>(Gegenstände!Y329*10)</f>
        <v>0</v>
      </c>
      <c r="O329" s="783">
        <f>(Gegenstände!W329*10)</f>
        <v>0</v>
      </c>
      <c r="P329" s="783">
        <f>Gegenstände!AA329*10</f>
        <v>0</v>
      </c>
      <c r="Q329" s="783">
        <f>Gegenstände!O329</f>
        <v>1</v>
      </c>
      <c r="R329" s="168">
        <f>Gegenstände!S329</f>
        <v>86</v>
      </c>
      <c r="S329" s="168">
        <f>Gegenstände!T329</f>
        <v>143</v>
      </c>
      <c r="T329" s="783">
        <f>Gegenstände!AC329</f>
        <v>0</v>
      </c>
      <c r="U329" s="783">
        <f>Gegenstände!AE329</f>
        <v>0</v>
      </c>
      <c r="V329" s="783">
        <f>Gegenstände!AD329</f>
        <v>0</v>
      </c>
      <c r="W329" s="783">
        <f>Gegenstände!AF329</f>
        <v>0</v>
      </c>
      <c r="AB329" s="3">
        <f>Gegenstände!M329</f>
        <v>3</v>
      </c>
      <c r="AC329" s="3">
        <f>Gegenstände!AB329</f>
        <v>42</v>
      </c>
      <c r="AD329" s="3">
        <f>Gegenstände!F329</f>
        <v>0</v>
      </c>
    </row>
    <row r="330" spans="1:30" x14ac:dyDescent="0.2">
      <c r="A330" s="3">
        <f>Gegenstände!A330</f>
        <v>1196</v>
      </c>
      <c r="B330" s="3" t="str">
        <f>Gegenstände!B330</f>
        <v>Hornarmbrust</v>
      </c>
      <c r="D330" s="3">
        <f>Gegenstände!K330</f>
        <v>3000</v>
      </c>
      <c r="E330" s="3">
        <f>Gegenstände!I330</f>
        <v>4</v>
      </c>
      <c r="F330" s="3">
        <f>VLOOKUP(Gegenstände!E330,Berechnungen!$E$87:$F$115,2,FALSE)</f>
        <v>12</v>
      </c>
      <c r="G330" s="3">
        <f>Gegenstände!H330</f>
        <v>1</v>
      </c>
      <c r="H330" s="3">
        <f>Gegenstände!G330</f>
        <v>7</v>
      </c>
      <c r="I330" s="3">
        <f>Gegenstände!D330</f>
        <v>14</v>
      </c>
      <c r="J330" s="168">
        <f>ROUND(Gegenstände!N330,0)</f>
        <v>12300</v>
      </c>
      <c r="K330" s="3">
        <f>Gegenstände!J330</f>
        <v>100</v>
      </c>
      <c r="L330" s="3">
        <f>Gegenstände!L330</f>
        <v>0</v>
      </c>
      <c r="M330" s="3">
        <f>Gegenstände!Z330</f>
        <v>0</v>
      </c>
      <c r="N330" s="783">
        <f>(Gegenstände!Y330*10)</f>
        <v>0</v>
      </c>
      <c r="O330" s="783">
        <f>(Gegenstände!W330*10)</f>
        <v>0</v>
      </c>
      <c r="P330" s="783">
        <f>Gegenstände!AA330*10</f>
        <v>0</v>
      </c>
      <c r="Q330" s="783">
        <f>Gegenstände!O330</f>
        <v>1</v>
      </c>
      <c r="R330" s="168">
        <f>Gegenstände!S330</f>
        <v>105</v>
      </c>
      <c r="S330" s="168">
        <f>Gegenstände!T330</f>
        <v>175</v>
      </c>
      <c r="T330" s="783">
        <f>Gegenstände!AC330</f>
        <v>0</v>
      </c>
      <c r="U330" s="783">
        <f>Gegenstände!AE330</f>
        <v>0</v>
      </c>
      <c r="V330" s="783">
        <f>Gegenstände!AD330</f>
        <v>0</v>
      </c>
      <c r="W330" s="783">
        <f>Gegenstände!AF330</f>
        <v>0</v>
      </c>
      <c r="AB330" s="3">
        <f>Gegenstände!M330</f>
        <v>3</v>
      </c>
      <c r="AC330" s="3">
        <f>Gegenstände!AB330</f>
        <v>42</v>
      </c>
      <c r="AD330" s="3">
        <f>Gegenstände!F330</f>
        <v>0</v>
      </c>
    </row>
    <row r="331" spans="1:30" x14ac:dyDescent="0.2">
      <c r="A331" s="3">
        <f>Gegenstände!A331</f>
        <v>1197</v>
      </c>
      <c r="B331" s="3" t="str">
        <f>Gegenstände!B331</f>
        <v>Belagerungsarmbrust</v>
      </c>
      <c r="D331" s="3">
        <f>Gegenstände!K331</f>
        <v>3400</v>
      </c>
      <c r="E331" s="3">
        <f>Gegenstände!I331</f>
        <v>4</v>
      </c>
      <c r="F331" s="3">
        <f>VLOOKUP(Gegenstände!E331,Berechnungen!$E$87:$F$115,2,FALSE)</f>
        <v>12</v>
      </c>
      <c r="G331" s="3">
        <f>Gegenstände!H331</f>
        <v>1</v>
      </c>
      <c r="H331" s="3">
        <f>Gegenstände!G331</f>
        <v>7</v>
      </c>
      <c r="I331" s="3">
        <f>Gegenstände!D331</f>
        <v>16</v>
      </c>
      <c r="J331" s="168">
        <f>ROUND(Gegenstände!N331,0)</f>
        <v>16300</v>
      </c>
      <c r="K331" s="3">
        <f>Gegenstände!J331</f>
        <v>100</v>
      </c>
      <c r="L331" s="3">
        <f>Gegenstände!L331</f>
        <v>0</v>
      </c>
      <c r="M331" s="3">
        <f>Gegenstände!Z331</f>
        <v>0</v>
      </c>
      <c r="N331" s="783">
        <f>(Gegenstände!Y331*10)</f>
        <v>0</v>
      </c>
      <c r="O331" s="783">
        <f>(Gegenstände!W331*10)</f>
        <v>0</v>
      </c>
      <c r="P331" s="783">
        <f>Gegenstände!AA331*10</f>
        <v>0</v>
      </c>
      <c r="Q331" s="783">
        <f>Gegenstände!O331</f>
        <v>1</v>
      </c>
      <c r="R331" s="168">
        <f>Gegenstände!S331</f>
        <v>118</v>
      </c>
      <c r="S331" s="168">
        <f>Gegenstände!T331</f>
        <v>197</v>
      </c>
      <c r="T331" s="783">
        <f>Gegenstände!AC331</f>
        <v>0</v>
      </c>
      <c r="U331" s="783">
        <f>Gegenstände!AE331</f>
        <v>0</v>
      </c>
      <c r="V331" s="783">
        <f>Gegenstände!AD331</f>
        <v>0</v>
      </c>
      <c r="W331" s="783">
        <f>Gegenstände!AF331</f>
        <v>0</v>
      </c>
      <c r="AB331" s="3">
        <f>Gegenstände!M331</f>
        <v>4</v>
      </c>
      <c r="AC331" s="3">
        <f>Gegenstände!AB331</f>
        <v>42</v>
      </c>
      <c r="AD331" s="3">
        <f>Gegenstände!F331</f>
        <v>0</v>
      </c>
    </row>
    <row r="332" spans="1:30" x14ac:dyDescent="0.2">
      <c r="A332" s="3">
        <f>Gegenstände!A332</f>
        <v>1198</v>
      </c>
      <c r="B332" s="3" t="str">
        <f>Gegenstände!B332</f>
        <v>Kolossusarmbrust</v>
      </c>
      <c r="D332" s="3">
        <f>Gegenstände!K332</f>
        <v>3300</v>
      </c>
      <c r="E332" s="3">
        <f>Gegenstände!I332</f>
        <v>4</v>
      </c>
      <c r="F332" s="3">
        <f>VLOOKUP(Gegenstände!E332,Berechnungen!$E$87:$F$115,2,FALSE)</f>
        <v>12</v>
      </c>
      <c r="G332" s="3">
        <f>Gegenstände!H332</f>
        <v>1</v>
      </c>
      <c r="H332" s="3">
        <f>Gegenstände!G332</f>
        <v>7</v>
      </c>
      <c r="I332" s="3">
        <f>Gegenstände!D332</f>
        <v>19</v>
      </c>
      <c r="J332" s="168">
        <f>ROUND(Gegenstände!N332,0)</f>
        <v>24800</v>
      </c>
      <c r="K332" s="3">
        <f>Gegenstände!J332</f>
        <v>100</v>
      </c>
      <c r="L332" s="3">
        <f>Gegenstände!L332</f>
        <v>0</v>
      </c>
      <c r="M332" s="3">
        <f>Gegenstände!Z332</f>
        <v>0</v>
      </c>
      <c r="N332" s="783">
        <f>(Gegenstände!Y332*10)</f>
        <v>0</v>
      </c>
      <c r="O332" s="783">
        <f>(Gegenstände!W332*10)</f>
        <v>0</v>
      </c>
      <c r="P332" s="783">
        <f>Gegenstände!AA332*10</f>
        <v>0</v>
      </c>
      <c r="Q332" s="783">
        <f>Gegenstände!O332</f>
        <v>1</v>
      </c>
      <c r="R332" s="168">
        <f>Gegenstände!S332</f>
        <v>140</v>
      </c>
      <c r="S332" s="168">
        <f>Gegenstände!T332</f>
        <v>233</v>
      </c>
      <c r="T332" s="783">
        <f>Gegenstände!AC332</f>
        <v>0</v>
      </c>
      <c r="U332" s="783">
        <f>Gegenstände!AE332</f>
        <v>0</v>
      </c>
      <c r="V332" s="783">
        <f>Gegenstände!AD332</f>
        <v>0</v>
      </c>
      <c r="W332" s="783">
        <f>Gegenstände!AF332</f>
        <v>0</v>
      </c>
      <c r="AB332" s="3">
        <f>Gegenstände!M332</f>
        <v>4</v>
      </c>
      <c r="AC332" s="3">
        <f>Gegenstände!AB332</f>
        <v>42</v>
      </c>
      <c r="AD332" s="3">
        <f>Gegenstände!F332</f>
        <v>0</v>
      </c>
    </row>
    <row r="333" spans="1:30" x14ac:dyDescent="0.2">
      <c r="A333" s="3">
        <f>Gegenstände!A333</f>
        <v>1199</v>
      </c>
      <c r="B333" s="3" t="str">
        <f>Gegenstände!B333</f>
        <v>Kriegsarmbrust</v>
      </c>
      <c r="D333" s="3">
        <f>Gegenstände!K333</f>
        <v>2900</v>
      </c>
      <c r="E333" s="3">
        <f>Gegenstände!I333</f>
        <v>4</v>
      </c>
      <c r="F333" s="3">
        <f>VLOOKUP(Gegenstände!E333,Berechnungen!$E$87:$F$115,2,FALSE)</f>
        <v>12</v>
      </c>
      <c r="G333" s="3">
        <f>Gegenstände!H333</f>
        <v>1</v>
      </c>
      <c r="H333" s="3">
        <f>Gegenstände!G333</f>
        <v>7</v>
      </c>
      <c r="I333" s="3">
        <f>Gegenstände!D333</f>
        <v>22</v>
      </c>
      <c r="J333" s="168">
        <f>ROUND(Gegenstände!N333,0)</f>
        <v>37600</v>
      </c>
      <c r="K333" s="3">
        <f>Gegenstände!J333</f>
        <v>100</v>
      </c>
      <c r="L333" s="3">
        <f>Gegenstände!L333</f>
        <v>0</v>
      </c>
      <c r="M333" s="3">
        <f>Gegenstände!Z333</f>
        <v>0</v>
      </c>
      <c r="N333" s="783">
        <f>(Gegenstände!Y333*10)</f>
        <v>0</v>
      </c>
      <c r="O333" s="783">
        <f>(Gegenstände!W333*10)</f>
        <v>0</v>
      </c>
      <c r="P333" s="783">
        <f>Gegenstände!AA333*10</f>
        <v>0</v>
      </c>
      <c r="Q333" s="783">
        <f>Gegenstände!O333</f>
        <v>1</v>
      </c>
      <c r="R333" s="168">
        <f>Gegenstände!S333</f>
        <v>163</v>
      </c>
      <c r="S333" s="168">
        <f>Gegenstände!T333</f>
        <v>271</v>
      </c>
      <c r="T333" s="783">
        <f>Gegenstände!AC333</f>
        <v>0</v>
      </c>
      <c r="U333" s="783">
        <f>Gegenstände!AE333</f>
        <v>0</v>
      </c>
      <c r="V333" s="783">
        <f>Gegenstände!AD333</f>
        <v>0</v>
      </c>
      <c r="W333" s="783">
        <f>Gegenstände!AF333</f>
        <v>0</v>
      </c>
      <c r="AB333" s="3">
        <f>Gegenstände!M333</f>
        <v>5</v>
      </c>
      <c r="AC333" s="3">
        <f>Gegenstände!AB333</f>
        <v>42</v>
      </c>
      <c r="AD333" s="3">
        <f>Gegenstände!F333</f>
        <v>0</v>
      </c>
    </row>
    <row r="334" spans="1:30" x14ac:dyDescent="0.2">
      <c r="A334" s="3">
        <f>Gegenstände!A334</f>
        <v>1200</v>
      </c>
      <c r="B334" s="3" t="str">
        <f>Gegenstände!B334</f>
        <v>Dämonenarmbrust</v>
      </c>
      <c r="D334" s="3">
        <f>Gegenstände!K334</f>
        <v>3000</v>
      </c>
      <c r="E334" s="3">
        <f>Gegenstände!I334</f>
        <v>4</v>
      </c>
      <c r="F334" s="3">
        <f>VLOOKUP(Gegenstände!E334,Berechnungen!$E$87:$F$115,2,FALSE)</f>
        <v>12</v>
      </c>
      <c r="G334" s="3">
        <f>Gegenstände!H334</f>
        <v>1</v>
      </c>
      <c r="H334" s="3">
        <f>Gegenstände!G334</f>
        <v>7</v>
      </c>
      <c r="I334" s="3">
        <f>Gegenstände!D334</f>
        <v>25</v>
      </c>
      <c r="J334" s="168">
        <f>ROUND(Gegenstände!N334,0)</f>
        <v>57300</v>
      </c>
      <c r="K334" s="3">
        <f>Gegenstände!J334</f>
        <v>100</v>
      </c>
      <c r="L334" s="3">
        <f>Gegenstände!L334</f>
        <v>0</v>
      </c>
      <c r="M334" s="3">
        <f>Gegenstände!Z334</f>
        <v>0</v>
      </c>
      <c r="N334" s="783">
        <f>(Gegenstände!Y334*10)</f>
        <v>0</v>
      </c>
      <c r="O334" s="783">
        <f>(Gegenstände!W334*10)</f>
        <v>0</v>
      </c>
      <c r="P334" s="783">
        <f>Gegenstände!AA334*10</f>
        <v>0</v>
      </c>
      <c r="Q334" s="783">
        <f>Gegenstände!O334</f>
        <v>1</v>
      </c>
      <c r="R334" s="168">
        <f>Gegenstände!S334</f>
        <v>187</v>
      </c>
      <c r="S334" s="168">
        <f>Gegenstände!T334</f>
        <v>311</v>
      </c>
      <c r="T334" s="783">
        <f>Gegenstände!AC334</f>
        <v>0</v>
      </c>
      <c r="U334" s="783">
        <f>Gegenstände!AE334</f>
        <v>0</v>
      </c>
      <c r="V334" s="783">
        <f>Gegenstände!AD334</f>
        <v>0</v>
      </c>
      <c r="W334" s="783">
        <f>Gegenstände!AF334</f>
        <v>0</v>
      </c>
      <c r="AB334" s="3">
        <f>Gegenstände!M334</f>
        <v>5</v>
      </c>
      <c r="AC334" s="3">
        <f>Gegenstände!AB334</f>
        <v>42</v>
      </c>
      <c r="AD334" s="3">
        <f>Gegenstände!F334</f>
        <v>0</v>
      </c>
    </row>
    <row r="335" spans="1:30" x14ac:dyDescent="0.2">
      <c r="A335" s="3">
        <f>Gegenstände!A335</f>
        <v>2191</v>
      </c>
      <c r="B335" s="3" t="str">
        <f>Gegenstände!B335</f>
        <v>Achat-Armbrust</v>
      </c>
      <c r="D335" s="3">
        <f>Gegenstände!K335</f>
        <v>2600</v>
      </c>
      <c r="E335" s="3">
        <f>Gegenstände!I335</f>
        <v>4</v>
      </c>
      <c r="F335" s="3">
        <f>VLOOKUP(Gegenstände!E335,Berechnungen!$E$87:$F$115,2,FALSE)</f>
        <v>12</v>
      </c>
      <c r="G335" s="3">
        <f>Gegenstände!H335</f>
        <v>2</v>
      </c>
      <c r="H335" s="3">
        <f>Gegenstände!G335</f>
        <v>7</v>
      </c>
      <c r="I335" s="3">
        <f>Gegenstände!D335</f>
        <v>4</v>
      </c>
      <c r="J335" s="168">
        <f>ROUND(Gegenstände!N335,0)</f>
        <v>5500</v>
      </c>
      <c r="K335" s="3">
        <f>Gegenstände!J335</f>
        <v>100</v>
      </c>
      <c r="L335" s="3">
        <f>Gegenstände!L335</f>
        <v>0</v>
      </c>
      <c r="M335" s="3">
        <f>Gegenstände!Z335</f>
        <v>0</v>
      </c>
      <c r="N335" s="783">
        <f>(Gegenstände!Y335*10)</f>
        <v>0</v>
      </c>
      <c r="O335" s="783">
        <f>(Gegenstände!W335*10)</f>
        <v>0</v>
      </c>
      <c r="P335" s="783">
        <f>Gegenstände!AA335*10</f>
        <v>0</v>
      </c>
      <c r="Q335" s="783">
        <f>Gegenstände!O335</f>
        <v>1</v>
      </c>
      <c r="R335" s="168">
        <f>Gegenstände!S335</f>
        <v>62</v>
      </c>
      <c r="S335" s="168">
        <f>Gegenstände!T335</f>
        <v>103</v>
      </c>
      <c r="T335" s="783">
        <f>Gegenstände!AC335</f>
        <v>0</v>
      </c>
      <c r="U335" s="783">
        <f>Gegenstände!AE335</f>
        <v>0</v>
      </c>
      <c r="V335" s="783">
        <f>Gegenstände!AD335</f>
        <v>0</v>
      </c>
      <c r="W335" s="783">
        <f>Gegenstände!AF335</f>
        <v>0</v>
      </c>
      <c r="AB335" s="3">
        <f>Gegenstände!M335</f>
        <v>0</v>
      </c>
      <c r="AC335" s="3">
        <f>Gegenstände!AB335</f>
        <v>42</v>
      </c>
      <c r="AD335" s="3">
        <f>Gegenstände!F335</f>
        <v>0</v>
      </c>
    </row>
    <row r="336" spans="1:30" x14ac:dyDescent="0.2">
      <c r="A336" s="3">
        <f>Gegenstände!A336</f>
        <v>2192</v>
      </c>
      <c r="B336" s="3" t="str">
        <f>Gegenstände!B336</f>
        <v>Topas-Armbrust</v>
      </c>
      <c r="D336" s="3">
        <f>Gegenstände!K336</f>
        <v>2900</v>
      </c>
      <c r="E336" s="3">
        <f>Gegenstände!I336</f>
        <v>4</v>
      </c>
      <c r="F336" s="3">
        <f>VLOOKUP(Gegenstände!E336,Berechnungen!$E$87:$F$115,2,FALSE)</f>
        <v>12</v>
      </c>
      <c r="G336" s="3">
        <f>Gegenstände!H336</f>
        <v>2</v>
      </c>
      <c r="H336" s="3">
        <f>Gegenstände!G336</f>
        <v>7</v>
      </c>
      <c r="I336" s="3">
        <f>Gegenstände!D336</f>
        <v>9</v>
      </c>
      <c r="J336" s="168">
        <f>ROUND(Gegenstände!N336,0)</f>
        <v>11100</v>
      </c>
      <c r="K336" s="3">
        <f>Gegenstände!J336</f>
        <v>100</v>
      </c>
      <c r="L336" s="3">
        <f>Gegenstände!L336</f>
        <v>0</v>
      </c>
      <c r="M336" s="3">
        <f>Gegenstände!Z336</f>
        <v>0</v>
      </c>
      <c r="N336" s="783">
        <f>(Gegenstände!Y336*10)</f>
        <v>0</v>
      </c>
      <c r="O336" s="783">
        <f>(Gegenstände!W336*10)</f>
        <v>0</v>
      </c>
      <c r="P336" s="783">
        <f>Gegenstände!AA336*10</f>
        <v>0</v>
      </c>
      <c r="Q336" s="783">
        <f>Gegenstände!O336</f>
        <v>1</v>
      </c>
      <c r="R336" s="168">
        <f>Gegenstände!S336</f>
        <v>92</v>
      </c>
      <c r="S336" s="168">
        <f>Gegenstände!T336</f>
        <v>153</v>
      </c>
      <c r="T336" s="783">
        <f>Gegenstände!AC336</f>
        <v>0</v>
      </c>
      <c r="U336" s="783">
        <f>Gegenstände!AE336</f>
        <v>0</v>
      </c>
      <c r="V336" s="783">
        <f>Gegenstände!AD336</f>
        <v>0</v>
      </c>
      <c r="W336" s="783">
        <f>Gegenstände!AF336</f>
        <v>0</v>
      </c>
      <c r="AB336" s="3">
        <f>Gegenstände!M336</f>
        <v>0</v>
      </c>
      <c r="AC336" s="3">
        <f>Gegenstände!AB336</f>
        <v>42</v>
      </c>
      <c r="AD336" s="3">
        <f>Gegenstände!F336</f>
        <v>0</v>
      </c>
    </row>
    <row r="337" spans="1:30" x14ac:dyDescent="0.2">
      <c r="A337" s="3">
        <f>Gegenstände!A337</f>
        <v>2193</v>
      </c>
      <c r="B337" s="3" t="str">
        <f>Gegenstände!B337</f>
        <v>Saphir-Armbrust</v>
      </c>
      <c r="D337" s="3">
        <f>Gegenstände!K337</f>
        <v>2800</v>
      </c>
      <c r="E337" s="3">
        <f>Gegenstände!I337</f>
        <v>4</v>
      </c>
      <c r="F337" s="3">
        <f>VLOOKUP(Gegenstände!E337,Berechnungen!$E$87:$F$115,2,FALSE)</f>
        <v>12</v>
      </c>
      <c r="G337" s="3">
        <f>Gegenstände!H337</f>
        <v>2</v>
      </c>
      <c r="H337" s="3">
        <f>Gegenstände!G337</f>
        <v>7</v>
      </c>
      <c r="I337" s="3">
        <f>Gegenstände!D337</f>
        <v>14</v>
      </c>
      <c r="J337" s="168">
        <f>ROUND(Gegenstände!N337,0)</f>
        <v>22300</v>
      </c>
      <c r="K337" s="3">
        <f>Gegenstände!J337</f>
        <v>100</v>
      </c>
      <c r="L337" s="3">
        <f>Gegenstände!L337</f>
        <v>0</v>
      </c>
      <c r="M337" s="3">
        <f>Gegenstände!Z337</f>
        <v>0</v>
      </c>
      <c r="N337" s="783">
        <f>(Gegenstände!Y337*10)</f>
        <v>0</v>
      </c>
      <c r="O337" s="783">
        <f>(Gegenstände!W337*10)</f>
        <v>0</v>
      </c>
      <c r="P337" s="783">
        <f>Gegenstände!AA337*10</f>
        <v>0</v>
      </c>
      <c r="Q337" s="783">
        <f>Gegenstände!O337</f>
        <v>1</v>
      </c>
      <c r="R337" s="168">
        <f>Gegenstände!S337</f>
        <v>125</v>
      </c>
      <c r="S337" s="168">
        <f>Gegenstände!T337</f>
        <v>209</v>
      </c>
      <c r="T337" s="783">
        <f>Gegenstände!AC337</f>
        <v>0</v>
      </c>
      <c r="U337" s="783">
        <f>Gegenstände!AE337</f>
        <v>0</v>
      </c>
      <c r="V337" s="783">
        <f>Gegenstände!AD337</f>
        <v>0</v>
      </c>
      <c r="W337" s="783">
        <f>Gegenstände!AF337</f>
        <v>0</v>
      </c>
      <c r="AB337" s="3">
        <f>Gegenstände!M337</f>
        <v>0</v>
      </c>
      <c r="AC337" s="3">
        <f>Gegenstände!AB337</f>
        <v>42</v>
      </c>
      <c r="AD337" s="3">
        <f>Gegenstände!F337</f>
        <v>0</v>
      </c>
    </row>
    <row r="338" spans="1:30" x14ac:dyDescent="0.2">
      <c r="A338" s="3">
        <f>Gegenstände!A338</f>
        <v>2194</v>
      </c>
      <c r="B338" s="3" t="str">
        <f>Gegenstände!B338</f>
        <v>Lapis-Armbrust</v>
      </c>
      <c r="D338" s="3">
        <f>Gegenstände!K338</f>
        <v>3100</v>
      </c>
      <c r="E338" s="3">
        <f>Gegenstände!I338</f>
        <v>4</v>
      </c>
      <c r="F338" s="3">
        <f>VLOOKUP(Gegenstände!E338,Berechnungen!$E$87:$F$115,2,FALSE)</f>
        <v>12</v>
      </c>
      <c r="G338" s="3">
        <f>Gegenstände!H338</f>
        <v>2</v>
      </c>
      <c r="H338" s="3">
        <f>Gegenstände!G338</f>
        <v>7</v>
      </c>
      <c r="I338" s="3">
        <f>Gegenstände!D338</f>
        <v>19</v>
      </c>
      <c r="J338" s="168">
        <f>ROUND(Gegenstände!N338,0)</f>
        <v>42300</v>
      </c>
      <c r="K338" s="3">
        <f>Gegenstände!J338</f>
        <v>100</v>
      </c>
      <c r="L338" s="3">
        <f>Gegenstände!L338</f>
        <v>0</v>
      </c>
      <c r="M338" s="3">
        <f>Gegenstände!Z338</f>
        <v>0</v>
      </c>
      <c r="N338" s="783">
        <f>(Gegenstände!Y338*10)</f>
        <v>0</v>
      </c>
      <c r="O338" s="783">
        <f>(Gegenstände!W338*10)</f>
        <v>0</v>
      </c>
      <c r="P338" s="783">
        <f>Gegenstände!AA338*10</f>
        <v>0</v>
      </c>
      <c r="Q338" s="783">
        <f>Gegenstände!O338</f>
        <v>1</v>
      </c>
      <c r="R338" s="168">
        <f>Gegenstände!S338</f>
        <v>163</v>
      </c>
      <c r="S338" s="168">
        <f>Gegenstände!T338</f>
        <v>271</v>
      </c>
      <c r="T338" s="783">
        <f>Gegenstände!AC338</f>
        <v>0</v>
      </c>
      <c r="U338" s="783">
        <f>Gegenstände!AE338</f>
        <v>0</v>
      </c>
      <c r="V338" s="783">
        <f>Gegenstände!AD338</f>
        <v>0</v>
      </c>
      <c r="W338" s="783">
        <f>Gegenstände!AF338</f>
        <v>0</v>
      </c>
      <c r="AB338" s="3">
        <f>Gegenstände!M338</f>
        <v>0</v>
      </c>
      <c r="AC338" s="3">
        <f>Gegenstände!AB338</f>
        <v>42</v>
      </c>
      <c r="AD338" s="3">
        <f>Gegenstände!F338</f>
        <v>0</v>
      </c>
    </row>
    <row r="339" spans="1:30" x14ac:dyDescent="0.2">
      <c r="A339" s="3">
        <f>Gegenstände!A339</f>
        <v>2195</v>
      </c>
      <c r="B339" s="3" t="str">
        <f>Gegenstände!B339</f>
        <v>Diamant-Armbrust</v>
      </c>
      <c r="D339" s="3">
        <f>Gegenstände!K339</f>
        <v>3200</v>
      </c>
      <c r="E339" s="3">
        <f>Gegenstände!I339</f>
        <v>4</v>
      </c>
      <c r="F339" s="3">
        <f>VLOOKUP(Gegenstände!E339,Berechnungen!$E$87:$F$115,2,FALSE)</f>
        <v>12</v>
      </c>
      <c r="G339" s="3">
        <f>Gegenstände!H339</f>
        <v>2</v>
      </c>
      <c r="H339" s="3">
        <f>Gegenstände!G339</f>
        <v>7</v>
      </c>
      <c r="I339" s="3">
        <f>Gegenstände!D339</f>
        <v>25</v>
      </c>
      <c r="J339" s="168">
        <f>ROUND(Gegenstände!N339,0)</f>
        <v>82300</v>
      </c>
      <c r="K339" s="3">
        <f>Gegenstände!J339</f>
        <v>100</v>
      </c>
      <c r="L339" s="3">
        <f>Gegenstände!L339</f>
        <v>0</v>
      </c>
      <c r="M339" s="3">
        <f>Gegenstände!Z339</f>
        <v>0</v>
      </c>
      <c r="N339" s="783">
        <f>(Gegenstände!Y339*10)</f>
        <v>0</v>
      </c>
      <c r="O339" s="783">
        <f>(Gegenstände!W339*10)</f>
        <v>0</v>
      </c>
      <c r="P339" s="783">
        <f>Gegenstände!AA339*10</f>
        <v>0</v>
      </c>
      <c r="Q339" s="783">
        <f>Gegenstände!O339</f>
        <v>1</v>
      </c>
      <c r="R339" s="168">
        <f>Gegenstände!S339</f>
        <v>212</v>
      </c>
      <c r="S339" s="168">
        <f>Gegenstände!T339</f>
        <v>353</v>
      </c>
      <c r="T339" s="783">
        <f>Gegenstände!AC339</f>
        <v>0</v>
      </c>
      <c r="U339" s="783">
        <f>Gegenstände!AE339</f>
        <v>0</v>
      </c>
      <c r="V339" s="783">
        <f>Gegenstände!AD339</f>
        <v>0</v>
      </c>
      <c r="W339" s="783">
        <f>Gegenstände!AF339</f>
        <v>0</v>
      </c>
      <c r="AB339" s="3">
        <f>Gegenstände!M339</f>
        <v>0</v>
      </c>
      <c r="AC339" s="3">
        <f>Gegenstände!AB339</f>
        <v>42</v>
      </c>
      <c r="AD339" s="3">
        <f>Gegenstände!F339</f>
        <v>0</v>
      </c>
    </row>
    <row r="340" spans="1:30" x14ac:dyDescent="0.2">
      <c r="A340" s="3">
        <f>Gegenstände!A340</f>
        <v>0</v>
      </c>
      <c r="B340" s="3" t="str">
        <f>Gegenstände!B340</f>
        <v>Stoffrüstungen</v>
      </c>
      <c r="D340" s="3">
        <f>Gegenstände!K340</f>
        <v>0</v>
      </c>
      <c r="E340" s="3">
        <f>Gegenstände!I340</f>
        <v>0</v>
      </c>
      <c r="F340" s="3" t="e">
        <f>VLOOKUP(Gegenstände!E340,Berechnungen!$E$87:$F$115,2,FALSE)</f>
        <v>#N/A</v>
      </c>
      <c r="G340" s="3">
        <f>Gegenstände!H340</f>
        <v>0</v>
      </c>
      <c r="H340" s="3">
        <f>Gegenstände!G340</f>
        <v>0</v>
      </c>
      <c r="I340" s="3">
        <f>Gegenstände!D340</f>
        <v>0</v>
      </c>
      <c r="J340" s="168">
        <f>ROUND(Gegenstände!N340,0)</f>
        <v>0</v>
      </c>
      <c r="K340" s="3">
        <f>Gegenstände!J340</f>
        <v>0</v>
      </c>
      <c r="L340" s="3">
        <f>Gegenstände!L340</f>
        <v>0</v>
      </c>
      <c r="M340" s="3">
        <f>Gegenstände!Z340</f>
        <v>0</v>
      </c>
      <c r="N340" s="783">
        <f>(Gegenstände!Y340*10)</f>
        <v>0</v>
      </c>
      <c r="O340" s="783">
        <f>(Gegenstände!W340*10)</f>
        <v>0</v>
      </c>
      <c r="P340" s="783">
        <f>Gegenstände!AA340*10</f>
        <v>0</v>
      </c>
      <c r="Q340" s="783">
        <f>Gegenstände!O340</f>
        <v>0</v>
      </c>
      <c r="R340" s="168">
        <f>Gegenstände!S340</f>
        <v>0</v>
      </c>
      <c r="S340" s="168">
        <f>Gegenstände!T340</f>
        <v>0</v>
      </c>
      <c r="T340" s="783">
        <f>Gegenstände!AC340</f>
        <v>0</v>
      </c>
      <c r="U340" s="783">
        <f>Gegenstände!AE340</f>
        <v>0</v>
      </c>
      <c r="V340" s="783">
        <f>Gegenstände!AD340</f>
        <v>0</v>
      </c>
      <c r="W340" s="783">
        <f>Gegenstände!AF340</f>
        <v>0</v>
      </c>
      <c r="AB340" s="3">
        <f>Gegenstände!M340</f>
        <v>0</v>
      </c>
      <c r="AC340" s="3">
        <f>Gegenstände!AB340</f>
        <v>0</v>
      </c>
      <c r="AD340" s="3">
        <f>Gegenstände!F340</f>
        <v>0</v>
      </c>
    </row>
    <row r="341" spans="1:30" x14ac:dyDescent="0.2">
      <c r="A341" s="3">
        <f>Gegenstände!A341</f>
        <v>1201</v>
      </c>
      <c r="B341" s="3" t="str">
        <f>Gegenstände!B341</f>
        <v>Leinen-Haube</v>
      </c>
      <c r="D341" s="3">
        <f>Gegenstände!K341</f>
        <v>800</v>
      </c>
      <c r="E341" s="3">
        <f>Gegenstände!I341</f>
        <v>11</v>
      </c>
      <c r="F341" s="3">
        <f>VLOOKUP(Gegenstände!E341,Berechnungen!$E$87:$F$115,2,FALSE)</f>
        <v>21</v>
      </c>
      <c r="G341" s="3">
        <f>Gegenstände!H341</f>
        <v>1</v>
      </c>
      <c r="H341" s="3">
        <f>Gegenstände!G341</f>
        <v>8</v>
      </c>
      <c r="I341" s="3">
        <f>Gegenstände!D341</f>
        <v>1</v>
      </c>
      <c r="J341" s="168">
        <f>ROUND(Gegenstände!N341,0)</f>
        <v>1000</v>
      </c>
      <c r="K341" s="3">
        <f>Gegenstände!J341</f>
        <v>100</v>
      </c>
      <c r="L341" s="3">
        <f>Gegenstände!L341</f>
        <v>0</v>
      </c>
      <c r="M341" s="3">
        <f>Gegenstände!Z341</f>
        <v>0</v>
      </c>
      <c r="N341" s="783">
        <f>(Gegenstände!Y341*10)</f>
        <v>0</v>
      </c>
      <c r="O341" s="783">
        <f>(Gegenstände!W341*10)</f>
        <v>4</v>
      </c>
      <c r="P341" s="783">
        <f>Gegenstände!AA341*10</f>
        <v>0</v>
      </c>
      <c r="Q341" s="783">
        <f>Gegenstände!O341</f>
        <v>0</v>
      </c>
      <c r="R341" s="168">
        <f>Gegenstände!S341</f>
        <v>0</v>
      </c>
      <c r="S341" s="168">
        <f>Gegenstände!T341</f>
        <v>0</v>
      </c>
      <c r="T341" s="783">
        <f>Gegenstände!AC341</f>
        <v>0</v>
      </c>
      <c r="U341" s="783">
        <f>Gegenstände!AE341</f>
        <v>0</v>
      </c>
      <c r="V341" s="783">
        <f>Gegenstände!AD341</f>
        <v>0</v>
      </c>
      <c r="W341" s="783">
        <f>Gegenstände!AF341</f>
        <v>0</v>
      </c>
      <c r="AB341" s="3">
        <f>Gegenstände!M341</f>
        <v>1</v>
      </c>
      <c r="AC341" s="3">
        <f>Gegenstände!AB341</f>
        <v>0</v>
      </c>
      <c r="AD341" s="3">
        <f>Gegenstände!F341</f>
        <v>0</v>
      </c>
    </row>
    <row r="342" spans="1:30" x14ac:dyDescent="0.2">
      <c r="A342" s="3">
        <f>Gegenstände!A342</f>
        <v>1202</v>
      </c>
      <c r="B342" s="3" t="str">
        <f>Gegenstände!B342</f>
        <v>Leinen-Robe</v>
      </c>
      <c r="D342" s="3">
        <f>Gegenstände!K342</f>
        <v>1200</v>
      </c>
      <c r="E342" s="3">
        <f>Gegenstände!I342</f>
        <v>12</v>
      </c>
      <c r="F342" s="3">
        <f>VLOOKUP(Gegenstände!E342,Berechnungen!$E$87:$F$115,2,FALSE)</f>
        <v>21</v>
      </c>
      <c r="G342" s="3">
        <f>Gegenstände!H342</f>
        <v>1</v>
      </c>
      <c r="H342" s="3">
        <f>Gegenstände!G342</f>
        <v>8</v>
      </c>
      <c r="I342" s="3">
        <f>Gegenstände!D342</f>
        <v>1</v>
      </c>
      <c r="J342" s="168">
        <f>ROUND(Gegenstände!N342,0)</f>
        <v>1500</v>
      </c>
      <c r="K342" s="3">
        <f>Gegenstände!J342</f>
        <v>100</v>
      </c>
      <c r="L342" s="3">
        <f>Gegenstände!L342</f>
        <v>0</v>
      </c>
      <c r="M342" s="3">
        <f>Gegenstände!Z342</f>
        <v>0</v>
      </c>
      <c r="N342" s="783">
        <f>(Gegenstände!Y342*10)</f>
        <v>0</v>
      </c>
      <c r="O342" s="783">
        <f>(Gegenstände!W342*10)</f>
        <v>6</v>
      </c>
      <c r="P342" s="783">
        <f>Gegenstände!AA342*10</f>
        <v>0</v>
      </c>
      <c r="Q342" s="783">
        <f>Gegenstände!O342</f>
        <v>0</v>
      </c>
      <c r="R342" s="168">
        <f>Gegenstände!S342</f>
        <v>0</v>
      </c>
      <c r="S342" s="168">
        <f>Gegenstände!T342</f>
        <v>0</v>
      </c>
      <c r="T342" s="783">
        <f>Gegenstände!AC342</f>
        <v>0</v>
      </c>
      <c r="U342" s="783">
        <f>Gegenstände!AE342</f>
        <v>0</v>
      </c>
      <c r="V342" s="783">
        <f>Gegenstände!AD342</f>
        <v>0</v>
      </c>
      <c r="W342" s="783">
        <f>Gegenstände!AF342</f>
        <v>0</v>
      </c>
      <c r="AB342" s="3">
        <f>Gegenstände!M342</f>
        <v>1</v>
      </c>
      <c r="AC342" s="3">
        <f>Gegenstände!AB342</f>
        <v>0</v>
      </c>
      <c r="AD342" s="3">
        <f>Gegenstände!F342</f>
        <v>0</v>
      </c>
    </row>
    <row r="343" spans="1:30" x14ac:dyDescent="0.2">
      <c r="A343" s="3">
        <f>Gegenstände!A343</f>
        <v>1203</v>
      </c>
      <c r="B343" s="3" t="str">
        <f>Gegenstände!B343</f>
        <v>Leinen-Handschuhe</v>
      </c>
      <c r="D343" s="3">
        <f>Gegenstände!K343</f>
        <v>600</v>
      </c>
      <c r="E343" s="3">
        <f>Gegenstände!I343</f>
        <v>13</v>
      </c>
      <c r="F343" s="3">
        <f>VLOOKUP(Gegenstände!E343,Berechnungen!$E$87:$F$115,2,FALSE)</f>
        <v>21</v>
      </c>
      <c r="G343" s="3">
        <f>Gegenstände!H343</f>
        <v>1</v>
      </c>
      <c r="H343" s="3">
        <f>Gegenstände!G343</f>
        <v>8</v>
      </c>
      <c r="I343" s="3">
        <f>Gegenstände!D343</f>
        <v>2</v>
      </c>
      <c r="J343" s="168">
        <f>ROUND(Gegenstände!N343,0)</f>
        <v>900</v>
      </c>
      <c r="K343" s="3">
        <f>Gegenstände!J343</f>
        <v>100</v>
      </c>
      <c r="L343" s="3">
        <f>Gegenstände!L343</f>
        <v>0</v>
      </c>
      <c r="M343" s="3">
        <f>Gegenstände!Z343</f>
        <v>0</v>
      </c>
      <c r="N343" s="783">
        <f>(Gegenstände!Y343*10)</f>
        <v>0</v>
      </c>
      <c r="O343" s="783">
        <f>(Gegenstände!W343*10)</f>
        <v>3</v>
      </c>
      <c r="P343" s="783">
        <f>Gegenstände!AA343*10</f>
        <v>0</v>
      </c>
      <c r="Q343" s="783">
        <f>Gegenstände!O343</f>
        <v>0</v>
      </c>
      <c r="R343" s="168">
        <f>Gegenstände!S343</f>
        <v>0</v>
      </c>
      <c r="S343" s="168">
        <f>Gegenstände!T343</f>
        <v>0</v>
      </c>
      <c r="T343" s="783">
        <f>Gegenstände!AC343</f>
        <v>0</v>
      </c>
      <c r="U343" s="783">
        <f>Gegenstände!AE343</f>
        <v>0</v>
      </c>
      <c r="V343" s="783">
        <f>Gegenstände!AD343</f>
        <v>0</v>
      </c>
      <c r="W343" s="783">
        <f>Gegenstände!AF343</f>
        <v>0</v>
      </c>
      <c r="AB343" s="3">
        <f>Gegenstände!M343</f>
        <v>1</v>
      </c>
      <c r="AC343" s="3">
        <f>Gegenstände!AB343</f>
        <v>0</v>
      </c>
      <c r="AD343" s="3">
        <f>Gegenstände!F343</f>
        <v>0</v>
      </c>
    </row>
    <row r="344" spans="1:30" x14ac:dyDescent="0.2">
      <c r="A344" s="3">
        <f>Gegenstände!A344</f>
        <v>1204</v>
      </c>
      <c r="B344" s="3" t="str">
        <f>Gegenstände!B344</f>
        <v>Leinen-Hose</v>
      </c>
      <c r="D344" s="3">
        <f>Gegenstände!K344</f>
        <v>800</v>
      </c>
      <c r="E344" s="3">
        <f>Gegenstände!I344</f>
        <v>14</v>
      </c>
      <c r="F344" s="3">
        <f>VLOOKUP(Gegenstände!E344,Berechnungen!$E$87:$F$115,2,FALSE)</f>
        <v>21</v>
      </c>
      <c r="G344" s="3">
        <f>Gegenstände!H344</f>
        <v>1</v>
      </c>
      <c r="H344" s="3">
        <f>Gegenstände!G344</f>
        <v>8</v>
      </c>
      <c r="I344" s="3">
        <f>Gegenstände!D344</f>
        <v>2</v>
      </c>
      <c r="J344" s="168">
        <f>ROUND(Gegenstände!N344,0)</f>
        <v>1200</v>
      </c>
      <c r="K344" s="3">
        <f>Gegenstände!J344</f>
        <v>100</v>
      </c>
      <c r="L344" s="3">
        <f>Gegenstände!L344</f>
        <v>0</v>
      </c>
      <c r="M344" s="3">
        <f>Gegenstände!Z344</f>
        <v>0</v>
      </c>
      <c r="N344" s="783">
        <f>(Gegenstände!Y344*10)</f>
        <v>0</v>
      </c>
      <c r="O344" s="783">
        <f>(Gegenstände!W344*10)</f>
        <v>4</v>
      </c>
      <c r="P344" s="783">
        <f>Gegenstände!AA344*10</f>
        <v>0</v>
      </c>
      <c r="Q344" s="783">
        <f>Gegenstände!O344</f>
        <v>0</v>
      </c>
      <c r="R344" s="168">
        <f>Gegenstände!S344</f>
        <v>0</v>
      </c>
      <c r="S344" s="168">
        <f>Gegenstände!T344</f>
        <v>0</v>
      </c>
      <c r="T344" s="783">
        <f>Gegenstände!AC344</f>
        <v>0</v>
      </c>
      <c r="U344" s="783">
        <f>Gegenstände!AE344</f>
        <v>0</v>
      </c>
      <c r="V344" s="783">
        <f>Gegenstände!AD344</f>
        <v>0</v>
      </c>
      <c r="W344" s="783">
        <f>Gegenstände!AF344</f>
        <v>0</v>
      </c>
      <c r="AB344" s="3">
        <f>Gegenstände!M344</f>
        <v>1</v>
      </c>
      <c r="AC344" s="3">
        <f>Gegenstände!AB344</f>
        <v>0</v>
      </c>
      <c r="AD344" s="3">
        <f>Gegenstände!F344</f>
        <v>0</v>
      </c>
    </row>
    <row r="345" spans="1:30" x14ac:dyDescent="0.2">
      <c r="A345" s="3">
        <f>Gegenstände!A345</f>
        <v>1205</v>
      </c>
      <c r="B345" s="3" t="str">
        <f>Gegenstände!B345</f>
        <v>Leinen-Schuhe</v>
      </c>
      <c r="D345" s="3">
        <f>Gegenstände!K345</f>
        <v>600</v>
      </c>
      <c r="E345" s="3">
        <f>Gegenstände!I345</f>
        <v>15</v>
      </c>
      <c r="F345" s="3">
        <f>VLOOKUP(Gegenstände!E345,Berechnungen!$E$87:$F$115,2,FALSE)</f>
        <v>21</v>
      </c>
      <c r="G345" s="3">
        <f>Gegenstände!H345</f>
        <v>1</v>
      </c>
      <c r="H345" s="3">
        <f>Gegenstände!G345</f>
        <v>8</v>
      </c>
      <c r="I345" s="3">
        <f>Gegenstände!D345</f>
        <v>2</v>
      </c>
      <c r="J345" s="168">
        <f>ROUND(Gegenstände!N345,0)</f>
        <v>900</v>
      </c>
      <c r="K345" s="3">
        <f>Gegenstände!J345</f>
        <v>100</v>
      </c>
      <c r="L345" s="3">
        <f>Gegenstände!L345</f>
        <v>0</v>
      </c>
      <c r="M345" s="3">
        <f>Gegenstände!Z345</f>
        <v>0</v>
      </c>
      <c r="N345" s="783">
        <f>(Gegenstände!Y345*10)</f>
        <v>0</v>
      </c>
      <c r="O345" s="783">
        <f>(Gegenstände!W345*10)</f>
        <v>3</v>
      </c>
      <c r="P345" s="783">
        <f>Gegenstände!AA345*10</f>
        <v>0</v>
      </c>
      <c r="Q345" s="783">
        <f>Gegenstände!O345</f>
        <v>0</v>
      </c>
      <c r="R345" s="168">
        <f>Gegenstände!S345</f>
        <v>0</v>
      </c>
      <c r="S345" s="168">
        <f>Gegenstände!T345</f>
        <v>0</v>
      </c>
      <c r="T345" s="783">
        <f>Gegenstände!AC345</f>
        <v>0</v>
      </c>
      <c r="U345" s="783">
        <f>Gegenstände!AE345</f>
        <v>0</v>
      </c>
      <c r="V345" s="783">
        <f>Gegenstände!AD345</f>
        <v>0</v>
      </c>
      <c r="W345" s="783">
        <f>Gegenstände!AF345</f>
        <v>0</v>
      </c>
      <c r="AB345" s="3">
        <f>Gegenstände!M345</f>
        <v>1</v>
      </c>
      <c r="AC345" s="3">
        <f>Gegenstände!AB345</f>
        <v>0</v>
      </c>
      <c r="AD345" s="3">
        <f>Gegenstände!F345</f>
        <v>0</v>
      </c>
    </row>
    <row r="346" spans="1:30" x14ac:dyDescent="0.2">
      <c r="A346" s="3">
        <f>Gegenstände!A346</f>
        <v>1206</v>
      </c>
      <c r="B346" s="3" t="str">
        <f>Gegenstände!B346</f>
        <v>Leinen-Spitzhut</v>
      </c>
      <c r="D346" s="3">
        <f>Gegenstände!K346</f>
        <v>1200</v>
      </c>
      <c r="E346" s="3">
        <f>Gegenstände!I346</f>
        <v>11</v>
      </c>
      <c r="F346" s="3">
        <f>VLOOKUP(Gegenstände!E346,Berechnungen!$E$87:$F$115,2,FALSE)</f>
        <v>21</v>
      </c>
      <c r="G346" s="3">
        <f>Gegenstände!H346</f>
        <v>1</v>
      </c>
      <c r="H346" s="3">
        <f>Gegenstände!G346</f>
        <v>8</v>
      </c>
      <c r="I346" s="3">
        <f>Gegenstände!D346</f>
        <v>4</v>
      </c>
      <c r="J346" s="168">
        <f>ROUND(Gegenstände!N346,0)</f>
        <v>1500</v>
      </c>
      <c r="K346" s="3">
        <f>Gegenstände!J346</f>
        <v>100</v>
      </c>
      <c r="L346" s="3">
        <f>Gegenstände!L346</f>
        <v>0</v>
      </c>
      <c r="M346" s="3">
        <f>Gegenstände!Z346</f>
        <v>0</v>
      </c>
      <c r="N346" s="783">
        <f>(Gegenstände!Y346*10)</f>
        <v>0</v>
      </c>
      <c r="O346" s="783">
        <f>(Gegenstände!W346*10)</f>
        <v>6</v>
      </c>
      <c r="P346" s="783">
        <f>Gegenstände!AA346*10</f>
        <v>0</v>
      </c>
      <c r="Q346" s="783">
        <f>Gegenstände!O346</f>
        <v>0</v>
      </c>
      <c r="R346" s="168">
        <f>Gegenstände!S346</f>
        <v>0</v>
      </c>
      <c r="S346" s="168">
        <f>Gegenstände!T346</f>
        <v>0</v>
      </c>
      <c r="T346" s="783">
        <f>Gegenstände!AC346</f>
        <v>0</v>
      </c>
      <c r="U346" s="783">
        <f>Gegenstände!AE346</f>
        <v>0</v>
      </c>
      <c r="V346" s="783">
        <f>Gegenstände!AD346</f>
        <v>0</v>
      </c>
      <c r="W346" s="783">
        <f>Gegenstände!AF346</f>
        <v>0</v>
      </c>
      <c r="AB346" s="3">
        <f>Gegenstände!M346</f>
        <v>1</v>
      </c>
      <c r="AC346" s="3">
        <f>Gegenstände!AB346</f>
        <v>0</v>
      </c>
      <c r="AD346" s="3">
        <f>Gegenstände!F346</f>
        <v>0</v>
      </c>
    </row>
    <row r="347" spans="1:30" x14ac:dyDescent="0.2">
      <c r="A347" s="3">
        <f>Gegenstände!A347</f>
        <v>1207</v>
      </c>
      <c r="B347" s="3" t="str">
        <f>Gegenstände!B347</f>
        <v>Leinen-Tunika</v>
      </c>
      <c r="D347" s="3">
        <f>Gegenstände!K347</f>
        <v>1800</v>
      </c>
      <c r="E347" s="3">
        <f>Gegenstände!I347</f>
        <v>12</v>
      </c>
      <c r="F347" s="3">
        <f>VLOOKUP(Gegenstände!E347,Berechnungen!$E$87:$F$115,2,FALSE)</f>
        <v>21</v>
      </c>
      <c r="G347" s="3">
        <f>Gegenstände!H347</f>
        <v>1</v>
      </c>
      <c r="H347" s="3">
        <f>Gegenstände!G347</f>
        <v>8</v>
      </c>
      <c r="I347" s="3">
        <f>Gegenstände!D347</f>
        <v>4</v>
      </c>
      <c r="J347" s="168">
        <f>ROUND(Gegenstände!N347,0)</f>
        <v>2300</v>
      </c>
      <c r="K347" s="3">
        <f>Gegenstände!J347</f>
        <v>100</v>
      </c>
      <c r="L347" s="3">
        <f>Gegenstände!L347</f>
        <v>0</v>
      </c>
      <c r="M347" s="3">
        <f>Gegenstände!Z347</f>
        <v>0</v>
      </c>
      <c r="N347" s="783">
        <f>(Gegenstände!Y347*10)</f>
        <v>0</v>
      </c>
      <c r="O347" s="783">
        <f>(Gegenstände!W347*10)</f>
        <v>9</v>
      </c>
      <c r="P347" s="783">
        <f>Gegenstände!AA347*10</f>
        <v>0</v>
      </c>
      <c r="Q347" s="783">
        <f>Gegenstände!O347</f>
        <v>0</v>
      </c>
      <c r="R347" s="168">
        <f>Gegenstände!S347</f>
        <v>0</v>
      </c>
      <c r="S347" s="168">
        <f>Gegenstände!T347</f>
        <v>0</v>
      </c>
      <c r="T347" s="783">
        <f>Gegenstände!AC347</f>
        <v>0</v>
      </c>
      <c r="U347" s="783">
        <f>Gegenstände!AE347</f>
        <v>0</v>
      </c>
      <c r="V347" s="783">
        <f>Gegenstände!AD347</f>
        <v>0</v>
      </c>
      <c r="W347" s="783">
        <f>Gegenstände!AF347</f>
        <v>0</v>
      </c>
      <c r="AB347" s="3">
        <f>Gegenstände!M347</f>
        <v>1</v>
      </c>
      <c r="AC347" s="3">
        <f>Gegenstände!AB347</f>
        <v>0</v>
      </c>
      <c r="AD347" s="3">
        <f>Gegenstände!F347</f>
        <v>0</v>
      </c>
    </row>
    <row r="348" spans="1:30" x14ac:dyDescent="0.2">
      <c r="A348" s="3">
        <f>Gegenstände!A348</f>
        <v>1208</v>
      </c>
      <c r="B348" s="3" t="str">
        <f>Gegenstände!B348</f>
        <v>Leinen-Stulpen</v>
      </c>
      <c r="D348" s="3">
        <f>Gegenstände!K348</f>
        <v>900</v>
      </c>
      <c r="E348" s="3">
        <f>Gegenstände!I348</f>
        <v>13</v>
      </c>
      <c r="F348" s="3">
        <f>VLOOKUP(Gegenstände!E348,Berechnungen!$E$87:$F$115,2,FALSE)</f>
        <v>21</v>
      </c>
      <c r="G348" s="3">
        <f>Gegenstände!H348</f>
        <v>1</v>
      </c>
      <c r="H348" s="3">
        <f>Gegenstände!G348</f>
        <v>8</v>
      </c>
      <c r="I348" s="3">
        <f>Gegenstände!D348</f>
        <v>5</v>
      </c>
      <c r="J348" s="168">
        <f>ROUND(Gegenstände!N348,0)</f>
        <v>1300</v>
      </c>
      <c r="K348" s="3">
        <f>Gegenstände!J348</f>
        <v>100</v>
      </c>
      <c r="L348" s="3">
        <f>Gegenstände!L348</f>
        <v>0</v>
      </c>
      <c r="M348" s="3">
        <f>Gegenstände!Z348</f>
        <v>0</v>
      </c>
      <c r="N348" s="783">
        <f>(Gegenstände!Y348*10)</f>
        <v>0</v>
      </c>
      <c r="O348" s="783">
        <f>(Gegenstände!W348*10)</f>
        <v>5</v>
      </c>
      <c r="P348" s="783">
        <f>Gegenstände!AA348*10</f>
        <v>0</v>
      </c>
      <c r="Q348" s="783">
        <f>Gegenstände!O348</f>
        <v>0</v>
      </c>
      <c r="R348" s="168">
        <f>Gegenstände!S348</f>
        <v>0</v>
      </c>
      <c r="S348" s="168">
        <f>Gegenstände!T348</f>
        <v>0</v>
      </c>
      <c r="T348" s="783">
        <f>Gegenstände!AC348</f>
        <v>0</v>
      </c>
      <c r="U348" s="783">
        <f>Gegenstände!AE348</f>
        <v>0</v>
      </c>
      <c r="V348" s="783">
        <f>Gegenstände!AD348</f>
        <v>0</v>
      </c>
      <c r="W348" s="783">
        <f>Gegenstände!AF348</f>
        <v>0</v>
      </c>
      <c r="AB348" s="3">
        <f>Gegenstände!M348</f>
        <v>1</v>
      </c>
      <c r="AC348" s="3">
        <f>Gegenstände!AB348</f>
        <v>0</v>
      </c>
      <c r="AD348" s="3">
        <f>Gegenstände!F348</f>
        <v>0</v>
      </c>
    </row>
    <row r="349" spans="1:30" x14ac:dyDescent="0.2">
      <c r="A349" s="3">
        <f>Gegenstände!A349</f>
        <v>1209</v>
      </c>
      <c r="B349" s="3" t="str">
        <f>Gegenstände!B349</f>
        <v>Leinen-Beinlinge</v>
      </c>
      <c r="D349" s="3">
        <f>Gegenstände!K349</f>
        <v>1200</v>
      </c>
      <c r="E349" s="3">
        <f>Gegenstände!I349</f>
        <v>14</v>
      </c>
      <c r="F349" s="3">
        <f>VLOOKUP(Gegenstände!E349,Berechnungen!$E$87:$F$115,2,FALSE)</f>
        <v>21</v>
      </c>
      <c r="G349" s="3">
        <f>Gegenstände!H349</f>
        <v>1</v>
      </c>
      <c r="H349" s="3">
        <f>Gegenstände!G349</f>
        <v>8</v>
      </c>
      <c r="I349" s="3">
        <f>Gegenstände!D349</f>
        <v>5</v>
      </c>
      <c r="J349" s="168">
        <f>ROUND(Gegenstände!N349,0)</f>
        <v>1700</v>
      </c>
      <c r="K349" s="3">
        <f>Gegenstände!J349</f>
        <v>100</v>
      </c>
      <c r="L349" s="3">
        <f>Gegenstände!L349</f>
        <v>0</v>
      </c>
      <c r="M349" s="3">
        <f>Gegenstände!Z349</f>
        <v>0</v>
      </c>
      <c r="N349" s="783">
        <f>(Gegenstände!Y349*10)</f>
        <v>0</v>
      </c>
      <c r="O349" s="783">
        <f>(Gegenstände!W349*10)</f>
        <v>6</v>
      </c>
      <c r="P349" s="783">
        <f>Gegenstände!AA349*10</f>
        <v>0</v>
      </c>
      <c r="Q349" s="783">
        <f>Gegenstände!O349</f>
        <v>0</v>
      </c>
      <c r="R349" s="168">
        <f>Gegenstände!S349</f>
        <v>0</v>
      </c>
      <c r="S349" s="168">
        <f>Gegenstände!T349</f>
        <v>0</v>
      </c>
      <c r="T349" s="783">
        <f>Gegenstände!AC349</f>
        <v>0</v>
      </c>
      <c r="U349" s="783">
        <f>Gegenstände!AE349</f>
        <v>0</v>
      </c>
      <c r="V349" s="783">
        <f>Gegenstände!AD349</f>
        <v>0</v>
      </c>
      <c r="W349" s="783">
        <f>Gegenstände!AF349</f>
        <v>0</v>
      </c>
      <c r="AB349" s="3">
        <f>Gegenstände!M349</f>
        <v>1</v>
      </c>
      <c r="AC349" s="3">
        <f>Gegenstände!AB349</f>
        <v>0</v>
      </c>
      <c r="AD349" s="3">
        <f>Gegenstände!F349</f>
        <v>0</v>
      </c>
    </row>
    <row r="350" spans="1:30" x14ac:dyDescent="0.2">
      <c r="A350" s="3">
        <f>Gegenstände!A350</f>
        <v>1210</v>
      </c>
      <c r="B350" s="3" t="str">
        <f>Gegenstände!B350</f>
        <v>Leinen-Stiefel</v>
      </c>
      <c r="D350" s="3">
        <f>Gegenstände!K350</f>
        <v>900</v>
      </c>
      <c r="E350" s="3">
        <f>Gegenstände!I350</f>
        <v>15</v>
      </c>
      <c r="F350" s="3">
        <f>VLOOKUP(Gegenstände!E350,Berechnungen!$E$87:$F$115,2,FALSE)</f>
        <v>21</v>
      </c>
      <c r="G350" s="3">
        <f>Gegenstände!H350</f>
        <v>1</v>
      </c>
      <c r="H350" s="3">
        <f>Gegenstände!G350</f>
        <v>8</v>
      </c>
      <c r="I350" s="3">
        <f>Gegenstände!D350</f>
        <v>5</v>
      </c>
      <c r="J350" s="168">
        <f>ROUND(Gegenstände!N350,0)</f>
        <v>1300</v>
      </c>
      <c r="K350" s="3">
        <f>Gegenstände!J350</f>
        <v>100</v>
      </c>
      <c r="L350" s="3">
        <f>Gegenstände!L350</f>
        <v>0</v>
      </c>
      <c r="M350" s="3">
        <f>Gegenstände!Z350</f>
        <v>0</v>
      </c>
      <c r="N350" s="783">
        <f>(Gegenstände!Y350*10)</f>
        <v>0</v>
      </c>
      <c r="O350" s="783">
        <f>(Gegenstände!W350*10)</f>
        <v>5</v>
      </c>
      <c r="P350" s="783">
        <f>Gegenstände!AA350*10</f>
        <v>0</v>
      </c>
      <c r="Q350" s="783">
        <f>Gegenstände!O350</f>
        <v>0</v>
      </c>
      <c r="R350" s="168">
        <f>Gegenstände!S350</f>
        <v>0</v>
      </c>
      <c r="S350" s="168">
        <f>Gegenstände!T350</f>
        <v>0</v>
      </c>
      <c r="T350" s="783">
        <f>Gegenstände!AC350</f>
        <v>0</v>
      </c>
      <c r="U350" s="783">
        <f>Gegenstände!AE350</f>
        <v>0</v>
      </c>
      <c r="V350" s="783">
        <f>Gegenstände!AD350</f>
        <v>0</v>
      </c>
      <c r="W350" s="783">
        <f>Gegenstände!AF350</f>
        <v>0</v>
      </c>
      <c r="AB350" s="3">
        <f>Gegenstände!M350</f>
        <v>1</v>
      </c>
      <c r="AC350" s="3">
        <f>Gegenstände!AB350</f>
        <v>0</v>
      </c>
      <c r="AD350" s="3">
        <f>Gegenstände!F350</f>
        <v>0</v>
      </c>
    </row>
    <row r="351" spans="1:30" x14ac:dyDescent="0.2">
      <c r="A351" s="3">
        <f>Gegenstände!A351</f>
        <v>1211</v>
      </c>
      <c r="B351" s="3" t="str">
        <f>Gegenstände!B351</f>
        <v>Woll-Haube</v>
      </c>
      <c r="D351" s="3">
        <f>Gegenstände!K351</f>
        <v>800</v>
      </c>
      <c r="E351" s="3">
        <f>Gegenstände!I351</f>
        <v>11</v>
      </c>
      <c r="F351" s="3">
        <f>VLOOKUP(Gegenstände!E351,Berechnungen!$E$87:$F$115,2,FALSE)</f>
        <v>21</v>
      </c>
      <c r="G351" s="3">
        <f>Gegenstände!H351</f>
        <v>1</v>
      </c>
      <c r="H351" s="3">
        <f>Gegenstände!G351</f>
        <v>8</v>
      </c>
      <c r="I351" s="3">
        <f>Gegenstände!D351</f>
        <v>6</v>
      </c>
      <c r="J351" s="168">
        <f>ROUND(Gegenstände!N351,0)</f>
        <v>2000</v>
      </c>
      <c r="K351" s="3">
        <f>Gegenstände!J351</f>
        <v>100</v>
      </c>
      <c r="L351" s="3">
        <f>Gegenstände!L351</f>
        <v>0</v>
      </c>
      <c r="M351" s="3">
        <f>Gegenstände!Z351</f>
        <v>0</v>
      </c>
      <c r="N351" s="783">
        <f>(Gegenstände!Y351*10)</f>
        <v>0</v>
      </c>
      <c r="O351" s="783">
        <f>(Gegenstände!W351*10)</f>
        <v>8</v>
      </c>
      <c r="P351" s="783">
        <f>Gegenstände!AA351*10</f>
        <v>0</v>
      </c>
      <c r="Q351" s="783">
        <f>Gegenstände!O351</f>
        <v>0</v>
      </c>
      <c r="R351" s="168">
        <f>Gegenstände!S351</f>
        <v>0</v>
      </c>
      <c r="S351" s="168">
        <f>Gegenstände!T351</f>
        <v>0</v>
      </c>
      <c r="T351" s="783">
        <f>Gegenstände!AC351</f>
        <v>0</v>
      </c>
      <c r="U351" s="783">
        <f>Gegenstände!AE351</f>
        <v>0</v>
      </c>
      <c r="V351" s="783">
        <f>Gegenstände!AD351</f>
        <v>0</v>
      </c>
      <c r="W351" s="783">
        <f>Gegenstände!AF351</f>
        <v>0</v>
      </c>
      <c r="AB351" s="3">
        <f>Gegenstände!M351</f>
        <v>2</v>
      </c>
      <c r="AC351" s="3">
        <f>Gegenstände!AB351</f>
        <v>0</v>
      </c>
      <c r="AD351" s="3">
        <f>Gegenstände!F351</f>
        <v>0</v>
      </c>
    </row>
    <row r="352" spans="1:30" x14ac:dyDescent="0.2">
      <c r="A352" s="3">
        <f>Gegenstände!A352</f>
        <v>1212</v>
      </c>
      <c r="B352" s="3" t="str">
        <f>Gegenstände!B352</f>
        <v>Woll-Robe</v>
      </c>
      <c r="D352" s="3">
        <f>Gegenstände!K352</f>
        <v>1200</v>
      </c>
      <c r="E352" s="3">
        <f>Gegenstände!I352</f>
        <v>12</v>
      </c>
      <c r="F352" s="3">
        <f>VLOOKUP(Gegenstände!E352,Berechnungen!$E$87:$F$115,2,FALSE)</f>
        <v>21</v>
      </c>
      <c r="G352" s="3">
        <f>Gegenstände!H352</f>
        <v>1</v>
      </c>
      <c r="H352" s="3">
        <f>Gegenstände!G352</f>
        <v>8</v>
      </c>
      <c r="I352" s="3">
        <f>Gegenstände!D352</f>
        <v>6</v>
      </c>
      <c r="J352" s="168">
        <f>ROUND(Gegenstände!N352,0)</f>
        <v>3000</v>
      </c>
      <c r="K352" s="3">
        <f>Gegenstände!J352</f>
        <v>100</v>
      </c>
      <c r="L352" s="3">
        <f>Gegenstände!L352</f>
        <v>0</v>
      </c>
      <c r="M352" s="3">
        <f>Gegenstände!Z352</f>
        <v>0</v>
      </c>
      <c r="N352" s="783">
        <f>(Gegenstände!Y352*10)</f>
        <v>0</v>
      </c>
      <c r="O352" s="783">
        <f>(Gegenstände!W352*10)</f>
        <v>12</v>
      </c>
      <c r="P352" s="783">
        <f>Gegenstände!AA352*10</f>
        <v>0</v>
      </c>
      <c r="Q352" s="783">
        <f>Gegenstände!O352</f>
        <v>0</v>
      </c>
      <c r="R352" s="168">
        <f>Gegenstände!S352</f>
        <v>0</v>
      </c>
      <c r="S352" s="168">
        <f>Gegenstände!T352</f>
        <v>0</v>
      </c>
      <c r="T352" s="783">
        <f>Gegenstände!AC352</f>
        <v>0</v>
      </c>
      <c r="U352" s="783">
        <f>Gegenstände!AE352</f>
        <v>0</v>
      </c>
      <c r="V352" s="783">
        <f>Gegenstände!AD352</f>
        <v>0</v>
      </c>
      <c r="W352" s="783">
        <f>Gegenstände!AF352</f>
        <v>0</v>
      </c>
      <c r="AB352" s="3">
        <f>Gegenstände!M352</f>
        <v>2</v>
      </c>
      <c r="AC352" s="3">
        <f>Gegenstände!AB352</f>
        <v>0</v>
      </c>
      <c r="AD352" s="3">
        <f>Gegenstände!F352</f>
        <v>0</v>
      </c>
    </row>
    <row r="353" spans="1:30" x14ac:dyDescent="0.2">
      <c r="A353" s="3">
        <f>Gegenstände!A353</f>
        <v>1213</v>
      </c>
      <c r="B353" s="3" t="str">
        <f>Gegenstände!B353</f>
        <v>Woll-Handschuhe</v>
      </c>
      <c r="D353" s="3">
        <f>Gegenstände!K353</f>
        <v>600</v>
      </c>
      <c r="E353" s="3">
        <f>Gegenstände!I353</f>
        <v>13</v>
      </c>
      <c r="F353" s="3">
        <f>VLOOKUP(Gegenstände!E353,Berechnungen!$E$87:$F$115,2,FALSE)</f>
        <v>21</v>
      </c>
      <c r="G353" s="3">
        <f>Gegenstände!H353</f>
        <v>1</v>
      </c>
      <c r="H353" s="3">
        <f>Gegenstände!G353</f>
        <v>8</v>
      </c>
      <c r="I353" s="3">
        <f>Gegenstände!D353</f>
        <v>7</v>
      </c>
      <c r="J353" s="168">
        <f>ROUND(Gegenstände!N353,0)</f>
        <v>1700</v>
      </c>
      <c r="K353" s="3">
        <f>Gegenstände!J353</f>
        <v>100</v>
      </c>
      <c r="L353" s="3">
        <f>Gegenstände!L353</f>
        <v>0</v>
      </c>
      <c r="M353" s="3">
        <f>Gegenstände!Z353</f>
        <v>0</v>
      </c>
      <c r="N353" s="783">
        <f>(Gegenstände!Y353*10)</f>
        <v>0</v>
      </c>
      <c r="O353" s="783">
        <f>(Gegenstände!W353*10)</f>
        <v>6</v>
      </c>
      <c r="P353" s="783">
        <f>Gegenstände!AA353*10</f>
        <v>0</v>
      </c>
      <c r="Q353" s="783">
        <f>Gegenstände!O353</f>
        <v>0</v>
      </c>
      <c r="R353" s="168">
        <f>Gegenstände!S353</f>
        <v>0</v>
      </c>
      <c r="S353" s="168">
        <f>Gegenstände!T353</f>
        <v>0</v>
      </c>
      <c r="T353" s="783">
        <f>Gegenstände!AC353</f>
        <v>0</v>
      </c>
      <c r="U353" s="783">
        <f>Gegenstände!AE353</f>
        <v>0</v>
      </c>
      <c r="V353" s="783">
        <f>Gegenstände!AD353</f>
        <v>0</v>
      </c>
      <c r="W353" s="783">
        <f>Gegenstände!AF353</f>
        <v>0</v>
      </c>
      <c r="AB353" s="3">
        <f>Gegenstände!M353</f>
        <v>2</v>
      </c>
      <c r="AC353" s="3">
        <f>Gegenstände!AB353</f>
        <v>0</v>
      </c>
      <c r="AD353" s="3">
        <f>Gegenstände!F353</f>
        <v>0</v>
      </c>
    </row>
    <row r="354" spans="1:30" x14ac:dyDescent="0.2">
      <c r="A354" s="3">
        <f>Gegenstände!A354</f>
        <v>1214</v>
      </c>
      <c r="B354" s="3" t="str">
        <f>Gegenstände!B354</f>
        <v>Woll-Hose</v>
      </c>
      <c r="D354" s="3">
        <f>Gegenstände!K354</f>
        <v>800</v>
      </c>
      <c r="E354" s="3">
        <f>Gegenstände!I354</f>
        <v>14</v>
      </c>
      <c r="F354" s="3">
        <f>VLOOKUP(Gegenstände!E354,Berechnungen!$E$87:$F$115,2,FALSE)</f>
        <v>21</v>
      </c>
      <c r="G354" s="3">
        <f>Gegenstände!H354</f>
        <v>1</v>
      </c>
      <c r="H354" s="3">
        <f>Gegenstände!G354</f>
        <v>8</v>
      </c>
      <c r="I354" s="3">
        <f>Gegenstände!D354</f>
        <v>7</v>
      </c>
      <c r="J354" s="168">
        <f>ROUND(Gegenstände!N354,0)</f>
        <v>2300</v>
      </c>
      <c r="K354" s="3">
        <f>Gegenstände!J354</f>
        <v>100</v>
      </c>
      <c r="L354" s="3">
        <f>Gegenstände!L354</f>
        <v>0</v>
      </c>
      <c r="M354" s="3">
        <f>Gegenstände!Z354</f>
        <v>0</v>
      </c>
      <c r="N354" s="783">
        <f>(Gegenstände!Y354*10)</f>
        <v>0</v>
      </c>
      <c r="O354" s="783">
        <f>(Gegenstände!W354*10)</f>
        <v>8</v>
      </c>
      <c r="P354" s="783">
        <f>Gegenstände!AA354*10</f>
        <v>0</v>
      </c>
      <c r="Q354" s="783">
        <f>Gegenstände!O354</f>
        <v>0</v>
      </c>
      <c r="R354" s="168">
        <f>Gegenstände!S354</f>
        <v>0</v>
      </c>
      <c r="S354" s="168">
        <f>Gegenstände!T354</f>
        <v>0</v>
      </c>
      <c r="T354" s="783">
        <f>Gegenstände!AC354</f>
        <v>0</v>
      </c>
      <c r="U354" s="783">
        <f>Gegenstände!AE354</f>
        <v>0</v>
      </c>
      <c r="V354" s="783">
        <f>Gegenstände!AD354</f>
        <v>0</v>
      </c>
      <c r="W354" s="783">
        <f>Gegenstände!AF354</f>
        <v>0</v>
      </c>
      <c r="AB354" s="3">
        <f>Gegenstände!M354</f>
        <v>2</v>
      </c>
      <c r="AC354" s="3">
        <f>Gegenstände!AB354</f>
        <v>0</v>
      </c>
      <c r="AD354" s="3">
        <f>Gegenstände!F354</f>
        <v>0</v>
      </c>
    </row>
    <row r="355" spans="1:30" x14ac:dyDescent="0.2">
      <c r="A355" s="3">
        <f>Gegenstände!A355</f>
        <v>1215</v>
      </c>
      <c r="B355" s="3" t="str">
        <f>Gegenstände!B355</f>
        <v>Woll-Schuhe</v>
      </c>
      <c r="D355" s="3">
        <f>Gegenstände!K355</f>
        <v>600</v>
      </c>
      <c r="E355" s="3">
        <f>Gegenstände!I355</f>
        <v>15</v>
      </c>
      <c r="F355" s="3">
        <f>VLOOKUP(Gegenstände!E355,Berechnungen!$E$87:$F$115,2,FALSE)</f>
        <v>21</v>
      </c>
      <c r="G355" s="3">
        <f>Gegenstände!H355</f>
        <v>1</v>
      </c>
      <c r="H355" s="3">
        <f>Gegenstände!G355</f>
        <v>8</v>
      </c>
      <c r="I355" s="3">
        <f>Gegenstände!D355</f>
        <v>7</v>
      </c>
      <c r="J355" s="168">
        <f>ROUND(Gegenstände!N355,0)</f>
        <v>1700</v>
      </c>
      <c r="K355" s="3">
        <f>Gegenstände!J355</f>
        <v>100</v>
      </c>
      <c r="L355" s="3">
        <f>Gegenstände!L355</f>
        <v>0</v>
      </c>
      <c r="M355" s="3">
        <f>Gegenstände!Z355</f>
        <v>0</v>
      </c>
      <c r="N355" s="783">
        <f>(Gegenstände!Y355*10)</f>
        <v>0</v>
      </c>
      <c r="O355" s="783">
        <f>(Gegenstände!W355*10)</f>
        <v>6</v>
      </c>
      <c r="P355" s="783">
        <f>Gegenstände!AA355*10</f>
        <v>0</v>
      </c>
      <c r="Q355" s="783">
        <f>Gegenstände!O355</f>
        <v>0</v>
      </c>
      <c r="R355" s="168">
        <f>Gegenstände!S355</f>
        <v>0</v>
      </c>
      <c r="S355" s="168">
        <f>Gegenstände!T355</f>
        <v>0</v>
      </c>
      <c r="T355" s="783">
        <f>Gegenstände!AC355</f>
        <v>0</v>
      </c>
      <c r="U355" s="783">
        <f>Gegenstände!AE355</f>
        <v>0</v>
      </c>
      <c r="V355" s="783">
        <f>Gegenstände!AD355</f>
        <v>0</v>
      </c>
      <c r="W355" s="783">
        <f>Gegenstände!AF355</f>
        <v>0</v>
      </c>
      <c r="AB355" s="3">
        <f>Gegenstände!M355</f>
        <v>2</v>
      </c>
      <c r="AC355" s="3">
        <f>Gegenstände!AB355</f>
        <v>0</v>
      </c>
      <c r="AD355" s="3">
        <f>Gegenstände!F355</f>
        <v>0</v>
      </c>
    </row>
    <row r="356" spans="1:30" x14ac:dyDescent="0.2">
      <c r="A356" s="3">
        <f>Gegenstände!A356</f>
        <v>1216</v>
      </c>
      <c r="B356" s="3" t="str">
        <f>Gegenstände!B356</f>
        <v>Woll-Spitzhut</v>
      </c>
      <c r="D356" s="3">
        <f>Gegenstände!K356</f>
        <v>1200</v>
      </c>
      <c r="E356" s="3">
        <f>Gegenstände!I356</f>
        <v>11</v>
      </c>
      <c r="F356" s="3">
        <f>VLOOKUP(Gegenstände!E356,Berechnungen!$E$87:$F$115,2,FALSE)</f>
        <v>21</v>
      </c>
      <c r="G356" s="3">
        <f>Gegenstände!H356</f>
        <v>1</v>
      </c>
      <c r="H356" s="3">
        <f>Gegenstände!G356</f>
        <v>8</v>
      </c>
      <c r="I356" s="3">
        <f>Gegenstände!D356</f>
        <v>9</v>
      </c>
      <c r="J356" s="168">
        <f>ROUND(Gegenstände!N356,0)</f>
        <v>3100</v>
      </c>
      <c r="K356" s="3">
        <f>Gegenstände!J356</f>
        <v>100</v>
      </c>
      <c r="L356" s="3">
        <f>Gegenstände!L356</f>
        <v>0</v>
      </c>
      <c r="M356" s="3">
        <f>Gegenstände!Z356</f>
        <v>0</v>
      </c>
      <c r="N356" s="783">
        <f>(Gegenstände!Y356*10)</f>
        <v>0</v>
      </c>
      <c r="O356" s="783">
        <f>(Gegenstände!W356*10)</f>
        <v>10</v>
      </c>
      <c r="P356" s="783">
        <f>Gegenstände!AA356*10</f>
        <v>0</v>
      </c>
      <c r="Q356" s="783">
        <f>Gegenstände!O356</f>
        <v>0</v>
      </c>
      <c r="R356" s="168">
        <f>Gegenstände!S356</f>
        <v>0</v>
      </c>
      <c r="S356" s="168">
        <f>Gegenstände!T356</f>
        <v>0</v>
      </c>
      <c r="T356" s="783">
        <f>Gegenstände!AC356</f>
        <v>0</v>
      </c>
      <c r="U356" s="783">
        <f>Gegenstände!AE356</f>
        <v>0</v>
      </c>
      <c r="V356" s="783">
        <f>Gegenstände!AD356</f>
        <v>0</v>
      </c>
      <c r="W356" s="783">
        <f>Gegenstände!AF356</f>
        <v>0</v>
      </c>
      <c r="AB356" s="3">
        <f>Gegenstände!M356</f>
        <v>2</v>
      </c>
      <c r="AC356" s="3">
        <f>Gegenstände!AB356</f>
        <v>0</v>
      </c>
      <c r="AD356" s="3">
        <f>Gegenstände!F356</f>
        <v>0</v>
      </c>
    </row>
    <row r="357" spans="1:30" x14ac:dyDescent="0.2">
      <c r="A357" s="3">
        <f>Gegenstände!A357</f>
        <v>1217</v>
      </c>
      <c r="B357" s="3" t="str">
        <f>Gegenstände!B357</f>
        <v>Woll-Tunika</v>
      </c>
      <c r="D357" s="3">
        <f>Gegenstände!K357</f>
        <v>1800</v>
      </c>
      <c r="E357" s="3">
        <f>Gegenstände!I357</f>
        <v>12</v>
      </c>
      <c r="F357" s="3">
        <f>VLOOKUP(Gegenstände!E357,Berechnungen!$E$87:$F$115,2,FALSE)</f>
        <v>21</v>
      </c>
      <c r="G357" s="3">
        <f>Gegenstände!H357</f>
        <v>1</v>
      </c>
      <c r="H357" s="3">
        <f>Gegenstände!G357</f>
        <v>8</v>
      </c>
      <c r="I357" s="3">
        <f>Gegenstände!D357</f>
        <v>9</v>
      </c>
      <c r="J357" s="168">
        <f>ROUND(Gegenstände!N357,0)</f>
        <v>4600</v>
      </c>
      <c r="K357" s="3">
        <f>Gegenstände!J357</f>
        <v>100</v>
      </c>
      <c r="L357" s="3">
        <f>Gegenstände!L357</f>
        <v>0</v>
      </c>
      <c r="M357" s="3">
        <f>Gegenstände!Z357</f>
        <v>0</v>
      </c>
      <c r="N357" s="783">
        <f>(Gegenstände!Y357*10)</f>
        <v>0</v>
      </c>
      <c r="O357" s="783">
        <f>(Gegenstände!W357*10)</f>
        <v>15</v>
      </c>
      <c r="P357" s="783">
        <f>Gegenstände!AA357*10</f>
        <v>0</v>
      </c>
      <c r="Q357" s="783">
        <f>Gegenstände!O357</f>
        <v>0</v>
      </c>
      <c r="R357" s="168">
        <f>Gegenstände!S357</f>
        <v>0</v>
      </c>
      <c r="S357" s="168">
        <f>Gegenstände!T357</f>
        <v>0</v>
      </c>
      <c r="T357" s="783">
        <f>Gegenstände!AC357</f>
        <v>0</v>
      </c>
      <c r="U357" s="783">
        <f>Gegenstände!AE357</f>
        <v>0</v>
      </c>
      <c r="V357" s="783">
        <f>Gegenstände!AD357</f>
        <v>0</v>
      </c>
      <c r="W357" s="783">
        <f>Gegenstände!AF357</f>
        <v>0</v>
      </c>
      <c r="AB357" s="3">
        <f>Gegenstände!M357</f>
        <v>2</v>
      </c>
      <c r="AC357" s="3">
        <f>Gegenstände!AB357</f>
        <v>0</v>
      </c>
      <c r="AD357" s="3">
        <f>Gegenstände!F357</f>
        <v>0</v>
      </c>
    </row>
    <row r="358" spans="1:30" x14ac:dyDescent="0.2">
      <c r="A358" s="3">
        <f>Gegenstände!A358</f>
        <v>1218</v>
      </c>
      <c r="B358" s="3" t="str">
        <f>Gegenstände!B358</f>
        <v>Woll-Stulpen</v>
      </c>
      <c r="D358" s="3">
        <f>Gegenstände!K358</f>
        <v>900</v>
      </c>
      <c r="E358" s="3">
        <f>Gegenstände!I358</f>
        <v>13</v>
      </c>
      <c r="F358" s="3">
        <f>VLOOKUP(Gegenstände!E358,Berechnungen!$E$87:$F$115,2,FALSE)</f>
        <v>21</v>
      </c>
      <c r="G358" s="3">
        <f>Gegenstände!H358</f>
        <v>1</v>
      </c>
      <c r="H358" s="3">
        <f>Gegenstände!G358</f>
        <v>8</v>
      </c>
      <c r="I358" s="3">
        <f>Gegenstände!D358</f>
        <v>10</v>
      </c>
      <c r="J358" s="168">
        <f>ROUND(Gegenstände!N358,0)</f>
        <v>2600</v>
      </c>
      <c r="K358" s="3">
        <f>Gegenstände!J358</f>
        <v>100</v>
      </c>
      <c r="L358" s="3">
        <f>Gegenstände!L358</f>
        <v>0</v>
      </c>
      <c r="M358" s="3">
        <f>Gegenstände!Z358</f>
        <v>0</v>
      </c>
      <c r="N358" s="783">
        <f>(Gegenstände!Y358*10)</f>
        <v>0</v>
      </c>
      <c r="O358" s="783">
        <f>(Gegenstände!W358*10)</f>
        <v>8</v>
      </c>
      <c r="P358" s="783">
        <f>Gegenstände!AA358*10</f>
        <v>0</v>
      </c>
      <c r="Q358" s="783">
        <f>Gegenstände!O358</f>
        <v>0</v>
      </c>
      <c r="R358" s="168">
        <f>Gegenstände!S358</f>
        <v>0</v>
      </c>
      <c r="S358" s="168">
        <f>Gegenstände!T358</f>
        <v>0</v>
      </c>
      <c r="T358" s="783">
        <f>Gegenstände!AC358</f>
        <v>0</v>
      </c>
      <c r="U358" s="783">
        <f>Gegenstände!AE358</f>
        <v>0</v>
      </c>
      <c r="V358" s="783">
        <f>Gegenstände!AD358</f>
        <v>0</v>
      </c>
      <c r="W358" s="783">
        <f>Gegenstände!AF358</f>
        <v>0</v>
      </c>
      <c r="AB358" s="3">
        <f>Gegenstände!M358</f>
        <v>2</v>
      </c>
      <c r="AC358" s="3">
        <f>Gegenstände!AB358</f>
        <v>0</v>
      </c>
      <c r="AD358" s="3">
        <f>Gegenstände!F358</f>
        <v>0</v>
      </c>
    </row>
    <row r="359" spans="1:30" x14ac:dyDescent="0.2">
      <c r="A359" s="3">
        <f>Gegenstände!A359</f>
        <v>1219</v>
      </c>
      <c r="B359" s="3" t="str">
        <f>Gegenstände!B359</f>
        <v>Woll-Beinlinge</v>
      </c>
      <c r="D359" s="3">
        <f>Gegenstände!K359</f>
        <v>1200</v>
      </c>
      <c r="E359" s="3">
        <f>Gegenstände!I359</f>
        <v>14</v>
      </c>
      <c r="F359" s="3">
        <f>VLOOKUP(Gegenstände!E359,Berechnungen!$E$87:$F$115,2,FALSE)</f>
        <v>21</v>
      </c>
      <c r="G359" s="3">
        <f>Gegenstände!H359</f>
        <v>1</v>
      </c>
      <c r="H359" s="3">
        <f>Gegenstände!G359</f>
        <v>8</v>
      </c>
      <c r="I359" s="3">
        <f>Gegenstände!D359</f>
        <v>10</v>
      </c>
      <c r="J359" s="168">
        <f>ROUND(Gegenstände!N359,0)</f>
        <v>3500</v>
      </c>
      <c r="K359" s="3">
        <f>Gegenstände!J359</f>
        <v>100</v>
      </c>
      <c r="L359" s="3">
        <f>Gegenstände!L359</f>
        <v>0</v>
      </c>
      <c r="M359" s="3">
        <f>Gegenstände!Z359</f>
        <v>0</v>
      </c>
      <c r="N359" s="783">
        <f>(Gegenstände!Y359*10)</f>
        <v>0</v>
      </c>
      <c r="O359" s="783">
        <f>(Gegenstände!W359*10)</f>
        <v>10</v>
      </c>
      <c r="P359" s="783">
        <f>Gegenstände!AA359*10</f>
        <v>0</v>
      </c>
      <c r="Q359" s="783">
        <f>Gegenstände!O359</f>
        <v>0</v>
      </c>
      <c r="R359" s="168">
        <f>Gegenstände!S359</f>
        <v>0</v>
      </c>
      <c r="S359" s="168">
        <f>Gegenstände!T359</f>
        <v>0</v>
      </c>
      <c r="T359" s="783">
        <f>Gegenstände!AC359</f>
        <v>0</v>
      </c>
      <c r="U359" s="783">
        <f>Gegenstände!AE359</f>
        <v>0</v>
      </c>
      <c r="V359" s="783">
        <f>Gegenstände!AD359</f>
        <v>0</v>
      </c>
      <c r="W359" s="783">
        <f>Gegenstände!AF359</f>
        <v>0</v>
      </c>
      <c r="AB359" s="3">
        <f>Gegenstände!M359</f>
        <v>2</v>
      </c>
      <c r="AC359" s="3">
        <f>Gegenstände!AB359</f>
        <v>0</v>
      </c>
      <c r="AD359" s="3">
        <f>Gegenstände!F359</f>
        <v>0</v>
      </c>
    </row>
    <row r="360" spans="1:30" x14ac:dyDescent="0.2">
      <c r="A360" s="3">
        <f>Gegenstände!A360</f>
        <v>1220</v>
      </c>
      <c r="B360" s="3" t="str">
        <f>Gegenstände!B360</f>
        <v>Woll-Stiefel</v>
      </c>
      <c r="D360" s="3">
        <f>Gegenstände!K360</f>
        <v>900</v>
      </c>
      <c r="E360" s="3">
        <f>Gegenstände!I360</f>
        <v>15</v>
      </c>
      <c r="F360" s="3">
        <f>VLOOKUP(Gegenstände!E360,Berechnungen!$E$87:$F$115,2,FALSE)</f>
        <v>21</v>
      </c>
      <c r="G360" s="3">
        <f>Gegenstände!H360</f>
        <v>1</v>
      </c>
      <c r="H360" s="3">
        <f>Gegenstände!G360</f>
        <v>8</v>
      </c>
      <c r="I360" s="3">
        <f>Gegenstände!D360</f>
        <v>10</v>
      </c>
      <c r="J360" s="168">
        <f>ROUND(Gegenstände!N360,0)</f>
        <v>2600</v>
      </c>
      <c r="K360" s="3">
        <f>Gegenstände!J360</f>
        <v>100</v>
      </c>
      <c r="L360" s="3">
        <f>Gegenstände!L360</f>
        <v>0</v>
      </c>
      <c r="M360" s="3">
        <f>Gegenstände!Z360</f>
        <v>0</v>
      </c>
      <c r="N360" s="783">
        <f>(Gegenstände!Y360*10)</f>
        <v>0</v>
      </c>
      <c r="O360" s="783">
        <f>(Gegenstände!W360*10)</f>
        <v>8</v>
      </c>
      <c r="P360" s="783">
        <f>Gegenstände!AA360*10</f>
        <v>0</v>
      </c>
      <c r="Q360" s="783">
        <f>Gegenstände!O360</f>
        <v>0</v>
      </c>
      <c r="R360" s="168">
        <f>Gegenstände!S360</f>
        <v>0</v>
      </c>
      <c r="S360" s="168">
        <f>Gegenstände!T360</f>
        <v>0</v>
      </c>
      <c r="T360" s="783">
        <f>Gegenstände!AC360</f>
        <v>0</v>
      </c>
      <c r="U360" s="783">
        <f>Gegenstände!AE360</f>
        <v>0</v>
      </c>
      <c r="V360" s="783">
        <f>Gegenstände!AD360</f>
        <v>0</v>
      </c>
      <c r="W360" s="783">
        <f>Gegenstände!AF360</f>
        <v>0</v>
      </c>
      <c r="AB360" s="3">
        <f>Gegenstände!M360</f>
        <v>2</v>
      </c>
      <c r="AC360" s="3">
        <f>Gegenstände!AB360</f>
        <v>0</v>
      </c>
      <c r="AD360" s="3">
        <f>Gegenstände!F360</f>
        <v>0</v>
      </c>
    </row>
    <row r="361" spans="1:30" x14ac:dyDescent="0.2">
      <c r="A361" s="3">
        <f>Gegenstände!A361</f>
        <v>1221</v>
      </c>
      <c r="B361" s="3" t="str">
        <f>Gegenstände!B361</f>
        <v>Baumwoll-Haube</v>
      </c>
      <c r="D361" s="3">
        <f>Gegenstände!K361</f>
        <v>800</v>
      </c>
      <c r="E361" s="3">
        <f>Gegenstände!I361</f>
        <v>11</v>
      </c>
      <c r="F361" s="3">
        <f>VLOOKUP(Gegenstände!E361,Berechnungen!$E$87:$F$115,2,FALSE)</f>
        <v>21</v>
      </c>
      <c r="G361" s="3">
        <f>Gegenstände!H361</f>
        <v>1</v>
      </c>
      <c r="H361" s="3">
        <f>Gegenstände!G361</f>
        <v>8</v>
      </c>
      <c r="I361" s="3">
        <f>Gegenstände!D361</f>
        <v>11</v>
      </c>
      <c r="J361" s="168">
        <f>ROUND(Gegenstände!N361,0)</f>
        <v>4000</v>
      </c>
      <c r="K361" s="3">
        <f>Gegenstände!J361</f>
        <v>100</v>
      </c>
      <c r="L361" s="3">
        <f>Gegenstände!L361</f>
        <v>0</v>
      </c>
      <c r="M361" s="3">
        <f>Gegenstände!Z361</f>
        <v>0</v>
      </c>
      <c r="N361" s="783">
        <f>(Gegenstände!Y361*10)</f>
        <v>0</v>
      </c>
      <c r="O361" s="783">
        <f>(Gegenstände!W361*10)</f>
        <v>12</v>
      </c>
      <c r="P361" s="783">
        <f>Gegenstände!AA361*10</f>
        <v>0</v>
      </c>
      <c r="Q361" s="783">
        <f>Gegenstände!O361</f>
        <v>0</v>
      </c>
      <c r="R361" s="168">
        <f>Gegenstände!S361</f>
        <v>0</v>
      </c>
      <c r="S361" s="168">
        <f>Gegenstände!T361</f>
        <v>0</v>
      </c>
      <c r="T361" s="783">
        <f>Gegenstände!AC361</f>
        <v>0</v>
      </c>
      <c r="U361" s="783">
        <f>Gegenstände!AE361</f>
        <v>0</v>
      </c>
      <c r="V361" s="783">
        <f>Gegenstände!AD361</f>
        <v>0</v>
      </c>
      <c r="W361" s="783">
        <f>Gegenstände!AF361</f>
        <v>0</v>
      </c>
      <c r="AB361" s="3">
        <f>Gegenstände!M361</f>
        <v>3</v>
      </c>
      <c r="AC361" s="3">
        <f>Gegenstände!AB361</f>
        <v>0</v>
      </c>
      <c r="AD361" s="3">
        <f>Gegenstände!F361</f>
        <v>0</v>
      </c>
    </row>
    <row r="362" spans="1:30" x14ac:dyDescent="0.2">
      <c r="A362" s="3">
        <f>Gegenstände!A362</f>
        <v>1222</v>
      </c>
      <c r="B362" s="3" t="str">
        <f>Gegenstände!B362</f>
        <v>Baumwoll-Robe</v>
      </c>
      <c r="D362" s="3">
        <f>Gegenstände!K362</f>
        <v>1200</v>
      </c>
      <c r="E362" s="3">
        <f>Gegenstände!I362</f>
        <v>12</v>
      </c>
      <c r="F362" s="3">
        <f>VLOOKUP(Gegenstände!E362,Berechnungen!$E$87:$F$115,2,FALSE)</f>
        <v>21</v>
      </c>
      <c r="G362" s="3">
        <f>Gegenstände!H362</f>
        <v>1</v>
      </c>
      <c r="H362" s="3">
        <f>Gegenstände!G362</f>
        <v>8</v>
      </c>
      <c r="I362" s="3">
        <f>Gegenstände!D362</f>
        <v>11</v>
      </c>
      <c r="J362" s="168">
        <f>ROUND(Gegenstände!N362,0)</f>
        <v>6100</v>
      </c>
      <c r="K362" s="3">
        <f>Gegenstände!J362</f>
        <v>100</v>
      </c>
      <c r="L362" s="3">
        <f>Gegenstände!L362</f>
        <v>0</v>
      </c>
      <c r="M362" s="3">
        <f>Gegenstände!Z362</f>
        <v>0</v>
      </c>
      <c r="N362" s="783">
        <f>(Gegenstände!Y362*10)</f>
        <v>0</v>
      </c>
      <c r="O362" s="783">
        <f>(Gegenstände!W362*10)</f>
        <v>18</v>
      </c>
      <c r="P362" s="783">
        <f>Gegenstände!AA362*10</f>
        <v>0</v>
      </c>
      <c r="Q362" s="783">
        <f>Gegenstände!O362</f>
        <v>0</v>
      </c>
      <c r="R362" s="168">
        <f>Gegenstände!S362</f>
        <v>0</v>
      </c>
      <c r="S362" s="168">
        <f>Gegenstände!T362</f>
        <v>0</v>
      </c>
      <c r="T362" s="783">
        <f>Gegenstände!AC362</f>
        <v>0</v>
      </c>
      <c r="U362" s="783">
        <f>Gegenstände!AE362</f>
        <v>0</v>
      </c>
      <c r="V362" s="783">
        <f>Gegenstände!AD362</f>
        <v>0</v>
      </c>
      <c r="W362" s="783">
        <f>Gegenstände!AF362</f>
        <v>0</v>
      </c>
      <c r="AB362" s="3">
        <f>Gegenstände!M362</f>
        <v>3</v>
      </c>
      <c r="AC362" s="3">
        <f>Gegenstände!AB362</f>
        <v>0</v>
      </c>
      <c r="AD362" s="3">
        <f>Gegenstände!F362</f>
        <v>0</v>
      </c>
    </row>
    <row r="363" spans="1:30" x14ac:dyDescent="0.2">
      <c r="A363" s="3">
        <f>Gegenstände!A363</f>
        <v>1223</v>
      </c>
      <c r="B363" s="3" t="str">
        <f>Gegenstände!B363</f>
        <v>Baumwoll-Handschuhe</v>
      </c>
      <c r="D363" s="3">
        <f>Gegenstände!K363</f>
        <v>600</v>
      </c>
      <c r="E363" s="3">
        <f>Gegenstände!I363</f>
        <v>13</v>
      </c>
      <c r="F363" s="3">
        <f>VLOOKUP(Gegenstände!E363,Berechnungen!$E$87:$F$115,2,FALSE)</f>
        <v>21</v>
      </c>
      <c r="G363" s="3">
        <f>Gegenstände!H363</f>
        <v>1</v>
      </c>
      <c r="H363" s="3">
        <f>Gegenstände!G363</f>
        <v>8</v>
      </c>
      <c r="I363" s="3">
        <f>Gegenstände!D363</f>
        <v>12</v>
      </c>
      <c r="J363" s="168">
        <f>ROUND(Gegenstände!N363,0)</f>
        <v>3500</v>
      </c>
      <c r="K363" s="3">
        <f>Gegenstände!J363</f>
        <v>100</v>
      </c>
      <c r="L363" s="3">
        <f>Gegenstände!L363</f>
        <v>0</v>
      </c>
      <c r="M363" s="3">
        <f>Gegenstände!Z363</f>
        <v>0</v>
      </c>
      <c r="N363" s="783">
        <f>(Gegenstände!Y363*10)</f>
        <v>0</v>
      </c>
      <c r="O363" s="783">
        <f>(Gegenstände!W363*10)</f>
        <v>9</v>
      </c>
      <c r="P363" s="783">
        <f>Gegenstände!AA363*10</f>
        <v>0</v>
      </c>
      <c r="Q363" s="783">
        <f>Gegenstände!O363</f>
        <v>0</v>
      </c>
      <c r="R363" s="168">
        <f>Gegenstände!S363</f>
        <v>0</v>
      </c>
      <c r="S363" s="168">
        <f>Gegenstände!T363</f>
        <v>0</v>
      </c>
      <c r="T363" s="783">
        <f>Gegenstände!AC363</f>
        <v>0</v>
      </c>
      <c r="U363" s="783">
        <f>Gegenstände!AE363</f>
        <v>0</v>
      </c>
      <c r="V363" s="783">
        <f>Gegenstände!AD363</f>
        <v>0</v>
      </c>
      <c r="W363" s="783">
        <f>Gegenstände!AF363</f>
        <v>0</v>
      </c>
      <c r="AB363" s="3">
        <f>Gegenstände!M363</f>
        <v>3</v>
      </c>
      <c r="AC363" s="3">
        <f>Gegenstände!AB363</f>
        <v>0</v>
      </c>
      <c r="AD363" s="3">
        <f>Gegenstände!F363</f>
        <v>0</v>
      </c>
    </row>
    <row r="364" spans="1:30" x14ac:dyDescent="0.2">
      <c r="A364" s="3">
        <f>Gegenstände!A364</f>
        <v>1224</v>
      </c>
      <c r="B364" s="3" t="str">
        <f>Gegenstände!B364</f>
        <v>Baumwoll-Hose</v>
      </c>
      <c r="D364" s="3">
        <f>Gegenstände!K364</f>
        <v>800</v>
      </c>
      <c r="E364" s="3">
        <f>Gegenstände!I364</f>
        <v>14</v>
      </c>
      <c r="F364" s="3">
        <f>VLOOKUP(Gegenstände!E364,Berechnungen!$E$87:$F$115,2,FALSE)</f>
        <v>21</v>
      </c>
      <c r="G364" s="3">
        <f>Gegenstände!H364</f>
        <v>1</v>
      </c>
      <c r="H364" s="3">
        <f>Gegenstände!G364</f>
        <v>8</v>
      </c>
      <c r="I364" s="3">
        <f>Gegenstände!D364</f>
        <v>12</v>
      </c>
      <c r="J364" s="168">
        <f>ROUND(Gegenstände!N364,0)</f>
        <v>4700</v>
      </c>
      <c r="K364" s="3">
        <f>Gegenstände!J364</f>
        <v>100</v>
      </c>
      <c r="L364" s="3">
        <f>Gegenstände!L364</f>
        <v>0</v>
      </c>
      <c r="M364" s="3">
        <f>Gegenstände!Z364</f>
        <v>0</v>
      </c>
      <c r="N364" s="783">
        <f>(Gegenstände!Y364*10)</f>
        <v>0</v>
      </c>
      <c r="O364" s="783">
        <f>(Gegenstände!W364*10)</f>
        <v>12</v>
      </c>
      <c r="P364" s="783">
        <f>Gegenstände!AA364*10</f>
        <v>0</v>
      </c>
      <c r="Q364" s="783">
        <f>Gegenstände!O364</f>
        <v>0</v>
      </c>
      <c r="R364" s="168">
        <f>Gegenstände!S364</f>
        <v>0</v>
      </c>
      <c r="S364" s="168">
        <f>Gegenstände!T364</f>
        <v>0</v>
      </c>
      <c r="T364" s="783">
        <f>Gegenstände!AC364</f>
        <v>0</v>
      </c>
      <c r="U364" s="783">
        <f>Gegenstände!AE364</f>
        <v>0</v>
      </c>
      <c r="V364" s="783">
        <f>Gegenstände!AD364</f>
        <v>0</v>
      </c>
      <c r="W364" s="783">
        <f>Gegenstände!AF364</f>
        <v>0</v>
      </c>
      <c r="AB364" s="3">
        <f>Gegenstände!M364</f>
        <v>3</v>
      </c>
      <c r="AC364" s="3">
        <f>Gegenstände!AB364</f>
        <v>0</v>
      </c>
      <c r="AD364" s="3">
        <f>Gegenstände!F364</f>
        <v>0</v>
      </c>
    </row>
    <row r="365" spans="1:30" x14ac:dyDescent="0.2">
      <c r="A365" s="3">
        <f>Gegenstände!A365</f>
        <v>1225</v>
      </c>
      <c r="B365" s="3" t="str">
        <f>Gegenstände!B365</f>
        <v>Baumwoll-Schuhe</v>
      </c>
      <c r="D365" s="3">
        <f>Gegenstände!K365</f>
        <v>600</v>
      </c>
      <c r="E365" s="3">
        <f>Gegenstände!I365</f>
        <v>15</v>
      </c>
      <c r="F365" s="3">
        <f>VLOOKUP(Gegenstände!E365,Berechnungen!$E$87:$F$115,2,FALSE)</f>
        <v>21</v>
      </c>
      <c r="G365" s="3">
        <f>Gegenstände!H365</f>
        <v>1</v>
      </c>
      <c r="H365" s="3">
        <f>Gegenstände!G365</f>
        <v>8</v>
      </c>
      <c r="I365" s="3">
        <f>Gegenstände!D365</f>
        <v>12</v>
      </c>
      <c r="J365" s="168">
        <f>ROUND(Gegenstände!N365,0)</f>
        <v>3500</v>
      </c>
      <c r="K365" s="3">
        <f>Gegenstände!J365</f>
        <v>100</v>
      </c>
      <c r="L365" s="3">
        <f>Gegenstände!L365</f>
        <v>0</v>
      </c>
      <c r="M365" s="3">
        <f>Gegenstände!Z365</f>
        <v>0</v>
      </c>
      <c r="N365" s="783">
        <f>(Gegenstände!Y365*10)</f>
        <v>0</v>
      </c>
      <c r="O365" s="783">
        <f>(Gegenstände!W365*10)</f>
        <v>9</v>
      </c>
      <c r="P365" s="783">
        <f>Gegenstände!AA365*10</f>
        <v>0</v>
      </c>
      <c r="Q365" s="783">
        <f>Gegenstände!O365</f>
        <v>0</v>
      </c>
      <c r="R365" s="168">
        <f>Gegenstände!S365</f>
        <v>0</v>
      </c>
      <c r="S365" s="168">
        <f>Gegenstände!T365</f>
        <v>0</v>
      </c>
      <c r="T365" s="783">
        <f>Gegenstände!AC365</f>
        <v>0</v>
      </c>
      <c r="U365" s="783">
        <f>Gegenstände!AE365</f>
        <v>0</v>
      </c>
      <c r="V365" s="783">
        <f>Gegenstände!AD365</f>
        <v>0</v>
      </c>
      <c r="W365" s="783">
        <f>Gegenstände!AF365</f>
        <v>0</v>
      </c>
      <c r="AB365" s="3">
        <f>Gegenstände!M365</f>
        <v>3</v>
      </c>
      <c r="AC365" s="3">
        <f>Gegenstände!AB365</f>
        <v>0</v>
      </c>
      <c r="AD365" s="3">
        <f>Gegenstände!F365</f>
        <v>0</v>
      </c>
    </row>
    <row r="366" spans="1:30" x14ac:dyDescent="0.2">
      <c r="A366" s="3">
        <f>Gegenstände!A366</f>
        <v>1226</v>
      </c>
      <c r="B366" s="3" t="str">
        <f>Gegenstände!B366</f>
        <v>Baumwoll-Spitzhut</v>
      </c>
      <c r="D366" s="3">
        <f>Gegenstände!K366</f>
        <v>1200</v>
      </c>
      <c r="E366" s="3">
        <f>Gegenstände!I366</f>
        <v>11</v>
      </c>
      <c r="F366" s="3">
        <f>VLOOKUP(Gegenstände!E366,Berechnungen!$E$87:$F$115,2,FALSE)</f>
        <v>21</v>
      </c>
      <c r="G366" s="3">
        <f>Gegenstände!H366</f>
        <v>1</v>
      </c>
      <c r="H366" s="3">
        <f>Gegenstände!G366</f>
        <v>8</v>
      </c>
      <c r="I366" s="3">
        <f>Gegenstände!D366</f>
        <v>14</v>
      </c>
      <c r="J366" s="168">
        <f>ROUND(Gegenstände!N366,0)</f>
        <v>6200</v>
      </c>
      <c r="K366" s="3">
        <f>Gegenstände!J366</f>
        <v>100</v>
      </c>
      <c r="L366" s="3">
        <f>Gegenstände!L366</f>
        <v>0</v>
      </c>
      <c r="M366" s="3">
        <f>Gegenstände!Z366</f>
        <v>0</v>
      </c>
      <c r="N366" s="783">
        <f>(Gegenstände!Y366*10)</f>
        <v>0</v>
      </c>
      <c r="O366" s="783">
        <f>(Gegenstände!W366*10)</f>
        <v>14</v>
      </c>
      <c r="P366" s="783">
        <f>Gegenstände!AA366*10</f>
        <v>0</v>
      </c>
      <c r="Q366" s="783">
        <f>Gegenstände!O366</f>
        <v>0</v>
      </c>
      <c r="R366" s="168">
        <f>Gegenstände!S366</f>
        <v>0</v>
      </c>
      <c r="S366" s="168">
        <f>Gegenstände!T366</f>
        <v>0</v>
      </c>
      <c r="T366" s="783">
        <f>Gegenstände!AC366</f>
        <v>0</v>
      </c>
      <c r="U366" s="783">
        <f>Gegenstände!AE366</f>
        <v>0</v>
      </c>
      <c r="V366" s="783">
        <f>Gegenstände!AD366</f>
        <v>0</v>
      </c>
      <c r="W366" s="783">
        <f>Gegenstände!AF366</f>
        <v>0</v>
      </c>
      <c r="AB366" s="3">
        <f>Gegenstände!M366</f>
        <v>3</v>
      </c>
      <c r="AC366" s="3">
        <f>Gegenstände!AB366</f>
        <v>0</v>
      </c>
      <c r="AD366" s="3">
        <f>Gegenstände!F366</f>
        <v>0</v>
      </c>
    </row>
    <row r="367" spans="1:30" x14ac:dyDescent="0.2">
      <c r="A367" s="3">
        <f>Gegenstände!A367</f>
        <v>1227</v>
      </c>
      <c r="B367" s="3" t="str">
        <f>Gegenstände!B367</f>
        <v>Baumwoll-Tunika</v>
      </c>
      <c r="D367" s="3">
        <f>Gegenstände!K367</f>
        <v>1800</v>
      </c>
      <c r="E367" s="3">
        <f>Gegenstände!I367</f>
        <v>12</v>
      </c>
      <c r="F367" s="3">
        <f>VLOOKUP(Gegenstände!E367,Berechnungen!$E$87:$F$115,2,FALSE)</f>
        <v>21</v>
      </c>
      <c r="G367" s="3">
        <f>Gegenstände!H367</f>
        <v>1</v>
      </c>
      <c r="H367" s="3">
        <f>Gegenstände!G367</f>
        <v>8</v>
      </c>
      <c r="I367" s="3">
        <f>Gegenstände!D367</f>
        <v>14</v>
      </c>
      <c r="J367" s="168">
        <f>ROUND(Gegenstände!N367,0)</f>
        <v>9200</v>
      </c>
      <c r="K367" s="3">
        <f>Gegenstände!J367</f>
        <v>100</v>
      </c>
      <c r="L367" s="3">
        <f>Gegenstände!L367</f>
        <v>0</v>
      </c>
      <c r="M367" s="3">
        <f>Gegenstände!Z367</f>
        <v>0</v>
      </c>
      <c r="N367" s="783">
        <f>(Gegenstände!Y367*10)</f>
        <v>0</v>
      </c>
      <c r="O367" s="783">
        <f>(Gegenstände!W367*10)</f>
        <v>21</v>
      </c>
      <c r="P367" s="783">
        <f>Gegenstände!AA367*10</f>
        <v>0</v>
      </c>
      <c r="Q367" s="783">
        <f>Gegenstände!O367</f>
        <v>0</v>
      </c>
      <c r="R367" s="168">
        <f>Gegenstände!S367</f>
        <v>0</v>
      </c>
      <c r="S367" s="168">
        <f>Gegenstände!T367</f>
        <v>0</v>
      </c>
      <c r="T367" s="783">
        <f>Gegenstände!AC367</f>
        <v>0</v>
      </c>
      <c r="U367" s="783">
        <f>Gegenstände!AE367</f>
        <v>0</v>
      </c>
      <c r="V367" s="783">
        <f>Gegenstände!AD367</f>
        <v>0</v>
      </c>
      <c r="W367" s="783">
        <f>Gegenstände!AF367</f>
        <v>0</v>
      </c>
      <c r="AB367" s="3">
        <f>Gegenstände!M367</f>
        <v>3</v>
      </c>
      <c r="AC367" s="3">
        <f>Gegenstände!AB367</f>
        <v>0</v>
      </c>
      <c r="AD367" s="3">
        <f>Gegenstände!F367</f>
        <v>0</v>
      </c>
    </row>
    <row r="368" spans="1:30" x14ac:dyDescent="0.2">
      <c r="A368" s="3">
        <f>Gegenstände!A368</f>
        <v>1228</v>
      </c>
      <c r="B368" s="3" t="str">
        <f>Gegenstände!B368</f>
        <v>Baumwoll-Stulpen</v>
      </c>
      <c r="D368" s="3">
        <f>Gegenstände!K368</f>
        <v>900</v>
      </c>
      <c r="E368" s="3">
        <f>Gegenstände!I368</f>
        <v>13</v>
      </c>
      <c r="F368" s="3">
        <f>VLOOKUP(Gegenstände!E368,Berechnungen!$E$87:$F$115,2,FALSE)</f>
        <v>21</v>
      </c>
      <c r="G368" s="3">
        <f>Gegenstände!H368</f>
        <v>1</v>
      </c>
      <c r="H368" s="3">
        <f>Gegenstände!G368</f>
        <v>8</v>
      </c>
      <c r="I368" s="3">
        <f>Gegenstände!D368</f>
        <v>15</v>
      </c>
      <c r="J368" s="168">
        <f>ROUND(Gegenstände!N368,0)</f>
        <v>5300</v>
      </c>
      <c r="K368" s="3">
        <f>Gegenstände!J368</f>
        <v>100</v>
      </c>
      <c r="L368" s="3">
        <f>Gegenstände!L368</f>
        <v>0</v>
      </c>
      <c r="M368" s="3">
        <f>Gegenstände!Z368</f>
        <v>0</v>
      </c>
      <c r="N368" s="783">
        <f>(Gegenstände!Y368*10)</f>
        <v>0</v>
      </c>
      <c r="O368" s="783">
        <f>(Gegenstände!W368*10)</f>
        <v>11</v>
      </c>
      <c r="P368" s="783">
        <f>Gegenstände!AA368*10</f>
        <v>0</v>
      </c>
      <c r="Q368" s="783">
        <f>Gegenstände!O368</f>
        <v>0</v>
      </c>
      <c r="R368" s="168">
        <f>Gegenstände!S368</f>
        <v>0</v>
      </c>
      <c r="S368" s="168">
        <f>Gegenstände!T368</f>
        <v>0</v>
      </c>
      <c r="T368" s="783">
        <f>Gegenstände!AC368</f>
        <v>0</v>
      </c>
      <c r="U368" s="783">
        <f>Gegenstände!AE368</f>
        <v>0</v>
      </c>
      <c r="V368" s="783">
        <f>Gegenstände!AD368</f>
        <v>0</v>
      </c>
      <c r="W368" s="783">
        <f>Gegenstände!AF368</f>
        <v>0</v>
      </c>
      <c r="AB368" s="3">
        <f>Gegenstände!M368</f>
        <v>3</v>
      </c>
      <c r="AC368" s="3">
        <f>Gegenstände!AB368</f>
        <v>0</v>
      </c>
      <c r="AD368" s="3">
        <f>Gegenstände!F368</f>
        <v>0</v>
      </c>
    </row>
    <row r="369" spans="1:30" x14ac:dyDescent="0.2">
      <c r="A369" s="3">
        <f>Gegenstände!A369</f>
        <v>1229</v>
      </c>
      <c r="B369" s="3" t="str">
        <f>Gegenstände!B369</f>
        <v>Baumwoll-Beinlinge</v>
      </c>
      <c r="D369" s="3">
        <f>Gegenstände!K369</f>
        <v>1200</v>
      </c>
      <c r="E369" s="3">
        <f>Gegenstände!I369</f>
        <v>14</v>
      </c>
      <c r="F369" s="3">
        <f>VLOOKUP(Gegenstände!E369,Berechnungen!$E$87:$F$115,2,FALSE)</f>
        <v>21</v>
      </c>
      <c r="G369" s="3">
        <f>Gegenstände!H369</f>
        <v>1</v>
      </c>
      <c r="H369" s="3">
        <f>Gegenstände!G369</f>
        <v>8</v>
      </c>
      <c r="I369" s="3">
        <f>Gegenstände!D369</f>
        <v>15</v>
      </c>
      <c r="J369" s="168">
        <f>ROUND(Gegenstände!N369,0)</f>
        <v>7100</v>
      </c>
      <c r="K369" s="3">
        <f>Gegenstände!J369</f>
        <v>100</v>
      </c>
      <c r="L369" s="3">
        <f>Gegenstände!L369</f>
        <v>0</v>
      </c>
      <c r="M369" s="3">
        <f>Gegenstände!Z369</f>
        <v>0</v>
      </c>
      <c r="N369" s="783">
        <f>(Gegenstände!Y369*10)</f>
        <v>0</v>
      </c>
      <c r="O369" s="783">
        <f>(Gegenstände!W369*10)</f>
        <v>14</v>
      </c>
      <c r="P369" s="783">
        <f>Gegenstände!AA369*10</f>
        <v>0</v>
      </c>
      <c r="Q369" s="783">
        <f>Gegenstände!O369</f>
        <v>0</v>
      </c>
      <c r="R369" s="168">
        <f>Gegenstände!S369</f>
        <v>0</v>
      </c>
      <c r="S369" s="168">
        <f>Gegenstände!T369</f>
        <v>0</v>
      </c>
      <c r="T369" s="783">
        <f>Gegenstände!AC369</f>
        <v>0</v>
      </c>
      <c r="U369" s="783">
        <f>Gegenstände!AE369</f>
        <v>0</v>
      </c>
      <c r="V369" s="783">
        <f>Gegenstände!AD369</f>
        <v>0</v>
      </c>
      <c r="W369" s="783">
        <f>Gegenstände!AF369</f>
        <v>0</v>
      </c>
      <c r="AB369" s="3">
        <f>Gegenstände!M369</f>
        <v>3</v>
      </c>
      <c r="AC369" s="3">
        <f>Gegenstände!AB369</f>
        <v>0</v>
      </c>
      <c r="AD369" s="3">
        <f>Gegenstände!F369</f>
        <v>0</v>
      </c>
    </row>
    <row r="370" spans="1:30" x14ac:dyDescent="0.2">
      <c r="A370" s="3">
        <f>Gegenstände!A370</f>
        <v>1230</v>
      </c>
      <c r="B370" s="3" t="str">
        <f>Gegenstände!B370</f>
        <v>Baumwoll-Stiefel</v>
      </c>
      <c r="D370" s="3">
        <f>Gegenstände!K370</f>
        <v>900</v>
      </c>
      <c r="E370" s="3">
        <f>Gegenstände!I370</f>
        <v>15</v>
      </c>
      <c r="F370" s="3">
        <f>VLOOKUP(Gegenstände!E370,Berechnungen!$E$87:$F$115,2,FALSE)</f>
        <v>21</v>
      </c>
      <c r="G370" s="3">
        <f>Gegenstände!H370</f>
        <v>1</v>
      </c>
      <c r="H370" s="3">
        <f>Gegenstände!G370</f>
        <v>8</v>
      </c>
      <c r="I370" s="3">
        <f>Gegenstände!D370</f>
        <v>15</v>
      </c>
      <c r="J370" s="168">
        <f>ROUND(Gegenstände!N370,0)</f>
        <v>5300</v>
      </c>
      <c r="K370" s="3">
        <f>Gegenstände!J370</f>
        <v>100</v>
      </c>
      <c r="L370" s="3">
        <f>Gegenstände!L370</f>
        <v>0</v>
      </c>
      <c r="M370" s="3">
        <f>Gegenstände!Z370</f>
        <v>0</v>
      </c>
      <c r="N370" s="783">
        <f>(Gegenstände!Y370*10)</f>
        <v>0</v>
      </c>
      <c r="O370" s="783">
        <f>(Gegenstände!W370*10)</f>
        <v>11</v>
      </c>
      <c r="P370" s="783">
        <f>Gegenstände!AA370*10</f>
        <v>0</v>
      </c>
      <c r="Q370" s="783">
        <f>Gegenstände!O370</f>
        <v>0</v>
      </c>
      <c r="R370" s="168">
        <f>Gegenstände!S370</f>
        <v>0</v>
      </c>
      <c r="S370" s="168">
        <f>Gegenstände!T370</f>
        <v>0</v>
      </c>
      <c r="T370" s="783">
        <f>Gegenstände!AC370</f>
        <v>0</v>
      </c>
      <c r="U370" s="783">
        <f>Gegenstände!AE370</f>
        <v>0</v>
      </c>
      <c r="V370" s="783">
        <f>Gegenstände!AD370</f>
        <v>0</v>
      </c>
      <c r="W370" s="783">
        <f>Gegenstände!AF370</f>
        <v>0</v>
      </c>
      <c r="AB370" s="3">
        <f>Gegenstände!M370</f>
        <v>3</v>
      </c>
      <c r="AC370" s="3">
        <f>Gegenstände!AB370</f>
        <v>0</v>
      </c>
      <c r="AD370" s="3">
        <f>Gegenstände!F370</f>
        <v>0</v>
      </c>
    </row>
    <row r="371" spans="1:30" x14ac:dyDescent="0.2">
      <c r="A371" s="3">
        <f>Gegenstände!A371</f>
        <v>1231</v>
      </c>
      <c r="B371" s="3" t="str">
        <f>Gegenstände!B371</f>
        <v>Seiden-Haube</v>
      </c>
      <c r="D371" s="3">
        <f>Gegenstände!K371</f>
        <v>800</v>
      </c>
      <c r="E371" s="3">
        <f>Gegenstände!I371</f>
        <v>11</v>
      </c>
      <c r="F371" s="3">
        <f>VLOOKUP(Gegenstände!E371,Berechnungen!$E$87:$F$115,2,FALSE)</f>
        <v>21</v>
      </c>
      <c r="G371" s="3">
        <f>Gegenstände!H371</f>
        <v>1</v>
      </c>
      <c r="H371" s="3">
        <f>Gegenstände!G371</f>
        <v>8</v>
      </c>
      <c r="I371" s="3">
        <f>Gegenstände!D371</f>
        <v>16</v>
      </c>
      <c r="J371" s="168">
        <f>ROUND(Gegenstände!N371,0)</f>
        <v>8100</v>
      </c>
      <c r="K371" s="3">
        <f>Gegenstände!J371</f>
        <v>100</v>
      </c>
      <c r="L371" s="3">
        <f>Gegenstände!L371</f>
        <v>0</v>
      </c>
      <c r="M371" s="3">
        <f>Gegenstände!Z371</f>
        <v>0</v>
      </c>
      <c r="N371" s="783">
        <f>(Gegenstände!Y371*10)</f>
        <v>0</v>
      </c>
      <c r="O371" s="783">
        <f>(Gegenstände!W371*10)</f>
        <v>16</v>
      </c>
      <c r="P371" s="783">
        <f>Gegenstände!AA371*10</f>
        <v>0</v>
      </c>
      <c r="Q371" s="783">
        <f>Gegenstände!O371</f>
        <v>0</v>
      </c>
      <c r="R371" s="168">
        <f>Gegenstände!S371</f>
        <v>0</v>
      </c>
      <c r="S371" s="168">
        <f>Gegenstände!T371</f>
        <v>0</v>
      </c>
      <c r="T371" s="783">
        <f>Gegenstände!AC371</f>
        <v>0</v>
      </c>
      <c r="U371" s="783">
        <f>Gegenstände!AE371</f>
        <v>0</v>
      </c>
      <c r="V371" s="783">
        <f>Gegenstände!AD371</f>
        <v>0</v>
      </c>
      <c r="W371" s="783">
        <f>Gegenstände!AF371</f>
        <v>0</v>
      </c>
      <c r="AB371" s="3">
        <f>Gegenstände!M371</f>
        <v>4</v>
      </c>
      <c r="AC371" s="3">
        <f>Gegenstände!AB371</f>
        <v>0</v>
      </c>
      <c r="AD371" s="3">
        <f>Gegenstände!F371</f>
        <v>0</v>
      </c>
    </row>
    <row r="372" spans="1:30" x14ac:dyDescent="0.2">
      <c r="A372" s="3">
        <f>Gegenstände!A372</f>
        <v>1232</v>
      </c>
      <c r="B372" s="3" t="str">
        <f>Gegenstände!B372</f>
        <v>Seiden-Robe</v>
      </c>
      <c r="D372" s="3">
        <f>Gegenstände!K372</f>
        <v>1200</v>
      </c>
      <c r="E372" s="3">
        <f>Gegenstände!I372</f>
        <v>12</v>
      </c>
      <c r="F372" s="3">
        <f>VLOOKUP(Gegenstände!E372,Berechnungen!$E$87:$F$115,2,FALSE)</f>
        <v>21</v>
      </c>
      <c r="G372" s="3">
        <f>Gegenstände!H372</f>
        <v>1</v>
      </c>
      <c r="H372" s="3">
        <f>Gegenstände!G372</f>
        <v>8</v>
      </c>
      <c r="I372" s="3">
        <f>Gegenstände!D372</f>
        <v>16</v>
      </c>
      <c r="J372" s="168">
        <f>ROUND(Gegenstände!N372,0)</f>
        <v>12200</v>
      </c>
      <c r="K372" s="3">
        <f>Gegenstände!J372</f>
        <v>100</v>
      </c>
      <c r="L372" s="3">
        <f>Gegenstände!L372</f>
        <v>0</v>
      </c>
      <c r="M372" s="3">
        <f>Gegenstände!Z372</f>
        <v>0</v>
      </c>
      <c r="N372" s="783">
        <f>(Gegenstände!Y372*10)</f>
        <v>0</v>
      </c>
      <c r="O372" s="783">
        <f>(Gegenstände!W372*10)</f>
        <v>24</v>
      </c>
      <c r="P372" s="783">
        <f>Gegenstände!AA372*10</f>
        <v>0</v>
      </c>
      <c r="Q372" s="783">
        <f>Gegenstände!O372</f>
        <v>0</v>
      </c>
      <c r="R372" s="168">
        <f>Gegenstände!S372</f>
        <v>0</v>
      </c>
      <c r="S372" s="168">
        <f>Gegenstände!T372</f>
        <v>0</v>
      </c>
      <c r="T372" s="783">
        <f>Gegenstände!AC372</f>
        <v>0</v>
      </c>
      <c r="U372" s="783">
        <f>Gegenstände!AE372</f>
        <v>0</v>
      </c>
      <c r="V372" s="783">
        <f>Gegenstände!AD372</f>
        <v>0</v>
      </c>
      <c r="W372" s="783">
        <f>Gegenstände!AF372</f>
        <v>0</v>
      </c>
      <c r="AB372" s="3">
        <f>Gegenstände!M372</f>
        <v>4</v>
      </c>
      <c r="AC372" s="3">
        <f>Gegenstände!AB372</f>
        <v>0</v>
      </c>
      <c r="AD372" s="3">
        <f>Gegenstände!F372</f>
        <v>0</v>
      </c>
    </row>
    <row r="373" spans="1:30" x14ac:dyDescent="0.2">
      <c r="A373" s="3">
        <f>Gegenstände!A373</f>
        <v>1233</v>
      </c>
      <c r="B373" s="3" t="str">
        <f>Gegenstände!B373</f>
        <v>Seiden-Handschuhe</v>
      </c>
      <c r="D373" s="3">
        <f>Gegenstände!K373</f>
        <v>600</v>
      </c>
      <c r="E373" s="3">
        <f>Gegenstände!I373</f>
        <v>13</v>
      </c>
      <c r="F373" s="3">
        <f>VLOOKUP(Gegenstände!E373,Berechnungen!$E$87:$F$115,2,FALSE)</f>
        <v>21</v>
      </c>
      <c r="G373" s="3">
        <f>Gegenstände!H373</f>
        <v>1</v>
      </c>
      <c r="H373" s="3">
        <f>Gegenstände!G373</f>
        <v>8</v>
      </c>
      <c r="I373" s="3">
        <f>Gegenstände!D373</f>
        <v>17</v>
      </c>
      <c r="J373" s="168">
        <f>ROUND(Gegenstände!N373,0)</f>
        <v>7000</v>
      </c>
      <c r="K373" s="3">
        <f>Gegenstände!J373</f>
        <v>100</v>
      </c>
      <c r="L373" s="3">
        <f>Gegenstände!L373</f>
        <v>0</v>
      </c>
      <c r="M373" s="3">
        <f>Gegenstände!Z373</f>
        <v>0</v>
      </c>
      <c r="N373" s="783">
        <f>(Gegenstände!Y373*10)</f>
        <v>0</v>
      </c>
      <c r="O373" s="783">
        <f>(Gegenstände!W373*10)</f>
        <v>12</v>
      </c>
      <c r="P373" s="783">
        <f>Gegenstände!AA373*10</f>
        <v>0</v>
      </c>
      <c r="Q373" s="783">
        <f>Gegenstände!O373</f>
        <v>0</v>
      </c>
      <c r="R373" s="168">
        <f>Gegenstände!S373</f>
        <v>0</v>
      </c>
      <c r="S373" s="168">
        <f>Gegenstände!T373</f>
        <v>0</v>
      </c>
      <c r="T373" s="783">
        <f>Gegenstände!AC373</f>
        <v>0</v>
      </c>
      <c r="U373" s="783">
        <f>Gegenstände!AE373</f>
        <v>0</v>
      </c>
      <c r="V373" s="783">
        <f>Gegenstände!AD373</f>
        <v>0</v>
      </c>
      <c r="W373" s="783">
        <f>Gegenstände!AF373</f>
        <v>0</v>
      </c>
      <c r="AB373" s="3">
        <f>Gegenstände!M373</f>
        <v>4</v>
      </c>
      <c r="AC373" s="3">
        <f>Gegenstände!AB373</f>
        <v>0</v>
      </c>
      <c r="AD373" s="3">
        <f>Gegenstände!F373</f>
        <v>0</v>
      </c>
    </row>
    <row r="374" spans="1:30" x14ac:dyDescent="0.2">
      <c r="A374" s="3">
        <f>Gegenstände!A374</f>
        <v>1234</v>
      </c>
      <c r="B374" s="3" t="str">
        <f>Gegenstände!B374</f>
        <v>Seiden-Hose</v>
      </c>
      <c r="D374" s="3">
        <f>Gegenstände!K374</f>
        <v>800</v>
      </c>
      <c r="E374" s="3">
        <f>Gegenstände!I374</f>
        <v>14</v>
      </c>
      <c r="F374" s="3">
        <f>VLOOKUP(Gegenstände!E374,Berechnungen!$E$87:$F$115,2,FALSE)</f>
        <v>21</v>
      </c>
      <c r="G374" s="3">
        <f>Gegenstände!H374</f>
        <v>1</v>
      </c>
      <c r="H374" s="3">
        <f>Gegenstände!G374</f>
        <v>8</v>
      </c>
      <c r="I374" s="3">
        <f>Gegenstände!D374</f>
        <v>17</v>
      </c>
      <c r="J374" s="168">
        <f>ROUND(Gegenstände!N374,0)</f>
        <v>9400</v>
      </c>
      <c r="K374" s="3">
        <f>Gegenstände!J374</f>
        <v>100</v>
      </c>
      <c r="L374" s="3">
        <f>Gegenstände!L374</f>
        <v>0</v>
      </c>
      <c r="M374" s="3">
        <f>Gegenstände!Z374</f>
        <v>0</v>
      </c>
      <c r="N374" s="783">
        <f>(Gegenstände!Y374*10)</f>
        <v>0</v>
      </c>
      <c r="O374" s="783">
        <f>(Gegenstände!W374*10)</f>
        <v>16</v>
      </c>
      <c r="P374" s="783">
        <f>Gegenstände!AA374*10</f>
        <v>0</v>
      </c>
      <c r="Q374" s="783">
        <f>Gegenstände!O374</f>
        <v>0</v>
      </c>
      <c r="R374" s="168">
        <f>Gegenstände!S374</f>
        <v>0</v>
      </c>
      <c r="S374" s="168">
        <f>Gegenstände!T374</f>
        <v>0</v>
      </c>
      <c r="T374" s="783">
        <f>Gegenstände!AC374</f>
        <v>0</v>
      </c>
      <c r="U374" s="783">
        <f>Gegenstände!AE374</f>
        <v>0</v>
      </c>
      <c r="V374" s="783">
        <f>Gegenstände!AD374</f>
        <v>0</v>
      </c>
      <c r="W374" s="783">
        <f>Gegenstände!AF374</f>
        <v>0</v>
      </c>
      <c r="AB374" s="3">
        <f>Gegenstände!M374</f>
        <v>4</v>
      </c>
      <c r="AC374" s="3">
        <f>Gegenstände!AB374</f>
        <v>0</v>
      </c>
      <c r="AD374" s="3">
        <f>Gegenstände!F374</f>
        <v>0</v>
      </c>
    </row>
    <row r="375" spans="1:30" x14ac:dyDescent="0.2">
      <c r="A375" s="3">
        <f>Gegenstände!A375</f>
        <v>1235</v>
      </c>
      <c r="B375" s="3" t="str">
        <f>Gegenstände!B375</f>
        <v>Seiden-Schuhe</v>
      </c>
      <c r="D375" s="3">
        <f>Gegenstände!K375</f>
        <v>600</v>
      </c>
      <c r="E375" s="3">
        <f>Gegenstände!I375</f>
        <v>15</v>
      </c>
      <c r="F375" s="3">
        <f>VLOOKUP(Gegenstände!E375,Berechnungen!$E$87:$F$115,2,FALSE)</f>
        <v>21</v>
      </c>
      <c r="G375" s="3">
        <f>Gegenstände!H375</f>
        <v>1</v>
      </c>
      <c r="H375" s="3">
        <f>Gegenstände!G375</f>
        <v>8</v>
      </c>
      <c r="I375" s="3">
        <f>Gegenstände!D375</f>
        <v>17</v>
      </c>
      <c r="J375" s="168">
        <f>ROUND(Gegenstände!N375,0)</f>
        <v>7000</v>
      </c>
      <c r="K375" s="3">
        <f>Gegenstände!J375</f>
        <v>100</v>
      </c>
      <c r="L375" s="3">
        <f>Gegenstände!L375</f>
        <v>0</v>
      </c>
      <c r="M375" s="3">
        <f>Gegenstände!Z375</f>
        <v>0</v>
      </c>
      <c r="N375" s="783">
        <f>(Gegenstände!Y375*10)</f>
        <v>0</v>
      </c>
      <c r="O375" s="783">
        <f>(Gegenstände!W375*10)</f>
        <v>12</v>
      </c>
      <c r="P375" s="783">
        <f>Gegenstände!AA375*10</f>
        <v>0</v>
      </c>
      <c r="Q375" s="783">
        <f>Gegenstände!O375</f>
        <v>0</v>
      </c>
      <c r="R375" s="168">
        <f>Gegenstände!S375</f>
        <v>0</v>
      </c>
      <c r="S375" s="168">
        <f>Gegenstände!T375</f>
        <v>0</v>
      </c>
      <c r="T375" s="783">
        <f>Gegenstände!AC375</f>
        <v>0</v>
      </c>
      <c r="U375" s="783">
        <f>Gegenstände!AE375</f>
        <v>0</v>
      </c>
      <c r="V375" s="783">
        <f>Gegenstände!AD375</f>
        <v>0</v>
      </c>
      <c r="W375" s="783">
        <f>Gegenstände!AF375</f>
        <v>0</v>
      </c>
      <c r="AB375" s="3">
        <f>Gegenstände!M375</f>
        <v>4</v>
      </c>
      <c r="AC375" s="3">
        <f>Gegenstände!AB375</f>
        <v>0</v>
      </c>
      <c r="AD375" s="3">
        <f>Gegenstände!F375</f>
        <v>0</v>
      </c>
    </row>
    <row r="376" spans="1:30" x14ac:dyDescent="0.2">
      <c r="A376" s="3">
        <f>Gegenstände!A376</f>
        <v>1236</v>
      </c>
      <c r="B376" s="3" t="str">
        <f>Gegenstände!B376</f>
        <v>Seiden-Spitzhut</v>
      </c>
      <c r="D376" s="3">
        <f>Gegenstände!K376</f>
        <v>1200</v>
      </c>
      <c r="E376" s="3">
        <f>Gegenstände!I376</f>
        <v>11</v>
      </c>
      <c r="F376" s="3">
        <f>VLOOKUP(Gegenstände!E376,Berechnungen!$E$87:$F$115,2,FALSE)</f>
        <v>21</v>
      </c>
      <c r="G376" s="3">
        <f>Gegenstände!H376</f>
        <v>1</v>
      </c>
      <c r="H376" s="3">
        <f>Gegenstände!G376</f>
        <v>8</v>
      </c>
      <c r="I376" s="3">
        <f>Gegenstände!D376</f>
        <v>19</v>
      </c>
      <c r="J376" s="168">
        <f>ROUND(Gegenstände!N376,0)</f>
        <v>12400</v>
      </c>
      <c r="K376" s="3">
        <f>Gegenstände!J376</f>
        <v>100</v>
      </c>
      <c r="L376" s="3">
        <f>Gegenstände!L376</f>
        <v>0</v>
      </c>
      <c r="M376" s="3">
        <f>Gegenstände!Z376</f>
        <v>0</v>
      </c>
      <c r="N376" s="783">
        <f>(Gegenstände!Y376*10)</f>
        <v>0</v>
      </c>
      <c r="O376" s="783">
        <f>(Gegenstände!W376*10)</f>
        <v>18</v>
      </c>
      <c r="P376" s="783">
        <f>Gegenstände!AA376*10</f>
        <v>0</v>
      </c>
      <c r="Q376" s="783">
        <f>Gegenstände!O376</f>
        <v>0</v>
      </c>
      <c r="R376" s="168">
        <f>Gegenstände!S376</f>
        <v>0</v>
      </c>
      <c r="S376" s="168">
        <f>Gegenstände!T376</f>
        <v>0</v>
      </c>
      <c r="T376" s="783">
        <f>Gegenstände!AC376</f>
        <v>0</v>
      </c>
      <c r="U376" s="783">
        <f>Gegenstände!AE376</f>
        <v>0</v>
      </c>
      <c r="V376" s="783">
        <f>Gegenstände!AD376</f>
        <v>0</v>
      </c>
      <c r="W376" s="783">
        <f>Gegenstände!AF376</f>
        <v>0</v>
      </c>
      <c r="AB376" s="3">
        <f>Gegenstände!M376</f>
        <v>4</v>
      </c>
      <c r="AC376" s="3">
        <f>Gegenstände!AB376</f>
        <v>0</v>
      </c>
      <c r="AD376" s="3">
        <f>Gegenstände!F376</f>
        <v>0</v>
      </c>
    </row>
    <row r="377" spans="1:30" x14ac:dyDescent="0.2">
      <c r="A377" s="3">
        <f>Gegenstände!A377</f>
        <v>1237</v>
      </c>
      <c r="B377" s="3" t="str">
        <f>Gegenstände!B377</f>
        <v>Seiden-Tunika</v>
      </c>
      <c r="D377" s="3">
        <f>Gegenstände!K377</f>
        <v>1800</v>
      </c>
      <c r="E377" s="3">
        <f>Gegenstände!I377</f>
        <v>12</v>
      </c>
      <c r="F377" s="3">
        <f>VLOOKUP(Gegenstände!E377,Berechnungen!$E$87:$F$115,2,FALSE)</f>
        <v>21</v>
      </c>
      <c r="G377" s="3">
        <f>Gegenstände!H377</f>
        <v>1</v>
      </c>
      <c r="H377" s="3">
        <f>Gegenstände!G377</f>
        <v>8</v>
      </c>
      <c r="I377" s="3">
        <f>Gegenstände!D377</f>
        <v>19</v>
      </c>
      <c r="J377" s="168">
        <f>ROUND(Gegenstände!N377,0)</f>
        <v>18600</v>
      </c>
      <c r="K377" s="3">
        <f>Gegenstände!J377</f>
        <v>100</v>
      </c>
      <c r="L377" s="3">
        <f>Gegenstände!L377</f>
        <v>0</v>
      </c>
      <c r="M377" s="3">
        <f>Gegenstände!Z377</f>
        <v>0</v>
      </c>
      <c r="N377" s="783">
        <f>(Gegenstände!Y377*10)</f>
        <v>0</v>
      </c>
      <c r="O377" s="783">
        <f>(Gegenstände!W377*10)</f>
        <v>27</v>
      </c>
      <c r="P377" s="783">
        <f>Gegenstände!AA377*10</f>
        <v>0</v>
      </c>
      <c r="Q377" s="783">
        <f>Gegenstände!O377</f>
        <v>0</v>
      </c>
      <c r="R377" s="168">
        <f>Gegenstände!S377</f>
        <v>0</v>
      </c>
      <c r="S377" s="168">
        <f>Gegenstände!T377</f>
        <v>0</v>
      </c>
      <c r="T377" s="783">
        <f>Gegenstände!AC377</f>
        <v>0</v>
      </c>
      <c r="U377" s="783">
        <f>Gegenstände!AE377</f>
        <v>0</v>
      </c>
      <c r="V377" s="783">
        <f>Gegenstände!AD377</f>
        <v>0</v>
      </c>
      <c r="W377" s="783">
        <f>Gegenstände!AF377</f>
        <v>0</v>
      </c>
      <c r="AB377" s="3">
        <f>Gegenstände!M377</f>
        <v>4</v>
      </c>
      <c r="AC377" s="3">
        <f>Gegenstände!AB377</f>
        <v>0</v>
      </c>
      <c r="AD377" s="3">
        <f>Gegenstände!F377</f>
        <v>0</v>
      </c>
    </row>
    <row r="378" spans="1:30" x14ac:dyDescent="0.2">
      <c r="A378" s="3">
        <f>Gegenstände!A378</f>
        <v>1238</v>
      </c>
      <c r="B378" s="3" t="str">
        <f>Gegenstände!B378</f>
        <v>Seiden-Stulpen</v>
      </c>
      <c r="D378" s="3">
        <f>Gegenstände!K378</f>
        <v>900</v>
      </c>
      <c r="E378" s="3">
        <f>Gegenstände!I378</f>
        <v>13</v>
      </c>
      <c r="F378" s="3">
        <f>VLOOKUP(Gegenstände!E378,Berechnungen!$E$87:$F$115,2,FALSE)</f>
        <v>21</v>
      </c>
      <c r="G378" s="3">
        <f>Gegenstände!H378</f>
        <v>1</v>
      </c>
      <c r="H378" s="3">
        <f>Gegenstände!G378</f>
        <v>8</v>
      </c>
      <c r="I378" s="3">
        <f>Gegenstände!D378</f>
        <v>20</v>
      </c>
      <c r="J378" s="168">
        <f>ROUND(Gegenstände!N378,0)</f>
        <v>10700</v>
      </c>
      <c r="K378" s="3">
        <f>Gegenstände!J378</f>
        <v>100</v>
      </c>
      <c r="L378" s="3">
        <f>Gegenstände!L378</f>
        <v>0</v>
      </c>
      <c r="M378" s="3">
        <f>Gegenstände!Z378</f>
        <v>0</v>
      </c>
      <c r="N378" s="783">
        <f>(Gegenstände!Y378*10)</f>
        <v>0</v>
      </c>
      <c r="O378" s="783">
        <f>(Gegenstände!W378*10)</f>
        <v>14</v>
      </c>
      <c r="P378" s="783">
        <f>Gegenstände!AA378*10</f>
        <v>0</v>
      </c>
      <c r="Q378" s="783">
        <f>Gegenstände!O378</f>
        <v>0</v>
      </c>
      <c r="R378" s="168">
        <f>Gegenstände!S378</f>
        <v>0</v>
      </c>
      <c r="S378" s="168">
        <f>Gegenstände!T378</f>
        <v>0</v>
      </c>
      <c r="T378" s="783">
        <f>Gegenstände!AC378</f>
        <v>0</v>
      </c>
      <c r="U378" s="783">
        <f>Gegenstände!AE378</f>
        <v>0</v>
      </c>
      <c r="V378" s="783">
        <f>Gegenstände!AD378</f>
        <v>0</v>
      </c>
      <c r="W378" s="783">
        <f>Gegenstände!AF378</f>
        <v>0</v>
      </c>
      <c r="AB378" s="3">
        <f>Gegenstände!M378</f>
        <v>4</v>
      </c>
      <c r="AC378" s="3">
        <f>Gegenstände!AB378</f>
        <v>0</v>
      </c>
      <c r="AD378" s="3">
        <f>Gegenstände!F378</f>
        <v>0</v>
      </c>
    </row>
    <row r="379" spans="1:30" x14ac:dyDescent="0.2">
      <c r="A379" s="3">
        <f>Gegenstände!A379</f>
        <v>1239</v>
      </c>
      <c r="B379" s="3" t="str">
        <f>Gegenstände!B379</f>
        <v>Seiden-Beinlinge</v>
      </c>
      <c r="D379" s="3">
        <f>Gegenstände!K379</f>
        <v>1200</v>
      </c>
      <c r="E379" s="3">
        <f>Gegenstände!I379</f>
        <v>14</v>
      </c>
      <c r="F379" s="3">
        <f>VLOOKUP(Gegenstände!E379,Berechnungen!$E$87:$F$115,2,FALSE)</f>
        <v>21</v>
      </c>
      <c r="G379" s="3">
        <f>Gegenstände!H379</f>
        <v>1</v>
      </c>
      <c r="H379" s="3">
        <f>Gegenstände!G379</f>
        <v>8</v>
      </c>
      <c r="I379" s="3">
        <f>Gegenstände!D379</f>
        <v>20</v>
      </c>
      <c r="J379" s="168">
        <f>ROUND(Gegenstände!N379,0)</f>
        <v>14200</v>
      </c>
      <c r="K379" s="3">
        <f>Gegenstände!J379</f>
        <v>100</v>
      </c>
      <c r="L379" s="3">
        <f>Gegenstände!L379</f>
        <v>0</v>
      </c>
      <c r="M379" s="3">
        <f>Gegenstände!Z379</f>
        <v>0</v>
      </c>
      <c r="N379" s="783">
        <f>(Gegenstände!Y379*10)</f>
        <v>0</v>
      </c>
      <c r="O379" s="783">
        <f>(Gegenstände!W379*10)</f>
        <v>18</v>
      </c>
      <c r="P379" s="783">
        <f>Gegenstände!AA379*10</f>
        <v>0</v>
      </c>
      <c r="Q379" s="783">
        <f>Gegenstände!O379</f>
        <v>0</v>
      </c>
      <c r="R379" s="168">
        <f>Gegenstände!S379</f>
        <v>0</v>
      </c>
      <c r="S379" s="168">
        <f>Gegenstände!T379</f>
        <v>0</v>
      </c>
      <c r="T379" s="783">
        <f>Gegenstände!AC379</f>
        <v>0</v>
      </c>
      <c r="U379" s="783">
        <f>Gegenstände!AE379</f>
        <v>0</v>
      </c>
      <c r="V379" s="783">
        <f>Gegenstände!AD379</f>
        <v>0</v>
      </c>
      <c r="W379" s="783">
        <f>Gegenstände!AF379</f>
        <v>0</v>
      </c>
      <c r="AB379" s="3">
        <f>Gegenstände!M379</f>
        <v>4</v>
      </c>
      <c r="AC379" s="3">
        <f>Gegenstände!AB379</f>
        <v>0</v>
      </c>
      <c r="AD379" s="3">
        <f>Gegenstände!F379</f>
        <v>0</v>
      </c>
    </row>
    <row r="380" spans="1:30" x14ac:dyDescent="0.2">
      <c r="A380" s="3">
        <f>Gegenstände!A380</f>
        <v>1240</v>
      </c>
      <c r="B380" s="3" t="str">
        <f>Gegenstände!B380</f>
        <v>Seiden-Stiefel</v>
      </c>
      <c r="D380" s="3">
        <f>Gegenstände!K380</f>
        <v>900</v>
      </c>
      <c r="E380" s="3">
        <f>Gegenstände!I380</f>
        <v>15</v>
      </c>
      <c r="F380" s="3">
        <f>VLOOKUP(Gegenstände!E380,Berechnungen!$E$87:$F$115,2,FALSE)</f>
        <v>21</v>
      </c>
      <c r="G380" s="3">
        <f>Gegenstände!H380</f>
        <v>1</v>
      </c>
      <c r="H380" s="3">
        <f>Gegenstände!G380</f>
        <v>8</v>
      </c>
      <c r="I380" s="3">
        <f>Gegenstände!D380</f>
        <v>20</v>
      </c>
      <c r="J380" s="168">
        <f>ROUND(Gegenstände!N380,0)</f>
        <v>10700</v>
      </c>
      <c r="K380" s="3">
        <f>Gegenstände!J380</f>
        <v>100</v>
      </c>
      <c r="L380" s="3">
        <f>Gegenstände!L380</f>
        <v>0</v>
      </c>
      <c r="M380" s="3">
        <f>Gegenstände!Z380</f>
        <v>0</v>
      </c>
      <c r="N380" s="783">
        <f>(Gegenstände!Y380*10)</f>
        <v>0</v>
      </c>
      <c r="O380" s="783">
        <f>(Gegenstände!W380*10)</f>
        <v>14</v>
      </c>
      <c r="P380" s="783">
        <f>Gegenstände!AA380*10</f>
        <v>0</v>
      </c>
      <c r="Q380" s="783">
        <f>Gegenstände!O380</f>
        <v>0</v>
      </c>
      <c r="R380" s="168">
        <f>Gegenstände!S380</f>
        <v>0</v>
      </c>
      <c r="S380" s="168">
        <f>Gegenstände!T380</f>
        <v>0</v>
      </c>
      <c r="T380" s="783">
        <f>Gegenstände!AC380</f>
        <v>0</v>
      </c>
      <c r="U380" s="783">
        <f>Gegenstände!AE380</f>
        <v>0</v>
      </c>
      <c r="V380" s="783">
        <f>Gegenstände!AD380</f>
        <v>0</v>
      </c>
      <c r="W380" s="783">
        <f>Gegenstände!AF380</f>
        <v>0</v>
      </c>
      <c r="AB380" s="3">
        <f>Gegenstände!M380</f>
        <v>4</v>
      </c>
      <c r="AC380" s="3">
        <f>Gegenstände!AB380</f>
        <v>0</v>
      </c>
      <c r="AD380" s="3">
        <f>Gegenstände!F380</f>
        <v>0</v>
      </c>
    </row>
    <row r="381" spans="1:30" x14ac:dyDescent="0.2">
      <c r="A381" s="3">
        <f>Gegenstände!A381</f>
        <v>1241</v>
      </c>
      <c r="B381" s="3" t="str">
        <f>Gegenstände!B381</f>
        <v>Äther-Haube</v>
      </c>
      <c r="D381" s="3">
        <f>Gegenstände!K381</f>
        <v>800</v>
      </c>
      <c r="E381" s="3">
        <f>Gegenstände!I381</f>
        <v>11</v>
      </c>
      <c r="F381" s="3">
        <f>VLOOKUP(Gegenstände!E381,Berechnungen!$E$87:$F$115,2,FALSE)</f>
        <v>21</v>
      </c>
      <c r="G381" s="3">
        <f>Gegenstände!H381</f>
        <v>1</v>
      </c>
      <c r="H381" s="3">
        <f>Gegenstände!G381</f>
        <v>8</v>
      </c>
      <c r="I381" s="3">
        <f>Gegenstände!D381</f>
        <v>21</v>
      </c>
      <c r="J381" s="168">
        <f>ROUND(Gegenstände!N381,0)</f>
        <v>16400</v>
      </c>
      <c r="K381" s="3">
        <f>Gegenstände!J381</f>
        <v>100</v>
      </c>
      <c r="L381" s="3">
        <f>Gegenstände!L381</f>
        <v>0</v>
      </c>
      <c r="M381" s="3">
        <f>Gegenstände!Z381</f>
        <v>0</v>
      </c>
      <c r="N381" s="783">
        <f>(Gegenstände!Y381*10)</f>
        <v>0</v>
      </c>
      <c r="O381" s="783">
        <f>(Gegenstände!W381*10)</f>
        <v>20</v>
      </c>
      <c r="P381" s="783">
        <f>Gegenstände!AA381*10</f>
        <v>0</v>
      </c>
      <c r="Q381" s="783">
        <f>Gegenstände!O381</f>
        <v>0</v>
      </c>
      <c r="R381" s="168">
        <f>Gegenstände!S381</f>
        <v>0</v>
      </c>
      <c r="S381" s="168">
        <f>Gegenstände!T381</f>
        <v>0</v>
      </c>
      <c r="T381" s="783">
        <f>Gegenstände!AC381</f>
        <v>0</v>
      </c>
      <c r="U381" s="783">
        <f>Gegenstände!AE381</f>
        <v>0</v>
      </c>
      <c r="V381" s="783">
        <f>Gegenstände!AD381</f>
        <v>0</v>
      </c>
      <c r="W381" s="783">
        <f>Gegenstände!AF381</f>
        <v>0</v>
      </c>
      <c r="AB381" s="3">
        <f>Gegenstände!M381</f>
        <v>5</v>
      </c>
      <c r="AC381" s="3">
        <f>Gegenstände!AB381</f>
        <v>0</v>
      </c>
      <c r="AD381" s="3">
        <f>Gegenstände!F381</f>
        <v>0</v>
      </c>
    </row>
    <row r="382" spans="1:30" x14ac:dyDescent="0.2">
      <c r="A382" s="3">
        <f>Gegenstände!A382</f>
        <v>1242</v>
      </c>
      <c r="B382" s="3" t="str">
        <f>Gegenstände!B382</f>
        <v>Äther-Robe</v>
      </c>
      <c r="D382" s="3">
        <f>Gegenstände!K382</f>
        <v>1200</v>
      </c>
      <c r="E382" s="3">
        <f>Gegenstände!I382</f>
        <v>12</v>
      </c>
      <c r="F382" s="3">
        <f>VLOOKUP(Gegenstände!E382,Berechnungen!$E$87:$F$115,2,FALSE)</f>
        <v>21</v>
      </c>
      <c r="G382" s="3">
        <f>Gegenstände!H382</f>
        <v>1</v>
      </c>
      <c r="H382" s="3">
        <f>Gegenstände!G382</f>
        <v>8</v>
      </c>
      <c r="I382" s="3">
        <f>Gegenstände!D382</f>
        <v>21</v>
      </c>
      <c r="J382" s="168">
        <f>ROUND(Gegenstände!N382,0)</f>
        <v>24500</v>
      </c>
      <c r="K382" s="3">
        <f>Gegenstände!J382</f>
        <v>100</v>
      </c>
      <c r="L382" s="3">
        <f>Gegenstände!L382</f>
        <v>0</v>
      </c>
      <c r="M382" s="3">
        <f>Gegenstände!Z382</f>
        <v>0</v>
      </c>
      <c r="N382" s="783">
        <f>(Gegenstände!Y382*10)</f>
        <v>0</v>
      </c>
      <c r="O382" s="783">
        <f>(Gegenstände!W382*10)</f>
        <v>30</v>
      </c>
      <c r="P382" s="783">
        <f>Gegenstände!AA382*10</f>
        <v>0</v>
      </c>
      <c r="Q382" s="783">
        <f>Gegenstände!O382</f>
        <v>0</v>
      </c>
      <c r="R382" s="168">
        <f>Gegenstände!S382</f>
        <v>0</v>
      </c>
      <c r="S382" s="168">
        <f>Gegenstände!T382</f>
        <v>0</v>
      </c>
      <c r="T382" s="783">
        <f>Gegenstände!AC382</f>
        <v>0</v>
      </c>
      <c r="U382" s="783">
        <f>Gegenstände!AE382</f>
        <v>0</v>
      </c>
      <c r="V382" s="783">
        <f>Gegenstände!AD382</f>
        <v>0</v>
      </c>
      <c r="W382" s="783">
        <f>Gegenstände!AF382</f>
        <v>0</v>
      </c>
      <c r="AB382" s="3">
        <f>Gegenstände!M382</f>
        <v>5</v>
      </c>
      <c r="AC382" s="3">
        <f>Gegenstände!AB382</f>
        <v>0</v>
      </c>
      <c r="AD382" s="3">
        <f>Gegenstände!F382</f>
        <v>0</v>
      </c>
    </row>
    <row r="383" spans="1:30" x14ac:dyDescent="0.2">
      <c r="A383" s="3">
        <f>Gegenstände!A383</f>
        <v>1243</v>
      </c>
      <c r="B383" s="3" t="str">
        <f>Gegenstände!B383</f>
        <v>Äther-Handschuhe</v>
      </c>
      <c r="D383" s="3">
        <f>Gegenstände!K383</f>
        <v>600</v>
      </c>
      <c r="E383" s="3">
        <f>Gegenstände!I383</f>
        <v>13</v>
      </c>
      <c r="F383" s="3">
        <f>VLOOKUP(Gegenstände!E383,Berechnungen!$E$87:$F$115,2,FALSE)</f>
        <v>21</v>
      </c>
      <c r="G383" s="3">
        <f>Gegenstände!H383</f>
        <v>1</v>
      </c>
      <c r="H383" s="3">
        <f>Gegenstände!G383</f>
        <v>8</v>
      </c>
      <c r="I383" s="3">
        <f>Gegenstände!D383</f>
        <v>22</v>
      </c>
      <c r="J383" s="168">
        <f>ROUND(Gegenstände!N383,0)</f>
        <v>14100</v>
      </c>
      <c r="K383" s="3">
        <f>Gegenstände!J383</f>
        <v>100</v>
      </c>
      <c r="L383" s="3">
        <f>Gegenstände!L383</f>
        <v>0</v>
      </c>
      <c r="M383" s="3">
        <f>Gegenstände!Z383</f>
        <v>0</v>
      </c>
      <c r="N383" s="783">
        <f>(Gegenstände!Y383*10)</f>
        <v>0</v>
      </c>
      <c r="O383" s="783">
        <f>(Gegenstände!W383*10)</f>
        <v>15</v>
      </c>
      <c r="P383" s="783">
        <f>Gegenstände!AA383*10</f>
        <v>0</v>
      </c>
      <c r="Q383" s="783">
        <f>Gegenstände!O383</f>
        <v>0</v>
      </c>
      <c r="R383" s="168">
        <f>Gegenstände!S383</f>
        <v>0</v>
      </c>
      <c r="S383" s="168">
        <f>Gegenstände!T383</f>
        <v>0</v>
      </c>
      <c r="T383" s="783">
        <f>Gegenstände!AC383</f>
        <v>0</v>
      </c>
      <c r="U383" s="783">
        <f>Gegenstände!AE383</f>
        <v>0</v>
      </c>
      <c r="V383" s="783">
        <f>Gegenstände!AD383</f>
        <v>0</v>
      </c>
      <c r="W383" s="783">
        <f>Gegenstände!AF383</f>
        <v>0</v>
      </c>
      <c r="AB383" s="3">
        <f>Gegenstände!M383</f>
        <v>5</v>
      </c>
      <c r="AC383" s="3">
        <f>Gegenstände!AB383</f>
        <v>0</v>
      </c>
      <c r="AD383" s="3">
        <f>Gegenstände!F383</f>
        <v>0</v>
      </c>
    </row>
    <row r="384" spans="1:30" x14ac:dyDescent="0.2">
      <c r="A384" s="3">
        <f>Gegenstände!A384</f>
        <v>1244</v>
      </c>
      <c r="B384" s="3" t="str">
        <f>Gegenstände!B384</f>
        <v>Äther-Hose</v>
      </c>
      <c r="D384" s="3">
        <f>Gegenstände!K384</f>
        <v>800</v>
      </c>
      <c r="E384" s="3">
        <f>Gegenstände!I384</f>
        <v>14</v>
      </c>
      <c r="F384" s="3">
        <f>VLOOKUP(Gegenstände!E384,Berechnungen!$E$87:$F$115,2,FALSE)</f>
        <v>21</v>
      </c>
      <c r="G384" s="3">
        <f>Gegenstände!H384</f>
        <v>1</v>
      </c>
      <c r="H384" s="3">
        <f>Gegenstände!G384</f>
        <v>8</v>
      </c>
      <c r="I384" s="3">
        <f>Gegenstände!D384</f>
        <v>22</v>
      </c>
      <c r="J384" s="168">
        <f>ROUND(Gegenstände!N384,0)</f>
        <v>18800</v>
      </c>
      <c r="K384" s="3">
        <f>Gegenstände!J384</f>
        <v>100</v>
      </c>
      <c r="L384" s="3">
        <f>Gegenstände!L384</f>
        <v>0</v>
      </c>
      <c r="M384" s="3">
        <f>Gegenstände!Z384</f>
        <v>0</v>
      </c>
      <c r="N384" s="783">
        <f>(Gegenstände!Y384*10)</f>
        <v>0</v>
      </c>
      <c r="O384" s="783">
        <f>(Gegenstände!W384*10)</f>
        <v>20</v>
      </c>
      <c r="P384" s="783">
        <f>Gegenstände!AA384*10</f>
        <v>0</v>
      </c>
      <c r="Q384" s="783">
        <f>Gegenstände!O384</f>
        <v>0</v>
      </c>
      <c r="R384" s="168">
        <f>Gegenstände!S384</f>
        <v>0</v>
      </c>
      <c r="S384" s="168">
        <f>Gegenstände!T384</f>
        <v>0</v>
      </c>
      <c r="T384" s="783">
        <f>Gegenstände!AC384</f>
        <v>0</v>
      </c>
      <c r="U384" s="783">
        <f>Gegenstände!AE384</f>
        <v>0</v>
      </c>
      <c r="V384" s="783">
        <f>Gegenstände!AD384</f>
        <v>0</v>
      </c>
      <c r="W384" s="783">
        <f>Gegenstände!AF384</f>
        <v>0</v>
      </c>
      <c r="AB384" s="3">
        <f>Gegenstände!M384</f>
        <v>5</v>
      </c>
      <c r="AC384" s="3">
        <f>Gegenstände!AB384</f>
        <v>0</v>
      </c>
      <c r="AD384" s="3">
        <f>Gegenstände!F384</f>
        <v>0</v>
      </c>
    </row>
    <row r="385" spans="1:30" x14ac:dyDescent="0.2">
      <c r="A385" s="3">
        <f>Gegenstände!A385</f>
        <v>1245</v>
      </c>
      <c r="B385" s="3" t="str">
        <f>Gegenstände!B385</f>
        <v>Äther-Schuhe</v>
      </c>
      <c r="D385" s="3">
        <f>Gegenstände!K385</f>
        <v>600</v>
      </c>
      <c r="E385" s="3">
        <f>Gegenstände!I385</f>
        <v>15</v>
      </c>
      <c r="F385" s="3">
        <f>VLOOKUP(Gegenstände!E385,Berechnungen!$E$87:$F$115,2,FALSE)</f>
        <v>21</v>
      </c>
      <c r="G385" s="3">
        <f>Gegenstände!H385</f>
        <v>1</v>
      </c>
      <c r="H385" s="3">
        <f>Gegenstände!G385</f>
        <v>8</v>
      </c>
      <c r="I385" s="3">
        <f>Gegenstände!D385</f>
        <v>22</v>
      </c>
      <c r="J385" s="168">
        <f>ROUND(Gegenstände!N385,0)</f>
        <v>14100</v>
      </c>
      <c r="K385" s="3">
        <f>Gegenstände!J385</f>
        <v>100</v>
      </c>
      <c r="L385" s="3">
        <f>Gegenstände!L385</f>
        <v>0</v>
      </c>
      <c r="M385" s="3">
        <f>Gegenstände!Z385</f>
        <v>0</v>
      </c>
      <c r="N385" s="783">
        <f>(Gegenstände!Y385*10)</f>
        <v>0</v>
      </c>
      <c r="O385" s="783">
        <f>(Gegenstände!W385*10)</f>
        <v>15</v>
      </c>
      <c r="P385" s="783">
        <f>Gegenstände!AA385*10</f>
        <v>0</v>
      </c>
      <c r="Q385" s="783">
        <f>Gegenstände!O385</f>
        <v>0</v>
      </c>
      <c r="R385" s="168">
        <f>Gegenstände!S385</f>
        <v>0</v>
      </c>
      <c r="S385" s="168">
        <f>Gegenstände!T385</f>
        <v>0</v>
      </c>
      <c r="T385" s="783">
        <f>Gegenstände!AC385</f>
        <v>0</v>
      </c>
      <c r="U385" s="783">
        <f>Gegenstände!AE385</f>
        <v>0</v>
      </c>
      <c r="V385" s="783">
        <f>Gegenstände!AD385</f>
        <v>0</v>
      </c>
      <c r="W385" s="783">
        <f>Gegenstände!AF385</f>
        <v>0</v>
      </c>
      <c r="AB385" s="3">
        <f>Gegenstände!M385</f>
        <v>5</v>
      </c>
      <c r="AC385" s="3">
        <f>Gegenstände!AB385</f>
        <v>0</v>
      </c>
      <c r="AD385" s="3">
        <f>Gegenstände!F385</f>
        <v>0</v>
      </c>
    </row>
    <row r="386" spans="1:30" x14ac:dyDescent="0.2">
      <c r="A386" s="3">
        <f>Gegenstände!A386</f>
        <v>1246</v>
      </c>
      <c r="B386" s="3" t="str">
        <f>Gegenstände!B386</f>
        <v>Äther-Spitzhut</v>
      </c>
      <c r="D386" s="3">
        <f>Gegenstände!K386</f>
        <v>1200</v>
      </c>
      <c r="E386" s="3">
        <f>Gegenstände!I386</f>
        <v>11</v>
      </c>
      <c r="F386" s="3">
        <f>VLOOKUP(Gegenstände!E386,Berechnungen!$E$87:$F$115,2,FALSE)</f>
        <v>21</v>
      </c>
      <c r="G386" s="3">
        <f>Gegenstände!H386</f>
        <v>1</v>
      </c>
      <c r="H386" s="3">
        <f>Gegenstände!G386</f>
        <v>8</v>
      </c>
      <c r="I386" s="3">
        <f>Gegenstände!D386</f>
        <v>24</v>
      </c>
      <c r="J386" s="168">
        <f>ROUND(Gegenstände!N386,0)</f>
        <v>24900</v>
      </c>
      <c r="K386" s="3">
        <f>Gegenstände!J386</f>
        <v>100</v>
      </c>
      <c r="L386" s="3">
        <f>Gegenstände!L386</f>
        <v>0</v>
      </c>
      <c r="M386" s="3">
        <f>Gegenstände!Z386</f>
        <v>0</v>
      </c>
      <c r="N386" s="783">
        <f>(Gegenstände!Y386*10)</f>
        <v>0</v>
      </c>
      <c r="O386" s="783">
        <f>(Gegenstände!W386*10)</f>
        <v>24</v>
      </c>
      <c r="P386" s="783">
        <f>Gegenstände!AA386*10</f>
        <v>0</v>
      </c>
      <c r="Q386" s="783">
        <f>Gegenstände!O386</f>
        <v>0</v>
      </c>
      <c r="R386" s="168">
        <f>Gegenstände!S386</f>
        <v>0</v>
      </c>
      <c r="S386" s="168">
        <f>Gegenstände!T386</f>
        <v>0</v>
      </c>
      <c r="T386" s="783">
        <f>Gegenstände!AC386</f>
        <v>0</v>
      </c>
      <c r="U386" s="783">
        <f>Gegenstände!AE386</f>
        <v>0</v>
      </c>
      <c r="V386" s="783">
        <f>Gegenstände!AD386</f>
        <v>0</v>
      </c>
      <c r="W386" s="783">
        <f>Gegenstände!AF386</f>
        <v>0</v>
      </c>
      <c r="AB386" s="3">
        <f>Gegenstände!M386</f>
        <v>5</v>
      </c>
      <c r="AC386" s="3">
        <f>Gegenstände!AB386</f>
        <v>0</v>
      </c>
      <c r="AD386" s="3">
        <f>Gegenstände!F386</f>
        <v>0</v>
      </c>
    </row>
    <row r="387" spans="1:30" x14ac:dyDescent="0.2">
      <c r="A387" s="3">
        <f>Gegenstände!A387</f>
        <v>1247</v>
      </c>
      <c r="B387" s="3" t="str">
        <f>Gegenstände!B387</f>
        <v>Äther-Tunika</v>
      </c>
      <c r="D387" s="3">
        <f>Gegenstände!K387</f>
        <v>1800</v>
      </c>
      <c r="E387" s="3">
        <f>Gegenstände!I387</f>
        <v>12</v>
      </c>
      <c r="F387" s="3">
        <f>VLOOKUP(Gegenstände!E387,Berechnungen!$E$87:$F$115,2,FALSE)</f>
        <v>21</v>
      </c>
      <c r="G387" s="3">
        <f>Gegenstände!H387</f>
        <v>1</v>
      </c>
      <c r="H387" s="3">
        <f>Gegenstände!G387</f>
        <v>8</v>
      </c>
      <c r="I387" s="3">
        <f>Gegenstände!D387</f>
        <v>24</v>
      </c>
      <c r="J387" s="168">
        <f>ROUND(Gegenstände!N387,0)</f>
        <v>37300</v>
      </c>
      <c r="K387" s="3">
        <f>Gegenstände!J387</f>
        <v>100</v>
      </c>
      <c r="L387" s="3">
        <f>Gegenstände!L387</f>
        <v>0</v>
      </c>
      <c r="M387" s="3">
        <f>Gegenstände!Z387</f>
        <v>0</v>
      </c>
      <c r="N387" s="783">
        <f>(Gegenstände!Y387*10)</f>
        <v>0</v>
      </c>
      <c r="O387" s="783">
        <f>(Gegenstände!W387*10)</f>
        <v>36</v>
      </c>
      <c r="P387" s="783">
        <f>Gegenstände!AA387*10</f>
        <v>0</v>
      </c>
      <c r="Q387" s="783">
        <f>Gegenstände!O387</f>
        <v>0</v>
      </c>
      <c r="R387" s="168">
        <f>Gegenstände!S387</f>
        <v>0</v>
      </c>
      <c r="S387" s="168">
        <f>Gegenstände!T387</f>
        <v>0</v>
      </c>
      <c r="T387" s="783">
        <f>Gegenstände!AC387</f>
        <v>0</v>
      </c>
      <c r="U387" s="783">
        <f>Gegenstände!AE387</f>
        <v>0</v>
      </c>
      <c r="V387" s="783">
        <f>Gegenstände!AD387</f>
        <v>0</v>
      </c>
      <c r="W387" s="783">
        <f>Gegenstände!AF387</f>
        <v>0</v>
      </c>
      <c r="AB387" s="3">
        <f>Gegenstände!M387</f>
        <v>5</v>
      </c>
      <c r="AC387" s="3">
        <f>Gegenstände!AB387</f>
        <v>0</v>
      </c>
      <c r="AD387" s="3">
        <f>Gegenstände!F387</f>
        <v>0</v>
      </c>
    </row>
    <row r="388" spans="1:30" x14ac:dyDescent="0.2">
      <c r="A388" s="3">
        <f>Gegenstände!A388</f>
        <v>1248</v>
      </c>
      <c r="B388" s="3" t="str">
        <f>Gegenstände!B388</f>
        <v>Äther-Stulpen</v>
      </c>
      <c r="D388" s="3">
        <f>Gegenstände!K388</f>
        <v>900</v>
      </c>
      <c r="E388" s="3">
        <f>Gegenstände!I388</f>
        <v>13</v>
      </c>
      <c r="F388" s="3">
        <f>VLOOKUP(Gegenstände!E388,Berechnungen!$E$87:$F$115,2,FALSE)</f>
        <v>21</v>
      </c>
      <c r="G388" s="3">
        <f>Gegenstände!H388</f>
        <v>1</v>
      </c>
      <c r="H388" s="3">
        <f>Gegenstände!G388</f>
        <v>8</v>
      </c>
      <c r="I388" s="3">
        <f>Gegenstände!D388</f>
        <v>25</v>
      </c>
      <c r="J388" s="168">
        <f>ROUND(Gegenstände!N388,0)</f>
        <v>21500</v>
      </c>
      <c r="K388" s="3">
        <f>Gegenstände!J388</f>
        <v>100</v>
      </c>
      <c r="L388" s="3">
        <f>Gegenstände!L388</f>
        <v>0</v>
      </c>
      <c r="M388" s="3">
        <f>Gegenstände!Z388</f>
        <v>0</v>
      </c>
      <c r="N388" s="783">
        <f>(Gegenstände!Y388*10)</f>
        <v>0</v>
      </c>
      <c r="O388" s="783">
        <f>(Gegenstände!W388*10)</f>
        <v>18</v>
      </c>
      <c r="P388" s="783">
        <f>Gegenstände!AA388*10</f>
        <v>0</v>
      </c>
      <c r="Q388" s="783">
        <f>Gegenstände!O388</f>
        <v>0</v>
      </c>
      <c r="R388" s="168">
        <f>Gegenstände!S388</f>
        <v>0</v>
      </c>
      <c r="S388" s="168">
        <f>Gegenstände!T388</f>
        <v>0</v>
      </c>
      <c r="T388" s="783">
        <f>Gegenstände!AC388</f>
        <v>0</v>
      </c>
      <c r="U388" s="783">
        <f>Gegenstände!AE388</f>
        <v>0</v>
      </c>
      <c r="V388" s="783">
        <f>Gegenstände!AD388</f>
        <v>0</v>
      </c>
      <c r="W388" s="783">
        <f>Gegenstände!AF388</f>
        <v>0</v>
      </c>
      <c r="AB388" s="3">
        <f>Gegenstände!M388</f>
        <v>5</v>
      </c>
      <c r="AC388" s="3">
        <f>Gegenstände!AB388</f>
        <v>0</v>
      </c>
      <c r="AD388" s="3">
        <f>Gegenstände!F388</f>
        <v>0</v>
      </c>
    </row>
    <row r="389" spans="1:30" x14ac:dyDescent="0.2">
      <c r="A389" s="3">
        <f>Gegenstände!A389</f>
        <v>1249</v>
      </c>
      <c r="B389" s="3" t="str">
        <f>Gegenstände!B389</f>
        <v>Äther-Beinlinge</v>
      </c>
      <c r="D389" s="3">
        <f>Gegenstände!K389</f>
        <v>1200</v>
      </c>
      <c r="E389" s="3">
        <f>Gegenstände!I389</f>
        <v>14</v>
      </c>
      <c r="F389" s="3">
        <f>VLOOKUP(Gegenstände!E389,Berechnungen!$E$87:$F$115,2,FALSE)</f>
        <v>21</v>
      </c>
      <c r="G389" s="3">
        <f>Gegenstände!H389</f>
        <v>1</v>
      </c>
      <c r="H389" s="3">
        <f>Gegenstände!G389</f>
        <v>8</v>
      </c>
      <c r="I389" s="3">
        <f>Gegenstände!D389</f>
        <v>25</v>
      </c>
      <c r="J389" s="168">
        <f>ROUND(Gegenstände!N389,0)</f>
        <v>28600</v>
      </c>
      <c r="K389" s="3">
        <f>Gegenstände!J389</f>
        <v>100</v>
      </c>
      <c r="L389" s="3">
        <f>Gegenstände!L389</f>
        <v>0</v>
      </c>
      <c r="M389" s="3">
        <f>Gegenstände!Z389</f>
        <v>0</v>
      </c>
      <c r="N389" s="783">
        <f>(Gegenstände!Y389*10)</f>
        <v>0</v>
      </c>
      <c r="O389" s="783">
        <f>(Gegenstände!W389*10)</f>
        <v>24</v>
      </c>
      <c r="P389" s="783">
        <f>Gegenstände!AA389*10</f>
        <v>0</v>
      </c>
      <c r="Q389" s="783">
        <f>Gegenstände!O389</f>
        <v>0</v>
      </c>
      <c r="R389" s="168">
        <f>Gegenstände!S389</f>
        <v>0</v>
      </c>
      <c r="S389" s="168">
        <f>Gegenstände!T389</f>
        <v>0</v>
      </c>
      <c r="T389" s="783">
        <f>Gegenstände!AC389</f>
        <v>0</v>
      </c>
      <c r="U389" s="783">
        <f>Gegenstände!AE389</f>
        <v>0</v>
      </c>
      <c r="V389" s="783">
        <f>Gegenstände!AD389</f>
        <v>0</v>
      </c>
      <c r="W389" s="783">
        <f>Gegenstände!AF389</f>
        <v>0</v>
      </c>
      <c r="AB389" s="3">
        <f>Gegenstände!M389</f>
        <v>5</v>
      </c>
      <c r="AC389" s="3">
        <f>Gegenstände!AB389</f>
        <v>0</v>
      </c>
      <c r="AD389" s="3">
        <f>Gegenstände!F389</f>
        <v>0</v>
      </c>
    </row>
    <row r="390" spans="1:30" x14ac:dyDescent="0.2">
      <c r="A390" s="3">
        <f>Gegenstände!A390</f>
        <v>1250</v>
      </c>
      <c r="B390" s="3" t="str">
        <f>Gegenstände!B390</f>
        <v>Äther-Stiefel</v>
      </c>
      <c r="D390" s="3">
        <f>Gegenstände!K390</f>
        <v>900</v>
      </c>
      <c r="E390" s="3">
        <f>Gegenstände!I390</f>
        <v>15</v>
      </c>
      <c r="F390" s="3">
        <f>VLOOKUP(Gegenstände!E390,Berechnungen!$E$87:$F$115,2,FALSE)</f>
        <v>21</v>
      </c>
      <c r="G390" s="3">
        <f>Gegenstände!H390</f>
        <v>1</v>
      </c>
      <c r="H390" s="3">
        <f>Gegenstände!G390</f>
        <v>8</v>
      </c>
      <c r="I390" s="3">
        <f>Gegenstände!D390</f>
        <v>25</v>
      </c>
      <c r="J390" s="168">
        <f>ROUND(Gegenstände!N390,0)</f>
        <v>21500</v>
      </c>
      <c r="K390" s="3">
        <f>Gegenstände!J390</f>
        <v>100</v>
      </c>
      <c r="L390" s="3">
        <f>Gegenstände!L390</f>
        <v>0</v>
      </c>
      <c r="M390" s="3">
        <f>Gegenstände!Z390</f>
        <v>0</v>
      </c>
      <c r="N390" s="783">
        <f>(Gegenstände!Y390*10)</f>
        <v>0</v>
      </c>
      <c r="O390" s="783">
        <f>(Gegenstände!W390*10)</f>
        <v>18</v>
      </c>
      <c r="P390" s="783">
        <f>Gegenstände!AA390*10</f>
        <v>0</v>
      </c>
      <c r="Q390" s="783">
        <f>Gegenstände!O390</f>
        <v>0</v>
      </c>
      <c r="R390" s="168">
        <f>Gegenstände!S390</f>
        <v>0</v>
      </c>
      <c r="S390" s="168">
        <f>Gegenstände!T390</f>
        <v>0</v>
      </c>
      <c r="T390" s="783">
        <f>Gegenstände!AC390</f>
        <v>0</v>
      </c>
      <c r="U390" s="783">
        <f>Gegenstände!AE390</f>
        <v>0</v>
      </c>
      <c r="V390" s="783">
        <f>Gegenstände!AD390</f>
        <v>0</v>
      </c>
      <c r="W390" s="783">
        <f>Gegenstände!AF390</f>
        <v>0</v>
      </c>
      <c r="AB390" s="3">
        <f>Gegenstände!M390</f>
        <v>5</v>
      </c>
      <c r="AC390" s="3">
        <f>Gegenstände!AB390</f>
        <v>0</v>
      </c>
      <c r="AD390" s="3">
        <f>Gegenstände!F390</f>
        <v>0</v>
      </c>
    </row>
    <row r="391" spans="1:30" x14ac:dyDescent="0.2">
      <c r="A391" s="3">
        <f>Gegenstände!A391</f>
        <v>2201</v>
      </c>
      <c r="B391" s="3" t="str">
        <f>Gegenstände!B391</f>
        <v>Pyrit-Haube</v>
      </c>
      <c r="D391" s="3">
        <f>Gegenstände!K391</f>
        <v>1200</v>
      </c>
      <c r="E391" s="3">
        <f>Gegenstände!I391</f>
        <v>11</v>
      </c>
      <c r="F391" s="3">
        <f>VLOOKUP(Gegenstände!E391,Berechnungen!$E$87:$F$115,2,FALSE)</f>
        <v>21</v>
      </c>
      <c r="G391" s="3">
        <f>Gegenstände!H391</f>
        <v>2</v>
      </c>
      <c r="H391" s="3">
        <f>Gegenstände!G391</f>
        <v>8</v>
      </c>
      <c r="I391" s="3">
        <f>Gegenstände!D391</f>
        <v>4</v>
      </c>
      <c r="J391" s="168">
        <f>ROUND(Gegenstände!N391,0)</f>
        <v>2000</v>
      </c>
      <c r="K391" s="3">
        <f>Gegenstände!J391</f>
        <v>100</v>
      </c>
      <c r="L391" s="3">
        <f>Gegenstände!L391</f>
        <v>0</v>
      </c>
      <c r="M391" s="3">
        <f>Gegenstände!Z391</f>
        <v>0</v>
      </c>
      <c r="N391" s="783">
        <f>(Gegenstände!Y391*10)</f>
        <v>0</v>
      </c>
      <c r="O391" s="783">
        <f>(Gegenstände!W391*10)</f>
        <v>8</v>
      </c>
      <c r="P391" s="783">
        <f>Gegenstände!AA391*10</f>
        <v>0</v>
      </c>
      <c r="Q391" s="783">
        <f>Gegenstände!O391</f>
        <v>0</v>
      </c>
      <c r="R391" s="168">
        <f>Gegenstände!S391</f>
        <v>0</v>
      </c>
      <c r="S391" s="168">
        <f>Gegenstände!T391</f>
        <v>0</v>
      </c>
      <c r="T391" s="783">
        <f>Gegenstände!AC391</f>
        <v>0</v>
      </c>
      <c r="U391" s="783">
        <f>Gegenstände!AE391</f>
        <v>0</v>
      </c>
      <c r="V391" s="783">
        <f>Gegenstände!AD391</f>
        <v>0</v>
      </c>
      <c r="W391" s="783">
        <f>Gegenstände!AF391</f>
        <v>0</v>
      </c>
      <c r="AB391" s="3">
        <f>Gegenstände!M391</f>
        <v>0</v>
      </c>
      <c r="AC391" s="3">
        <f>Gegenstände!AB391</f>
        <v>0</v>
      </c>
      <c r="AD391" s="3">
        <f>Gegenstände!F391</f>
        <v>0</v>
      </c>
    </row>
    <row r="392" spans="1:30" x14ac:dyDescent="0.2">
      <c r="A392" s="3">
        <f>Gegenstände!A392</f>
        <v>2202</v>
      </c>
      <c r="B392" s="3" t="str">
        <f>Gegenstände!B392</f>
        <v>Pyrit-Robe</v>
      </c>
      <c r="D392" s="3">
        <f>Gegenstände!K392</f>
        <v>1800</v>
      </c>
      <c r="E392" s="3">
        <f>Gegenstände!I392</f>
        <v>12</v>
      </c>
      <c r="F392" s="3">
        <f>VLOOKUP(Gegenstände!E392,Berechnungen!$E$87:$F$115,2,FALSE)</f>
        <v>21</v>
      </c>
      <c r="G392" s="3">
        <f>Gegenstände!H392</f>
        <v>2</v>
      </c>
      <c r="H392" s="3">
        <f>Gegenstände!G392</f>
        <v>8</v>
      </c>
      <c r="I392" s="3">
        <f>Gegenstände!D392</f>
        <v>4</v>
      </c>
      <c r="J392" s="168">
        <f>ROUND(Gegenstände!N392,0)</f>
        <v>2800</v>
      </c>
      <c r="K392" s="3">
        <f>Gegenstände!J392</f>
        <v>100</v>
      </c>
      <c r="L392" s="3">
        <f>Gegenstände!L392</f>
        <v>0</v>
      </c>
      <c r="M392" s="3">
        <f>Gegenstände!Z392</f>
        <v>0</v>
      </c>
      <c r="N392" s="783">
        <f>(Gegenstände!Y392*10)</f>
        <v>0</v>
      </c>
      <c r="O392" s="783">
        <f>(Gegenstände!W392*10)</f>
        <v>12</v>
      </c>
      <c r="P392" s="783">
        <f>Gegenstände!AA392*10</f>
        <v>0</v>
      </c>
      <c r="Q392" s="783">
        <f>Gegenstände!O392</f>
        <v>0</v>
      </c>
      <c r="R392" s="168">
        <f>Gegenstände!S392</f>
        <v>0</v>
      </c>
      <c r="S392" s="168">
        <f>Gegenstände!T392</f>
        <v>0</v>
      </c>
      <c r="T392" s="783">
        <f>Gegenstände!AC392</f>
        <v>0</v>
      </c>
      <c r="U392" s="783">
        <f>Gegenstände!AE392</f>
        <v>0</v>
      </c>
      <c r="V392" s="783">
        <f>Gegenstände!AD392</f>
        <v>0</v>
      </c>
      <c r="W392" s="783">
        <f>Gegenstände!AF392</f>
        <v>0</v>
      </c>
      <c r="AB392" s="3">
        <f>Gegenstände!M392</f>
        <v>0</v>
      </c>
      <c r="AC392" s="3">
        <f>Gegenstände!AB392</f>
        <v>0</v>
      </c>
      <c r="AD392" s="3">
        <f>Gegenstände!F392</f>
        <v>0</v>
      </c>
    </row>
    <row r="393" spans="1:30" x14ac:dyDescent="0.2">
      <c r="A393" s="3">
        <f>Gegenstände!A393</f>
        <v>2203</v>
      </c>
      <c r="B393" s="3" t="str">
        <f>Gegenstände!B393</f>
        <v>Pyrit-Handschuhe</v>
      </c>
      <c r="D393" s="3">
        <f>Gegenstände!K393</f>
        <v>900</v>
      </c>
      <c r="E393" s="3">
        <f>Gegenstände!I393</f>
        <v>13</v>
      </c>
      <c r="F393" s="3">
        <f>VLOOKUP(Gegenstände!E393,Berechnungen!$E$87:$F$115,2,FALSE)</f>
        <v>21</v>
      </c>
      <c r="G393" s="3">
        <f>Gegenstände!H393</f>
        <v>2</v>
      </c>
      <c r="H393" s="3">
        <f>Gegenstände!G393</f>
        <v>8</v>
      </c>
      <c r="I393" s="3">
        <f>Gegenstände!D393</f>
        <v>5</v>
      </c>
      <c r="J393" s="168">
        <f>ROUND(Gegenstände!N393,0)</f>
        <v>1800</v>
      </c>
      <c r="K393" s="3">
        <f>Gegenstände!J393</f>
        <v>100</v>
      </c>
      <c r="L393" s="3">
        <f>Gegenstände!L393</f>
        <v>0</v>
      </c>
      <c r="M393" s="3">
        <f>Gegenstände!Z393</f>
        <v>0</v>
      </c>
      <c r="N393" s="783">
        <f>(Gegenstände!Y393*10)</f>
        <v>0</v>
      </c>
      <c r="O393" s="783">
        <f>(Gegenstände!W393*10)</f>
        <v>6</v>
      </c>
      <c r="P393" s="783">
        <f>Gegenstände!AA393*10</f>
        <v>0</v>
      </c>
      <c r="Q393" s="783">
        <f>Gegenstände!O393</f>
        <v>0</v>
      </c>
      <c r="R393" s="168">
        <f>Gegenstände!S393</f>
        <v>0</v>
      </c>
      <c r="S393" s="168">
        <f>Gegenstände!T393</f>
        <v>0</v>
      </c>
      <c r="T393" s="783">
        <f>Gegenstände!AC393</f>
        <v>0</v>
      </c>
      <c r="U393" s="783">
        <f>Gegenstände!AE393</f>
        <v>0</v>
      </c>
      <c r="V393" s="783">
        <f>Gegenstände!AD393</f>
        <v>0</v>
      </c>
      <c r="W393" s="783">
        <f>Gegenstände!AF393</f>
        <v>0</v>
      </c>
      <c r="AB393" s="3">
        <f>Gegenstände!M393</f>
        <v>0</v>
      </c>
      <c r="AC393" s="3">
        <f>Gegenstände!AB393</f>
        <v>0</v>
      </c>
      <c r="AD393" s="3">
        <f>Gegenstände!F393</f>
        <v>0</v>
      </c>
    </row>
    <row r="394" spans="1:30" x14ac:dyDescent="0.2">
      <c r="A394" s="3">
        <f>Gegenstände!A394</f>
        <v>2204</v>
      </c>
      <c r="B394" s="3" t="str">
        <f>Gegenstände!B394</f>
        <v>Pyrit-Hose</v>
      </c>
      <c r="D394" s="3">
        <f>Gegenstände!K394</f>
        <v>1200</v>
      </c>
      <c r="E394" s="3">
        <f>Gegenstände!I394</f>
        <v>14</v>
      </c>
      <c r="F394" s="3">
        <f>VLOOKUP(Gegenstände!E394,Berechnungen!$E$87:$F$115,2,FALSE)</f>
        <v>21</v>
      </c>
      <c r="G394" s="3">
        <f>Gegenstände!H394</f>
        <v>2</v>
      </c>
      <c r="H394" s="3">
        <f>Gegenstände!G394</f>
        <v>8</v>
      </c>
      <c r="I394" s="3">
        <f>Gegenstände!D394</f>
        <v>5</v>
      </c>
      <c r="J394" s="168">
        <f>ROUND(Gegenstände!N394,0)</f>
        <v>2200</v>
      </c>
      <c r="K394" s="3">
        <f>Gegenstände!J394</f>
        <v>100</v>
      </c>
      <c r="L394" s="3">
        <f>Gegenstände!L394</f>
        <v>0</v>
      </c>
      <c r="M394" s="3">
        <f>Gegenstände!Z394</f>
        <v>0</v>
      </c>
      <c r="N394" s="783">
        <f>(Gegenstände!Y394*10)</f>
        <v>0</v>
      </c>
      <c r="O394" s="783">
        <f>(Gegenstände!W394*10)</f>
        <v>8</v>
      </c>
      <c r="P394" s="783">
        <f>Gegenstände!AA394*10</f>
        <v>0</v>
      </c>
      <c r="Q394" s="783">
        <f>Gegenstände!O394</f>
        <v>0</v>
      </c>
      <c r="R394" s="168">
        <f>Gegenstände!S394</f>
        <v>0</v>
      </c>
      <c r="S394" s="168">
        <f>Gegenstände!T394</f>
        <v>0</v>
      </c>
      <c r="T394" s="783">
        <f>Gegenstände!AC394</f>
        <v>0</v>
      </c>
      <c r="U394" s="783">
        <f>Gegenstände!AE394</f>
        <v>0</v>
      </c>
      <c r="V394" s="783">
        <f>Gegenstände!AD394</f>
        <v>0</v>
      </c>
      <c r="W394" s="783">
        <f>Gegenstände!AF394</f>
        <v>0</v>
      </c>
      <c r="AB394" s="3">
        <f>Gegenstände!M394</f>
        <v>0</v>
      </c>
      <c r="AC394" s="3">
        <f>Gegenstände!AB394</f>
        <v>0</v>
      </c>
      <c r="AD394" s="3">
        <f>Gegenstände!F394</f>
        <v>0</v>
      </c>
    </row>
    <row r="395" spans="1:30" x14ac:dyDescent="0.2">
      <c r="A395" s="3">
        <f>Gegenstände!A395</f>
        <v>2205</v>
      </c>
      <c r="B395" s="3" t="str">
        <f>Gegenstände!B395</f>
        <v>Pyrit-Schuhe</v>
      </c>
      <c r="D395" s="3">
        <f>Gegenstände!K395</f>
        <v>900</v>
      </c>
      <c r="E395" s="3">
        <f>Gegenstände!I395</f>
        <v>15</v>
      </c>
      <c r="F395" s="3">
        <f>VLOOKUP(Gegenstände!E395,Berechnungen!$E$87:$F$115,2,FALSE)</f>
        <v>21</v>
      </c>
      <c r="G395" s="3">
        <f>Gegenstände!H395</f>
        <v>2</v>
      </c>
      <c r="H395" s="3">
        <f>Gegenstände!G395</f>
        <v>8</v>
      </c>
      <c r="I395" s="3">
        <f>Gegenstände!D395</f>
        <v>5</v>
      </c>
      <c r="J395" s="168">
        <f>ROUND(Gegenstände!N395,0)</f>
        <v>1800</v>
      </c>
      <c r="K395" s="3">
        <f>Gegenstände!J395</f>
        <v>100</v>
      </c>
      <c r="L395" s="3">
        <f>Gegenstände!L395</f>
        <v>0</v>
      </c>
      <c r="M395" s="3">
        <f>Gegenstände!Z395</f>
        <v>0</v>
      </c>
      <c r="N395" s="783">
        <f>(Gegenstände!Y395*10)</f>
        <v>0</v>
      </c>
      <c r="O395" s="783">
        <f>(Gegenstände!W395*10)</f>
        <v>6</v>
      </c>
      <c r="P395" s="783">
        <f>Gegenstände!AA395*10</f>
        <v>0</v>
      </c>
      <c r="Q395" s="783">
        <f>Gegenstände!O395</f>
        <v>0</v>
      </c>
      <c r="R395" s="168">
        <f>Gegenstände!S395</f>
        <v>0</v>
      </c>
      <c r="S395" s="168">
        <f>Gegenstände!T395</f>
        <v>0</v>
      </c>
      <c r="T395" s="783">
        <f>Gegenstände!AC395</f>
        <v>0</v>
      </c>
      <c r="U395" s="783">
        <f>Gegenstände!AE395</f>
        <v>0</v>
      </c>
      <c r="V395" s="783">
        <f>Gegenstände!AD395</f>
        <v>0</v>
      </c>
      <c r="W395" s="783">
        <f>Gegenstände!AF395</f>
        <v>0</v>
      </c>
      <c r="AB395" s="3">
        <f>Gegenstände!M395</f>
        <v>0</v>
      </c>
      <c r="AC395" s="3">
        <f>Gegenstände!AB395</f>
        <v>0</v>
      </c>
      <c r="AD395" s="3">
        <f>Gegenstände!F395</f>
        <v>0</v>
      </c>
    </row>
    <row r="396" spans="1:30" x14ac:dyDescent="0.2">
      <c r="A396" s="3">
        <f>Gegenstände!A396</f>
        <v>2211</v>
      </c>
      <c r="B396" s="3" t="str">
        <f>Gegenstände!B396</f>
        <v>Jaspis-Haube</v>
      </c>
      <c r="D396" s="3">
        <f>Gegenstände!K396</f>
        <v>1200</v>
      </c>
      <c r="E396" s="3">
        <f>Gegenstände!I396</f>
        <v>11</v>
      </c>
      <c r="F396" s="3">
        <f>VLOOKUP(Gegenstände!E396,Berechnungen!$E$87:$F$115,2,FALSE)</f>
        <v>21</v>
      </c>
      <c r="G396" s="3">
        <f>Gegenstände!H396</f>
        <v>2</v>
      </c>
      <c r="H396" s="3">
        <f>Gegenstände!G396</f>
        <v>8</v>
      </c>
      <c r="I396" s="3">
        <f>Gegenstände!D396</f>
        <v>9</v>
      </c>
      <c r="J396" s="168">
        <f>ROUND(Gegenstände!N396,0)</f>
        <v>4100</v>
      </c>
      <c r="K396" s="3">
        <f>Gegenstände!J396</f>
        <v>100</v>
      </c>
      <c r="L396" s="3">
        <f>Gegenstände!L396</f>
        <v>0</v>
      </c>
      <c r="M396" s="3">
        <f>Gegenstände!Z396</f>
        <v>0</v>
      </c>
      <c r="N396" s="783">
        <f>(Gegenstände!Y396*10)</f>
        <v>0</v>
      </c>
      <c r="O396" s="783">
        <f>(Gegenstände!W396*10)</f>
        <v>12</v>
      </c>
      <c r="P396" s="783">
        <f>Gegenstände!AA396*10</f>
        <v>0</v>
      </c>
      <c r="Q396" s="783">
        <f>Gegenstände!O396</f>
        <v>0</v>
      </c>
      <c r="R396" s="168">
        <f>Gegenstände!S396</f>
        <v>0</v>
      </c>
      <c r="S396" s="168">
        <f>Gegenstände!T396</f>
        <v>0</v>
      </c>
      <c r="T396" s="783">
        <f>Gegenstände!AC396</f>
        <v>0</v>
      </c>
      <c r="U396" s="783">
        <f>Gegenstände!AE396</f>
        <v>0</v>
      </c>
      <c r="V396" s="783">
        <f>Gegenstände!AD396</f>
        <v>0</v>
      </c>
      <c r="W396" s="783">
        <f>Gegenstände!AF396</f>
        <v>0</v>
      </c>
      <c r="AB396" s="3">
        <f>Gegenstände!M396</f>
        <v>0</v>
      </c>
      <c r="AC396" s="3">
        <f>Gegenstände!AB396</f>
        <v>0</v>
      </c>
      <c r="AD396" s="3">
        <f>Gegenstände!F396</f>
        <v>0</v>
      </c>
    </row>
    <row r="397" spans="1:30" x14ac:dyDescent="0.2">
      <c r="A397" s="3">
        <f>Gegenstände!A397</f>
        <v>2212</v>
      </c>
      <c r="B397" s="3" t="str">
        <f>Gegenstände!B397</f>
        <v>Jaspis-Robe</v>
      </c>
      <c r="D397" s="3">
        <f>Gegenstände!K397</f>
        <v>1800</v>
      </c>
      <c r="E397" s="3">
        <f>Gegenstände!I397</f>
        <v>12</v>
      </c>
      <c r="F397" s="3">
        <f>VLOOKUP(Gegenstände!E397,Berechnungen!$E$87:$F$115,2,FALSE)</f>
        <v>21</v>
      </c>
      <c r="G397" s="3">
        <f>Gegenstände!H397</f>
        <v>2</v>
      </c>
      <c r="H397" s="3">
        <f>Gegenstände!G397</f>
        <v>8</v>
      </c>
      <c r="I397" s="3">
        <f>Gegenstände!D397</f>
        <v>9</v>
      </c>
      <c r="J397" s="168">
        <f>ROUND(Gegenstände!N397,0)</f>
        <v>5600</v>
      </c>
      <c r="K397" s="3">
        <f>Gegenstände!J397</f>
        <v>100</v>
      </c>
      <c r="L397" s="3">
        <f>Gegenstände!L397</f>
        <v>0</v>
      </c>
      <c r="M397" s="3">
        <f>Gegenstände!Z397</f>
        <v>0</v>
      </c>
      <c r="N397" s="783">
        <f>(Gegenstände!Y397*10)</f>
        <v>0</v>
      </c>
      <c r="O397" s="783">
        <f>(Gegenstände!W397*10)</f>
        <v>18</v>
      </c>
      <c r="P397" s="783">
        <f>Gegenstände!AA397*10</f>
        <v>0</v>
      </c>
      <c r="Q397" s="783">
        <f>Gegenstände!O397</f>
        <v>0</v>
      </c>
      <c r="R397" s="168">
        <f>Gegenstände!S397</f>
        <v>0</v>
      </c>
      <c r="S397" s="168">
        <f>Gegenstände!T397</f>
        <v>0</v>
      </c>
      <c r="T397" s="783">
        <f>Gegenstände!AC397</f>
        <v>0</v>
      </c>
      <c r="U397" s="783">
        <f>Gegenstände!AE397</f>
        <v>0</v>
      </c>
      <c r="V397" s="783">
        <f>Gegenstände!AD397</f>
        <v>0</v>
      </c>
      <c r="W397" s="783">
        <f>Gegenstände!AF397</f>
        <v>0</v>
      </c>
      <c r="AB397" s="3">
        <f>Gegenstände!M397</f>
        <v>0</v>
      </c>
      <c r="AC397" s="3">
        <f>Gegenstände!AB397</f>
        <v>0</v>
      </c>
      <c r="AD397" s="3">
        <f>Gegenstände!F397</f>
        <v>0</v>
      </c>
    </row>
    <row r="398" spans="1:30" x14ac:dyDescent="0.2">
      <c r="A398" s="3">
        <f>Gegenstände!A398</f>
        <v>2213</v>
      </c>
      <c r="B398" s="3" t="str">
        <f>Gegenstände!B398</f>
        <v>Jaspis-Handschuhe</v>
      </c>
      <c r="D398" s="3">
        <f>Gegenstände!K398</f>
        <v>900</v>
      </c>
      <c r="E398" s="3">
        <f>Gegenstände!I398</f>
        <v>13</v>
      </c>
      <c r="F398" s="3">
        <f>VLOOKUP(Gegenstände!E398,Berechnungen!$E$87:$F$115,2,FALSE)</f>
        <v>21</v>
      </c>
      <c r="G398" s="3">
        <f>Gegenstände!H398</f>
        <v>2</v>
      </c>
      <c r="H398" s="3">
        <f>Gegenstände!G398</f>
        <v>8</v>
      </c>
      <c r="I398" s="3">
        <f>Gegenstände!D398</f>
        <v>10</v>
      </c>
      <c r="J398" s="168">
        <f>ROUND(Gegenstände!N398,0)</f>
        <v>3600</v>
      </c>
      <c r="K398" s="3">
        <f>Gegenstände!J398</f>
        <v>100</v>
      </c>
      <c r="L398" s="3">
        <f>Gegenstände!L398</f>
        <v>0</v>
      </c>
      <c r="M398" s="3">
        <f>Gegenstände!Z398</f>
        <v>0</v>
      </c>
      <c r="N398" s="783">
        <f>(Gegenstände!Y398*10)</f>
        <v>0</v>
      </c>
      <c r="O398" s="783">
        <f>(Gegenstände!W398*10)</f>
        <v>9</v>
      </c>
      <c r="P398" s="783">
        <f>Gegenstände!AA398*10</f>
        <v>0</v>
      </c>
      <c r="Q398" s="783">
        <f>Gegenstände!O398</f>
        <v>0</v>
      </c>
      <c r="R398" s="168">
        <f>Gegenstände!S398</f>
        <v>0</v>
      </c>
      <c r="S398" s="168">
        <f>Gegenstände!T398</f>
        <v>0</v>
      </c>
      <c r="T398" s="783">
        <f>Gegenstände!AC398</f>
        <v>0</v>
      </c>
      <c r="U398" s="783">
        <f>Gegenstände!AE398</f>
        <v>0</v>
      </c>
      <c r="V398" s="783">
        <f>Gegenstände!AD398</f>
        <v>0</v>
      </c>
      <c r="W398" s="783">
        <f>Gegenstände!AF398</f>
        <v>0</v>
      </c>
      <c r="AB398" s="3">
        <f>Gegenstände!M398</f>
        <v>0</v>
      </c>
      <c r="AC398" s="3">
        <f>Gegenstände!AB398</f>
        <v>0</v>
      </c>
      <c r="AD398" s="3">
        <f>Gegenstände!F398</f>
        <v>0</v>
      </c>
    </row>
    <row r="399" spans="1:30" x14ac:dyDescent="0.2">
      <c r="A399" s="3">
        <f>Gegenstände!A399</f>
        <v>2214</v>
      </c>
      <c r="B399" s="3" t="str">
        <f>Gegenstände!B399</f>
        <v>Jaspis-Hose</v>
      </c>
      <c r="D399" s="3">
        <f>Gegenstände!K399</f>
        <v>1200</v>
      </c>
      <c r="E399" s="3">
        <f>Gegenstände!I399</f>
        <v>14</v>
      </c>
      <c r="F399" s="3">
        <f>VLOOKUP(Gegenstände!E399,Berechnungen!$E$87:$F$115,2,FALSE)</f>
        <v>21</v>
      </c>
      <c r="G399" s="3">
        <f>Gegenstände!H399</f>
        <v>2</v>
      </c>
      <c r="H399" s="3">
        <f>Gegenstände!G399</f>
        <v>8</v>
      </c>
      <c r="I399" s="3">
        <f>Gegenstände!D399</f>
        <v>10</v>
      </c>
      <c r="J399" s="168">
        <f>ROUND(Gegenstände!N399,0)</f>
        <v>4500</v>
      </c>
      <c r="K399" s="3">
        <f>Gegenstände!J399</f>
        <v>100</v>
      </c>
      <c r="L399" s="3">
        <f>Gegenstände!L399</f>
        <v>0</v>
      </c>
      <c r="M399" s="3">
        <f>Gegenstände!Z399</f>
        <v>0</v>
      </c>
      <c r="N399" s="783">
        <f>(Gegenstände!Y399*10)</f>
        <v>0</v>
      </c>
      <c r="O399" s="783">
        <f>(Gegenstände!W399*10)</f>
        <v>12</v>
      </c>
      <c r="P399" s="783">
        <f>Gegenstände!AA399*10</f>
        <v>0</v>
      </c>
      <c r="Q399" s="783">
        <f>Gegenstände!O399</f>
        <v>0</v>
      </c>
      <c r="R399" s="168">
        <f>Gegenstände!S399</f>
        <v>0</v>
      </c>
      <c r="S399" s="168">
        <f>Gegenstände!T399</f>
        <v>0</v>
      </c>
      <c r="T399" s="783">
        <f>Gegenstände!AC399</f>
        <v>0</v>
      </c>
      <c r="U399" s="783">
        <f>Gegenstände!AE399</f>
        <v>0</v>
      </c>
      <c r="V399" s="783">
        <f>Gegenstände!AD399</f>
        <v>0</v>
      </c>
      <c r="W399" s="783">
        <f>Gegenstände!AF399</f>
        <v>0</v>
      </c>
      <c r="AB399" s="3">
        <f>Gegenstände!M399</f>
        <v>0</v>
      </c>
      <c r="AC399" s="3">
        <f>Gegenstände!AB399</f>
        <v>0</v>
      </c>
      <c r="AD399" s="3">
        <f>Gegenstände!F399</f>
        <v>0</v>
      </c>
    </row>
    <row r="400" spans="1:30" x14ac:dyDescent="0.2">
      <c r="A400" s="3">
        <f>Gegenstände!A400</f>
        <v>2215</v>
      </c>
      <c r="B400" s="3" t="str">
        <f>Gegenstände!B400</f>
        <v>Jaspis-Schuhe</v>
      </c>
      <c r="D400" s="3">
        <f>Gegenstände!K400</f>
        <v>900</v>
      </c>
      <c r="E400" s="3">
        <f>Gegenstände!I400</f>
        <v>15</v>
      </c>
      <c r="F400" s="3">
        <f>VLOOKUP(Gegenstände!E400,Berechnungen!$E$87:$F$115,2,FALSE)</f>
        <v>21</v>
      </c>
      <c r="G400" s="3">
        <f>Gegenstände!H400</f>
        <v>2</v>
      </c>
      <c r="H400" s="3">
        <f>Gegenstände!G400</f>
        <v>8</v>
      </c>
      <c r="I400" s="3">
        <f>Gegenstände!D400</f>
        <v>10</v>
      </c>
      <c r="J400" s="168">
        <f>ROUND(Gegenstände!N400,0)</f>
        <v>3600</v>
      </c>
      <c r="K400" s="3">
        <f>Gegenstände!J400</f>
        <v>100</v>
      </c>
      <c r="L400" s="3">
        <f>Gegenstände!L400</f>
        <v>0</v>
      </c>
      <c r="M400" s="3">
        <f>Gegenstände!Z400</f>
        <v>0</v>
      </c>
      <c r="N400" s="783">
        <f>(Gegenstände!Y400*10)</f>
        <v>0</v>
      </c>
      <c r="O400" s="783">
        <f>(Gegenstände!W400*10)</f>
        <v>9</v>
      </c>
      <c r="P400" s="783">
        <f>Gegenstände!AA400*10</f>
        <v>0</v>
      </c>
      <c r="Q400" s="783">
        <f>Gegenstände!O400</f>
        <v>0</v>
      </c>
      <c r="R400" s="168">
        <f>Gegenstände!S400</f>
        <v>0</v>
      </c>
      <c r="S400" s="168">
        <f>Gegenstände!T400</f>
        <v>0</v>
      </c>
      <c r="T400" s="783">
        <f>Gegenstände!AC400</f>
        <v>0</v>
      </c>
      <c r="U400" s="783">
        <f>Gegenstände!AE400</f>
        <v>0</v>
      </c>
      <c r="V400" s="783">
        <f>Gegenstände!AD400</f>
        <v>0</v>
      </c>
      <c r="W400" s="783">
        <f>Gegenstände!AF400</f>
        <v>0</v>
      </c>
      <c r="AB400" s="3">
        <f>Gegenstände!M400</f>
        <v>0</v>
      </c>
      <c r="AC400" s="3">
        <f>Gegenstände!AB400</f>
        <v>0</v>
      </c>
      <c r="AD400" s="3">
        <f>Gegenstände!F400</f>
        <v>0</v>
      </c>
    </row>
    <row r="401" spans="1:30" x14ac:dyDescent="0.2">
      <c r="A401" s="3">
        <f>Gegenstände!A401</f>
        <v>2221</v>
      </c>
      <c r="B401" s="3" t="str">
        <f>Gegenstände!B401</f>
        <v>Perlmutt-Haube</v>
      </c>
      <c r="D401" s="3">
        <f>Gegenstände!K401</f>
        <v>1200</v>
      </c>
      <c r="E401" s="3">
        <f>Gegenstände!I401</f>
        <v>11</v>
      </c>
      <c r="F401" s="3">
        <f>VLOOKUP(Gegenstände!E401,Berechnungen!$E$87:$F$115,2,FALSE)</f>
        <v>21</v>
      </c>
      <c r="G401" s="3">
        <f>Gegenstände!H401</f>
        <v>2</v>
      </c>
      <c r="H401" s="3">
        <f>Gegenstände!G401</f>
        <v>8</v>
      </c>
      <c r="I401" s="3">
        <f>Gegenstände!D401</f>
        <v>14</v>
      </c>
      <c r="J401" s="168">
        <f>ROUND(Gegenstände!N401,0)</f>
        <v>8200</v>
      </c>
      <c r="K401" s="3">
        <f>Gegenstände!J401</f>
        <v>100</v>
      </c>
      <c r="L401" s="3">
        <f>Gegenstände!L401</f>
        <v>0</v>
      </c>
      <c r="M401" s="3">
        <f>Gegenstände!Z401</f>
        <v>0</v>
      </c>
      <c r="N401" s="783">
        <f>(Gegenstände!Y401*10)</f>
        <v>0</v>
      </c>
      <c r="O401" s="783">
        <f>(Gegenstände!W401*10)</f>
        <v>16</v>
      </c>
      <c r="P401" s="783">
        <f>Gegenstände!AA401*10</f>
        <v>0</v>
      </c>
      <c r="Q401" s="783">
        <f>Gegenstände!O401</f>
        <v>0</v>
      </c>
      <c r="R401" s="168">
        <f>Gegenstände!S401</f>
        <v>0</v>
      </c>
      <c r="S401" s="168">
        <f>Gegenstände!T401</f>
        <v>0</v>
      </c>
      <c r="T401" s="783">
        <f>Gegenstände!AC401</f>
        <v>0</v>
      </c>
      <c r="U401" s="783">
        <f>Gegenstände!AE401</f>
        <v>0</v>
      </c>
      <c r="V401" s="783">
        <f>Gegenstände!AD401</f>
        <v>0</v>
      </c>
      <c r="W401" s="783">
        <f>Gegenstände!AF401</f>
        <v>0</v>
      </c>
      <c r="AB401" s="3">
        <f>Gegenstände!M401</f>
        <v>0</v>
      </c>
      <c r="AC401" s="3">
        <f>Gegenstände!AB401</f>
        <v>0</v>
      </c>
      <c r="AD401" s="3">
        <f>Gegenstände!F401</f>
        <v>0</v>
      </c>
    </row>
    <row r="402" spans="1:30" x14ac:dyDescent="0.2">
      <c r="A402" s="3">
        <f>Gegenstände!A402</f>
        <v>2222</v>
      </c>
      <c r="B402" s="3" t="str">
        <f>Gegenstände!B402</f>
        <v>Perlmutt-Robe</v>
      </c>
      <c r="D402" s="3">
        <f>Gegenstände!K402</f>
        <v>1800</v>
      </c>
      <c r="E402" s="3">
        <f>Gegenstände!I402</f>
        <v>12</v>
      </c>
      <c r="F402" s="3">
        <f>VLOOKUP(Gegenstände!E402,Berechnungen!$E$87:$F$115,2,FALSE)</f>
        <v>21</v>
      </c>
      <c r="G402" s="3">
        <f>Gegenstände!H402</f>
        <v>2</v>
      </c>
      <c r="H402" s="3">
        <f>Gegenstände!G402</f>
        <v>8</v>
      </c>
      <c r="I402" s="3">
        <f>Gegenstände!D402</f>
        <v>14</v>
      </c>
      <c r="J402" s="168">
        <f>ROUND(Gegenstände!N402,0)</f>
        <v>11200</v>
      </c>
      <c r="K402" s="3">
        <f>Gegenstände!J402</f>
        <v>100</v>
      </c>
      <c r="L402" s="3">
        <f>Gegenstände!L402</f>
        <v>0</v>
      </c>
      <c r="M402" s="3">
        <f>Gegenstände!Z402</f>
        <v>0</v>
      </c>
      <c r="N402" s="783">
        <f>(Gegenstände!Y402*10)</f>
        <v>0</v>
      </c>
      <c r="O402" s="783">
        <f>(Gegenstände!W402*10)</f>
        <v>24</v>
      </c>
      <c r="P402" s="783">
        <f>Gegenstände!AA402*10</f>
        <v>0</v>
      </c>
      <c r="Q402" s="783">
        <f>Gegenstände!O402</f>
        <v>0</v>
      </c>
      <c r="R402" s="168">
        <f>Gegenstände!S402</f>
        <v>0</v>
      </c>
      <c r="S402" s="168">
        <f>Gegenstände!T402</f>
        <v>0</v>
      </c>
      <c r="T402" s="783">
        <f>Gegenstände!AC402</f>
        <v>0</v>
      </c>
      <c r="U402" s="783">
        <f>Gegenstände!AE402</f>
        <v>0</v>
      </c>
      <c r="V402" s="783">
        <f>Gegenstände!AD402</f>
        <v>0</v>
      </c>
      <c r="W402" s="783">
        <f>Gegenstände!AF402</f>
        <v>0</v>
      </c>
      <c r="AB402" s="3">
        <f>Gegenstände!M402</f>
        <v>0</v>
      </c>
      <c r="AC402" s="3">
        <f>Gegenstände!AB402</f>
        <v>0</v>
      </c>
      <c r="AD402" s="3">
        <f>Gegenstände!F402</f>
        <v>0</v>
      </c>
    </row>
    <row r="403" spans="1:30" x14ac:dyDescent="0.2">
      <c r="A403" s="3">
        <f>Gegenstände!A403</f>
        <v>2223</v>
      </c>
      <c r="B403" s="3" t="str">
        <f>Gegenstände!B403</f>
        <v>Perlmutt-Handschuhe</v>
      </c>
      <c r="D403" s="3">
        <f>Gegenstände!K403</f>
        <v>900</v>
      </c>
      <c r="E403" s="3">
        <f>Gegenstände!I403</f>
        <v>13</v>
      </c>
      <c r="F403" s="3">
        <f>VLOOKUP(Gegenstände!E403,Berechnungen!$E$87:$F$115,2,FALSE)</f>
        <v>21</v>
      </c>
      <c r="G403" s="3">
        <f>Gegenstände!H403</f>
        <v>2</v>
      </c>
      <c r="H403" s="3">
        <f>Gegenstände!G403</f>
        <v>8</v>
      </c>
      <c r="I403" s="3">
        <f>Gegenstände!D403</f>
        <v>15</v>
      </c>
      <c r="J403" s="168">
        <f>ROUND(Gegenstände!N403,0)</f>
        <v>7300</v>
      </c>
      <c r="K403" s="3">
        <f>Gegenstände!J403</f>
        <v>100</v>
      </c>
      <c r="L403" s="3">
        <f>Gegenstände!L403</f>
        <v>0</v>
      </c>
      <c r="M403" s="3">
        <f>Gegenstände!Z403</f>
        <v>0</v>
      </c>
      <c r="N403" s="783">
        <f>(Gegenstände!Y403*10)</f>
        <v>0</v>
      </c>
      <c r="O403" s="783">
        <f>(Gegenstände!W403*10)</f>
        <v>12</v>
      </c>
      <c r="P403" s="783">
        <f>Gegenstände!AA403*10</f>
        <v>0</v>
      </c>
      <c r="Q403" s="783">
        <f>Gegenstände!O403</f>
        <v>0</v>
      </c>
      <c r="R403" s="168">
        <f>Gegenstände!S403</f>
        <v>0</v>
      </c>
      <c r="S403" s="168">
        <f>Gegenstände!T403</f>
        <v>0</v>
      </c>
      <c r="T403" s="783">
        <f>Gegenstände!AC403</f>
        <v>0</v>
      </c>
      <c r="U403" s="783">
        <f>Gegenstände!AE403</f>
        <v>0</v>
      </c>
      <c r="V403" s="783">
        <f>Gegenstände!AD403</f>
        <v>0</v>
      </c>
      <c r="W403" s="783">
        <f>Gegenstände!AF403</f>
        <v>0</v>
      </c>
      <c r="AB403" s="3">
        <f>Gegenstände!M403</f>
        <v>0</v>
      </c>
      <c r="AC403" s="3">
        <f>Gegenstände!AB403</f>
        <v>0</v>
      </c>
      <c r="AD403" s="3">
        <f>Gegenstände!F403</f>
        <v>0</v>
      </c>
    </row>
    <row r="404" spans="1:30" x14ac:dyDescent="0.2">
      <c r="A404" s="3">
        <f>Gegenstände!A404</f>
        <v>2224</v>
      </c>
      <c r="B404" s="3" t="str">
        <f>Gegenstände!B404</f>
        <v>Perlmutt-Hose</v>
      </c>
      <c r="D404" s="3">
        <f>Gegenstände!K404</f>
        <v>1200</v>
      </c>
      <c r="E404" s="3">
        <f>Gegenstände!I404</f>
        <v>14</v>
      </c>
      <c r="F404" s="3">
        <f>VLOOKUP(Gegenstände!E404,Berechnungen!$E$87:$F$115,2,FALSE)</f>
        <v>21</v>
      </c>
      <c r="G404" s="3">
        <f>Gegenstände!H404</f>
        <v>2</v>
      </c>
      <c r="H404" s="3">
        <f>Gegenstände!G404</f>
        <v>8</v>
      </c>
      <c r="I404" s="3">
        <f>Gegenstände!D404</f>
        <v>15</v>
      </c>
      <c r="J404" s="168">
        <f>ROUND(Gegenstände!N404,0)</f>
        <v>9100</v>
      </c>
      <c r="K404" s="3">
        <f>Gegenstände!J404</f>
        <v>100</v>
      </c>
      <c r="L404" s="3">
        <f>Gegenstände!L404</f>
        <v>0</v>
      </c>
      <c r="M404" s="3">
        <f>Gegenstände!Z404</f>
        <v>0</v>
      </c>
      <c r="N404" s="783">
        <f>(Gegenstände!Y404*10)</f>
        <v>0</v>
      </c>
      <c r="O404" s="783">
        <f>(Gegenstände!W404*10)</f>
        <v>16</v>
      </c>
      <c r="P404" s="783">
        <f>Gegenstände!AA404*10</f>
        <v>0</v>
      </c>
      <c r="Q404" s="783">
        <f>Gegenstände!O404</f>
        <v>0</v>
      </c>
      <c r="R404" s="168">
        <f>Gegenstände!S404</f>
        <v>0</v>
      </c>
      <c r="S404" s="168">
        <f>Gegenstände!T404</f>
        <v>0</v>
      </c>
      <c r="T404" s="783">
        <f>Gegenstände!AC404</f>
        <v>0</v>
      </c>
      <c r="U404" s="783">
        <f>Gegenstände!AE404</f>
        <v>0</v>
      </c>
      <c r="V404" s="783">
        <f>Gegenstände!AD404</f>
        <v>0</v>
      </c>
      <c r="W404" s="783">
        <f>Gegenstände!AF404</f>
        <v>0</v>
      </c>
      <c r="AB404" s="3">
        <f>Gegenstände!M404</f>
        <v>0</v>
      </c>
      <c r="AC404" s="3">
        <f>Gegenstände!AB404</f>
        <v>0</v>
      </c>
      <c r="AD404" s="3">
        <f>Gegenstände!F404</f>
        <v>0</v>
      </c>
    </row>
    <row r="405" spans="1:30" x14ac:dyDescent="0.2">
      <c r="A405" s="3">
        <f>Gegenstände!A405</f>
        <v>2225</v>
      </c>
      <c r="B405" s="3" t="str">
        <f>Gegenstände!B405</f>
        <v>Perlmutt-Schuhe</v>
      </c>
      <c r="D405" s="3">
        <f>Gegenstände!K405</f>
        <v>900</v>
      </c>
      <c r="E405" s="3">
        <f>Gegenstände!I405</f>
        <v>15</v>
      </c>
      <c r="F405" s="3">
        <f>VLOOKUP(Gegenstände!E405,Berechnungen!$E$87:$F$115,2,FALSE)</f>
        <v>21</v>
      </c>
      <c r="G405" s="3">
        <f>Gegenstände!H405</f>
        <v>2</v>
      </c>
      <c r="H405" s="3">
        <f>Gegenstände!G405</f>
        <v>8</v>
      </c>
      <c r="I405" s="3">
        <f>Gegenstände!D405</f>
        <v>15</v>
      </c>
      <c r="J405" s="168">
        <f>ROUND(Gegenstände!N405,0)</f>
        <v>7300</v>
      </c>
      <c r="K405" s="3">
        <f>Gegenstände!J405</f>
        <v>100</v>
      </c>
      <c r="L405" s="3">
        <f>Gegenstände!L405</f>
        <v>0</v>
      </c>
      <c r="M405" s="3">
        <f>Gegenstände!Z405</f>
        <v>0</v>
      </c>
      <c r="N405" s="783">
        <f>(Gegenstände!Y405*10)</f>
        <v>0</v>
      </c>
      <c r="O405" s="783">
        <f>(Gegenstände!W405*10)</f>
        <v>12</v>
      </c>
      <c r="P405" s="783">
        <f>Gegenstände!AA405*10</f>
        <v>0</v>
      </c>
      <c r="Q405" s="783">
        <f>Gegenstände!O405</f>
        <v>0</v>
      </c>
      <c r="R405" s="168">
        <f>Gegenstände!S405</f>
        <v>0</v>
      </c>
      <c r="S405" s="168">
        <f>Gegenstände!T405</f>
        <v>0</v>
      </c>
      <c r="T405" s="783">
        <f>Gegenstände!AC405</f>
        <v>0</v>
      </c>
      <c r="U405" s="783">
        <f>Gegenstände!AE405</f>
        <v>0</v>
      </c>
      <c r="V405" s="783">
        <f>Gegenstände!AD405</f>
        <v>0</v>
      </c>
      <c r="W405" s="783">
        <f>Gegenstände!AF405</f>
        <v>0</v>
      </c>
      <c r="AB405" s="3">
        <f>Gegenstände!M405</f>
        <v>0</v>
      </c>
      <c r="AC405" s="3">
        <f>Gegenstände!AB405</f>
        <v>0</v>
      </c>
      <c r="AD405" s="3">
        <f>Gegenstände!F405</f>
        <v>0</v>
      </c>
    </row>
    <row r="406" spans="1:30" x14ac:dyDescent="0.2">
      <c r="A406" s="3">
        <f>Gegenstände!A406</f>
        <v>2231</v>
      </c>
      <c r="B406" s="3" t="str">
        <f>Gegenstände!B406</f>
        <v>Jade-Haube</v>
      </c>
      <c r="D406" s="3">
        <f>Gegenstände!K406</f>
        <v>1200</v>
      </c>
      <c r="E406" s="3">
        <f>Gegenstände!I406</f>
        <v>11</v>
      </c>
      <c r="F406" s="3">
        <f>VLOOKUP(Gegenstände!E406,Berechnungen!$E$87:$F$115,2,FALSE)</f>
        <v>21</v>
      </c>
      <c r="G406" s="3">
        <f>Gegenstände!H406</f>
        <v>2</v>
      </c>
      <c r="H406" s="3">
        <f>Gegenstände!G406</f>
        <v>8</v>
      </c>
      <c r="I406" s="3">
        <f>Gegenstände!D406</f>
        <v>19</v>
      </c>
      <c r="J406" s="168">
        <f>ROUND(Gegenstände!N406,0)</f>
        <v>15900</v>
      </c>
      <c r="K406" s="3">
        <f>Gegenstände!J406</f>
        <v>100</v>
      </c>
      <c r="L406" s="3">
        <f>Gegenstände!L406</f>
        <v>0</v>
      </c>
      <c r="M406" s="3">
        <f>Gegenstände!Z406</f>
        <v>0</v>
      </c>
      <c r="N406" s="783">
        <f>(Gegenstände!Y406*10)</f>
        <v>0</v>
      </c>
      <c r="O406" s="783">
        <f>(Gegenstände!W406*10)</f>
        <v>22</v>
      </c>
      <c r="P406" s="783">
        <f>Gegenstände!AA406*10</f>
        <v>0</v>
      </c>
      <c r="Q406" s="783">
        <f>Gegenstände!O406</f>
        <v>0</v>
      </c>
      <c r="R406" s="168">
        <f>Gegenstände!S406</f>
        <v>0</v>
      </c>
      <c r="S406" s="168">
        <f>Gegenstände!T406</f>
        <v>0</v>
      </c>
      <c r="T406" s="783">
        <f>Gegenstände!AC406</f>
        <v>0</v>
      </c>
      <c r="U406" s="783">
        <f>Gegenstände!AE406</f>
        <v>0</v>
      </c>
      <c r="V406" s="783">
        <f>Gegenstände!AD406</f>
        <v>0</v>
      </c>
      <c r="W406" s="783">
        <f>Gegenstände!AF406</f>
        <v>0</v>
      </c>
      <c r="AB406" s="3">
        <f>Gegenstände!M406</f>
        <v>0</v>
      </c>
      <c r="AC406" s="3">
        <f>Gegenstände!AB406</f>
        <v>0</v>
      </c>
      <c r="AD406" s="3">
        <f>Gegenstände!F406</f>
        <v>0</v>
      </c>
    </row>
    <row r="407" spans="1:30" x14ac:dyDescent="0.2">
      <c r="A407" s="3">
        <f>Gegenstände!A407</f>
        <v>2232</v>
      </c>
      <c r="B407" s="3" t="str">
        <f>Gegenstände!B407</f>
        <v>Jade-Robe</v>
      </c>
      <c r="D407" s="3">
        <f>Gegenstände!K407</f>
        <v>1800</v>
      </c>
      <c r="E407" s="3">
        <f>Gegenstände!I407</f>
        <v>12</v>
      </c>
      <c r="F407" s="3">
        <f>VLOOKUP(Gegenstände!E407,Berechnungen!$E$87:$F$115,2,FALSE)</f>
        <v>21</v>
      </c>
      <c r="G407" s="3">
        <f>Gegenstände!H407</f>
        <v>2</v>
      </c>
      <c r="H407" s="3">
        <f>Gegenstände!G407</f>
        <v>8</v>
      </c>
      <c r="I407" s="3">
        <f>Gegenstände!D407</f>
        <v>19</v>
      </c>
      <c r="J407" s="168">
        <f>ROUND(Gegenstände!N407,0)</f>
        <v>22100</v>
      </c>
      <c r="K407" s="3">
        <f>Gegenstände!J407</f>
        <v>100</v>
      </c>
      <c r="L407" s="3">
        <f>Gegenstände!L407</f>
        <v>0</v>
      </c>
      <c r="M407" s="3">
        <f>Gegenstände!Z407</f>
        <v>0</v>
      </c>
      <c r="N407" s="783">
        <f>(Gegenstände!Y407*10)</f>
        <v>0</v>
      </c>
      <c r="O407" s="783">
        <f>(Gegenstände!W407*10)</f>
        <v>33</v>
      </c>
      <c r="P407" s="783">
        <f>Gegenstände!AA407*10</f>
        <v>0</v>
      </c>
      <c r="Q407" s="783">
        <f>Gegenstände!O407</f>
        <v>0</v>
      </c>
      <c r="R407" s="168">
        <f>Gegenstände!S407</f>
        <v>0</v>
      </c>
      <c r="S407" s="168">
        <f>Gegenstände!T407</f>
        <v>0</v>
      </c>
      <c r="T407" s="783">
        <f>Gegenstände!AC407</f>
        <v>0</v>
      </c>
      <c r="U407" s="783">
        <f>Gegenstände!AE407</f>
        <v>0</v>
      </c>
      <c r="V407" s="783">
        <f>Gegenstände!AD407</f>
        <v>0</v>
      </c>
      <c r="W407" s="783">
        <f>Gegenstände!AF407</f>
        <v>0</v>
      </c>
      <c r="AB407" s="3">
        <f>Gegenstände!M407</f>
        <v>0</v>
      </c>
      <c r="AC407" s="3">
        <f>Gegenstände!AB407</f>
        <v>0</v>
      </c>
      <c r="AD407" s="3">
        <f>Gegenstände!F407</f>
        <v>0</v>
      </c>
    </row>
    <row r="408" spans="1:30" x14ac:dyDescent="0.2">
      <c r="A408" s="3">
        <f>Gegenstände!A408</f>
        <v>2233</v>
      </c>
      <c r="B408" s="3" t="str">
        <f>Gegenstände!B408</f>
        <v>Jade-Handschuhe</v>
      </c>
      <c r="D408" s="3">
        <f>Gegenstände!K408</f>
        <v>900</v>
      </c>
      <c r="E408" s="3">
        <f>Gegenstände!I408</f>
        <v>13</v>
      </c>
      <c r="F408" s="3">
        <f>VLOOKUP(Gegenstände!E408,Berechnungen!$E$87:$F$115,2,FALSE)</f>
        <v>21</v>
      </c>
      <c r="G408" s="3">
        <f>Gegenstände!H408</f>
        <v>2</v>
      </c>
      <c r="H408" s="3">
        <f>Gegenstände!G408</f>
        <v>8</v>
      </c>
      <c r="I408" s="3">
        <f>Gegenstände!D408</f>
        <v>20</v>
      </c>
      <c r="J408" s="168">
        <f>ROUND(Gegenstände!N408,0)</f>
        <v>14200</v>
      </c>
      <c r="K408" s="3">
        <f>Gegenstände!J408</f>
        <v>100</v>
      </c>
      <c r="L408" s="3">
        <f>Gegenstände!L408</f>
        <v>0</v>
      </c>
      <c r="M408" s="3">
        <f>Gegenstände!Z408</f>
        <v>0</v>
      </c>
      <c r="N408" s="783">
        <f>(Gegenstände!Y408*10)</f>
        <v>0</v>
      </c>
      <c r="O408" s="783">
        <f>(Gegenstände!W408*10)</f>
        <v>17</v>
      </c>
      <c r="P408" s="783">
        <f>Gegenstände!AA408*10</f>
        <v>0</v>
      </c>
      <c r="Q408" s="783">
        <f>Gegenstände!O408</f>
        <v>0</v>
      </c>
      <c r="R408" s="168">
        <f>Gegenstände!S408</f>
        <v>0</v>
      </c>
      <c r="S408" s="168">
        <f>Gegenstände!T408</f>
        <v>0</v>
      </c>
      <c r="T408" s="783">
        <f>Gegenstände!AC408</f>
        <v>0</v>
      </c>
      <c r="U408" s="783">
        <f>Gegenstände!AE408</f>
        <v>0</v>
      </c>
      <c r="V408" s="783">
        <f>Gegenstände!AD408</f>
        <v>0</v>
      </c>
      <c r="W408" s="783">
        <f>Gegenstände!AF408</f>
        <v>0</v>
      </c>
      <c r="AB408" s="3">
        <f>Gegenstände!M408</f>
        <v>0</v>
      </c>
      <c r="AC408" s="3">
        <f>Gegenstände!AB408</f>
        <v>0</v>
      </c>
      <c r="AD408" s="3">
        <f>Gegenstände!F408</f>
        <v>0</v>
      </c>
    </row>
    <row r="409" spans="1:30" x14ac:dyDescent="0.2">
      <c r="A409" s="3">
        <f>Gegenstände!A409</f>
        <v>2234</v>
      </c>
      <c r="B409" s="3" t="str">
        <f>Gegenstände!B409</f>
        <v>Jade-Hose</v>
      </c>
      <c r="D409" s="3">
        <f>Gegenstände!K409</f>
        <v>1200</v>
      </c>
      <c r="E409" s="3">
        <f>Gegenstände!I409</f>
        <v>14</v>
      </c>
      <c r="F409" s="3">
        <f>VLOOKUP(Gegenstände!E409,Berechnungen!$E$87:$F$115,2,FALSE)</f>
        <v>21</v>
      </c>
      <c r="G409" s="3">
        <f>Gegenstände!H409</f>
        <v>2</v>
      </c>
      <c r="H409" s="3">
        <f>Gegenstände!G409</f>
        <v>8</v>
      </c>
      <c r="I409" s="3">
        <f>Gegenstände!D409</f>
        <v>20</v>
      </c>
      <c r="J409" s="168">
        <f>ROUND(Gegenstände!N409,0)</f>
        <v>17700</v>
      </c>
      <c r="K409" s="3">
        <f>Gegenstände!J409</f>
        <v>100</v>
      </c>
      <c r="L409" s="3">
        <f>Gegenstände!L409</f>
        <v>0</v>
      </c>
      <c r="M409" s="3">
        <f>Gegenstände!Z409</f>
        <v>0</v>
      </c>
      <c r="N409" s="783">
        <f>(Gegenstände!Y409*10)</f>
        <v>0</v>
      </c>
      <c r="O409" s="783">
        <f>(Gegenstände!W409*10)</f>
        <v>22</v>
      </c>
      <c r="P409" s="783">
        <f>Gegenstände!AA409*10</f>
        <v>0</v>
      </c>
      <c r="Q409" s="783">
        <f>Gegenstände!O409</f>
        <v>0</v>
      </c>
      <c r="R409" s="168">
        <f>Gegenstände!S409</f>
        <v>0</v>
      </c>
      <c r="S409" s="168">
        <f>Gegenstände!T409</f>
        <v>0</v>
      </c>
      <c r="T409" s="783">
        <f>Gegenstände!AC409</f>
        <v>0</v>
      </c>
      <c r="U409" s="783">
        <f>Gegenstände!AE409</f>
        <v>0</v>
      </c>
      <c r="V409" s="783">
        <f>Gegenstände!AD409</f>
        <v>0</v>
      </c>
      <c r="W409" s="783">
        <f>Gegenstände!AF409</f>
        <v>0</v>
      </c>
      <c r="AB409" s="3">
        <f>Gegenstände!M409</f>
        <v>0</v>
      </c>
      <c r="AC409" s="3">
        <f>Gegenstände!AB409</f>
        <v>0</v>
      </c>
      <c r="AD409" s="3">
        <f>Gegenstände!F409</f>
        <v>0</v>
      </c>
    </row>
    <row r="410" spans="1:30" x14ac:dyDescent="0.2">
      <c r="A410" s="3">
        <f>Gegenstände!A410</f>
        <v>2235</v>
      </c>
      <c r="B410" s="3" t="str">
        <f>Gegenstände!B410</f>
        <v>Jade-Schuhe</v>
      </c>
      <c r="D410" s="3">
        <f>Gegenstände!K410</f>
        <v>900</v>
      </c>
      <c r="E410" s="3">
        <f>Gegenstände!I410</f>
        <v>15</v>
      </c>
      <c r="F410" s="3">
        <f>VLOOKUP(Gegenstände!E410,Berechnungen!$E$87:$F$115,2,FALSE)</f>
        <v>21</v>
      </c>
      <c r="G410" s="3">
        <f>Gegenstände!H410</f>
        <v>2</v>
      </c>
      <c r="H410" s="3">
        <f>Gegenstände!G410</f>
        <v>8</v>
      </c>
      <c r="I410" s="3">
        <f>Gegenstände!D410</f>
        <v>20</v>
      </c>
      <c r="J410" s="168">
        <f>ROUND(Gegenstände!N410,0)</f>
        <v>14200</v>
      </c>
      <c r="K410" s="3">
        <f>Gegenstände!J410</f>
        <v>100</v>
      </c>
      <c r="L410" s="3">
        <f>Gegenstände!L410</f>
        <v>0</v>
      </c>
      <c r="M410" s="3">
        <f>Gegenstände!Z410</f>
        <v>0</v>
      </c>
      <c r="N410" s="783">
        <f>(Gegenstände!Y410*10)</f>
        <v>0</v>
      </c>
      <c r="O410" s="783">
        <f>(Gegenstände!W410*10)</f>
        <v>17</v>
      </c>
      <c r="P410" s="783">
        <f>Gegenstände!AA410*10</f>
        <v>0</v>
      </c>
      <c r="Q410" s="783">
        <f>Gegenstände!O410</f>
        <v>0</v>
      </c>
      <c r="R410" s="168">
        <f>Gegenstände!S410</f>
        <v>0</v>
      </c>
      <c r="S410" s="168">
        <f>Gegenstände!T410</f>
        <v>0</v>
      </c>
      <c r="T410" s="783">
        <f>Gegenstände!AC410</f>
        <v>0</v>
      </c>
      <c r="U410" s="783">
        <f>Gegenstände!AE410</f>
        <v>0</v>
      </c>
      <c r="V410" s="783">
        <f>Gegenstände!AD410</f>
        <v>0</v>
      </c>
      <c r="W410" s="783">
        <f>Gegenstände!AF410</f>
        <v>0</v>
      </c>
      <c r="AB410" s="3">
        <f>Gegenstände!M410</f>
        <v>0</v>
      </c>
      <c r="AC410" s="3">
        <f>Gegenstände!AB410</f>
        <v>0</v>
      </c>
      <c r="AD410" s="3">
        <f>Gegenstände!F410</f>
        <v>0</v>
      </c>
    </row>
    <row r="411" spans="1:30" x14ac:dyDescent="0.2">
      <c r="A411" s="3">
        <f>Gegenstände!A411</f>
        <v>2241</v>
      </c>
      <c r="B411" s="3" t="str">
        <f>Gegenstände!B411</f>
        <v>Onyx-Haube</v>
      </c>
      <c r="D411" s="3">
        <f>Gegenstände!K411</f>
        <v>1200</v>
      </c>
      <c r="E411" s="3">
        <f>Gegenstände!I411</f>
        <v>11</v>
      </c>
      <c r="F411" s="3">
        <f>VLOOKUP(Gegenstände!E411,Berechnungen!$E$87:$F$115,2,FALSE)</f>
        <v>21</v>
      </c>
      <c r="G411" s="3">
        <f>Gegenstände!H411</f>
        <v>2</v>
      </c>
      <c r="H411" s="3">
        <f>Gegenstände!G411</f>
        <v>8</v>
      </c>
      <c r="I411" s="3">
        <f>Gegenstände!D411</f>
        <v>24</v>
      </c>
      <c r="J411" s="168">
        <f>ROUND(Gegenstände!N411,0)</f>
        <v>29900</v>
      </c>
      <c r="K411" s="3">
        <f>Gegenstände!J411</f>
        <v>100</v>
      </c>
      <c r="L411" s="3">
        <f>Gegenstände!L411</f>
        <v>0</v>
      </c>
      <c r="M411" s="3">
        <f>Gegenstände!Z411</f>
        <v>0</v>
      </c>
      <c r="N411" s="783">
        <f>(Gegenstände!Y411*10)</f>
        <v>0</v>
      </c>
      <c r="O411" s="783">
        <f>(Gegenstände!W411*10)</f>
        <v>26</v>
      </c>
      <c r="P411" s="783">
        <f>Gegenstände!AA411*10</f>
        <v>0</v>
      </c>
      <c r="Q411" s="783">
        <f>Gegenstände!O411</f>
        <v>0</v>
      </c>
      <c r="R411" s="168">
        <f>Gegenstände!S411</f>
        <v>0</v>
      </c>
      <c r="S411" s="168">
        <f>Gegenstände!T411</f>
        <v>0</v>
      </c>
      <c r="T411" s="783">
        <f>Gegenstände!AC411</f>
        <v>0</v>
      </c>
      <c r="U411" s="783">
        <f>Gegenstände!AE411</f>
        <v>0</v>
      </c>
      <c r="V411" s="783">
        <f>Gegenstände!AD411</f>
        <v>0</v>
      </c>
      <c r="W411" s="783">
        <f>Gegenstände!AF411</f>
        <v>0</v>
      </c>
      <c r="AB411" s="3">
        <f>Gegenstände!M411</f>
        <v>0</v>
      </c>
      <c r="AC411" s="3">
        <f>Gegenstände!AB411</f>
        <v>0</v>
      </c>
      <c r="AD411" s="3">
        <f>Gegenstände!F411</f>
        <v>0</v>
      </c>
    </row>
    <row r="412" spans="1:30" x14ac:dyDescent="0.2">
      <c r="A412" s="3">
        <f>Gegenstände!A412</f>
        <v>2242</v>
      </c>
      <c r="B412" s="3" t="str">
        <f>Gegenstände!B412</f>
        <v>Onyx-Robe</v>
      </c>
      <c r="D412" s="3">
        <f>Gegenstände!K412</f>
        <v>1800</v>
      </c>
      <c r="E412" s="3">
        <f>Gegenstände!I412</f>
        <v>12</v>
      </c>
      <c r="F412" s="3">
        <f>VLOOKUP(Gegenstände!E412,Berechnungen!$E$87:$F$115,2,FALSE)</f>
        <v>21</v>
      </c>
      <c r="G412" s="3">
        <f>Gegenstände!H412</f>
        <v>2</v>
      </c>
      <c r="H412" s="3">
        <f>Gegenstände!G412</f>
        <v>8</v>
      </c>
      <c r="I412" s="3">
        <f>Gegenstände!D412</f>
        <v>24</v>
      </c>
      <c r="J412" s="168">
        <f>ROUND(Gegenstände!N412,0)</f>
        <v>42300</v>
      </c>
      <c r="K412" s="3">
        <f>Gegenstände!J412</f>
        <v>100</v>
      </c>
      <c r="L412" s="3">
        <f>Gegenstände!L412</f>
        <v>0</v>
      </c>
      <c r="M412" s="3">
        <f>Gegenstände!Z412</f>
        <v>0</v>
      </c>
      <c r="N412" s="783">
        <f>(Gegenstände!Y412*10)</f>
        <v>0</v>
      </c>
      <c r="O412" s="783">
        <f>(Gegenstände!W412*10)</f>
        <v>39</v>
      </c>
      <c r="P412" s="783">
        <f>Gegenstände!AA412*10</f>
        <v>0</v>
      </c>
      <c r="Q412" s="783">
        <f>Gegenstände!O412</f>
        <v>0</v>
      </c>
      <c r="R412" s="168">
        <f>Gegenstände!S412</f>
        <v>0</v>
      </c>
      <c r="S412" s="168">
        <f>Gegenstände!T412</f>
        <v>0</v>
      </c>
      <c r="T412" s="783">
        <f>Gegenstände!AC412</f>
        <v>0</v>
      </c>
      <c r="U412" s="783">
        <f>Gegenstände!AE412</f>
        <v>0</v>
      </c>
      <c r="V412" s="783">
        <f>Gegenstände!AD412</f>
        <v>0</v>
      </c>
      <c r="W412" s="783">
        <f>Gegenstände!AF412</f>
        <v>0</v>
      </c>
      <c r="AB412" s="3">
        <f>Gegenstände!M412</f>
        <v>0</v>
      </c>
      <c r="AC412" s="3">
        <f>Gegenstände!AB412</f>
        <v>0</v>
      </c>
      <c r="AD412" s="3">
        <f>Gegenstände!F412</f>
        <v>0</v>
      </c>
    </row>
    <row r="413" spans="1:30" x14ac:dyDescent="0.2">
      <c r="A413" s="3">
        <f>Gegenstände!A413</f>
        <v>2243</v>
      </c>
      <c r="B413" s="3" t="str">
        <f>Gegenstände!B413</f>
        <v>Onyx-Handschuhe</v>
      </c>
      <c r="D413" s="3">
        <f>Gegenstände!K413</f>
        <v>900</v>
      </c>
      <c r="E413" s="3">
        <f>Gegenstände!I413</f>
        <v>13</v>
      </c>
      <c r="F413" s="3">
        <f>VLOOKUP(Gegenstände!E413,Berechnungen!$E$87:$F$115,2,FALSE)</f>
        <v>21</v>
      </c>
      <c r="G413" s="3">
        <f>Gegenstände!H413</f>
        <v>2</v>
      </c>
      <c r="H413" s="3">
        <f>Gegenstände!G413</f>
        <v>8</v>
      </c>
      <c r="I413" s="3">
        <f>Gegenstände!D413</f>
        <v>25</v>
      </c>
      <c r="J413" s="168">
        <f>ROUND(Gegenstände!N413,0)</f>
        <v>26500</v>
      </c>
      <c r="K413" s="3">
        <f>Gegenstände!J413</f>
        <v>100</v>
      </c>
      <c r="L413" s="3">
        <f>Gegenstände!L413</f>
        <v>0</v>
      </c>
      <c r="M413" s="3">
        <f>Gegenstände!Z413</f>
        <v>0</v>
      </c>
      <c r="N413" s="783">
        <f>(Gegenstände!Y413*10)</f>
        <v>0</v>
      </c>
      <c r="O413" s="783">
        <f>(Gegenstände!W413*10)</f>
        <v>20</v>
      </c>
      <c r="P413" s="783">
        <f>Gegenstände!AA413*10</f>
        <v>0</v>
      </c>
      <c r="Q413" s="783">
        <f>Gegenstände!O413</f>
        <v>0</v>
      </c>
      <c r="R413" s="168">
        <f>Gegenstände!S413</f>
        <v>0</v>
      </c>
      <c r="S413" s="168">
        <f>Gegenstände!T413</f>
        <v>0</v>
      </c>
      <c r="T413" s="783">
        <f>Gegenstände!AC413</f>
        <v>0</v>
      </c>
      <c r="U413" s="783">
        <f>Gegenstände!AE413</f>
        <v>0</v>
      </c>
      <c r="V413" s="783">
        <f>Gegenstände!AD413</f>
        <v>0</v>
      </c>
      <c r="W413" s="783">
        <f>Gegenstände!AF413</f>
        <v>0</v>
      </c>
      <c r="AB413" s="3">
        <f>Gegenstände!M413</f>
        <v>0</v>
      </c>
      <c r="AC413" s="3">
        <f>Gegenstände!AB413</f>
        <v>0</v>
      </c>
      <c r="AD413" s="3">
        <f>Gegenstände!F413</f>
        <v>0</v>
      </c>
    </row>
    <row r="414" spans="1:30" x14ac:dyDescent="0.2">
      <c r="A414" s="3">
        <f>Gegenstände!A414</f>
        <v>2244</v>
      </c>
      <c r="B414" s="3" t="str">
        <f>Gegenstände!B414</f>
        <v>Onyx-Hose</v>
      </c>
      <c r="D414" s="3">
        <f>Gegenstände!K414</f>
        <v>1200</v>
      </c>
      <c r="E414" s="3">
        <f>Gegenstände!I414</f>
        <v>14</v>
      </c>
      <c r="F414" s="3">
        <f>VLOOKUP(Gegenstände!E414,Berechnungen!$E$87:$F$115,2,FALSE)</f>
        <v>21</v>
      </c>
      <c r="G414" s="3">
        <f>Gegenstände!H414</f>
        <v>2</v>
      </c>
      <c r="H414" s="3">
        <f>Gegenstände!G414</f>
        <v>8</v>
      </c>
      <c r="I414" s="3">
        <f>Gegenstände!D414</f>
        <v>25</v>
      </c>
      <c r="J414" s="168">
        <f>ROUND(Gegenstände!N414,0)</f>
        <v>33600</v>
      </c>
      <c r="K414" s="3">
        <f>Gegenstände!J414</f>
        <v>100</v>
      </c>
      <c r="L414" s="3">
        <f>Gegenstände!L414</f>
        <v>0</v>
      </c>
      <c r="M414" s="3">
        <f>Gegenstände!Z414</f>
        <v>0</v>
      </c>
      <c r="N414" s="783">
        <f>(Gegenstände!Y414*10)</f>
        <v>0</v>
      </c>
      <c r="O414" s="783">
        <f>(Gegenstände!W414*10)</f>
        <v>26</v>
      </c>
      <c r="P414" s="783">
        <f>Gegenstände!AA414*10</f>
        <v>0</v>
      </c>
      <c r="Q414" s="783">
        <f>Gegenstände!O414</f>
        <v>0</v>
      </c>
      <c r="R414" s="168">
        <f>Gegenstände!S414</f>
        <v>0</v>
      </c>
      <c r="S414" s="168">
        <f>Gegenstände!T414</f>
        <v>0</v>
      </c>
      <c r="T414" s="783">
        <f>Gegenstände!AC414</f>
        <v>0</v>
      </c>
      <c r="U414" s="783">
        <f>Gegenstände!AE414</f>
        <v>0</v>
      </c>
      <c r="V414" s="783">
        <f>Gegenstände!AD414</f>
        <v>0</v>
      </c>
      <c r="W414" s="783">
        <f>Gegenstände!AF414</f>
        <v>0</v>
      </c>
      <c r="AB414" s="3">
        <f>Gegenstände!M414</f>
        <v>0</v>
      </c>
      <c r="AC414" s="3">
        <f>Gegenstände!AB414</f>
        <v>0</v>
      </c>
      <c r="AD414" s="3">
        <f>Gegenstände!F414</f>
        <v>0</v>
      </c>
    </row>
    <row r="415" spans="1:30" x14ac:dyDescent="0.2">
      <c r="A415" s="3">
        <f>Gegenstände!A415</f>
        <v>2245</v>
      </c>
      <c r="B415" s="3" t="str">
        <f>Gegenstände!B415</f>
        <v>Onyx-Schuhe</v>
      </c>
      <c r="D415" s="3">
        <f>Gegenstände!K415</f>
        <v>900</v>
      </c>
      <c r="E415" s="3">
        <f>Gegenstände!I415</f>
        <v>15</v>
      </c>
      <c r="F415" s="3">
        <f>VLOOKUP(Gegenstände!E415,Berechnungen!$E$87:$F$115,2,FALSE)</f>
        <v>21</v>
      </c>
      <c r="G415" s="3">
        <f>Gegenstände!H415</f>
        <v>2</v>
      </c>
      <c r="H415" s="3">
        <f>Gegenstände!G415</f>
        <v>8</v>
      </c>
      <c r="I415" s="3">
        <f>Gegenstände!D415</f>
        <v>25</v>
      </c>
      <c r="J415" s="168">
        <f>ROUND(Gegenstände!N415,0)</f>
        <v>26500</v>
      </c>
      <c r="K415" s="3">
        <f>Gegenstände!J415</f>
        <v>100</v>
      </c>
      <c r="L415" s="3">
        <f>Gegenstände!L415</f>
        <v>0</v>
      </c>
      <c r="M415" s="3">
        <f>Gegenstände!Z415</f>
        <v>0</v>
      </c>
      <c r="N415" s="783">
        <f>(Gegenstände!Y415*10)</f>
        <v>0</v>
      </c>
      <c r="O415" s="783">
        <f>(Gegenstände!W415*10)</f>
        <v>20</v>
      </c>
      <c r="P415" s="783">
        <f>Gegenstände!AA415*10</f>
        <v>0</v>
      </c>
      <c r="Q415" s="783">
        <f>Gegenstände!O415</f>
        <v>0</v>
      </c>
      <c r="R415" s="168">
        <f>Gegenstände!S415</f>
        <v>0</v>
      </c>
      <c r="S415" s="168">
        <f>Gegenstände!T415</f>
        <v>0</v>
      </c>
      <c r="T415" s="783">
        <f>Gegenstände!AC415</f>
        <v>0</v>
      </c>
      <c r="U415" s="783">
        <f>Gegenstände!AE415</f>
        <v>0</v>
      </c>
      <c r="V415" s="783">
        <f>Gegenstände!AD415</f>
        <v>0</v>
      </c>
      <c r="W415" s="783">
        <f>Gegenstände!AF415</f>
        <v>0</v>
      </c>
      <c r="AB415" s="3">
        <f>Gegenstände!M415</f>
        <v>0</v>
      </c>
      <c r="AC415" s="3">
        <f>Gegenstände!AB415</f>
        <v>0</v>
      </c>
      <c r="AD415" s="3">
        <f>Gegenstände!F415</f>
        <v>0</v>
      </c>
    </row>
    <row r="416" spans="1:30" x14ac:dyDescent="0.2">
      <c r="A416" s="3">
        <f>Gegenstände!A416</f>
        <v>0</v>
      </c>
      <c r="B416" s="3" t="str">
        <f>Gegenstände!B416</f>
        <v>Leder-Rüstungen</v>
      </c>
      <c r="D416" s="3">
        <f>Gegenstände!K416</f>
        <v>0</v>
      </c>
      <c r="E416" s="3">
        <f>Gegenstände!I416</f>
        <v>0</v>
      </c>
      <c r="F416" s="3" t="e">
        <f>VLOOKUP(Gegenstände!E416,Berechnungen!$E$87:$F$115,2,FALSE)</f>
        <v>#N/A</v>
      </c>
      <c r="G416" s="3">
        <f>Gegenstände!H416</f>
        <v>0</v>
      </c>
      <c r="H416" s="3">
        <f>Gegenstände!G416</f>
        <v>0</v>
      </c>
      <c r="I416" s="3">
        <f>Gegenstände!D416</f>
        <v>0</v>
      </c>
      <c r="J416" s="168">
        <f>ROUND(Gegenstände!N416,0)</f>
        <v>0</v>
      </c>
      <c r="K416" s="3">
        <f>Gegenstände!J416</f>
        <v>0</v>
      </c>
      <c r="L416" s="3">
        <f>Gegenstände!L416</f>
        <v>0</v>
      </c>
      <c r="M416" s="3">
        <f>Gegenstände!Z416</f>
        <v>0</v>
      </c>
      <c r="N416" s="783">
        <f>(Gegenstände!Y416*10)</f>
        <v>0</v>
      </c>
      <c r="O416" s="783">
        <f>(Gegenstände!W416*10)</f>
        <v>0</v>
      </c>
      <c r="P416" s="783">
        <f>Gegenstände!AA416*10</f>
        <v>0</v>
      </c>
      <c r="Q416" s="783">
        <f>Gegenstände!O416</f>
        <v>0</v>
      </c>
      <c r="R416" s="168">
        <f>Gegenstände!S416</f>
        <v>0</v>
      </c>
      <c r="S416" s="168">
        <f>Gegenstände!T416</f>
        <v>0</v>
      </c>
      <c r="T416" s="783">
        <f>Gegenstände!AC416</f>
        <v>0</v>
      </c>
      <c r="U416" s="783">
        <f>Gegenstände!AE416</f>
        <v>0</v>
      </c>
      <c r="V416" s="783">
        <f>Gegenstände!AD416</f>
        <v>0</v>
      </c>
      <c r="W416" s="783">
        <f>Gegenstände!AF416</f>
        <v>0</v>
      </c>
      <c r="AB416" s="3">
        <f>Gegenstände!M416</f>
        <v>0</v>
      </c>
      <c r="AC416" s="3">
        <f>Gegenstände!AB416</f>
        <v>0</v>
      </c>
      <c r="AD416" s="3">
        <f>Gegenstände!F416</f>
        <v>0</v>
      </c>
    </row>
    <row r="417" spans="1:30" x14ac:dyDescent="0.2">
      <c r="A417" s="3">
        <f>Gegenstände!A417</f>
        <v>1301</v>
      </c>
      <c r="B417" s="3" t="str">
        <f>Gegenstände!B417</f>
        <v>Weichleder-Haube</v>
      </c>
      <c r="D417" s="3">
        <f>Gegenstände!K417</f>
        <v>1200</v>
      </c>
      <c r="E417" s="3">
        <f>Gegenstände!I417</f>
        <v>11</v>
      </c>
      <c r="F417" s="3">
        <f>VLOOKUP(Gegenstände!E417,Berechnungen!$E$87:$F$115,2,FALSE)</f>
        <v>22</v>
      </c>
      <c r="G417" s="3">
        <f>Gegenstände!H417</f>
        <v>1</v>
      </c>
      <c r="H417" s="3">
        <f>Gegenstände!G417</f>
        <v>8</v>
      </c>
      <c r="I417" s="3">
        <f>Gegenstände!D417</f>
        <v>1</v>
      </c>
      <c r="J417" s="168">
        <f>ROUND(Gegenstände!N417,0)</f>
        <v>1000</v>
      </c>
      <c r="K417" s="3">
        <f>Gegenstände!J417</f>
        <v>100</v>
      </c>
      <c r="L417" s="3">
        <f>Gegenstände!L417</f>
        <v>0</v>
      </c>
      <c r="M417" s="3">
        <f>Gegenstände!Z417</f>
        <v>8</v>
      </c>
      <c r="N417" s="783">
        <f>(Gegenstände!Y417*10)</f>
        <v>20</v>
      </c>
      <c r="O417" s="783">
        <f>(Gegenstände!W417*10)</f>
        <v>6</v>
      </c>
      <c r="P417" s="783">
        <f>Gegenstände!AA417*10</f>
        <v>0</v>
      </c>
      <c r="Q417" s="783">
        <f>Gegenstände!O417</f>
        <v>0</v>
      </c>
      <c r="R417" s="168">
        <f>Gegenstände!S417</f>
        <v>0</v>
      </c>
      <c r="S417" s="168">
        <f>Gegenstände!T417</f>
        <v>0</v>
      </c>
      <c r="T417" s="783">
        <f>Gegenstände!AC417</f>
        <v>0</v>
      </c>
      <c r="U417" s="783">
        <f>Gegenstände!AE417</f>
        <v>0</v>
      </c>
      <c r="V417" s="783">
        <f>Gegenstände!AD417</f>
        <v>0</v>
      </c>
      <c r="W417" s="783">
        <f>Gegenstände!AF417</f>
        <v>0</v>
      </c>
      <c r="AB417" s="3">
        <f>Gegenstände!M417</f>
        <v>1</v>
      </c>
      <c r="AC417" s="3">
        <f>Gegenstände!AB417</f>
        <v>0</v>
      </c>
      <c r="AD417" s="3">
        <f>Gegenstände!F417</f>
        <v>0</v>
      </c>
    </row>
    <row r="418" spans="1:30" x14ac:dyDescent="0.2">
      <c r="A418" s="3">
        <f>Gegenstände!A418</f>
        <v>1302</v>
      </c>
      <c r="B418" s="3" t="str">
        <f>Gegenstände!B418</f>
        <v>Weichleder-Wappenrock</v>
      </c>
      <c r="D418" s="3">
        <f>Gegenstände!K418</f>
        <v>1800</v>
      </c>
      <c r="E418" s="3">
        <f>Gegenstände!I418</f>
        <v>12</v>
      </c>
      <c r="F418" s="3">
        <f>VLOOKUP(Gegenstände!E418,Berechnungen!$E$87:$F$115,2,FALSE)</f>
        <v>22</v>
      </c>
      <c r="G418" s="3">
        <f>Gegenstände!H418</f>
        <v>1</v>
      </c>
      <c r="H418" s="3">
        <f>Gegenstände!G418</f>
        <v>8</v>
      </c>
      <c r="I418" s="3">
        <f>Gegenstände!D418</f>
        <v>1</v>
      </c>
      <c r="J418" s="168">
        <f>ROUND(Gegenstände!N418,0)</f>
        <v>1500</v>
      </c>
      <c r="K418" s="3">
        <f>Gegenstände!J418</f>
        <v>100</v>
      </c>
      <c r="L418" s="3">
        <f>Gegenstände!L418</f>
        <v>0</v>
      </c>
      <c r="M418" s="3">
        <f>Gegenstände!Z418</f>
        <v>12</v>
      </c>
      <c r="N418" s="783">
        <f>(Gegenstände!Y418*10)</f>
        <v>30</v>
      </c>
      <c r="O418" s="783">
        <f>(Gegenstände!W418*10)</f>
        <v>9</v>
      </c>
      <c r="P418" s="783">
        <f>Gegenstände!AA418*10</f>
        <v>0</v>
      </c>
      <c r="Q418" s="783">
        <f>Gegenstände!O418</f>
        <v>0</v>
      </c>
      <c r="R418" s="168">
        <f>Gegenstände!S418</f>
        <v>0</v>
      </c>
      <c r="S418" s="168">
        <f>Gegenstände!T418</f>
        <v>0</v>
      </c>
      <c r="T418" s="783">
        <f>Gegenstände!AC418</f>
        <v>0</v>
      </c>
      <c r="U418" s="783">
        <f>Gegenstände!AE418</f>
        <v>0</v>
      </c>
      <c r="V418" s="783">
        <f>Gegenstände!AD418</f>
        <v>0</v>
      </c>
      <c r="W418" s="783">
        <f>Gegenstände!AF418</f>
        <v>0</v>
      </c>
      <c r="AB418" s="3">
        <f>Gegenstände!M418</f>
        <v>1</v>
      </c>
      <c r="AC418" s="3">
        <f>Gegenstände!AB418</f>
        <v>0</v>
      </c>
      <c r="AD418" s="3">
        <f>Gegenstände!F418</f>
        <v>0</v>
      </c>
    </row>
    <row r="419" spans="1:30" x14ac:dyDescent="0.2">
      <c r="A419" s="3">
        <f>Gegenstände!A419</f>
        <v>1303</v>
      </c>
      <c r="B419" s="3" t="str">
        <f>Gegenstände!B419</f>
        <v>Weichleder-Handschuhe</v>
      </c>
      <c r="D419" s="3">
        <f>Gegenstände!K419</f>
        <v>900</v>
      </c>
      <c r="E419" s="3">
        <f>Gegenstände!I419</f>
        <v>13</v>
      </c>
      <c r="F419" s="3">
        <f>VLOOKUP(Gegenstände!E419,Berechnungen!$E$87:$F$115,2,FALSE)</f>
        <v>22</v>
      </c>
      <c r="G419" s="3">
        <f>Gegenstände!H419</f>
        <v>1</v>
      </c>
      <c r="H419" s="3">
        <f>Gegenstände!G419</f>
        <v>8</v>
      </c>
      <c r="I419" s="3">
        <f>Gegenstände!D419</f>
        <v>2</v>
      </c>
      <c r="J419" s="168">
        <f>ROUND(Gegenstände!N419,0)</f>
        <v>900</v>
      </c>
      <c r="K419" s="3">
        <f>Gegenstände!J419</f>
        <v>100</v>
      </c>
      <c r="L419" s="3">
        <f>Gegenstände!L419</f>
        <v>0</v>
      </c>
      <c r="M419" s="3">
        <f>Gegenstände!Z419</f>
        <v>6</v>
      </c>
      <c r="N419" s="783">
        <f>(Gegenstände!Y419*10)</f>
        <v>15</v>
      </c>
      <c r="O419" s="783">
        <f>(Gegenstände!W419*10)</f>
        <v>5</v>
      </c>
      <c r="P419" s="783">
        <f>Gegenstände!AA419*10</f>
        <v>0</v>
      </c>
      <c r="Q419" s="783">
        <f>Gegenstände!O419</f>
        <v>0</v>
      </c>
      <c r="R419" s="168">
        <f>Gegenstände!S419</f>
        <v>0</v>
      </c>
      <c r="S419" s="168">
        <f>Gegenstände!T419</f>
        <v>0</v>
      </c>
      <c r="T419" s="783">
        <f>Gegenstände!AC419</f>
        <v>0</v>
      </c>
      <c r="U419" s="783">
        <f>Gegenstände!AE419</f>
        <v>0</v>
      </c>
      <c r="V419" s="783">
        <f>Gegenstände!AD419</f>
        <v>0</v>
      </c>
      <c r="W419" s="783">
        <f>Gegenstände!AF419</f>
        <v>0</v>
      </c>
      <c r="AB419" s="3">
        <f>Gegenstände!M419</f>
        <v>1</v>
      </c>
      <c r="AC419" s="3">
        <f>Gegenstände!AB419</f>
        <v>0</v>
      </c>
      <c r="AD419" s="3">
        <f>Gegenstände!F419</f>
        <v>0</v>
      </c>
    </row>
    <row r="420" spans="1:30" x14ac:dyDescent="0.2">
      <c r="A420" s="3">
        <f>Gegenstände!A420</f>
        <v>1304</v>
      </c>
      <c r="B420" s="3" t="str">
        <f>Gegenstände!B420</f>
        <v>Weichleder-Hose</v>
      </c>
      <c r="D420" s="3">
        <f>Gegenstände!K420</f>
        <v>1200</v>
      </c>
      <c r="E420" s="3">
        <f>Gegenstände!I420</f>
        <v>14</v>
      </c>
      <c r="F420" s="3">
        <f>VLOOKUP(Gegenstände!E420,Berechnungen!$E$87:$F$115,2,FALSE)</f>
        <v>22</v>
      </c>
      <c r="G420" s="3">
        <f>Gegenstände!H420</f>
        <v>1</v>
      </c>
      <c r="H420" s="3">
        <f>Gegenstände!G420</f>
        <v>8</v>
      </c>
      <c r="I420" s="3">
        <f>Gegenstände!D420</f>
        <v>2</v>
      </c>
      <c r="J420" s="168">
        <f>ROUND(Gegenstände!N420,0)</f>
        <v>1200</v>
      </c>
      <c r="K420" s="3">
        <f>Gegenstände!J420</f>
        <v>100</v>
      </c>
      <c r="L420" s="3">
        <f>Gegenstände!L420</f>
        <v>0</v>
      </c>
      <c r="M420" s="3">
        <f>Gegenstände!Z420</f>
        <v>8</v>
      </c>
      <c r="N420" s="783">
        <f>(Gegenstände!Y420*10)</f>
        <v>20</v>
      </c>
      <c r="O420" s="783">
        <f>(Gegenstände!W420*10)</f>
        <v>6</v>
      </c>
      <c r="P420" s="783">
        <f>Gegenstände!AA420*10</f>
        <v>0</v>
      </c>
      <c r="Q420" s="783">
        <f>Gegenstände!O420</f>
        <v>0</v>
      </c>
      <c r="R420" s="168">
        <f>Gegenstände!S420</f>
        <v>0</v>
      </c>
      <c r="S420" s="168">
        <f>Gegenstände!T420</f>
        <v>0</v>
      </c>
      <c r="T420" s="783">
        <f>Gegenstände!AC420</f>
        <v>0</v>
      </c>
      <c r="U420" s="783">
        <f>Gegenstände!AE420</f>
        <v>0</v>
      </c>
      <c r="V420" s="783">
        <f>Gegenstände!AD420</f>
        <v>0</v>
      </c>
      <c r="W420" s="783">
        <f>Gegenstände!AF420</f>
        <v>0</v>
      </c>
      <c r="AB420" s="3">
        <f>Gegenstände!M420</f>
        <v>1</v>
      </c>
      <c r="AC420" s="3">
        <f>Gegenstände!AB420</f>
        <v>0</v>
      </c>
      <c r="AD420" s="3">
        <f>Gegenstände!F420</f>
        <v>0</v>
      </c>
    </row>
    <row r="421" spans="1:30" x14ac:dyDescent="0.2">
      <c r="A421" s="3">
        <f>Gegenstände!A421</f>
        <v>1305</v>
      </c>
      <c r="B421" s="3" t="str">
        <f>Gegenstände!B421</f>
        <v>Weichleder-Schuhe</v>
      </c>
      <c r="D421" s="3">
        <f>Gegenstände!K421</f>
        <v>900</v>
      </c>
      <c r="E421" s="3">
        <f>Gegenstände!I421</f>
        <v>15</v>
      </c>
      <c r="F421" s="3">
        <f>VLOOKUP(Gegenstände!E421,Berechnungen!$E$87:$F$115,2,FALSE)</f>
        <v>22</v>
      </c>
      <c r="G421" s="3">
        <f>Gegenstände!H421</f>
        <v>1</v>
      </c>
      <c r="H421" s="3">
        <f>Gegenstände!G421</f>
        <v>8</v>
      </c>
      <c r="I421" s="3">
        <f>Gegenstände!D421</f>
        <v>2</v>
      </c>
      <c r="J421" s="168">
        <f>ROUND(Gegenstände!N421,0)</f>
        <v>900</v>
      </c>
      <c r="K421" s="3">
        <f>Gegenstände!J421</f>
        <v>100</v>
      </c>
      <c r="L421" s="3">
        <f>Gegenstände!L421</f>
        <v>0</v>
      </c>
      <c r="M421" s="3">
        <f>Gegenstände!Z421</f>
        <v>6</v>
      </c>
      <c r="N421" s="783">
        <f>(Gegenstände!Y421*10)</f>
        <v>15</v>
      </c>
      <c r="O421" s="783">
        <f>(Gegenstände!W421*10)</f>
        <v>5</v>
      </c>
      <c r="P421" s="783">
        <f>Gegenstände!AA421*10</f>
        <v>0</v>
      </c>
      <c r="Q421" s="783">
        <f>Gegenstände!O421</f>
        <v>0</v>
      </c>
      <c r="R421" s="168">
        <f>Gegenstände!S421</f>
        <v>0</v>
      </c>
      <c r="S421" s="168">
        <f>Gegenstände!T421</f>
        <v>0</v>
      </c>
      <c r="T421" s="783">
        <f>Gegenstände!AC421</f>
        <v>0</v>
      </c>
      <c r="U421" s="783">
        <f>Gegenstände!AE421</f>
        <v>0</v>
      </c>
      <c r="V421" s="783">
        <f>Gegenstände!AD421</f>
        <v>0</v>
      </c>
      <c r="W421" s="783">
        <f>Gegenstände!AF421</f>
        <v>0</v>
      </c>
      <c r="AB421" s="3">
        <f>Gegenstände!M421</f>
        <v>1</v>
      </c>
      <c r="AC421" s="3">
        <f>Gegenstände!AB421</f>
        <v>0</v>
      </c>
      <c r="AD421" s="3">
        <f>Gegenstände!F421</f>
        <v>0</v>
      </c>
    </row>
    <row r="422" spans="1:30" x14ac:dyDescent="0.2">
      <c r="A422" s="3">
        <f>Gegenstände!A422</f>
        <v>1306</v>
      </c>
      <c r="B422" s="3" t="str">
        <f>Gegenstände!B422</f>
        <v>Weichleder-Helm</v>
      </c>
      <c r="D422" s="3">
        <f>Gegenstände!K422</f>
        <v>1600</v>
      </c>
      <c r="E422" s="3">
        <f>Gegenstände!I422</f>
        <v>11</v>
      </c>
      <c r="F422" s="3">
        <f>VLOOKUP(Gegenstände!E422,Berechnungen!$E$87:$F$115,2,FALSE)</f>
        <v>22</v>
      </c>
      <c r="G422" s="3">
        <f>Gegenstände!H422</f>
        <v>1</v>
      </c>
      <c r="H422" s="3">
        <f>Gegenstände!G422</f>
        <v>8</v>
      </c>
      <c r="I422" s="3">
        <f>Gegenstände!D422</f>
        <v>4</v>
      </c>
      <c r="J422" s="168">
        <f>ROUND(Gegenstände!N422,0)</f>
        <v>1500</v>
      </c>
      <c r="K422" s="3">
        <f>Gegenstände!J422</f>
        <v>100</v>
      </c>
      <c r="L422" s="3">
        <f>Gegenstände!L422</f>
        <v>0</v>
      </c>
      <c r="M422" s="3">
        <f>Gegenstände!Z422</f>
        <v>8</v>
      </c>
      <c r="N422" s="783">
        <f>(Gegenstände!Y422*10)</f>
        <v>20</v>
      </c>
      <c r="O422" s="783">
        <f>(Gegenstände!W422*10)</f>
        <v>8</v>
      </c>
      <c r="P422" s="783">
        <f>Gegenstände!AA422*10</f>
        <v>0</v>
      </c>
      <c r="Q422" s="783">
        <f>Gegenstände!O422</f>
        <v>0</v>
      </c>
      <c r="R422" s="168">
        <f>Gegenstände!S422</f>
        <v>0</v>
      </c>
      <c r="S422" s="168">
        <f>Gegenstände!T422</f>
        <v>0</v>
      </c>
      <c r="T422" s="783">
        <f>Gegenstände!AC422</f>
        <v>0</v>
      </c>
      <c r="U422" s="783">
        <f>Gegenstände!AE422</f>
        <v>0</v>
      </c>
      <c r="V422" s="783">
        <f>Gegenstände!AD422</f>
        <v>0</v>
      </c>
      <c r="W422" s="783">
        <f>Gegenstände!AF422</f>
        <v>0</v>
      </c>
      <c r="AB422" s="3">
        <f>Gegenstände!M422</f>
        <v>1</v>
      </c>
      <c r="AC422" s="3">
        <f>Gegenstände!AB422</f>
        <v>0</v>
      </c>
      <c r="AD422" s="3">
        <f>Gegenstände!F422</f>
        <v>0</v>
      </c>
    </row>
    <row r="423" spans="1:30" x14ac:dyDescent="0.2">
      <c r="A423" s="3">
        <f>Gegenstände!A423</f>
        <v>1307</v>
      </c>
      <c r="B423" s="3" t="str">
        <f>Gegenstände!B423</f>
        <v>Weichleder-Harnisch</v>
      </c>
      <c r="D423" s="3">
        <f>Gegenstände!K423</f>
        <v>2400</v>
      </c>
      <c r="E423" s="3">
        <f>Gegenstände!I423</f>
        <v>12</v>
      </c>
      <c r="F423" s="3">
        <f>VLOOKUP(Gegenstände!E423,Berechnungen!$E$87:$F$115,2,FALSE)</f>
        <v>22</v>
      </c>
      <c r="G423" s="3">
        <f>Gegenstände!H423</f>
        <v>1</v>
      </c>
      <c r="H423" s="3">
        <f>Gegenstände!G423</f>
        <v>8</v>
      </c>
      <c r="I423" s="3">
        <f>Gegenstände!D423</f>
        <v>4</v>
      </c>
      <c r="J423" s="168">
        <f>ROUND(Gegenstände!N423,0)</f>
        <v>2300</v>
      </c>
      <c r="K423" s="3">
        <f>Gegenstände!J423</f>
        <v>100</v>
      </c>
      <c r="L423" s="3">
        <f>Gegenstände!L423</f>
        <v>0</v>
      </c>
      <c r="M423" s="3">
        <f>Gegenstände!Z423</f>
        <v>12</v>
      </c>
      <c r="N423" s="783">
        <f>(Gegenstände!Y423*10)</f>
        <v>30</v>
      </c>
      <c r="O423" s="783">
        <f>(Gegenstände!W423*10)</f>
        <v>12</v>
      </c>
      <c r="P423" s="783">
        <f>Gegenstände!AA423*10</f>
        <v>0</v>
      </c>
      <c r="Q423" s="783">
        <f>Gegenstände!O423</f>
        <v>0</v>
      </c>
      <c r="R423" s="168">
        <f>Gegenstände!S423</f>
        <v>0</v>
      </c>
      <c r="S423" s="168">
        <f>Gegenstände!T423</f>
        <v>0</v>
      </c>
      <c r="T423" s="783">
        <f>Gegenstände!AC423</f>
        <v>0</v>
      </c>
      <c r="U423" s="783">
        <f>Gegenstände!AE423</f>
        <v>0</v>
      </c>
      <c r="V423" s="783">
        <f>Gegenstände!AD423</f>
        <v>0</v>
      </c>
      <c r="W423" s="783">
        <f>Gegenstände!AF423</f>
        <v>0</v>
      </c>
      <c r="AB423" s="3">
        <f>Gegenstände!M423</f>
        <v>1</v>
      </c>
      <c r="AC423" s="3">
        <f>Gegenstände!AB423</f>
        <v>0</v>
      </c>
      <c r="AD423" s="3">
        <f>Gegenstände!F423</f>
        <v>0</v>
      </c>
    </row>
    <row r="424" spans="1:30" x14ac:dyDescent="0.2">
      <c r="A424" s="3">
        <f>Gegenstände!A424</f>
        <v>1308</v>
      </c>
      <c r="B424" s="3" t="str">
        <f>Gegenstände!B424</f>
        <v>Weichleder-Stulpen</v>
      </c>
      <c r="D424" s="3">
        <f>Gegenstände!K424</f>
        <v>1200</v>
      </c>
      <c r="E424" s="3">
        <f>Gegenstände!I424</f>
        <v>13</v>
      </c>
      <c r="F424" s="3">
        <f>VLOOKUP(Gegenstände!E424,Berechnungen!$E$87:$F$115,2,FALSE)</f>
        <v>22</v>
      </c>
      <c r="G424" s="3">
        <f>Gegenstände!H424</f>
        <v>1</v>
      </c>
      <c r="H424" s="3">
        <f>Gegenstände!G424</f>
        <v>8</v>
      </c>
      <c r="I424" s="3">
        <f>Gegenstände!D424</f>
        <v>5</v>
      </c>
      <c r="J424" s="168">
        <f>ROUND(Gegenstände!N424,0)</f>
        <v>1300</v>
      </c>
      <c r="K424" s="3">
        <f>Gegenstände!J424</f>
        <v>100</v>
      </c>
      <c r="L424" s="3">
        <f>Gegenstände!L424</f>
        <v>0</v>
      </c>
      <c r="M424" s="3">
        <f>Gegenstände!Z424</f>
        <v>6</v>
      </c>
      <c r="N424" s="783">
        <f>(Gegenstände!Y424*10)</f>
        <v>15</v>
      </c>
      <c r="O424" s="783">
        <f>(Gegenstände!W424*10)</f>
        <v>6</v>
      </c>
      <c r="P424" s="783">
        <f>Gegenstände!AA424*10</f>
        <v>0</v>
      </c>
      <c r="Q424" s="783">
        <f>Gegenstände!O424</f>
        <v>0</v>
      </c>
      <c r="R424" s="168">
        <f>Gegenstände!S424</f>
        <v>0</v>
      </c>
      <c r="S424" s="168">
        <f>Gegenstände!T424</f>
        <v>0</v>
      </c>
      <c r="T424" s="783">
        <f>Gegenstände!AC424</f>
        <v>0</v>
      </c>
      <c r="U424" s="783">
        <f>Gegenstände!AE424</f>
        <v>0</v>
      </c>
      <c r="V424" s="783">
        <f>Gegenstände!AD424</f>
        <v>0</v>
      </c>
      <c r="W424" s="783">
        <f>Gegenstände!AF424</f>
        <v>0</v>
      </c>
      <c r="AB424" s="3">
        <f>Gegenstände!M424</f>
        <v>1</v>
      </c>
      <c r="AC424" s="3">
        <f>Gegenstände!AB424</f>
        <v>0</v>
      </c>
      <c r="AD424" s="3">
        <f>Gegenstände!F424</f>
        <v>0</v>
      </c>
    </row>
    <row r="425" spans="1:30" x14ac:dyDescent="0.2">
      <c r="A425" s="3">
        <f>Gegenstände!A425</f>
        <v>1309</v>
      </c>
      <c r="B425" s="3" t="str">
        <f>Gegenstände!B425</f>
        <v>Weichleder-Beinlinge</v>
      </c>
      <c r="D425" s="3">
        <f>Gegenstände!K425</f>
        <v>1600</v>
      </c>
      <c r="E425" s="3">
        <f>Gegenstände!I425</f>
        <v>14</v>
      </c>
      <c r="F425" s="3">
        <f>VLOOKUP(Gegenstände!E425,Berechnungen!$E$87:$F$115,2,FALSE)</f>
        <v>22</v>
      </c>
      <c r="G425" s="3">
        <f>Gegenstände!H425</f>
        <v>1</v>
      </c>
      <c r="H425" s="3">
        <f>Gegenstände!G425</f>
        <v>8</v>
      </c>
      <c r="I425" s="3">
        <f>Gegenstände!D425</f>
        <v>5</v>
      </c>
      <c r="J425" s="168">
        <f>ROUND(Gegenstände!N425,0)</f>
        <v>1700</v>
      </c>
      <c r="K425" s="3">
        <f>Gegenstände!J425</f>
        <v>100</v>
      </c>
      <c r="L425" s="3">
        <f>Gegenstände!L425</f>
        <v>0</v>
      </c>
      <c r="M425" s="3">
        <f>Gegenstände!Z425</f>
        <v>8</v>
      </c>
      <c r="N425" s="783">
        <f>(Gegenstände!Y425*10)</f>
        <v>20</v>
      </c>
      <c r="O425" s="783">
        <f>(Gegenstände!W425*10)</f>
        <v>8</v>
      </c>
      <c r="P425" s="783">
        <f>Gegenstände!AA425*10</f>
        <v>0</v>
      </c>
      <c r="Q425" s="783">
        <f>Gegenstände!O425</f>
        <v>0</v>
      </c>
      <c r="R425" s="168">
        <f>Gegenstände!S425</f>
        <v>0</v>
      </c>
      <c r="S425" s="168">
        <f>Gegenstände!T425</f>
        <v>0</v>
      </c>
      <c r="T425" s="783">
        <f>Gegenstände!AC425</f>
        <v>0</v>
      </c>
      <c r="U425" s="783">
        <f>Gegenstände!AE425</f>
        <v>0</v>
      </c>
      <c r="V425" s="783">
        <f>Gegenstände!AD425</f>
        <v>0</v>
      </c>
      <c r="W425" s="783">
        <f>Gegenstände!AF425</f>
        <v>0</v>
      </c>
      <c r="AB425" s="3">
        <f>Gegenstände!M425</f>
        <v>1</v>
      </c>
      <c r="AC425" s="3">
        <f>Gegenstände!AB425</f>
        <v>0</v>
      </c>
      <c r="AD425" s="3">
        <f>Gegenstände!F425</f>
        <v>0</v>
      </c>
    </row>
    <row r="426" spans="1:30" x14ac:dyDescent="0.2">
      <c r="A426" s="3">
        <f>Gegenstände!A426</f>
        <v>1310</v>
      </c>
      <c r="B426" s="3" t="str">
        <f>Gegenstände!B426</f>
        <v>Weichleder-Stiefel</v>
      </c>
      <c r="D426" s="3">
        <f>Gegenstände!K426</f>
        <v>1200</v>
      </c>
      <c r="E426" s="3">
        <f>Gegenstände!I426</f>
        <v>15</v>
      </c>
      <c r="F426" s="3">
        <f>VLOOKUP(Gegenstände!E426,Berechnungen!$E$87:$F$115,2,FALSE)</f>
        <v>22</v>
      </c>
      <c r="G426" s="3">
        <f>Gegenstände!H426</f>
        <v>1</v>
      </c>
      <c r="H426" s="3">
        <f>Gegenstände!G426</f>
        <v>8</v>
      </c>
      <c r="I426" s="3">
        <f>Gegenstände!D426</f>
        <v>5</v>
      </c>
      <c r="J426" s="168">
        <f>ROUND(Gegenstände!N426,0)</f>
        <v>1300</v>
      </c>
      <c r="K426" s="3">
        <f>Gegenstände!J426</f>
        <v>100</v>
      </c>
      <c r="L426" s="3">
        <f>Gegenstände!L426</f>
        <v>0</v>
      </c>
      <c r="M426" s="3">
        <f>Gegenstände!Z426</f>
        <v>6</v>
      </c>
      <c r="N426" s="783">
        <f>(Gegenstände!Y426*10)</f>
        <v>15</v>
      </c>
      <c r="O426" s="783">
        <f>(Gegenstände!W426*10)</f>
        <v>6</v>
      </c>
      <c r="P426" s="783">
        <f>Gegenstände!AA426*10</f>
        <v>0</v>
      </c>
      <c r="Q426" s="783">
        <f>Gegenstände!O426</f>
        <v>0</v>
      </c>
      <c r="R426" s="168">
        <f>Gegenstände!S426</f>
        <v>0</v>
      </c>
      <c r="S426" s="168">
        <f>Gegenstände!T426</f>
        <v>0</v>
      </c>
      <c r="T426" s="783">
        <f>Gegenstände!AC426</f>
        <v>0</v>
      </c>
      <c r="U426" s="783">
        <f>Gegenstände!AE426</f>
        <v>0</v>
      </c>
      <c r="V426" s="783">
        <f>Gegenstände!AD426</f>
        <v>0</v>
      </c>
      <c r="W426" s="783">
        <f>Gegenstände!AF426</f>
        <v>0</v>
      </c>
      <c r="AB426" s="3">
        <f>Gegenstände!M426</f>
        <v>1</v>
      </c>
      <c r="AC426" s="3">
        <f>Gegenstände!AB426</f>
        <v>0</v>
      </c>
      <c r="AD426" s="3">
        <f>Gegenstände!F426</f>
        <v>0</v>
      </c>
    </row>
    <row r="427" spans="1:30" x14ac:dyDescent="0.2">
      <c r="A427" s="3">
        <f>Gegenstände!A427</f>
        <v>1311</v>
      </c>
      <c r="B427" s="3" t="str">
        <f>Gegenstände!B427</f>
        <v>Leder-Haube</v>
      </c>
      <c r="D427" s="3">
        <f>Gegenstände!K427</f>
        <v>1200</v>
      </c>
      <c r="E427" s="3">
        <f>Gegenstände!I427</f>
        <v>11</v>
      </c>
      <c r="F427" s="3">
        <f>VLOOKUP(Gegenstände!E427,Berechnungen!$E$87:$F$115,2,FALSE)</f>
        <v>22</v>
      </c>
      <c r="G427" s="3">
        <f>Gegenstände!H427</f>
        <v>1</v>
      </c>
      <c r="H427" s="3">
        <f>Gegenstände!G427</f>
        <v>8</v>
      </c>
      <c r="I427" s="3">
        <f>Gegenstände!D427</f>
        <v>6</v>
      </c>
      <c r="J427" s="168">
        <f>ROUND(Gegenstände!N427,0)</f>
        <v>2000</v>
      </c>
      <c r="K427" s="3">
        <f>Gegenstände!J427</f>
        <v>100</v>
      </c>
      <c r="L427" s="3">
        <f>Gegenstände!L427</f>
        <v>0</v>
      </c>
      <c r="M427" s="3">
        <f>Gegenstände!Z427</f>
        <v>8</v>
      </c>
      <c r="N427" s="783">
        <f>(Gegenstände!Y427*10)</f>
        <v>20</v>
      </c>
      <c r="O427" s="783">
        <f>(Gegenstände!W427*10)</f>
        <v>10</v>
      </c>
      <c r="P427" s="783">
        <f>Gegenstände!AA427*10</f>
        <v>0</v>
      </c>
      <c r="Q427" s="783">
        <f>Gegenstände!O427</f>
        <v>0</v>
      </c>
      <c r="R427" s="168">
        <f>Gegenstände!S427</f>
        <v>0</v>
      </c>
      <c r="S427" s="168">
        <f>Gegenstände!T427</f>
        <v>0</v>
      </c>
      <c r="T427" s="783">
        <f>Gegenstände!AC427</f>
        <v>0</v>
      </c>
      <c r="U427" s="783">
        <f>Gegenstände!AE427</f>
        <v>0</v>
      </c>
      <c r="V427" s="783">
        <f>Gegenstände!AD427</f>
        <v>0</v>
      </c>
      <c r="W427" s="783">
        <f>Gegenstände!AF427</f>
        <v>0</v>
      </c>
      <c r="AB427" s="3">
        <f>Gegenstände!M427</f>
        <v>2</v>
      </c>
      <c r="AC427" s="3">
        <f>Gegenstände!AB427</f>
        <v>0</v>
      </c>
      <c r="AD427" s="3">
        <f>Gegenstände!F427</f>
        <v>0</v>
      </c>
    </row>
    <row r="428" spans="1:30" x14ac:dyDescent="0.2">
      <c r="A428" s="3">
        <f>Gegenstände!A428</f>
        <v>1312</v>
      </c>
      <c r="B428" s="3" t="str">
        <f>Gegenstände!B428</f>
        <v>Leder-Wappenrock</v>
      </c>
      <c r="D428" s="3">
        <f>Gegenstände!K428</f>
        <v>1800</v>
      </c>
      <c r="E428" s="3">
        <f>Gegenstände!I428</f>
        <v>12</v>
      </c>
      <c r="F428" s="3">
        <f>VLOOKUP(Gegenstände!E428,Berechnungen!$E$87:$F$115,2,FALSE)</f>
        <v>22</v>
      </c>
      <c r="G428" s="3">
        <f>Gegenstände!H428</f>
        <v>1</v>
      </c>
      <c r="H428" s="3">
        <f>Gegenstände!G428</f>
        <v>8</v>
      </c>
      <c r="I428" s="3">
        <f>Gegenstände!D428</f>
        <v>6</v>
      </c>
      <c r="J428" s="168">
        <f>ROUND(Gegenstände!N428,0)</f>
        <v>3000</v>
      </c>
      <c r="K428" s="3">
        <f>Gegenstände!J428</f>
        <v>100</v>
      </c>
      <c r="L428" s="3">
        <f>Gegenstände!L428</f>
        <v>0</v>
      </c>
      <c r="M428" s="3">
        <f>Gegenstände!Z428</f>
        <v>12</v>
      </c>
      <c r="N428" s="783">
        <f>(Gegenstände!Y428*10)</f>
        <v>30</v>
      </c>
      <c r="O428" s="783">
        <f>(Gegenstände!W428*10)</f>
        <v>15</v>
      </c>
      <c r="P428" s="783">
        <f>Gegenstände!AA428*10</f>
        <v>0</v>
      </c>
      <c r="Q428" s="783">
        <f>Gegenstände!O428</f>
        <v>0</v>
      </c>
      <c r="R428" s="168">
        <f>Gegenstände!S428</f>
        <v>0</v>
      </c>
      <c r="S428" s="168">
        <f>Gegenstände!T428</f>
        <v>0</v>
      </c>
      <c r="T428" s="783">
        <f>Gegenstände!AC428</f>
        <v>0</v>
      </c>
      <c r="U428" s="783">
        <f>Gegenstände!AE428</f>
        <v>0</v>
      </c>
      <c r="V428" s="783">
        <f>Gegenstände!AD428</f>
        <v>0</v>
      </c>
      <c r="W428" s="783">
        <f>Gegenstände!AF428</f>
        <v>0</v>
      </c>
      <c r="AB428" s="3">
        <f>Gegenstände!M428</f>
        <v>2</v>
      </c>
      <c r="AC428" s="3">
        <f>Gegenstände!AB428</f>
        <v>0</v>
      </c>
      <c r="AD428" s="3">
        <f>Gegenstände!F428</f>
        <v>0</v>
      </c>
    </row>
    <row r="429" spans="1:30" x14ac:dyDescent="0.2">
      <c r="A429" s="3">
        <f>Gegenstände!A429</f>
        <v>1313</v>
      </c>
      <c r="B429" s="3" t="str">
        <f>Gegenstände!B429</f>
        <v>Leder-Handschuhe</v>
      </c>
      <c r="D429" s="3">
        <f>Gegenstände!K429</f>
        <v>900</v>
      </c>
      <c r="E429" s="3">
        <f>Gegenstände!I429</f>
        <v>13</v>
      </c>
      <c r="F429" s="3">
        <f>VLOOKUP(Gegenstände!E429,Berechnungen!$E$87:$F$115,2,FALSE)</f>
        <v>22</v>
      </c>
      <c r="G429" s="3">
        <f>Gegenstände!H429</f>
        <v>1</v>
      </c>
      <c r="H429" s="3">
        <f>Gegenstände!G429</f>
        <v>8</v>
      </c>
      <c r="I429" s="3">
        <f>Gegenstände!D429</f>
        <v>7</v>
      </c>
      <c r="J429" s="168">
        <f>ROUND(Gegenstände!N429,0)</f>
        <v>1700</v>
      </c>
      <c r="K429" s="3">
        <f>Gegenstände!J429</f>
        <v>100</v>
      </c>
      <c r="L429" s="3">
        <f>Gegenstände!L429</f>
        <v>0</v>
      </c>
      <c r="M429" s="3">
        <f>Gegenstände!Z429</f>
        <v>6</v>
      </c>
      <c r="N429" s="783">
        <f>(Gegenstände!Y429*10)</f>
        <v>15</v>
      </c>
      <c r="O429" s="783">
        <f>(Gegenstände!W429*10)</f>
        <v>8</v>
      </c>
      <c r="P429" s="783">
        <f>Gegenstände!AA429*10</f>
        <v>0</v>
      </c>
      <c r="Q429" s="783">
        <f>Gegenstände!O429</f>
        <v>0</v>
      </c>
      <c r="R429" s="168">
        <f>Gegenstände!S429</f>
        <v>0</v>
      </c>
      <c r="S429" s="168">
        <f>Gegenstände!T429</f>
        <v>0</v>
      </c>
      <c r="T429" s="783">
        <f>Gegenstände!AC429</f>
        <v>0</v>
      </c>
      <c r="U429" s="783">
        <f>Gegenstände!AE429</f>
        <v>0</v>
      </c>
      <c r="V429" s="783">
        <f>Gegenstände!AD429</f>
        <v>0</v>
      </c>
      <c r="W429" s="783">
        <f>Gegenstände!AF429</f>
        <v>0</v>
      </c>
      <c r="AB429" s="3">
        <f>Gegenstände!M429</f>
        <v>2</v>
      </c>
      <c r="AC429" s="3">
        <f>Gegenstände!AB429</f>
        <v>0</v>
      </c>
      <c r="AD429" s="3">
        <f>Gegenstände!F429</f>
        <v>0</v>
      </c>
    </row>
    <row r="430" spans="1:30" x14ac:dyDescent="0.2">
      <c r="A430" s="3">
        <f>Gegenstände!A430</f>
        <v>1314</v>
      </c>
      <c r="B430" s="3" t="str">
        <f>Gegenstände!B430</f>
        <v>Leder-Hose</v>
      </c>
      <c r="D430" s="3">
        <f>Gegenstände!K430</f>
        <v>1200</v>
      </c>
      <c r="E430" s="3">
        <f>Gegenstände!I430</f>
        <v>14</v>
      </c>
      <c r="F430" s="3">
        <f>VLOOKUP(Gegenstände!E430,Berechnungen!$E$87:$F$115,2,FALSE)</f>
        <v>22</v>
      </c>
      <c r="G430" s="3">
        <f>Gegenstände!H430</f>
        <v>1</v>
      </c>
      <c r="H430" s="3">
        <f>Gegenstände!G430</f>
        <v>8</v>
      </c>
      <c r="I430" s="3">
        <f>Gegenstände!D430</f>
        <v>7</v>
      </c>
      <c r="J430" s="168">
        <f>ROUND(Gegenstände!N430,0)</f>
        <v>2300</v>
      </c>
      <c r="K430" s="3">
        <f>Gegenstände!J430</f>
        <v>100</v>
      </c>
      <c r="L430" s="3">
        <f>Gegenstände!L430</f>
        <v>0</v>
      </c>
      <c r="M430" s="3">
        <f>Gegenstände!Z430</f>
        <v>8</v>
      </c>
      <c r="N430" s="783">
        <f>(Gegenstände!Y430*10)</f>
        <v>20</v>
      </c>
      <c r="O430" s="783">
        <f>(Gegenstände!W430*10)</f>
        <v>10</v>
      </c>
      <c r="P430" s="783">
        <f>Gegenstände!AA430*10</f>
        <v>0</v>
      </c>
      <c r="Q430" s="783">
        <f>Gegenstände!O430</f>
        <v>0</v>
      </c>
      <c r="R430" s="168">
        <f>Gegenstände!S430</f>
        <v>0</v>
      </c>
      <c r="S430" s="168">
        <f>Gegenstände!T430</f>
        <v>0</v>
      </c>
      <c r="T430" s="783">
        <f>Gegenstände!AC430</f>
        <v>0</v>
      </c>
      <c r="U430" s="783">
        <f>Gegenstände!AE430</f>
        <v>0</v>
      </c>
      <c r="V430" s="783">
        <f>Gegenstände!AD430</f>
        <v>0</v>
      </c>
      <c r="W430" s="783">
        <f>Gegenstände!AF430</f>
        <v>0</v>
      </c>
      <c r="AB430" s="3">
        <f>Gegenstände!M430</f>
        <v>2</v>
      </c>
      <c r="AC430" s="3">
        <f>Gegenstände!AB430</f>
        <v>0</v>
      </c>
      <c r="AD430" s="3">
        <f>Gegenstände!F430</f>
        <v>0</v>
      </c>
    </row>
    <row r="431" spans="1:30" x14ac:dyDescent="0.2">
      <c r="A431" s="3">
        <f>Gegenstände!A431</f>
        <v>1315</v>
      </c>
      <c r="B431" s="3" t="str">
        <f>Gegenstände!B431</f>
        <v>Leder-Schuhe</v>
      </c>
      <c r="D431" s="3">
        <f>Gegenstände!K431</f>
        <v>900</v>
      </c>
      <c r="E431" s="3">
        <f>Gegenstände!I431</f>
        <v>15</v>
      </c>
      <c r="F431" s="3">
        <f>VLOOKUP(Gegenstände!E431,Berechnungen!$E$87:$F$115,2,FALSE)</f>
        <v>22</v>
      </c>
      <c r="G431" s="3">
        <f>Gegenstände!H431</f>
        <v>1</v>
      </c>
      <c r="H431" s="3">
        <f>Gegenstände!G431</f>
        <v>8</v>
      </c>
      <c r="I431" s="3">
        <f>Gegenstände!D431</f>
        <v>7</v>
      </c>
      <c r="J431" s="168">
        <f>ROUND(Gegenstände!N431,0)</f>
        <v>1700</v>
      </c>
      <c r="K431" s="3">
        <f>Gegenstände!J431</f>
        <v>100</v>
      </c>
      <c r="L431" s="3">
        <f>Gegenstände!L431</f>
        <v>0</v>
      </c>
      <c r="M431" s="3">
        <f>Gegenstände!Z431</f>
        <v>6</v>
      </c>
      <c r="N431" s="783">
        <f>(Gegenstände!Y431*10)</f>
        <v>15</v>
      </c>
      <c r="O431" s="783">
        <f>(Gegenstände!W431*10)</f>
        <v>8</v>
      </c>
      <c r="P431" s="783">
        <f>Gegenstände!AA431*10</f>
        <v>0</v>
      </c>
      <c r="Q431" s="783">
        <f>Gegenstände!O431</f>
        <v>0</v>
      </c>
      <c r="R431" s="168">
        <f>Gegenstände!S431</f>
        <v>0</v>
      </c>
      <c r="S431" s="168">
        <f>Gegenstände!T431</f>
        <v>0</v>
      </c>
      <c r="T431" s="783">
        <f>Gegenstände!AC431</f>
        <v>0</v>
      </c>
      <c r="U431" s="783">
        <f>Gegenstände!AE431</f>
        <v>0</v>
      </c>
      <c r="V431" s="783">
        <f>Gegenstände!AD431</f>
        <v>0</v>
      </c>
      <c r="W431" s="783">
        <f>Gegenstände!AF431</f>
        <v>0</v>
      </c>
      <c r="AB431" s="3">
        <f>Gegenstände!M431</f>
        <v>2</v>
      </c>
      <c r="AC431" s="3">
        <f>Gegenstände!AB431</f>
        <v>0</v>
      </c>
      <c r="AD431" s="3">
        <f>Gegenstände!F431</f>
        <v>0</v>
      </c>
    </row>
    <row r="432" spans="1:30" x14ac:dyDescent="0.2">
      <c r="A432" s="3">
        <f>Gegenstände!A432</f>
        <v>1316</v>
      </c>
      <c r="B432" s="3" t="str">
        <f>Gegenstände!B432</f>
        <v>Leder-Helm</v>
      </c>
      <c r="D432" s="3">
        <f>Gegenstände!K432</f>
        <v>1600</v>
      </c>
      <c r="E432" s="3">
        <f>Gegenstände!I432</f>
        <v>11</v>
      </c>
      <c r="F432" s="3">
        <f>VLOOKUP(Gegenstände!E432,Berechnungen!$E$87:$F$115,2,FALSE)</f>
        <v>22</v>
      </c>
      <c r="G432" s="3">
        <f>Gegenstände!H432</f>
        <v>1</v>
      </c>
      <c r="H432" s="3">
        <f>Gegenstände!G432</f>
        <v>8</v>
      </c>
      <c r="I432" s="3">
        <f>Gegenstände!D432</f>
        <v>9</v>
      </c>
      <c r="J432" s="168">
        <f>ROUND(Gegenstände!N432,0)</f>
        <v>3100</v>
      </c>
      <c r="K432" s="3">
        <f>Gegenstände!J432</f>
        <v>100</v>
      </c>
      <c r="L432" s="3">
        <f>Gegenstände!L432</f>
        <v>0</v>
      </c>
      <c r="M432" s="3">
        <f>Gegenstände!Z432</f>
        <v>8</v>
      </c>
      <c r="N432" s="783">
        <f>(Gegenstände!Y432*10)</f>
        <v>20</v>
      </c>
      <c r="O432" s="783">
        <f>(Gegenstände!W432*10)</f>
        <v>14</v>
      </c>
      <c r="P432" s="783">
        <f>Gegenstände!AA432*10</f>
        <v>0</v>
      </c>
      <c r="Q432" s="783">
        <f>Gegenstände!O432</f>
        <v>0</v>
      </c>
      <c r="R432" s="168">
        <f>Gegenstände!S432</f>
        <v>0</v>
      </c>
      <c r="S432" s="168">
        <f>Gegenstände!T432</f>
        <v>0</v>
      </c>
      <c r="T432" s="783">
        <f>Gegenstände!AC432</f>
        <v>0</v>
      </c>
      <c r="U432" s="783">
        <f>Gegenstände!AE432</f>
        <v>0</v>
      </c>
      <c r="V432" s="783">
        <f>Gegenstände!AD432</f>
        <v>0</v>
      </c>
      <c r="W432" s="783">
        <f>Gegenstände!AF432</f>
        <v>0</v>
      </c>
      <c r="AB432" s="3">
        <f>Gegenstände!M432</f>
        <v>2</v>
      </c>
      <c r="AC432" s="3">
        <f>Gegenstände!AB432</f>
        <v>0</v>
      </c>
      <c r="AD432" s="3">
        <f>Gegenstände!F432</f>
        <v>0</v>
      </c>
    </row>
    <row r="433" spans="1:30" x14ac:dyDescent="0.2">
      <c r="A433" s="3">
        <f>Gegenstände!A433</f>
        <v>1317</v>
      </c>
      <c r="B433" s="3" t="str">
        <f>Gegenstände!B433</f>
        <v>Leder-Harnisch</v>
      </c>
      <c r="D433" s="3">
        <f>Gegenstände!K433</f>
        <v>2400</v>
      </c>
      <c r="E433" s="3">
        <f>Gegenstände!I433</f>
        <v>12</v>
      </c>
      <c r="F433" s="3">
        <f>VLOOKUP(Gegenstände!E433,Berechnungen!$E$87:$F$115,2,FALSE)</f>
        <v>22</v>
      </c>
      <c r="G433" s="3">
        <f>Gegenstände!H433</f>
        <v>1</v>
      </c>
      <c r="H433" s="3">
        <f>Gegenstände!G433</f>
        <v>8</v>
      </c>
      <c r="I433" s="3">
        <f>Gegenstände!D433</f>
        <v>9</v>
      </c>
      <c r="J433" s="168">
        <f>ROUND(Gegenstände!N433,0)</f>
        <v>4600</v>
      </c>
      <c r="K433" s="3">
        <f>Gegenstände!J433</f>
        <v>100</v>
      </c>
      <c r="L433" s="3">
        <f>Gegenstände!L433</f>
        <v>0</v>
      </c>
      <c r="M433" s="3">
        <f>Gegenstände!Z433</f>
        <v>12</v>
      </c>
      <c r="N433" s="783">
        <f>(Gegenstände!Y433*10)</f>
        <v>30</v>
      </c>
      <c r="O433" s="783">
        <f>(Gegenstände!W433*10)</f>
        <v>21</v>
      </c>
      <c r="P433" s="783">
        <f>Gegenstände!AA433*10</f>
        <v>0</v>
      </c>
      <c r="Q433" s="783">
        <f>Gegenstände!O433</f>
        <v>0</v>
      </c>
      <c r="R433" s="168">
        <f>Gegenstände!S433</f>
        <v>0</v>
      </c>
      <c r="S433" s="168">
        <f>Gegenstände!T433</f>
        <v>0</v>
      </c>
      <c r="T433" s="783">
        <f>Gegenstände!AC433</f>
        <v>0</v>
      </c>
      <c r="U433" s="783">
        <f>Gegenstände!AE433</f>
        <v>0</v>
      </c>
      <c r="V433" s="783">
        <f>Gegenstände!AD433</f>
        <v>0</v>
      </c>
      <c r="W433" s="783">
        <f>Gegenstände!AF433</f>
        <v>0</v>
      </c>
      <c r="AB433" s="3">
        <f>Gegenstände!M433</f>
        <v>2</v>
      </c>
      <c r="AC433" s="3">
        <f>Gegenstände!AB433</f>
        <v>0</v>
      </c>
      <c r="AD433" s="3">
        <f>Gegenstände!F433</f>
        <v>0</v>
      </c>
    </row>
    <row r="434" spans="1:30" x14ac:dyDescent="0.2">
      <c r="A434" s="3">
        <f>Gegenstände!A434</f>
        <v>1318</v>
      </c>
      <c r="B434" s="3" t="str">
        <f>Gegenstände!B434</f>
        <v>Leder-Stulpen</v>
      </c>
      <c r="D434" s="3">
        <f>Gegenstände!K434</f>
        <v>1200</v>
      </c>
      <c r="E434" s="3">
        <f>Gegenstände!I434</f>
        <v>13</v>
      </c>
      <c r="F434" s="3">
        <f>VLOOKUP(Gegenstände!E434,Berechnungen!$E$87:$F$115,2,FALSE)</f>
        <v>22</v>
      </c>
      <c r="G434" s="3">
        <f>Gegenstände!H434</f>
        <v>1</v>
      </c>
      <c r="H434" s="3">
        <f>Gegenstände!G434</f>
        <v>8</v>
      </c>
      <c r="I434" s="3">
        <f>Gegenstände!D434</f>
        <v>10</v>
      </c>
      <c r="J434" s="168">
        <f>ROUND(Gegenstände!N434,0)</f>
        <v>2600</v>
      </c>
      <c r="K434" s="3">
        <f>Gegenstände!J434</f>
        <v>100</v>
      </c>
      <c r="L434" s="3">
        <f>Gegenstände!L434</f>
        <v>0</v>
      </c>
      <c r="M434" s="3">
        <f>Gegenstände!Z434</f>
        <v>6</v>
      </c>
      <c r="N434" s="783">
        <f>(Gegenstände!Y434*10)</f>
        <v>15</v>
      </c>
      <c r="O434" s="783">
        <f>(Gegenstände!W434*10)</f>
        <v>11</v>
      </c>
      <c r="P434" s="783">
        <f>Gegenstände!AA434*10</f>
        <v>0</v>
      </c>
      <c r="Q434" s="783">
        <f>Gegenstände!O434</f>
        <v>0</v>
      </c>
      <c r="R434" s="168">
        <f>Gegenstände!S434</f>
        <v>0</v>
      </c>
      <c r="S434" s="168">
        <f>Gegenstände!T434</f>
        <v>0</v>
      </c>
      <c r="T434" s="783">
        <f>Gegenstände!AC434</f>
        <v>0</v>
      </c>
      <c r="U434" s="783">
        <f>Gegenstände!AE434</f>
        <v>0</v>
      </c>
      <c r="V434" s="783">
        <f>Gegenstände!AD434</f>
        <v>0</v>
      </c>
      <c r="W434" s="783">
        <f>Gegenstände!AF434</f>
        <v>0</v>
      </c>
      <c r="AB434" s="3">
        <f>Gegenstände!M434</f>
        <v>2</v>
      </c>
      <c r="AC434" s="3">
        <f>Gegenstände!AB434</f>
        <v>0</v>
      </c>
      <c r="AD434" s="3">
        <f>Gegenstände!F434</f>
        <v>0</v>
      </c>
    </row>
    <row r="435" spans="1:30" x14ac:dyDescent="0.2">
      <c r="A435" s="3">
        <f>Gegenstände!A435</f>
        <v>1319</v>
      </c>
      <c r="B435" s="3" t="str">
        <f>Gegenstände!B435</f>
        <v>Leder-Beinlinge</v>
      </c>
      <c r="D435" s="3">
        <f>Gegenstände!K435</f>
        <v>1600</v>
      </c>
      <c r="E435" s="3">
        <f>Gegenstände!I435</f>
        <v>14</v>
      </c>
      <c r="F435" s="3">
        <f>VLOOKUP(Gegenstände!E435,Berechnungen!$E$87:$F$115,2,FALSE)</f>
        <v>22</v>
      </c>
      <c r="G435" s="3">
        <f>Gegenstände!H435</f>
        <v>1</v>
      </c>
      <c r="H435" s="3">
        <f>Gegenstände!G435</f>
        <v>8</v>
      </c>
      <c r="I435" s="3">
        <f>Gegenstände!D435</f>
        <v>10</v>
      </c>
      <c r="J435" s="168">
        <f>ROUND(Gegenstände!N435,0)</f>
        <v>3500</v>
      </c>
      <c r="K435" s="3">
        <f>Gegenstände!J435</f>
        <v>100</v>
      </c>
      <c r="L435" s="3">
        <f>Gegenstände!L435</f>
        <v>0</v>
      </c>
      <c r="M435" s="3">
        <f>Gegenstände!Z435</f>
        <v>8</v>
      </c>
      <c r="N435" s="783">
        <f>(Gegenstände!Y435*10)</f>
        <v>20</v>
      </c>
      <c r="O435" s="783">
        <f>(Gegenstände!W435*10)</f>
        <v>14</v>
      </c>
      <c r="P435" s="783">
        <f>Gegenstände!AA435*10</f>
        <v>0</v>
      </c>
      <c r="Q435" s="783">
        <f>Gegenstände!O435</f>
        <v>0</v>
      </c>
      <c r="R435" s="168">
        <f>Gegenstände!S435</f>
        <v>0</v>
      </c>
      <c r="S435" s="168">
        <f>Gegenstände!T435</f>
        <v>0</v>
      </c>
      <c r="T435" s="783">
        <f>Gegenstände!AC435</f>
        <v>0</v>
      </c>
      <c r="U435" s="783">
        <f>Gegenstände!AE435</f>
        <v>0</v>
      </c>
      <c r="V435" s="783">
        <f>Gegenstände!AD435</f>
        <v>0</v>
      </c>
      <c r="W435" s="783">
        <f>Gegenstände!AF435</f>
        <v>0</v>
      </c>
      <c r="AB435" s="3">
        <f>Gegenstände!M435</f>
        <v>2</v>
      </c>
      <c r="AC435" s="3">
        <f>Gegenstände!AB435</f>
        <v>0</v>
      </c>
      <c r="AD435" s="3">
        <f>Gegenstände!F435</f>
        <v>0</v>
      </c>
    </row>
    <row r="436" spans="1:30" x14ac:dyDescent="0.2">
      <c r="A436" s="3">
        <f>Gegenstände!A436</f>
        <v>1320</v>
      </c>
      <c r="B436" s="3" t="str">
        <f>Gegenstände!B436</f>
        <v>Leder-Stiefel</v>
      </c>
      <c r="D436" s="3">
        <f>Gegenstände!K436</f>
        <v>1200</v>
      </c>
      <c r="E436" s="3">
        <f>Gegenstände!I436</f>
        <v>15</v>
      </c>
      <c r="F436" s="3">
        <f>VLOOKUP(Gegenstände!E436,Berechnungen!$E$87:$F$115,2,FALSE)</f>
        <v>22</v>
      </c>
      <c r="G436" s="3">
        <f>Gegenstände!H436</f>
        <v>1</v>
      </c>
      <c r="H436" s="3">
        <f>Gegenstände!G436</f>
        <v>8</v>
      </c>
      <c r="I436" s="3">
        <f>Gegenstände!D436</f>
        <v>10</v>
      </c>
      <c r="J436" s="168">
        <f>ROUND(Gegenstände!N436,0)</f>
        <v>2600</v>
      </c>
      <c r="K436" s="3">
        <f>Gegenstände!J436</f>
        <v>100</v>
      </c>
      <c r="L436" s="3">
        <f>Gegenstände!L436</f>
        <v>0</v>
      </c>
      <c r="M436" s="3">
        <f>Gegenstände!Z436</f>
        <v>6</v>
      </c>
      <c r="N436" s="783">
        <f>(Gegenstände!Y436*10)</f>
        <v>15</v>
      </c>
      <c r="O436" s="783">
        <f>(Gegenstände!W436*10)</f>
        <v>11</v>
      </c>
      <c r="P436" s="783">
        <f>Gegenstände!AA436*10</f>
        <v>0</v>
      </c>
      <c r="Q436" s="783">
        <f>Gegenstände!O436</f>
        <v>0</v>
      </c>
      <c r="R436" s="168">
        <f>Gegenstände!S436</f>
        <v>0</v>
      </c>
      <c r="S436" s="168">
        <f>Gegenstände!T436</f>
        <v>0</v>
      </c>
      <c r="T436" s="783">
        <f>Gegenstände!AC436</f>
        <v>0</v>
      </c>
      <c r="U436" s="783">
        <f>Gegenstände!AE436</f>
        <v>0</v>
      </c>
      <c r="V436" s="783">
        <f>Gegenstände!AD436</f>
        <v>0</v>
      </c>
      <c r="W436" s="783">
        <f>Gegenstände!AF436</f>
        <v>0</v>
      </c>
      <c r="AB436" s="3">
        <f>Gegenstände!M436</f>
        <v>2</v>
      </c>
      <c r="AC436" s="3">
        <f>Gegenstände!AB436</f>
        <v>0</v>
      </c>
      <c r="AD436" s="3">
        <f>Gegenstände!F436</f>
        <v>0</v>
      </c>
    </row>
    <row r="437" spans="1:30" x14ac:dyDescent="0.2">
      <c r="A437" s="3">
        <f>Gegenstände!A437</f>
        <v>1321</v>
      </c>
      <c r="B437" s="3" t="str">
        <f>Gegenstände!B437</f>
        <v>Hartleder-Haube</v>
      </c>
      <c r="D437" s="3">
        <f>Gegenstände!K437</f>
        <v>1200</v>
      </c>
      <c r="E437" s="3">
        <f>Gegenstände!I437</f>
        <v>11</v>
      </c>
      <c r="F437" s="3">
        <f>VLOOKUP(Gegenstände!E437,Berechnungen!$E$87:$F$115,2,FALSE)</f>
        <v>22</v>
      </c>
      <c r="G437" s="3">
        <f>Gegenstände!H437</f>
        <v>1</v>
      </c>
      <c r="H437" s="3">
        <f>Gegenstände!G437</f>
        <v>8</v>
      </c>
      <c r="I437" s="3">
        <f>Gegenstände!D437</f>
        <v>11</v>
      </c>
      <c r="J437" s="168">
        <f>ROUND(Gegenstände!N437,0)</f>
        <v>4000</v>
      </c>
      <c r="K437" s="3">
        <f>Gegenstände!J437</f>
        <v>100</v>
      </c>
      <c r="L437" s="3">
        <f>Gegenstände!L437</f>
        <v>0</v>
      </c>
      <c r="M437" s="3">
        <f>Gegenstände!Z437</f>
        <v>8</v>
      </c>
      <c r="N437" s="783">
        <f>(Gegenstände!Y437*10)</f>
        <v>20</v>
      </c>
      <c r="O437" s="783">
        <f>(Gegenstände!W437*10)</f>
        <v>16</v>
      </c>
      <c r="P437" s="783">
        <f>Gegenstände!AA437*10</f>
        <v>0</v>
      </c>
      <c r="Q437" s="783">
        <f>Gegenstände!O437</f>
        <v>0</v>
      </c>
      <c r="R437" s="168">
        <f>Gegenstände!S437</f>
        <v>0</v>
      </c>
      <c r="S437" s="168">
        <f>Gegenstände!T437</f>
        <v>0</v>
      </c>
      <c r="T437" s="783">
        <f>Gegenstände!AC437</f>
        <v>0</v>
      </c>
      <c r="U437" s="783">
        <f>Gegenstände!AE437</f>
        <v>0</v>
      </c>
      <c r="V437" s="783">
        <f>Gegenstände!AD437</f>
        <v>0</v>
      </c>
      <c r="W437" s="783">
        <f>Gegenstände!AF437</f>
        <v>0</v>
      </c>
      <c r="AB437" s="3">
        <f>Gegenstände!M437</f>
        <v>3</v>
      </c>
      <c r="AC437" s="3">
        <f>Gegenstände!AB437</f>
        <v>0</v>
      </c>
      <c r="AD437" s="3">
        <f>Gegenstände!F437</f>
        <v>0</v>
      </c>
    </row>
    <row r="438" spans="1:30" x14ac:dyDescent="0.2">
      <c r="A438" s="3">
        <f>Gegenstände!A438</f>
        <v>1322</v>
      </c>
      <c r="B438" s="3" t="str">
        <f>Gegenstände!B438</f>
        <v>Hartleder-Wappenrock</v>
      </c>
      <c r="D438" s="3">
        <f>Gegenstände!K438</f>
        <v>1800</v>
      </c>
      <c r="E438" s="3">
        <f>Gegenstände!I438</f>
        <v>12</v>
      </c>
      <c r="F438" s="3">
        <f>VLOOKUP(Gegenstände!E438,Berechnungen!$E$87:$F$115,2,FALSE)</f>
        <v>22</v>
      </c>
      <c r="G438" s="3">
        <f>Gegenstände!H438</f>
        <v>1</v>
      </c>
      <c r="H438" s="3">
        <f>Gegenstände!G438</f>
        <v>8</v>
      </c>
      <c r="I438" s="3">
        <f>Gegenstände!D438</f>
        <v>11</v>
      </c>
      <c r="J438" s="168">
        <f>ROUND(Gegenstände!N438,0)</f>
        <v>6100</v>
      </c>
      <c r="K438" s="3">
        <f>Gegenstände!J438</f>
        <v>100</v>
      </c>
      <c r="L438" s="3">
        <f>Gegenstände!L438</f>
        <v>0</v>
      </c>
      <c r="M438" s="3">
        <f>Gegenstände!Z438</f>
        <v>12</v>
      </c>
      <c r="N438" s="783">
        <f>(Gegenstände!Y438*10)</f>
        <v>30</v>
      </c>
      <c r="O438" s="783">
        <f>(Gegenstände!W438*10)</f>
        <v>24</v>
      </c>
      <c r="P438" s="783">
        <f>Gegenstände!AA438*10</f>
        <v>0</v>
      </c>
      <c r="Q438" s="783">
        <f>Gegenstände!O438</f>
        <v>0</v>
      </c>
      <c r="R438" s="168">
        <f>Gegenstände!S438</f>
        <v>0</v>
      </c>
      <c r="S438" s="168">
        <f>Gegenstände!T438</f>
        <v>0</v>
      </c>
      <c r="T438" s="783">
        <f>Gegenstände!AC438</f>
        <v>0</v>
      </c>
      <c r="U438" s="783">
        <f>Gegenstände!AE438</f>
        <v>0</v>
      </c>
      <c r="V438" s="783">
        <f>Gegenstände!AD438</f>
        <v>0</v>
      </c>
      <c r="W438" s="783">
        <f>Gegenstände!AF438</f>
        <v>0</v>
      </c>
      <c r="AB438" s="3">
        <f>Gegenstände!M438</f>
        <v>3</v>
      </c>
      <c r="AC438" s="3">
        <f>Gegenstände!AB438</f>
        <v>0</v>
      </c>
      <c r="AD438" s="3">
        <f>Gegenstände!F438</f>
        <v>0</v>
      </c>
    </row>
    <row r="439" spans="1:30" x14ac:dyDescent="0.2">
      <c r="A439" s="3">
        <f>Gegenstände!A439</f>
        <v>1323</v>
      </c>
      <c r="B439" s="3" t="str">
        <f>Gegenstände!B439</f>
        <v>Hartleder-Handschuhe</v>
      </c>
      <c r="D439" s="3">
        <f>Gegenstände!K439</f>
        <v>900</v>
      </c>
      <c r="E439" s="3">
        <f>Gegenstände!I439</f>
        <v>13</v>
      </c>
      <c r="F439" s="3">
        <f>VLOOKUP(Gegenstände!E439,Berechnungen!$E$87:$F$115,2,FALSE)</f>
        <v>22</v>
      </c>
      <c r="G439" s="3">
        <f>Gegenstände!H439</f>
        <v>1</v>
      </c>
      <c r="H439" s="3">
        <f>Gegenstände!G439</f>
        <v>8</v>
      </c>
      <c r="I439" s="3">
        <f>Gegenstände!D439</f>
        <v>12</v>
      </c>
      <c r="J439" s="168">
        <f>ROUND(Gegenstände!N439,0)</f>
        <v>3500</v>
      </c>
      <c r="K439" s="3">
        <f>Gegenstände!J439</f>
        <v>100</v>
      </c>
      <c r="L439" s="3">
        <f>Gegenstände!L439</f>
        <v>0</v>
      </c>
      <c r="M439" s="3">
        <f>Gegenstände!Z439</f>
        <v>6</v>
      </c>
      <c r="N439" s="783">
        <f>(Gegenstände!Y439*10)</f>
        <v>15</v>
      </c>
      <c r="O439" s="783">
        <f>(Gegenstände!W439*10)</f>
        <v>12</v>
      </c>
      <c r="P439" s="783">
        <f>Gegenstände!AA439*10</f>
        <v>0</v>
      </c>
      <c r="Q439" s="783">
        <f>Gegenstände!O439</f>
        <v>0</v>
      </c>
      <c r="R439" s="168">
        <f>Gegenstände!S439</f>
        <v>0</v>
      </c>
      <c r="S439" s="168">
        <f>Gegenstände!T439</f>
        <v>0</v>
      </c>
      <c r="T439" s="783">
        <f>Gegenstände!AC439</f>
        <v>0</v>
      </c>
      <c r="U439" s="783">
        <f>Gegenstände!AE439</f>
        <v>0</v>
      </c>
      <c r="V439" s="783">
        <f>Gegenstände!AD439</f>
        <v>0</v>
      </c>
      <c r="W439" s="783">
        <f>Gegenstände!AF439</f>
        <v>0</v>
      </c>
      <c r="AB439" s="3">
        <f>Gegenstände!M439</f>
        <v>3</v>
      </c>
      <c r="AC439" s="3">
        <f>Gegenstände!AB439</f>
        <v>0</v>
      </c>
      <c r="AD439" s="3">
        <f>Gegenstände!F439</f>
        <v>0</v>
      </c>
    </row>
    <row r="440" spans="1:30" x14ac:dyDescent="0.2">
      <c r="A440" s="3">
        <f>Gegenstände!A440</f>
        <v>1324</v>
      </c>
      <c r="B440" s="3" t="str">
        <f>Gegenstände!B440</f>
        <v>Hartleder-Hose</v>
      </c>
      <c r="D440" s="3">
        <f>Gegenstände!K440</f>
        <v>1200</v>
      </c>
      <c r="E440" s="3">
        <f>Gegenstände!I440</f>
        <v>14</v>
      </c>
      <c r="F440" s="3">
        <f>VLOOKUP(Gegenstände!E440,Berechnungen!$E$87:$F$115,2,FALSE)</f>
        <v>22</v>
      </c>
      <c r="G440" s="3">
        <f>Gegenstände!H440</f>
        <v>1</v>
      </c>
      <c r="H440" s="3">
        <f>Gegenstände!G440</f>
        <v>8</v>
      </c>
      <c r="I440" s="3">
        <f>Gegenstände!D440</f>
        <v>12</v>
      </c>
      <c r="J440" s="168">
        <f>ROUND(Gegenstände!N440,0)</f>
        <v>4700</v>
      </c>
      <c r="K440" s="3">
        <f>Gegenstände!J440</f>
        <v>100</v>
      </c>
      <c r="L440" s="3">
        <f>Gegenstände!L440</f>
        <v>0</v>
      </c>
      <c r="M440" s="3">
        <f>Gegenstände!Z440</f>
        <v>8</v>
      </c>
      <c r="N440" s="783">
        <f>(Gegenstände!Y440*10)</f>
        <v>20</v>
      </c>
      <c r="O440" s="783">
        <f>(Gegenstände!W440*10)</f>
        <v>16</v>
      </c>
      <c r="P440" s="783">
        <f>Gegenstände!AA440*10</f>
        <v>0</v>
      </c>
      <c r="Q440" s="783">
        <f>Gegenstände!O440</f>
        <v>0</v>
      </c>
      <c r="R440" s="168">
        <f>Gegenstände!S440</f>
        <v>0</v>
      </c>
      <c r="S440" s="168">
        <f>Gegenstände!T440</f>
        <v>0</v>
      </c>
      <c r="T440" s="783">
        <f>Gegenstände!AC440</f>
        <v>0</v>
      </c>
      <c r="U440" s="783">
        <f>Gegenstände!AE440</f>
        <v>0</v>
      </c>
      <c r="V440" s="783">
        <f>Gegenstände!AD440</f>
        <v>0</v>
      </c>
      <c r="W440" s="783">
        <f>Gegenstände!AF440</f>
        <v>0</v>
      </c>
      <c r="AB440" s="3">
        <f>Gegenstände!M440</f>
        <v>3</v>
      </c>
      <c r="AC440" s="3">
        <f>Gegenstände!AB440</f>
        <v>0</v>
      </c>
      <c r="AD440" s="3">
        <f>Gegenstände!F440</f>
        <v>0</v>
      </c>
    </row>
    <row r="441" spans="1:30" x14ac:dyDescent="0.2">
      <c r="A441" s="3">
        <f>Gegenstände!A441</f>
        <v>1325</v>
      </c>
      <c r="B441" s="3" t="str">
        <f>Gegenstände!B441</f>
        <v>Hartleder-Schuhe</v>
      </c>
      <c r="D441" s="3">
        <f>Gegenstände!K441</f>
        <v>900</v>
      </c>
      <c r="E441" s="3">
        <f>Gegenstände!I441</f>
        <v>15</v>
      </c>
      <c r="F441" s="3">
        <f>VLOOKUP(Gegenstände!E441,Berechnungen!$E$87:$F$115,2,FALSE)</f>
        <v>22</v>
      </c>
      <c r="G441" s="3">
        <f>Gegenstände!H441</f>
        <v>1</v>
      </c>
      <c r="H441" s="3">
        <f>Gegenstände!G441</f>
        <v>8</v>
      </c>
      <c r="I441" s="3">
        <f>Gegenstände!D441</f>
        <v>12</v>
      </c>
      <c r="J441" s="168">
        <f>ROUND(Gegenstände!N441,0)</f>
        <v>3500</v>
      </c>
      <c r="K441" s="3">
        <f>Gegenstände!J441</f>
        <v>100</v>
      </c>
      <c r="L441" s="3">
        <f>Gegenstände!L441</f>
        <v>0</v>
      </c>
      <c r="M441" s="3">
        <f>Gegenstände!Z441</f>
        <v>6</v>
      </c>
      <c r="N441" s="783">
        <f>(Gegenstände!Y441*10)</f>
        <v>15</v>
      </c>
      <c r="O441" s="783">
        <f>(Gegenstände!W441*10)</f>
        <v>12</v>
      </c>
      <c r="P441" s="783">
        <f>Gegenstände!AA441*10</f>
        <v>0</v>
      </c>
      <c r="Q441" s="783">
        <f>Gegenstände!O441</f>
        <v>0</v>
      </c>
      <c r="R441" s="168">
        <f>Gegenstände!S441</f>
        <v>0</v>
      </c>
      <c r="S441" s="168">
        <f>Gegenstände!T441</f>
        <v>0</v>
      </c>
      <c r="T441" s="783">
        <f>Gegenstände!AC441</f>
        <v>0</v>
      </c>
      <c r="U441" s="783">
        <f>Gegenstände!AE441</f>
        <v>0</v>
      </c>
      <c r="V441" s="783">
        <f>Gegenstände!AD441</f>
        <v>0</v>
      </c>
      <c r="W441" s="783">
        <f>Gegenstände!AF441</f>
        <v>0</v>
      </c>
      <c r="AB441" s="3">
        <f>Gegenstände!M441</f>
        <v>3</v>
      </c>
      <c r="AC441" s="3">
        <f>Gegenstände!AB441</f>
        <v>0</v>
      </c>
      <c r="AD441" s="3">
        <f>Gegenstände!F441</f>
        <v>0</v>
      </c>
    </row>
    <row r="442" spans="1:30" x14ac:dyDescent="0.2">
      <c r="A442" s="3">
        <f>Gegenstände!A442</f>
        <v>1326</v>
      </c>
      <c r="B442" s="3" t="str">
        <f>Gegenstände!B442</f>
        <v>Hartleder-Helm</v>
      </c>
      <c r="D442" s="3">
        <f>Gegenstände!K442</f>
        <v>1600</v>
      </c>
      <c r="E442" s="3">
        <f>Gegenstände!I442</f>
        <v>11</v>
      </c>
      <c r="F442" s="3">
        <f>VLOOKUP(Gegenstände!E442,Berechnungen!$E$87:$F$115,2,FALSE)</f>
        <v>22</v>
      </c>
      <c r="G442" s="3">
        <f>Gegenstände!H442</f>
        <v>1</v>
      </c>
      <c r="H442" s="3">
        <f>Gegenstände!G442</f>
        <v>8</v>
      </c>
      <c r="I442" s="3">
        <f>Gegenstände!D442</f>
        <v>14</v>
      </c>
      <c r="J442" s="168">
        <f>ROUND(Gegenstände!N442,0)</f>
        <v>6200</v>
      </c>
      <c r="K442" s="3">
        <f>Gegenstände!J442</f>
        <v>100</v>
      </c>
      <c r="L442" s="3">
        <f>Gegenstände!L442</f>
        <v>0</v>
      </c>
      <c r="M442" s="3">
        <f>Gegenstände!Z442</f>
        <v>8</v>
      </c>
      <c r="N442" s="783">
        <f>(Gegenstände!Y442*10)</f>
        <v>20</v>
      </c>
      <c r="O442" s="783">
        <f>(Gegenstände!W442*10)</f>
        <v>20</v>
      </c>
      <c r="P442" s="783">
        <f>Gegenstände!AA442*10</f>
        <v>0</v>
      </c>
      <c r="Q442" s="783">
        <f>Gegenstände!O442</f>
        <v>0</v>
      </c>
      <c r="R442" s="168">
        <f>Gegenstände!S442</f>
        <v>0</v>
      </c>
      <c r="S442" s="168">
        <f>Gegenstände!T442</f>
        <v>0</v>
      </c>
      <c r="T442" s="783">
        <f>Gegenstände!AC442</f>
        <v>0</v>
      </c>
      <c r="U442" s="783">
        <f>Gegenstände!AE442</f>
        <v>0</v>
      </c>
      <c r="V442" s="783">
        <f>Gegenstände!AD442</f>
        <v>0</v>
      </c>
      <c r="W442" s="783">
        <f>Gegenstände!AF442</f>
        <v>0</v>
      </c>
      <c r="AB442" s="3">
        <f>Gegenstände!M442</f>
        <v>3</v>
      </c>
      <c r="AC442" s="3">
        <f>Gegenstände!AB442</f>
        <v>0</v>
      </c>
      <c r="AD442" s="3">
        <f>Gegenstände!F442</f>
        <v>0</v>
      </c>
    </row>
    <row r="443" spans="1:30" x14ac:dyDescent="0.2">
      <c r="A443" s="3">
        <f>Gegenstände!A443</f>
        <v>1327</v>
      </c>
      <c r="B443" s="3" t="str">
        <f>Gegenstände!B443</f>
        <v>Hartleder-Harnisch</v>
      </c>
      <c r="D443" s="3">
        <f>Gegenstände!K443</f>
        <v>2400</v>
      </c>
      <c r="E443" s="3">
        <f>Gegenstände!I443</f>
        <v>12</v>
      </c>
      <c r="F443" s="3">
        <f>VLOOKUP(Gegenstände!E443,Berechnungen!$E$87:$F$115,2,FALSE)</f>
        <v>22</v>
      </c>
      <c r="G443" s="3">
        <f>Gegenstände!H443</f>
        <v>1</v>
      </c>
      <c r="H443" s="3">
        <f>Gegenstände!G443</f>
        <v>8</v>
      </c>
      <c r="I443" s="3">
        <f>Gegenstände!D443</f>
        <v>14</v>
      </c>
      <c r="J443" s="168">
        <f>ROUND(Gegenstände!N443,0)</f>
        <v>9200</v>
      </c>
      <c r="K443" s="3">
        <f>Gegenstände!J443</f>
        <v>100</v>
      </c>
      <c r="L443" s="3">
        <f>Gegenstände!L443</f>
        <v>0</v>
      </c>
      <c r="M443" s="3">
        <f>Gegenstände!Z443</f>
        <v>12</v>
      </c>
      <c r="N443" s="783">
        <f>(Gegenstände!Y443*10)</f>
        <v>30</v>
      </c>
      <c r="O443" s="783">
        <f>(Gegenstände!W443*10)</f>
        <v>30</v>
      </c>
      <c r="P443" s="783">
        <f>Gegenstände!AA443*10</f>
        <v>0</v>
      </c>
      <c r="Q443" s="783">
        <f>Gegenstände!O443</f>
        <v>0</v>
      </c>
      <c r="R443" s="168">
        <f>Gegenstände!S443</f>
        <v>0</v>
      </c>
      <c r="S443" s="168">
        <f>Gegenstände!T443</f>
        <v>0</v>
      </c>
      <c r="T443" s="783">
        <f>Gegenstände!AC443</f>
        <v>0</v>
      </c>
      <c r="U443" s="783">
        <f>Gegenstände!AE443</f>
        <v>0</v>
      </c>
      <c r="V443" s="783">
        <f>Gegenstände!AD443</f>
        <v>0</v>
      </c>
      <c r="W443" s="783">
        <f>Gegenstände!AF443</f>
        <v>0</v>
      </c>
      <c r="AB443" s="3">
        <f>Gegenstände!M443</f>
        <v>3</v>
      </c>
      <c r="AC443" s="3">
        <f>Gegenstände!AB443</f>
        <v>0</v>
      </c>
      <c r="AD443" s="3">
        <f>Gegenstände!F443</f>
        <v>0</v>
      </c>
    </row>
    <row r="444" spans="1:30" x14ac:dyDescent="0.2">
      <c r="A444" s="3">
        <f>Gegenstände!A444</f>
        <v>1328</v>
      </c>
      <c r="B444" s="3" t="str">
        <f>Gegenstände!B444</f>
        <v>Hartleder-Stulpen</v>
      </c>
      <c r="D444" s="3">
        <f>Gegenstände!K444</f>
        <v>1200</v>
      </c>
      <c r="E444" s="3">
        <f>Gegenstände!I444</f>
        <v>13</v>
      </c>
      <c r="F444" s="3">
        <f>VLOOKUP(Gegenstände!E444,Berechnungen!$E$87:$F$115,2,FALSE)</f>
        <v>22</v>
      </c>
      <c r="G444" s="3">
        <f>Gegenstände!H444</f>
        <v>1</v>
      </c>
      <c r="H444" s="3">
        <f>Gegenstände!G444</f>
        <v>8</v>
      </c>
      <c r="I444" s="3">
        <f>Gegenstände!D444</f>
        <v>15</v>
      </c>
      <c r="J444" s="168">
        <f>ROUND(Gegenstände!N444,0)</f>
        <v>5300</v>
      </c>
      <c r="K444" s="3">
        <f>Gegenstände!J444</f>
        <v>100</v>
      </c>
      <c r="L444" s="3">
        <f>Gegenstände!L444</f>
        <v>0</v>
      </c>
      <c r="M444" s="3">
        <f>Gegenstände!Z444</f>
        <v>6</v>
      </c>
      <c r="N444" s="783">
        <f>(Gegenstände!Y444*10)</f>
        <v>15</v>
      </c>
      <c r="O444" s="783">
        <f>(Gegenstände!W444*10)</f>
        <v>15</v>
      </c>
      <c r="P444" s="783">
        <f>Gegenstände!AA444*10</f>
        <v>0</v>
      </c>
      <c r="Q444" s="783">
        <f>Gegenstände!O444</f>
        <v>0</v>
      </c>
      <c r="R444" s="168">
        <f>Gegenstände!S444</f>
        <v>0</v>
      </c>
      <c r="S444" s="168">
        <f>Gegenstände!T444</f>
        <v>0</v>
      </c>
      <c r="T444" s="783">
        <f>Gegenstände!AC444</f>
        <v>0</v>
      </c>
      <c r="U444" s="783">
        <f>Gegenstände!AE444</f>
        <v>0</v>
      </c>
      <c r="V444" s="783">
        <f>Gegenstände!AD444</f>
        <v>0</v>
      </c>
      <c r="W444" s="783">
        <f>Gegenstände!AF444</f>
        <v>0</v>
      </c>
      <c r="AB444" s="3">
        <f>Gegenstände!M444</f>
        <v>3</v>
      </c>
      <c r="AC444" s="3">
        <f>Gegenstände!AB444</f>
        <v>0</v>
      </c>
      <c r="AD444" s="3">
        <f>Gegenstände!F444</f>
        <v>0</v>
      </c>
    </row>
    <row r="445" spans="1:30" x14ac:dyDescent="0.2">
      <c r="A445" s="3">
        <f>Gegenstände!A445</f>
        <v>1329</v>
      </c>
      <c r="B445" s="3" t="str">
        <f>Gegenstände!B445</f>
        <v>Hartleder-Beinlinge</v>
      </c>
      <c r="D445" s="3">
        <f>Gegenstände!K445</f>
        <v>1600</v>
      </c>
      <c r="E445" s="3">
        <f>Gegenstände!I445</f>
        <v>14</v>
      </c>
      <c r="F445" s="3">
        <f>VLOOKUP(Gegenstände!E445,Berechnungen!$E$87:$F$115,2,FALSE)</f>
        <v>22</v>
      </c>
      <c r="G445" s="3">
        <f>Gegenstände!H445</f>
        <v>1</v>
      </c>
      <c r="H445" s="3">
        <f>Gegenstände!G445</f>
        <v>8</v>
      </c>
      <c r="I445" s="3">
        <f>Gegenstände!D445</f>
        <v>15</v>
      </c>
      <c r="J445" s="168">
        <f>ROUND(Gegenstände!N445,0)</f>
        <v>7100</v>
      </c>
      <c r="K445" s="3">
        <f>Gegenstände!J445</f>
        <v>100</v>
      </c>
      <c r="L445" s="3">
        <f>Gegenstände!L445</f>
        <v>0</v>
      </c>
      <c r="M445" s="3">
        <f>Gegenstände!Z445</f>
        <v>8</v>
      </c>
      <c r="N445" s="783">
        <f>(Gegenstände!Y445*10)</f>
        <v>20</v>
      </c>
      <c r="O445" s="783">
        <f>(Gegenstände!W445*10)</f>
        <v>20</v>
      </c>
      <c r="P445" s="783">
        <f>Gegenstände!AA445*10</f>
        <v>0</v>
      </c>
      <c r="Q445" s="783">
        <f>Gegenstände!O445</f>
        <v>0</v>
      </c>
      <c r="R445" s="168">
        <f>Gegenstände!S445</f>
        <v>0</v>
      </c>
      <c r="S445" s="168">
        <f>Gegenstände!T445</f>
        <v>0</v>
      </c>
      <c r="T445" s="783">
        <f>Gegenstände!AC445</f>
        <v>0</v>
      </c>
      <c r="U445" s="783">
        <f>Gegenstände!AE445</f>
        <v>0</v>
      </c>
      <c r="V445" s="783">
        <f>Gegenstände!AD445</f>
        <v>0</v>
      </c>
      <c r="W445" s="783">
        <f>Gegenstände!AF445</f>
        <v>0</v>
      </c>
      <c r="AB445" s="3">
        <f>Gegenstände!M445</f>
        <v>3</v>
      </c>
      <c r="AC445" s="3">
        <f>Gegenstände!AB445</f>
        <v>0</v>
      </c>
      <c r="AD445" s="3">
        <f>Gegenstände!F445</f>
        <v>0</v>
      </c>
    </row>
    <row r="446" spans="1:30" x14ac:dyDescent="0.2">
      <c r="A446" s="3">
        <f>Gegenstände!A446</f>
        <v>1330</v>
      </c>
      <c r="B446" s="3" t="str">
        <f>Gegenstände!B446</f>
        <v>Hartleder-Stiefel</v>
      </c>
      <c r="D446" s="3">
        <f>Gegenstände!K446</f>
        <v>1200</v>
      </c>
      <c r="E446" s="3">
        <f>Gegenstände!I446</f>
        <v>15</v>
      </c>
      <c r="F446" s="3">
        <f>VLOOKUP(Gegenstände!E446,Berechnungen!$E$87:$F$115,2,FALSE)</f>
        <v>22</v>
      </c>
      <c r="G446" s="3">
        <f>Gegenstände!H446</f>
        <v>1</v>
      </c>
      <c r="H446" s="3">
        <f>Gegenstände!G446</f>
        <v>8</v>
      </c>
      <c r="I446" s="3">
        <f>Gegenstände!D446</f>
        <v>15</v>
      </c>
      <c r="J446" s="168">
        <f>ROUND(Gegenstände!N446,0)</f>
        <v>5300</v>
      </c>
      <c r="K446" s="3">
        <f>Gegenstände!J446</f>
        <v>100</v>
      </c>
      <c r="L446" s="3">
        <f>Gegenstände!L446</f>
        <v>0</v>
      </c>
      <c r="M446" s="3">
        <f>Gegenstände!Z446</f>
        <v>6</v>
      </c>
      <c r="N446" s="783">
        <f>(Gegenstände!Y446*10)</f>
        <v>15</v>
      </c>
      <c r="O446" s="783">
        <f>(Gegenstände!W446*10)</f>
        <v>15</v>
      </c>
      <c r="P446" s="783">
        <f>Gegenstände!AA446*10</f>
        <v>0</v>
      </c>
      <c r="Q446" s="783">
        <f>Gegenstände!O446</f>
        <v>0</v>
      </c>
      <c r="R446" s="168">
        <f>Gegenstände!S446</f>
        <v>0</v>
      </c>
      <c r="S446" s="168">
        <f>Gegenstände!T446</f>
        <v>0</v>
      </c>
      <c r="T446" s="783">
        <f>Gegenstände!AC446</f>
        <v>0</v>
      </c>
      <c r="U446" s="783">
        <f>Gegenstände!AE446</f>
        <v>0</v>
      </c>
      <c r="V446" s="783">
        <f>Gegenstände!AD446</f>
        <v>0</v>
      </c>
      <c r="W446" s="783">
        <f>Gegenstände!AF446</f>
        <v>0</v>
      </c>
      <c r="AB446" s="3">
        <f>Gegenstände!M446</f>
        <v>3</v>
      </c>
      <c r="AC446" s="3">
        <f>Gegenstände!AB446</f>
        <v>0</v>
      </c>
      <c r="AD446" s="3">
        <f>Gegenstände!F446</f>
        <v>0</v>
      </c>
    </row>
    <row r="447" spans="1:30" x14ac:dyDescent="0.2">
      <c r="A447" s="3">
        <f>Gegenstände!A447</f>
        <v>1331</v>
      </c>
      <c r="B447" s="3" t="str">
        <f>Gegenstände!B447</f>
        <v>Riesenleder-Haube</v>
      </c>
      <c r="D447" s="3">
        <f>Gegenstände!K447</f>
        <v>1200</v>
      </c>
      <c r="E447" s="3">
        <f>Gegenstände!I447</f>
        <v>11</v>
      </c>
      <c r="F447" s="3">
        <f>VLOOKUP(Gegenstände!E447,Berechnungen!$E$87:$F$115,2,FALSE)</f>
        <v>22</v>
      </c>
      <c r="G447" s="3">
        <f>Gegenstände!H447</f>
        <v>1</v>
      </c>
      <c r="H447" s="3">
        <f>Gegenstände!G447</f>
        <v>8</v>
      </c>
      <c r="I447" s="3">
        <f>Gegenstände!D447</f>
        <v>16</v>
      </c>
      <c r="J447" s="168">
        <f>ROUND(Gegenstände!N447,0)</f>
        <v>8100</v>
      </c>
      <c r="K447" s="3">
        <f>Gegenstände!J447</f>
        <v>100</v>
      </c>
      <c r="L447" s="3">
        <f>Gegenstände!L447</f>
        <v>0</v>
      </c>
      <c r="M447" s="3">
        <f>Gegenstände!Z447</f>
        <v>8</v>
      </c>
      <c r="N447" s="783">
        <f>(Gegenstände!Y447*10)</f>
        <v>20</v>
      </c>
      <c r="O447" s="783">
        <f>(Gegenstände!W447*10)</f>
        <v>22</v>
      </c>
      <c r="P447" s="783">
        <f>Gegenstände!AA447*10</f>
        <v>0</v>
      </c>
      <c r="Q447" s="783">
        <f>Gegenstände!O447</f>
        <v>0</v>
      </c>
      <c r="R447" s="168">
        <f>Gegenstände!S447</f>
        <v>0</v>
      </c>
      <c r="S447" s="168">
        <f>Gegenstände!T447</f>
        <v>0</v>
      </c>
      <c r="T447" s="783">
        <f>Gegenstände!AC447</f>
        <v>0</v>
      </c>
      <c r="U447" s="783">
        <f>Gegenstände!AE447</f>
        <v>0</v>
      </c>
      <c r="V447" s="783">
        <f>Gegenstände!AD447</f>
        <v>0</v>
      </c>
      <c r="W447" s="783">
        <f>Gegenstände!AF447</f>
        <v>0</v>
      </c>
      <c r="AB447" s="3">
        <f>Gegenstände!M447</f>
        <v>4</v>
      </c>
      <c r="AC447" s="3">
        <f>Gegenstände!AB447</f>
        <v>0</v>
      </c>
      <c r="AD447" s="3">
        <f>Gegenstände!F447</f>
        <v>0</v>
      </c>
    </row>
    <row r="448" spans="1:30" x14ac:dyDescent="0.2">
      <c r="A448" s="3">
        <f>Gegenstände!A448</f>
        <v>1332</v>
      </c>
      <c r="B448" s="3" t="str">
        <f>Gegenstände!B448</f>
        <v>Riesenleder-Wappenrock</v>
      </c>
      <c r="D448" s="3">
        <f>Gegenstände!K448</f>
        <v>1800</v>
      </c>
      <c r="E448" s="3">
        <f>Gegenstände!I448</f>
        <v>12</v>
      </c>
      <c r="F448" s="3">
        <f>VLOOKUP(Gegenstände!E448,Berechnungen!$E$87:$F$115,2,FALSE)</f>
        <v>22</v>
      </c>
      <c r="G448" s="3">
        <f>Gegenstände!H448</f>
        <v>1</v>
      </c>
      <c r="H448" s="3">
        <f>Gegenstände!G448</f>
        <v>8</v>
      </c>
      <c r="I448" s="3">
        <f>Gegenstände!D448</f>
        <v>16</v>
      </c>
      <c r="J448" s="168">
        <f>ROUND(Gegenstände!N448,0)</f>
        <v>12200</v>
      </c>
      <c r="K448" s="3">
        <f>Gegenstände!J448</f>
        <v>100</v>
      </c>
      <c r="L448" s="3">
        <f>Gegenstände!L448</f>
        <v>0</v>
      </c>
      <c r="M448" s="3">
        <f>Gegenstände!Z448</f>
        <v>12</v>
      </c>
      <c r="N448" s="783">
        <f>(Gegenstände!Y448*10)</f>
        <v>30</v>
      </c>
      <c r="O448" s="783">
        <f>(Gegenstände!W448*10)</f>
        <v>33</v>
      </c>
      <c r="P448" s="783">
        <f>Gegenstände!AA448*10</f>
        <v>0</v>
      </c>
      <c r="Q448" s="783">
        <f>Gegenstände!O448</f>
        <v>0</v>
      </c>
      <c r="R448" s="168">
        <f>Gegenstände!S448</f>
        <v>0</v>
      </c>
      <c r="S448" s="168">
        <f>Gegenstände!T448</f>
        <v>0</v>
      </c>
      <c r="T448" s="783">
        <f>Gegenstände!AC448</f>
        <v>0</v>
      </c>
      <c r="U448" s="783">
        <f>Gegenstände!AE448</f>
        <v>0</v>
      </c>
      <c r="V448" s="783">
        <f>Gegenstände!AD448</f>
        <v>0</v>
      </c>
      <c r="W448" s="783">
        <f>Gegenstände!AF448</f>
        <v>0</v>
      </c>
      <c r="AB448" s="3">
        <f>Gegenstände!M448</f>
        <v>4</v>
      </c>
      <c r="AC448" s="3">
        <f>Gegenstände!AB448</f>
        <v>0</v>
      </c>
      <c r="AD448" s="3">
        <f>Gegenstände!F448</f>
        <v>0</v>
      </c>
    </row>
    <row r="449" spans="1:30" x14ac:dyDescent="0.2">
      <c r="A449" s="3">
        <f>Gegenstände!A449</f>
        <v>1333</v>
      </c>
      <c r="B449" s="3" t="str">
        <f>Gegenstände!B449</f>
        <v>Riesenleder-Handschuhe</v>
      </c>
      <c r="D449" s="3">
        <f>Gegenstände!K449</f>
        <v>900</v>
      </c>
      <c r="E449" s="3">
        <f>Gegenstände!I449</f>
        <v>13</v>
      </c>
      <c r="F449" s="3">
        <f>VLOOKUP(Gegenstände!E449,Berechnungen!$E$87:$F$115,2,FALSE)</f>
        <v>22</v>
      </c>
      <c r="G449" s="3">
        <f>Gegenstände!H449</f>
        <v>1</v>
      </c>
      <c r="H449" s="3">
        <f>Gegenstände!G449</f>
        <v>8</v>
      </c>
      <c r="I449" s="3">
        <f>Gegenstände!D449</f>
        <v>17</v>
      </c>
      <c r="J449" s="168">
        <f>ROUND(Gegenstände!N449,0)</f>
        <v>7000</v>
      </c>
      <c r="K449" s="3">
        <f>Gegenstände!J449</f>
        <v>100</v>
      </c>
      <c r="L449" s="3">
        <f>Gegenstände!L449</f>
        <v>0</v>
      </c>
      <c r="M449" s="3">
        <f>Gegenstände!Z449</f>
        <v>6</v>
      </c>
      <c r="N449" s="783">
        <f>(Gegenstände!Y449*10)</f>
        <v>15</v>
      </c>
      <c r="O449" s="783">
        <f>(Gegenstände!W449*10)</f>
        <v>17</v>
      </c>
      <c r="P449" s="783">
        <f>Gegenstände!AA449*10</f>
        <v>0</v>
      </c>
      <c r="Q449" s="783">
        <f>Gegenstände!O449</f>
        <v>0</v>
      </c>
      <c r="R449" s="168">
        <f>Gegenstände!S449</f>
        <v>0</v>
      </c>
      <c r="S449" s="168">
        <f>Gegenstände!T449</f>
        <v>0</v>
      </c>
      <c r="T449" s="783">
        <f>Gegenstände!AC449</f>
        <v>0</v>
      </c>
      <c r="U449" s="783">
        <f>Gegenstände!AE449</f>
        <v>0</v>
      </c>
      <c r="V449" s="783">
        <f>Gegenstände!AD449</f>
        <v>0</v>
      </c>
      <c r="W449" s="783">
        <f>Gegenstände!AF449</f>
        <v>0</v>
      </c>
      <c r="AB449" s="3">
        <f>Gegenstände!M449</f>
        <v>4</v>
      </c>
      <c r="AC449" s="3">
        <f>Gegenstände!AB449</f>
        <v>0</v>
      </c>
      <c r="AD449" s="3">
        <f>Gegenstände!F449</f>
        <v>0</v>
      </c>
    </row>
    <row r="450" spans="1:30" x14ac:dyDescent="0.2">
      <c r="A450" s="3">
        <f>Gegenstände!A450</f>
        <v>1334</v>
      </c>
      <c r="B450" s="3" t="str">
        <f>Gegenstände!B450</f>
        <v>Riesenleder-Hose</v>
      </c>
      <c r="D450" s="3">
        <f>Gegenstände!K450</f>
        <v>1200</v>
      </c>
      <c r="E450" s="3">
        <f>Gegenstände!I450</f>
        <v>14</v>
      </c>
      <c r="F450" s="3">
        <f>VLOOKUP(Gegenstände!E450,Berechnungen!$E$87:$F$115,2,FALSE)</f>
        <v>22</v>
      </c>
      <c r="G450" s="3">
        <f>Gegenstände!H450</f>
        <v>1</v>
      </c>
      <c r="H450" s="3">
        <f>Gegenstände!G450</f>
        <v>8</v>
      </c>
      <c r="I450" s="3">
        <f>Gegenstände!D450</f>
        <v>17</v>
      </c>
      <c r="J450" s="168">
        <f>ROUND(Gegenstände!N450,0)</f>
        <v>9400</v>
      </c>
      <c r="K450" s="3">
        <f>Gegenstände!J450</f>
        <v>100</v>
      </c>
      <c r="L450" s="3">
        <f>Gegenstände!L450</f>
        <v>0</v>
      </c>
      <c r="M450" s="3">
        <f>Gegenstände!Z450</f>
        <v>8</v>
      </c>
      <c r="N450" s="783">
        <f>(Gegenstände!Y450*10)</f>
        <v>20</v>
      </c>
      <c r="O450" s="783">
        <f>(Gegenstände!W450*10)</f>
        <v>22</v>
      </c>
      <c r="P450" s="783">
        <f>Gegenstände!AA450*10</f>
        <v>0</v>
      </c>
      <c r="Q450" s="783">
        <f>Gegenstände!O450</f>
        <v>0</v>
      </c>
      <c r="R450" s="168">
        <f>Gegenstände!S450</f>
        <v>0</v>
      </c>
      <c r="S450" s="168">
        <f>Gegenstände!T450</f>
        <v>0</v>
      </c>
      <c r="T450" s="783">
        <f>Gegenstände!AC450</f>
        <v>0</v>
      </c>
      <c r="U450" s="783">
        <f>Gegenstände!AE450</f>
        <v>0</v>
      </c>
      <c r="V450" s="783">
        <f>Gegenstände!AD450</f>
        <v>0</v>
      </c>
      <c r="W450" s="783">
        <f>Gegenstände!AF450</f>
        <v>0</v>
      </c>
      <c r="AB450" s="3">
        <f>Gegenstände!M450</f>
        <v>4</v>
      </c>
      <c r="AC450" s="3">
        <f>Gegenstände!AB450</f>
        <v>0</v>
      </c>
      <c r="AD450" s="3">
        <f>Gegenstände!F450</f>
        <v>0</v>
      </c>
    </row>
    <row r="451" spans="1:30" x14ac:dyDescent="0.2">
      <c r="A451" s="3">
        <f>Gegenstände!A451</f>
        <v>1335</v>
      </c>
      <c r="B451" s="3" t="str">
        <f>Gegenstände!B451</f>
        <v>Riesenleder-Schuhe</v>
      </c>
      <c r="D451" s="3">
        <f>Gegenstände!K451</f>
        <v>900</v>
      </c>
      <c r="E451" s="3">
        <f>Gegenstände!I451</f>
        <v>15</v>
      </c>
      <c r="F451" s="3">
        <f>VLOOKUP(Gegenstände!E451,Berechnungen!$E$87:$F$115,2,FALSE)</f>
        <v>22</v>
      </c>
      <c r="G451" s="3">
        <f>Gegenstände!H451</f>
        <v>1</v>
      </c>
      <c r="H451" s="3">
        <f>Gegenstände!G451</f>
        <v>8</v>
      </c>
      <c r="I451" s="3">
        <f>Gegenstände!D451</f>
        <v>17</v>
      </c>
      <c r="J451" s="168">
        <f>ROUND(Gegenstände!N451,0)</f>
        <v>7000</v>
      </c>
      <c r="K451" s="3">
        <f>Gegenstände!J451</f>
        <v>100</v>
      </c>
      <c r="L451" s="3">
        <f>Gegenstände!L451</f>
        <v>0</v>
      </c>
      <c r="M451" s="3">
        <f>Gegenstände!Z451</f>
        <v>6</v>
      </c>
      <c r="N451" s="783">
        <f>(Gegenstände!Y451*10)</f>
        <v>15</v>
      </c>
      <c r="O451" s="783">
        <f>(Gegenstände!W451*10)</f>
        <v>17</v>
      </c>
      <c r="P451" s="783">
        <f>Gegenstände!AA451*10</f>
        <v>0</v>
      </c>
      <c r="Q451" s="783">
        <f>Gegenstände!O451</f>
        <v>0</v>
      </c>
      <c r="R451" s="168">
        <f>Gegenstände!S451</f>
        <v>0</v>
      </c>
      <c r="S451" s="168">
        <f>Gegenstände!T451</f>
        <v>0</v>
      </c>
      <c r="T451" s="783">
        <f>Gegenstände!AC451</f>
        <v>0</v>
      </c>
      <c r="U451" s="783">
        <f>Gegenstände!AE451</f>
        <v>0</v>
      </c>
      <c r="V451" s="783">
        <f>Gegenstände!AD451</f>
        <v>0</v>
      </c>
      <c r="W451" s="783">
        <f>Gegenstände!AF451</f>
        <v>0</v>
      </c>
      <c r="AB451" s="3">
        <f>Gegenstände!M451</f>
        <v>4</v>
      </c>
      <c r="AC451" s="3">
        <f>Gegenstände!AB451</f>
        <v>0</v>
      </c>
      <c r="AD451" s="3">
        <f>Gegenstände!F451</f>
        <v>0</v>
      </c>
    </row>
    <row r="452" spans="1:30" x14ac:dyDescent="0.2">
      <c r="A452" s="3">
        <f>Gegenstände!A452</f>
        <v>1336</v>
      </c>
      <c r="B452" s="3" t="str">
        <f>Gegenstände!B452</f>
        <v>Riesenleder-Helm</v>
      </c>
      <c r="D452" s="3">
        <f>Gegenstände!K452</f>
        <v>1600</v>
      </c>
      <c r="E452" s="3">
        <f>Gegenstände!I452</f>
        <v>11</v>
      </c>
      <c r="F452" s="3">
        <f>VLOOKUP(Gegenstände!E452,Berechnungen!$E$87:$F$115,2,FALSE)</f>
        <v>22</v>
      </c>
      <c r="G452" s="3">
        <f>Gegenstände!H452</f>
        <v>1</v>
      </c>
      <c r="H452" s="3">
        <f>Gegenstände!G452</f>
        <v>8</v>
      </c>
      <c r="I452" s="3">
        <f>Gegenstände!D452</f>
        <v>19</v>
      </c>
      <c r="J452" s="168">
        <f>ROUND(Gegenstände!N452,0)</f>
        <v>12400</v>
      </c>
      <c r="K452" s="3">
        <f>Gegenstände!J452</f>
        <v>100</v>
      </c>
      <c r="L452" s="3">
        <f>Gegenstände!L452</f>
        <v>0</v>
      </c>
      <c r="M452" s="3">
        <f>Gegenstände!Z452</f>
        <v>8</v>
      </c>
      <c r="N452" s="783">
        <f>(Gegenstände!Y452*10)</f>
        <v>20</v>
      </c>
      <c r="O452" s="783">
        <f>(Gegenstände!W452*10)</f>
        <v>26</v>
      </c>
      <c r="P452" s="783">
        <f>Gegenstände!AA452*10</f>
        <v>0</v>
      </c>
      <c r="Q452" s="783">
        <f>Gegenstände!O452</f>
        <v>0</v>
      </c>
      <c r="R452" s="168">
        <f>Gegenstände!S452</f>
        <v>0</v>
      </c>
      <c r="S452" s="168">
        <f>Gegenstände!T452</f>
        <v>0</v>
      </c>
      <c r="T452" s="783">
        <f>Gegenstände!AC452</f>
        <v>0</v>
      </c>
      <c r="U452" s="783">
        <f>Gegenstände!AE452</f>
        <v>0</v>
      </c>
      <c r="V452" s="783">
        <f>Gegenstände!AD452</f>
        <v>0</v>
      </c>
      <c r="W452" s="783">
        <f>Gegenstände!AF452</f>
        <v>0</v>
      </c>
      <c r="AB452" s="3">
        <f>Gegenstände!M452</f>
        <v>4</v>
      </c>
      <c r="AC452" s="3">
        <f>Gegenstände!AB452</f>
        <v>0</v>
      </c>
      <c r="AD452" s="3">
        <f>Gegenstände!F452</f>
        <v>0</v>
      </c>
    </row>
    <row r="453" spans="1:30" x14ac:dyDescent="0.2">
      <c r="A453" s="3">
        <f>Gegenstände!A453</f>
        <v>1337</v>
      </c>
      <c r="B453" s="3" t="str">
        <f>Gegenstände!B453</f>
        <v>Riesenleder-Harnisch</v>
      </c>
      <c r="D453" s="3">
        <f>Gegenstände!K453</f>
        <v>2400</v>
      </c>
      <c r="E453" s="3">
        <f>Gegenstände!I453</f>
        <v>12</v>
      </c>
      <c r="F453" s="3">
        <f>VLOOKUP(Gegenstände!E453,Berechnungen!$E$87:$F$115,2,FALSE)</f>
        <v>22</v>
      </c>
      <c r="G453" s="3">
        <f>Gegenstände!H453</f>
        <v>1</v>
      </c>
      <c r="H453" s="3">
        <f>Gegenstände!G453</f>
        <v>8</v>
      </c>
      <c r="I453" s="3">
        <f>Gegenstände!D453</f>
        <v>19</v>
      </c>
      <c r="J453" s="168">
        <f>ROUND(Gegenstände!N453,0)</f>
        <v>18600</v>
      </c>
      <c r="K453" s="3">
        <f>Gegenstände!J453</f>
        <v>100</v>
      </c>
      <c r="L453" s="3">
        <f>Gegenstände!L453</f>
        <v>0</v>
      </c>
      <c r="M453" s="3">
        <f>Gegenstände!Z453</f>
        <v>12</v>
      </c>
      <c r="N453" s="783">
        <f>(Gegenstände!Y453*10)</f>
        <v>30</v>
      </c>
      <c r="O453" s="783">
        <f>(Gegenstände!W453*10)</f>
        <v>39</v>
      </c>
      <c r="P453" s="783">
        <f>Gegenstände!AA453*10</f>
        <v>0</v>
      </c>
      <c r="Q453" s="783">
        <f>Gegenstände!O453</f>
        <v>0</v>
      </c>
      <c r="R453" s="168">
        <f>Gegenstände!S453</f>
        <v>0</v>
      </c>
      <c r="S453" s="168">
        <f>Gegenstände!T453</f>
        <v>0</v>
      </c>
      <c r="T453" s="783">
        <f>Gegenstände!AC453</f>
        <v>0</v>
      </c>
      <c r="U453" s="783">
        <f>Gegenstände!AE453</f>
        <v>0</v>
      </c>
      <c r="V453" s="783">
        <f>Gegenstände!AD453</f>
        <v>0</v>
      </c>
      <c r="W453" s="783">
        <f>Gegenstände!AF453</f>
        <v>0</v>
      </c>
      <c r="AB453" s="3">
        <f>Gegenstände!M453</f>
        <v>4</v>
      </c>
      <c r="AC453" s="3">
        <f>Gegenstände!AB453</f>
        <v>0</v>
      </c>
      <c r="AD453" s="3">
        <f>Gegenstände!F453</f>
        <v>0</v>
      </c>
    </row>
    <row r="454" spans="1:30" x14ac:dyDescent="0.2">
      <c r="A454" s="3">
        <f>Gegenstände!A454</f>
        <v>1338</v>
      </c>
      <c r="B454" s="3" t="str">
        <f>Gegenstände!B454</f>
        <v>Riesenleder-Stulpen</v>
      </c>
      <c r="D454" s="3">
        <f>Gegenstände!K454</f>
        <v>1200</v>
      </c>
      <c r="E454" s="3">
        <f>Gegenstände!I454</f>
        <v>13</v>
      </c>
      <c r="F454" s="3">
        <f>VLOOKUP(Gegenstände!E454,Berechnungen!$E$87:$F$115,2,FALSE)</f>
        <v>22</v>
      </c>
      <c r="G454" s="3">
        <f>Gegenstände!H454</f>
        <v>1</v>
      </c>
      <c r="H454" s="3">
        <f>Gegenstände!G454</f>
        <v>8</v>
      </c>
      <c r="I454" s="3">
        <f>Gegenstände!D454</f>
        <v>20</v>
      </c>
      <c r="J454" s="168">
        <f>ROUND(Gegenstände!N454,0)</f>
        <v>10700</v>
      </c>
      <c r="K454" s="3">
        <f>Gegenstände!J454</f>
        <v>100</v>
      </c>
      <c r="L454" s="3">
        <f>Gegenstände!L454</f>
        <v>0</v>
      </c>
      <c r="M454" s="3">
        <f>Gegenstände!Z454</f>
        <v>6</v>
      </c>
      <c r="N454" s="783">
        <f>(Gegenstände!Y454*10)</f>
        <v>15</v>
      </c>
      <c r="O454" s="783">
        <f>(Gegenstände!W454*10)</f>
        <v>20</v>
      </c>
      <c r="P454" s="783">
        <f>Gegenstände!AA454*10</f>
        <v>0</v>
      </c>
      <c r="Q454" s="783">
        <f>Gegenstände!O454</f>
        <v>0</v>
      </c>
      <c r="R454" s="168">
        <f>Gegenstände!S454</f>
        <v>0</v>
      </c>
      <c r="S454" s="168">
        <f>Gegenstände!T454</f>
        <v>0</v>
      </c>
      <c r="T454" s="783">
        <f>Gegenstände!AC454</f>
        <v>0</v>
      </c>
      <c r="U454" s="783">
        <f>Gegenstände!AE454</f>
        <v>0</v>
      </c>
      <c r="V454" s="783">
        <f>Gegenstände!AD454</f>
        <v>0</v>
      </c>
      <c r="W454" s="783">
        <f>Gegenstände!AF454</f>
        <v>0</v>
      </c>
      <c r="AB454" s="3">
        <f>Gegenstände!M454</f>
        <v>4</v>
      </c>
      <c r="AC454" s="3">
        <f>Gegenstände!AB454</f>
        <v>0</v>
      </c>
      <c r="AD454" s="3">
        <f>Gegenstände!F454</f>
        <v>0</v>
      </c>
    </row>
    <row r="455" spans="1:30" x14ac:dyDescent="0.2">
      <c r="A455" s="3">
        <f>Gegenstände!A455</f>
        <v>1339</v>
      </c>
      <c r="B455" s="3" t="str">
        <f>Gegenstände!B455</f>
        <v>Riesenleder-Beinlinge</v>
      </c>
      <c r="D455" s="3">
        <f>Gegenstände!K455</f>
        <v>1600</v>
      </c>
      <c r="E455" s="3">
        <f>Gegenstände!I455</f>
        <v>14</v>
      </c>
      <c r="F455" s="3">
        <f>VLOOKUP(Gegenstände!E455,Berechnungen!$E$87:$F$115,2,FALSE)</f>
        <v>22</v>
      </c>
      <c r="G455" s="3">
        <f>Gegenstände!H455</f>
        <v>1</v>
      </c>
      <c r="H455" s="3">
        <f>Gegenstände!G455</f>
        <v>8</v>
      </c>
      <c r="I455" s="3">
        <f>Gegenstände!D455</f>
        <v>20</v>
      </c>
      <c r="J455" s="168">
        <f>ROUND(Gegenstände!N455,0)</f>
        <v>14200</v>
      </c>
      <c r="K455" s="3">
        <f>Gegenstände!J455</f>
        <v>100</v>
      </c>
      <c r="L455" s="3">
        <f>Gegenstände!L455</f>
        <v>0</v>
      </c>
      <c r="M455" s="3">
        <f>Gegenstände!Z455</f>
        <v>8</v>
      </c>
      <c r="N455" s="783">
        <f>(Gegenstände!Y455*10)</f>
        <v>20</v>
      </c>
      <c r="O455" s="783">
        <f>(Gegenstände!W455*10)</f>
        <v>26</v>
      </c>
      <c r="P455" s="783">
        <f>Gegenstände!AA455*10</f>
        <v>0</v>
      </c>
      <c r="Q455" s="783">
        <f>Gegenstände!O455</f>
        <v>0</v>
      </c>
      <c r="R455" s="168">
        <f>Gegenstände!S455</f>
        <v>0</v>
      </c>
      <c r="S455" s="168">
        <f>Gegenstände!T455</f>
        <v>0</v>
      </c>
      <c r="T455" s="783">
        <f>Gegenstände!AC455</f>
        <v>0</v>
      </c>
      <c r="U455" s="783">
        <f>Gegenstände!AE455</f>
        <v>0</v>
      </c>
      <c r="V455" s="783">
        <f>Gegenstände!AD455</f>
        <v>0</v>
      </c>
      <c r="W455" s="783">
        <f>Gegenstände!AF455</f>
        <v>0</v>
      </c>
      <c r="AB455" s="3">
        <f>Gegenstände!M455</f>
        <v>4</v>
      </c>
      <c r="AC455" s="3">
        <f>Gegenstände!AB455</f>
        <v>0</v>
      </c>
      <c r="AD455" s="3">
        <f>Gegenstände!F455</f>
        <v>0</v>
      </c>
    </row>
    <row r="456" spans="1:30" x14ac:dyDescent="0.2">
      <c r="A456" s="3">
        <f>Gegenstände!A456</f>
        <v>1340</v>
      </c>
      <c r="B456" s="3" t="str">
        <f>Gegenstände!B456</f>
        <v>Riesenleder-Stiefel</v>
      </c>
      <c r="D456" s="3">
        <f>Gegenstände!K456</f>
        <v>1200</v>
      </c>
      <c r="E456" s="3">
        <f>Gegenstände!I456</f>
        <v>15</v>
      </c>
      <c r="F456" s="3">
        <f>VLOOKUP(Gegenstände!E456,Berechnungen!$E$87:$F$115,2,FALSE)</f>
        <v>22</v>
      </c>
      <c r="G456" s="3">
        <f>Gegenstände!H456</f>
        <v>1</v>
      </c>
      <c r="H456" s="3">
        <f>Gegenstände!G456</f>
        <v>8</v>
      </c>
      <c r="I456" s="3">
        <f>Gegenstände!D456</f>
        <v>20</v>
      </c>
      <c r="J456" s="168">
        <f>ROUND(Gegenstände!N456,0)</f>
        <v>10700</v>
      </c>
      <c r="K456" s="3">
        <f>Gegenstände!J456</f>
        <v>100</v>
      </c>
      <c r="L456" s="3">
        <f>Gegenstände!L456</f>
        <v>0</v>
      </c>
      <c r="M456" s="3">
        <f>Gegenstände!Z456</f>
        <v>6</v>
      </c>
      <c r="N456" s="783">
        <f>(Gegenstände!Y456*10)</f>
        <v>15</v>
      </c>
      <c r="O456" s="783">
        <f>(Gegenstände!W456*10)</f>
        <v>20</v>
      </c>
      <c r="P456" s="783">
        <f>Gegenstände!AA456*10</f>
        <v>0</v>
      </c>
      <c r="Q456" s="783">
        <f>Gegenstände!O456</f>
        <v>0</v>
      </c>
      <c r="R456" s="168">
        <f>Gegenstände!S456</f>
        <v>0</v>
      </c>
      <c r="S456" s="168">
        <f>Gegenstände!T456</f>
        <v>0</v>
      </c>
      <c r="T456" s="783">
        <f>Gegenstände!AC456</f>
        <v>0</v>
      </c>
      <c r="U456" s="783">
        <f>Gegenstände!AE456</f>
        <v>0</v>
      </c>
      <c r="V456" s="783">
        <f>Gegenstände!AD456</f>
        <v>0</v>
      </c>
      <c r="W456" s="783">
        <f>Gegenstände!AF456</f>
        <v>0</v>
      </c>
      <c r="AB456" s="3">
        <f>Gegenstände!M456</f>
        <v>4</v>
      </c>
      <c r="AC456" s="3">
        <f>Gegenstände!AB456</f>
        <v>0</v>
      </c>
      <c r="AD456" s="3">
        <f>Gegenstände!F456</f>
        <v>0</v>
      </c>
    </row>
    <row r="457" spans="1:30" x14ac:dyDescent="0.2">
      <c r="A457" s="3">
        <f>Gegenstände!A457</f>
        <v>1341</v>
      </c>
      <c r="B457" s="3" t="str">
        <f>Gegenstände!B457</f>
        <v>Drachenleder-Haube</v>
      </c>
      <c r="D457" s="3">
        <f>Gegenstände!K457</f>
        <v>1200</v>
      </c>
      <c r="E457" s="3">
        <f>Gegenstände!I457</f>
        <v>11</v>
      </c>
      <c r="F457" s="3">
        <f>VLOOKUP(Gegenstände!E457,Berechnungen!$E$87:$F$115,2,FALSE)</f>
        <v>22</v>
      </c>
      <c r="G457" s="3">
        <f>Gegenstände!H457</f>
        <v>1</v>
      </c>
      <c r="H457" s="3">
        <f>Gegenstände!G457</f>
        <v>8</v>
      </c>
      <c r="I457" s="3">
        <f>Gegenstände!D457</f>
        <v>21</v>
      </c>
      <c r="J457" s="168">
        <f>ROUND(Gegenstände!N457,0)</f>
        <v>16400</v>
      </c>
      <c r="K457" s="3">
        <f>Gegenstände!J457</f>
        <v>100</v>
      </c>
      <c r="L457" s="3">
        <f>Gegenstände!L457</f>
        <v>0</v>
      </c>
      <c r="M457" s="3">
        <f>Gegenstände!Z457</f>
        <v>8</v>
      </c>
      <c r="N457" s="783">
        <f>(Gegenstände!Y457*10)</f>
        <v>20</v>
      </c>
      <c r="O457" s="783">
        <f>(Gegenstände!W457*10)</f>
        <v>30</v>
      </c>
      <c r="P457" s="783">
        <f>Gegenstände!AA457*10</f>
        <v>0</v>
      </c>
      <c r="Q457" s="783">
        <f>Gegenstände!O457</f>
        <v>0</v>
      </c>
      <c r="R457" s="168">
        <f>Gegenstände!S457</f>
        <v>0</v>
      </c>
      <c r="S457" s="168">
        <f>Gegenstände!T457</f>
        <v>0</v>
      </c>
      <c r="T457" s="783">
        <f>Gegenstände!AC457</f>
        <v>0</v>
      </c>
      <c r="U457" s="783">
        <f>Gegenstände!AE457</f>
        <v>0</v>
      </c>
      <c r="V457" s="783">
        <f>Gegenstände!AD457</f>
        <v>0</v>
      </c>
      <c r="W457" s="783">
        <f>Gegenstände!AF457</f>
        <v>0</v>
      </c>
      <c r="AB457" s="3">
        <f>Gegenstände!M457</f>
        <v>5</v>
      </c>
      <c r="AC457" s="3">
        <f>Gegenstände!AB457</f>
        <v>0</v>
      </c>
      <c r="AD457" s="3">
        <f>Gegenstände!F457</f>
        <v>0</v>
      </c>
    </row>
    <row r="458" spans="1:30" x14ac:dyDescent="0.2">
      <c r="A458" s="3">
        <f>Gegenstände!A458</f>
        <v>1342</v>
      </c>
      <c r="B458" s="3" t="str">
        <f>Gegenstände!B458</f>
        <v>Drachenleder-Wappenrock</v>
      </c>
      <c r="D458" s="3">
        <f>Gegenstände!K458</f>
        <v>1800</v>
      </c>
      <c r="E458" s="3">
        <f>Gegenstände!I458</f>
        <v>12</v>
      </c>
      <c r="F458" s="3">
        <f>VLOOKUP(Gegenstände!E458,Berechnungen!$E$87:$F$115,2,FALSE)</f>
        <v>22</v>
      </c>
      <c r="G458" s="3">
        <f>Gegenstände!H458</f>
        <v>1</v>
      </c>
      <c r="H458" s="3">
        <f>Gegenstände!G458</f>
        <v>8</v>
      </c>
      <c r="I458" s="3">
        <f>Gegenstände!D458</f>
        <v>21</v>
      </c>
      <c r="J458" s="168">
        <f>ROUND(Gegenstände!N458,0)</f>
        <v>24500</v>
      </c>
      <c r="K458" s="3">
        <f>Gegenstände!J458</f>
        <v>100</v>
      </c>
      <c r="L458" s="3">
        <f>Gegenstände!L458</f>
        <v>0</v>
      </c>
      <c r="M458" s="3">
        <f>Gegenstände!Z458</f>
        <v>12</v>
      </c>
      <c r="N458" s="783">
        <f>(Gegenstände!Y458*10)</f>
        <v>30</v>
      </c>
      <c r="O458" s="783">
        <f>(Gegenstände!W458*10)</f>
        <v>45</v>
      </c>
      <c r="P458" s="783">
        <f>Gegenstände!AA458*10</f>
        <v>0</v>
      </c>
      <c r="Q458" s="783">
        <f>Gegenstände!O458</f>
        <v>0</v>
      </c>
      <c r="R458" s="168">
        <f>Gegenstände!S458</f>
        <v>0</v>
      </c>
      <c r="S458" s="168">
        <f>Gegenstände!T458</f>
        <v>0</v>
      </c>
      <c r="T458" s="783">
        <f>Gegenstände!AC458</f>
        <v>0</v>
      </c>
      <c r="U458" s="783">
        <f>Gegenstände!AE458</f>
        <v>0</v>
      </c>
      <c r="V458" s="783">
        <f>Gegenstände!AD458</f>
        <v>0</v>
      </c>
      <c r="W458" s="783">
        <f>Gegenstände!AF458</f>
        <v>0</v>
      </c>
      <c r="AB458" s="3">
        <f>Gegenstände!M458</f>
        <v>5</v>
      </c>
      <c r="AC458" s="3">
        <f>Gegenstände!AB458</f>
        <v>0</v>
      </c>
      <c r="AD458" s="3">
        <f>Gegenstände!F458</f>
        <v>0</v>
      </c>
    </row>
    <row r="459" spans="1:30" x14ac:dyDescent="0.2">
      <c r="A459" s="3">
        <f>Gegenstände!A459</f>
        <v>1343</v>
      </c>
      <c r="B459" s="3" t="str">
        <f>Gegenstände!B459</f>
        <v>Drachenleder-Handschuhe</v>
      </c>
      <c r="D459" s="3">
        <f>Gegenstände!K459</f>
        <v>900</v>
      </c>
      <c r="E459" s="3">
        <f>Gegenstände!I459</f>
        <v>13</v>
      </c>
      <c r="F459" s="3">
        <f>VLOOKUP(Gegenstände!E459,Berechnungen!$E$87:$F$115,2,FALSE)</f>
        <v>22</v>
      </c>
      <c r="G459" s="3">
        <f>Gegenstände!H459</f>
        <v>1</v>
      </c>
      <c r="H459" s="3">
        <f>Gegenstände!G459</f>
        <v>8</v>
      </c>
      <c r="I459" s="3">
        <f>Gegenstände!D459</f>
        <v>22</v>
      </c>
      <c r="J459" s="168">
        <f>ROUND(Gegenstände!N459,0)</f>
        <v>14100</v>
      </c>
      <c r="K459" s="3">
        <f>Gegenstände!J459</f>
        <v>100</v>
      </c>
      <c r="L459" s="3">
        <f>Gegenstände!L459</f>
        <v>0</v>
      </c>
      <c r="M459" s="3">
        <f>Gegenstände!Z459</f>
        <v>6</v>
      </c>
      <c r="N459" s="783">
        <f>(Gegenstände!Y459*10)</f>
        <v>15</v>
      </c>
      <c r="O459" s="783">
        <f>(Gegenstände!W459*10)</f>
        <v>23</v>
      </c>
      <c r="P459" s="783">
        <f>Gegenstände!AA459*10</f>
        <v>0</v>
      </c>
      <c r="Q459" s="783">
        <f>Gegenstände!O459</f>
        <v>0</v>
      </c>
      <c r="R459" s="168">
        <f>Gegenstände!S459</f>
        <v>0</v>
      </c>
      <c r="S459" s="168">
        <f>Gegenstände!T459</f>
        <v>0</v>
      </c>
      <c r="T459" s="783">
        <f>Gegenstände!AC459</f>
        <v>0</v>
      </c>
      <c r="U459" s="783">
        <f>Gegenstände!AE459</f>
        <v>0</v>
      </c>
      <c r="V459" s="783">
        <f>Gegenstände!AD459</f>
        <v>0</v>
      </c>
      <c r="W459" s="783">
        <f>Gegenstände!AF459</f>
        <v>0</v>
      </c>
      <c r="AB459" s="3">
        <f>Gegenstände!M459</f>
        <v>5</v>
      </c>
      <c r="AC459" s="3">
        <f>Gegenstände!AB459</f>
        <v>0</v>
      </c>
      <c r="AD459" s="3">
        <f>Gegenstände!F459</f>
        <v>0</v>
      </c>
    </row>
    <row r="460" spans="1:30" x14ac:dyDescent="0.2">
      <c r="A460" s="3">
        <f>Gegenstände!A460</f>
        <v>1344</v>
      </c>
      <c r="B460" s="3" t="str">
        <f>Gegenstände!B460</f>
        <v>Drachenleder-Hose</v>
      </c>
      <c r="D460" s="3">
        <f>Gegenstände!K460</f>
        <v>1200</v>
      </c>
      <c r="E460" s="3">
        <f>Gegenstände!I460</f>
        <v>14</v>
      </c>
      <c r="F460" s="3">
        <f>VLOOKUP(Gegenstände!E460,Berechnungen!$E$87:$F$115,2,FALSE)</f>
        <v>22</v>
      </c>
      <c r="G460" s="3">
        <f>Gegenstände!H460</f>
        <v>1</v>
      </c>
      <c r="H460" s="3">
        <f>Gegenstände!G460</f>
        <v>8</v>
      </c>
      <c r="I460" s="3">
        <f>Gegenstände!D460</f>
        <v>22</v>
      </c>
      <c r="J460" s="168">
        <f>ROUND(Gegenstände!N460,0)</f>
        <v>18800</v>
      </c>
      <c r="K460" s="3">
        <f>Gegenstände!J460</f>
        <v>100</v>
      </c>
      <c r="L460" s="3">
        <f>Gegenstände!L460</f>
        <v>0</v>
      </c>
      <c r="M460" s="3">
        <f>Gegenstände!Z460</f>
        <v>8</v>
      </c>
      <c r="N460" s="783">
        <f>(Gegenstände!Y460*10)</f>
        <v>20</v>
      </c>
      <c r="O460" s="783">
        <f>(Gegenstände!W460*10)</f>
        <v>30</v>
      </c>
      <c r="P460" s="783">
        <f>Gegenstände!AA460*10</f>
        <v>0</v>
      </c>
      <c r="Q460" s="783">
        <f>Gegenstände!O460</f>
        <v>0</v>
      </c>
      <c r="R460" s="168">
        <f>Gegenstände!S460</f>
        <v>0</v>
      </c>
      <c r="S460" s="168">
        <f>Gegenstände!T460</f>
        <v>0</v>
      </c>
      <c r="T460" s="783">
        <f>Gegenstände!AC460</f>
        <v>0</v>
      </c>
      <c r="U460" s="783">
        <f>Gegenstände!AE460</f>
        <v>0</v>
      </c>
      <c r="V460" s="783">
        <f>Gegenstände!AD460</f>
        <v>0</v>
      </c>
      <c r="W460" s="783">
        <f>Gegenstände!AF460</f>
        <v>0</v>
      </c>
      <c r="AB460" s="3">
        <f>Gegenstände!M460</f>
        <v>5</v>
      </c>
      <c r="AC460" s="3">
        <f>Gegenstände!AB460</f>
        <v>0</v>
      </c>
      <c r="AD460" s="3">
        <f>Gegenstände!F460</f>
        <v>0</v>
      </c>
    </row>
    <row r="461" spans="1:30" x14ac:dyDescent="0.2">
      <c r="A461" s="3">
        <f>Gegenstände!A461</f>
        <v>1345</v>
      </c>
      <c r="B461" s="3" t="str">
        <f>Gegenstände!B461</f>
        <v>Drachenleder-Schuhe</v>
      </c>
      <c r="D461" s="3">
        <f>Gegenstände!K461</f>
        <v>900</v>
      </c>
      <c r="E461" s="3">
        <f>Gegenstände!I461</f>
        <v>15</v>
      </c>
      <c r="F461" s="3">
        <f>VLOOKUP(Gegenstände!E461,Berechnungen!$E$87:$F$115,2,FALSE)</f>
        <v>22</v>
      </c>
      <c r="G461" s="3">
        <f>Gegenstände!H461</f>
        <v>1</v>
      </c>
      <c r="H461" s="3">
        <f>Gegenstände!G461</f>
        <v>8</v>
      </c>
      <c r="I461" s="3">
        <f>Gegenstände!D461</f>
        <v>22</v>
      </c>
      <c r="J461" s="168">
        <f>ROUND(Gegenstände!N461,0)</f>
        <v>14100</v>
      </c>
      <c r="K461" s="3">
        <f>Gegenstände!J461</f>
        <v>100</v>
      </c>
      <c r="L461" s="3">
        <f>Gegenstände!L461</f>
        <v>0</v>
      </c>
      <c r="M461" s="3">
        <f>Gegenstände!Z461</f>
        <v>6</v>
      </c>
      <c r="N461" s="783">
        <f>(Gegenstände!Y461*10)</f>
        <v>15</v>
      </c>
      <c r="O461" s="783">
        <f>(Gegenstände!W461*10)</f>
        <v>23</v>
      </c>
      <c r="P461" s="783">
        <f>Gegenstände!AA461*10</f>
        <v>0</v>
      </c>
      <c r="Q461" s="783">
        <f>Gegenstände!O461</f>
        <v>0</v>
      </c>
      <c r="R461" s="168">
        <f>Gegenstände!S461</f>
        <v>0</v>
      </c>
      <c r="S461" s="168">
        <f>Gegenstände!T461</f>
        <v>0</v>
      </c>
      <c r="T461" s="783">
        <f>Gegenstände!AC461</f>
        <v>0</v>
      </c>
      <c r="U461" s="783">
        <f>Gegenstände!AE461</f>
        <v>0</v>
      </c>
      <c r="V461" s="783">
        <f>Gegenstände!AD461</f>
        <v>0</v>
      </c>
      <c r="W461" s="783">
        <f>Gegenstände!AF461</f>
        <v>0</v>
      </c>
      <c r="AB461" s="3">
        <f>Gegenstände!M461</f>
        <v>5</v>
      </c>
      <c r="AC461" s="3">
        <f>Gegenstände!AB461</f>
        <v>0</v>
      </c>
      <c r="AD461" s="3">
        <f>Gegenstände!F461</f>
        <v>0</v>
      </c>
    </row>
    <row r="462" spans="1:30" x14ac:dyDescent="0.2">
      <c r="A462" s="3">
        <f>Gegenstände!A462</f>
        <v>1346</v>
      </c>
      <c r="B462" s="3" t="str">
        <f>Gegenstände!B462</f>
        <v>Drachenleder-Helm</v>
      </c>
      <c r="D462" s="3">
        <f>Gegenstände!K462</f>
        <v>1600</v>
      </c>
      <c r="E462" s="3">
        <f>Gegenstände!I462</f>
        <v>11</v>
      </c>
      <c r="F462" s="3">
        <f>VLOOKUP(Gegenstände!E462,Berechnungen!$E$87:$F$115,2,FALSE)</f>
        <v>22</v>
      </c>
      <c r="G462" s="3">
        <f>Gegenstände!H462</f>
        <v>1</v>
      </c>
      <c r="H462" s="3">
        <f>Gegenstände!G462</f>
        <v>8</v>
      </c>
      <c r="I462" s="3">
        <f>Gegenstände!D462</f>
        <v>24</v>
      </c>
      <c r="J462" s="168">
        <f>ROUND(Gegenstände!N462,0)</f>
        <v>24900</v>
      </c>
      <c r="K462" s="3">
        <f>Gegenstände!J462</f>
        <v>100</v>
      </c>
      <c r="L462" s="3">
        <f>Gegenstände!L462</f>
        <v>0</v>
      </c>
      <c r="M462" s="3">
        <f>Gegenstände!Z462</f>
        <v>8</v>
      </c>
      <c r="N462" s="783">
        <f>(Gegenstände!Y462*10)</f>
        <v>20</v>
      </c>
      <c r="O462" s="783">
        <f>(Gegenstände!W462*10)</f>
        <v>34</v>
      </c>
      <c r="P462" s="783">
        <f>Gegenstände!AA462*10</f>
        <v>0</v>
      </c>
      <c r="Q462" s="783">
        <f>Gegenstände!O462</f>
        <v>0</v>
      </c>
      <c r="R462" s="168">
        <f>Gegenstände!S462</f>
        <v>0</v>
      </c>
      <c r="S462" s="168">
        <f>Gegenstände!T462</f>
        <v>0</v>
      </c>
      <c r="T462" s="783">
        <f>Gegenstände!AC462</f>
        <v>0</v>
      </c>
      <c r="U462" s="783">
        <f>Gegenstände!AE462</f>
        <v>0</v>
      </c>
      <c r="V462" s="783">
        <f>Gegenstände!AD462</f>
        <v>0</v>
      </c>
      <c r="W462" s="783">
        <f>Gegenstände!AF462</f>
        <v>0</v>
      </c>
      <c r="AB462" s="3">
        <f>Gegenstände!M462</f>
        <v>5</v>
      </c>
      <c r="AC462" s="3">
        <f>Gegenstände!AB462</f>
        <v>0</v>
      </c>
      <c r="AD462" s="3">
        <f>Gegenstände!F462</f>
        <v>0</v>
      </c>
    </row>
    <row r="463" spans="1:30" x14ac:dyDescent="0.2">
      <c r="A463" s="3">
        <f>Gegenstände!A463</f>
        <v>1347</v>
      </c>
      <c r="B463" s="3" t="str">
        <f>Gegenstände!B463</f>
        <v>Drachenleder-Harnisch</v>
      </c>
      <c r="D463" s="3">
        <f>Gegenstände!K463</f>
        <v>2400</v>
      </c>
      <c r="E463" s="3">
        <f>Gegenstände!I463</f>
        <v>12</v>
      </c>
      <c r="F463" s="3">
        <f>VLOOKUP(Gegenstände!E463,Berechnungen!$E$87:$F$115,2,FALSE)</f>
        <v>22</v>
      </c>
      <c r="G463" s="3">
        <f>Gegenstände!H463</f>
        <v>1</v>
      </c>
      <c r="H463" s="3">
        <f>Gegenstände!G463</f>
        <v>8</v>
      </c>
      <c r="I463" s="3">
        <f>Gegenstände!D463</f>
        <v>24</v>
      </c>
      <c r="J463" s="168">
        <f>ROUND(Gegenstände!N463,0)</f>
        <v>37300</v>
      </c>
      <c r="K463" s="3">
        <f>Gegenstände!J463</f>
        <v>100</v>
      </c>
      <c r="L463" s="3">
        <f>Gegenstände!L463</f>
        <v>0</v>
      </c>
      <c r="M463" s="3">
        <f>Gegenstände!Z463</f>
        <v>12</v>
      </c>
      <c r="N463" s="783">
        <f>(Gegenstände!Y463*10)</f>
        <v>30</v>
      </c>
      <c r="O463" s="783">
        <f>(Gegenstände!W463*10)</f>
        <v>51</v>
      </c>
      <c r="P463" s="783">
        <f>Gegenstände!AA463*10</f>
        <v>0</v>
      </c>
      <c r="Q463" s="783">
        <f>Gegenstände!O463</f>
        <v>0</v>
      </c>
      <c r="R463" s="168">
        <f>Gegenstände!S463</f>
        <v>0</v>
      </c>
      <c r="S463" s="168">
        <f>Gegenstände!T463</f>
        <v>0</v>
      </c>
      <c r="T463" s="783">
        <f>Gegenstände!AC463</f>
        <v>0</v>
      </c>
      <c r="U463" s="783">
        <f>Gegenstände!AE463</f>
        <v>0</v>
      </c>
      <c r="V463" s="783">
        <f>Gegenstände!AD463</f>
        <v>0</v>
      </c>
      <c r="W463" s="783">
        <f>Gegenstände!AF463</f>
        <v>0</v>
      </c>
      <c r="AB463" s="3">
        <f>Gegenstände!M463</f>
        <v>5</v>
      </c>
      <c r="AC463" s="3">
        <f>Gegenstände!AB463</f>
        <v>0</v>
      </c>
      <c r="AD463" s="3">
        <f>Gegenstände!F463</f>
        <v>0</v>
      </c>
    </row>
    <row r="464" spans="1:30" x14ac:dyDescent="0.2">
      <c r="A464" s="3">
        <f>Gegenstände!A464</f>
        <v>1348</v>
      </c>
      <c r="B464" s="3" t="str">
        <f>Gegenstände!B464</f>
        <v>Drachenleder-Stulpen</v>
      </c>
      <c r="D464" s="3">
        <f>Gegenstände!K464</f>
        <v>1200</v>
      </c>
      <c r="E464" s="3">
        <f>Gegenstände!I464</f>
        <v>13</v>
      </c>
      <c r="F464" s="3">
        <f>VLOOKUP(Gegenstände!E464,Berechnungen!$E$87:$F$115,2,FALSE)</f>
        <v>22</v>
      </c>
      <c r="G464" s="3">
        <f>Gegenstände!H464</f>
        <v>1</v>
      </c>
      <c r="H464" s="3">
        <f>Gegenstände!G464</f>
        <v>8</v>
      </c>
      <c r="I464" s="3">
        <f>Gegenstände!D464</f>
        <v>25</v>
      </c>
      <c r="J464" s="168">
        <f>ROUND(Gegenstände!N464,0)</f>
        <v>21500</v>
      </c>
      <c r="K464" s="3">
        <f>Gegenstände!J464</f>
        <v>100</v>
      </c>
      <c r="L464" s="3">
        <f>Gegenstände!L464</f>
        <v>0</v>
      </c>
      <c r="M464" s="3">
        <f>Gegenstände!Z464</f>
        <v>6</v>
      </c>
      <c r="N464" s="783">
        <f>(Gegenstände!Y464*10)</f>
        <v>15</v>
      </c>
      <c r="O464" s="783">
        <f>(Gegenstände!W464*10)</f>
        <v>26</v>
      </c>
      <c r="P464" s="783">
        <f>Gegenstände!AA464*10</f>
        <v>0</v>
      </c>
      <c r="Q464" s="783">
        <f>Gegenstände!O464</f>
        <v>0</v>
      </c>
      <c r="R464" s="168">
        <f>Gegenstände!S464</f>
        <v>0</v>
      </c>
      <c r="S464" s="168">
        <f>Gegenstände!T464</f>
        <v>0</v>
      </c>
      <c r="T464" s="783">
        <f>Gegenstände!AC464</f>
        <v>0</v>
      </c>
      <c r="U464" s="783">
        <f>Gegenstände!AE464</f>
        <v>0</v>
      </c>
      <c r="V464" s="783">
        <f>Gegenstände!AD464</f>
        <v>0</v>
      </c>
      <c r="W464" s="783">
        <f>Gegenstände!AF464</f>
        <v>0</v>
      </c>
      <c r="AB464" s="3">
        <f>Gegenstände!M464</f>
        <v>5</v>
      </c>
      <c r="AC464" s="3">
        <f>Gegenstände!AB464</f>
        <v>0</v>
      </c>
      <c r="AD464" s="3">
        <f>Gegenstände!F464</f>
        <v>0</v>
      </c>
    </row>
    <row r="465" spans="1:30" x14ac:dyDescent="0.2">
      <c r="A465" s="3">
        <f>Gegenstände!A465</f>
        <v>1349</v>
      </c>
      <c r="B465" s="3" t="str">
        <f>Gegenstände!B465</f>
        <v>Drachenleder-Beinlinge</v>
      </c>
      <c r="D465" s="3">
        <f>Gegenstände!K465</f>
        <v>1600</v>
      </c>
      <c r="E465" s="3">
        <f>Gegenstände!I465</f>
        <v>14</v>
      </c>
      <c r="F465" s="3">
        <f>VLOOKUP(Gegenstände!E465,Berechnungen!$E$87:$F$115,2,FALSE)</f>
        <v>22</v>
      </c>
      <c r="G465" s="3">
        <f>Gegenstände!H465</f>
        <v>1</v>
      </c>
      <c r="H465" s="3">
        <f>Gegenstände!G465</f>
        <v>8</v>
      </c>
      <c r="I465" s="3">
        <f>Gegenstände!D465</f>
        <v>25</v>
      </c>
      <c r="J465" s="168">
        <f>ROUND(Gegenstände!N465,0)</f>
        <v>28600</v>
      </c>
      <c r="K465" s="3">
        <f>Gegenstände!J465</f>
        <v>100</v>
      </c>
      <c r="L465" s="3">
        <f>Gegenstände!L465</f>
        <v>0</v>
      </c>
      <c r="M465" s="3">
        <f>Gegenstände!Z465</f>
        <v>8</v>
      </c>
      <c r="N465" s="783">
        <f>(Gegenstände!Y465*10)</f>
        <v>20</v>
      </c>
      <c r="O465" s="783">
        <f>(Gegenstände!W465*10)</f>
        <v>34</v>
      </c>
      <c r="P465" s="783">
        <f>Gegenstände!AA465*10</f>
        <v>0</v>
      </c>
      <c r="Q465" s="783">
        <f>Gegenstände!O465</f>
        <v>0</v>
      </c>
      <c r="R465" s="168">
        <f>Gegenstände!S465</f>
        <v>0</v>
      </c>
      <c r="S465" s="168">
        <f>Gegenstände!T465</f>
        <v>0</v>
      </c>
      <c r="T465" s="783">
        <f>Gegenstände!AC465</f>
        <v>0</v>
      </c>
      <c r="U465" s="783">
        <f>Gegenstände!AE465</f>
        <v>0</v>
      </c>
      <c r="V465" s="783">
        <f>Gegenstände!AD465</f>
        <v>0</v>
      </c>
      <c r="W465" s="783">
        <f>Gegenstände!AF465</f>
        <v>0</v>
      </c>
      <c r="AB465" s="3">
        <f>Gegenstände!M465</f>
        <v>5</v>
      </c>
      <c r="AC465" s="3">
        <f>Gegenstände!AB465</f>
        <v>0</v>
      </c>
      <c r="AD465" s="3">
        <f>Gegenstände!F465</f>
        <v>0</v>
      </c>
    </row>
    <row r="466" spans="1:30" x14ac:dyDescent="0.2">
      <c r="A466" s="3">
        <f>Gegenstände!A466</f>
        <v>1350</v>
      </c>
      <c r="B466" s="3" t="str">
        <f>Gegenstände!B466</f>
        <v>Drachenleder-Stiefel</v>
      </c>
      <c r="D466" s="3">
        <f>Gegenstände!K466</f>
        <v>1200</v>
      </c>
      <c r="E466" s="3">
        <f>Gegenstände!I466</f>
        <v>15</v>
      </c>
      <c r="F466" s="3">
        <f>VLOOKUP(Gegenstände!E466,Berechnungen!$E$87:$F$115,2,FALSE)</f>
        <v>22</v>
      </c>
      <c r="G466" s="3">
        <f>Gegenstände!H466</f>
        <v>1</v>
      </c>
      <c r="H466" s="3">
        <f>Gegenstände!G466</f>
        <v>8</v>
      </c>
      <c r="I466" s="3">
        <f>Gegenstände!D466</f>
        <v>25</v>
      </c>
      <c r="J466" s="168">
        <f>ROUND(Gegenstände!N466,0)</f>
        <v>21500</v>
      </c>
      <c r="K466" s="3">
        <f>Gegenstände!J466</f>
        <v>100</v>
      </c>
      <c r="L466" s="3">
        <f>Gegenstände!L466</f>
        <v>0</v>
      </c>
      <c r="M466" s="3">
        <f>Gegenstände!Z466</f>
        <v>6</v>
      </c>
      <c r="N466" s="783">
        <f>(Gegenstände!Y466*10)</f>
        <v>15</v>
      </c>
      <c r="O466" s="783">
        <f>(Gegenstände!W466*10)</f>
        <v>26</v>
      </c>
      <c r="P466" s="783">
        <f>Gegenstände!AA466*10</f>
        <v>0</v>
      </c>
      <c r="Q466" s="783">
        <f>Gegenstände!O466</f>
        <v>0</v>
      </c>
      <c r="R466" s="168">
        <f>Gegenstände!S466</f>
        <v>0</v>
      </c>
      <c r="S466" s="168">
        <f>Gegenstände!T466</f>
        <v>0</v>
      </c>
      <c r="T466" s="783">
        <f>Gegenstände!AC466</f>
        <v>0</v>
      </c>
      <c r="U466" s="783">
        <f>Gegenstände!AE466</f>
        <v>0</v>
      </c>
      <c r="V466" s="783">
        <f>Gegenstände!AD466</f>
        <v>0</v>
      </c>
      <c r="W466" s="783">
        <f>Gegenstände!AF466</f>
        <v>0</v>
      </c>
      <c r="AB466" s="3">
        <f>Gegenstände!M466</f>
        <v>5</v>
      </c>
      <c r="AC466" s="3">
        <f>Gegenstände!AB466</f>
        <v>0</v>
      </c>
      <c r="AD466" s="3">
        <f>Gegenstände!F466</f>
        <v>0</v>
      </c>
    </row>
    <row r="467" spans="1:30" x14ac:dyDescent="0.2">
      <c r="A467" s="3">
        <f>Gegenstände!A467</f>
        <v>2301</v>
      </c>
      <c r="B467" s="3" t="str">
        <f>Gegenstände!B467</f>
        <v>Achat-Lederhelm</v>
      </c>
      <c r="D467" s="3">
        <f>Gegenstände!K467</f>
        <v>1600</v>
      </c>
      <c r="E467" s="3">
        <f>Gegenstände!I467</f>
        <v>11</v>
      </c>
      <c r="F467" s="3">
        <f>VLOOKUP(Gegenstände!E467,Berechnungen!$E$87:$F$115,2,FALSE)</f>
        <v>22</v>
      </c>
      <c r="G467" s="3">
        <f>Gegenstände!H467</f>
        <v>2</v>
      </c>
      <c r="H467" s="3">
        <f>Gegenstände!G467</f>
        <v>8</v>
      </c>
      <c r="I467" s="3">
        <f>Gegenstände!D467</f>
        <v>4</v>
      </c>
      <c r="J467" s="168">
        <f>ROUND(Gegenstände!N467,0)</f>
        <v>2000</v>
      </c>
      <c r="K467" s="3">
        <f>Gegenstände!J467</f>
        <v>100</v>
      </c>
      <c r="L467" s="3">
        <f>Gegenstände!L467</f>
        <v>0</v>
      </c>
      <c r="M467" s="3">
        <f>Gegenstände!Z467</f>
        <v>8</v>
      </c>
      <c r="N467" s="783">
        <f>(Gegenstände!Y467*10)</f>
        <v>20</v>
      </c>
      <c r="O467" s="783">
        <f>(Gegenstände!W467*10)</f>
        <v>12</v>
      </c>
      <c r="P467" s="783">
        <f>Gegenstände!AA467*10</f>
        <v>0</v>
      </c>
      <c r="Q467" s="783">
        <f>Gegenstände!O467</f>
        <v>0</v>
      </c>
      <c r="R467" s="168">
        <f>Gegenstände!S467</f>
        <v>0</v>
      </c>
      <c r="S467" s="168">
        <f>Gegenstände!T467</f>
        <v>0</v>
      </c>
      <c r="T467" s="783">
        <f>Gegenstände!AC467</f>
        <v>0</v>
      </c>
      <c r="U467" s="783">
        <f>Gegenstände!AE467</f>
        <v>0</v>
      </c>
      <c r="V467" s="783">
        <f>Gegenstände!AD467</f>
        <v>0</v>
      </c>
      <c r="W467" s="783">
        <f>Gegenstände!AF467</f>
        <v>0</v>
      </c>
      <c r="AB467" s="3">
        <f>Gegenstände!M467</f>
        <v>0</v>
      </c>
      <c r="AC467" s="3">
        <f>Gegenstände!AB467</f>
        <v>0</v>
      </c>
      <c r="AD467" s="3">
        <f>Gegenstände!F467</f>
        <v>0</v>
      </c>
    </row>
    <row r="468" spans="1:30" x14ac:dyDescent="0.2">
      <c r="A468" s="3">
        <f>Gegenstände!A468</f>
        <v>2302</v>
      </c>
      <c r="B468" s="3" t="str">
        <f>Gegenstände!B468</f>
        <v>Achat-Lederharnisch</v>
      </c>
      <c r="D468" s="3">
        <f>Gegenstände!K468</f>
        <v>2400</v>
      </c>
      <c r="E468" s="3">
        <f>Gegenstände!I468</f>
        <v>12</v>
      </c>
      <c r="F468" s="3">
        <f>VLOOKUP(Gegenstände!E468,Berechnungen!$E$87:$F$115,2,FALSE)</f>
        <v>22</v>
      </c>
      <c r="G468" s="3">
        <f>Gegenstände!H468</f>
        <v>2</v>
      </c>
      <c r="H468" s="3">
        <f>Gegenstände!G468</f>
        <v>8</v>
      </c>
      <c r="I468" s="3">
        <f>Gegenstände!D468</f>
        <v>4</v>
      </c>
      <c r="J468" s="168">
        <f>ROUND(Gegenstände!N468,0)</f>
        <v>2800</v>
      </c>
      <c r="K468" s="3">
        <f>Gegenstände!J468</f>
        <v>100</v>
      </c>
      <c r="L468" s="3">
        <f>Gegenstände!L468</f>
        <v>0</v>
      </c>
      <c r="M468" s="3">
        <f>Gegenstände!Z468</f>
        <v>12</v>
      </c>
      <c r="N468" s="783">
        <f>(Gegenstände!Y468*10)</f>
        <v>30</v>
      </c>
      <c r="O468" s="783">
        <f>(Gegenstände!W468*10)</f>
        <v>18</v>
      </c>
      <c r="P468" s="783">
        <f>Gegenstände!AA468*10</f>
        <v>0</v>
      </c>
      <c r="Q468" s="783">
        <f>Gegenstände!O468</f>
        <v>0</v>
      </c>
      <c r="R468" s="168">
        <f>Gegenstände!S468</f>
        <v>0</v>
      </c>
      <c r="S468" s="168">
        <f>Gegenstände!T468</f>
        <v>0</v>
      </c>
      <c r="T468" s="783">
        <f>Gegenstände!AC468</f>
        <v>0</v>
      </c>
      <c r="U468" s="783">
        <f>Gegenstände!AE468</f>
        <v>0</v>
      </c>
      <c r="V468" s="783">
        <f>Gegenstände!AD468</f>
        <v>0</v>
      </c>
      <c r="W468" s="783">
        <f>Gegenstände!AF468</f>
        <v>0</v>
      </c>
      <c r="AB468" s="3">
        <f>Gegenstände!M468</f>
        <v>0</v>
      </c>
      <c r="AC468" s="3">
        <f>Gegenstände!AB468</f>
        <v>0</v>
      </c>
      <c r="AD468" s="3">
        <f>Gegenstände!F468</f>
        <v>0</v>
      </c>
    </row>
    <row r="469" spans="1:30" x14ac:dyDescent="0.2">
      <c r="A469" s="3">
        <f>Gegenstände!A469</f>
        <v>2303</v>
      </c>
      <c r="B469" s="3" t="str">
        <f>Gegenstände!B469</f>
        <v>Achat-Lederstulpen</v>
      </c>
      <c r="D469" s="3">
        <f>Gegenstände!K469</f>
        <v>1200</v>
      </c>
      <c r="E469" s="3">
        <f>Gegenstände!I469</f>
        <v>13</v>
      </c>
      <c r="F469" s="3">
        <f>VLOOKUP(Gegenstände!E469,Berechnungen!$E$87:$F$115,2,FALSE)</f>
        <v>22</v>
      </c>
      <c r="G469" s="3">
        <f>Gegenstände!H469</f>
        <v>2</v>
      </c>
      <c r="H469" s="3">
        <f>Gegenstände!G469</f>
        <v>8</v>
      </c>
      <c r="I469" s="3">
        <f>Gegenstände!D469</f>
        <v>5</v>
      </c>
      <c r="J469" s="168">
        <f>ROUND(Gegenstände!N469,0)</f>
        <v>1800</v>
      </c>
      <c r="K469" s="3">
        <f>Gegenstände!J469</f>
        <v>100</v>
      </c>
      <c r="L469" s="3">
        <f>Gegenstände!L469</f>
        <v>0</v>
      </c>
      <c r="M469" s="3">
        <f>Gegenstände!Z469</f>
        <v>6</v>
      </c>
      <c r="N469" s="783">
        <f>(Gegenstände!Y469*10)</f>
        <v>15</v>
      </c>
      <c r="O469" s="783">
        <f>(Gegenstände!W469*10)</f>
        <v>9</v>
      </c>
      <c r="P469" s="783">
        <f>Gegenstände!AA469*10</f>
        <v>0</v>
      </c>
      <c r="Q469" s="783">
        <f>Gegenstände!O469</f>
        <v>0</v>
      </c>
      <c r="R469" s="168">
        <f>Gegenstände!S469</f>
        <v>0</v>
      </c>
      <c r="S469" s="168">
        <f>Gegenstände!T469</f>
        <v>0</v>
      </c>
      <c r="T469" s="783">
        <f>Gegenstände!AC469</f>
        <v>0</v>
      </c>
      <c r="U469" s="783">
        <f>Gegenstände!AE469</f>
        <v>0</v>
      </c>
      <c r="V469" s="783">
        <f>Gegenstände!AD469</f>
        <v>0</v>
      </c>
      <c r="W469" s="783">
        <f>Gegenstände!AF469</f>
        <v>0</v>
      </c>
      <c r="AB469" s="3">
        <f>Gegenstände!M469</f>
        <v>0</v>
      </c>
      <c r="AC469" s="3">
        <f>Gegenstände!AB469</f>
        <v>0</v>
      </c>
      <c r="AD469" s="3">
        <f>Gegenstände!F469</f>
        <v>0</v>
      </c>
    </row>
    <row r="470" spans="1:30" x14ac:dyDescent="0.2">
      <c r="A470" s="3">
        <f>Gegenstände!A470</f>
        <v>2304</v>
      </c>
      <c r="B470" s="3" t="str">
        <f>Gegenstände!B470</f>
        <v>Achat-Lederbeinlinge</v>
      </c>
      <c r="D470" s="3">
        <f>Gegenstände!K470</f>
        <v>1600</v>
      </c>
      <c r="E470" s="3">
        <f>Gegenstände!I470</f>
        <v>14</v>
      </c>
      <c r="F470" s="3">
        <f>VLOOKUP(Gegenstände!E470,Berechnungen!$E$87:$F$115,2,FALSE)</f>
        <v>22</v>
      </c>
      <c r="G470" s="3">
        <f>Gegenstände!H470</f>
        <v>2</v>
      </c>
      <c r="H470" s="3">
        <f>Gegenstände!G470</f>
        <v>8</v>
      </c>
      <c r="I470" s="3">
        <f>Gegenstände!D470</f>
        <v>5</v>
      </c>
      <c r="J470" s="168">
        <f>ROUND(Gegenstände!N470,0)</f>
        <v>2200</v>
      </c>
      <c r="K470" s="3">
        <f>Gegenstände!J470</f>
        <v>100</v>
      </c>
      <c r="L470" s="3">
        <f>Gegenstände!L470</f>
        <v>0</v>
      </c>
      <c r="M470" s="3">
        <f>Gegenstände!Z470</f>
        <v>8</v>
      </c>
      <c r="N470" s="783">
        <f>(Gegenstände!Y470*10)</f>
        <v>20</v>
      </c>
      <c r="O470" s="783">
        <f>(Gegenstände!W470*10)</f>
        <v>12</v>
      </c>
      <c r="P470" s="783">
        <f>Gegenstände!AA470*10</f>
        <v>0</v>
      </c>
      <c r="Q470" s="783">
        <f>Gegenstände!O470</f>
        <v>0</v>
      </c>
      <c r="R470" s="168">
        <f>Gegenstände!S470</f>
        <v>0</v>
      </c>
      <c r="S470" s="168">
        <f>Gegenstände!T470</f>
        <v>0</v>
      </c>
      <c r="T470" s="783">
        <f>Gegenstände!AC470</f>
        <v>0</v>
      </c>
      <c r="U470" s="783">
        <f>Gegenstände!AE470</f>
        <v>0</v>
      </c>
      <c r="V470" s="783">
        <f>Gegenstände!AD470</f>
        <v>0</v>
      </c>
      <c r="W470" s="783">
        <f>Gegenstände!AF470</f>
        <v>0</v>
      </c>
      <c r="AB470" s="3">
        <f>Gegenstände!M470</f>
        <v>0</v>
      </c>
      <c r="AC470" s="3">
        <f>Gegenstände!AB470</f>
        <v>0</v>
      </c>
      <c r="AD470" s="3">
        <f>Gegenstände!F470</f>
        <v>0</v>
      </c>
    </row>
    <row r="471" spans="1:30" x14ac:dyDescent="0.2">
      <c r="A471" s="3">
        <f>Gegenstände!A471</f>
        <v>2305</v>
      </c>
      <c r="B471" s="3" t="str">
        <f>Gegenstände!B471</f>
        <v>Achat-Lederstiefel</v>
      </c>
      <c r="D471" s="3">
        <f>Gegenstände!K471</f>
        <v>1200</v>
      </c>
      <c r="E471" s="3">
        <f>Gegenstände!I471</f>
        <v>15</v>
      </c>
      <c r="F471" s="3">
        <f>VLOOKUP(Gegenstände!E471,Berechnungen!$E$87:$F$115,2,FALSE)</f>
        <v>22</v>
      </c>
      <c r="G471" s="3">
        <f>Gegenstände!H471</f>
        <v>2</v>
      </c>
      <c r="H471" s="3">
        <f>Gegenstände!G471</f>
        <v>8</v>
      </c>
      <c r="I471" s="3">
        <f>Gegenstände!D471</f>
        <v>5</v>
      </c>
      <c r="J471" s="168">
        <f>ROUND(Gegenstände!N471,0)</f>
        <v>1800</v>
      </c>
      <c r="K471" s="3">
        <f>Gegenstände!J471</f>
        <v>100</v>
      </c>
      <c r="L471" s="3">
        <f>Gegenstände!L471</f>
        <v>0</v>
      </c>
      <c r="M471" s="3">
        <f>Gegenstände!Z471</f>
        <v>6</v>
      </c>
      <c r="N471" s="783">
        <f>(Gegenstände!Y471*10)</f>
        <v>15</v>
      </c>
      <c r="O471" s="783">
        <f>(Gegenstände!W471*10)</f>
        <v>9</v>
      </c>
      <c r="P471" s="783">
        <f>Gegenstände!AA471*10</f>
        <v>0</v>
      </c>
      <c r="Q471" s="783">
        <f>Gegenstände!O471</f>
        <v>0</v>
      </c>
      <c r="R471" s="168">
        <f>Gegenstände!S471</f>
        <v>0</v>
      </c>
      <c r="S471" s="168">
        <f>Gegenstände!T471</f>
        <v>0</v>
      </c>
      <c r="T471" s="783">
        <f>Gegenstände!AC471</f>
        <v>0</v>
      </c>
      <c r="U471" s="783">
        <f>Gegenstände!AE471</f>
        <v>0</v>
      </c>
      <c r="V471" s="783">
        <f>Gegenstände!AD471</f>
        <v>0</v>
      </c>
      <c r="W471" s="783">
        <f>Gegenstände!AF471</f>
        <v>0</v>
      </c>
      <c r="AB471" s="3">
        <f>Gegenstände!M471</f>
        <v>0</v>
      </c>
      <c r="AC471" s="3">
        <f>Gegenstände!AB471</f>
        <v>0</v>
      </c>
      <c r="AD471" s="3">
        <f>Gegenstände!F471</f>
        <v>0</v>
      </c>
    </row>
    <row r="472" spans="1:30" x14ac:dyDescent="0.2">
      <c r="A472" s="3">
        <f>Gegenstände!A472</f>
        <v>2311</v>
      </c>
      <c r="B472" s="3" t="str">
        <f>Gegenstände!B472</f>
        <v>Topas-Lederhelm</v>
      </c>
      <c r="D472" s="3">
        <f>Gegenstände!K472</f>
        <v>1600</v>
      </c>
      <c r="E472" s="3">
        <f>Gegenstände!I472</f>
        <v>11</v>
      </c>
      <c r="F472" s="3">
        <f>VLOOKUP(Gegenstände!E472,Berechnungen!$E$87:$F$115,2,FALSE)</f>
        <v>22</v>
      </c>
      <c r="G472" s="3">
        <f>Gegenstände!H472</f>
        <v>2</v>
      </c>
      <c r="H472" s="3">
        <f>Gegenstände!G472</f>
        <v>8</v>
      </c>
      <c r="I472" s="3">
        <f>Gegenstände!D472</f>
        <v>9</v>
      </c>
      <c r="J472" s="168">
        <f>ROUND(Gegenstände!N472,0)</f>
        <v>4100</v>
      </c>
      <c r="K472" s="3">
        <f>Gegenstände!J472</f>
        <v>100</v>
      </c>
      <c r="L472" s="3">
        <f>Gegenstände!L472</f>
        <v>0</v>
      </c>
      <c r="M472" s="3">
        <f>Gegenstände!Z472</f>
        <v>8</v>
      </c>
      <c r="N472" s="783">
        <f>(Gegenstände!Y472*10)</f>
        <v>20</v>
      </c>
      <c r="O472" s="783">
        <f>(Gegenstände!W472*10)</f>
        <v>18</v>
      </c>
      <c r="P472" s="783">
        <f>Gegenstände!AA472*10</f>
        <v>0</v>
      </c>
      <c r="Q472" s="783">
        <f>Gegenstände!O472</f>
        <v>0</v>
      </c>
      <c r="R472" s="168">
        <f>Gegenstände!S472</f>
        <v>0</v>
      </c>
      <c r="S472" s="168">
        <f>Gegenstände!T472</f>
        <v>0</v>
      </c>
      <c r="T472" s="783">
        <f>Gegenstände!AC472</f>
        <v>0</v>
      </c>
      <c r="U472" s="783">
        <f>Gegenstände!AE472</f>
        <v>0</v>
      </c>
      <c r="V472" s="783">
        <f>Gegenstände!AD472</f>
        <v>0</v>
      </c>
      <c r="W472" s="783">
        <f>Gegenstände!AF472</f>
        <v>0</v>
      </c>
      <c r="AB472" s="3">
        <f>Gegenstände!M472</f>
        <v>0</v>
      </c>
      <c r="AC472" s="3">
        <f>Gegenstände!AB472</f>
        <v>0</v>
      </c>
      <c r="AD472" s="3">
        <f>Gegenstände!F472</f>
        <v>0</v>
      </c>
    </row>
    <row r="473" spans="1:30" x14ac:dyDescent="0.2">
      <c r="A473" s="3">
        <f>Gegenstände!A473</f>
        <v>2312</v>
      </c>
      <c r="B473" s="3" t="str">
        <f>Gegenstände!B473</f>
        <v>Topas-Lederharnisch</v>
      </c>
      <c r="D473" s="3">
        <f>Gegenstände!K473</f>
        <v>2400</v>
      </c>
      <c r="E473" s="3">
        <f>Gegenstände!I473</f>
        <v>12</v>
      </c>
      <c r="F473" s="3">
        <f>VLOOKUP(Gegenstände!E473,Berechnungen!$E$87:$F$115,2,FALSE)</f>
        <v>22</v>
      </c>
      <c r="G473" s="3">
        <f>Gegenstände!H473</f>
        <v>2</v>
      </c>
      <c r="H473" s="3">
        <f>Gegenstände!G473</f>
        <v>8</v>
      </c>
      <c r="I473" s="3">
        <f>Gegenstände!D473</f>
        <v>9</v>
      </c>
      <c r="J473" s="168">
        <f>ROUND(Gegenstände!N473,0)</f>
        <v>5600</v>
      </c>
      <c r="K473" s="3">
        <f>Gegenstände!J473</f>
        <v>100</v>
      </c>
      <c r="L473" s="3">
        <f>Gegenstände!L473</f>
        <v>0</v>
      </c>
      <c r="M473" s="3">
        <f>Gegenstände!Z473</f>
        <v>12</v>
      </c>
      <c r="N473" s="783">
        <f>(Gegenstände!Y473*10)</f>
        <v>30</v>
      </c>
      <c r="O473" s="783">
        <f>(Gegenstände!W473*10)</f>
        <v>27</v>
      </c>
      <c r="P473" s="783">
        <f>Gegenstände!AA473*10</f>
        <v>0</v>
      </c>
      <c r="Q473" s="783">
        <f>Gegenstände!O473</f>
        <v>0</v>
      </c>
      <c r="R473" s="168">
        <f>Gegenstände!S473</f>
        <v>0</v>
      </c>
      <c r="S473" s="168">
        <f>Gegenstände!T473</f>
        <v>0</v>
      </c>
      <c r="T473" s="783">
        <f>Gegenstände!AC473</f>
        <v>0</v>
      </c>
      <c r="U473" s="783">
        <f>Gegenstände!AE473</f>
        <v>0</v>
      </c>
      <c r="V473" s="783">
        <f>Gegenstände!AD473</f>
        <v>0</v>
      </c>
      <c r="W473" s="783">
        <f>Gegenstände!AF473</f>
        <v>0</v>
      </c>
      <c r="AB473" s="3">
        <f>Gegenstände!M473</f>
        <v>0</v>
      </c>
      <c r="AC473" s="3">
        <f>Gegenstände!AB473</f>
        <v>0</v>
      </c>
      <c r="AD473" s="3">
        <f>Gegenstände!F473</f>
        <v>0</v>
      </c>
    </row>
    <row r="474" spans="1:30" x14ac:dyDescent="0.2">
      <c r="A474" s="3">
        <f>Gegenstände!A474</f>
        <v>2313</v>
      </c>
      <c r="B474" s="3" t="str">
        <f>Gegenstände!B474</f>
        <v>Topas-Lederstulpen</v>
      </c>
      <c r="D474" s="3">
        <f>Gegenstände!K474</f>
        <v>1200</v>
      </c>
      <c r="E474" s="3">
        <f>Gegenstände!I474</f>
        <v>13</v>
      </c>
      <c r="F474" s="3">
        <f>VLOOKUP(Gegenstände!E474,Berechnungen!$E$87:$F$115,2,FALSE)</f>
        <v>22</v>
      </c>
      <c r="G474" s="3">
        <f>Gegenstände!H474</f>
        <v>2</v>
      </c>
      <c r="H474" s="3">
        <f>Gegenstände!G474</f>
        <v>8</v>
      </c>
      <c r="I474" s="3">
        <f>Gegenstände!D474</f>
        <v>10</v>
      </c>
      <c r="J474" s="168">
        <f>ROUND(Gegenstände!N474,0)</f>
        <v>3600</v>
      </c>
      <c r="K474" s="3">
        <f>Gegenstände!J474</f>
        <v>100</v>
      </c>
      <c r="L474" s="3">
        <f>Gegenstände!L474</f>
        <v>0</v>
      </c>
      <c r="M474" s="3">
        <f>Gegenstände!Z474</f>
        <v>6</v>
      </c>
      <c r="N474" s="783">
        <f>(Gegenstände!Y474*10)</f>
        <v>15</v>
      </c>
      <c r="O474" s="783">
        <f>(Gegenstände!W474*10)</f>
        <v>14</v>
      </c>
      <c r="P474" s="783">
        <f>Gegenstände!AA474*10</f>
        <v>0</v>
      </c>
      <c r="Q474" s="783">
        <f>Gegenstände!O474</f>
        <v>0</v>
      </c>
      <c r="R474" s="168">
        <f>Gegenstände!S474</f>
        <v>0</v>
      </c>
      <c r="S474" s="168">
        <f>Gegenstände!T474</f>
        <v>0</v>
      </c>
      <c r="T474" s="783">
        <f>Gegenstände!AC474</f>
        <v>0</v>
      </c>
      <c r="U474" s="783">
        <f>Gegenstände!AE474</f>
        <v>0</v>
      </c>
      <c r="V474" s="783">
        <f>Gegenstände!AD474</f>
        <v>0</v>
      </c>
      <c r="W474" s="783">
        <f>Gegenstände!AF474</f>
        <v>0</v>
      </c>
      <c r="AB474" s="3">
        <f>Gegenstände!M474</f>
        <v>0</v>
      </c>
      <c r="AC474" s="3">
        <f>Gegenstände!AB474</f>
        <v>0</v>
      </c>
      <c r="AD474" s="3">
        <f>Gegenstände!F474</f>
        <v>0</v>
      </c>
    </row>
    <row r="475" spans="1:30" x14ac:dyDescent="0.2">
      <c r="A475" s="3">
        <f>Gegenstände!A475</f>
        <v>2314</v>
      </c>
      <c r="B475" s="3" t="str">
        <f>Gegenstände!B475</f>
        <v>Topas-Lederbeinlinge</v>
      </c>
      <c r="D475" s="3">
        <f>Gegenstände!K475</f>
        <v>1600</v>
      </c>
      <c r="E475" s="3">
        <f>Gegenstände!I475</f>
        <v>14</v>
      </c>
      <c r="F475" s="3">
        <f>VLOOKUP(Gegenstände!E475,Berechnungen!$E$87:$F$115,2,FALSE)</f>
        <v>22</v>
      </c>
      <c r="G475" s="3">
        <f>Gegenstände!H475</f>
        <v>2</v>
      </c>
      <c r="H475" s="3">
        <f>Gegenstände!G475</f>
        <v>8</v>
      </c>
      <c r="I475" s="3">
        <f>Gegenstände!D475</f>
        <v>10</v>
      </c>
      <c r="J475" s="168">
        <f>ROUND(Gegenstände!N475,0)</f>
        <v>4500</v>
      </c>
      <c r="K475" s="3">
        <f>Gegenstände!J475</f>
        <v>100</v>
      </c>
      <c r="L475" s="3">
        <f>Gegenstände!L475</f>
        <v>0</v>
      </c>
      <c r="M475" s="3">
        <f>Gegenstände!Z475</f>
        <v>8</v>
      </c>
      <c r="N475" s="783">
        <f>(Gegenstände!Y475*10)</f>
        <v>20</v>
      </c>
      <c r="O475" s="783">
        <f>(Gegenstände!W475*10)</f>
        <v>18</v>
      </c>
      <c r="P475" s="783">
        <f>Gegenstände!AA475*10</f>
        <v>0</v>
      </c>
      <c r="Q475" s="783">
        <f>Gegenstände!O475</f>
        <v>0</v>
      </c>
      <c r="R475" s="168">
        <f>Gegenstände!S475</f>
        <v>0</v>
      </c>
      <c r="S475" s="168">
        <f>Gegenstände!T475</f>
        <v>0</v>
      </c>
      <c r="T475" s="783">
        <f>Gegenstände!AC475</f>
        <v>0</v>
      </c>
      <c r="U475" s="783">
        <f>Gegenstände!AE475</f>
        <v>0</v>
      </c>
      <c r="V475" s="783">
        <f>Gegenstände!AD475</f>
        <v>0</v>
      </c>
      <c r="W475" s="783">
        <f>Gegenstände!AF475</f>
        <v>0</v>
      </c>
      <c r="AB475" s="3">
        <f>Gegenstände!M475</f>
        <v>0</v>
      </c>
      <c r="AC475" s="3">
        <f>Gegenstände!AB475</f>
        <v>0</v>
      </c>
      <c r="AD475" s="3">
        <f>Gegenstände!F475</f>
        <v>0</v>
      </c>
    </row>
    <row r="476" spans="1:30" x14ac:dyDescent="0.2">
      <c r="A476" s="3">
        <f>Gegenstände!A476</f>
        <v>2315</v>
      </c>
      <c r="B476" s="3" t="str">
        <f>Gegenstände!B476</f>
        <v>Topas-Lederstiefel</v>
      </c>
      <c r="D476" s="3">
        <f>Gegenstände!K476</f>
        <v>1200</v>
      </c>
      <c r="E476" s="3">
        <f>Gegenstände!I476</f>
        <v>15</v>
      </c>
      <c r="F476" s="3">
        <f>VLOOKUP(Gegenstände!E476,Berechnungen!$E$87:$F$115,2,FALSE)</f>
        <v>22</v>
      </c>
      <c r="G476" s="3">
        <f>Gegenstände!H476</f>
        <v>2</v>
      </c>
      <c r="H476" s="3">
        <f>Gegenstände!G476</f>
        <v>8</v>
      </c>
      <c r="I476" s="3">
        <f>Gegenstände!D476</f>
        <v>10</v>
      </c>
      <c r="J476" s="168">
        <f>ROUND(Gegenstände!N476,0)</f>
        <v>3600</v>
      </c>
      <c r="K476" s="3">
        <f>Gegenstände!J476</f>
        <v>100</v>
      </c>
      <c r="L476" s="3">
        <f>Gegenstände!L476</f>
        <v>0</v>
      </c>
      <c r="M476" s="3">
        <f>Gegenstände!Z476</f>
        <v>6</v>
      </c>
      <c r="N476" s="783">
        <f>(Gegenstände!Y476*10)</f>
        <v>15</v>
      </c>
      <c r="O476" s="783">
        <f>(Gegenstände!W476*10)</f>
        <v>14</v>
      </c>
      <c r="P476" s="783">
        <f>Gegenstände!AA476*10</f>
        <v>0</v>
      </c>
      <c r="Q476" s="783">
        <f>Gegenstände!O476</f>
        <v>0</v>
      </c>
      <c r="R476" s="168">
        <f>Gegenstände!S476</f>
        <v>0</v>
      </c>
      <c r="S476" s="168">
        <f>Gegenstände!T476</f>
        <v>0</v>
      </c>
      <c r="T476" s="783">
        <f>Gegenstände!AC476</f>
        <v>0</v>
      </c>
      <c r="U476" s="783">
        <f>Gegenstände!AE476</f>
        <v>0</v>
      </c>
      <c r="V476" s="783">
        <f>Gegenstände!AD476</f>
        <v>0</v>
      </c>
      <c r="W476" s="783">
        <f>Gegenstände!AF476</f>
        <v>0</v>
      </c>
      <c r="AB476" s="3">
        <f>Gegenstände!M476</f>
        <v>0</v>
      </c>
      <c r="AC476" s="3">
        <f>Gegenstände!AB476</f>
        <v>0</v>
      </c>
      <c r="AD476" s="3">
        <f>Gegenstände!F476</f>
        <v>0</v>
      </c>
    </row>
    <row r="477" spans="1:30" x14ac:dyDescent="0.2">
      <c r="A477" s="3">
        <f>Gegenstände!A477</f>
        <v>2321</v>
      </c>
      <c r="B477" s="3" t="str">
        <f>Gegenstände!B477</f>
        <v>Saphir-Lederhelm</v>
      </c>
      <c r="D477" s="3">
        <f>Gegenstände!K477</f>
        <v>1600</v>
      </c>
      <c r="E477" s="3">
        <f>Gegenstände!I477</f>
        <v>11</v>
      </c>
      <c r="F477" s="3">
        <f>VLOOKUP(Gegenstände!E477,Berechnungen!$E$87:$F$115,2,FALSE)</f>
        <v>22</v>
      </c>
      <c r="G477" s="3">
        <f>Gegenstände!H477</f>
        <v>2</v>
      </c>
      <c r="H477" s="3">
        <f>Gegenstände!G477</f>
        <v>8</v>
      </c>
      <c r="I477" s="3">
        <f>Gegenstände!D477</f>
        <v>14</v>
      </c>
      <c r="J477" s="168">
        <f>ROUND(Gegenstände!N477,0)</f>
        <v>8200</v>
      </c>
      <c r="K477" s="3">
        <f>Gegenstände!J477</f>
        <v>100</v>
      </c>
      <c r="L477" s="3">
        <f>Gegenstände!L477</f>
        <v>0</v>
      </c>
      <c r="M477" s="3">
        <f>Gegenstände!Z477</f>
        <v>8</v>
      </c>
      <c r="N477" s="783">
        <f>(Gegenstände!Y477*10)</f>
        <v>20</v>
      </c>
      <c r="O477" s="783">
        <f>(Gegenstände!W477*10)</f>
        <v>24</v>
      </c>
      <c r="P477" s="783">
        <f>Gegenstände!AA477*10</f>
        <v>0</v>
      </c>
      <c r="Q477" s="783">
        <f>Gegenstände!O477</f>
        <v>0</v>
      </c>
      <c r="R477" s="168">
        <f>Gegenstände!S477</f>
        <v>0</v>
      </c>
      <c r="S477" s="168">
        <f>Gegenstände!T477</f>
        <v>0</v>
      </c>
      <c r="T477" s="783">
        <f>Gegenstände!AC477</f>
        <v>0</v>
      </c>
      <c r="U477" s="783">
        <f>Gegenstände!AE477</f>
        <v>0</v>
      </c>
      <c r="V477" s="783">
        <f>Gegenstände!AD477</f>
        <v>0</v>
      </c>
      <c r="W477" s="783">
        <f>Gegenstände!AF477</f>
        <v>0</v>
      </c>
      <c r="AB477" s="3">
        <f>Gegenstände!M477</f>
        <v>0</v>
      </c>
      <c r="AC477" s="3">
        <f>Gegenstände!AB477</f>
        <v>0</v>
      </c>
      <c r="AD477" s="3">
        <f>Gegenstände!F477</f>
        <v>0</v>
      </c>
    </row>
    <row r="478" spans="1:30" x14ac:dyDescent="0.2">
      <c r="A478" s="3">
        <f>Gegenstände!A478</f>
        <v>2322</v>
      </c>
      <c r="B478" s="3" t="str">
        <f>Gegenstände!B478</f>
        <v>Saphir-Lederharnisch</v>
      </c>
      <c r="D478" s="3">
        <f>Gegenstände!K478</f>
        <v>2400</v>
      </c>
      <c r="E478" s="3">
        <f>Gegenstände!I478</f>
        <v>12</v>
      </c>
      <c r="F478" s="3">
        <f>VLOOKUP(Gegenstände!E478,Berechnungen!$E$87:$F$115,2,FALSE)</f>
        <v>22</v>
      </c>
      <c r="G478" s="3">
        <f>Gegenstände!H478</f>
        <v>2</v>
      </c>
      <c r="H478" s="3">
        <f>Gegenstände!G478</f>
        <v>8</v>
      </c>
      <c r="I478" s="3">
        <f>Gegenstände!D478</f>
        <v>14</v>
      </c>
      <c r="J478" s="168">
        <f>ROUND(Gegenstände!N478,0)</f>
        <v>11200</v>
      </c>
      <c r="K478" s="3">
        <f>Gegenstände!J478</f>
        <v>100</v>
      </c>
      <c r="L478" s="3">
        <f>Gegenstände!L478</f>
        <v>0</v>
      </c>
      <c r="M478" s="3">
        <f>Gegenstände!Z478</f>
        <v>12</v>
      </c>
      <c r="N478" s="783">
        <f>(Gegenstände!Y478*10)</f>
        <v>30</v>
      </c>
      <c r="O478" s="783">
        <f>(Gegenstände!W478*10)</f>
        <v>36</v>
      </c>
      <c r="P478" s="783">
        <f>Gegenstände!AA478*10</f>
        <v>0</v>
      </c>
      <c r="Q478" s="783">
        <f>Gegenstände!O478</f>
        <v>0</v>
      </c>
      <c r="R478" s="168">
        <f>Gegenstände!S478</f>
        <v>0</v>
      </c>
      <c r="S478" s="168">
        <f>Gegenstände!T478</f>
        <v>0</v>
      </c>
      <c r="T478" s="783">
        <f>Gegenstände!AC478</f>
        <v>0</v>
      </c>
      <c r="U478" s="783">
        <f>Gegenstände!AE478</f>
        <v>0</v>
      </c>
      <c r="V478" s="783">
        <f>Gegenstände!AD478</f>
        <v>0</v>
      </c>
      <c r="W478" s="783">
        <f>Gegenstände!AF478</f>
        <v>0</v>
      </c>
      <c r="AB478" s="3">
        <f>Gegenstände!M478</f>
        <v>0</v>
      </c>
      <c r="AC478" s="3">
        <f>Gegenstände!AB478</f>
        <v>0</v>
      </c>
      <c r="AD478" s="3">
        <f>Gegenstände!F478</f>
        <v>0</v>
      </c>
    </row>
    <row r="479" spans="1:30" x14ac:dyDescent="0.2">
      <c r="A479" s="3">
        <f>Gegenstände!A479</f>
        <v>2323</v>
      </c>
      <c r="B479" s="3" t="str">
        <f>Gegenstände!B479</f>
        <v>Saphir-Lederstulpen</v>
      </c>
      <c r="D479" s="3">
        <f>Gegenstände!K479</f>
        <v>1200</v>
      </c>
      <c r="E479" s="3">
        <f>Gegenstände!I479</f>
        <v>13</v>
      </c>
      <c r="F479" s="3">
        <f>VLOOKUP(Gegenstände!E479,Berechnungen!$E$87:$F$115,2,FALSE)</f>
        <v>22</v>
      </c>
      <c r="G479" s="3">
        <f>Gegenstände!H479</f>
        <v>2</v>
      </c>
      <c r="H479" s="3">
        <f>Gegenstände!G479</f>
        <v>8</v>
      </c>
      <c r="I479" s="3">
        <f>Gegenstände!D479</f>
        <v>15</v>
      </c>
      <c r="J479" s="168">
        <f>ROUND(Gegenstände!N479,0)</f>
        <v>7300</v>
      </c>
      <c r="K479" s="3">
        <f>Gegenstände!J479</f>
        <v>100</v>
      </c>
      <c r="L479" s="3">
        <f>Gegenstände!L479</f>
        <v>0</v>
      </c>
      <c r="M479" s="3">
        <f>Gegenstände!Z479</f>
        <v>6</v>
      </c>
      <c r="N479" s="783">
        <f>(Gegenstände!Y479*10)</f>
        <v>15</v>
      </c>
      <c r="O479" s="783">
        <f>(Gegenstände!W479*10)</f>
        <v>18</v>
      </c>
      <c r="P479" s="783">
        <f>Gegenstände!AA479*10</f>
        <v>0</v>
      </c>
      <c r="Q479" s="783">
        <f>Gegenstände!O479</f>
        <v>0</v>
      </c>
      <c r="R479" s="168">
        <f>Gegenstände!S479</f>
        <v>0</v>
      </c>
      <c r="S479" s="168">
        <f>Gegenstände!T479</f>
        <v>0</v>
      </c>
      <c r="T479" s="783">
        <f>Gegenstände!AC479</f>
        <v>0</v>
      </c>
      <c r="U479" s="783">
        <f>Gegenstände!AE479</f>
        <v>0</v>
      </c>
      <c r="V479" s="783">
        <f>Gegenstände!AD479</f>
        <v>0</v>
      </c>
      <c r="W479" s="783">
        <f>Gegenstände!AF479</f>
        <v>0</v>
      </c>
      <c r="AB479" s="3">
        <f>Gegenstände!M479</f>
        <v>0</v>
      </c>
      <c r="AC479" s="3">
        <f>Gegenstände!AB479</f>
        <v>0</v>
      </c>
      <c r="AD479" s="3">
        <f>Gegenstände!F479</f>
        <v>0</v>
      </c>
    </row>
    <row r="480" spans="1:30" x14ac:dyDescent="0.2">
      <c r="A480" s="3">
        <f>Gegenstände!A480</f>
        <v>2324</v>
      </c>
      <c r="B480" s="3" t="str">
        <f>Gegenstände!B480</f>
        <v>Saphir-Lederbeinlinge</v>
      </c>
      <c r="D480" s="3">
        <f>Gegenstände!K480</f>
        <v>1600</v>
      </c>
      <c r="E480" s="3">
        <f>Gegenstände!I480</f>
        <v>14</v>
      </c>
      <c r="F480" s="3">
        <f>VLOOKUP(Gegenstände!E480,Berechnungen!$E$87:$F$115,2,FALSE)</f>
        <v>22</v>
      </c>
      <c r="G480" s="3">
        <f>Gegenstände!H480</f>
        <v>2</v>
      </c>
      <c r="H480" s="3">
        <f>Gegenstände!G480</f>
        <v>8</v>
      </c>
      <c r="I480" s="3">
        <f>Gegenstände!D480</f>
        <v>15</v>
      </c>
      <c r="J480" s="168">
        <f>ROUND(Gegenstände!N480,0)</f>
        <v>9100</v>
      </c>
      <c r="K480" s="3">
        <f>Gegenstände!J480</f>
        <v>100</v>
      </c>
      <c r="L480" s="3">
        <f>Gegenstände!L480</f>
        <v>0</v>
      </c>
      <c r="M480" s="3">
        <f>Gegenstände!Z480</f>
        <v>8</v>
      </c>
      <c r="N480" s="783">
        <f>(Gegenstände!Y480*10)</f>
        <v>20</v>
      </c>
      <c r="O480" s="783">
        <f>(Gegenstände!W480*10)</f>
        <v>24</v>
      </c>
      <c r="P480" s="783">
        <f>Gegenstände!AA480*10</f>
        <v>0</v>
      </c>
      <c r="Q480" s="783">
        <f>Gegenstände!O480</f>
        <v>0</v>
      </c>
      <c r="R480" s="168">
        <f>Gegenstände!S480</f>
        <v>0</v>
      </c>
      <c r="S480" s="168">
        <f>Gegenstände!T480</f>
        <v>0</v>
      </c>
      <c r="T480" s="783">
        <f>Gegenstände!AC480</f>
        <v>0</v>
      </c>
      <c r="U480" s="783">
        <f>Gegenstände!AE480</f>
        <v>0</v>
      </c>
      <c r="V480" s="783">
        <f>Gegenstände!AD480</f>
        <v>0</v>
      </c>
      <c r="W480" s="783">
        <f>Gegenstände!AF480</f>
        <v>0</v>
      </c>
      <c r="AB480" s="3">
        <f>Gegenstände!M480</f>
        <v>0</v>
      </c>
      <c r="AC480" s="3">
        <f>Gegenstände!AB480</f>
        <v>0</v>
      </c>
      <c r="AD480" s="3">
        <f>Gegenstände!F480</f>
        <v>0</v>
      </c>
    </row>
    <row r="481" spans="1:30" x14ac:dyDescent="0.2">
      <c r="A481" s="3">
        <f>Gegenstände!A481</f>
        <v>2325</v>
      </c>
      <c r="B481" s="3" t="str">
        <f>Gegenstände!B481</f>
        <v>Saphir-Lederstiefel</v>
      </c>
      <c r="D481" s="3">
        <f>Gegenstände!K481</f>
        <v>1200</v>
      </c>
      <c r="E481" s="3">
        <f>Gegenstände!I481</f>
        <v>15</v>
      </c>
      <c r="F481" s="3">
        <f>VLOOKUP(Gegenstände!E481,Berechnungen!$E$87:$F$115,2,FALSE)</f>
        <v>22</v>
      </c>
      <c r="G481" s="3">
        <f>Gegenstände!H481</f>
        <v>2</v>
      </c>
      <c r="H481" s="3">
        <f>Gegenstände!G481</f>
        <v>8</v>
      </c>
      <c r="I481" s="3">
        <f>Gegenstände!D481</f>
        <v>15</v>
      </c>
      <c r="J481" s="168">
        <f>ROUND(Gegenstände!N481,0)</f>
        <v>7300</v>
      </c>
      <c r="K481" s="3">
        <f>Gegenstände!J481</f>
        <v>100</v>
      </c>
      <c r="L481" s="3">
        <f>Gegenstände!L481</f>
        <v>0</v>
      </c>
      <c r="M481" s="3">
        <f>Gegenstände!Z481</f>
        <v>6</v>
      </c>
      <c r="N481" s="783">
        <f>(Gegenstände!Y481*10)</f>
        <v>15</v>
      </c>
      <c r="O481" s="783">
        <f>(Gegenstände!W481*10)</f>
        <v>18</v>
      </c>
      <c r="P481" s="783">
        <f>Gegenstände!AA481*10</f>
        <v>0</v>
      </c>
      <c r="Q481" s="783">
        <f>Gegenstände!O481</f>
        <v>0</v>
      </c>
      <c r="R481" s="168">
        <f>Gegenstände!S481</f>
        <v>0</v>
      </c>
      <c r="S481" s="168">
        <f>Gegenstände!T481</f>
        <v>0</v>
      </c>
      <c r="T481" s="783">
        <f>Gegenstände!AC481</f>
        <v>0</v>
      </c>
      <c r="U481" s="783">
        <f>Gegenstände!AE481</f>
        <v>0</v>
      </c>
      <c r="V481" s="783">
        <f>Gegenstände!AD481</f>
        <v>0</v>
      </c>
      <c r="W481" s="783">
        <f>Gegenstände!AF481</f>
        <v>0</v>
      </c>
      <c r="AB481" s="3">
        <f>Gegenstände!M481</f>
        <v>0</v>
      </c>
      <c r="AC481" s="3">
        <f>Gegenstände!AB481</f>
        <v>0</v>
      </c>
      <c r="AD481" s="3">
        <f>Gegenstände!F481</f>
        <v>0</v>
      </c>
    </row>
    <row r="482" spans="1:30" x14ac:dyDescent="0.2">
      <c r="A482" s="3">
        <f>Gegenstände!A482</f>
        <v>2331</v>
      </c>
      <c r="B482" s="3" t="str">
        <f>Gegenstände!B482</f>
        <v>Lapis-Lederhelm</v>
      </c>
      <c r="D482" s="3">
        <f>Gegenstände!K482</f>
        <v>1600</v>
      </c>
      <c r="E482" s="3">
        <f>Gegenstände!I482</f>
        <v>11</v>
      </c>
      <c r="F482" s="3">
        <f>VLOOKUP(Gegenstände!E482,Berechnungen!$E$87:$F$115,2,FALSE)</f>
        <v>22</v>
      </c>
      <c r="G482" s="3">
        <f>Gegenstände!H482</f>
        <v>2</v>
      </c>
      <c r="H482" s="3">
        <f>Gegenstände!G482</f>
        <v>8</v>
      </c>
      <c r="I482" s="3">
        <f>Gegenstände!D482</f>
        <v>19</v>
      </c>
      <c r="J482" s="168">
        <f>ROUND(Gegenstände!N482,0)</f>
        <v>15900</v>
      </c>
      <c r="K482" s="3">
        <f>Gegenstände!J482</f>
        <v>100</v>
      </c>
      <c r="L482" s="3">
        <f>Gegenstände!L482</f>
        <v>0</v>
      </c>
      <c r="M482" s="3">
        <f>Gegenstände!Z482</f>
        <v>8</v>
      </c>
      <c r="N482" s="783">
        <f>(Gegenstände!Y482*10)</f>
        <v>20</v>
      </c>
      <c r="O482" s="783">
        <f>(Gegenstände!W482*10)</f>
        <v>30</v>
      </c>
      <c r="P482" s="783">
        <f>Gegenstände!AA482*10</f>
        <v>0</v>
      </c>
      <c r="Q482" s="783">
        <f>Gegenstände!O482</f>
        <v>0</v>
      </c>
      <c r="R482" s="168">
        <f>Gegenstände!S482</f>
        <v>0</v>
      </c>
      <c r="S482" s="168">
        <f>Gegenstände!T482</f>
        <v>0</v>
      </c>
      <c r="T482" s="783">
        <f>Gegenstände!AC482</f>
        <v>0</v>
      </c>
      <c r="U482" s="783">
        <f>Gegenstände!AE482</f>
        <v>0</v>
      </c>
      <c r="V482" s="783">
        <f>Gegenstände!AD482</f>
        <v>0</v>
      </c>
      <c r="W482" s="783">
        <f>Gegenstände!AF482</f>
        <v>0</v>
      </c>
      <c r="AB482" s="3">
        <f>Gegenstände!M482</f>
        <v>0</v>
      </c>
      <c r="AC482" s="3">
        <f>Gegenstände!AB482</f>
        <v>0</v>
      </c>
      <c r="AD482" s="3">
        <f>Gegenstände!F482</f>
        <v>0</v>
      </c>
    </row>
    <row r="483" spans="1:30" x14ac:dyDescent="0.2">
      <c r="A483" s="3">
        <f>Gegenstände!A483</f>
        <v>2332</v>
      </c>
      <c r="B483" s="3" t="str">
        <f>Gegenstände!B483</f>
        <v>Lapis-Lederharnisch</v>
      </c>
      <c r="D483" s="3">
        <f>Gegenstände!K483</f>
        <v>2400</v>
      </c>
      <c r="E483" s="3">
        <f>Gegenstände!I483</f>
        <v>12</v>
      </c>
      <c r="F483" s="3">
        <f>VLOOKUP(Gegenstände!E483,Berechnungen!$E$87:$F$115,2,FALSE)</f>
        <v>22</v>
      </c>
      <c r="G483" s="3">
        <f>Gegenstände!H483</f>
        <v>2</v>
      </c>
      <c r="H483" s="3">
        <f>Gegenstände!G483</f>
        <v>8</v>
      </c>
      <c r="I483" s="3">
        <f>Gegenstände!D483</f>
        <v>19</v>
      </c>
      <c r="J483" s="168">
        <f>ROUND(Gegenstände!N483,0)</f>
        <v>22100</v>
      </c>
      <c r="K483" s="3">
        <f>Gegenstände!J483</f>
        <v>100</v>
      </c>
      <c r="L483" s="3">
        <f>Gegenstände!L483</f>
        <v>0</v>
      </c>
      <c r="M483" s="3">
        <f>Gegenstände!Z483</f>
        <v>12</v>
      </c>
      <c r="N483" s="783">
        <f>(Gegenstände!Y483*10)</f>
        <v>30</v>
      </c>
      <c r="O483" s="783">
        <f>(Gegenstände!W483*10)</f>
        <v>45</v>
      </c>
      <c r="P483" s="783">
        <f>Gegenstände!AA483*10</f>
        <v>0</v>
      </c>
      <c r="Q483" s="783">
        <f>Gegenstände!O483</f>
        <v>0</v>
      </c>
      <c r="R483" s="168">
        <f>Gegenstände!S483</f>
        <v>0</v>
      </c>
      <c r="S483" s="168">
        <f>Gegenstände!T483</f>
        <v>0</v>
      </c>
      <c r="T483" s="783">
        <f>Gegenstände!AC483</f>
        <v>0</v>
      </c>
      <c r="U483" s="783">
        <f>Gegenstände!AE483</f>
        <v>0</v>
      </c>
      <c r="V483" s="783">
        <f>Gegenstände!AD483</f>
        <v>0</v>
      </c>
      <c r="W483" s="783">
        <f>Gegenstände!AF483</f>
        <v>0</v>
      </c>
      <c r="AB483" s="3">
        <f>Gegenstände!M483</f>
        <v>0</v>
      </c>
      <c r="AC483" s="3">
        <f>Gegenstände!AB483</f>
        <v>0</v>
      </c>
      <c r="AD483" s="3">
        <f>Gegenstände!F483</f>
        <v>0</v>
      </c>
    </row>
    <row r="484" spans="1:30" x14ac:dyDescent="0.2">
      <c r="A484" s="3">
        <f>Gegenstände!A484</f>
        <v>2333</v>
      </c>
      <c r="B484" s="3" t="str">
        <f>Gegenstände!B484</f>
        <v>Lapis-Lederstulpen</v>
      </c>
      <c r="D484" s="3">
        <f>Gegenstände!K484</f>
        <v>1200</v>
      </c>
      <c r="E484" s="3">
        <f>Gegenstände!I484</f>
        <v>13</v>
      </c>
      <c r="F484" s="3">
        <f>VLOOKUP(Gegenstände!E484,Berechnungen!$E$87:$F$115,2,FALSE)</f>
        <v>22</v>
      </c>
      <c r="G484" s="3">
        <f>Gegenstände!H484</f>
        <v>2</v>
      </c>
      <c r="H484" s="3">
        <f>Gegenstände!G484</f>
        <v>8</v>
      </c>
      <c r="I484" s="3">
        <f>Gegenstände!D484</f>
        <v>20</v>
      </c>
      <c r="J484" s="168">
        <f>ROUND(Gegenstände!N484,0)</f>
        <v>14200</v>
      </c>
      <c r="K484" s="3">
        <f>Gegenstände!J484</f>
        <v>100</v>
      </c>
      <c r="L484" s="3">
        <f>Gegenstände!L484</f>
        <v>0</v>
      </c>
      <c r="M484" s="3">
        <f>Gegenstände!Z484</f>
        <v>6</v>
      </c>
      <c r="N484" s="783">
        <f>(Gegenstände!Y484*10)</f>
        <v>15</v>
      </c>
      <c r="O484" s="783">
        <f>(Gegenstände!W484*10)</f>
        <v>23</v>
      </c>
      <c r="P484" s="783">
        <f>Gegenstände!AA484*10</f>
        <v>0</v>
      </c>
      <c r="Q484" s="783">
        <f>Gegenstände!O484</f>
        <v>0</v>
      </c>
      <c r="R484" s="168">
        <f>Gegenstände!S484</f>
        <v>0</v>
      </c>
      <c r="S484" s="168">
        <f>Gegenstände!T484</f>
        <v>0</v>
      </c>
      <c r="T484" s="783">
        <f>Gegenstände!AC484</f>
        <v>0</v>
      </c>
      <c r="U484" s="783">
        <f>Gegenstände!AE484</f>
        <v>0</v>
      </c>
      <c r="V484" s="783">
        <f>Gegenstände!AD484</f>
        <v>0</v>
      </c>
      <c r="W484" s="783">
        <f>Gegenstände!AF484</f>
        <v>0</v>
      </c>
      <c r="AB484" s="3">
        <f>Gegenstände!M484</f>
        <v>0</v>
      </c>
      <c r="AC484" s="3">
        <f>Gegenstände!AB484</f>
        <v>0</v>
      </c>
      <c r="AD484" s="3">
        <f>Gegenstände!F484</f>
        <v>0</v>
      </c>
    </row>
    <row r="485" spans="1:30" x14ac:dyDescent="0.2">
      <c r="A485" s="3">
        <f>Gegenstände!A485</f>
        <v>2334</v>
      </c>
      <c r="B485" s="3" t="str">
        <f>Gegenstände!B485</f>
        <v>Lapis-Lederbeinlinge</v>
      </c>
      <c r="D485" s="3">
        <f>Gegenstände!K485</f>
        <v>1600</v>
      </c>
      <c r="E485" s="3">
        <f>Gegenstände!I485</f>
        <v>14</v>
      </c>
      <c r="F485" s="3">
        <f>VLOOKUP(Gegenstände!E485,Berechnungen!$E$87:$F$115,2,FALSE)</f>
        <v>22</v>
      </c>
      <c r="G485" s="3">
        <f>Gegenstände!H485</f>
        <v>2</v>
      </c>
      <c r="H485" s="3">
        <f>Gegenstände!G485</f>
        <v>8</v>
      </c>
      <c r="I485" s="3">
        <f>Gegenstände!D485</f>
        <v>20</v>
      </c>
      <c r="J485" s="168">
        <f>ROUND(Gegenstände!N485,0)</f>
        <v>17700</v>
      </c>
      <c r="K485" s="3">
        <f>Gegenstände!J485</f>
        <v>100</v>
      </c>
      <c r="L485" s="3">
        <f>Gegenstände!L485</f>
        <v>0</v>
      </c>
      <c r="M485" s="3">
        <f>Gegenstände!Z485</f>
        <v>8</v>
      </c>
      <c r="N485" s="783">
        <f>(Gegenstände!Y485*10)</f>
        <v>20</v>
      </c>
      <c r="O485" s="783">
        <f>(Gegenstände!W485*10)</f>
        <v>30</v>
      </c>
      <c r="P485" s="783">
        <f>Gegenstände!AA485*10</f>
        <v>0</v>
      </c>
      <c r="Q485" s="783">
        <f>Gegenstände!O485</f>
        <v>0</v>
      </c>
      <c r="R485" s="168">
        <f>Gegenstände!S485</f>
        <v>0</v>
      </c>
      <c r="S485" s="168">
        <f>Gegenstände!T485</f>
        <v>0</v>
      </c>
      <c r="T485" s="783">
        <f>Gegenstände!AC485</f>
        <v>0</v>
      </c>
      <c r="U485" s="783">
        <f>Gegenstände!AE485</f>
        <v>0</v>
      </c>
      <c r="V485" s="783">
        <f>Gegenstände!AD485</f>
        <v>0</v>
      </c>
      <c r="W485" s="783">
        <f>Gegenstände!AF485</f>
        <v>0</v>
      </c>
      <c r="AB485" s="3">
        <f>Gegenstände!M485</f>
        <v>0</v>
      </c>
      <c r="AC485" s="3">
        <f>Gegenstände!AB485</f>
        <v>0</v>
      </c>
      <c r="AD485" s="3">
        <f>Gegenstände!F485</f>
        <v>0</v>
      </c>
    </row>
    <row r="486" spans="1:30" x14ac:dyDescent="0.2">
      <c r="A486" s="3">
        <f>Gegenstände!A486</f>
        <v>2335</v>
      </c>
      <c r="B486" s="3" t="str">
        <f>Gegenstände!B486</f>
        <v>Lapis-Lederstiefel</v>
      </c>
      <c r="D486" s="3">
        <f>Gegenstände!K486</f>
        <v>1200</v>
      </c>
      <c r="E486" s="3">
        <f>Gegenstände!I486</f>
        <v>15</v>
      </c>
      <c r="F486" s="3">
        <f>VLOOKUP(Gegenstände!E486,Berechnungen!$E$87:$F$115,2,FALSE)</f>
        <v>22</v>
      </c>
      <c r="G486" s="3">
        <f>Gegenstände!H486</f>
        <v>2</v>
      </c>
      <c r="H486" s="3">
        <f>Gegenstände!G486</f>
        <v>8</v>
      </c>
      <c r="I486" s="3">
        <f>Gegenstände!D486</f>
        <v>20</v>
      </c>
      <c r="J486" s="168">
        <f>ROUND(Gegenstände!N486,0)</f>
        <v>14200</v>
      </c>
      <c r="K486" s="3">
        <f>Gegenstände!J486</f>
        <v>100</v>
      </c>
      <c r="L486" s="3">
        <f>Gegenstände!L486</f>
        <v>0</v>
      </c>
      <c r="M486" s="3">
        <f>Gegenstände!Z486</f>
        <v>6</v>
      </c>
      <c r="N486" s="783">
        <f>(Gegenstände!Y486*10)</f>
        <v>15</v>
      </c>
      <c r="O486" s="783">
        <f>(Gegenstände!W486*10)</f>
        <v>23</v>
      </c>
      <c r="P486" s="783">
        <f>Gegenstände!AA486*10</f>
        <v>0</v>
      </c>
      <c r="Q486" s="783">
        <f>Gegenstände!O486</f>
        <v>0</v>
      </c>
      <c r="R486" s="168">
        <f>Gegenstände!S486</f>
        <v>0</v>
      </c>
      <c r="S486" s="168">
        <f>Gegenstände!T486</f>
        <v>0</v>
      </c>
      <c r="T486" s="783">
        <f>Gegenstände!AC486</f>
        <v>0</v>
      </c>
      <c r="U486" s="783">
        <f>Gegenstände!AE486</f>
        <v>0</v>
      </c>
      <c r="V486" s="783">
        <f>Gegenstände!AD486</f>
        <v>0</v>
      </c>
      <c r="W486" s="783">
        <f>Gegenstände!AF486</f>
        <v>0</v>
      </c>
      <c r="AB486" s="3">
        <f>Gegenstände!M486</f>
        <v>0</v>
      </c>
      <c r="AC486" s="3">
        <f>Gegenstände!AB486</f>
        <v>0</v>
      </c>
      <c r="AD486" s="3">
        <f>Gegenstände!F486</f>
        <v>0</v>
      </c>
    </row>
    <row r="487" spans="1:30" x14ac:dyDescent="0.2">
      <c r="A487" s="3">
        <f>Gegenstände!A487</f>
        <v>2341</v>
      </c>
      <c r="B487" s="3" t="str">
        <f>Gegenstände!B487</f>
        <v>Diamant-Lederhelm</v>
      </c>
      <c r="D487" s="3">
        <f>Gegenstände!K487</f>
        <v>1600</v>
      </c>
      <c r="E487" s="3">
        <f>Gegenstände!I487</f>
        <v>11</v>
      </c>
      <c r="F487" s="3">
        <f>VLOOKUP(Gegenstände!E487,Berechnungen!$E$87:$F$115,2,FALSE)</f>
        <v>22</v>
      </c>
      <c r="G487" s="3">
        <f>Gegenstände!H487</f>
        <v>2</v>
      </c>
      <c r="H487" s="3">
        <f>Gegenstände!G487</f>
        <v>8</v>
      </c>
      <c r="I487" s="3">
        <f>Gegenstände!D487</f>
        <v>24</v>
      </c>
      <c r="J487" s="168">
        <f>ROUND(Gegenstände!N487,0)</f>
        <v>29900</v>
      </c>
      <c r="K487" s="3">
        <f>Gegenstände!J487</f>
        <v>100</v>
      </c>
      <c r="L487" s="3">
        <f>Gegenstände!L487</f>
        <v>0</v>
      </c>
      <c r="M487" s="3">
        <f>Gegenstände!Z487</f>
        <v>8</v>
      </c>
      <c r="N487" s="783">
        <f>(Gegenstände!Y487*10)</f>
        <v>20</v>
      </c>
      <c r="O487" s="783">
        <f>(Gegenstände!W487*10)</f>
        <v>38</v>
      </c>
      <c r="P487" s="783">
        <f>Gegenstände!AA487*10</f>
        <v>0</v>
      </c>
      <c r="Q487" s="783">
        <f>Gegenstände!O487</f>
        <v>0</v>
      </c>
      <c r="R487" s="168">
        <f>Gegenstände!S487</f>
        <v>0</v>
      </c>
      <c r="S487" s="168">
        <f>Gegenstände!T487</f>
        <v>0</v>
      </c>
      <c r="T487" s="783">
        <f>Gegenstände!AC487</f>
        <v>0</v>
      </c>
      <c r="U487" s="783">
        <f>Gegenstände!AE487</f>
        <v>0</v>
      </c>
      <c r="V487" s="783">
        <f>Gegenstände!AD487</f>
        <v>0</v>
      </c>
      <c r="W487" s="783">
        <f>Gegenstände!AF487</f>
        <v>0</v>
      </c>
      <c r="AB487" s="3">
        <f>Gegenstände!M487</f>
        <v>0</v>
      </c>
      <c r="AC487" s="3">
        <f>Gegenstände!AB487</f>
        <v>0</v>
      </c>
      <c r="AD487" s="3">
        <f>Gegenstände!F487</f>
        <v>0</v>
      </c>
    </row>
    <row r="488" spans="1:30" x14ac:dyDescent="0.2">
      <c r="A488" s="3">
        <f>Gegenstände!A488</f>
        <v>2342</v>
      </c>
      <c r="B488" s="3" t="str">
        <f>Gegenstände!B488</f>
        <v>Diamant-Lederharnisch</v>
      </c>
      <c r="D488" s="3">
        <f>Gegenstände!K488</f>
        <v>2400</v>
      </c>
      <c r="E488" s="3">
        <f>Gegenstände!I488</f>
        <v>12</v>
      </c>
      <c r="F488" s="3">
        <f>VLOOKUP(Gegenstände!E488,Berechnungen!$E$87:$F$115,2,FALSE)</f>
        <v>22</v>
      </c>
      <c r="G488" s="3">
        <f>Gegenstände!H488</f>
        <v>2</v>
      </c>
      <c r="H488" s="3">
        <f>Gegenstände!G488</f>
        <v>8</v>
      </c>
      <c r="I488" s="3">
        <f>Gegenstände!D488</f>
        <v>24</v>
      </c>
      <c r="J488" s="168">
        <f>ROUND(Gegenstände!N488,0)</f>
        <v>42300</v>
      </c>
      <c r="K488" s="3">
        <f>Gegenstände!J488</f>
        <v>100</v>
      </c>
      <c r="L488" s="3">
        <f>Gegenstände!L488</f>
        <v>0</v>
      </c>
      <c r="M488" s="3">
        <f>Gegenstände!Z488</f>
        <v>12</v>
      </c>
      <c r="N488" s="783">
        <f>(Gegenstände!Y488*10)</f>
        <v>30</v>
      </c>
      <c r="O488" s="783">
        <f>(Gegenstände!W488*10)</f>
        <v>57</v>
      </c>
      <c r="P488" s="783">
        <f>Gegenstände!AA488*10</f>
        <v>0</v>
      </c>
      <c r="Q488" s="783">
        <f>Gegenstände!O488</f>
        <v>0</v>
      </c>
      <c r="R488" s="168">
        <f>Gegenstände!S488</f>
        <v>0</v>
      </c>
      <c r="S488" s="168">
        <f>Gegenstände!T488</f>
        <v>0</v>
      </c>
      <c r="T488" s="783">
        <f>Gegenstände!AC488</f>
        <v>0</v>
      </c>
      <c r="U488" s="783">
        <f>Gegenstände!AE488</f>
        <v>0</v>
      </c>
      <c r="V488" s="783">
        <f>Gegenstände!AD488</f>
        <v>0</v>
      </c>
      <c r="W488" s="783">
        <f>Gegenstände!AF488</f>
        <v>0</v>
      </c>
      <c r="AB488" s="3">
        <f>Gegenstände!M488</f>
        <v>0</v>
      </c>
      <c r="AC488" s="3">
        <f>Gegenstände!AB488</f>
        <v>0</v>
      </c>
      <c r="AD488" s="3">
        <f>Gegenstände!F488</f>
        <v>0</v>
      </c>
    </row>
    <row r="489" spans="1:30" x14ac:dyDescent="0.2">
      <c r="A489" s="3">
        <f>Gegenstände!A489</f>
        <v>2343</v>
      </c>
      <c r="B489" s="3" t="str">
        <f>Gegenstände!B489</f>
        <v>Diamant-Lederstulpen</v>
      </c>
      <c r="D489" s="3">
        <f>Gegenstände!K489</f>
        <v>1200</v>
      </c>
      <c r="E489" s="3">
        <f>Gegenstände!I489</f>
        <v>13</v>
      </c>
      <c r="F489" s="3">
        <f>VLOOKUP(Gegenstände!E489,Berechnungen!$E$87:$F$115,2,FALSE)</f>
        <v>22</v>
      </c>
      <c r="G489" s="3">
        <f>Gegenstände!H489</f>
        <v>2</v>
      </c>
      <c r="H489" s="3">
        <f>Gegenstände!G489</f>
        <v>8</v>
      </c>
      <c r="I489" s="3">
        <f>Gegenstände!D489</f>
        <v>25</v>
      </c>
      <c r="J489" s="168">
        <f>ROUND(Gegenstände!N489,0)</f>
        <v>26500</v>
      </c>
      <c r="K489" s="3">
        <f>Gegenstände!J489</f>
        <v>100</v>
      </c>
      <c r="L489" s="3">
        <f>Gegenstände!L489</f>
        <v>0</v>
      </c>
      <c r="M489" s="3">
        <f>Gegenstände!Z489</f>
        <v>6</v>
      </c>
      <c r="N489" s="783">
        <f>(Gegenstände!Y489*10)</f>
        <v>15</v>
      </c>
      <c r="O489" s="783">
        <f>(Gegenstände!W489*10)</f>
        <v>29</v>
      </c>
      <c r="P489" s="783">
        <f>Gegenstände!AA489*10</f>
        <v>0</v>
      </c>
      <c r="Q489" s="783">
        <f>Gegenstände!O489</f>
        <v>0</v>
      </c>
      <c r="R489" s="168">
        <f>Gegenstände!S489</f>
        <v>0</v>
      </c>
      <c r="S489" s="168">
        <f>Gegenstände!T489</f>
        <v>0</v>
      </c>
      <c r="T489" s="783">
        <f>Gegenstände!AC489</f>
        <v>0</v>
      </c>
      <c r="U489" s="783">
        <f>Gegenstände!AE489</f>
        <v>0</v>
      </c>
      <c r="V489" s="783">
        <f>Gegenstände!AD489</f>
        <v>0</v>
      </c>
      <c r="W489" s="783">
        <f>Gegenstände!AF489</f>
        <v>0</v>
      </c>
      <c r="AB489" s="3">
        <f>Gegenstände!M489</f>
        <v>0</v>
      </c>
      <c r="AC489" s="3">
        <f>Gegenstände!AB489</f>
        <v>0</v>
      </c>
      <c r="AD489" s="3">
        <f>Gegenstände!F489</f>
        <v>0</v>
      </c>
    </row>
    <row r="490" spans="1:30" x14ac:dyDescent="0.2">
      <c r="A490" s="3">
        <f>Gegenstände!A490</f>
        <v>2344</v>
      </c>
      <c r="B490" s="3" t="str">
        <f>Gegenstände!B490</f>
        <v>Diamant-Lederbeinlinge</v>
      </c>
      <c r="D490" s="3">
        <f>Gegenstände!K490</f>
        <v>1600</v>
      </c>
      <c r="E490" s="3">
        <f>Gegenstände!I490</f>
        <v>14</v>
      </c>
      <c r="F490" s="3">
        <f>VLOOKUP(Gegenstände!E490,Berechnungen!$E$87:$F$115,2,FALSE)</f>
        <v>22</v>
      </c>
      <c r="G490" s="3">
        <f>Gegenstände!H490</f>
        <v>2</v>
      </c>
      <c r="H490" s="3">
        <f>Gegenstände!G490</f>
        <v>8</v>
      </c>
      <c r="I490" s="3">
        <f>Gegenstände!D490</f>
        <v>25</v>
      </c>
      <c r="J490" s="168">
        <f>ROUND(Gegenstände!N490,0)</f>
        <v>33600</v>
      </c>
      <c r="K490" s="3">
        <f>Gegenstände!J490</f>
        <v>100</v>
      </c>
      <c r="L490" s="3">
        <f>Gegenstände!L490</f>
        <v>0</v>
      </c>
      <c r="M490" s="3">
        <f>Gegenstände!Z490</f>
        <v>8</v>
      </c>
      <c r="N490" s="783">
        <f>(Gegenstände!Y490*10)</f>
        <v>20</v>
      </c>
      <c r="O490" s="783">
        <f>(Gegenstände!W490*10)</f>
        <v>38</v>
      </c>
      <c r="P490" s="783">
        <f>Gegenstände!AA490*10</f>
        <v>0</v>
      </c>
      <c r="Q490" s="783">
        <f>Gegenstände!O490</f>
        <v>0</v>
      </c>
      <c r="R490" s="168">
        <f>Gegenstände!S490</f>
        <v>0</v>
      </c>
      <c r="S490" s="168">
        <f>Gegenstände!T490</f>
        <v>0</v>
      </c>
      <c r="T490" s="783">
        <f>Gegenstände!AC490</f>
        <v>0</v>
      </c>
      <c r="U490" s="783">
        <f>Gegenstände!AE490</f>
        <v>0</v>
      </c>
      <c r="V490" s="783">
        <f>Gegenstände!AD490</f>
        <v>0</v>
      </c>
      <c r="W490" s="783">
        <f>Gegenstände!AF490</f>
        <v>0</v>
      </c>
      <c r="AB490" s="3">
        <f>Gegenstände!M490</f>
        <v>0</v>
      </c>
      <c r="AC490" s="3">
        <f>Gegenstände!AB490</f>
        <v>0</v>
      </c>
      <c r="AD490" s="3">
        <f>Gegenstände!F490</f>
        <v>0</v>
      </c>
    </row>
    <row r="491" spans="1:30" x14ac:dyDescent="0.2">
      <c r="A491" s="3">
        <f>Gegenstände!A491</f>
        <v>2345</v>
      </c>
      <c r="B491" s="3" t="str">
        <f>Gegenstände!B491</f>
        <v>Diamant-Lederstiefel</v>
      </c>
      <c r="D491" s="3">
        <f>Gegenstände!K491</f>
        <v>1200</v>
      </c>
      <c r="E491" s="3">
        <f>Gegenstände!I491</f>
        <v>15</v>
      </c>
      <c r="F491" s="3">
        <f>VLOOKUP(Gegenstände!E491,Berechnungen!$E$87:$F$115,2,FALSE)</f>
        <v>22</v>
      </c>
      <c r="G491" s="3">
        <f>Gegenstände!H491</f>
        <v>2</v>
      </c>
      <c r="H491" s="3">
        <f>Gegenstände!G491</f>
        <v>8</v>
      </c>
      <c r="I491" s="3">
        <f>Gegenstände!D491</f>
        <v>25</v>
      </c>
      <c r="J491" s="168">
        <f>ROUND(Gegenstände!N491,0)</f>
        <v>26500</v>
      </c>
      <c r="K491" s="3">
        <f>Gegenstände!J491</f>
        <v>100</v>
      </c>
      <c r="L491" s="3">
        <f>Gegenstände!L491</f>
        <v>0</v>
      </c>
      <c r="M491" s="3">
        <f>Gegenstände!Z491</f>
        <v>6</v>
      </c>
      <c r="N491" s="783">
        <f>(Gegenstände!Y491*10)</f>
        <v>15</v>
      </c>
      <c r="O491" s="783">
        <f>(Gegenstände!W491*10)</f>
        <v>29</v>
      </c>
      <c r="P491" s="783">
        <f>Gegenstände!AA491*10</f>
        <v>0</v>
      </c>
      <c r="Q491" s="783">
        <f>Gegenstände!O491</f>
        <v>0</v>
      </c>
      <c r="R491" s="168">
        <f>Gegenstände!S491</f>
        <v>0</v>
      </c>
      <c r="S491" s="168">
        <f>Gegenstände!T491</f>
        <v>0</v>
      </c>
      <c r="T491" s="783">
        <f>Gegenstände!AC491</f>
        <v>0</v>
      </c>
      <c r="U491" s="783">
        <f>Gegenstände!AE491</f>
        <v>0</v>
      </c>
      <c r="V491" s="783">
        <f>Gegenstände!AD491</f>
        <v>0</v>
      </c>
      <c r="W491" s="783">
        <f>Gegenstände!AF491</f>
        <v>0</v>
      </c>
      <c r="AB491" s="3">
        <f>Gegenstände!M491</f>
        <v>0</v>
      </c>
      <c r="AC491" s="3">
        <f>Gegenstände!AB491</f>
        <v>0</v>
      </c>
      <c r="AD491" s="3">
        <f>Gegenstände!F491</f>
        <v>0</v>
      </c>
    </row>
    <row r="492" spans="1:30" x14ac:dyDescent="0.2">
      <c r="A492" s="3">
        <f>Gegenstände!A492</f>
        <v>0</v>
      </c>
      <c r="B492" s="3" t="str">
        <f>Gegenstände!B492</f>
        <v>Metallrüstungen</v>
      </c>
      <c r="D492" s="3">
        <f>Gegenstände!K492</f>
        <v>0</v>
      </c>
      <c r="E492" s="3">
        <f>Gegenstände!I492</f>
        <v>0</v>
      </c>
      <c r="F492" s="3" t="e">
        <f>VLOOKUP(Gegenstände!E492,Berechnungen!$E$87:$F$115,2,FALSE)</f>
        <v>#N/A</v>
      </c>
      <c r="G492" s="3">
        <f>Gegenstände!H492</f>
        <v>0</v>
      </c>
      <c r="H492" s="3">
        <f>Gegenstände!G492</f>
        <v>0</v>
      </c>
      <c r="I492" s="3">
        <f>Gegenstände!D492</f>
        <v>0</v>
      </c>
      <c r="J492" s="168">
        <f>ROUND(Gegenstände!N492,0)</f>
        <v>0</v>
      </c>
      <c r="K492" s="3">
        <f>Gegenstände!J492</f>
        <v>0</v>
      </c>
      <c r="L492" s="3">
        <f>Gegenstände!L492</f>
        <v>0</v>
      </c>
      <c r="M492" s="3">
        <f>Gegenstände!Z492</f>
        <v>0</v>
      </c>
      <c r="N492" s="783">
        <f>(Gegenstände!Y492*10)</f>
        <v>0</v>
      </c>
      <c r="O492" s="783">
        <f>(Gegenstände!W492*10)</f>
        <v>0</v>
      </c>
      <c r="P492" s="783">
        <f>Gegenstände!AA492*10</f>
        <v>0</v>
      </c>
      <c r="Q492" s="783">
        <f>Gegenstände!O492</f>
        <v>0</v>
      </c>
      <c r="R492" s="168">
        <f>Gegenstände!S492</f>
        <v>0</v>
      </c>
      <c r="S492" s="168">
        <f>Gegenstände!T492</f>
        <v>0</v>
      </c>
      <c r="T492" s="783">
        <f>Gegenstände!AC492</f>
        <v>0</v>
      </c>
      <c r="U492" s="783">
        <f>Gegenstände!AE492</f>
        <v>0</v>
      </c>
      <c r="V492" s="783">
        <f>Gegenstände!AD492</f>
        <v>0</v>
      </c>
      <c r="W492" s="783">
        <f>Gegenstände!AF492</f>
        <v>0</v>
      </c>
      <c r="AB492" s="3">
        <f>Gegenstände!M492</f>
        <v>0</v>
      </c>
      <c r="AC492" s="3">
        <f>Gegenstände!AB492</f>
        <v>0</v>
      </c>
      <c r="AD492" s="3">
        <f>Gegenstände!F492</f>
        <v>0</v>
      </c>
    </row>
    <row r="493" spans="1:30" x14ac:dyDescent="0.2">
      <c r="A493" s="3">
        <f>Gegenstände!A493</f>
        <v>1401</v>
      </c>
      <c r="B493" s="3" t="str">
        <f>Gegenstände!B493</f>
        <v>Kupfer-Kettenhaube</v>
      </c>
      <c r="D493" s="3">
        <f>Gegenstände!K493</f>
        <v>3200</v>
      </c>
      <c r="E493" s="3">
        <f>Gegenstände!I493</f>
        <v>11</v>
      </c>
      <c r="F493" s="3">
        <f>VLOOKUP(Gegenstände!E493,Berechnungen!$E$87:$F$115,2,FALSE)</f>
        <v>23</v>
      </c>
      <c r="G493" s="3">
        <f>Gegenstände!H493</f>
        <v>1</v>
      </c>
      <c r="H493" s="3">
        <f>Gegenstände!G493</f>
        <v>9</v>
      </c>
      <c r="I493" s="3">
        <f>Gegenstände!D493</f>
        <v>1</v>
      </c>
      <c r="J493" s="168">
        <f>ROUND(Gegenstände!N493,0)</f>
        <v>1000</v>
      </c>
      <c r="K493" s="3">
        <f>Gegenstände!J493</f>
        <v>100</v>
      </c>
      <c r="L493" s="3">
        <f>Gegenstände!L493</f>
        <v>0</v>
      </c>
      <c r="M493" s="3">
        <f>Gegenstände!Z493</f>
        <v>16</v>
      </c>
      <c r="N493" s="783">
        <f>(Gegenstände!Y493*10)</f>
        <v>40</v>
      </c>
      <c r="O493" s="783">
        <f>(Gegenstände!W493*10)</f>
        <v>8</v>
      </c>
      <c r="P493" s="783">
        <f>Gegenstände!AA493*10</f>
        <v>0</v>
      </c>
      <c r="Q493" s="783">
        <f>Gegenstände!O493</f>
        <v>0</v>
      </c>
      <c r="R493" s="168">
        <f>Gegenstände!S493</f>
        <v>0</v>
      </c>
      <c r="S493" s="168">
        <f>Gegenstände!T493</f>
        <v>0</v>
      </c>
      <c r="T493" s="783">
        <f>Gegenstände!AC493</f>
        <v>0</v>
      </c>
      <c r="U493" s="783">
        <f>Gegenstände!AE493</f>
        <v>0</v>
      </c>
      <c r="V493" s="783">
        <f>Gegenstände!AD493</f>
        <v>0</v>
      </c>
      <c r="W493" s="783">
        <f>Gegenstände!AF493</f>
        <v>0</v>
      </c>
      <c r="AB493" s="3">
        <f>Gegenstände!M493</f>
        <v>1</v>
      </c>
      <c r="AC493" s="3">
        <f>Gegenstände!AB493</f>
        <v>0</v>
      </c>
      <c r="AD493" s="3">
        <f>Gegenstände!F493</f>
        <v>0</v>
      </c>
    </row>
    <row r="494" spans="1:30" x14ac:dyDescent="0.2">
      <c r="A494" s="3">
        <f>Gegenstände!A494</f>
        <v>1402</v>
      </c>
      <c r="B494" s="3" t="str">
        <f>Gegenstände!B494</f>
        <v>Kupfer-Kettenhemd</v>
      </c>
      <c r="D494" s="3">
        <f>Gegenstände!K494</f>
        <v>4800</v>
      </c>
      <c r="E494" s="3">
        <f>Gegenstände!I494</f>
        <v>12</v>
      </c>
      <c r="F494" s="3">
        <f>VLOOKUP(Gegenstände!E494,Berechnungen!$E$87:$F$115,2,FALSE)</f>
        <v>23</v>
      </c>
      <c r="G494" s="3">
        <f>Gegenstände!H494</f>
        <v>1</v>
      </c>
      <c r="H494" s="3">
        <f>Gegenstände!G494</f>
        <v>9</v>
      </c>
      <c r="I494" s="3">
        <f>Gegenstände!D494</f>
        <v>1</v>
      </c>
      <c r="J494" s="168">
        <f>ROUND(Gegenstände!N494,0)</f>
        <v>1500</v>
      </c>
      <c r="K494" s="3">
        <f>Gegenstände!J494</f>
        <v>100</v>
      </c>
      <c r="L494" s="3">
        <f>Gegenstände!L494</f>
        <v>0</v>
      </c>
      <c r="M494" s="3">
        <f>Gegenstände!Z494</f>
        <v>24</v>
      </c>
      <c r="N494" s="783">
        <f>(Gegenstände!Y494*10)</f>
        <v>60</v>
      </c>
      <c r="O494" s="783">
        <f>(Gegenstände!W494*10)</f>
        <v>12</v>
      </c>
      <c r="P494" s="783">
        <f>Gegenstände!AA494*10</f>
        <v>0</v>
      </c>
      <c r="Q494" s="783">
        <f>Gegenstände!O494</f>
        <v>0</v>
      </c>
      <c r="R494" s="168">
        <f>Gegenstände!S494</f>
        <v>0</v>
      </c>
      <c r="S494" s="168">
        <f>Gegenstände!T494</f>
        <v>0</v>
      </c>
      <c r="T494" s="783">
        <f>Gegenstände!AC494</f>
        <v>0</v>
      </c>
      <c r="U494" s="783">
        <f>Gegenstände!AE494</f>
        <v>0</v>
      </c>
      <c r="V494" s="783">
        <f>Gegenstände!AD494</f>
        <v>0</v>
      </c>
      <c r="W494" s="783">
        <f>Gegenstände!AF494</f>
        <v>0</v>
      </c>
      <c r="AB494" s="3">
        <f>Gegenstände!M494</f>
        <v>1</v>
      </c>
      <c r="AC494" s="3">
        <f>Gegenstände!AB494</f>
        <v>0</v>
      </c>
      <c r="AD494" s="3">
        <f>Gegenstände!F494</f>
        <v>0</v>
      </c>
    </row>
    <row r="495" spans="1:30" x14ac:dyDescent="0.2">
      <c r="A495" s="3">
        <f>Gegenstände!A495</f>
        <v>1403</v>
      </c>
      <c r="B495" s="3" t="str">
        <f>Gegenstände!B495</f>
        <v>Kupfer-Kettenhandschuhe</v>
      </c>
      <c r="D495" s="3">
        <f>Gegenstände!K495</f>
        <v>2400</v>
      </c>
      <c r="E495" s="3">
        <f>Gegenstände!I495</f>
        <v>13</v>
      </c>
      <c r="F495" s="3">
        <f>VLOOKUP(Gegenstände!E495,Berechnungen!$E$87:$F$115,2,FALSE)</f>
        <v>23</v>
      </c>
      <c r="G495" s="3">
        <f>Gegenstände!H495</f>
        <v>1</v>
      </c>
      <c r="H495" s="3">
        <f>Gegenstände!G495</f>
        <v>9</v>
      </c>
      <c r="I495" s="3">
        <f>Gegenstände!D495</f>
        <v>2</v>
      </c>
      <c r="J495" s="168">
        <f>ROUND(Gegenstände!N495,0)</f>
        <v>900</v>
      </c>
      <c r="K495" s="3">
        <f>Gegenstände!J495</f>
        <v>100</v>
      </c>
      <c r="L495" s="3">
        <f>Gegenstände!L495</f>
        <v>0</v>
      </c>
      <c r="M495" s="3">
        <f>Gegenstände!Z495</f>
        <v>12</v>
      </c>
      <c r="N495" s="783">
        <f>(Gegenstände!Y495*10)</f>
        <v>30</v>
      </c>
      <c r="O495" s="783">
        <f>(Gegenstände!W495*10)</f>
        <v>6</v>
      </c>
      <c r="P495" s="783">
        <f>Gegenstände!AA495*10</f>
        <v>0</v>
      </c>
      <c r="Q495" s="783">
        <f>Gegenstände!O495</f>
        <v>0</v>
      </c>
      <c r="R495" s="168">
        <f>Gegenstände!S495</f>
        <v>0</v>
      </c>
      <c r="S495" s="168">
        <f>Gegenstände!T495</f>
        <v>0</v>
      </c>
      <c r="T495" s="783">
        <f>Gegenstände!AC495</f>
        <v>0</v>
      </c>
      <c r="U495" s="783">
        <f>Gegenstände!AE495</f>
        <v>0</v>
      </c>
      <c r="V495" s="783">
        <f>Gegenstände!AD495</f>
        <v>0</v>
      </c>
      <c r="W495" s="783">
        <f>Gegenstände!AF495</f>
        <v>0</v>
      </c>
      <c r="AB495" s="3">
        <f>Gegenstände!M495</f>
        <v>1</v>
      </c>
      <c r="AC495" s="3">
        <f>Gegenstände!AB495</f>
        <v>0</v>
      </c>
      <c r="AD495" s="3">
        <f>Gegenstände!F495</f>
        <v>0</v>
      </c>
    </row>
    <row r="496" spans="1:30" x14ac:dyDescent="0.2">
      <c r="A496" s="3">
        <f>Gegenstände!A496</f>
        <v>1404</v>
      </c>
      <c r="B496" s="3" t="str">
        <f>Gegenstände!B496</f>
        <v>Kupfer-Kettenbeinlinge</v>
      </c>
      <c r="D496" s="3">
        <f>Gegenstände!K496</f>
        <v>3200</v>
      </c>
      <c r="E496" s="3">
        <f>Gegenstände!I496</f>
        <v>14</v>
      </c>
      <c r="F496" s="3">
        <f>VLOOKUP(Gegenstände!E496,Berechnungen!$E$87:$F$115,2,FALSE)</f>
        <v>23</v>
      </c>
      <c r="G496" s="3">
        <f>Gegenstände!H496</f>
        <v>1</v>
      </c>
      <c r="H496" s="3">
        <f>Gegenstände!G496</f>
        <v>9</v>
      </c>
      <c r="I496" s="3">
        <f>Gegenstände!D496</f>
        <v>2</v>
      </c>
      <c r="J496" s="168">
        <f>ROUND(Gegenstände!N496,0)</f>
        <v>1200</v>
      </c>
      <c r="K496" s="3">
        <f>Gegenstände!J496</f>
        <v>100</v>
      </c>
      <c r="L496" s="3">
        <f>Gegenstände!L496</f>
        <v>0</v>
      </c>
      <c r="M496" s="3">
        <f>Gegenstände!Z496</f>
        <v>16</v>
      </c>
      <c r="N496" s="783">
        <f>(Gegenstände!Y496*10)</f>
        <v>40</v>
      </c>
      <c r="O496" s="783">
        <f>(Gegenstände!W496*10)</f>
        <v>8</v>
      </c>
      <c r="P496" s="783">
        <f>Gegenstände!AA496*10</f>
        <v>0</v>
      </c>
      <c r="Q496" s="783">
        <f>Gegenstände!O496</f>
        <v>0</v>
      </c>
      <c r="R496" s="168">
        <f>Gegenstände!S496</f>
        <v>0</v>
      </c>
      <c r="S496" s="168">
        <f>Gegenstände!T496</f>
        <v>0</v>
      </c>
      <c r="T496" s="783">
        <f>Gegenstände!AC496</f>
        <v>0</v>
      </c>
      <c r="U496" s="783">
        <f>Gegenstände!AE496</f>
        <v>0</v>
      </c>
      <c r="V496" s="783">
        <f>Gegenstände!AD496</f>
        <v>0</v>
      </c>
      <c r="W496" s="783">
        <f>Gegenstände!AF496</f>
        <v>0</v>
      </c>
      <c r="AB496" s="3">
        <f>Gegenstände!M496</f>
        <v>1</v>
      </c>
      <c r="AC496" s="3">
        <f>Gegenstände!AB496</f>
        <v>0</v>
      </c>
      <c r="AD496" s="3">
        <f>Gegenstände!F496</f>
        <v>0</v>
      </c>
    </row>
    <row r="497" spans="1:30" x14ac:dyDescent="0.2">
      <c r="A497" s="3">
        <f>Gegenstände!A497</f>
        <v>1405</v>
      </c>
      <c r="B497" s="3" t="str">
        <f>Gegenstände!B497</f>
        <v>Kupfer-Kettenstiefel</v>
      </c>
      <c r="D497" s="3">
        <f>Gegenstände!K497</f>
        <v>2400</v>
      </c>
      <c r="E497" s="3">
        <f>Gegenstände!I497</f>
        <v>15</v>
      </c>
      <c r="F497" s="3">
        <f>VLOOKUP(Gegenstände!E497,Berechnungen!$E$87:$F$115,2,FALSE)</f>
        <v>23</v>
      </c>
      <c r="G497" s="3">
        <f>Gegenstände!H497</f>
        <v>1</v>
      </c>
      <c r="H497" s="3">
        <f>Gegenstände!G497</f>
        <v>9</v>
      </c>
      <c r="I497" s="3">
        <f>Gegenstände!D497</f>
        <v>2</v>
      </c>
      <c r="J497" s="168">
        <f>ROUND(Gegenstände!N497,0)</f>
        <v>900</v>
      </c>
      <c r="K497" s="3">
        <f>Gegenstände!J497</f>
        <v>100</v>
      </c>
      <c r="L497" s="3">
        <f>Gegenstände!L497</f>
        <v>0</v>
      </c>
      <c r="M497" s="3">
        <f>Gegenstände!Z497</f>
        <v>12</v>
      </c>
      <c r="N497" s="783">
        <f>(Gegenstände!Y497*10)</f>
        <v>30</v>
      </c>
      <c r="O497" s="783">
        <f>(Gegenstände!W497*10)</f>
        <v>6</v>
      </c>
      <c r="P497" s="783">
        <f>Gegenstände!AA497*10</f>
        <v>0</v>
      </c>
      <c r="Q497" s="783">
        <f>Gegenstände!O497</f>
        <v>0</v>
      </c>
      <c r="R497" s="168">
        <f>Gegenstände!S497</f>
        <v>0</v>
      </c>
      <c r="S497" s="168">
        <f>Gegenstände!T497</f>
        <v>0</v>
      </c>
      <c r="T497" s="783">
        <f>Gegenstände!AC497</f>
        <v>0</v>
      </c>
      <c r="U497" s="783">
        <f>Gegenstände!AE497</f>
        <v>0</v>
      </c>
      <c r="V497" s="783">
        <f>Gegenstände!AD497</f>
        <v>0</v>
      </c>
      <c r="W497" s="783">
        <f>Gegenstände!AF497</f>
        <v>0</v>
      </c>
      <c r="AB497" s="3">
        <f>Gegenstände!M497</f>
        <v>1</v>
      </c>
      <c r="AC497" s="3">
        <f>Gegenstände!AB497</f>
        <v>0</v>
      </c>
      <c r="AD497" s="3">
        <f>Gegenstände!F497</f>
        <v>0</v>
      </c>
    </row>
    <row r="498" spans="1:30" x14ac:dyDescent="0.2">
      <c r="A498" s="3">
        <f>Gegenstände!A498</f>
        <v>1406</v>
      </c>
      <c r="B498" s="3" t="str">
        <f>Gegenstände!B498</f>
        <v>Kupfer-Plattenhelm</v>
      </c>
      <c r="D498" s="3">
        <f>Gegenstände!K498</f>
        <v>3600</v>
      </c>
      <c r="E498" s="3">
        <f>Gegenstände!I498</f>
        <v>11</v>
      </c>
      <c r="F498" s="3">
        <f>VLOOKUP(Gegenstände!E498,Berechnungen!$E$87:$F$115,2,FALSE)</f>
        <v>23</v>
      </c>
      <c r="G498" s="3">
        <f>Gegenstände!H498</f>
        <v>1</v>
      </c>
      <c r="H498" s="3">
        <f>Gegenstände!G498</f>
        <v>9</v>
      </c>
      <c r="I498" s="3">
        <f>Gegenstände!D498</f>
        <v>4</v>
      </c>
      <c r="J498" s="168">
        <f>ROUND(Gegenstände!N498,0)</f>
        <v>1500</v>
      </c>
      <c r="K498" s="3">
        <f>Gegenstände!J498</f>
        <v>100</v>
      </c>
      <c r="L498" s="3">
        <f>Gegenstände!L498</f>
        <v>0</v>
      </c>
      <c r="M498" s="3">
        <f>Gegenstände!Z498</f>
        <v>16</v>
      </c>
      <c r="N498" s="783">
        <f>(Gegenstände!Y498*10)</f>
        <v>40</v>
      </c>
      <c r="O498" s="783">
        <f>(Gegenstände!W498*10)</f>
        <v>12</v>
      </c>
      <c r="P498" s="783">
        <f>Gegenstände!AA498*10</f>
        <v>0</v>
      </c>
      <c r="Q498" s="783">
        <f>Gegenstände!O498</f>
        <v>0</v>
      </c>
      <c r="R498" s="168">
        <f>Gegenstände!S498</f>
        <v>0</v>
      </c>
      <c r="S498" s="168">
        <f>Gegenstände!T498</f>
        <v>0</v>
      </c>
      <c r="T498" s="783">
        <f>Gegenstände!AC498</f>
        <v>0</v>
      </c>
      <c r="U498" s="783">
        <f>Gegenstände!AE498</f>
        <v>0</v>
      </c>
      <c r="V498" s="783">
        <f>Gegenstände!AD498</f>
        <v>0</v>
      </c>
      <c r="W498" s="783">
        <f>Gegenstände!AF498</f>
        <v>0</v>
      </c>
      <c r="AB498" s="3">
        <f>Gegenstände!M498</f>
        <v>1</v>
      </c>
      <c r="AC498" s="3">
        <f>Gegenstände!AB498</f>
        <v>0</v>
      </c>
      <c r="AD498" s="3">
        <f>Gegenstände!F498</f>
        <v>0</v>
      </c>
    </row>
    <row r="499" spans="1:30" x14ac:dyDescent="0.2">
      <c r="A499" s="3">
        <f>Gegenstände!A499</f>
        <v>1407</v>
      </c>
      <c r="B499" s="3" t="str">
        <f>Gegenstände!B499</f>
        <v>Kupfer-Plattenpanzer</v>
      </c>
      <c r="D499" s="3">
        <f>Gegenstände!K499</f>
        <v>5400</v>
      </c>
      <c r="E499" s="3">
        <f>Gegenstände!I499</f>
        <v>12</v>
      </c>
      <c r="F499" s="3">
        <f>VLOOKUP(Gegenstände!E499,Berechnungen!$E$87:$F$115,2,FALSE)</f>
        <v>23</v>
      </c>
      <c r="G499" s="3">
        <f>Gegenstände!H499</f>
        <v>1</v>
      </c>
      <c r="H499" s="3">
        <f>Gegenstände!G499</f>
        <v>9</v>
      </c>
      <c r="I499" s="3">
        <f>Gegenstände!D499</f>
        <v>4</v>
      </c>
      <c r="J499" s="168">
        <f>ROUND(Gegenstände!N499,0)</f>
        <v>2300</v>
      </c>
      <c r="K499" s="3">
        <f>Gegenstände!J499</f>
        <v>100</v>
      </c>
      <c r="L499" s="3">
        <f>Gegenstände!L499</f>
        <v>0</v>
      </c>
      <c r="M499" s="3">
        <f>Gegenstände!Z499</f>
        <v>24</v>
      </c>
      <c r="N499" s="783">
        <f>(Gegenstände!Y499*10)</f>
        <v>60</v>
      </c>
      <c r="O499" s="783">
        <f>(Gegenstände!W499*10)</f>
        <v>18</v>
      </c>
      <c r="P499" s="783">
        <f>Gegenstände!AA499*10</f>
        <v>0</v>
      </c>
      <c r="Q499" s="783">
        <f>Gegenstände!O499</f>
        <v>0</v>
      </c>
      <c r="R499" s="168">
        <f>Gegenstände!S499</f>
        <v>0</v>
      </c>
      <c r="S499" s="168">
        <f>Gegenstände!T499</f>
        <v>0</v>
      </c>
      <c r="T499" s="783">
        <f>Gegenstände!AC499</f>
        <v>0</v>
      </c>
      <c r="U499" s="783">
        <f>Gegenstände!AE499</f>
        <v>0</v>
      </c>
      <c r="V499" s="783">
        <f>Gegenstände!AD499</f>
        <v>0</v>
      </c>
      <c r="W499" s="783">
        <f>Gegenstände!AF499</f>
        <v>0</v>
      </c>
      <c r="AB499" s="3">
        <f>Gegenstände!M499</f>
        <v>1</v>
      </c>
      <c r="AC499" s="3">
        <f>Gegenstände!AB499</f>
        <v>0</v>
      </c>
      <c r="AD499" s="3">
        <f>Gegenstände!F499</f>
        <v>0</v>
      </c>
    </row>
    <row r="500" spans="1:30" x14ac:dyDescent="0.2">
      <c r="A500" s="3">
        <f>Gegenstände!A500</f>
        <v>1408</v>
      </c>
      <c r="B500" s="3" t="str">
        <f>Gegenstände!B500</f>
        <v>Kupfer-Plattenhandschuhe</v>
      </c>
      <c r="D500" s="3">
        <f>Gegenstände!K500</f>
        <v>2700</v>
      </c>
      <c r="E500" s="3">
        <f>Gegenstände!I500</f>
        <v>13</v>
      </c>
      <c r="F500" s="3">
        <f>VLOOKUP(Gegenstände!E500,Berechnungen!$E$87:$F$115,2,FALSE)</f>
        <v>23</v>
      </c>
      <c r="G500" s="3">
        <f>Gegenstände!H500</f>
        <v>1</v>
      </c>
      <c r="H500" s="3">
        <f>Gegenstände!G500</f>
        <v>9</v>
      </c>
      <c r="I500" s="3">
        <f>Gegenstände!D500</f>
        <v>5</v>
      </c>
      <c r="J500" s="168">
        <f>ROUND(Gegenstände!N500,0)</f>
        <v>1300</v>
      </c>
      <c r="K500" s="3">
        <f>Gegenstände!J500</f>
        <v>100</v>
      </c>
      <c r="L500" s="3">
        <f>Gegenstände!L500</f>
        <v>0</v>
      </c>
      <c r="M500" s="3">
        <f>Gegenstände!Z500</f>
        <v>12</v>
      </c>
      <c r="N500" s="783">
        <f>(Gegenstände!Y500*10)</f>
        <v>30</v>
      </c>
      <c r="O500" s="783">
        <f>(Gegenstände!W500*10)</f>
        <v>9</v>
      </c>
      <c r="P500" s="783">
        <f>Gegenstände!AA500*10</f>
        <v>0</v>
      </c>
      <c r="Q500" s="783">
        <f>Gegenstände!O500</f>
        <v>0</v>
      </c>
      <c r="R500" s="168">
        <f>Gegenstände!S500</f>
        <v>0</v>
      </c>
      <c r="S500" s="168">
        <f>Gegenstände!T500</f>
        <v>0</v>
      </c>
      <c r="T500" s="783">
        <f>Gegenstände!AC500</f>
        <v>0</v>
      </c>
      <c r="U500" s="783">
        <f>Gegenstände!AE500</f>
        <v>0</v>
      </c>
      <c r="V500" s="783">
        <f>Gegenstände!AD500</f>
        <v>0</v>
      </c>
      <c r="W500" s="783">
        <f>Gegenstände!AF500</f>
        <v>0</v>
      </c>
      <c r="AB500" s="3">
        <f>Gegenstände!M500</f>
        <v>1</v>
      </c>
      <c r="AC500" s="3">
        <f>Gegenstände!AB500</f>
        <v>0</v>
      </c>
      <c r="AD500" s="3">
        <f>Gegenstände!F500</f>
        <v>0</v>
      </c>
    </row>
    <row r="501" spans="1:30" x14ac:dyDescent="0.2">
      <c r="A501" s="3">
        <f>Gegenstände!A501</f>
        <v>1409</v>
      </c>
      <c r="B501" s="3" t="str">
        <f>Gegenstände!B501</f>
        <v>Kupfer-Plattenbeinlinge</v>
      </c>
      <c r="D501" s="3">
        <f>Gegenstände!K501</f>
        <v>3600</v>
      </c>
      <c r="E501" s="3">
        <f>Gegenstände!I501</f>
        <v>14</v>
      </c>
      <c r="F501" s="3">
        <f>VLOOKUP(Gegenstände!E501,Berechnungen!$E$87:$F$115,2,FALSE)</f>
        <v>23</v>
      </c>
      <c r="G501" s="3">
        <f>Gegenstände!H501</f>
        <v>1</v>
      </c>
      <c r="H501" s="3">
        <f>Gegenstände!G501</f>
        <v>9</v>
      </c>
      <c r="I501" s="3">
        <f>Gegenstände!D501</f>
        <v>5</v>
      </c>
      <c r="J501" s="168">
        <f>ROUND(Gegenstände!N501,0)</f>
        <v>1700</v>
      </c>
      <c r="K501" s="3">
        <f>Gegenstände!J501</f>
        <v>100</v>
      </c>
      <c r="L501" s="3">
        <f>Gegenstände!L501</f>
        <v>0</v>
      </c>
      <c r="M501" s="3">
        <f>Gegenstände!Z501</f>
        <v>16</v>
      </c>
      <c r="N501" s="783">
        <f>(Gegenstände!Y501*10)</f>
        <v>40</v>
      </c>
      <c r="O501" s="783">
        <f>(Gegenstände!W501*10)</f>
        <v>12</v>
      </c>
      <c r="P501" s="783">
        <f>Gegenstände!AA501*10</f>
        <v>0</v>
      </c>
      <c r="Q501" s="783">
        <f>Gegenstände!O501</f>
        <v>0</v>
      </c>
      <c r="R501" s="168">
        <f>Gegenstände!S501</f>
        <v>0</v>
      </c>
      <c r="S501" s="168">
        <f>Gegenstände!T501</f>
        <v>0</v>
      </c>
      <c r="T501" s="783">
        <f>Gegenstände!AC501</f>
        <v>0</v>
      </c>
      <c r="U501" s="783">
        <f>Gegenstände!AE501</f>
        <v>0</v>
      </c>
      <c r="V501" s="783">
        <f>Gegenstände!AD501</f>
        <v>0</v>
      </c>
      <c r="W501" s="783">
        <f>Gegenstände!AF501</f>
        <v>0</v>
      </c>
      <c r="AB501" s="3">
        <f>Gegenstände!M501</f>
        <v>1</v>
      </c>
      <c r="AC501" s="3">
        <f>Gegenstände!AB501</f>
        <v>0</v>
      </c>
      <c r="AD501" s="3">
        <f>Gegenstände!F501</f>
        <v>0</v>
      </c>
    </row>
    <row r="502" spans="1:30" x14ac:dyDescent="0.2">
      <c r="A502" s="3">
        <f>Gegenstände!A502</f>
        <v>1410</v>
      </c>
      <c r="B502" s="3" t="str">
        <f>Gegenstände!B502</f>
        <v>Kupfer-Plattenstiefel</v>
      </c>
      <c r="D502" s="3">
        <f>Gegenstände!K502</f>
        <v>2700</v>
      </c>
      <c r="E502" s="3">
        <f>Gegenstände!I502</f>
        <v>15</v>
      </c>
      <c r="F502" s="3">
        <f>VLOOKUP(Gegenstände!E502,Berechnungen!$E$87:$F$115,2,FALSE)</f>
        <v>23</v>
      </c>
      <c r="G502" s="3">
        <f>Gegenstände!H502</f>
        <v>1</v>
      </c>
      <c r="H502" s="3">
        <f>Gegenstände!G502</f>
        <v>9</v>
      </c>
      <c r="I502" s="3">
        <f>Gegenstände!D502</f>
        <v>5</v>
      </c>
      <c r="J502" s="168">
        <f>ROUND(Gegenstände!N502,0)</f>
        <v>1300</v>
      </c>
      <c r="K502" s="3">
        <f>Gegenstände!J502</f>
        <v>100</v>
      </c>
      <c r="L502" s="3">
        <f>Gegenstände!L502</f>
        <v>0</v>
      </c>
      <c r="M502" s="3">
        <f>Gegenstände!Z502</f>
        <v>12</v>
      </c>
      <c r="N502" s="783">
        <f>(Gegenstände!Y502*10)</f>
        <v>30</v>
      </c>
      <c r="O502" s="783">
        <f>(Gegenstände!W502*10)</f>
        <v>9</v>
      </c>
      <c r="P502" s="783">
        <f>Gegenstände!AA502*10</f>
        <v>0</v>
      </c>
      <c r="Q502" s="783">
        <f>Gegenstände!O502</f>
        <v>0</v>
      </c>
      <c r="R502" s="168">
        <f>Gegenstände!S502</f>
        <v>0</v>
      </c>
      <c r="S502" s="168">
        <f>Gegenstände!T502</f>
        <v>0</v>
      </c>
      <c r="T502" s="783">
        <f>Gegenstände!AC502</f>
        <v>0</v>
      </c>
      <c r="U502" s="783">
        <f>Gegenstände!AE502</f>
        <v>0</v>
      </c>
      <c r="V502" s="783">
        <f>Gegenstände!AD502</f>
        <v>0</v>
      </c>
      <c r="W502" s="783">
        <f>Gegenstände!AF502</f>
        <v>0</v>
      </c>
      <c r="AB502" s="3">
        <f>Gegenstände!M502</f>
        <v>1</v>
      </c>
      <c r="AC502" s="3">
        <f>Gegenstände!AB502</f>
        <v>0</v>
      </c>
      <c r="AD502" s="3">
        <f>Gegenstände!F502</f>
        <v>0</v>
      </c>
    </row>
    <row r="503" spans="1:30" x14ac:dyDescent="0.2">
      <c r="A503" s="3">
        <f>Gegenstände!A503</f>
        <v>1411</v>
      </c>
      <c r="B503" s="3" t="str">
        <f>Gegenstände!B503</f>
        <v>Eisen-Kettenhaube</v>
      </c>
      <c r="D503" s="3">
        <f>Gegenstände!K503</f>
        <v>3200</v>
      </c>
      <c r="E503" s="3">
        <f>Gegenstände!I503</f>
        <v>11</v>
      </c>
      <c r="F503" s="3">
        <f>VLOOKUP(Gegenstände!E503,Berechnungen!$E$87:$F$115,2,FALSE)</f>
        <v>23</v>
      </c>
      <c r="G503" s="3">
        <f>Gegenstände!H503</f>
        <v>1</v>
      </c>
      <c r="H503" s="3">
        <f>Gegenstände!G503</f>
        <v>9</v>
      </c>
      <c r="I503" s="3">
        <f>Gegenstände!D503</f>
        <v>6</v>
      </c>
      <c r="J503" s="168">
        <f>ROUND(Gegenstände!N503,0)</f>
        <v>2000</v>
      </c>
      <c r="K503" s="3">
        <f>Gegenstände!J503</f>
        <v>100</v>
      </c>
      <c r="L503" s="3">
        <f>Gegenstände!L503</f>
        <v>0</v>
      </c>
      <c r="M503" s="3">
        <f>Gegenstände!Z503</f>
        <v>16</v>
      </c>
      <c r="N503" s="783">
        <f>(Gegenstände!Y503*10)</f>
        <v>40</v>
      </c>
      <c r="O503" s="783">
        <f>(Gegenstände!W503*10)</f>
        <v>14</v>
      </c>
      <c r="P503" s="783">
        <f>Gegenstände!AA503*10</f>
        <v>0</v>
      </c>
      <c r="Q503" s="783">
        <f>Gegenstände!O503</f>
        <v>0</v>
      </c>
      <c r="R503" s="168">
        <f>Gegenstände!S503</f>
        <v>0</v>
      </c>
      <c r="S503" s="168">
        <f>Gegenstände!T503</f>
        <v>0</v>
      </c>
      <c r="T503" s="783">
        <f>Gegenstände!AC503</f>
        <v>0</v>
      </c>
      <c r="U503" s="783">
        <f>Gegenstände!AE503</f>
        <v>0</v>
      </c>
      <c r="V503" s="783">
        <f>Gegenstände!AD503</f>
        <v>0</v>
      </c>
      <c r="W503" s="783">
        <f>Gegenstände!AF503</f>
        <v>0</v>
      </c>
      <c r="AB503" s="3">
        <f>Gegenstände!M503</f>
        <v>2</v>
      </c>
      <c r="AC503" s="3">
        <f>Gegenstände!AB503</f>
        <v>0</v>
      </c>
      <c r="AD503" s="3">
        <f>Gegenstände!F503</f>
        <v>0</v>
      </c>
    </row>
    <row r="504" spans="1:30" x14ac:dyDescent="0.2">
      <c r="A504" s="3">
        <f>Gegenstände!A504</f>
        <v>1412</v>
      </c>
      <c r="B504" s="3" t="str">
        <f>Gegenstände!B504</f>
        <v>Eisen-Kettenhemd</v>
      </c>
      <c r="D504" s="3">
        <f>Gegenstände!K504</f>
        <v>4800</v>
      </c>
      <c r="E504" s="3">
        <f>Gegenstände!I504</f>
        <v>12</v>
      </c>
      <c r="F504" s="3">
        <f>VLOOKUP(Gegenstände!E504,Berechnungen!$E$87:$F$115,2,FALSE)</f>
        <v>23</v>
      </c>
      <c r="G504" s="3">
        <f>Gegenstände!H504</f>
        <v>1</v>
      </c>
      <c r="H504" s="3">
        <f>Gegenstände!G504</f>
        <v>9</v>
      </c>
      <c r="I504" s="3">
        <f>Gegenstände!D504</f>
        <v>6</v>
      </c>
      <c r="J504" s="168">
        <f>ROUND(Gegenstände!N504,0)</f>
        <v>3000</v>
      </c>
      <c r="K504" s="3">
        <f>Gegenstände!J504</f>
        <v>100</v>
      </c>
      <c r="L504" s="3">
        <f>Gegenstände!L504</f>
        <v>0</v>
      </c>
      <c r="M504" s="3">
        <f>Gegenstände!Z504</f>
        <v>24</v>
      </c>
      <c r="N504" s="783">
        <f>(Gegenstände!Y504*10)</f>
        <v>60</v>
      </c>
      <c r="O504" s="783">
        <f>(Gegenstände!W504*10)</f>
        <v>21</v>
      </c>
      <c r="P504" s="783">
        <f>Gegenstände!AA504*10</f>
        <v>0</v>
      </c>
      <c r="Q504" s="783">
        <f>Gegenstände!O504</f>
        <v>0</v>
      </c>
      <c r="R504" s="168">
        <f>Gegenstände!S504</f>
        <v>0</v>
      </c>
      <c r="S504" s="168">
        <f>Gegenstände!T504</f>
        <v>0</v>
      </c>
      <c r="T504" s="783">
        <f>Gegenstände!AC504</f>
        <v>0</v>
      </c>
      <c r="U504" s="783">
        <f>Gegenstände!AE504</f>
        <v>0</v>
      </c>
      <c r="V504" s="783">
        <f>Gegenstände!AD504</f>
        <v>0</v>
      </c>
      <c r="W504" s="783">
        <f>Gegenstände!AF504</f>
        <v>0</v>
      </c>
      <c r="AB504" s="3">
        <f>Gegenstände!M504</f>
        <v>2</v>
      </c>
      <c r="AC504" s="3">
        <f>Gegenstände!AB504</f>
        <v>0</v>
      </c>
      <c r="AD504" s="3">
        <f>Gegenstände!F504</f>
        <v>0</v>
      </c>
    </row>
    <row r="505" spans="1:30" x14ac:dyDescent="0.2">
      <c r="A505" s="3">
        <f>Gegenstände!A505</f>
        <v>1413</v>
      </c>
      <c r="B505" s="3" t="str">
        <f>Gegenstände!B505</f>
        <v>Eisen-Kettenhandschuhe</v>
      </c>
      <c r="D505" s="3">
        <f>Gegenstände!K505</f>
        <v>2400</v>
      </c>
      <c r="E505" s="3">
        <f>Gegenstände!I505</f>
        <v>13</v>
      </c>
      <c r="F505" s="3">
        <f>VLOOKUP(Gegenstände!E505,Berechnungen!$E$87:$F$115,2,FALSE)</f>
        <v>23</v>
      </c>
      <c r="G505" s="3">
        <f>Gegenstände!H505</f>
        <v>1</v>
      </c>
      <c r="H505" s="3">
        <f>Gegenstände!G505</f>
        <v>9</v>
      </c>
      <c r="I505" s="3">
        <f>Gegenstände!D505</f>
        <v>7</v>
      </c>
      <c r="J505" s="168">
        <f>ROUND(Gegenstände!N505,0)</f>
        <v>1700</v>
      </c>
      <c r="K505" s="3">
        <f>Gegenstände!J505</f>
        <v>100</v>
      </c>
      <c r="L505" s="3">
        <f>Gegenstände!L505</f>
        <v>0</v>
      </c>
      <c r="M505" s="3">
        <f>Gegenstände!Z505</f>
        <v>12</v>
      </c>
      <c r="N505" s="783">
        <f>(Gegenstände!Y505*10)</f>
        <v>30</v>
      </c>
      <c r="O505" s="783">
        <f>(Gegenstände!W505*10)</f>
        <v>11</v>
      </c>
      <c r="P505" s="783">
        <f>Gegenstände!AA505*10</f>
        <v>0</v>
      </c>
      <c r="Q505" s="783">
        <f>Gegenstände!O505</f>
        <v>0</v>
      </c>
      <c r="R505" s="168">
        <f>Gegenstände!S505</f>
        <v>0</v>
      </c>
      <c r="S505" s="168">
        <f>Gegenstände!T505</f>
        <v>0</v>
      </c>
      <c r="T505" s="783">
        <f>Gegenstände!AC505</f>
        <v>0</v>
      </c>
      <c r="U505" s="783">
        <f>Gegenstände!AE505</f>
        <v>0</v>
      </c>
      <c r="V505" s="783">
        <f>Gegenstände!AD505</f>
        <v>0</v>
      </c>
      <c r="W505" s="783">
        <f>Gegenstände!AF505</f>
        <v>0</v>
      </c>
      <c r="AB505" s="3">
        <f>Gegenstände!M505</f>
        <v>2</v>
      </c>
      <c r="AC505" s="3">
        <f>Gegenstände!AB505</f>
        <v>0</v>
      </c>
      <c r="AD505" s="3">
        <f>Gegenstände!F505</f>
        <v>0</v>
      </c>
    </row>
    <row r="506" spans="1:30" x14ac:dyDescent="0.2">
      <c r="A506" s="3">
        <f>Gegenstände!A506</f>
        <v>1414</v>
      </c>
      <c r="B506" s="3" t="str">
        <f>Gegenstände!B506</f>
        <v>Eisen-Kettenbeinlinge</v>
      </c>
      <c r="D506" s="3">
        <f>Gegenstände!K506</f>
        <v>3200</v>
      </c>
      <c r="E506" s="3">
        <f>Gegenstände!I506</f>
        <v>14</v>
      </c>
      <c r="F506" s="3">
        <f>VLOOKUP(Gegenstände!E506,Berechnungen!$E$87:$F$115,2,FALSE)</f>
        <v>23</v>
      </c>
      <c r="G506" s="3">
        <f>Gegenstände!H506</f>
        <v>1</v>
      </c>
      <c r="H506" s="3">
        <f>Gegenstände!G506</f>
        <v>9</v>
      </c>
      <c r="I506" s="3">
        <f>Gegenstände!D506</f>
        <v>7</v>
      </c>
      <c r="J506" s="168">
        <f>ROUND(Gegenstände!N506,0)</f>
        <v>2300</v>
      </c>
      <c r="K506" s="3">
        <f>Gegenstände!J506</f>
        <v>100</v>
      </c>
      <c r="L506" s="3">
        <f>Gegenstände!L506</f>
        <v>0</v>
      </c>
      <c r="M506" s="3">
        <f>Gegenstände!Z506</f>
        <v>16</v>
      </c>
      <c r="N506" s="783">
        <f>(Gegenstände!Y506*10)</f>
        <v>40</v>
      </c>
      <c r="O506" s="783">
        <f>(Gegenstände!W506*10)</f>
        <v>14</v>
      </c>
      <c r="P506" s="783">
        <f>Gegenstände!AA506*10</f>
        <v>0</v>
      </c>
      <c r="Q506" s="783">
        <f>Gegenstände!O506</f>
        <v>0</v>
      </c>
      <c r="R506" s="168">
        <f>Gegenstände!S506</f>
        <v>0</v>
      </c>
      <c r="S506" s="168">
        <f>Gegenstände!T506</f>
        <v>0</v>
      </c>
      <c r="T506" s="783">
        <f>Gegenstände!AC506</f>
        <v>0</v>
      </c>
      <c r="U506" s="783">
        <f>Gegenstände!AE506</f>
        <v>0</v>
      </c>
      <c r="V506" s="783">
        <f>Gegenstände!AD506</f>
        <v>0</v>
      </c>
      <c r="W506" s="783">
        <f>Gegenstände!AF506</f>
        <v>0</v>
      </c>
      <c r="AB506" s="3">
        <f>Gegenstände!M506</f>
        <v>2</v>
      </c>
      <c r="AC506" s="3">
        <f>Gegenstände!AB506</f>
        <v>0</v>
      </c>
      <c r="AD506" s="3">
        <f>Gegenstände!F506</f>
        <v>0</v>
      </c>
    </row>
    <row r="507" spans="1:30" x14ac:dyDescent="0.2">
      <c r="A507" s="3">
        <f>Gegenstände!A507</f>
        <v>1415</v>
      </c>
      <c r="B507" s="3" t="str">
        <f>Gegenstände!B507</f>
        <v>Eisen-Kettenstiefel</v>
      </c>
      <c r="D507" s="3">
        <f>Gegenstände!K507</f>
        <v>2400</v>
      </c>
      <c r="E507" s="3">
        <f>Gegenstände!I507</f>
        <v>15</v>
      </c>
      <c r="F507" s="3">
        <f>VLOOKUP(Gegenstände!E507,Berechnungen!$E$87:$F$115,2,FALSE)</f>
        <v>23</v>
      </c>
      <c r="G507" s="3">
        <f>Gegenstände!H507</f>
        <v>1</v>
      </c>
      <c r="H507" s="3">
        <f>Gegenstände!G507</f>
        <v>9</v>
      </c>
      <c r="I507" s="3">
        <f>Gegenstände!D507</f>
        <v>7</v>
      </c>
      <c r="J507" s="168">
        <f>ROUND(Gegenstände!N507,0)</f>
        <v>1700</v>
      </c>
      <c r="K507" s="3">
        <f>Gegenstände!J507</f>
        <v>100</v>
      </c>
      <c r="L507" s="3">
        <f>Gegenstände!L507</f>
        <v>0</v>
      </c>
      <c r="M507" s="3">
        <f>Gegenstände!Z507</f>
        <v>12</v>
      </c>
      <c r="N507" s="783">
        <f>(Gegenstände!Y507*10)</f>
        <v>30</v>
      </c>
      <c r="O507" s="783">
        <f>(Gegenstände!W507*10)</f>
        <v>11</v>
      </c>
      <c r="P507" s="783">
        <f>Gegenstände!AA507*10</f>
        <v>0</v>
      </c>
      <c r="Q507" s="783">
        <f>Gegenstände!O507</f>
        <v>0</v>
      </c>
      <c r="R507" s="168">
        <f>Gegenstände!S507</f>
        <v>0</v>
      </c>
      <c r="S507" s="168">
        <f>Gegenstände!T507</f>
        <v>0</v>
      </c>
      <c r="T507" s="783">
        <f>Gegenstände!AC507</f>
        <v>0</v>
      </c>
      <c r="U507" s="783">
        <f>Gegenstände!AE507</f>
        <v>0</v>
      </c>
      <c r="V507" s="783">
        <f>Gegenstände!AD507</f>
        <v>0</v>
      </c>
      <c r="W507" s="783">
        <f>Gegenstände!AF507</f>
        <v>0</v>
      </c>
      <c r="AB507" s="3">
        <f>Gegenstände!M507</f>
        <v>2</v>
      </c>
      <c r="AC507" s="3">
        <f>Gegenstände!AB507</f>
        <v>0</v>
      </c>
      <c r="AD507" s="3">
        <f>Gegenstände!F507</f>
        <v>0</v>
      </c>
    </row>
    <row r="508" spans="1:30" x14ac:dyDescent="0.2">
      <c r="A508" s="3">
        <f>Gegenstände!A508</f>
        <v>1416</v>
      </c>
      <c r="B508" s="3" t="str">
        <f>Gegenstände!B508</f>
        <v>Eisen-Plattenhelm</v>
      </c>
      <c r="D508" s="3">
        <f>Gegenstände!K508</f>
        <v>3600</v>
      </c>
      <c r="E508" s="3">
        <f>Gegenstände!I508</f>
        <v>11</v>
      </c>
      <c r="F508" s="3">
        <f>VLOOKUP(Gegenstände!E508,Berechnungen!$E$87:$F$115,2,FALSE)</f>
        <v>23</v>
      </c>
      <c r="G508" s="3">
        <f>Gegenstände!H508</f>
        <v>1</v>
      </c>
      <c r="H508" s="3">
        <f>Gegenstände!G508</f>
        <v>9</v>
      </c>
      <c r="I508" s="3">
        <f>Gegenstände!D508</f>
        <v>9</v>
      </c>
      <c r="J508" s="168">
        <f>ROUND(Gegenstände!N508,0)</f>
        <v>3100</v>
      </c>
      <c r="K508" s="3">
        <f>Gegenstände!J508</f>
        <v>100</v>
      </c>
      <c r="L508" s="3">
        <f>Gegenstände!L508</f>
        <v>0</v>
      </c>
      <c r="M508" s="3">
        <f>Gegenstände!Z508</f>
        <v>16</v>
      </c>
      <c r="N508" s="783">
        <f>(Gegenstände!Y508*10)</f>
        <v>40</v>
      </c>
      <c r="O508" s="783">
        <f>(Gegenstände!W508*10)</f>
        <v>20</v>
      </c>
      <c r="P508" s="783">
        <f>Gegenstände!AA508*10</f>
        <v>0</v>
      </c>
      <c r="Q508" s="783">
        <f>Gegenstände!O508</f>
        <v>0</v>
      </c>
      <c r="R508" s="168">
        <f>Gegenstände!S508</f>
        <v>0</v>
      </c>
      <c r="S508" s="168">
        <f>Gegenstände!T508</f>
        <v>0</v>
      </c>
      <c r="T508" s="783">
        <f>Gegenstände!AC508</f>
        <v>0</v>
      </c>
      <c r="U508" s="783">
        <f>Gegenstände!AE508</f>
        <v>0</v>
      </c>
      <c r="V508" s="783">
        <f>Gegenstände!AD508</f>
        <v>0</v>
      </c>
      <c r="W508" s="783">
        <f>Gegenstände!AF508</f>
        <v>0</v>
      </c>
      <c r="AB508" s="3">
        <f>Gegenstände!M508</f>
        <v>2</v>
      </c>
      <c r="AC508" s="3">
        <f>Gegenstände!AB508</f>
        <v>0</v>
      </c>
      <c r="AD508" s="3">
        <f>Gegenstände!F508</f>
        <v>0</v>
      </c>
    </row>
    <row r="509" spans="1:30" x14ac:dyDescent="0.2">
      <c r="A509" s="3">
        <f>Gegenstände!A509</f>
        <v>1417</v>
      </c>
      <c r="B509" s="3" t="str">
        <f>Gegenstände!B509</f>
        <v>Eisen-Plattenpanzer</v>
      </c>
      <c r="D509" s="3">
        <f>Gegenstände!K509</f>
        <v>5400</v>
      </c>
      <c r="E509" s="3">
        <f>Gegenstände!I509</f>
        <v>12</v>
      </c>
      <c r="F509" s="3">
        <f>VLOOKUP(Gegenstände!E509,Berechnungen!$E$87:$F$115,2,FALSE)</f>
        <v>23</v>
      </c>
      <c r="G509" s="3">
        <f>Gegenstände!H509</f>
        <v>1</v>
      </c>
      <c r="H509" s="3">
        <f>Gegenstände!G509</f>
        <v>9</v>
      </c>
      <c r="I509" s="3">
        <f>Gegenstände!D509</f>
        <v>9</v>
      </c>
      <c r="J509" s="168">
        <f>ROUND(Gegenstände!N509,0)</f>
        <v>4600</v>
      </c>
      <c r="K509" s="3">
        <f>Gegenstände!J509</f>
        <v>100</v>
      </c>
      <c r="L509" s="3">
        <f>Gegenstände!L509</f>
        <v>0</v>
      </c>
      <c r="M509" s="3">
        <f>Gegenstände!Z509</f>
        <v>24</v>
      </c>
      <c r="N509" s="783">
        <f>(Gegenstände!Y509*10)</f>
        <v>60</v>
      </c>
      <c r="O509" s="783">
        <f>(Gegenstände!W509*10)</f>
        <v>30</v>
      </c>
      <c r="P509" s="783">
        <f>Gegenstände!AA509*10</f>
        <v>0</v>
      </c>
      <c r="Q509" s="783">
        <f>Gegenstände!O509</f>
        <v>0</v>
      </c>
      <c r="R509" s="168">
        <f>Gegenstände!S509</f>
        <v>0</v>
      </c>
      <c r="S509" s="168">
        <f>Gegenstände!T509</f>
        <v>0</v>
      </c>
      <c r="T509" s="783">
        <f>Gegenstände!AC509</f>
        <v>0</v>
      </c>
      <c r="U509" s="783">
        <f>Gegenstände!AE509</f>
        <v>0</v>
      </c>
      <c r="V509" s="783">
        <f>Gegenstände!AD509</f>
        <v>0</v>
      </c>
      <c r="W509" s="783">
        <f>Gegenstände!AF509</f>
        <v>0</v>
      </c>
      <c r="AB509" s="3">
        <f>Gegenstände!M509</f>
        <v>2</v>
      </c>
      <c r="AC509" s="3">
        <f>Gegenstände!AB509</f>
        <v>0</v>
      </c>
      <c r="AD509" s="3">
        <f>Gegenstände!F509</f>
        <v>0</v>
      </c>
    </row>
    <row r="510" spans="1:30" x14ac:dyDescent="0.2">
      <c r="A510" s="3">
        <f>Gegenstände!A510</f>
        <v>1418</v>
      </c>
      <c r="B510" s="3" t="str">
        <f>Gegenstände!B510</f>
        <v>Eisen-Plattenhandschuhe</v>
      </c>
      <c r="D510" s="3">
        <f>Gegenstände!K510</f>
        <v>2700</v>
      </c>
      <c r="E510" s="3">
        <f>Gegenstände!I510</f>
        <v>13</v>
      </c>
      <c r="F510" s="3">
        <f>VLOOKUP(Gegenstände!E510,Berechnungen!$E$87:$F$115,2,FALSE)</f>
        <v>23</v>
      </c>
      <c r="G510" s="3">
        <f>Gegenstände!H510</f>
        <v>1</v>
      </c>
      <c r="H510" s="3">
        <f>Gegenstände!G510</f>
        <v>9</v>
      </c>
      <c r="I510" s="3">
        <f>Gegenstände!D510</f>
        <v>10</v>
      </c>
      <c r="J510" s="168">
        <f>ROUND(Gegenstände!N510,0)</f>
        <v>2600</v>
      </c>
      <c r="K510" s="3">
        <f>Gegenstände!J510</f>
        <v>100</v>
      </c>
      <c r="L510" s="3">
        <f>Gegenstände!L510</f>
        <v>0</v>
      </c>
      <c r="M510" s="3">
        <f>Gegenstände!Z510</f>
        <v>12</v>
      </c>
      <c r="N510" s="783">
        <f>(Gegenstände!Y510*10)</f>
        <v>30</v>
      </c>
      <c r="O510" s="783">
        <f>(Gegenstände!W510*10)</f>
        <v>15</v>
      </c>
      <c r="P510" s="783">
        <f>Gegenstände!AA510*10</f>
        <v>0</v>
      </c>
      <c r="Q510" s="783">
        <f>Gegenstände!O510</f>
        <v>0</v>
      </c>
      <c r="R510" s="168">
        <f>Gegenstände!S510</f>
        <v>0</v>
      </c>
      <c r="S510" s="168">
        <f>Gegenstände!T510</f>
        <v>0</v>
      </c>
      <c r="T510" s="783">
        <f>Gegenstände!AC510</f>
        <v>0</v>
      </c>
      <c r="U510" s="783">
        <f>Gegenstände!AE510</f>
        <v>0</v>
      </c>
      <c r="V510" s="783">
        <f>Gegenstände!AD510</f>
        <v>0</v>
      </c>
      <c r="W510" s="783">
        <f>Gegenstände!AF510</f>
        <v>0</v>
      </c>
      <c r="AB510" s="3">
        <f>Gegenstände!M510</f>
        <v>2</v>
      </c>
      <c r="AC510" s="3">
        <f>Gegenstände!AB510</f>
        <v>0</v>
      </c>
      <c r="AD510" s="3">
        <f>Gegenstände!F510</f>
        <v>0</v>
      </c>
    </row>
    <row r="511" spans="1:30" x14ac:dyDescent="0.2">
      <c r="A511" s="3">
        <f>Gegenstände!A511</f>
        <v>1419</v>
      </c>
      <c r="B511" s="3" t="str">
        <f>Gegenstände!B511</f>
        <v>Eisen-Plattenbeinlinge</v>
      </c>
      <c r="D511" s="3">
        <f>Gegenstände!K511</f>
        <v>3600</v>
      </c>
      <c r="E511" s="3">
        <f>Gegenstände!I511</f>
        <v>14</v>
      </c>
      <c r="F511" s="3">
        <f>VLOOKUP(Gegenstände!E511,Berechnungen!$E$87:$F$115,2,FALSE)</f>
        <v>23</v>
      </c>
      <c r="G511" s="3">
        <f>Gegenstände!H511</f>
        <v>1</v>
      </c>
      <c r="H511" s="3">
        <f>Gegenstände!G511</f>
        <v>9</v>
      </c>
      <c r="I511" s="3">
        <f>Gegenstände!D511</f>
        <v>10</v>
      </c>
      <c r="J511" s="168">
        <f>ROUND(Gegenstände!N511,0)</f>
        <v>3500</v>
      </c>
      <c r="K511" s="3">
        <f>Gegenstände!J511</f>
        <v>100</v>
      </c>
      <c r="L511" s="3">
        <f>Gegenstände!L511</f>
        <v>0</v>
      </c>
      <c r="M511" s="3">
        <f>Gegenstände!Z511</f>
        <v>16</v>
      </c>
      <c r="N511" s="783">
        <f>(Gegenstände!Y511*10)</f>
        <v>40</v>
      </c>
      <c r="O511" s="783">
        <f>(Gegenstände!W511*10)</f>
        <v>20</v>
      </c>
      <c r="P511" s="783">
        <f>Gegenstände!AA511*10</f>
        <v>0</v>
      </c>
      <c r="Q511" s="783">
        <f>Gegenstände!O511</f>
        <v>0</v>
      </c>
      <c r="R511" s="168">
        <f>Gegenstände!S511</f>
        <v>0</v>
      </c>
      <c r="S511" s="168">
        <f>Gegenstände!T511</f>
        <v>0</v>
      </c>
      <c r="T511" s="783">
        <f>Gegenstände!AC511</f>
        <v>0</v>
      </c>
      <c r="U511" s="783">
        <f>Gegenstände!AE511</f>
        <v>0</v>
      </c>
      <c r="V511" s="783">
        <f>Gegenstände!AD511</f>
        <v>0</v>
      </c>
      <c r="W511" s="783">
        <f>Gegenstände!AF511</f>
        <v>0</v>
      </c>
      <c r="AB511" s="3">
        <f>Gegenstände!M511</f>
        <v>2</v>
      </c>
      <c r="AC511" s="3">
        <f>Gegenstände!AB511</f>
        <v>0</v>
      </c>
      <c r="AD511" s="3">
        <f>Gegenstände!F511</f>
        <v>0</v>
      </c>
    </row>
    <row r="512" spans="1:30" x14ac:dyDescent="0.2">
      <c r="A512" s="3">
        <f>Gegenstände!A512</f>
        <v>1420</v>
      </c>
      <c r="B512" s="3" t="str">
        <f>Gegenstände!B512</f>
        <v>Eisen-Plattenstiefel</v>
      </c>
      <c r="D512" s="3">
        <f>Gegenstände!K512</f>
        <v>2700</v>
      </c>
      <c r="E512" s="3">
        <f>Gegenstände!I512</f>
        <v>15</v>
      </c>
      <c r="F512" s="3">
        <f>VLOOKUP(Gegenstände!E512,Berechnungen!$E$87:$F$115,2,FALSE)</f>
        <v>23</v>
      </c>
      <c r="G512" s="3">
        <f>Gegenstände!H512</f>
        <v>1</v>
      </c>
      <c r="H512" s="3">
        <f>Gegenstände!G512</f>
        <v>9</v>
      </c>
      <c r="I512" s="3">
        <f>Gegenstände!D512</f>
        <v>10</v>
      </c>
      <c r="J512" s="168">
        <f>ROUND(Gegenstände!N512,0)</f>
        <v>2600</v>
      </c>
      <c r="K512" s="3">
        <f>Gegenstände!J512</f>
        <v>100</v>
      </c>
      <c r="L512" s="3">
        <f>Gegenstände!L512</f>
        <v>0</v>
      </c>
      <c r="M512" s="3">
        <f>Gegenstände!Z512</f>
        <v>12</v>
      </c>
      <c r="N512" s="783">
        <f>(Gegenstände!Y512*10)</f>
        <v>30</v>
      </c>
      <c r="O512" s="783">
        <f>(Gegenstände!W512*10)</f>
        <v>15</v>
      </c>
      <c r="P512" s="783">
        <f>Gegenstände!AA512*10</f>
        <v>0</v>
      </c>
      <c r="Q512" s="783">
        <f>Gegenstände!O512</f>
        <v>0</v>
      </c>
      <c r="R512" s="168">
        <f>Gegenstände!S512</f>
        <v>0</v>
      </c>
      <c r="S512" s="168">
        <f>Gegenstände!T512</f>
        <v>0</v>
      </c>
      <c r="T512" s="783">
        <f>Gegenstände!AC512</f>
        <v>0</v>
      </c>
      <c r="U512" s="783">
        <f>Gegenstände!AE512</f>
        <v>0</v>
      </c>
      <c r="V512" s="783">
        <f>Gegenstände!AD512</f>
        <v>0</v>
      </c>
      <c r="W512" s="783">
        <f>Gegenstände!AF512</f>
        <v>0</v>
      </c>
      <c r="AB512" s="3">
        <f>Gegenstände!M512</f>
        <v>2</v>
      </c>
      <c r="AC512" s="3">
        <f>Gegenstände!AB512</f>
        <v>0</v>
      </c>
      <c r="AD512" s="3">
        <f>Gegenstände!F512</f>
        <v>0</v>
      </c>
    </row>
    <row r="513" spans="1:30" x14ac:dyDescent="0.2">
      <c r="A513" s="3">
        <f>Gegenstände!A513</f>
        <v>1421</v>
      </c>
      <c r="B513" s="3" t="str">
        <f>Gegenstände!B513</f>
        <v>Sorandil-Kettenhaube</v>
      </c>
      <c r="D513" s="3">
        <f>Gegenstände!K513</f>
        <v>3200</v>
      </c>
      <c r="E513" s="3">
        <f>Gegenstände!I513</f>
        <v>11</v>
      </c>
      <c r="F513" s="3">
        <f>VLOOKUP(Gegenstände!E513,Berechnungen!$E$87:$F$115,2,FALSE)</f>
        <v>23</v>
      </c>
      <c r="G513" s="3">
        <f>Gegenstände!H513</f>
        <v>1</v>
      </c>
      <c r="H513" s="3">
        <f>Gegenstände!G513</f>
        <v>9</v>
      </c>
      <c r="I513" s="3">
        <f>Gegenstände!D513</f>
        <v>11</v>
      </c>
      <c r="J513" s="168">
        <f>ROUND(Gegenstände!N513,0)</f>
        <v>4000</v>
      </c>
      <c r="K513" s="3">
        <f>Gegenstände!J513</f>
        <v>100</v>
      </c>
      <c r="L513" s="3">
        <f>Gegenstände!L513</f>
        <v>0</v>
      </c>
      <c r="M513" s="3">
        <f>Gegenstände!Z513</f>
        <v>16</v>
      </c>
      <c r="N513" s="783">
        <f>(Gegenstände!Y513*10)</f>
        <v>40</v>
      </c>
      <c r="O513" s="783">
        <f>(Gegenstände!W513*10)</f>
        <v>22</v>
      </c>
      <c r="P513" s="783">
        <f>Gegenstände!AA513*10</f>
        <v>0</v>
      </c>
      <c r="Q513" s="783">
        <f>Gegenstände!O513</f>
        <v>0</v>
      </c>
      <c r="R513" s="168">
        <f>Gegenstände!S513</f>
        <v>0</v>
      </c>
      <c r="S513" s="168">
        <f>Gegenstände!T513</f>
        <v>0</v>
      </c>
      <c r="T513" s="783">
        <f>Gegenstände!AC513</f>
        <v>0</v>
      </c>
      <c r="U513" s="783">
        <f>Gegenstände!AE513</f>
        <v>0</v>
      </c>
      <c r="V513" s="783">
        <f>Gegenstände!AD513</f>
        <v>0</v>
      </c>
      <c r="W513" s="783">
        <f>Gegenstände!AF513</f>
        <v>0</v>
      </c>
      <c r="AB513" s="3">
        <f>Gegenstände!M513</f>
        <v>3</v>
      </c>
      <c r="AC513" s="3">
        <f>Gegenstände!AB513</f>
        <v>0</v>
      </c>
      <c r="AD513" s="3">
        <f>Gegenstände!F513</f>
        <v>0</v>
      </c>
    </row>
    <row r="514" spans="1:30" x14ac:dyDescent="0.2">
      <c r="A514" s="3">
        <f>Gegenstände!A514</f>
        <v>1422</v>
      </c>
      <c r="B514" s="3" t="str">
        <f>Gegenstände!B514</f>
        <v>Sorandil-Kettenhemd</v>
      </c>
      <c r="D514" s="3">
        <f>Gegenstände!K514</f>
        <v>4800</v>
      </c>
      <c r="E514" s="3">
        <f>Gegenstände!I514</f>
        <v>12</v>
      </c>
      <c r="F514" s="3">
        <f>VLOOKUP(Gegenstände!E514,Berechnungen!$E$87:$F$115,2,FALSE)</f>
        <v>23</v>
      </c>
      <c r="G514" s="3">
        <f>Gegenstände!H514</f>
        <v>1</v>
      </c>
      <c r="H514" s="3">
        <f>Gegenstände!G514</f>
        <v>9</v>
      </c>
      <c r="I514" s="3">
        <f>Gegenstände!D514</f>
        <v>11</v>
      </c>
      <c r="J514" s="168">
        <f>ROUND(Gegenstände!N514,0)</f>
        <v>6100</v>
      </c>
      <c r="K514" s="3">
        <f>Gegenstände!J514</f>
        <v>100</v>
      </c>
      <c r="L514" s="3">
        <f>Gegenstände!L514</f>
        <v>0</v>
      </c>
      <c r="M514" s="3">
        <f>Gegenstände!Z514</f>
        <v>24</v>
      </c>
      <c r="N514" s="783">
        <f>(Gegenstände!Y514*10)</f>
        <v>60</v>
      </c>
      <c r="O514" s="783">
        <f>(Gegenstände!W514*10)</f>
        <v>33</v>
      </c>
      <c r="P514" s="783">
        <f>Gegenstände!AA514*10</f>
        <v>0</v>
      </c>
      <c r="Q514" s="783">
        <f>Gegenstände!O514</f>
        <v>0</v>
      </c>
      <c r="R514" s="168">
        <f>Gegenstände!S514</f>
        <v>0</v>
      </c>
      <c r="S514" s="168">
        <f>Gegenstände!T514</f>
        <v>0</v>
      </c>
      <c r="T514" s="783">
        <f>Gegenstände!AC514</f>
        <v>0</v>
      </c>
      <c r="U514" s="783">
        <f>Gegenstände!AE514</f>
        <v>0</v>
      </c>
      <c r="V514" s="783">
        <f>Gegenstände!AD514</f>
        <v>0</v>
      </c>
      <c r="W514" s="783">
        <f>Gegenstände!AF514</f>
        <v>0</v>
      </c>
      <c r="AB514" s="3">
        <f>Gegenstände!M514</f>
        <v>3</v>
      </c>
      <c r="AC514" s="3">
        <f>Gegenstände!AB514</f>
        <v>0</v>
      </c>
      <c r="AD514" s="3">
        <f>Gegenstände!F514</f>
        <v>0</v>
      </c>
    </row>
    <row r="515" spans="1:30" x14ac:dyDescent="0.2">
      <c r="A515" s="3">
        <f>Gegenstände!A515</f>
        <v>1423</v>
      </c>
      <c r="B515" s="3" t="str">
        <f>Gegenstände!B515</f>
        <v>Sorandil-Kettenhandschuhe</v>
      </c>
      <c r="D515" s="3">
        <f>Gegenstände!K515</f>
        <v>2400</v>
      </c>
      <c r="E515" s="3">
        <f>Gegenstände!I515</f>
        <v>13</v>
      </c>
      <c r="F515" s="3">
        <f>VLOOKUP(Gegenstände!E515,Berechnungen!$E$87:$F$115,2,FALSE)</f>
        <v>23</v>
      </c>
      <c r="G515" s="3">
        <f>Gegenstände!H515</f>
        <v>1</v>
      </c>
      <c r="H515" s="3">
        <f>Gegenstände!G515</f>
        <v>9</v>
      </c>
      <c r="I515" s="3">
        <f>Gegenstände!D515</f>
        <v>12</v>
      </c>
      <c r="J515" s="168">
        <f>ROUND(Gegenstände!N515,0)</f>
        <v>3500</v>
      </c>
      <c r="K515" s="3">
        <f>Gegenstände!J515</f>
        <v>100</v>
      </c>
      <c r="L515" s="3">
        <f>Gegenstände!L515</f>
        <v>0</v>
      </c>
      <c r="M515" s="3">
        <f>Gegenstände!Z515</f>
        <v>12</v>
      </c>
      <c r="N515" s="783">
        <f>(Gegenstände!Y515*10)</f>
        <v>30</v>
      </c>
      <c r="O515" s="783">
        <f>(Gegenstände!W515*10)</f>
        <v>17</v>
      </c>
      <c r="P515" s="783">
        <f>Gegenstände!AA515*10</f>
        <v>0</v>
      </c>
      <c r="Q515" s="783">
        <f>Gegenstände!O515</f>
        <v>0</v>
      </c>
      <c r="R515" s="168">
        <f>Gegenstände!S515</f>
        <v>0</v>
      </c>
      <c r="S515" s="168">
        <f>Gegenstände!T515</f>
        <v>0</v>
      </c>
      <c r="T515" s="783">
        <f>Gegenstände!AC515</f>
        <v>0</v>
      </c>
      <c r="U515" s="783">
        <f>Gegenstände!AE515</f>
        <v>0</v>
      </c>
      <c r="V515" s="783">
        <f>Gegenstände!AD515</f>
        <v>0</v>
      </c>
      <c r="W515" s="783">
        <f>Gegenstände!AF515</f>
        <v>0</v>
      </c>
      <c r="AB515" s="3">
        <f>Gegenstände!M515</f>
        <v>3</v>
      </c>
      <c r="AC515" s="3">
        <f>Gegenstände!AB515</f>
        <v>0</v>
      </c>
      <c r="AD515" s="3">
        <f>Gegenstände!F515</f>
        <v>0</v>
      </c>
    </row>
    <row r="516" spans="1:30" x14ac:dyDescent="0.2">
      <c r="A516" s="3">
        <f>Gegenstände!A516</f>
        <v>1424</v>
      </c>
      <c r="B516" s="3" t="str">
        <f>Gegenstände!B516</f>
        <v>Sorandil-Kettenbeinlinge</v>
      </c>
      <c r="D516" s="3">
        <f>Gegenstände!K516</f>
        <v>3200</v>
      </c>
      <c r="E516" s="3">
        <f>Gegenstände!I516</f>
        <v>14</v>
      </c>
      <c r="F516" s="3">
        <f>VLOOKUP(Gegenstände!E516,Berechnungen!$E$87:$F$115,2,FALSE)</f>
        <v>23</v>
      </c>
      <c r="G516" s="3">
        <f>Gegenstände!H516</f>
        <v>1</v>
      </c>
      <c r="H516" s="3">
        <f>Gegenstände!G516</f>
        <v>9</v>
      </c>
      <c r="I516" s="3">
        <f>Gegenstände!D516</f>
        <v>12</v>
      </c>
      <c r="J516" s="168">
        <f>ROUND(Gegenstände!N516,0)</f>
        <v>4700</v>
      </c>
      <c r="K516" s="3">
        <f>Gegenstände!J516</f>
        <v>100</v>
      </c>
      <c r="L516" s="3">
        <f>Gegenstände!L516</f>
        <v>0</v>
      </c>
      <c r="M516" s="3">
        <f>Gegenstände!Z516</f>
        <v>16</v>
      </c>
      <c r="N516" s="783">
        <f>(Gegenstände!Y516*10)</f>
        <v>40</v>
      </c>
      <c r="O516" s="783">
        <f>(Gegenstände!W516*10)</f>
        <v>22</v>
      </c>
      <c r="P516" s="783">
        <f>Gegenstände!AA516*10</f>
        <v>0</v>
      </c>
      <c r="Q516" s="783">
        <f>Gegenstände!O516</f>
        <v>0</v>
      </c>
      <c r="R516" s="168">
        <f>Gegenstände!S516</f>
        <v>0</v>
      </c>
      <c r="S516" s="168">
        <f>Gegenstände!T516</f>
        <v>0</v>
      </c>
      <c r="T516" s="783">
        <f>Gegenstände!AC516</f>
        <v>0</v>
      </c>
      <c r="U516" s="783">
        <f>Gegenstände!AE516</f>
        <v>0</v>
      </c>
      <c r="V516" s="783">
        <f>Gegenstände!AD516</f>
        <v>0</v>
      </c>
      <c r="W516" s="783">
        <f>Gegenstände!AF516</f>
        <v>0</v>
      </c>
      <c r="AB516" s="3">
        <f>Gegenstände!M516</f>
        <v>3</v>
      </c>
      <c r="AC516" s="3">
        <f>Gegenstände!AB516</f>
        <v>0</v>
      </c>
      <c r="AD516" s="3">
        <f>Gegenstände!F516</f>
        <v>0</v>
      </c>
    </row>
    <row r="517" spans="1:30" x14ac:dyDescent="0.2">
      <c r="A517" s="3">
        <f>Gegenstände!A517</f>
        <v>1425</v>
      </c>
      <c r="B517" s="3" t="str">
        <f>Gegenstände!B517</f>
        <v>Sorandil-Kettenstiefel</v>
      </c>
      <c r="D517" s="3">
        <f>Gegenstände!K517</f>
        <v>2400</v>
      </c>
      <c r="E517" s="3">
        <f>Gegenstände!I517</f>
        <v>15</v>
      </c>
      <c r="F517" s="3">
        <f>VLOOKUP(Gegenstände!E517,Berechnungen!$E$87:$F$115,2,FALSE)</f>
        <v>23</v>
      </c>
      <c r="G517" s="3">
        <f>Gegenstände!H517</f>
        <v>1</v>
      </c>
      <c r="H517" s="3">
        <f>Gegenstände!G517</f>
        <v>9</v>
      </c>
      <c r="I517" s="3">
        <f>Gegenstände!D517</f>
        <v>12</v>
      </c>
      <c r="J517" s="168">
        <f>ROUND(Gegenstände!N517,0)</f>
        <v>3500</v>
      </c>
      <c r="K517" s="3">
        <f>Gegenstände!J517</f>
        <v>100</v>
      </c>
      <c r="L517" s="3">
        <f>Gegenstände!L517</f>
        <v>0</v>
      </c>
      <c r="M517" s="3">
        <f>Gegenstände!Z517</f>
        <v>12</v>
      </c>
      <c r="N517" s="783">
        <f>(Gegenstände!Y517*10)</f>
        <v>30</v>
      </c>
      <c r="O517" s="783">
        <f>(Gegenstände!W517*10)</f>
        <v>17</v>
      </c>
      <c r="P517" s="783">
        <f>Gegenstände!AA517*10</f>
        <v>0</v>
      </c>
      <c r="Q517" s="783">
        <f>Gegenstände!O517</f>
        <v>0</v>
      </c>
      <c r="R517" s="168">
        <f>Gegenstände!S517</f>
        <v>0</v>
      </c>
      <c r="S517" s="168">
        <f>Gegenstände!T517</f>
        <v>0</v>
      </c>
      <c r="T517" s="783">
        <f>Gegenstände!AC517</f>
        <v>0</v>
      </c>
      <c r="U517" s="783">
        <f>Gegenstände!AE517</f>
        <v>0</v>
      </c>
      <c r="V517" s="783">
        <f>Gegenstände!AD517</f>
        <v>0</v>
      </c>
      <c r="W517" s="783">
        <f>Gegenstände!AF517</f>
        <v>0</v>
      </c>
      <c r="AB517" s="3">
        <f>Gegenstände!M517</f>
        <v>3</v>
      </c>
      <c r="AC517" s="3">
        <f>Gegenstände!AB517</f>
        <v>0</v>
      </c>
      <c r="AD517" s="3">
        <f>Gegenstände!F517</f>
        <v>0</v>
      </c>
    </row>
    <row r="518" spans="1:30" x14ac:dyDescent="0.2">
      <c r="A518" s="3">
        <f>Gegenstände!A518</f>
        <v>1426</v>
      </c>
      <c r="B518" s="3" t="str">
        <f>Gegenstände!B518</f>
        <v>Sorandil-Plattenhelm</v>
      </c>
      <c r="D518" s="3">
        <f>Gegenstände!K518</f>
        <v>3600</v>
      </c>
      <c r="E518" s="3">
        <f>Gegenstände!I518</f>
        <v>11</v>
      </c>
      <c r="F518" s="3">
        <f>VLOOKUP(Gegenstände!E518,Berechnungen!$E$87:$F$115,2,FALSE)</f>
        <v>23</v>
      </c>
      <c r="G518" s="3">
        <f>Gegenstände!H518</f>
        <v>1</v>
      </c>
      <c r="H518" s="3">
        <f>Gegenstände!G518</f>
        <v>9</v>
      </c>
      <c r="I518" s="3">
        <f>Gegenstände!D518</f>
        <v>14</v>
      </c>
      <c r="J518" s="168">
        <f>ROUND(Gegenstände!N518,0)</f>
        <v>6200</v>
      </c>
      <c r="K518" s="3">
        <f>Gegenstände!J518</f>
        <v>100</v>
      </c>
      <c r="L518" s="3">
        <f>Gegenstände!L518</f>
        <v>0</v>
      </c>
      <c r="M518" s="3">
        <f>Gegenstände!Z518</f>
        <v>16</v>
      </c>
      <c r="N518" s="783">
        <f>(Gegenstände!Y518*10)</f>
        <v>40</v>
      </c>
      <c r="O518" s="783">
        <f>(Gegenstände!W518*10)</f>
        <v>28</v>
      </c>
      <c r="P518" s="783">
        <f>Gegenstände!AA518*10</f>
        <v>0</v>
      </c>
      <c r="Q518" s="783">
        <f>Gegenstände!O518</f>
        <v>0</v>
      </c>
      <c r="R518" s="168">
        <f>Gegenstände!S518</f>
        <v>0</v>
      </c>
      <c r="S518" s="168">
        <f>Gegenstände!T518</f>
        <v>0</v>
      </c>
      <c r="T518" s="783">
        <f>Gegenstände!AC518</f>
        <v>0</v>
      </c>
      <c r="U518" s="783">
        <f>Gegenstände!AE518</f>
        <v>0</v>
      </c>
      <c r="V518" s="783">
        <f>Gegenstände!AD518</f>
        <v>0</v>
      </c>
      <c r="W518" s="783">
        <f>Gegenstände!AF518</f>
        <v>0</v>
      </c>
      <c r="AB518" s="3">
        <f>Gegenstände!M518</f>
        <v>3</v>
      </c>
      <c r="AC518" s="3">
        <f>Gegenstände!AB518</f>
        <v>0</v>
      </c>
      <c r="AD518" s="3">
        <f>Gegenstände!F518</f>
        <v>0</v>
      </c>
    </row>
    <row r="519" spans="1:30" x14ac:dyDescent="0.2">
      <c r="A519" s="3">
        <f>Gegenstände!A519</f>
        <v>1427</v>
      </c>
      <c r="B519" s="3" t="str">
        <f>Gegenstände!B519</f>
        <v>Sorandil-Plattenpanzer</v>
      </c>
      <c r="D519" s="3">
        <f>Gegenstände!K519</f>
        <v>5400</v>
      </c>
      <c r="E519" s="3">
        <f>Gegenstände!I519</f>
        <v>12</v>
      </c>
      <c r="F519" s="3">
        <f>VLOOKUP(Gegenstände!E519,Berechnungen!$E$87:$F$115,2,FALSE)</f>
        <v>23</v>
      </c>
      <c r="G519" s="3">
        <f>Gegenstände!H519</f>
        <v>1</v>
      </c>
      <c r="H519" s="3">
        <f>Gegenstände!G519</f>
        <v>9</v>
      </c>
      <c r="I519" s="3">
        <f>Gegenstände!D519</f>
        <v>14</v>
      </c>
      <c r="J519" s="168">
        <f>ROUND(Gegenstände!N519,0)</f>
        <v>9200</v>
      </c>
      <c r="K519" s="3">
        <f>Gegenstände!J519</f>
        <v>100</v>
      </c>
      <c r="L519" s="3">
        <f>Gegenstände!L519</f>
        <v>0</v>
      </c>
      <c r="M519" s="3">
        <f>Gegenstände!Z519</f>
        <v>24</v>
      </c>
      <c r="N519" s="783">
        <f>(Gegenstände!Y519*10)</f>
        <v>60</v>
      </c>
      <c r="O519" s="783">
        <f>(Gegenstände!W519*10)</f>
        <v>42</v>
      </c>
      <c r="P519" s="783">
        <f>Gegenstände!AA519*10</f>
        <v>0</v>
      </c>
      <c r="Q519" s="783">
        <f>Gegenstände!O519</f>
        <v>0</v>
      </c>
      <c r="R519" s="168">
        <f>Gegenstände!S519</f>
        <v>0</v>
      </c>
      <c r="S519" s="168">
        <f>Gegenstände!T519</f>
        <v>0</v>
      </c>
      <c r="T519" s="783">
        <f>Gegenstände!AC519</f>
        <v>0</v>
      </c>
      <c r="U519" s="783">
        <f>Gegenstände!AE519</f>
        <v>0</v>
      </c>
      <c r="V519" s="783">
        <f>Gegenstände!AD519</f>
        <v>0</v>
      </c>
      <c r="W519" s="783">
        <f>Gegenstände!AF519</f>
        <v>0</v>
      </c>
      <c r="AB519" s="3">
        <f>Gegenstände!M519</f>
        <v>3</v>
      </c>
      <c r="AC519" s="3">
        <f>Gegenstände!AB519</f>
        <v>0</v>
      </c>
      <c r="AD519" s="3">
        <f>Gegenstände!F519</f>
        <v>0</v>
      </c>
    </row>
    <row r="520" spans="1:30" x14ac:dyDescent="0.2">
      <c r="A520" s="3">
        <f>Gegenstände!A520</f>
        <v>1428</v>
      </c>
      <c r="B520" s="3" t="str">
        <f>Gegenstände!B520</f>
        <v>Sorandil-Plattenhandschuhe</v>
      </c>
      <c r="D520" s="3">
        <f>Gegenstände!K520</f>
        <v>2700</v>
      </c>
      <c r="E520" s="3">
        <f>Gegenstände!I520</f>
        <v>13</v>
      </c>
      <c r="F520" s="3">
        <f>VLOOKUP(Gegenstände!E520,Berechnungen!$E$87:$F$115,2,FALSE)</f>
        <v>23</v>
      </c>
      <c r="G520" s="3">
        <f>Gegenstände!H520</f>
        <v>1</v>
      </c>
      <c r="H520" s="3">
        <f>Gegenstände!G520</f>
        <v>9</v>
      </c>
      <c r="I520" s="3">
        <f>Gegenstände!D520</f>
        <v>15</v>
      </c>
      <c r="J520" s="168">
        <f>ROUND(Gegenstände!N520,0)</f>
        <v>5300</v>
      </c>
      <c r="K520" s="3">
        <f>Gegenstände!J520</f>
        <v>100</v>
      </c>
      <c r="L520" s="3">
        <f>Gegenstände!L520</f>
        <v>0</v>
      </c>
      <c r="M520" s="3">
        <f>Gegenstände!Z520</f>
        <v>12</v>
      </c>
      <c r="N520" s="783">
        <f>(Gegenstände!Y520*10)</f>
        <v>30</v>
      </c>
      <c r="O520" s="783">
        <f>(Gegenstände!W520*10)</f>
        <v>21</v>
      </c>
      <c r="P520" s="783">
        <f>Gegenstände!AA520*10</f>
        <v>0</v>
      </c>
      <c r="Q520" s="783">
        <f>Gegenstände!O520</f>
        <v>0</v>
      </c>
      <c r="R520" s="168">
        <f>Gegenstände!S520</f>
        <v>0</v>
      </c>
      <c r="S520" s="168">
        <f>Gegenstände!T520</f>
        <v>0</v>
      </c>
      <c r="T520" s="783">
        <f>Gegenstände!AC520</f>
        <v>0</v>
      </c>
      <c r="U520" s="783">
        <f>Gegenstände!AE520</f>
        <v>0</v>
      </c>
      <c r="V520" s="783">
        <f>Gegenstände!AD520</f>
        <v>0</v>
      </c>
      <c r="W520" s="783">
        <f>Gegenstände!AF520</f>
        <v>0</v>
      </c>
      <c r="AB520" s="3">
        <f>Gegenstände!M520</f>
        <v>3</v>
      </c>
      <c r="AC520" s="3">
        <f>Gegenstände!AB520</f>
        <v>0</v>
      </c>
      <c r="AD520" s="3">
        <f>Gegenstände!F520</f>
        <v>0</v>
      </c>
    </row>
    <row r="521" spans="1:30" x14ac:dyDescent="0.2">
      <c r="A521" s="3">
        <f>Gegenstände!A521</f>
        <v>1429</v>
      </c>
      <c r="B521" s="3" t="str">
        <f>Gegenstände!B521</f>
        <v>Sorandil-Plattenbeinlinge</v>
      </c>
      <c r="D521" s="3">
        <f>Gegenstände!K521</f>
        <v>3600</v>
      </c>
      <c r="E521" s="3">
        <f>Gegenstände!I521</f>
        <v>14</v>
      </c>
      <c r="F521" s="3">
        <f>VLOOKUP(Gegenstände!E521,Berechnungen!$E$87:$F$115,2,FALSE)</f>
        <v>23</v>
      </c>
      <c r="G521" s="3">
        <f>Gegenstände!H521</f>
        <v>1</v>
      </c>
      <c r="H521" s="3">
        <f>Gegenstände!G521</f>
        <v>9</v>
      </c>
      <c r="I521" s="3">
        <f>Gegenstände!D521</f>
        <v>15</v>
      </c>
      <c r="J521" s="168">
        <f>ROUND(Gegenstände!N521,0)</f>
        <v>7100</v>
      </c>
      <c r="K521" s="3">
        <f>Gegenstände!J521</f>
        <v>100</v>
      </c>
      <c r="L521" s="3">
        <f>Gegenstände!L521</f>
        <v>0</v>
      </c>
      <c r="M521" s="3">
        <f>Gegenstände!Z521</f>
        <v>16</v>
      </c>
      <c r="N521" s="783">
        <f>(Gegenstände!Y521*10)</f>
        <v>40</v>
      </c>
      <c r="O521" s="783">
        <f>(Gegenstände!W521*10)</f>
        <v>28</v>
      </c>
      <c r="P521" s="783">
        <f>Gegenstände!AA521*10</f>
        <v>0</v>
      </c>
      <c r="Q521" s="783">
        <f>Gegenstände!O521</f>
        <v>0</v>
      </c>
      <c r="R521" s="168">
        <f>Gegenstände!S521</f>
        <v>0</v>
      </c>
      <c r="S521" s="168">
        <f>Gegenstände!T521</f>
        <v>0</v>
      </c>
      <c r="T521" s="783">
        <f>Gegenstände!AC521</f>
        <v>0</v>
      </c>
      <c r="U521" s="783">
        <f>Gegenstände!AE521</f>
        <v>0</v>
      </c>
      <c r="V521" s="783">
        <f>Gegenstände!AD521</f>
        <v>0</v>
      </c>
      <c r="W521" s="783">
        <f>Gegenstände!AF521</f>
        <v>0</v>
      </c>
      <c r="AB521" s="3">
        <f>Gegenstände!M521</f>
        <v>3</v>
      </c>
      <c r="AC521" s="3">
        <f>Gegenstände!AB521</f>
        <v>0</v>
      </c>
      <c r="AD521" s="3">
        <f>Gegenstände!F521</f>
        <v>0</v>
      </c>
    </row>
    <row r="522" spans="1:30" x14ac:dyDescent="0.2">
      <c r="A522" s="3">
        <f>Gegenstände!A522</f>
        <v>1430</v>
      </c>
      <c r="B522" s="3" t="str">
        <f>Gegenstände!B522</f>
        <v>Sorandil-Plattenstiefel</v>
      </c>
      <c r="D522" s="3">
        <f>Gegenstände!K522</f>
        <v>2700</v>
      </c>
      <c r="E522" s="3">
        <f>Gegenstände!I522</f>
        <v>15</v>
      </c>
      <c r="F522" s="3">
        <f>VLOOKUP(Gegenstände!E522,Berechnungen!$E$87:$F$115,2,FALSE)</f>
        <v>23</v>
      </c>
      <c r="G522" s="3">
        <f>Gegenstände!H522</f>
        <v>1</v>
      </c>
      <c r="H522" s="3">
        <f>Gegenstände!G522</f>
        <v>9</v>
      </c>
      <c r="I522" s="3">
        <f>Gegenstände!D522</f>
        <v>15</v>
      </c>
      <c r="J522" s="168">
        <f>ROUND(Gegenstände!N522,0)</f>
        <v>5300</v>
      </c>
      <c r="K522" s="3">
        <f>Gegenstände!J522</f>
        <v>100</v>
      </c>
      <c r="L522" s="3">
        <f>Gegenstände!L522</f>
        <v>0</v>
      </c>
      <c r="M522" s="3">
        <f>Gegenstände!Z522</f>
        <v>12</v>
      </c>
      <c r="N522" s="783">
        <f>(Gegenstände!Y522*10)</f>
        <v>30</v>
      </c>
      <c r="O522" s="783">
        <f>(Gegenstände!W522*10)</f>
        <v>21</v>
      </c>
      <c r="P522" s="783">
        <f>Gegenstände!AA522*10</f>
        <v>0</v>
      </c>
      <c r="Q522" s="783">
        <f>Gegenstände!O522</f>
        <v>0</v>
      </c>
      <c r="R522" s="168">
        <f>Gegenstände!S522</f>
        <v>0</v>
      </c>
      <c r="S522" s="168">
        <f>Gegenstände!T522</f>
        <v>0</v>
      </c>
      <c r="T522" s="783">
        <f>Gegenstände!AC522</f>
        <v>0</v>
      </c>
      <c r="U522" s="783">
        <f>Gegenstände!AE522</f>
        <v>0</v>
      </c>
      <c r="V522" s="783">
        <f>Gegenstände!AD522</f>
        <v>0</v>
      </c>
      <c r="W522" s="783">
        <f>Gegenstände!AF522</f>
        <v>0</v>
      </c>
      <c r="AB522" s="3">
        <f>Gegenstände!M522</f>
        <v>3</v>
      </c>
      <c r="AC522" s="3">
        <f>Gegenstände!AB522</f>
        <v>0</v>
      </c>
      <c r="AD522" s="3">
        <f>Gegenstände!F522</f>
        <v>0</v>
      </c>
    </row>
    <row r="523" spans="1:30" x14ac:dyDescent="0.2">
      <c r="A523" s="3">
        <f>Gegenstände!A523</f>
        <v>1431</v>
      </c>
      <c r="B523" s="3" t="str">
        <f>Gegenstände!B523</f>
        <v>Adamant-Kettenhaube</v>
      </c>
      <c r="D523" s="3">
        <f>Gegenstände!K523</f>
        <v>3200</v>
      </c>
      <c r="E523" s="3">
        <f>Gegenstände!I523</f>
        <v>11</v>
      </c>
      <c r="F523" s="3">
        <f>VLOOKUP(Gegenstände!E523,Berechnungen!$E$87:$F$115,2,FALSE)</f>
        <v>23</v>
      </c>
      <c r="G523" s="3">
        <f>Gegenstände!H523</f>
        <v>1</v>
      </c>
      <c r="H523" s="3">
        <f>Gegenstände!G523</f>
        <v>9</v>
      </c>
      <c r="I523" s="3">
        <f>Gegenstände!D523</f>
        <v>16</v>
      </c>
      <c r="J523" s="168">
        <f>ROUND(Gegenstände!N523,0)</f>
        <v>8100</v>
      </c>
      <c r="K523" s="3">
        <f>Gegenstände!J523</f>
        <v>100</v>
      </c>
      <c r="L523" s="3">
        <f>Gegenstände!L523</f>
        <v>0</v>
      </c>
      <c r="M523" s="3">
        <f>Gegenstände!Z523</f>
        <v>16</v>
      </c>
      <c r="N523" s="783">
        <f>(Gegenstände!Y523*10)</f>
        <v>40</v>
      </c>
      <c r="O523" s="783">
        <f>(Gegenstände!W523*10)</f>
        <v>32</v>
      </c>
      <c r="P523" s="783">
        <f>Gegenstände!AA523*10</f>
        <v>0</v>
      </c>
      <c r="Q523" s="783">
        <f>Gegenstände!O523</f>
        <v>0</v>
      </c>
      <c r="R523" s="168">
        <f>Gegenstände!S523</f>
        <v>0</v>
      </c>
      <c r="S523" s="168">
        <f>Gegenstände!T523</f>
        <v>0</v>
      </c>
      <c r="T523" s="783">
        <f>Gegenstände!AC523</f>
        <v>0</v>
      </c>
      <c r="U523" s="783">
        <f>Gegenstände!AE523</f>
        <v>0</v>
      </c>
      <c r="V523" s="783">
        <f>Gegenstände!AD523</f>
        <v>0</v>
      </c>
      <c r="W523" s="783">
        <f>Gegenstände!AF523</f>
        <v>0</v>
      </c>
      <c r="AB523" s="3">
        <f>Gegenstände!M523</f>
        <v>4</v>
      </c>
      <c r="AC523" s="3">
        <f>Gegenstände!AB523</f>
        <v>0</v>
      </c>
      <c r="AD523" s="3">
        <f>Gegenstände!F523</f>
        <v>0</v>
      </c>
    </row>
    <row r="524" spans="1:30" x14ac:dyDescent="0.2">
      <c r="A524" s="3">
        <f>Gegenstände!A524</f>
        <v>1432</v>
      </c>
      <c r="B524" s="3" t="str">
        <f>Gegenstände!B524</f>
        <v>Adamant-Kettenhemd</v>
      </c>
      <c r="D524" s="3">
        <f>Gegenstände!K524</f>
        <v>4800</v>
      </c>
      <c r="E524" s="3">
        <f>Gegenstände!I524</f>
        <v>12</v>
      </c>
      <c r="F524" s="3">
        <f>VLOOKUP(Gegenstände!E524,Berechnungen!$E$87:$F$115,2,FALSE)</f>
        <v>23</v>
      </c>
      <c r="G524" s="3">
        <f>Gegenstände!H524</f>
        <v>1</v>
      </c>
      <c r="H524" s="3">
        <f>Gegenstände!G524</f>
        <v>9</v>
      </c>
      <c r="I524" s="3">
        <f>Gegenstände!D524</f>
        <v>16</v>
      </c>
      <c r="J524" s="168">
        <f>ROUND(Gegenstände!N524,0)</f>
        <v>12200</v>
      </c>
      <c r="K524" s="3">
        <f>Gegenstände!J524</f>
        <v>100</v>
      </c>
      <c r="L524" s="3">
        <f>Gegenstände!L524</f>
        <v>0</v>
      </c>
      <c r="M524" s="3">
        <f>Gegenstände!Z524</f>
        <v>24</v>
      </c>
      <c r="N524" s="783">
        <f>(Gegenstände!Y524*10)</f>
        <v>60</v>
      </c>
      <c r="O524" s="783">
        <f>(Gegenstände!W524*10)</f>
        <v>48</v>
      </c>
      <c r="P524" s="783">
        <f>Gegenstände!AA524*10</f>
        <v>0</v>
      </c>
      <c r="Q524" s="783">
        <f>Gegenstände!O524</f>
        <v>0</v>
      </c>
      <c r="R524" s="168">
        <f>Gegenstände!S524</f>
        <v>0</v>
      </c>
      <c r="S524" s="168">
        <f>Gegenstände!T524</f>
        <v>0</v>
      </c>
      <c r="T524" s="783">
        <f>Gegenstände!AC524</f>
        <v>0</v>
      </c>
      <c r="U524" s="783">
        <f>Gegenstände!AE524</f>
        <v>0</v>
      </c>
      <c r="V524" s="783">
        <f>Gegenstände!AD524</f>
        <v>0</v>
      </c>
      <c r="W524" s="783">
        <f>Gegenstände!AF524</f>
        <v>0</v>
      </c>
      <c r="AB524" s="3">
        <f>Gegenstände!M524</f>
        <v>4</v>
      </c>
      <c r="AC524" s="3">
        <f>Gegenstände!AB524</f>
        <v>0</v>
      </c>
      <c r="AD524" s="3">
        <f>Gegenstände!F524</f>
        <v>0</v>
      </c>
    </row>
    <row r="525" spans="1:30" x14ac:dyDescent="0.2">
      <c r="A525" s="3">
        <f>Gegenstände!A525</f>
        <v>1433</v>
      </c>
      <c r="B525" s="3" t="str">
        <f>Gegenstände!B525</f>
        <v>Adamant-Kettenhandschuhe</v>
      </c>
      <c r="D525" s="3">
        <f>Gegenstände!K525</f>
        <v>2400</v>
      </c>
      <c r="E525" s="3">
        <f>Gegenstände!I525</f>
        <v>13</v>
      </c>
      <c r="F525" s="3">
        <f>VLOOKUP(Gegenstände!E525,Berechnungen!$E$87:$F$115,2,FALSE)</f>
        <v>23</v>
      </c>
      <c r="G525" s="3">
        <f>Gegenstände!H525</f>
        <v>1</v>
      </c>
      <c r="H525" s="3">
        <f>Gegenstände!G525</f>
        <v>9</v>
      </c>
      <c r="I525" s="3">
        <f>Gegenstände!D525</f>
        <v>17</v>
      </c>
      <c r="J525" s="168">
        <f>ROUND(Gegenstände!N525,0)</f>
        <v>7000</v>
      </c>
      <c r="K525" s="3">
        <f>Gegenstände!J525</f>
        <v>100</v>
      </c>
      <c r="L525" s="3">
        <f>Gegenstände!L525</f>
        <v>0</v>
      </c>
      <c r="M525" s="3">
        <f>Gegenstände!Z525</f>
        <v>12</v>
      </c>
      <c r="N525" s="783">
        <f>(Gegenstände!Y525*10)</f>
        <v>30</v>
      </c>
      <c r="O525" s="783">
        <f>(Gegenstände!W525*10)</f>
        <v>24</v>
      </c>
      <c r="P525" s="783">
        <f>Gegenstände!AA525*10</f>
        <v>0</v>
      </c>
      <c r="Q525" s="783">
        <f>Gegenstände!O525</f>
        <v>0</v>
      </c>
      <c r="R525" s="168">
        <f>Gegenstände!S525</f>
        <v>0</v>
      </c>
      <c r="S525" s="168">
        <f>Gegenstände!T525</f>
        <v>0</v>
      </c>
      <c r="T525" s="783">
        <f>Gegenstände!AC525</f>
        <v>0</v>
      </c>
      <c r="U525" s="783">
        <f>Gegenstände!AE525</f>
        <v>0</v>
      </c>
      <c r="V525" s="783">
        <f>Gegenstände!AD525</f>
        <v>0</v>
      </c>
      <c r="W525" s="783">
        <f>Gegenstände!AF525</f>
        <v>0</v>
      </c>
      <c r="AB525" s="3">
        <f>Gegenstände!M525</f>
        <v>4</v>
      </c>
      <c r="AC525" s="3">
        <f>Gegenstände!AB525</f>
        <v>0</v>
      </c>
      <c r="AD525" s="3">
        <f>Gegenstände!F525</f>
        <v>0</v>
      </c>
    </row>
    <row r="526" spans="1:30" x14ac:dyDescent="0.2">
      <c r="A526" s="3">
        <f>Gegenstände!A526</f>
        <v>1434</v>
      </c>
      <c r="B526" s="3" t="str">
        <f>Gegenstände!B526</f>
        <v>Adamant-Kettenbeinlinge</v>
      </c>
      <c r="D526" s="3">
        <f>Gegenstände!K526</f>
        <v>3200</v>
      </c>
      <c r="E526" s="3">
        <f>Gegenstände!I526</f>
        <v>14</v>
      </c>
      <c r="F526" s="3">
        <f>VLOOKUP(Gegenstände!E526,Berechnungen!$E$87:$F$115,2,FALSE)</f>
        <v>23</v>
      </c>
      <c r="G526" s="3">
        <f>Gegenstände!H526</f>
        <v>1</v>
      </c>
      <c r="H526" s="3">
        <f>Gegenstände!G526</f>
        <v>9</v>
      </c>
      <c r="I526" s="3">
        <f>Gegenstände!D526</f>
        <v>17</v>
      </c>
      <c r="J526" s="168">
        <f>ROUND(Gegenstände!N526,0)</f>
        <v>9400</v>
      </c>
      <c r="K526" s="3">
        <f>Gegenstände!J526</f>
        <v>100</v>
      </c>
      <c r="L526" s="3">
        <f>Gegenstände!L526</f>
        <v>0</v>
      </c>
      <c r="M526" s="3">
        <f>Gegenstände!Z526</f>
        <v>16</v>
      </c>
      <c r="N526" s="783">
        <f>(Gegenstände!Y526*10)</f>
        <v>40</v>
      </c>
      <c r="O526" s="783">
        <f>(Gegenstände!W526*10)</f>
        <v>32</v>
      </c>
      <c r="P526" s="783">
        <f>Gegenstände!AA526*10</f>
        <v>0</v>
      </c>
      <c r="Q526" s="783">
        <f>Gegenstände!O526</f>
        <v>0</v>
      </c>
      <c r="R526" s="168">
        <f>Gegenstände!S526</f>
        <v>0</v>
      </c>
      <c r="S526" s="168">
        <f>Gegenstände!T526</f>
        <v>0</v>
      </c>
      <c r="T526" s="783">
        <f>Gegenstände!AC526</f>
        <v>0</v>
      </c>
      <c r="U526" s="783">
        <f>Gegenstände!AE526</f>
        <v>0</v>
      </c>
      <c r="V526" s="783">
        <f>Gegenstände!AD526</f>
        <v>0</v>
      </c>
      <c r="W526" s="783">
        <f>Gegenstände!AF526</f>
        <v>0</v>
      </c>
      <c r="AB526" s="3">
        <f>Gegenstände!M526</f>
        <v>4</v>
      </c>
      <c r="AC526" s="3">
        <f>Gegenstände!AB526</f>
        <v>0</v>
      </c>
      <c r="AD526" s="3">
        <f>Gegenstände!F526</f>
        <v>0</v>
      </c>
    </row>
    <row r="527" spans="1:30" x14ac:dyDescent="0.2">
      <c r="A527" s="3">
        <f>Gegenstände!A527</f>
        <v>1435</v>
      </c>
      <c r="B527" s="3" t="str">
        <f>Gegenstände!B527</f>
        <v>Adamant-Kettenstiefel</v>
      </c>
      <c r="D527" s="3">
        <f>Gegenstände!K527</f>
        <v>2400</v>
      </c>
      <c r="E527" s="3">
        <f>Gegenstände!I527</f>
        <v>15</v>
      </c>
      <c r="F527" s="3">
        <f>VLOOKUP(Gegenstände!E527,Berechnungen!$E$87:$F$115,2,FALSE)</f>
        <v>23</v>
      </c>
      <c r="G527" s="3">
        <f>Gegenstände!H527</f>
        <v>1</v>
      </c>
      <c r="H527" s="3">
        <f>Gegenstände!G527</f>
        <v>9</v>
      </c>
      <c r="I527" s="3">
        <f>Gegenstände!D527</f>
        <v>17</v>
      </c>
      <c r="J527" s="168">
        <f>ROUND(Gegenstände!N527,0)</f>
        <v>7000</v>
      </c>
      <c r="K527" s="3">
        <f>Gegenstände!J527</f>
        <v>100</v>
      </c>
      <c r="L527" s="3">
        <f>Gegenstände!L527</f>
        <v>0</v>
      </c>
      <c r="M527" s="3">
        <f>Gegenstände!Z527</f>
        <v>12</v>
      </c>
      <c r="N527" s="783">
        <f>(Gegenstände!Y527*10)</f>
        <v>30</v>
      </c>
      <c r="O527" s="783">
        <f>(Gegenstände!W527*10)</f>
        <v>24</v>
      </c>
      <c r="P527" s="783">
        <f>Gegenstände!AA527*10</f>
        <v>0</v>
      </c>
      <c r="Q527" s="783">
        <f>Gegenstände!O527</f>
        <v>0</v>
      </c>
      <c r="R527" s="168">
        <f>Gegenstände!S527</f>
        <v>0</v>
      </c>
      <c r="S527" s="168">
        <f>Gegenstände!T527</f>
        <v>0</v>
      </c>
      <c r="T527" s="783">
        <f>Gegenstände!AC527</f>
        <v>0</v>
      </c>
      <c r="U527" s="783">
        <f>Gegenstände!AE527</f>
        <v>0</v>
      </c>
      <c r="V527" s="783">
        <f>Gegenstände!AD527</f>
        <v>0</v>
      </c>
      <c r="W527" s="783">
        <f>Gegenstände!AF527</f>
        <v>0</v>
      </c>
      <c r="AB527" s="3">
        <f>Gegenstände!M527</f>
        <v>4</v>
      </c>
      <c r="AC527" s="3">
        <f>Gegenstände!AB527</f>
        <v>0</v>
      </c>
      <c r="AD527" s="3">
        <f>Gegenstände!F527</f>
        <v>0</v>
      </c>
    </row>
    <row r="528" spans="1:30" x14ac:dyDescent="0.2">
      <c r="A528" s="3">
        <f>Gegenstände!A528</f>
        <v>1436</v>
      </c>
      <c r="B528" s="3" t="str">
        <f>Gegenstände!B528</f>
        <v>Adamant-Plattenhelm</v>
      </c>
      <c r="D528" s="3">
        <f>Gegenstände!K528</f>
        <v>3600</v>
      </c>
      <c r="E528" s="3">
        <f>Gegenstände!I528</f>
        <v>11</v>
      </c>
      <c r="F528" s="3">
        <f>VLOOKUP(Gegenstände!E528,Berechnungen!$E$87:$F$115,2,FALSE)</f>
        <v>23</v>
      </c>
      <c r="G528" s="3">
        <f>Gegenstände!H528</f>
        <v>1</v>
      </c>
      <c r="H528" s="3">
        <f>Gegenstände!G528</f>
        <v>9</v>
      </c>
      <c r="I528" s="3">
        <f>Gegenstände!D528</f>
        <v>19</v>
      </c>
      <c r="J528" s="168">
        <f>ROUND(Gegenstände!N528,0)</f>
        <v>12400</v>
      </c>
      <c r="K528" s="3">
        <f>Gegenstände!J528</f>
        <v>100</v>
      </c>
      <c r="L528" s="3">
        <f>Gegenstände!L528</f>
        <v>0</v>
      </c>
      <c r="M528" s="3">
        <f>Gegenstände!Z528</f>
        <v>16</v>
      </c>
      <c r="N528" s="783">
        <f>(Gegenstände!Y528*10)</f>
        <v>40</v>
      </c>
      <c r="O528" s="783">
        <f>(Gegenstände!W528*10)</f>
        <v>36</v>
      </c>
      <c r="P528" s="783">
        <f>Gegenstände!AA528*10</f>
        <v>0</v>
      </c>
      <c r="Q528" s="783">
        <f>Gegenstände!O528</f>
        <v>0</v>
      </c>
      <c r="R528" s="168">
        <f>Gegenstände!S528</f>
        <v>0</v>
      </c>
      <c r="S528" s="168">
        <f>Gegenstände!T528</f>
        <v>0</v>
      </c>
      <c r="T528" s="783">
        <f>Gegenstände!AC528</f>
        <v>0</v>
      </c>
      <c r="U528" s="783">
        <f>Gegenstände!AE528</f>
        <v>0</v>
      </c>
      <c r="V528" s="783">
        <f>Gegenstände!AD528</f>
        <v>0</v>
      </c>
      <c r="W528" s="783">
        <f>Gegenstände!AF528</f>
        <v>0</v>
      </c>
      <c r="AB528" s="3">
        <f>Gegenstände!M528</f>
        <v>4</v>
      </c>
      <c r="AC528" s="3">
        <f>Gegenstände!AB528</f>
        <v>0</v>
      </c>
      <c r="AD528" s="3">
        <f>Gegenstände!F528</f>
        <v>0</v>
      </c>
    </row>
    <row r="529" spans="1:30" x14ac:dyDescent="0.2">
      <c r="A529" s="3">
        <f>Gegenstände!A529</f>
        <v>1437</v>
      </c>
      <c r="B529" s="3" t="str">
        <f>Gegenstände!B529</f>
        <v>Adamant-Plattenpanzer</v>
      </c>
      <c r="D529" s="3">
        <f>Gegenstände!K529</f>
        <v>5400</v>
      </c>
      <c r="E529" s="3">
        <f>Gegenstände!I529</f>
        <v>12</v>
      </c>
      <c r="F529" s="3">
        <f>VLOOKUP(Gegenstände!E529,Berechnungen!$E$87:$F$115,2,FALSE)</f>
        <v>23</v>
      </c>
      <c r="G529" s="3">
        <f>Gegenstände!H529</f>
        <v>1</v>
      </c>
      <c r="H529" s="3">
        <f>Gegenstände!G529</f>
        <v>9</v>
      </c>
      <c r="I529" s="3">
        <f>Gegenstände!D529</f>
        <v>19</v>
      </c>
      <c r="J529" s="168">
        <f>ROUND(Gegenstände!N529,0)</f>
        <v>18600</v>
      </c>
      <c r="K529" s="3">
        <f>Gegenstände!J529</f>
        <v>100</v>
      </c>
      <c r="L529" s="3">
        <f>Gegenstände!L529</f>
        <v>0</v>
      </c>
      <c r="M529" s="3">
        <f>Gegenstände!Z529</f>
        <v>24</v>
      </c>
      <c r="N529" s="783">
        <f>(Gegenstände!Y529*10)</f>
        <v>60</v>
      </c>
      <c r="O529" s="783">
        <f>(Gegenstände!W529*10)</f>
        <v>54</v>
      </c>
      <c r="P529" s="783">
        <f>Gegenstände!AA529*10</f>
        <v>0</v>
      </c>
      <c r="Q529" s="783">
        <f>Gegenstände!O529</f>
        <v>0</v>
      </c>
      <c r="R529" s="168">
        <f>Gegenstände!S529</f>
        <v>0</v>
      </c>
      <c r="S529" s="168">
        <f>Gegenstände!T529</f>
        <v>0</v>
      </c>
      <c r="T529" s="783">
        <f>Gegenstände!AC529</f>
        <v>0</v>
      </c>
      <c r="U529" s="783">
        <f>Gegenstände!AE529</f>
        <v>0</v>
      </c>
      <c r="V529" s="783">
        <f>Gegenstände!AD529</f>
        <v>0</v>
      </c>
      <c r="W529" s="783">
        <f>Gegenstände!AF529</f>
        <v>0</v>
      </c>
      <c r="AB529" s="3">
        <f>Gegenstände!M529</f>
        <v>4</v>
      </c>
      <c r="AC529" s="3">
        <f>Gegenstände!AB529</f>
        <v>0</v>
      </c>
      <c r="AD529" s="3">
        <f>Gegenstände!F529</f>
        <v>0</v>
      </c>
    </row>
    <row r="530" spans="1:30" x14ac:dyDescent="0.2">
      <c r="A530" s="3">
        <f>Gegenstände!A530</f>
        <v>1438</v>
      </c>
      <c r="B530" s="3" t="str">
        <f>Gegenstände!B530</f>
        <v>Adamant-Plattenhandschuhe</v>
      </c>
      <c r="D530" s="3">
        <f>Gegenstände!K530</f>
        <v>2700</v>
      </c>
      <c r="E530" s="3">
        <f>Gegenstände!I530</f>
        <v>13</v>
      </c>
      <c r="F530" s="3">
        <f>VLOOKUP(Gegenstände!E530,Berechnungen!$E$87:$F$115,2,FALSE)</f>
        <v>23</v>
      </c>
      <c r="G530" s="3">
        <f>Gegenstände!H530</f>
        <v>1</v>
      </c>
      <c r="H530" s="3">
        <f>Gegenstände!G530</f>
        <v>9</v>
      </c>
      <c r="I530" s="3">
        <f>Gegenstände!D530</f>
        <v>20</v>
      </c>
      <c r="J530" s="168">
        <f>ROUND(Gegenstände!N530,0)</f>
        <v>10700</v>
      </c>
      <c r="K530" s="3">
        <f>Gegenstände!J530</f>
        <v>100</v>
      </c>
      <c r="L530" s="3">
        <f>Gegenstände!L530</f>
        <v>0</v>
      </c>
      <c r="M530" s="3">
        <f>Gegenstände!Z530</f>
        <v>12</v>
      </c>
      <c r="N530" s="783">
        <f>(Gegenstände!Y530*10)</f>
        <v>30</v>
      </c>
      <c r="O530" s="783">
        <f>(Gegenstände!W530*10)</f>
        <v>27</v>
      </c>
      <c r="P530" s="783">
        <f>Gegenstände!AA530*10</f>
        <v>0</v>
      </c>
      <c r="Q530" s="783">
        <f>Gegenstände!O530</f>
        <v>0</v>
      </c>
      <c r="R530" s="168">
        <f>Gegenstände!S530</f>
        <v>0</v>
      </c>
      <c r="S530" s="168">
        <f>Gegenstände!T530</f>
        <v>0</v>
      </c>
      <c r="T530" s="783">
        <f>Gegenstände!AC530</f>
        <v>0</v>
      </c>
      <c r="U530" s="783">
        <f>Gegenstände!AE530</f>
        <v>0</v>
      </c>
      <c r="V530" s="783">
        <f>Gegenstände!AD530</f>
        <v>0</v>
      </c>
      <c r="W530" s="783">
        <f>Gegenstände!AF530</f>
        <v>0</v>
      </c>
      <c r="AB530" s="3">
        <f>Gegenstände!M530</f>
        <v>4</v>
      </c>
      <c r="AC530" s="3">
        <f>Gegenstände!AB530</f>
        <v>0</v>
      </c>
      <c r="AD530" s="3">
        <f>Gegenstände!F530</f>
        <v>0</v>
      </c>
    </row>
    <row r="531" spans="1:30" x14ac:dyDescent="0.2">
      <c r="A531" s="3">
        <f>Gegenstände!A531</f>
        <v>1439</v>
      </c>
      <c r="B531" s="3" t="str">
        <f>Gegenstände!B531</f>
        <v>Adamant-Plattenbeinlinge</v>
      </c>
      <c r="D531" s="3">
        <f>Gegenstände!K531</f>
        <v>3600</v>
      </c>
      <c r="E531" s="3">
        <f>Gegenstände!I531</f>
        <v>14</v>
      </c>
      <c r="F531" s="3">
        <f>VLOOKUP(Gegenstände!E531,Berechnungen!$E$87:$F$115,2,FALSE)</f>
        <v>23</v>
      </c>
      <c r="G531" s="3">
        <f>Gegenstände!H531</f>
        <v>1</v>
      </c>
      <c r="H531" s="3">
        <f>Gegenstände!G531</f>
        <v>9</v>
      </c>
      <c r="I531" s="3">
        <f>Gegenstände!D531</f>
        <v>20</v>
      </c>
      <c r="J531" s="168">
        <f>ROUND(Gegenstände!N531,0)</f>
        <v>14200</v>
      </c>
      <c r="K531" s="3">
        <f>Gegenstände!J531</f>
        <v>100</v>
      </c>
      <c r="L531" s="3">
        <f>Gegenstände!L531</f>
        <v>0</v>
      </c>
      <c r="M531" s="3">
        <f>Gegenstände!Z531</f>
        <v>16</v>
      </c>
      <c r="N531" s="783">
        <f>(Gegenstände!Y531*10)</f>
        <v>40</v>
      </c>
      <c r="O531" s="783">
        <f>(Gegenstände!W531*10)</f>
        <v>36</v>
      </c>
      <c r="P531" s="783">
        <f>Gegenstände!AA531*10</f>
        <v>0</v>
      </c>
      <c r="Q531" s="783">
        <f>Gegenstände!O531</f>
        <v>0</v>
      </c>
      <c r="R531" s="168">
        <f>Gegenstände!S531</f>
        <v>0</v>
      </c>
      <c r="S531" s="168">
        <f>Gegenstände!T531</f>
        <v>0</v>
      </c>
      <c r="T531" s="783">
        <f>Gegenstände!AC531</f>
        <v>0</v>
      </c>
      <c r="U531" s="783">
        <f>Gegenstände!AE531</f>
        <v>0</v>
      </c>
      <c r="V531" s="783">
        <f>Gegenstände!AD531</f>
        <v>0</v>
      </c>
      <c r="W531" s="783">
        <f>Gegenstände!AF531</f>
        <v>0</v>
      </c>
      <c r="AB531" s="3">
        <f>Gegenstände!M531</f>
        <v>4</v>
      </c>
      <c r="AC531" s="3">
        <f>Gegenstände!AB531</f>
        <v>0</v>
      </c>
      <c r="AD531" s="3">
        <f>Gegenstände!F531</f>
        <v>0</v>
      </c>
    </row>
    <row r="532" spans="1:30" x14ac:dyDescent="0.2">
      <c r="A532" s="3">
        <f>Gegenstände!A532</f>
        <v>1440</v>
      </c>
      <c r="B532" s="3" t="str">
        <f>Gegenstände!B532</f>
        <v>Adamant-Plattenstiefel</v>
      </c>
      <c r="D532" s="3">
        <f>Gegenstände!K532</f>
        <v>2700</v>
      </c>
      <c r="E532" s="3">
        <f>Gegenstände!I532</f>
        <v>15</v>
      </c>
      <c r="F532" s="3">
        <f>VLOOKUP(Gegenstände!E532,Berechnungen!$E$87:$F$115,2,FALSE)</f>
        <v>23</v>
      </c>
      <c r="G532" s="3">
        <f>Gegenstände!H532</f>
        <v>1</v>
      </c>
      <c r="H532" s="3">
        <f>Gegenstände!G532</f>
        <v>9</v>
      </c>
      <c r="I532" s="3">
        <f>Gegenstände!D532</f>
        <v>20</v>
      </c>
      <c r="J532" s="168">
        <f>ROUND(Gegenstände!N532,0)</f>
        <v>10700</v>
      </c>
      <c r="K532" s="3">
        <f>Gegenstände!J532</f>
        <v>100</v>
      </c>
      <c r="L532" s="3">
        <f>Gegenstände!L532</f>
        <v>0</v>
      </c>
      <c r="M532" s="3">
        <f>Gegenstände!Z532</f>
        <v>12</v>
      </c>
      <c r="N532" s="783">
        <f>(Gegenstände!Y532*10)</f>
        <v>30</v>
      </c>
      <c r="O532" s="783">
        <f>(Gegenstände!W532*10)</f>
        <v>27</v>
      </c>
      <c r="P532" s="783">
        <f>Gegenstände!AA532*10</f>
        <v>0</v>
      </c>
      <c r="Q532" s="783">
        <f>Gegenstände!O532</f>
        <v>0</v>
      </c>
      <c r="R532" s="168">
        <f>Gegenstände!S532</f>
        <v>0</v>
      </c>
      <c r="S532" s="168">
        <f>Gegenstände!T532</f>
        <v>0</v>
      </c>
      <c r="T532" s="783">
        <f>Gegenstände!AC532</f>
        <v>0</v>
      </c>
      <c r="U532" s="783">
        <f>Gegenstände!AE532</f>
        <v>0</v>
      </c>
      <c r="V532" s="783">
        <f>Gegenstände!AD532</f>
        <v>0</v>
      </c>
      <c r="W532" s="783">
        <f>Gegenstände!AF532</f>
        <v>0</v>
      </c>
      <c r="AB532" s="3">
        <f>Gegenstände!M532</f>
        <v>4</v>
      </c>
      <c r="AC532" s="3">
        <f>Gegenstände!AB532</f>
        <v>0</v>
      </c>
      <c r="AD532" s="3">
        <f>Gegenstände!F532</f>
        <v>0</v>
      </c>
    </row>
    <row r="533" spans="1:30" x14ac:dyDescent="0.2">
      <c r="A533" s="3">
        <f>Gegenstände!A533</f>
        <v>1441</v>
      </c>
      <c r="B533" s="3" t="str">
        <f>Gegenstände!B533</f>
        <v>Mithril-Kettenhaube</v>
      </c>
      <c r="D533" s="3">
        <f>Gegenstände!K533</f>
        <v>3200</v>
      </c>
      <c r="E533" s="3">
        <f>Gegenstände!I533</f>
        <v>11</v>
      </c>
      <c r="F533" s="3">
        <f>VLOOKUP(Gegenstände!E533,Berechnungen!$E$87:$F$115,2,FALSE)</f>
        <v>23</v>
      </c>
      <c r="G533" s="3">
        <f>Gegenstände!H533</f>
        <v>1</v>
      </c>
      <c r="H533" s="3">
        <f>Gegenstände!G533</f>
        <v>9</v>
      </c>
      <c r="I533" s="3">
        <f>Gegenstände!D533</f>
        <v>21</v>
      </c>
      <c r="J533" s="168">
        <f>ROUND(Gegenstände!N533,0)</f>
        <v>16400</v>
      </c>
      <c r="K533" s="3">
        <f>Gegenstände!J533</f>
        <v>100</v>
      </c>
      <c r="L533" s="3">
        <f>Gegenstände!L533</f>
        <v>0</v>
      </c>
      <c r="M533" s="3">
        <f>Gegenstände!Z533</f>
        <v>16</v>
      </c>
      <c r="N533" s="783">
        <f>(Gegenstände!Y533*10)</f>
        <v>40</v>
      </c>
      <c r="O533" s="783">
        <f>(Gegenstände!W533*10)</f>
        <v>40</v>
      </c>
      <c r="P533" s="783">
        <f>Gegenstände!AA533*10</f>
        <v>0</v>
      </c>
      <c r="Q533" s="783">
        <f>Gegenstände!O533</f>
        <v>0</v>
      </c>
      <c r="R533" s="168">
        <f>Gegenstände!S533</f>
        <v>0</v>
      </c>
      <c r="S533" s="168">
        <f>Gegenstände!T533</f>
        <v>0</v>
      </c>
      <c r="T533" s="783">
        <f>Gegenstände!AC533</f>
        <v>0</v>
      </c>
      <c r="U533" s="783">
        <f>Gegenstände!AE533</f>
        <v>0</v>
      </c>
      <c r="V533" s="783">
        <f>Gegenstände!AD533</f>
        <v>0</v>
      </c>
      <c r="W533" s="783">
        <f>Gegenstände!AF533</f>
        <v>0</v>
      </c>
      <c r="AB533" s="3">
        <f>Gegenstände!M533</f>
        <v>5</v>
      </c>
      <c r="AC533" s="3">
        <f>Gegenstände!AB533</f>
        <v>0</v>
      </c>
      <c r="AD533" s="3">
        <f>Gegenstände!F533</f>
        <v>0</v>
      </c>
    </row>
    <row r="534" spans="1:30" x14ac:dyDescent="0.2">
      <c r="A534" s="3">
        <f>Gegenstände!A534</f>
        <v>1442</v>
      </c>
      <c r="B534" s="3" t="str">
        <f>Gegenstände!B534</f>
        <v>Mithril-Kettenhemd</v>
      </c>
      <c r="D534" s="3">
        <f>Gegenstände!K534</f>
        <v>4800</v>
      </c>
      <c r="E534" s="3">
        <f>Gegenstände!I534</f>
        <v>12</v>
      </c>
      <c r="F534" s="3">
        <f>VLOOKUP(Gegenstände!E534,Berechnungen!$E$87:$F$115,2,FALSE)</f>
        <v>23</v>
      </c>
      <c r="G534" s="3">
        <f>Gegenstände!H534</f>
        <v>1</v>
      </c>
      <c r="H534" s="3">
        <f>Gegenstände!G534</f>
        <v>9</v>
      </c>
      <c r="I534" s="3">
        <f>Gegenstände!D534</f>
        <v>21</v>
      </c>
      <c r="J534" s="168">
        <f>ROUND(Gegenstände!N534,0)</f>
        <v>24500</v>
      </c>
      <c r="K534" s="3">
        <f>Gegenstände!J534</f>
        <v>100</v>
      </c>
      <c r="L534" s="3">
        <f>Gegenstände!L534</f>
        <v>0</v>
      </c>
      <c r="M534" s="3">
        <f>Gegenstände!Z534</f>
        <v>24</v>
      </c>
      <c r="N534" s="783">
        <f>(Gegenstände!Y534*10)</f>
        <v>60</v>
      </c>
      <c r="O534" s="783">
        <f>(Gegenstände!W534*10)</f>
        <v>60</v>
      </c>
      <c r="P534" s="783">
        <f>Gegenstände!AA534*10</f>
        <v>0</v>
      </c>
      <c r="Q534" s="783">
        <f>Gegenstände!O534</f>
        <v>0</v>
      </c>
      <c r="R534" s="168">
        <f>Gegenstände!S534</f>
        <v>0</v>
      </c>
      <c r="S534" s="168">
        <f>Gegenstände!T534</f>
        <v>0</v>
      </c>
      <c r="T534" s="783">
        <f>Gegenstände!AC534</f>
        <v>0</v>
      </c>
      <c r="U534" s="783">
        <f>Gegenstände!AE534</f>
        <v>0</v>
      </c>
      <c r="V534" s="783">
        <f>Gegenstände!AD534</f>
        <v>0</v>
      </c>
      <c r="W534" s="783">
        <f>Gegenstände!AF534</f>
        <v>0</v>
      </c>
      <c r="AB534" s="3">
        <f>Gegenstände!M534</f>
        <v>5</v>
      </c>
      <c r="AC534" s="3">
        <f>Gegenstände!AB534</f>
        <v>0</v>
      </c>
      <c r="AD534" s="3">
        <f>Gegenstände!F534</f>
        <v>0</v>
      </c>
    </row>
    <row r="535" spans="1:30" x14ac:dyDescent="0.2">
      <c r="A535" s="3">
        <f>Gegenstände!A535</f>
        <v>1443</v>
      </c>
      <c r="B535" s="3" t="str">
        <f>Gegenstände!B535</f>
        <v>Mithril-Kettenhandschuhe</v>
      </c>
      <c r="D535" s="3">
        <f>Gegenstände!K535</f>
        <v>2400</v>
      </c>
      <c r="E535" s="3">
        <f>Gegenstände!I535</f>
        <v>13</v>
      </c>
      <c r="F535" s="3">
        <f>VLOOKUP(Gegenstände!E535,Berechnungen!$E$87:$F$115,2,FALSE)</f>
        <v>23</v>
      </c>
      <c r="G535" s="3">
        <f>Gegenstände!H535</f>
        <v>1</v>
      </c>
      <c r="H535" s="3">
        <f>Gegenstände!G535</f>
        <v>9</v>
      </c>
      <c r="I535" s="3">
        <f>Gegenstände!D535</f>
        <v>22</v>
      </c>
      <c r="J535" s="168">
        <f>ROUND(Gegenstände!N535,0)</f>
        <v>14100</v>
      </c>
      <c r="K535" s="3">
        <f>Gegenstände!J535</f>
        <v>100</v>
      </c>
      <c r="L535" s="3">
        <f>Gegenstände!L535</f>
        <v>0</v>
      </c>
      <c r="M535" s="3">
        <f>Gegenstände!Z535</f>
        <v>12</v>
      </c>
      <c r="N535" s="783">
        <f>(Gegenstände!Y535*10)</f>
        <v>30</v>
      </c>
      <c r="O535" s="783">
        <f>(Gegenstände!W535*10)</f>
        <v>30</v>
      </c>
      <c r="P535" s="783">
        <f>Gegenstände!AA535*10</f>
        <v>0</v>
      </c>
      <c r="Q535" s="783">
        <f>Gegenstände!O535</f>
        <v>0</v>
      </c>
      <c r="R535" s="168">
        <f>Gegenstände!S535</f>
        <v>0</v>
      </c>
      <c r="S535" s="168">
        <f>Gegenstände!T535</f>
        <v>0</v>
      </c>
      <c r="T535" s="783">
        <f>Gegenstände!AC535</f>
        <v>0</v>
      </c>
      <c r="U535" s="783">
        <f>Gegenstände!AE535</f>
        <v>0</v>
      </c>
      <c r="V535" s="783">
        <f>Gegenstände!AD535</f>
        <v>0</v>
      </c>
      <c r="W535" s="783">
        <f>Gegenstände!AF535</f>
        <v>0</v>
      </c>
      <c r="AB535" s="3">
        <f>Gegenstände!M535</f>
        <v>5</v>
      </c>
      <c r="AC535" s="3">
        <f>Gegenstände!AB535</f>
        <v>0</v>
      </c>
      <c r="AD535" s="3">
        <f>Gegenstände!F535</f>
        <v>0</v>
      </c>
    </row>
    <row r="536" spans="1:30" x14ac:dyDescent="0.2">
      <c r="A536" s="3">
        <f>Gegenstände!A536</f>
        <v>1444</v>
      </c>
      <c r="B536" s="3" t="str">
        <f>Gegenstände!B536</f>
        <v>Mithril-Kettenbeinlinge</v>
      </c>
      <c r="D536" s="3">
        <f>Gegenstände!K536</f>
        <v>3200</v>
      </c>
      <c r="E536" s="3">
        <f>Gegenstände!I536</f>
        <v>14</v>
      </c>
      <c r="F536" s="3">
        <f>VLOOKUP(Gegenstände!E536,Berechnungen!$E$87:$F$115,2,FALSE)</f>
        <v>23</v>
      </c>
      <c r="G536" s="3">
        <f>Gegenstände!H536</f>
        <v>1</v>
      </c>
      <c r="H536" s="3">
        <f>Gegenstände!G536</f>
        <v>9</v>
      </c>
      <c r="I536" s="3">
        <f>Gegenstände!D536</f>
        <v>22</v>
      </c>
      <c r="J536" s="168">
        <f>ROUND(Gegenstände!N536,0)</f>
        <v>18800</v>
      </c>
      <c r="K536" s="3">
        <f>Gegenstände!J536</f>
        <v>100</v>
      </c>
      <c r="L536" s="3">
        <f>Gegenstände!L536</f>
        <v>0</v>
      </c>
      <c r="M536" s="3">
        <f>Gegenstände!Z536</f>
        <v>16</v>
      </c>
      <c r="N536" s="783">
        <f>(Gegenstände!Y536*10)</f>
        <v>40</v>
      </c>
      <c r="O536" s="783">
        <f>(Gegenstände!W536*10)</f>
        <v>40</v>
      </c>
      <c r="P536" s="783">
        <f>Gegenstände!AA536*10</f>
        <v>0</v>
      </c>
      <c r="Q536" s="783">
        <f>Gegenstände!O536</f>
        <v>0</v>
      </c>
      <c r="R536" s="168">
        <f>Gegenstände!S536</f>
        <v>0</v>
      </c>
      <c r="S536" s="168">
        <f>Gegenstände!T536</f>
        <v>0</v>
      </c>
      <c r="T536" s="783">
        <f>Gegenstände!AC536</f>
        <v>0</v>
      </c>
      <c r="U536" s="783">
        <f>Gegenstände!AE536</f>
        <v>0</v>
      </c>
      <c r="V536" s="783">
        <f>Gegenstände!AD536</f>
        <v>0</v>
      </c>
      <c r="W536" s="783">
        <f>Gegenstände!AF536</f>
        <v>0</v>
      </c>
      <c r="AB536" s="3">
        <f>Gegenstände!M536</f>
        <v>5</v>
      </c>
      <c r="AC536" s="3">
        <f>Gegenstände!AB536</f>
        <v>0</v>
      </c>
      <c r="AD536" s="3">
        <f>Gegenstände!F536</f>
        <v>0</v>
      </c>
    </row>
    <row r="537" spans="1:30" x14ac:dyDescent="0.2">
      <c r="A537" s="3">
        <f>Gegenstände!A537</f>
        <v>1445</v>
      </c>
      <c r="B537" s="3" t="str">
        <f>Gegenstände!B537</f>
        <v>Mithril-Kettenstiefel</v>
      </c>
      <c r="D537" s="3">
        <f>Gegenstände!K537</f>
        <v>2400</v>
      </c>
      <c r="E537" s="3">
        <f>Gegenstände!I537</f>
        <v>15</v>
      </c>
      <c r="F537" s="3">
        <f>VLOOKUP(Gegenstände!E537,Berechnungen!$E$87:$F$115,2,FALSE)</f>
        <v>23</v>
      </c>
      <c r="G537" s="3">
        <f>Gegenstände!H537</f>
        <v>1</v>
      </c>
      <c r="H537" s="3">
        <f>Gegenstände!G537</f>
        <v>9</v>
      </c>
      <c r="I537" s="3">
        <f>Gegenstände!D537</f>
        <v>22</v>
      </c>
      <c r="J537" s="168">
        <f>ROUND(Gegenstände!N537,0)</f>
        <v>14100</v>
      </c>
      <c r="K537" s="3">
        <f>Gegenstände!J537</f>
        <v>100</v>
      </c>
      <c r="L537" s="3">
        <f>Gegenstände!L537</f>
        <v>0</v>
      </c>
      <c r="M537" s="3">
        <f>Gegenstände!Z537</f>
        <v>12</v>
      </c>
      <c r="N537" s="783">
        <f>(Gegenstände!Y537*10)</f>
        <v>30</v>
      </c>
      <c r="O537" s="783">
        <f>(Gegenstände!W537*10)</f>
        <v>30</v>
      </c>
      <c r="P537" s="783">
        <f>Gegenstände!AA537*10</f>
        <v>0</v>
      </c>
      <c r="Q537" s="783">
        <f>Gegenstände!O537</f>
        <v>0</v>
      </c>
      <c r="R537" s="168">
        <f>Gegenstände!S537</f>
        <v>0</v>
      </c>
      <c r="S537" s="168">
        <f>Gegenstände!T537</f>
        <v>0</v>
      </c>
      <c r="T537" s="783">
        <f>Gegenstände!AC537</f>
        <v>0</v>
      </c>
      <c r="U537" s="783">
        <f>Gegenstände!AE537</f>
        <v>0</v>
      </c>
      <c r="V537" s="783">
        <f>Gegenstände!AD537</f>
        <v>0</v>
      </c>
      <c r="W537" s="783">
        <f>Gegenstände!AF537</f>
        <v>0</v>
      </c>
      <c r="AB537" s="3">
        <f>Gegenstände!M537</f>
        <v>5</v>
      </c>
      <c r="AC537" s="3">
        <f>Gegenstände!AB537</f>
        <v>0</v>
      </c>
      <c r="AD537" s="3">
        <f>Gegenstände!F537</f>
        <v>0</v>
      </c>
    </row>
    <row r="538" spans="1:30" x14ac:dyDescent="0.2">
      <c r="A538" s="3">
        <f>Gegenstände!A538</f>
        <v>1446</v>
      </c>
      <c r="B538" s="3" t="str">
        <f>Gegenstände!B538</f>
        <v>Mithril-Plattenhelm</v>
      </c>
      <c r="D538" s="3">
        <f>Gegenstände!K538</f>
        <v>3600</v>
      </c>
      <c r="E538" s="3">
        <f>Gegenstände!I538</f>
        <v>11</v>
      </c>
      <c r="F538" s="3">
        <f>VLOOKUP(Gegenstände!E538,Berechnungen!$E$87:$F$115,2,FALSE)</f>
        <v>23</v>
      </c>
      <c r="G538" s="3">
        <f>Gegenstände!H538</f>
        <v>1</v>
      </c>
      <c r="H538" s="3">
        <f>Gegenstände!G538</f>
        <v>9</v>
      </c>
      <c r="I538" s="3">
        <f>Gegenstände!D538</f>
        <v>24</v>
      </c>
      <c r="J538" s="168">
        <f>ROUND(Gegenstände!N538,0)</f>
        <v>24900</v>
      </c>
      <c r="K538" s="3">
        <f>Gegenstände!J538</f>
        <v>100</v>
      </c>
      <c r="L538" s="3">
        <f>Gegenstände!L538</f>
        <v>0</v>
      </c>
      <c r="M538" s="3">
        <f>Gegenstände!Z538</f>
        <v>16</v>
      </c>
      <c r="N538" s="783">
        <f>(Gegenstände!Y538*10)</f>
        <v>40</v>
      </c>
      <c r="O538" s="783">
        <f>(Gegenstände!W538*10)</f>
        <v>48</v>
      </c>
      <c r="P538" s="783">
        <f>Gegenstände!AA538*10</f>
        <v>0</v>
      </c>
      <c r="Q538" s="783">
        <f>Gegenstände!O538</f>
        <v>0</v>
      </c>
      <c r="R538" s="168">
        <f>Gegenstände!S538</f>
        <v>0</v>
      </c>
      <c r="S538" s="168">
        <f>Gegenstände!T538</f>
        <v>0</v>
      </c>
      <c r="T538" s="783">
        <f>Gegenstände!AC538</f>
        <v>0</v>
      </c>
      <c r="U538" s="783">
        <f>Gegenstände!AE538</f>
        <v>0</v>
      </c>
      <c r="V538" s="783">
        <f>Gegenstände!AD538</f>
        <v>0</v>
      </c>
      <c r="W538" s="783">
        <f>Gegenstände!AF538</f>
        <v>0</v>
      </c>
      <c r="AB538" s="3">
        <f>Gegenstände!M538</f>
        <v>5</v>
      </c>
      <c r="AC538" s="3">
        <f>Gegenstände!AB538</f>
        <v>0</v>
      </c>
      <c r="AD538" s="3">
        <f>Gegenstände!F538</f>
        <v>0</v>
      </c>
    </row>
    <row r="539" spans="1:30" x14ac:dyDescent="0.2">
      <c r="A539" s="3">
        <f>Gegenstände!A539</f>
        <v>1447</v>
      </c>
      <c r="B539" s="3" t="str">
        <f>Gegenstände!B539</f>
        <v>Mithril-Plattenpanzer</v>
      </c>
      <c r="D539" s="3">
        <f>Gegenstände!K539</f>
        <v>5400</v>
      </c>
      <c r="E539" s="3">
        <f>Gegenstände!I539</f>
        <v>12</v>
      </c>
      <c r="F539" s="3">
        <f>VLOOKUP(Gegenstände!E539,Berechnungen!$E$87:$F$115,2,FALSE)</f>
        <v>23</v>
      </c>
      <c r="G539" s="3">
        <f>Gegenstände!H539</f>
        <v>1</v>
      </c>
      <c r="H539" s="3">
        <f>Gegenstände!G539</f>
        <v>9</v>
      </c>
      <c r="I539" s="3">
        <f>Gegenstände!D539</f>
        <v>24</v>
      </c>
      <c r="J539" s="168">
        <f>ROUND(Gegenstände!N539,0)</f>
        <v>37300</v>
      </c>
      <c r="K539" s="3">
        <f>Gegenstände!J539</f>
        <v>100</v>
      </c>
      <c r="L539" s="3">
        <f>Gegenstände!L539</f>
        <v>0</v>
      </c>
      <c r="M539" s="3">
        <f>Gegenstände!Z539</f>
        <v>24</v>
      </c>
      <c r="N539" s="783">
        <f>(Gegenstände!Y539*10)</f>
        <v>60</v>
      </c>
      <c r="O539" s="783">
        <f>(Gegenstände!W539*10)</f>
        <v>72</v>
      </c>
      <c r="P539" s="783">
        <f>Gegenstände!AA539*10</f>
        <v>0</v>
      </c>
      <c r="Q539" s="783">
        <f>Gegenstände!O539</f>
        <v>0</v>
      </c>
      <c r="R539" s="168">
        <f>Gegenstände!S539</f>
        <v>0</v>
      </c>
      <c r="S539" s="168">
        <f>Gegenstände!T539</f>
        <v>0</v>
      </c>
      <c r="T539" s="783">
        <f>Gegenstände!AC539</f>
        <v>0</v>
      </c>
      <c r="U539" s="783">
        <f>Gegenstände!AE539</f>
        <v>0</v>
      </c>
      <c r="V539" s="783">
        <f>Gegenstände!AD539</f>
        <v>0</v>
      </c>
      <c r="W539" s="783">
        <f>Gegenstände!AF539</f>
        <v>0</v>
      </c>
      <c r="AB539" s="3">
        <f>Gegenstände!M539</f>
        <v>5</v>
      </c>
      <c r="AC539" s="3">
        <f>Gegenstände!AB539</f>
        <v>0</v>
      </c>
      <c r="AD539" s="3">
        <f>Gegenstände!F539</f>
        <v>0</v>
      </c>
    </row>
    <row r="540" spans="1:30" x14ac:dyDescent="0.2">
      <c r="A540" s="3">
        <f>Gegenstände!A540</f>
        <v>1448</v>
      </c>
      <c r="B540" s="3" t="str">
        <f>Gegenstände!B540</f>
        <v>Mithril-Plattenhandschuhe</v>
      </c>
      <c r="D540" s="3">
        <f>Gegenstände!K540</f>
        <v>2700</v>
      </c>
      <c r="E540" s="3">
        <f>Gegenstände!I540</f>
        <v>13</v>
      </c>
      <c r="F540" s="3">
        <f>VLOOKUP(Gegenstände!E540,Berechnungen!$E$87:$F$115,2,FALSE)</f>
        <v>23</v>
      </c>
      <c r="G540" s="3">
        <f>Gegenstände!H540</f>
        <v>1</v>
      </c>
      <c r="H540" s="3">
        <f>Gegenstände!G540</f>
        <v>9</v>
      </c>
      <c r="I540" s="3">
        <f>Gegenstände!D540</f>
        <v>25</v>
      </c>
      <c r="J540" s="168">
        <f>ROUND(Gegenstände!N540,0)</f>
        <v>21500</v>
      </c>
      <c r="K540" s="3">
        <f>Gegenstände!J540</f>
        <v>100</v>
      </c>
      <c r="L540" s="3">
        <f>Gegenstände!L540</f>
        <v>0</v>
      </c>
      <c r="M540" s="3">
        <f>Gegenstände!Z540</f>
        <v>12</v>
      </c>
      <c r="N540" s="783">
        <f>(Gegenstände!Y540*10)</f>
        <v>30</v>
      </c>
      <c r="O540" s="783">
        <f>(Gegenstände!W540*10)</f>
        <v>36</v>
      </c>
      <c r="P540" s="783">
        <f>Gegenstände!AA540*10</f>
        <v>0</v>
      </c>
      <c r="Q540" s="783">
        <f>Gegenstände!O540</f>
        <v>0</v>
      </c>
      <c r="R540" s="168">
        <f>Gegenstände!S540</f>
        <v>0</v>
      </c>
      <c r="S540" s="168">
        <f>Gegenstände!T540</f>
        <v>0</v>
      </c>
      <c r="T540" s="783">
        <f>Gegenstände!AC540</f>
        <v>0</v>
      </c>
      <c r="U540" s="783">
        <f>Gegenstände!AE540</f>
        <v>0</v>
      </c>
      <c r="V540" s="783">
        <f>Gegenstände!AD540</f>
        <v>0</v>
      </c>
      <c r="W540" s="783">
        <f>Gegenstände!AF540</f>
        <v>0</v>
      </c>
      <c r="AB540" s="3">
        <f>Gegenstände!M540</f>
        <v>5</v>
      </c>
      <c r="AC540" s="3">
        <f>Gegenstände!AB540</f>
        <v>0</v>
      </c>
      <c r="AD540" s="3">
        <f>Gegenstände!F540</f>
        <v>0</v>
      </c>
    </row>
    <row r="541" spans="1:30" x14ac:dyDescent="0.2">
      <c r="A541" s="3">
        <f>Gegenstände!A541</f>
        <v>1449</v>
      </c>
      <c r="B541" s="3" t="str">
        <f>Gegenstände!B541</f>
        <v>Mithril-Plattenbeinlinge</v>
      </c>
      <c r="D541" s="3">
        <f>Gegenstände!K541</f>
        <v>3600</v>
      </c>
      <c r="E541" s="3">
        <f>Gegenstände!I541</f>
        <v>14</v>
      </c>
      <c r="F541" s="3">
        <f>VLOOKUP(Gegenstände!E541,Berechnungen!$E$87:$F$115,2,FALSE)</f>
        <v>23</v>
      </c>
      <c r="G541" s="3">
        <f>Gegenstände!H541</f>
        <v>1</v>
      </c>
      <c r="H541" s="3">
        <f>Gegenstände!G541</f>
        <v>9</v>
      </c>
      <c r="I541" s="3">
        <f>Gegenstände!D541</f>
        <v>25</v>
      </c>
      <c r="J541" s="168">
        <f>ROUND(Gegenstände!N541,0)</f>
        <v>28600</v>
      </c>
      <c r="K541" s="3">
        <f>Gegenstände!J541</f>
        <v>100</v>
      </c>
      <c r="L541" s="3">
        <f>Gegenstände!L541</f>
        <v>0</v>
      </c>
      <c r="M541" s="3">
        <f>Gegenstände!Z541</f>
        <v>16</v>
      </c>
      <c r="N541" s="783">
        <f>(Gegenstände!Y541*10)</f>
        <v>40</v>
      </c>
      <c r="O541" s="783">
        <f>(Gegenstände!W541*10)</f>
        <v>48</v>
      </c>
      <c r="P541" s="783">
        <f>Gegenstände!AA541*10</f>
        <v>0</v>
      </c>
      <c r="Q541" s="783">
        <f>Gegenstände!O541</f>
        <v>0</v>
      </c>
      <c r="R541" s="168">
        <f>Gegenstände!S541</f>
        <v>0</v>
      </c>
      <c r="S541" s="168">
        <f>Gegenstände!T541</f>
        <v>0</v>
      </c>
      <c r="T541" s="783">
        <f>Gegenstände!AC541</f>
        <v>0</v>
      </c>
      <c r="U541" s="783">
        <f>Gegenstände!AE541</f>
        <v>0</v>
      </c>
      <c r="V541" s="783">
        <f>Gegenstände!AD541</f>
        <v>0</v>
      </c>
      <c r="W541" s="783">
        <f>Gegenstände!AF541</f>
        <v>0</v>
      </c>
      <c r="AB541" s="3">
        <f>Gegenstände!M541</f>
        <v>5</v>
      </c>
      <c r="AC541" s="3">
        <f>Gegenstände!AB541</f>
        <v>0</v>
      </c>
      <c r="AD541" s="3">
        <f>Gegenstände!F541</f>
        <v>0</v>
      </c>
    </row>
    <row r="542" spans="1:30" x14ac:dyDescent="0.2">
      <c r="A542" s="3">
        <f>Gegenstände!A542</f>
        <v>1450</v>
      </c>
      <c r="B542" s="3" t="str">
        <f>Gegenstände!B542</f>
        <v>Mithril-Plattenstiefel</v>
      </c>
      <c r="D542" s="3">
        <f>Gegenstände!K542</f>
        <v>2700</v>
      </c>
      <c r="E542" s="3">
        <f>Gegenstände!I542</f>
        <v>15</v>
      </c>
      <c r="F542" s="3">
        <f>VLOOKUP(Gegenstände!E542,Berechnungen!$E$87:$F$115,2,FALSE)</f>
        <v>23</v>
      </c>
      <c r="G542" s="3">
        <f>Gegenstände!H542</f>
        <v>1</v>
      </c>
      <c r="H542" s="3">
        <f>Gegenstände!G542</f>
        <v>9</v>
      </c>
      <c r="I542" s="3">
        <f>Gegenstände!D542</f>
        <v>25</v>
      </c>
      <c r="J542" s="168">
        <f>ROUND(Gegenstände!N542,0)</f>
        <v>21500</v>
      </c>
      <c r="K542" s="3">
        <f>Gegenstände!J542</f>
        <v>100</v>
      </c>
      <c r="L542" s="3">
        <f>Gegenstände!L542</f>
        <v>0</v>
      </c>
      <c r="M542" s="3">
        <f>Gegenstände!Z542</f>
        <v>12</v>
      </c>
      <c r="N542" s="783">
        <f>(Gegenstände!Y542*10)</f>
        <v>30</v>
      </c>
      <c r="O542" s="783">
        <f>(Gegenstände!W542*10)</f>
        <v>36</v>
      </c>
      <c r="P542" s="783">
        <f>Gegenstände!AA542*10</f>
        <v>0</v>
      </c>
      <c r="Q542" s="783">
        <f>Gegenstände!O542</f>
        <v>0</v>
      </c>
      <c r="R542" s="168">
        <f>Gegenstände!S542</f>
        <v>0</v>
      </c>
      <c r="S542" s="168">
        <f>Gegenstände!T542</f>
        <v>0</v>
      </c>
      <c r="T542" s="783">
        <f>Gegenstände!AC542</f>
        <v>0</v>
      </c>
      <c r="U542" s="783">
        <f>Gegenstände!AE542</f>
        <v>0</v>
      </c>
      <c r="V542" s="783">
        <f>Gegenstände!AD542</f>
        <v>0</v>
      </c>
      <c r="W542" s="783">
        <f>Gegenstände!AF542</f>
        <v>0</v>
      </c>
      <c r="AB542" s="3">
        <f>Gegenstände!M542</f>
        <v>5</v>
      </c>
      <c r="AC542" s="3">
        <f>Gegenstände!AB542</f>
        <v>0</v>
      </c>
      <c r="AD542" s="3">
        <f>Gegenstände!F542</f>
        <v>0</v>
      </c>
    </row>
    <row r="543" spans="1:30" x14ac:dyDescent="0.2">
      <c r="A543" s="3">
        <f>Gegenstände!A543</f>
        <v>2401</v>
      </c>
      <c r="B543" s="3" t="str">
        <f>Gegenstände!B543</f>
        <v>Kristall-Plattenhelm</v>
      </c>
      <c r="D543" s="3">
        <f>Gegenstände!K543</f>
        <v>3600</v>
      </c>
      <c r="E543" s="3">
        <f>Gegenstände!I543</f>
        <v>11</v>
      </c>
      <c r="F543" s="3">
        <f>VLOOKUP(Gegenstände!E543,Berechnungen!$E$87:$F$115,2,FALSE)</f>
        <v>23</v>
      </c>
      <c r="G543" s="3">
        <f>Gegenstände!H543</f>
        <v>2</v>
      </c>
      <c r="H543" s="3">
        <f>Gegenstände!G543</f>
        <v>9</v>
      </c>
      <c r="I543" s="3">
        <f>Gegenstände!D543</f>
        <v>4</v>
      </c>
      <c r="J543" s="168">
        <f>ROUND(Gegenstände!N543,0)</f>
        <v>2000</v>
      </c>
      <c r="K543" s="3">
        <f>Gegenstände!J543</f>
        <v>100</v>
      </c>
      <c r="L543" s="3">
        <f>Gegenstände!L543</f>
        <v>0</v>
      </c>
      <c r="M543" s="3">
        <f>Gegenstände!Z543</f>
        <v>16</v>
      </c>
      <c r="N543" s="783">
        <f>(Gegenstände!Y543*10)</f>
        <v>40</v>
      </c>
      <c r="O543" s="783">
        <f>(Gegenstände!W543*10)</f>
        <v>16</v>
      </c>
      <c r="P543" s="783">
        <f>Gegenstände!AA543*10</f>
        <v>0</v>
      </c>
      <c r="Q543" s="783">
        <f>Gegenstände!O543</f>
        <v>0</v>
      </c>
      <c r="R543" s="168">
        <f>Gegenstände!S543</f>
        <v>0</v>
      </c>
      <c r="S543" s="168">
        <f>Gegenstände!T543</f>
        <v>0</v>
      </c>
      <c r="T543" s="783">
        <f>Gegenstände!AC543</f>
        <v>0</v>
      </c>
      <c r="U543" s="783">
        <f>Gegenstände!AE543</f>
        <v>0</v>
      </c>
      <c r="V543" s="783">
        <f>Gegenstände!AD543</f>
        <v>0</v>
      </c>
      <c r="W543" s="783">
        <f>Gegenstände!AF543</f>
        <v>0</v>
      </c>
      <c r="AB543" s="3">
        <f>Gegenstände!M543</f>
        <v>0</v>
      </c>
      <c r="AC543" s="3">
        <f>Gegenstände!AB543</f>
        <v>0</v>
      </c>
      <c r="AD543" s="3">
        <f>Gegenstände!F543</f>
        <v>0</v>
      </c>
    </row>
    <row r="544" spans="1:30" x14ac:dyDescent="0.2">
      <c r="A544" s="3">
        <f>Gegenstände!A544</f>
        <v>2402</v>
      </c>
      <c r="B544" s="3" t="str">
        <f>Gegenstände!B544</f>
        <v>Kristall-Plattenpanzer</v>
      </c>
      <c r="D544" s="3">
        <f>Gegenstände!K544</f>
        <v>5400</v>
      </c>
      <c r="E544" s="3">
        <f>Gegenstände!I544</f>
        <v>12</v>
      </c>
      <c r="F544" s="3">
        <f>VLOOKUP(Gegenstände!E544,Berechnungen!$E$87:$F$115,2,FALSE)</f>
        <v>23</v>
      </c>
      <c r="G544" s="3">
        <f>Gegenstände!H544</f>
        <v>2</v>
      </c>
      <c r="H544" s="3">
        <f>Gegenstände!G544</f>
        <v>9</v>
      </c>
      <c r="I544" s="3">
        <f>Gegenstände!D544</f>
        <v>4</v>
      </c>
      <c r="J544" s="168">
        <f>ROUND(Gegenstände!N544,0)</f>
        <v>2800</v>
      </c>
      <c r="K544" s="3">
        <f>Gegenstände!J544</f>
        <v>100</v>
      </c>
      <c r="L544" s="3">
        <f>Gegenstände!L544</f>
        <v>0</v>
      </c>
      <c r="M544" s="3">
        <f>Gegenstände!Z544</f>
        <v>24</v>
      </c>
      <c r="N544" s="783">
        <f>(Gegenstände!Y544*10)</f>
        <v>60</v>
      </c>
      <c r="O544" s="783">
        <f>(Gegenstände!W544*10)</f>
        <v>24</v>
      </c>
      <c r="P544" s="783">
        <f>Gegenstände!AA544*10</f>
        <v>0</v>
      </c>
      <c r="Q544" s="783">
        <f>Gegenstände!O544</f>
        <v>0</v>
      </c>
      <c r="R544" s="168">
        <f>Gegenstände!S544</f>
        <v>0</v>
      </c>
      <c r="S544" s="168">
        <f>Gegenstände!T544</f>
        <v>0</v>
      </c>
      <c r="T544" s="783">
        <f>Gegenstände!AC544</f>
        <v>0</v>
      </c>
      <c r="U544" s="783">
        <f>Gegenstände!AE544</f>
        <v>0</v>
      </c>
      <c r="V544" s="783">
        <f>Gegenstände!AD544</f>
        <v>0</v>
      </c>
      <c r="W544" s="783">
        <f>Gegenstände!AF544</f>
        <v>0</v>
      </c>
      <c r="AB544" s="3">
        <f>Gegenstände!M544</f>
        <v>0</v>
      </c>
      <c r="AC544" s="3">
        <f>Gegenstände!AB544</f>
        <v>0</v>
      </c>
      <c r="AD544" s="3">
        <f>Gegenstände!F544</f>
        <v>0</v>
      </c>
    </row>
    <row r="545" spans="1:30" x14ac:dyDescent="0.2">
      <c r="A545" s="3">
        <f>Gegenstände!A545</f>
        <v>2403</v>
      </c>
      <c r="B545" s="3" t="str">
        <f>Gegenstände!B545</f>
        <v>Kristall-Plattenhandschuhe</v>
      </c>
      <c r="D545" s="3">
        <f>Gegenstände!K545</f>
        <v>2700</v>
      </c>
      <c r="E545" s="3">
        <f>Gegenstände!I545</f>
        <v>13</v>
      </c>
      <c r="F545" s="3">
        <f>VLOOKUP(Gegenstände!E545,Berechnungen!$E$87:$F$115,2,FALSE)</f>
        <v>23</v>
      </c>
      <c r="G545" s="3">
        <f>Gegenstände!H545</f>
        <v>2</v>
      </c>
      <c r="H545" s="3">
        <f>Gegenstände!G545</f>
        <v>9</v>
      </c>
      <c r="I545" s="3">
        <f>Gegenstände!D545</f>
        <v>5</v>
      </c>
      <c r="J545" s="168">
        <f>ROUND(Gegenstände!N545,0)</f>
        <v>1800</v>
      </c>
      <c r="K545" s="3">
        <f>Gegenstände!J545</f>
        <v>100</v>
      </c>
      <c r="L545" s="3">
        <f>Gegenstände!L545</f>
        <v>0</v>
      </c>
      <c r="M545" s="3">
        <f>Gegenstände!Z545</f>
        <v>12</v>
      </c>
      <c r="N545" s="783">
        <f>(Gegenstände!Y545*10)</f>
        <v>30</v>
      </c>
      <c r="O545" s="783">
        <f>(Gegenstände!W545*10)</f>
        <v>12</v>
      </c>
      <c r="P545" s="783">
        <f>Gegenstände!AA545*10</f>
        <v>0</v>
      </c>
      <c r="Q545" s="783">
        <f>Gegenstände!O545</f>
        <v>0</v>
      </c>
      <c r="R545" s="168">
        <f>Gegenstände!S545</f>
        <v>0</v>
      </c>
      <c r="S545" s="168">
        <f>Gegenstände!T545</f>
        <v>0</v>
      </c>
      <c r="T545" s="783">
        <f>Gegenstände!AC545</f>
        <v>0</v>
      </c>
      <c r="U545" s="783">
        <f>Gegenstände!AE545</f>
        <v>0</v>
      </c>
      <c r="V545" s="783">
        <f>Gegenstände!AD545</f>
        <v>0</v>
      </c>
      <c r="W545" s="783">
        <f>Gegenstände!AF545</f>
        <v>0</v>
      </c>
      <c r="AB545" s="3">
        <f>Gegenstände!M545</f>
        <v>0</v>
      </c>
      <c r="AC545" s="3">
        <f>Gegenstände!AB545</f>
        <v>0</v>
      </c>
      <c r="AD545" s="3">
        <f>Gegenstände!F545</f>
        <v>0</v>
      </c>
    </row>
    <row r="546" spans="1:30" x14ac:dyDescent="0.2">
      <c r="A546" s="3">
        <f>Gegenstände!A546</f>
        <v>2404</v>
      </c>
      <c r="B546" s="3" t="str">
        <f>Gegenstände!B546</f>
        <v>Kristall-Plattenbeinlinge</v>
      </c>
      <c r="D546" s="3">
        <f>Gegenstände!K546</f>
        <v>3600</v>
      </c>
      <c r="E546" s="3">
        <f>Gegenstände!I546</f>
        <v>14</v>
      </c>
      <c r="F546" s="3">
        <f>VLOOKUP(Gegenstände!E546,Berechnungen!$E$87:$F$115,2,FALSE)</f>
        <v>23</v>
      </c>
      <c r="G546" s="3">
        <f>Gegenstände!H546</f>
        <v>2</v>
      </c>
      <c r="H546" s="3">
        <f>Gegenstände!G546</f>
        <v>9</v>
      </c>
      <c r="I546" s="3">
        <f>Gegenstände!D546</f>
        <v>5</v>
      </c>
      <c r="J546" s="168">
        <f>ROUND(Gegenstände!N546,0)</f>
        <v>2200</v>
      </c>
      <c r="K546" s="3">
        <f>Gegenstände!J546</f>
        <v>100</v>
      </c>
      <c r="L546" s="3">
        <f>Gegenstände!L546</f>
        <v>0</v>
      </c>
      <c r="M546" s="3">
        <f>Gegenstände!Z546</f>
        <v>16</v>
      </c>
      <c r="N546" s="783">
        <f>(Gegenstände!Y546*10)</f>
        <v>40</v>
      </c>
      <c r="O546" s="783">
        <f>(Gegenstände!W546*10)</f>
        <v>16</v>
      </c>
      <c r="P546" s="783">
        <f>Gegenstände!AA546*10</f>
        <v>0</v>
      </c>
      <c r="Q546" s="783">
        <f>Gegenstände!O546</f>
        <v>0</v>
      </c>
      <c r="R546" s="168">
        <f>Gegenstände!S546</f>
        <v>0</v>
      </c>
      <c r="S546" s="168">
        <f>Gegenstände!T546</f>
        <v>0</v>
      </c>
      <c r="T546" s="783">
        <f>Gegenstände!AC546</f>
        <v>0</v>
      </c>
      <c r="U546" s="783">
        <f>Gegenstände!AE546</f>
        <v>0</v>
      </c>
      <c r="V546" s="783">
        <f>Gegenstände!AD546</f>
        <v>0</v>
      </c>
      <c r="W546" s="783">
        <f>Gegenstände!AF546</f>
        <v>0</v>
      </c>
      <c r="AB546" s="3">
        <f>Gegenstände!M546</f>
        <v>0</v>
      </c>
      <c r="AC546" s="3">
        <f>Gegenstände!AB546</f>
        <v>0</v>
      </c>
      <c r="AD546" s="3">
        <f>Gegenstände!F546</f>
        <v>0</v>
      </c>
    </row>
    <row r="547" spans="1:30" x14ac:dyDescent="0.2">
      <c r="A547" s="3">
        <f>Gegenstände!A547</f>
        <v>2405</v>
      </c>
      <c r="B547" s="3" t="str">
        <f>Gegenstände!B547</f>
        <v>Kristall-Plattenstiefel</v>
      </c>
      <c r="D547" s="3">
        <f>Gegenstände!K547</f>
        <v>2700</v>
      </c>
      <c r="E547" s="3">
        <f>Gegenstände!I547</f>
        <v>15</v>
      </c>
      <c r="F547" s="3">
        <f>VLOOKUP(Gegenstände!E547,Berechnungen!$E$87:$F$115,2,FALSE)</f>
        <v>23</v>
      </c>
      <c r="G547" s="3">
        <f>Gegenstände!H547</f>
        <v>2</v>
      </c>
      <c r="H547" s="3">
        <f>Gegenstände!G547</f>
        <v>9</v>
      </c>
      <c r="I547" s="3">
        <f>Gegenstände!D547</f>
        <v>5</v>
      </c>
      <c r="J547" s="168">
        <f>ROUND(Gegenstände!N547,0)</f>
        <v>1800</v>
      </c>
      <c r="K547" s="3">
        <f>Gegenstände!J547</f>
        <v>100</v>
      </c>
      <c r="L547" s="3">
        <f>Gegenstände!L547</f>
        <v>0</v>
      </c>
      <c r="M547" s="3">
        <f>Gegenstände!Z547</f>
        <v>12</v>
      </c>
      <c r="N547" s="783">
        <f>(Gegenstände!Y547*10)</f>
        <v>30</v>
      </c>
      <c r="O547" s="783">
        <f>(Gegenstände!W547*10)</f>
        <v>12</v>
      </c>
      <c r="P547" s="783">
        <f>Gegenstände!AA547*10</f>
        <v>0</v>
      </c>
      <c r="Q547" s="783">
        <f>Gegenstände!O547</f>
        <v>0</v>
      </c>
      <c r="R547" s="168">
        <f>Gegenstände!S547</f>
        <v>0</v>
      </c>
      <c r="S547" s="168">
        <f>Gegenstände!T547</f>
        <v>0</v>
      </c>
      <c r="T547" s="783">
        <f>Gegenstände!AC547</f>
        <v>0</v>
      </c>
      <c r="U547" s="783">
        <f>Gegenstände!AE547</f>
        <v>0</v>
      </c>
      <c r="V547" s="783">
        <f>Gegenstände!AD547</f>
        <v>0</v>
      </c>
      <c r="W547" s="783">
        <f>Gegenstände!AF547</f>
        <v>0</v>
      </c>
      <c r="AB547" s="3">
        <f>Gegenstände!M547</f>
        <v>0</v>
      </c>
      <c r="AC547" s="3">
        <f>Gegenstände!AB547</f>
        <v>0</v>
      </c>
      <c r="AD547" s="3">
        <f>Gegenstände!F547</f>
        <v>0</v>
      </c>
    </row>
    <row r="548" spans="1:30" x14ac:dyDescent="0.2">
      <c r="A548" s="3">
        <f>Gegenstände!A548</f>
        <v>2411</v>
      </c>
      <c r="B548" s="3" t="str">
        <f>Gegenstände!B548</f>
        <v>Quarz-Plattenhelm</v>
      </c>
      <c r="D548" s="3">
        <f>Gegenstände!K548</f>
        <v>3600</v>
      </c>
      <c r="E548" s="3">
        <f>Gegenstände!I548</f>
        <v>11</v>
      </c>
      <c r="F548" s="3">
        <f>VLOOKUP(Gegenstände!E548,Berechnungen!$E$87:$F$115,2,FALSE)</f>
        <v>23</v>
      </c>
      <c r="G548" s="3">
        <f>Gegenstände!H548</f>
        <v>2</v>
      </c>
      <c r="H548" s="3">
        <f>Gegenstände!G548</f>
        <v>9</v>
      </c>
      <c r="I548" s="3">
        <f>Gegenstände!D548</f>
        <v>9</v>
      </c>
      <c r="J548" s="168">
        <f>ROUND(Gegenstände!N548,0)</f>
        <v>4100</v>
      </c>
      <c r="K548" s="3">
        <f>Gegenstände!J548</f>
        <v>100</v>
      </c>
      <c r="L548" s="3">
        <f>Gegenstände!L548</f>
        <v>0</v>
      </c>
      <c r="M548" s="3">
        <f>Gegenstände!Z548</f>
        <v>16</v>
      </c>
      <c r="N548" s="783">
        <f>(Gegenstände!Y548*10)</f>
        <v>40</v>
      </c>
      <c r="O548" s="783">
        <f>(Gegenstände!W548*10)</f>
        <v>24</v>
      </c>
      <c r="P548" s="783">
        <f>Gegenstände!AA548*10</f>
        <v>0</v>
      </c>
      <c r="Q548" s="783">
        <f>Gegenstände!O548</f>
        <v>0</v>
      </c>
      <c r="R548" s="168">
        <f>Gegenstände!S548</f>
        <v>0</v>
      </c>
      <c r="S548" s="168">
        <f>Gegenstände!T548</f>
        <v>0</v>
      </c>
      <c r="T548" s="783">
        <f>Gegenstände!AC548</f>
        <v>0</v>
      </c>
      <c r="U548" s="783">
        <f>Gegenstände!AE548</f>
        <v>0</v>
      </c>
      <c r="V548" s="783">
        <f>Gegenstände!AD548</f>
        <v>0</v>
      </c>
      <c r="W548" s="783">
        <f>Gegenstände!AF548</f>
        <v>0</v>
      </c>
      <c r="AB548" s="3">
        <f>Gegenstände!M548</f>
        <v>0</v>
      </c>
      <c r="AC548" s="3">
        <f>Gegenstände!AB548</f>
        <v>0</v>
      </c>
      <c r="AD548" s="3">
        <f>Gegenstände!F548</f>
        <v>0</v>
      </c>
    </row>
    <row r="549" spans="1:30" x14ac:dyDescent="0.2">
      <c r="A549" s="3">
        <f>Gegenstände!A549</f>
        <v>2412</v>
      </c>
      <c r="B549" s="3" t="str">
        <f>Gegenstände!B549</f>
        <v>Quarz-Plattenpanzer</v>
      </c>
      <c r="D549" s="3">
        <f>Gegenstände!K549</f>
        <v>5400</v>
      </c>
      <c r="E549" s="3">
        <f>Gegenstände!I549</f>
        <v>12</v>
      </c>
      <c r="F549" s="3">
        <f>VLOOKUP(Gegenstände!E549,Berechnungen!$E$87:$F$115,2,FALSE)</f>
        <v>23</v>
      </c>
      <c r="G549" s="3">
        <f>Gegenstände!H549</f>
        <v>2</v>
      </c>
      <c r="H549" s="3">
        <f>Gegenstände!G549</f>
        <v>9</v>
      </c>
      <c r="I549" s="3">
        <f>Gegenstände!D549</f>
        <v>9</v>
      </c>
      <c r="J549" s="168">
        <f>ROUND(Gegenstände!N549,0)</f>
        <v>5600</v>
      </c>
      <c r="K549" s="3">
        <f>Gegenstände!J549</f>
        <v>100</v>
      </c>
      <c r="L549" s="3">
        <f>Gegenstände!L549</f>
        <v>0</v>
      </c>
      <c r="M549" s="3">
        <f>Gegenstände!Z549</f>
        <v>24</v>
      </c>
      <c r="N549" s="783">
        <f>(Gegenstände!Y549*10)</f>
        <v>60</v>
      </c>
      <c r="O549" s="783">
        <f>(Gegenstände!W549*10)</f>
        <v>36</v>
      </c>
      <c r="P549" s="783">
        <f>Gegenstände!AA549*10</f>
        <v>0</v>
      </c>
      <c r="Q549" s="783">
        <f>Gegenstände!O549</f>
        <v>0</v>
      </c>
      <c r="R549" s="168">
        <f>Gegenstände!S549</f>
        <v>0</v>
      </c>
      <c r="S549" s="168">
        <f>Gegenstände!T549</f>
        <v>0</v>
      </c>
      <c r="T549" s="783">
        <f>Gegenstände!AC549</f>
        <v>0</v>
      </c>
      <c r="U549" s="783">
        <f>Gegenstände!AE549</f>
        <v>0</v>
      </c>
      <c r="V549" s="783">
        <f>Gegenstände!AD549</f>
        <v>0</v>
      </c>
      <c r="W549" s="783">
        <f>Gegenstände!AF549</f>
        <v>0</v>
      </c>
      <c r="AB549" s="3">
        <f>Gegenstände!M549</f>
        <v>0</v>
      </c>
      <c r="AC549" s="3">
        <f>Gegenstände!AB549</f>
        <v>0</v>
      </c>
      <c r="AD549" s="3">
        <f>Gegenstände!F549</f>
        <v>0</v>
      </c>
    </row>
    <row r="550" spans="1:30" x14ac:dyDescent="0.2">
      <c r="A550" s="3">
        <f>Gegenstände!A550</f>
        <v>2413</v>
      </c>
      <c r="B550" s="3" t="str">
        <f>Gegenstände!B550</f>
        <v>Quarz-Plattenhandschuhe</v>
      </c>
      <c r="D550" s="3">
        <f>Gegenstände!K550</f>
        <v>2700</v>
      </c>
      <c r="E550" s="3">
        <f>Gegenstände!I550</f>
        <v>13</v>
      </c>
      <c r="F550" s="3">
        <f>VLOOKUP(Gegenstände!E550,Berechnungen!$E$87:$F$115,2,FALSE)</f>
        <v>23</v>
      </c>
      <c r="G550" s="3">
        <f>Gegenstände!H550</f>
        <v>2</v>
      </c>
      <c r="H550" s="3">
        <f>Gegenstände!G550</f>
        <v>9</v>
      </c>
      <c r="I550" s="3">
        <f>Gegenstände!D550</f>
        <v>10</v>
      </c>
      <c r="J550" s="168">
        <f>ROUND(Gegenstände!N550,0)</f>
        <v>3600</v>
      </c>
      <c r="K550" s="3">
        <f>Gegenstände!J550</f>
        <v>100</v>
      </c>
      <c r="L550" s="3">
        <f>Gegenstände!L550</f>
        <v>0</v>
      </c>
      <c r="M550" s="3">
        <f>Gegenstände!Z550</f>
        <v>12</v>
      </c>
      <c r="N550" s="783">
        <f>(Gegenstände!Y550*10)</f>
        <v>30</v>
      </c>
      <c r="O550" s="783">
        <f>(Gegenstände!W550*10)</f>
        <v>18</v>
      </c>
      <c r="P550" s="783">
        <f>Gegenstände!AA550*10</f>
        <v>0</v>
      </c>
      <c r="Q550" s="783">
        <f>Gegenstände!O550</f>
        <v>0</v>
      </c>
      <c r="R550" s="168">
        <f>Gegenstände!S550</f>
        <v>0</v>
      </c>
      <c r="S550" s="168">
        <f>Gegenstände!T550</f>
        <v>0</v>
      </c>
      <c r="T550" s="783">
        <f>Gegenstände!AC550</f>
        <v>0</v>
      </c>
      <c r="U550" s="783">
        <f>Gegenstände!AE550</f>
        <v>0</v>
      </c>
      <c r="V550" s="783">
        <f>Gegenstände!AD550</f>
        <v>0</v>
      </c>
      <c r="W550" s="783">
        <f>Gegenstände!AF550</f>
        <v>0</v>
      </c>
      <c r="AB550" s="3">
        <f>Gegenstände!M550</f>
        <v>0</v>
      </c>
      <c r="AC550" s="3">
        <f>Gegenstände!AB550</f>
        <v>0</v>
      </c>
      <c r="AD550" s="3">
        <f>Gegenstände!F550</f>
        <v>0</v>
      </c>
    </row>
    <row r="551" spans="1:30" x14ac:dyDescent="0.2">
      <c r="A551" s="3">
        <f>Gegenstände!A551</f>
        <v>2414</v>
      </c>
      <c r="B551" s="3" t="str">
        <f>Gegenstände!B551</f>
        <v>Quarz-Plattenbeinlinge</v>
      </c>
      <c r="D551" s="3">
        <f>Gegenstände!K551</f>
        <v>3600</v>
      </c>
      <c r="E551" s="3">
        <f>Gegenstände!I551</f>
        <v>14</v>
      </c>
      <c r="F551" s="3">
        <f>VLOOKUP(Gegenstände!E551,Berechnungen!$E$87:$F$115,2,FALSE)</f>
        <v>23</v>
      </c>
      <c r="G551" s="3">
        <f>Gegenstände!H551</f>
        <v>2</v>
      </c>
      <c r="H551" s="3">
        <f>Gegenstände!G551</f>
        <v>9</v>
      </c>
      <c r="I551" s="3">
        <f>Gegenstände!D551</f>
        <v>10</v>
      </c>
      <c r="J551" s="168">
        <f>ROUND(Gegenstände!N551,0)</f>
        <v>4500</v>
      </c>
      <c r="K551" s="3">
        <f>Gegenstände!J551</f>
        <v>100</v>
      </c>
      <c r="L551" s="3">
        <f>Gegenstände!L551</f>
        <v>0</v>
      </c>
      <c r="M551" s="3">
        <f>Gegenstände!Z551</f>
        <v>16</v>
      </c>
      <c r="N551" s="783">
        <f>(Gegenstände!Y551*10)</f>
        <v>40</v>
      </c>
      <c r="O551" s="783">
        <f>(Gegenstände!W551*10)</f>
        <v>24</v>
      </c>
      <c r="P551" s="783">
        <f>Gegenstände!AA551*10</f>
        <v>0</v>
      </c>
      <c r="Q551" s="783">
        <f>Gegenstände!O551</f>
        <v>0</v>
      </c>
      <c r="R551" s="168">
        <f>Gegenstände!S551</f>
        <v>0</v>
      </c>
      <c r="S551" s="168">
        <f>Gegenstände!T551</f>
        <v>0</v>
      </c>
      <c r="T551" s="783">
        <f>Gegenstände!AC551</f>
        <v>0</v>
      </c>
      <c r="U551" s="783">
        <f>Gegenstände!AE551</f>
        <v>0</v>
      </c>
      <c r="V551" s="783">
        <f>Gegenstände!AD551</f>
        <v>0</v>
      </c>
      <c r="W551" s="783">
        <f>Gegenstände!AF551</f>
        <v>0</v>
      </c>
      <c r="AB551" s="3">
        <f>Gegenstände!M551</f>
        <v>0</v>
      </c>
      <c r="AC551" s="3">
        <f>Gegenstände!AB551</f>
        <v>0</v>
      </c>
      <c r="AD551" s="3">
        <f>Gegenstände!F551</f>
        <v>0</v>
      </c>
    </row>
    <row r="552" spans="1:30" x14ac:dyDescent="0.2">
      <c r="A552" s="3">
        <f>Gegenstände!A552</f>
        <v>2415</v>
      </c>
      <c r="B552" s="3" t="str">
        <f>Gegenstände!B552</f>
        <v>Quarz-Plattenstiefel</v>
      </c>
      <c r="D552" s="3">
        <f>Gegenstände!K552</f>
        <v>2700</v>
      </c>
      <c r="E552" s="3">
        <f>Gegenstände!I552</f>
        <v>15</v>
      </c>
      <c r="F552" s="3">
        <f>VLOOKUP(Gegenstände!E552,Berechnungen!$E$87:$F$115,2,FALSE)</f>
        <v>23</v>
      </c>
      <c r="G552" s="3">
        <f>Gegenstände!H552</f>
        <v>2</v>
      </c>
      <c r="H552" s="3">
        <f>Gegenstände!G552</f>
        <v>9</v>
      </c>
      <c r="I552" s="3">
        <f>Gegenstände!D552</f>
        <v>10</v>
      </c>
      <c r="J552" s="168">
        <f>ROUND(Gegenstände!N552,0)</f>
        <v>3600</v>
      </c>
      <c r="K552" s="3">
        <f>Gegenstände!J552</f>
        <v>100</v>
      </c>
      <c r="L552" s="3">
        <f>Gegenstände!L552</f>
        <v>0</v>
      </c>
      <c r="M552" s="3">
        <f>Gegenstände!Z552</f>
        <v>12</v>
      </c>
      <c r="N552" s="783">
        <f>(Gegenstände!Y552*10)</f>
        <v>30</v>
      </c>
      <c r="O552" s="783">
        <f>(Gegenstände!W552*10)</f>
        <v>18</v>
      </c>
      <c r="P552" s="783">
        <f>Gegenstände!AA552*10</f>
        <v>0</v>
      </c>
      <c r="Q552" s="783">
        <f>Gegenstände!O552</f>
        <v>0</v>
      </c>
      <c r="R552" s="168">
        <f>Gegenstände!S552</f>
        <v>0</v>
      </c>
      <c r="S552" s="168">
        <f>Gegenstände!T552</f>
        <v>0</v>
      </c>
      <c r="T552" s="783">
        <f>Gegenstände!AC552</f>
        <v>0</v>
      </c>
      <c r="U552" s="783">
        <f>Gegenstände!AE552</f>
        <v>0</v>
      </c>
      <c r="V552" s="783">
        <f>Gegenstände!AD552</f>
        <v>0</v>
      </c>
      <c r="W552" s="783">
        <f>Gegenstände!AF552</f>
        <v>0</v>
      </c>
      <c r="AB552" s="3">
        <f>Gegenstände!M552</f>
        <v>0</v>
      </c>
      <c r="AC552" s="3">
        <f>Gegenstände!AB552</f>
        <v>0</v>
      </c>
      <c r="AD552" s="3">
        <f>Gegenstände!F552</f>
        <v>0</v>
      </c>
    </row>
    <row r="553" spans="1:30" x14ac:dyDescent="0.2">
      <c r="A553" s="3">
        <f>Gegenstände!A553</f>
        <v>2421</v>
      </c>
      <c r="B553" s="3" t="str">
        <f>Gegenstände!B553</f>
        <v>Smaragd-Plattenhelm</v>
      </c>
      <c r="D553" s="3">
        <f>Gegenstände!K553</f>
        <v>3600</v>
      </c>
      <c r="E553" s="3">
        <f>Gegenstände!I553</f>
        <v>11</v>
      </c>
      <c r="F553" s="3">
        <f>VLOOKUP(Gegenstände!E553,Berechnungen!$E$87:$F$115,2,FALSE)</f>
        <v>23</v>
      </c>
      <c r="G553" s="3">
        <f>Gegenstände!H553</f>
        <v>2</v>
      </c>
      <c r="H553" s="3">
        <f>Gegenstände!G553</f>
        <v>9</v>
      </c>
      <c r="I553" s="3">
        <f>Gegenstände!D553</f>
        <v>14</v>
      </c>
      <c r="J553" s="168">
        <f>ROUND(Gegenstände!N553,0)</f>
        <v>8200</v>
      </c>
      <c r="K553" s="3">
        <f>Gegenstände!J553</f>
        <v>100</v>
      </c>
      <c r="L553" s="3">
        <f>Gegenstände!L553</f>
        <v>0</v>
      </c>
      <c r="M553" s="3">
        <f>Gegenstände!Z553</f>
        <v>16</v>
      </c>
      <c r="N553" s="783">
        <f>(Gegenstände!Y553*10)</f>
        <v>40</v>
      </c>
      <c r="O553" s="783">
        <f>(Gegenstände!W553*10)</f>
        <v>34</v>
      </c>
      <c r="P553" s="783">
        <f>Gegenstände!AA553*10</f>
        <v>0</v>
      </c>
      <c r="Q553" s="783">
        <f>Gegenstände!O553</f>
        <v>0</v>
      </c>
      <c r="R553" s="168">
        <f>Gegenstände!S553</f>
        <v>0</v>
      </c>
      <c r="S553" s="168">
        <f>Gegenstände!T553</f>
        <v>0</v>
      </c>
      <c r="T553" s="783">
        <f>Gegenstände!AC553</f>
        <v>0</v>
      </c>
      <c r="U553" s="783">
        <f>Gegenstände!AE553</f>
        <v>0</v>
      </c>
      <c r="V553" s="783">
        <f>Gegenstände!AD553</f>
        <v>0</v>
      </c>
      <c r="W553" s="783">
        <f>Gegenstände!AF553</f>
        <v>0</v>
      </c>
      <c r="AB553" s="3">
        <f>Gegenstände!M553</f>
        <v>0</v>
      </c>
      <c r="AC553" s="3">
        <f>Gegenstände!AB553</f>
        <v>0</v>
      </c>
      <c r="AD553" s="3">
        <f>Gegenstände!F553</f>
        <v>0</v>
      </c>
    </row>
    <row r="554" spans="1:30" x14ac:dyDescent="0.2">
      <c r="A554" s="3">
        <f>Gegenstände!A554</f>
        <v>2422</v>
      </c>
      <c r="B554" s="3" t="str">
        <f>Gegenstände!B554</f>
        <v>Smaragd-Plattenpanzer</v>
      </c>
      <c r="D554" s="3">
        <f>Gegenstände!K554</f>
        <v>5400</v>
      </c>
      <c r="E554" s="3">
        <f>Gegenstände!I554</f>
        <v>12</v>
      </c>
      <c r="F554" s="3">
        <f>VLOOKUP(Gegenstände!E554,Berechnungen!$E$87:$F$115,2,FALSE)</f>
        <v>23</v>
      </c>
      <c r="G554" s="3">
        <f>Gegenstände!H554</f>
        <v>2</v>
      </c>
      <c r="H554" s="3">
        <f>Gegenstände!G554</f>
        <v>9</v>
      </c>
      <c r="I554" s="3">
        <f>Gegenstände!D554</f>
        <v>14</v>
      </c>
      <c r="J554" s="168">
        <f>ROUND(Gegenstände!N554,0)</f>
        <v>11200</v>
      </c>
      <c r="K554" s="3">
        <f>Gegenstände!J554</f>
        <v>100</v>
      </c>
      <c r="L554" s="3">
        <f>Gegenstände!L554</f>
        <v>0</v>
      </c>
      <c r="M554" s="3">
        <f>Gegenstände!Z554</f>
        <v>24</v>
      </c>
      <c r="N554" s="783">
        <f>(Gegenstände!Y554*10)</f>
        <v>60</v>
      </c>
      <c r="O554" s="783">
        <f>(Gegenstände!W554*10)</f>
        <v>51</v>
      </c>
      <c r="P554" s="783">
        <f>Gegenstände!AA554*10</f>
        <v>0</v>
      </c>
      <c r="Q554" s="783">
        <f>Gegenstände!O554</f>
        <v>0</v>
      </c>
      <c r="R554" s="168">
        <f>Gegenstände!S554</f>
        <v>0</v>
      </c>
      <c r="S554" s="168">
        <f>Gegenstände!T554</f>
        <v>0</v>
      </c>
      <c r="T554" s="783">
        <f>Gegenstände!AC554</f>
        <v>0</v>
      </c>
      <c r="U554" s="783">
        <f>Gegenstände!AE554</f>
        <v>0</v>
      </c>
      <c r="V554" s="783">
        <f>Gegenstände!AD554</f>
        <v>0</v>
      </c>
      <c r="W554" s="783">
        <f>Gegenstände!AF554</f>
        <v>0</v>
      </c>
      <c r="AB554" s="3">
        <f>Gegenstände!M554</f>
        <v>0</v>
      </c>
      <c r="AC554" s="3">
        <f>Gegenstände!AB554</f>
        <v>0</v>
      </c>
      <c r="AD554" s="3">
        <f>Gegenstände!F554</f>
        <v>0</v>
      </c>
    </row>
    <row r="555" spans="1:30" x14ac:dyDescent="0.2">
      <c r="A555" s="3">
        <f>Gegenstände!A555</f>
        <v>2423</v>
      </c>
      <c r="B555" s="3" t="str">
        <f>Gegenstände!B555</f>
        <v>Smaragd-Plattenhandschuhe</v>
      </c>
      <c r="D555" s="3">
        <f>Gegenstände!K555</f>
        <v>2700</v>
      </c>
      <c r="E555" s="3">
        <f>Gegenstände!I555</f>
        <v>13</v>
      </c>
      <c r="F555" s="3">
        <f>VLOOKUP(Gegenstände!E555,Berechnungen!$E$87:$F$115,2,FALSE)</f>
        <v>23</v>
      </c>
      <c r="G555" s="3">
        <f>Gegenstände!H555</f>
        <v>2</v>
      </c>
      <c r="H555" s="3">
        <f>Gegenstände!G555</f>
        <v>9</v>
      </c>
      <c r="I555" s="3">
        <f>Gegenstände!D555</f>
        <v>15</v>
      </c>
      <c r="J555" s="168">
        <f>ROUND(Gegenstände!N555,0)</f>
        <v>7300</v>
      </c>
      <c r="K555" s="3">
        <f>Gegenstände!J555</f>
        <v>100</v>
      </c>
      <c r="L555" s="3">
        <f>Gegenstände!L555</f>
        <v>0</v>
      </c>
      <c r="M555" s="3">
        <f>Gegenstände!Z555</f>
        <v>12</v>
      </c>
      <c r="N555" s="783">
        <f>(Gegenstände!Y555*10)</f>
        <v>30</v>
      </c>
      <c r="O555" s="783">
        <f>(Gegenstände!W555*10)</f>
        <v>26</v>
      </c>
      <c r="P555" s="783">
        <f>Gegenstände!AA555*10</f>
        <v>0</v>
      </c>
      <c r="Q555" s="783">
        <f>Gegenstände!O555</f>
        <v>0</v>
      </c>
      <c r="R555" s="168">
        <f>Gegenstände!S555</f>
        <v>0</v>
      </c>
      <c r="S555" s="168">
        <f>Gegenstände!T555</f>
        <v>0</v>
      </c>
      <c r="T555" s="783">
        <f>Gegenstände!AC555</f>
        <v>0</v>
      </c>
      <c r="U555" s="783">
        <f>Gegenstände!AE555</f>
        <v>0</v>
      </c>
      <c r="V555" s="783">
        <f>Gegenstände!AD555</f>
        <v>0</v>
      </c>
      <c r="W555" s="783">
        <f>Gegenstände!AF555</f>
        <v>0</v>
      </c>
      <c r="AB555" s="3">
        <f>Gegenstände!M555</f>
        <v>0</v>
      </c>
      <c r="AC555" s="3">
        <f>Gegenstände!AB555</f>
        <v>0</v>
      </c>
      <c r="AD555" s="3">
        <f>Gegenstände!F555</f>
        <v>0</v>
      </c>
    </row>
    <row r="556" spans="1:30" x14ac:dyDescent="0.2">
      <c r="A556" s="3">
        <f>Gegenstände!A556</f>
        <v>2424</v>
      </c>
      <c r="B556" s="3" t="str">
        <f>Gegenstände!B556</f>
        <v>Smaragd-Plattenbeinlinge</v>
      </c>
      <c r="D556" s="3">
        <f>Gegenstände!K556</f>
        <v>3600</v>
      </c>
      <c r="E556" s="3">
        <f>Gegenstände!I556</f>
        <v>14</v>
      </c>
      <c r="F556" s="3">
        <f>VLOOKUP(Gegenstände!E556,Berechnungen!$E$87:$F$115,2,FALSE)</f>
        <v>23</v>
      </c>
      <c r="G556" s="3">
        <f>Gegenstände!H556</f>
        <v>2</v>
      </c>
      <c r="H556" s="3">
        <f>Gegenstände!G556</f>
        <v>9</v>
      </c>
      <c r="I556" s="3">
        <f>Gegenstände!D556</f>
        <v>15</v>
      </c>
      <c r="J556" s="168">
        <f>ROUND(Gegenstände!N556,0)</f>
        <v>9100</v>
      </c>
      <c r="K556" s="3">
        <f>Gegenstände!J556</f>
        <v>100</v>
      </c>
      <c r="L556" s="3">
        <f>Gegenstände!L556</f>
        <v>0</v>
      </c>
      <c r="M556" s="3">
        <f>Gegenstände!Z556</f>
        <v>16</v>
      </c>
      <c r="N556" s="783">
        <f>(Gegenstände!Y556*10)</f>
        <v>40</v>
      </c>
      <c r="O556" s="783">
        <f>(Gegenstände!W556*10)</f>
        <v>34</v>
      </c>
      <c r="P556" s="783">
        <f>Gegenstände!AA556*10</f>
        <v>0</v>
      </c>
      <c r="Q556" s="783">
        <f>Gegenstände!O556</f>
        <v>0</v>
      </c>
      <c r="R556" s="168">
        <f>Gegenstände!S556</f>
        <v>0</v>
      </c>
      <c r="S556" s="168">
        <f>Gegenstände!T556</f>
        <v>0</v>
      </c>
      <c r="T556" s="783">
        <f>Gegenstände!AC556</f>
        <v>0</v>
      </c>
      <c r="U556" s="783">
        <f>Gegenstände!AE556</f>
        <v>0</v>
      </c>
      <c r="V556" s="783">
        <f>Gegenstände!AD556</f>
        <v>0</v>
      </c>
      <c r="W556" s="783">
        <f>Gegenstände!AF556</f>
        <v>0</v>
      </c>
      <c r="AB556" s="3">
        <f>Gegenstände!M556</f>
        <v>0</v>
      </c>
      <c r="AC556" s="3">
        <f>Gegenstände!AB556</f>
        <v>0</v>
      </c>
      <c r="AD556" s="3">
        <f>Gegenstände!F556</f>
        <v>0</v>
      </c>
    </row>
    <row r="557" spans="1:30" x14ac:dyDescent="0.2">
      <c r="A557" s="3">
        <f>Gegenstände!A557</f>
        <v>2425</v>
      </c>
      <c r="B557" s="3" t="str">
        <f>Gegenstände!B557</f>
        <v>Smaragd-Plattenstiefel</v>
      </c>
      <c r="D557" s="3">
        <f>Gegenstände!K557</f>
        <v>2700</v>
      </c>
      <c r="E557" s="3">
        <f>Gegenstände!I557</f>
        <v>15</v>
      </c>
      <c r="F557" s="3">
        <f>VLOOKUP(Gegenstände!E557,Berechnungen!$E$87:$F$115,2,FALSE)</f>
        <v>23</v>
      </c>
      <c r="G557" s="3">
        <f>Gegenstände!H557</f>
        <v>2</v>
      </c>
      <c r="H557" s="3">
        <f>Gegenstände!G557</f>
        <v>9</v>
      </c>
      <c r="I557" s="3">
        <f>Gegenstände!D557</f>
        <v>15</v>
      </c>
      <c r="J557" s="168">
        <f>ROUND(Gegenstände!N557,0)</f>
        <v>7300</v>
      </c>
      <c r="K557" s="3">
        <f>Gegenstände!J557</f>
        <v>100</v>
      </c>
      <c r="L557" s="3">
        <f>Gegenstände!L557</f>
        <v>0</v>
      </c>
      <c r="M557" s="3">
        <f>Gegenstände!Z557</f>
        <v>12</v>
      </c>
      <c r="N557" s="783">
        <f>(Gegenstände!Y557*10)</f>
        <v>30</v>
      </c>
      <c r="O557" s="783">
        <f>(Gegenstände!W557*10)</f>
        <v>26</v>
      </c>
      <c r="P557" s="783">
        <f>Gegenstände!AA557*10</f>
        <v>0</v>
      </c>
      <c r="Q557" s="783">
        <f>Gegenstände!O557</f>
        <v>0</v>
      </c>
      <c r="R557" s="168">
        <f>Gegenstände!S557</f>
        <v>0</v>
      </c>
      <c r="S557" s="168">
        <f>Gegenstände!T557</f>
        <v>0</v>
      </c>
      <c r="T557" s="783">
        <f>Gegenstände!AC557</f>
        <v>0</v>
      </c>
      <c r="U557" s="783">
        <f>Gegenstände!AE557</f>
        <v>0</v>
      </c>
      <c r="V557" s="783">
        <f>Gegenstände!AD557</f>
        <v>0</v>
      </c>
      <c r="W557" s="783">
        <f>Gegenstände!AF557</f>
        <v>0</v>
      </c>
      <c r="AB557" s="3">
        <f>Gegenstände!M557</f>
        <v>0</v>
      </c>
      <c r="AC557" s="3">
        <f>Gegenstände!AB557</f>
        <v>0</v>
      </c>
      <c r="AD557" s="3">
        <f>Gegenstände!F557</f>
        <v>0</v>
      </c>
    </row>
    <row r="558" spans="1:30" x14ac:dyDescent="0.2">
      <c r="A558" s="3">
        <f>Gegenstände!A558</f>
        <v>2431</v>
      </c>
      <c r="B558" s="3" t="str">
        <f>Gegenstände!B558</f>
        <v>Rubin-Plattenhelm</v>
      </c>
      <c r="D558" s="3">
        <f>Gegenstände!K558</f>
        <v>3600</v>
      </c>
      <c r="E558" s="3">
        <f>Gegenstände!I558</f>
        <v>11</v>
      </c>
      <c r="F558" s="3">
        <f>VLOOKUP(Gegenstände!E558,Berechnungen!$E$87:$F$115,2,FALSE)</f>
        <v>23</v>
      </c>
      <c r="G558" s="3">
        <f>Gegenstände!H558</f>
        <v>2</v>
      </c>
      <c r="H558" s="3">
        <f>Gegenstände!G558</f>
        <v>9</v>
      </c>
      <c r="I558" s="3">
        <f>Gegenstände!D558</f>
        <v>19</v>
      </c>
      <c r="J558" s="168">
        <f>ROUND(Gegenstände!N558,0)</f>
        <v>15900</v>
      </c>
      <c r="K558" s="3">
        <f>Gegenstände!J558</f>
        <v>100</v>
      </c>
      <c r="L558" s="3">
        <f>Gegenstände!L558</f>
        <v>0</v>
      </c>
      <c r="M558" s="3">
        <f>Gegenstände!Z558</f>
        <v>16</v>
      </c>
      <c r="N558" s="783">
        <f>(Gegenstände!Y558*10)</f>
        <v>40</v>
      </c>
      <c r="O558" s="783">
        <f>(Gegenstände!W558*10)</f>
        <v>42</v>
      </c>
      <c r="P558" s="783">
        <f>Gegenstände!AA558*10</f>
        <v>0</v>
      </c>
      <c r="Q558" s="783">
        <f>Gegenstände!O558</f>
        <v>0</v>
      </c>
      <c r="R558" s="168">
        <f>Gegenstände!S558</f>
        <v>0</v>
      </c>
      <c r="S558" s="168">
        <f>Gegenstände!T558</f>
        <v>0</v>
      </c>
      <c r="T558" s="783">
        <f>Gegenstände!AC558</f>
        <v>0</v>
      </c>
      <c r="U558" s="783">
        <f>Gegenstände!AE558</f>
        <v>0</v>
      </c>
      <c r="V558" s="783">
        <f>Gegenstände!AD558</f>
        <v>0</v>
      </c>
      <c r="W558" s="783">
        <f>Gegenstände!AF558</f>
        <v>0</v>
      </c>
      <c r="AB558" s="3">
        <f>Gegenstände!M558</f>
        <v>0</v>
      </c>
      <c r="AC558" s="3">
        <f>Gegenstände!AB558</f>
        <v>0</v>
      </c>
      <c r="AD558" s="3">
        <f>Gegenstände!F558</f>
        <v>0</v>
      </c>
    </row>
    <row r="559" spans="1:30" x14ac:dyDescent="0.2">
      <c r="A559" s="3">
        <f>Gegenstände!A559</f>
        <v>2432</v>
      </c>
      <c r="B559" s="3" t="str">
        <f>Gegenstände!B559</f>
        <v>Rubin-Plattenpanzer</v>
      </c>
      <c r="D559" s="3">
        <f>Gegenstände!K559</f>
        <v>5400</v>
      </c>
      <c r="E559" s="3">
        <f>Gegenstände!I559</f>
        <v>12</v>
      </c>
      <c r="F559" s="3">
        <f>VLOOKUP(Gegenstände!E559,Berechnungen!$E$87:$F$115,2,FALSE)</f>
        <v>23</v>
      </c>
      <c r="G559" s="3">
        <f>Gegenstände!H559</f>
        <v>2</v>
      </c>
      <c r="H559" s="3">
        <f>Gegenstände!G559</f>
        <v>9</v>
      </c>
      <c r="I559" s="3">
        <f>Gegenstände!D559</f>
        <v>19</v>
      </c>
      <c r="J559" s="168">
        <f>ROUND(Gegenstände!N559,0)</f>
        <v>22100</v>
      </c>
      <c r="K559" s="3">
        <f>Gegenstände!J559</f>
        <v>100</v>
      </c>
      <c r="L559" s="3">
        <f>Gegenstände!L559</f>
        <v>0</v>
      </c>
      <c r="M559" s="3">
        <f>Gegenstände!Z559</f>
        <v>24</v>
      </c>
      <c r="N559" s="783">
        <f>(Gegenstände!Y559*10)</f>
        <v>60</v>
      </c>
      <c r="O559" s="783">
        <f>(Gegenstände!W559*10)</f>
        <v>63</v>
      </c>
      <c r="P559" s="783">
        <f>Gegenstände!AA559*10</f>
        <v>0</v>
      </c>
      <c r="Q559" s="783">
        <f>Gegenstände!O559</f>
        <v>0</v>
      </c>
      <c r="R559" s="168">
        <f>Gegenstände!S559</f>
        <v>0</v>
      </c>
      <c r="S559" s="168">
        <f>Gegenstände!T559</f>
        <v>0</v>
      </c>
      <c r="T559" s="783">
        <f>Gegenstände!AC559</f>
        <v>0</v>
      </c>
      <c r="U559" s="783">
        <f>Gegenstände!AE559</f>
        <v>0</v>
      </c>
      <c r="V559" s="783">
        <f>Gegenstände!AD559</f>
        <v>0</v>
      </c>
      <c r="W559" s="783">
        <f>Gegenstände!AF559</f>
        <v>0</v>
      </c>
      <c r="AB559" s="3">
        <f>Gegenstände!M559</f>
        <v>0</v>
      </c>
      <c r="AC559" s="3">
        <f>Gegenstände!AB559</f>
        <v>0</v>
      </c>
      <c r="AD559" s="3">
        <f>Gegenstände!F559</f>
        <v>0</v>
      </c>
    </row>
    <row r="560" spans="1:30" x14ac:dyDescent="0.2">
      <c r="A560" s="3">
        <f>Gegenstände!A560</f>
        <v>2433</v>
      </c>
      <c r="B560" s="3" t="str">
        <f>Gegenstände!B560</f>
        <v>Rubin-Plattenhandschuhe</v>
      </c>
      <c r="D560" s="3">
        <f>Gegenstände!K560</f>
        <v>2700</v>
      </c>
      <c r="E560" s="3">
        <f>Gegenstände!I560</f>
        <v>13</v>
      </c>
      <c r="F560" s="3">
        <f>VLOOKUP(Gegenstände!E560,Berechnungen!$E$87:$F$115,2,FALSE)</f>
        <v>23</v>
      </c>
      <c r="G560" s="3">
        <f>Gegenstände!H560</f>
        <v>2</v>
      </c>
      <c r="H560" s="3">
        <f>Gegenstände!G560</f>
        <v>9</v>
      </c>
      <c r="I560" s="3">
        <f>Gegenstände!D560</f>
        <v>20</v>
      </c>
      <c r="J560" s="168">
        <f>ROUND(Gegenstände!N560,0)</f>
        <v>14200</v>
      </c>
      <c r="K560" s="3">
        <f>Gegenstände!J560</f>
        <v>100</v>
      </c>
      <c r="L560" s="3">
        <f>Gegenstände!L560</f>
        <v>0</v>
      </c>
      <c r="M560" s="3">
        <f>Gegenstände!Z560</f>
        <v>12</v>
      </c>
      <c r="N560" s="783">
        <f>(Gegenstände!Y560*10)</f>
        <v>30</v>
      </c>
      <c r="O560" s="783">
        <f>(Gegenstände!W560*10)</f>
        <v>32</v>
      </c>
      <c r="P560" s="783">
        <f>Gegenstände!AA560*10</f>
        <v>0</v>
      </c>
      <c r="Q560" s="783">
        <f>Gegenstände!O560</f>
        <v>0</v>
      </c>
      <c r="R560" s="168">
        <f>Gegenstände!S560</f>
        <v>0</v>
      </c>
      <c r="S560" s="168">
        <f>Gegenstände!T560</f>
        <v>0</v>
      </c>
      <c r="T560" s="783">
        <f>Gegenstände!AC560</f>
        <v>0</v>
      </c>
      <c r="U560" s="783">
        <f>Gegenstände!AE560</f>
        <v>0</v>
      </c>
      <c r="V560" s="783">
        <f>Gegenstände!AD560</f>
        <v>0</v>
      </c>
      <c r="W560" s="783">
        <f>Gegenstände!AF560</f>
        <v>0</v>
      </c>
      <c r="AB560" s="3">
        <f>Gegenstände!M560</f>
        <v>0</v>
      </c>
      <c r="AC560" s="3">
        <f>Gegenstände!AB560</f>
        <v>0</v>
      </c>
      <c r="AD560" s="3">
        <f>Gegenstände!F560</f>
        <v>0</v>
      </c>
    </row>
    <row r="561" spans="1:30" x14ac:dyDescent="0.2">
      <c r="A561" s="3">
        <f>Gegenstände!A561</f>
        <v>2434</v>
      </c>
      <c r="B561" s="3" t="str">
        <f>Gegenstände!B561</f>
        <v>Rubin-Plattenbeinlinge</v>
      </c>
      <c r="D561" s="3">
        <f>Gegenstände!K561</f>
        <v>3600</v>
      </c>
      <c r="E561" s="3">
        <f>Gegenstände!I561</f>
        <v>14</v>
      </c>
      <c r="F561" s="3">
        <f>VLOOKUP(Gegenstände!E561,Berechnungen!$E$87:$F$115,2,FALSE)</f>
        <v>23</v>
      </c>
      <c r="G561" s="3">
        <f>Gegenstände!H561</f>
        <v>2</v>
      </c>
      <c r="H561" s="3">
        <f>Gegenstände!G561</f>
        <v>9</v>
      </c>
      <c r="I561" s="3">
        <f>Gegenstände!D561</f>
        <v>20</v>
      </c>
      <c r="J561" s="168">
        <f>ROUND(Gegenstände!N561,0)</f>
        <v>17700</v>
      </c>
      <c r="K561" s="3">
        <f>Gegenstände!J561</f>
        <v>100</v>
      </c>
      <c r="L561" s="3">
        <f>Gegenstände!L561</f>
        <v>0</v>
      </c>
      <c r="M561" s="3">
        <f>Gegenstände!Z561</f>
        <v>16</v>
      </c>
      <c r="N561" s="783">
        <f>(Gegenstände!Y561*10)</f>
        <v>40</v>
      </c>
      <c r="O561" s="783">
        <f>(Gegenstände!W561*10)</f>
        <v>42</v>
      </c>
      <c r="P561" s="783">
        <f>Gegenstände!AA561*10</f>
        <v>0</v>
      </c>
      <c r="Q561" s="783">
        <f>Gegenstände!O561</f>
        <v>0</v>
      </c>
      <c r="R561" s="168">
        <f>Gegenstände!S561</f>
        <v>0</v>
      </c>
      <c r="S561" s="168">
        <f>Gegenstände!T561</f>
        <v>0</v>
      </c>
      <c r="T561" s="783">
        <f>Gegenstände!AC561</f>
        <v>0</v>
      </c>
      <c r="U561" s="783">
        <f>Gegenstände!AE561</f>
        <v>0</v>
      </c>
      <c r="V561" s="783">
        <f>Gegenstände!AD561</f>
        <v>0</v>
      </c>
      <c r="W561" s="783">
        <f>Gegenstände!AF561</f>
        <v>0</v>
      </c>
      <c r="AB561" s="3">
        <f>Gegenstände!M561</f>
        <v>0</v>
      </c>
      <c r="AC561" s="3">
        <f>Gegenstände!AB561</f>
        <v>0</v>
      </c>
      <c r="AD561" s="3">
        <f>Gegenstände!F561</f>
        <v>0</v>
      </c>
    </row>
    <row r="562" spans="1:30" x14ac:dyDescent="0.2">
      <c r="A562" s="3">
        <f>Gegenstände!A562</f>
        <v>2435</v>
      </c>
      <c r="B562" s="3" t="str">
        <f>Gegenstände!B562</f>
        <v>Rubin-Plattenstiefel</v>
      </c>
      <c r="D562" s="3">
        <f>Gegenstände!K562</f>
        <v>2700</v>
      </c>
      <c r="E562" s="3">
        <f>Gegenstände!I562</f>
        <v>15</v>
      </c>
      <c r="F562" s="3">
        <f>VLOOKUP(Gegenstände!E562,Berechnungen!$E$87:$F$115,2,FALSE)</f>
        <v>23</v>
      </c>
      <c r="G562" s="3">
        <f>Gegenstände!H562</f>
        <v>2</v>
      </c>
      <c r="H562" s="3">
        <f>Gegenstände!G562</f>
        <v>9</v>
      </c>
      <c r="I562" s="3">
        <f>Gegenstände!D562</f>
        <v>20</v>
      </c>
      <c r="J562" s="168">
        <f>ROUND(Gegenstände!N562,0)</f>
        <v>14200</v>
      </c>
      <c r="K562" s="3">
        <f>Gegenstände!J562</f>
        <v>100</v>
      </c>
      <c r="L562" s="3">
        <f>Gegenstände!L562</f>
        <v>0</v>
      </c>
      <c r="M562" s="3">
        <f>Gegenstände!Z562</f>
        <v>12</v>
      </c>
      <c r="N562" s="783">
        <f>(Gegenstände!Y562*10)</f>
        <v>30</v>
      </c>
      <c r="O562" s="783">
        <f>(Gegenstände!W562*10)</f>
        <v>32</v>
      </c>
      <c r="P562" s="783">
        <f>Gegenstände!AA562*10</f>
        <v>0</v>
      </c>
      <c r="Q562" s="783">
        <f>Gegenstände!O562</f>
        <v>0</v>
      </c>
      <c r="R562" s="168">
        <f>Gegenstände!S562</f>
        <v>0</v>
      </c>
      <c r="S562" s="168">
        <f>Gegenstände!T562</f>
        <v>0</v>
      </c>
      <c r="T562" s="783">
        <f>Gegenstände!AC562</f>
        <v>0</v>
      </c>
      <c r="U562" s="783">
        <f>Gegenstände!AE562</f>
        <v>0</v>
      </c>
      <c r="V562" s="783">
        <f>Gegenstände!AD562</f>
        <v>0</v>
      </c>
      <c r="W562" s="783">
        <f>Gegenstände!AF562</f>
        <v>0</v>
      </c>
      <c r="AB562" s="3">
        <f>Gegenstände!M562</f>
        <v>0</v>
      </c>
      <c r="AC562" s="3">
        <f>Gegenstände!AB562</f>
        <v>0</v>
      </c>
      <c r="AD562" s="3">
        <f>Gegenstände!F562</f>
        <v>0</v>
      </c>
    </row>
    <row r="563" spans="1:30" x14ac:dyDescent="0.2">
      <c r="A563" s="3">
        <f>Gegenstände!A563</f>
        <v>2441</v>
      </c>
      <c r="B563" s="3" t="str">
        <f>Gegenstände!B563</f>
        <v>Obsidian-Plattenhelm</v>
      </c>
      <c r="D563" s="3">
        <f>Gegenstände!K563</f>
        <v>3600</v>
      </c>
      <c r="E563" s="3">
        <f>Gegenstände!I563</f>
        <v>11</v>
      </c>
      <c r="F563" s="3">
        <f>VLOOKUP(Gegenstände!E563,Berechnungen!$E$87:$F$115,2,FALSE)</f>
        <v>23</v>
      </c>
      <c r="G563" s="3">
        <f>Gegenstände!H563</f>
        <v>2</v>
      </c>
      <c r="H563" s="3">
        <f>Gegenstände!G563</f>
        <v>9</v>
      </c>
      <c r="I563" s="3">
        <f>Gegenstände!D563</f>
        <v>24</v>
      </c>
      <c r="J563" s="168">
        <f>ROUND(Gegenstände!N563,0)</f>
        <v>29900</v>
      </c>
      <c r="K563" s="3">
        <f>Gegenstände!J563</f>
        <v>100</v>
      </c>
      <c r="L563" s="3">
        <f>Gegenstände!L563</f>
        <v>0</v>
      </c>
      <c r="M563" s="3">
        <f>Gegenstände!Z563</f>
        <v>16</v>
      </c>
      <c r="N563" s="783">
        <f>(Gegenstände!Y563*10)</f>
        <v>40</v>
      </c>
      <c r="O563" s="783">
        <f>(Gegenstände!W563*10)</f>
        <v>54</v>
      </c>
      <c r="P563" s="783">
        <f>Gegenstände!AA563*10</f>
        <v>0</v>
      </c>
      <c r="Q563" s="783">
        <f>Gegenstände!O563</f>
        <v>0</v>
      </c>
      <c r="R563" s="168">
        <f>Gegenstände!S563</f>
        <v>0</v>
      </c>
      <c r="S563" s="168">
        <f>Gegenstände!T563</f>
        <v>0</v>
      </c>
      <c r="T563" s="783">
        <f>Gegenstände!AC563</f>
        <v>0</v>
      </c>
      <c r="U563" s="783">
        <f>Gegenstände!AE563</f>
        <v>0</v>
      </c>
      <c r="V563" s="783">
        <f>Gegenstände!AD563</f>
        <v>0</v>
      </c>
      <c r="W563" s="783">
        <f>Gegenstände!AF563</f>
        <v>0</v>
      </c>
      <c r="AB563" s="3">
        <f>Gegenstände!M563</f>
        <v>0</v>
      </c>
      <c r="AC563" s="3">
        <f>Gegenstände!AB563</f>
        <v>0</v>
      </c>
      <c r="AD563" s="3">
        <f>Gegenstände!F563</f>
        <v>0</v>
      </c>
    </row>
    <row r="564" spans="1:30" x14ac:dyDescent="0.2">
      <c r="A564" s="3">
        <f>Gegenstände!A564</f>
        <v>2442</v>
      </c>
      <c r="B564" s="3" t="str">
        <f>Gegenstände!B564</f>
        <v>Obsidian-Plattenpanzer</v>
      </c>
      <c r="D564" s="3">
        <f>Gegenstände!K564</f>
        <v>5400</v>
      </c>
      <c r="E564" s="3">
        <f>Gegenstände!I564</f>
        <v>12</v>
      </c>
      <c r="F564" s="3">
        <f>VLOOKUP(Gegenstände!E564,Berechnungen!$E$87:$F$115,2,FALSE)</f>
        <v>23</v>
      </c>
      <c r="G564" s="3">
        <f>Gegenstände!H564</f>
        <v>2</v>
      </c>
      <c r="H564" s="3">
        <f>Gegenstände!G564</f>
        <v>9</v>
      </c>
      <c r="I564" s="3">
        <f>Gegenstände!D564</f>
        <v>24</v>
      </c>
      <c r="J564" s="168">
        <f>ROUND(Gegenstände!N564,0)</f>
        <v>42300</v>
      </c>
      <c r="K564" s="3">
        <f>Gegenstände!J564</f>
        <v>100</v>
      </c>
      <c r="L564" s="3">
        <f>Gegenstände!L564</f>
        <v>0</v>
      </c>
      <c r="M564" s="3">
        <f>Gegenstände!Z564</f>
        <v>24</v>
      </c>
      <c r="N564" s="783">
        <f>(Gegenstände!Y564*10)</f>
        <v>60</v>
      </c>
      <c r="O564" s="783">
        <f>(Gegenstände!W564*10)</f>
        <v>81</v>
      </c>
      <c r="P564" s="783">
        <f>Gegenstände!AA564*10</f>
        <v>0</v>
      </c>
      <c r="Q564" s="783">
        <f>Gegenstände!O564</f>
        <v>0</v>
      </c>
      <c r="R564" s="168">
        <f>Gegenstände!S564</f>
        <v>0</v>
      </c>
      <c r="S564" s="168">
        <f>Gegenstände!T564</f>
        <v>0</v>
      </c>
      <c r="T564" s="783">
        <f>Gegenstände!AC564</f>
        <v>0</v>
      </c>
      <c r="U564" s="783">
        <f>Gegenstände!AE564</f>
        <v>0</v>
      </c>
      <c r="V564" s="783">
        <f>Gegenstände!AD564</f>
        <v>0</v>
      </c>
      <c r="W564" s="783">
        <f>Gegenstände!AF564</f>
        <v>0</v>
      </c>
      <c r="AB564" s="3">
        <f>Gegenstände!M564</f>
        <v>0</v>
      </c>
      <c r="AC564" s="3">
        <f>Gegenstände!AB564</f>
        <v>0</v>
      </c>
      <c r="AD564" s="3">
        <f>Gegenstände!F564</f>
        <v>0</v>
      </c>
    </row>
    <row r="565" spans="1:30" x14ac:dyDescent="0.2">
      <c r="A565" s="3">
        <f>Gegenstände!A565</f>
        <v>2443</v>
      </c>
      <c r="B565" s="3" t="str">
        <f>Gegenstände!B565</f>
        <v>Obsidian-Plattenhandschuhe</v>
      </c>
      <c r="D565" s="3">
        <f>Gegenstände!K565</f>
        <v>2700</v>
      </c>
      <c r="E565" s="3">
        <f>Gegenstände!I565</f>
        <v>13</v>
      </c>
      <c r="F565" s="3">
        <f>VLOOKUP(Gegenstände!E565,Berechnungen!$E$87:$F$115,2,FALSE)</f>
        <v>23</v>
      </c>
      <c r="G565" s="3">
        <f>Gegenstände!H565</f>
        <v>2</v>
      </c>
      <c r="H565" s="3">
        <f>Gegenstände!G565</f>
        <v>9</v>
      </c>
      <c r="I565" s="3">
        <f>Gegenstände!D565</f>
        <v>25</v>
      </c>
      <c r="J565" s="168">
        <f>ROUND(Gegenstände!N565,0)</f>
        <v>26500</v>
      </c>
      <c r="K565" s="3">
        <f>Gegenstände!J565</f>
        <v>100</v>
      </c>
      <c r="L565" s="3">
        <f>Gegenstände!L565</f>
        <v>0</v>
      </c>
      <c r="M565" s="3">
        <f>Gegenstände!Z565</f>
        <v>12</v>
      </c>
      <c r="N565" s="783">
        <f>(Gegenstände!Y565*10)</f>
        <v>30</v>
      </c>
      <c r="O565" s="783">
        <f>(Gegenstände!W565*10)</f>
        <v>41</v>
      </c>
      <c r="P565" s="783">
        <f>Gegenstände!AA565*10</f>
        <v>0</v>
      </c>
      <c r="Q565" s="783">
        <f>Gegenstände!O565</f>
        <v>0</v>
      </c>
      <c r="R565" s="168">
        <f>Gegenstände!S565</f>
        <v>0</v>
      </c>
      <c r="S565" s="168">
        <f>Gegenstände!T565</f>
        <v>0</v>
      </c>
      <c r="T565" s="783">
        <f>Gegenstände!AC565</f>
        <v>0</v>
      </c>
      <c r="U565" s="783">
        <f>Gegenstände!AE565</f>
        <v>0</v>
      </c>
      <c r="V565" s="783">
        <f>Gegenstände!AD565</f>
        <v>0</v>
      </c>
      <c r="W565" s="783">
        <f>Gegenstände!AF565</f>
        <v>0</v>
      </c>
      <c r="AB565" s="3">
        <f>Gegenstände!M565</f>
        <v>0</v>
      </c>
      <c r="AC565" s="3">
        <f>Gegenstände!AB565</f>
        <v>0</v>
      </c>
      <c r="AD565" s="3">
        <f>Gegenstände!F565</f>
        <v>0</v>
      </c>
    </row>
    <row r="566" spans="1:30" x14ac:dyDescent="0.2">
      <c r="A566" s="3">
        <f>Gegenstände!A566</f>
        <v>2444</v>
      </c>
      <c r="B566" s="3" t="str">
        <f>Gegenstände!B566</f>
        <v>Obsidian-Plattenbeinlinge</v>
      </c>
      <c r="D566" s="3">
        <f>Gegenstände!K566</f>
        <v>3600</v>
      </c>
      <c r="E566" s="3">
        <f>Gegenstände!I566</f>
        <v>14</v>
      </c>
      <c r="F566" s="3">
        <f>VLOOKUP(Gegenstände!E566,Berechnungen!$E$87:$F$115,2,FALSE)</f>
        <v>23</v>
      </c>
      <c r="G566" s="3">
        <f>Gegenstände!H566</f>
        <v>2</v>
      </c>
      <c r="H566" s="3">
        <f>Gegenstände!G566</f>
        <v>9</v>
      </c>
      <c r="I566" s="3">
        <f>Gegenstände!D566</f>
        <v>25</v>
      </c>
      <c r="J566" s="168">
        <f>ROUND(Gegenstände!N566,0)</f>
        <v>33600</v>
      </c>
      <c r="K566" s="3">
        <f>Gegenstände!J566</f>
        <v>100</v>
      </c>
      <c r="L566" s="3">
        <f>Gegenstände!L566</f>
        <v>0</v>
      </c>
      <c r="M566" s="3">
        <f>Gegenstände!Z566</f>
        <v>16</v>
      </c>
      <c r="N566" s="783">
        <f>(Gegenstände!Y566*10)</f>
        <v>40</v>
      </c>
      <c r="O566" s="783">
        <f>(Gegenstände!W566*10)</f>
        <v>54</v>
      </c>
      <c r="P566" s="783">
        <f>Gegenstände!AA566*10</f>
        <v>0</v>
      </c>
      <c r="Q566" s="783">
        <f>Gegenstände!O566</f>
        <v>0</v>
      </c>
      <c r="R566" s="168">
        <f>Gegenstände!S566</f>
        <v>0</v>
      </c>
      <c r="S566" s="168">
        <f>Gegenstände!T566</f>
        <v>0</v>
      </c>
      <c r="T566" s="783">
        <f>Gegenstände!AC566</f>
        <v>0</v>
      </c>
      <c r="U566" s="783">
        <f>Gegenstände!AE566</f>
        <v>0</v>
      </c>
      <c r="V566" s="783">
        <f>Gegenstände!AD566</f>
        <v>0</v>
      </c>
      <c r="W566" s="783">
        <f>Gegenstände!AF566</f>
        <v>0</v>
      </c>
      <c r="AB566" s="3">
        <f>Gegenstände!M566</f>
        <v>0</v>
      </c>
      <c r="AC566" s="3">
        <f>Gegenstände!AB566</f>
        <v>0</v>
      </c>
      <c r="AD566" s="3">
        <f>Gegenstände!F566</f>
        <v>0</v>
      </c>
    </row>
    <row r="567" spans="1:30" x14ac:dyDescent="0.2">
      <c r="A567" s="3">
        <f>Gegenstände!A567</f>
        <v>2445</v>
      </c>
      <c r="B567" s="3" t="str">
        <f>Gegenstände!B567</f>
        <v>Obsidian-Plattenstiefel</v>
      </c>
      <c r="D567" s="3">
        <f>Gegenstände!K567</f>
        <v>2700</v>
      </c>
      <c r="E567" s="3">
        <f>Gegenstände!I567</f>
        <v>15</v>
      </c>
      <c r="F567" s="3">
        <f>VLOOKUP(Gegenstände!E567,Berechnungen!$E$87:$F$115,2,FALSE)</f>
        <v>23</v>
      </c>
      <c r="G567" s="3">
        <f>Gegenstände!H567</f>
        <v>2</v>
      </c>
      <c r="H567" s="3">
        <f>Gegenstände!G567</f>
        <v>9</v>
      </c>
      <c r="I567" s="3">
        <f>Gegenstände!D567</f>
        <v>25</v>
      </c>
      <c r="J567" s="168">
        <f>ROUND(Gegenstände!N567,0)</f>
        <v>26500</v>
      </c>
      <c r="K567" s="3">
        <f>Gegenstände!J567</f>
        <v>100</v>
      </c>
      <c r="L567" s="3">
        <f>Gegenstände!L567</f>
        <v>0</v>
      </c>
      <c r="M567" s="3">
        <f>Gegenstände!Z567</f>
        <v>12</v>
      </c>
      <c r="N567" s="783">
        <f>(Gegenstände!Y567*10)</f>
        <v>30</v>
      </c>
      <c r="O567" s="783">
        <f>(Gegenstände!W567*10)</f>
        <v>41</v>
      </c>
      <c r="P567" s="783">
        <f>Gegenstände!AA567*10</f>
        <v>0</v>
      </c>
      <c r="Q567" s="783">
        <f>Gegenstände!O567</f>
        <v>0</v>
      </c>
      <c r="R567" s="168">
        <f>Gegenstände!S567</f>
        <v>0</v>
      </c>
      <c r="S567" s="168">
        <f>Gegenstände!T567</f>
        <v>0</v>
      </c>
      <c r="T567" s="783">
        <f>Gegenstände!AC567</f>
        <v>0</v>
      </c>
      <c r="U567" s="783">
        <f>Gegenstände!AE567</f>
        <v>0</v>
      </c>
      <c r="V567" s="783">
        <f>Gegenstände!AD567</f>
        <v>0</v>
      </c>
      <c r="W567" s="783">
        <f>Gegenstände!AF567</f>
        <v>0</v>
      </c>
      <c r="AB567" s="3">
        <f>Gegenstände!M567</f>
        <v>0</v>
      </c>
      <c r="AC567" s="3">
        <f>Gegenstände!AB567</f>
        <v>0</v>
      </c>
      <c r="AD567" s="3">
        <f>Gegenstände!F567</f>
        <v>0</v>
      </c>
    </row>
    <row r="568" spans="1:30" x14ac:dyDescent="0.2">
      <c r="A568" s="3">
        <f>Gegenstände!A568</f>
        <v>0</v>
      </c>
      <c r="B568" s="3" t="str">
        <f>Gegenstände!B568</f>
        <v>Leichte Schilde</v>
      </c>
      <c r="D568" s="3">
        <f>Gegenstände!K568</f>
        <v>0</v>
      </c>
      <c r="E568" s="3">
        <f>Gegenstände!I568</f>
        <v>0</v>
      </c>
      <c r="F568" s="3" t="e">
        <f>VLOOKUP(Gegenstände!E568,Berechnungen!$E$87:$F$115,2,FALSE)</f>
        <v>#N/A</v>
      </c>
      <c r="G568" s="3">
        <f>Gegenstände!H568</f>
        <v>0</v>
      </c>
      <c r="H568" s="3">
        <f>Gegenstände!G568</f>
        <v>0</v>
      </c>
      <c r="I568" s="3">
        <f>Gegenstände!D568</f>
        <v>0</v>
      </c>
      <c r="J568" s="168">
        <f>ROUND(Gegenstände!N568,0)</f>
        <v>0</v>
      </c>
      <c r="K568" s="3">
        <f>Gegenstände!J568</f>
        <v>0</v>
      </c>
      <c r="L568" s="3">
        <f>Gegenstände!L568</f>
        <v>0</v>
      </c>
      <c r="M568" s="3">
        <f>Gegenstände!Z568</f>
        <v>0</v>
      </c>
      <c r="N568" s="783">
        <f>(Gegenstände!Y568*10)</f>
        <v>0</v>
      </c>
      <c r="O568" s="783">
        <f>(Gegenstände!W568*10)</f>
        <v>0</v>
      </c>
      <c r="P568" s="783">
        <f>Gegenstände!AA568*10</f>
        <v>0</v>
      </c>
      <c r="Q568" s="783">
        <f>Gegenstände!O568</f>
        <v>0</v>
      </c>
      <c r="R568" s="168">
        <f>Gegenstände!S568</f>
        <v>0</v>
      </c>
      <c r="S568" s="168">
        <f>Gegenstände!T568</f>
        <v>0</v>
      </c>
      <c r="T568" s="783">
        <f>Gegenstände!AC568</f>
        <v>0</v>
      </c>
      <c r="U568" s="783">
        <f>Gegenstände!AE568</f>
        <v>0</v>
      </c>
      <c r="V568" s="783">
        <f>Gegenstände!AD568</f>
        <v>0</v>
      </c>
      <c r="W568" s="783">
        <f>Gegenstände!AF568</f>
        <v>0</v>
      </c>
      <c r="AB568" s="3">
        <f>Gegenstände!M568</f>
        <v>0</v>
      </c>
      <c r="AC568" s="3">
        <f>Gegenstände!AB568</f>
        <v>0</v>
      </c>
      <c r="AD568" s="3">
        <f>Gegenstände!F568</f>
        <v>0</v>
      </c>
    </row>
    <row r="569" spans="1:30" x14ac:dyDescent="0.2">
      <c r="A569" s="3">
        <f>Gegenstände!A569</f>
        <v>1501</v>
      </c>
      <c r="B569" s="3" t="str">
        <f>Gegenstände!B569</f>
        <v>Lederschild</v>
      </c>
      <c r="D569" s="3">
        <f>Gegenstände!K569</f>
        <v>2700</v>
      </c>
      <c r="E569" s="3">
        <f>Gegenstände!I569</f>
        <v>3</v>
      </c>
      <c r="F569" s="3">
        <f>VLOOKUP(Gegenstände!E569,Berechnungen!$E$87:$F$115,2,FALSE)</f>
        <v>24</v>
      </c>
      <c r="G569" s="3">
        <f>Gegenstände!H569</f>
        <v>1</v>
      </c>
      <c r="H569" s="3">
        <f>Gegenstände!G569</f>
        <v>8</v>
      </c>
      <c r="I569" s="3">
        <f>Gegenstände!D569</f>
        <v>1</v>
      </c>
      <c r="J569" s="168">
        <f>ROUND(Gegenstände!N569,0)</f>
        <v>1000</v>
      </c>
      <c r="K569" s="3">
        <f>Gegenstände!J569</f>
        <v>100</v>
      </c>
      <c r="L569" s="3">
        <f>Gegenstände!L569</f>
        <v>0</v>
      </c>
      <c r="M569" s="3">
        <f>Gegenstände!Z569</f>
        <v>0</v>
      </c>
      <c r="N569" s="783">
        <f>(Gegenstände!Y569*10)</f>
        <v>40</v>
      </c>
      <c r="O569" s="783">
        <f>(Gegenstände!W569*10)</f>
        <v>0</v>
      </c>
      <c r="P569" s="783">
        <f>Gegenstände!AA569*10</f>
        <v>260</v>
      </c>
      <c r="Q569" s="783">
        <f>Gegenstände!O569</f>
        <v>0</v>
      </c>
      <c r="R569" s="168">
        <f>Gegenstände!S569</f>
        <v>0</v>
      </c>
      <c r="S569" s="168">
        <f>Gegenstände!T569</f>
        <v>0</v>
      </c>
      <c r="T569" s="783">
        <f>Gegenstände!AC569</f>
        <v>0</v>
      </c>
      <c r="U569" s="783">
        <f>Gegenstände!AE569</f>
        <v>0</v>
      </c>
      <c r="V569" s="783">
        <f>Gegenstände!AD569</f>
        <v>0</v>
      </c>
      <c r="W569" s="783">
        <f>Gegenstände!AF569</f>
        <v>0</v>
      </c>
      <c r="AB569" s="3">
        <f>Gegenstände!M569</f>
        <v>1</v>
      </c>
      <c r="AC569" s="3">
        <f>Gegenstände!AB569</f>
        <v>0</v>
      </c>
      <c r="AD569" s="3">
        <f>Gegenstände!F569</f>
        <v>0</v>
      </c>
    </row>
    <row r="570" spans="1:30" x14ac:dyDescent="0.2">
      <c r="A570" s="3">
        <f>Gegenstände!A570</f>
        <v>1502</v>
      </c>
      <c r="B570" s="3" t="str">
        <f>Gegenstände!B570</f>
        <v>Rundschild</v>
      </c>
      <c r="D570" s="3">
        <f>Gegenstände!K570</f>
        <v>2900</v>
      </c>
      <c r="E570" s="3">
        <f>Gegenstände!I570</f>
        <v>3</v>
      </c>
      <c r="F570" s="3">
        <f>VLOOKUP(Gegenstände!E570,Berechnungen!$E$87:$F$115,2,FALSE)</f>
        <v>24</v>
      </c>
      <c r="G570" s="3">
        <f>Gegenstände!H570</f>
        <v>1</v>
      </c>
      <c r="H570" s="3">
        <f>Gegenstände!G570</f>
        <v>8</v>
      </c>
      <c r="I570" s="3">
        <f>Gegenstände!D570</f>
        <v>4</v>
      </c>
      <c r="J570" s="168">
        <f>ROUND(Gegenstände!N570,0)</f>
        <v>1500</v>
      </c>
      <c r="K570" s="3">
        <f>Gegenstände!J570</f>
        <v>100</v>
      </c>
      <c r="L570" s="3">
        <f>Gegenstände!L570</f>
        <v>0</v>
      </c>
      <c r="M570" s="3">
        <f>Gegenstände!Z570</f>
        <v>0</v>
      </c>
      <c r="N570" s="783">
        <f>(Gegenstände!Y570*10)</f>
        <v>40</v>
      </c>
      <c r="O570" s="783">
        <f>(Gegenstände!W570*10)</f>
        <v>0</v>
      </c>
      <c r="P570" s="783">
        <f>Gegenstände!AA570*10</f>
        <v>290</v>
      </c>
      <c r="Q570" s="783">
        <f>Gegenstände!O570</f>
        <v>0</v>
      </c>
      <c r="R570" s="168">
        <f>Gegenstände!S570</f>
        <v>0</v>
      </c>
      <c r="S570" s="168">
        <f>Gegenstände!T570</f>
        <v>0</v>
      </c>
      <c r="T570" s="783">
        <f>Gegenstände!AC570</f>
        <v>0</v>
      </c>
      <c r="U570" s="783">
        <f>Gegenstände!AE570</f>
        <v>0</v>
      </c>
      <c r="V570" s="783">
        <f>Gegenstände!AD570</f>
        <v>0</v>
      </c>
      <c r="W570" s="783">
        <f>Gegenstände!AF570</f>
        <v>0</v>
      </c>
      <c r="AB570" s="3">
        <f>Gegenstände!M570</f>
        <v>1</v>
      </c>
      <c r="AC570" s="3">
        <f>Gegenstände!AB570</f>
        <v>0</v>
      </c>
      <c r="AD570" s="3">
        <f>Gegenstände!F570</f>
        <v>0</v>
      </c>
    </row>
    <row r="571" spans="1:30" x14ac:dyDescent="0.2">
      <c r="A571" s="3">
        <f>Gegenstände!A571</f>
        <v>1503</v>
      </c>
      <c r="B571" s="3" t="str">
        <f>Gegenstände!B571</f>
        <v>Tartsche</v>
      </c>
      <c r="D571" s="3">
        <f>Gegenstände!K571</f>
        <v>2800</v>
      </c>
      <c r="E571" s="3">
        <f>Gegenstände!I571</f>
        <v>3</v>
      </c>
      <c r="F571" s="3">
        <f>VLOOKUP(Gegenstände!E571,Berechnungen!$E$87:$F$115,2,FALSE)</f>
        <v>24</v>
      </c>
      <c r="G571" s="3">
        <f>Gegenstände!H571</f>
        <v>1</v>
      </c>
      <c r="H571" s="3">
        <f>Gegenstände!G571</f>
        <v>8</v>
      </c>
      <c r="I571" s="3">
        <f>Gegenstände!D571</f>
        <v>6</v>
      </c>
      <c r="J571" s="168">
        <f>ROUND(Gegenstände!N571,0)</f>
        <v>2000</v>
      </c>
      <c r="K571" s="3">
        <f>Gegenstände!J571</f>
        <v>100</v>
      </c>
      <c r="L571" s="3">
        <f>Gegenstände!L571</f>
        <v>0</v>
      </c>
      <c r="M571" s="3">
        <f>Gegenstände!Z571</f>
        <v>0</v>
      </c>
      <c r="N571" s="783">
        <f>(Gegenstände!Y571*10)</f>
        <v>40</v>
      </c>
      <c r="O571" s="783">
        <f>(Gegenstände!W571*10)</f>
        <v>0</v>
      </c>
      <c r="P571" s="783">
        <f>Gegenstände!AA571*10</f>
        <v>320</v>
      </c>
      <c r="Q571" s="783">
        <f>Gegenstände!O571</f>
        <v>0</v>
      </c>
      <c r="R571" s="168">
        <f>Gegenstände!S571</f>
        <v>0</v>
      </c>
      <c r="S571" s="168">
        <f>Gegenstände!T571</f>
        <v>0</v>
      </c>
      <c r="T571" s="783">
        <f>Gegenstände!AC571</f>
        <v>0</v>
      </c>
      <c r="U571" s="783">
        <f>Gegenstände!AE571</f>
        <v>0</v>
      </c>
      <c r="V571" s="783">
        <f>Gegenstände!AD571</f>
        <v>0</v>
      </c>
      <c r="W571" s="783">
        <f>Gegenstände!AF571</f>
        <v>0</v>
      </c>
      <c r="AB571" s="3">
        <f>Gegenstände!M571</f>
        <v>2</v>
      </c>
      <c r="AC571" s="3">
        <f>Gegenstände!AB571</f>
        <v>0</v>
      </c>
      <c r="AD571" s="3">
        <f>Gegenstände!F571</f>
        <v>0</v>
      </c>
    </row>
    <row r="572" spans="1:30" x14ac:dyDescent="0.2">
      <c r="A572" s="3">
        <f>Gegenstände!A572</f>
        <v>1504</v>
      </c>
      <c r="B572" s="3" t="str">
        <f>Gegenstände!B572</f>
        <v>Zirkelschild</v>
      </c>
      <c r="D572" s="3">
        <f>Gegenstände!K572</f>
        <v>3200</v>
      </c>
      <c r="E572" s="3">
        <f>Gegenstände!I572</f>
        <v>3</v>
      </c>
      <c r="F572" s="3">
        <f>VLOOKUP(Gegenstände!E572,Berechnungen!$E$87:$F$115,2,FALSE)</f>
        <v>24</v>
      </c>
      <c r="G572" s="3">
        <f>Gegenstände!H572</f>
        <v>1</v>
      </c>
      <c r="H572" s="3">
        <f>Gegenstände!G572</f>
        <v>8</v>
      </c>
      <c r="I572" s="3">
        <f>Gegenstände!D572</f>
        <v>9</v>
      </c>
      <c r="J572" s="168">
        <f>ROUND(Gegenstände!N572,0)</f>
        <v>3100</v>
      </c>
      <c r="K572" s="3">
        <f>Gegenstände!J572</f>
        <v>100</v>
      </c>
      <c r="L572" s="3">
        <f>Gegenstände!L572</f>
        <v>0</v>
      </c>
      <c r="M572" s="3">
        <f>Gegenstände!Z572</f>
        <v>0</v>
      </c>
      <c r="N572" s="783">
        <f>(Gegenstände!Y572*10)</f>
        <v>40</v>
      </c>
      <c r="O572" s="783">
        <f>(Gegenstände!W572*10)</f>
        <v>0</v>
      </c>
      <c r="P572" s="783">
        <f>Gegenstände!AA572*10</f>
        <v>350</v>
      </c>
      <c r="Q572" s="783">
        <f>Gegenstände!O572</f>
        <v>0</v>
      </c>
      <c r="R572" s="168">
        <f>Gegenstände!S572</f>
        <v>0</v>
      </c>
      <c r="S572" s="168">
        <f>Gegenstände!T572</f>
        <v>0</v>
      </c>
      <c r="T572" s="783">
        <f>Gegenstände!AC572</f>
        <v>0</v>
      </c>
      <c r="U572" s="783">
        <f>Gegenstände!AE572</f>
        <v>0</v>
      </c>
      <c r="V572" s="783">
        <f>Gegenstände!AD572</f>
        <v>0</v>
      </c>
      <c r="W572" s="783">
        <f>Gegenstände!AF572</f>
        <v>0</v>
      </c>
      <c r="AB572" s="3">
        <f>Gegenstände!M572</f>
        <v>2</v>
      </c>
      <c r="AC572" s="3">
        <f>Gegenstände!AB572</f>
        <v>0</v>
      </c>
      <c r="AD572" s="3">
        <f>Gegenstände!F572</f>
        <v>0</v>
      </c>
    </row>
    <row r="573" spans="1:30" x14ac:dyDescent="0.2">
      <c r="A573" s="3">
        <f>Gegenstände!A573</f>
        <v>1505</v>
      </c>
      <c r="B573" s="3" t="str">
        <f>Gegenstände!B573</f>
        <v>Stachelschild</v>
      </c>
      <c r="D573" s="3">
        <f>Gegenstände!K573</f>
        <v>3100</v>
      </c>
      <c r="E573" s="3">
        <f>Gegenstände!I573</f>
        <v>3</v>
      </c>
      <c r="F573" s="3">
        <f>VLOOKUP(Gegenstände!E573,Berechnungen!$E$87:$F$115,2,FALSE)</f>
        <v>24</v>
      </c>
      <c r="G573" s="3">
        <f>Gegenstände!H573</f>
        <v>1</v>
      </c>
      <c r="H573" s="3">
        <f>Gegenstände!G573</f>
        <v>8</v>
      </c>
      <c r="I573" s="3">
        <f>Gegenstände!D573</f>
        <v>11</v>
      </c>
      <c r="J573" s="168">
        <f>ROUND(Gegenstände!N573,0)</f>
        <v>4000</v>
      </c>
      <c r="K573" s="3">
        <f>Gegenstände!J573</f>
        <v>100</v>
      </c>
      <c r="L573" s="3">
        <f>Gegenstände!L573</f>
        <v>0</v>
      </c>
      <c r="M573" s="3">
        <f>Gegenstände!Z573</f>
        <v>0</v>
      </c>
      <c r="N573" s="783">
        <f>(Gegenstände!Y573*10)</f>
        <v>40</v>
      </c>
      <c r="O573" s="783">
        <f>(Gegenstände!W573*10)</f>
        <v>0</v>
      </c>
      <c r="P573" s="783">
        <f>Gegenstände!AA573*10</f>
        <v>370</v>
      </c>
      <c r="Q573" s="783">
        <f>Gegenstände!O573</f>
        <v>0</v>
      </c>
      <c r="R573" s="168">
        <f>Gegenstände!S573</f>
        <v>0</v>
      </c>
      <c r="S573" s="168">
        <f>Gegenstände!T573</f>
        <v>0</v>
      </c>
      <c r="T573" s="783">
        <f>Gegenstände!AC573</f>
        <v>0</v>
      </c>
      <c r="U573" s="783">
        <f>Gegenstände!AE573</f>
        <v>0</v>
      </c>
      <c r="V573" s="783">
        <f>Gegenstände!AD573</f>
        <v>0</v>
      </c>
      <c r="W573" s="783">
        <f>Gegenstände!AF573</f>
        <v>0</v>
      </c>
      <c r="AB573" s="3">
        <f>Gegenstände!M573</f>
        <v>3</v>
      </c>
      <c r="AC573" s="3">
        <f>Gegenstände!AB573</f>
        <v>0</v>
      </c>
      <c r="AD573" s="3">
        <f>Gegenstände!F573</f>
        <v>0</v>
      </c>
    </row>
    <row r="574" spans="1:30" x14ac:dyDescent="0.2">
      <c r="A574" s="3">
        <f>Gegenstände!A574</f>
        <v>1506</v>
      </c>
      <c r="B574" s="3" t="str">
        <f>Gegenstände!B574</f>
        <v>Beschützer</v>
      </c>
      <c r="D574" s="3">
        <f>Gegenstände!K574</f>
        <v>2900</v>
      </c>
      <c r="E574" s="3">
        <f>Gegenstände!I574</f>
        <v>3</v>
      </c>
      <c r="F574" s="3">
        <f>VLOOKUP(Gegenstände!E574,Berechnungen!$E$87:$F$115,2,FALSE)</f>
        <v>24</v>
      </c>
      <c r="G574" s="3">
        <f>Gegenstände!H574</f>
        <v>1</v>
      </c>
      <c r="H574" s="3">
        <f>Gegenstände!G574</f>
        <v>8</v>
      </c>
      <c r="I574" s="3">
        <f>Gegenstände!D574</f>
        <v>14</v>
      </c>
      <c r="J574" s="168">
        <f>ROUND(Gegenstände!N574,0)</f>
        <v>6200</v>
      </c>
      <c r="K574" s="3">
        <f>Gegenstände!J574</f>
        <v>100</v>
      </c>
      <c r="L574" s="3">
        <f>Gegenstände!L574</f>
        <v>0</v>
      </c>
      <c r="M574" s="3">
        <f>Gegenstände!Z574</f>
        <v>0</v>
      </c>
      <c r="N574" s="783">
        <f>(Gegenstände!Y574*10)</f>
        <v>40</v>
      </c>
      <c r="O574" s="783">
        <f>(Gegenstände!W574*10)</f>
        <v>0</v>
      </c>
      <c r="P574" s="783">
        <f>Gegenstände!AA574*10</f>
        <v>400</v>
      </c>
      <c r="Q574" s="783">
        <f>Gegenstände!O574</f>
        <v>0</v>
      </c>
      <c r="R574" s="168">
        <f>Gegenstände!S574</f>
        <v>0</v>
      </c>
      <c r="S574" s="168">
        <f>Gegenstände!T574</f>
        <v>0</v>
      </c>
      <c r="T574" s="783">
        <f>Gegenstände!AC574</f>
        <v>0</v>
      </c>
      <c r="U574" s="783">
        <f>Gegenstände!AE574</f>
        <v>0</v>
      </c>
      <c r="V574" s="783">
        <f>Gegenstände!AD574</f>
        <v>0</v>
      </c>
      <c r="W574" s="783">
        <f>Gegenstände!AF574</f>
        <v>0</v>
      </c>
      <c r="AB574" s="3">
        <f>Gegenstände!M574</f>
        <v>3</v>
      </c>
      <c r="AC574" s="3">
        <f>Gegenstände!AB574</f>
        <v>0</v>
      </c>
      <c r="AD574" s="3">
        <f>Gegenstände!F574</f>
        <v>0</v>
      </c>
    </row>
    <row r="575" spans="1:30" x14ac:dyDescent="0.2">
      <c r="A575" s="3">
        <f>Gegenstände!A575</f>
        <v>1507</v>
      </c>
      <c r="B575" s="3" t="str">
        <f>Gegenstände!B575</f>
        <v>Dornenschild</v>
      </c>
      <c r="D575" s="3">
        <f>Gegenstände!K575</f>
        <v>3300</v>
      </c>
      <c r="E575" s="3">
        <f>Gegenstände!I575</f>
        <v>3</v>
      </c>
      <c r="F575" s="3">
        <f>VLOOKUP(Gegenstände!E575,Berechnungen!$E$87:$F$115,2,FALSE)</f>
        <v>24</v>
      </c>
      <c r="G575" s="3">
        <f>Gegenstände!H575</f>
        <v>1</v>
      </c>
      <c r="H575" s="3">
        <f>Gegenstände!G575</f>
        <v>8</v>
      </c>
      <c r="I575" s="3">
        <f>Gegenstände!D575</f>
        <v>16</v>
      </c>
      <c r="J575" s="168">
        <f>ROUND(Gegenstände!N575,0)</f>
        <v>8100</v>
      </c>
      <c r="K575" s="3">
        <f>Gegenstände!J575</f>
        <v>100</v>
      </c>
      <c r="L575" s="3">
        <f>Gegenstände!L575</f>
        <v>0</v>
      </c>
      <c r="M575" s="3">
        <f>Gegenstände!Z575</f>
        <v>0</v>
      </c>
      <c r="N575" s="783">
        <f>(Gegenstände!Y575*10)</f>
        <v>40</v>
      </c>
      <c r="O575" s="783">
        <f>(Gegenstände!W575*10)</f>
        <v>0</v>
      </c>
      <c r="P575" s="783">
        <f>Gegenstände!AA575*10</f>
        <v>430</v>
      </c>
      <c r="Q575" s="783">
        <f>Gegenstände!O575</f>
        <v>0</v>
      </c>
      <c r="R575" s="168">
        <f>Gegenstände!S575</f>
        <v>0</v>
      </c>
      <c r="S575" s="168">
        <f>Gegenstände!T575</f>
        <v>0</v>
      </c>
      <c r="T575" s="783">
        <f>Gegenstände!AC575</f>
        <v>0</v>
      </c>
      <c r="U575" s="783">
        <f>Gegenstände!AE575</f>
        <v>0</v>
      </c>
      <c r="V575" s="783">
        <f>Gegenstände!AD575</f>
        <v>0</v>
      </c>
      <c r="W575" s="783">
        <f>Gegenstände!AF575</f>
        <v>0</v>
      </c>
      <c r="AB575" s="3">
        <f>Gegenstände!M575</f>
        <v>4</v>
      </c>
      <c r="AC575" s="3">
        <f>Gegenstände!AB575</f>
        <v>0</v>
      </c>
      <c r="AD575" s="3">
        <f>Gegenstände!F575</f>
        <v>0</v>
      </c>
    </row>
    <row r="576" spans="1:30" x14ac:dyDescent="0.2">
      <c r="A576" s="3">
        <f>Gegenstände!A576</f>
        <v>1508</v>
      </c>
      <c r="B576" s="3" t="str">
        <f>Gegenstände!B576</f>
        <v>Nietenschild</v>
      </c>
      <c r="D576" s="3">
        <f>Gegenstände!K576</f>
        <v>3400</v>
      </c>
      <c r="E576" s="3">
        <f>Gegenstände!I576</f>
        <v>3</v>
      </c>
      <c r="F576" s="3">
        <f>VLOOKUP(Gegenstände!E576,Berechnungen!$E$87:$F$115,2,FALSE)</f>
        <v>24</v>
      </c>
      <c r="G576" s="3">
        <f>Gegenstände!H576</f>
        <v>1</v>
      </c>
      <c r="H576" s="3">
        <f>Gegenstände!G576</f>
        <v>8</v>
      </c>
      <c r="I576" s="3">
        <f>Gegenstände!D576</f>
        <v>19</v>
      </c>
      <c r="J576" s="168">
        <f>ROUND(Gegenstände!N576,0)</f>
        <v>12400</v>
      </c>
      <c r="K576" s="3">
        <f>Gegenstände!J576</f>
        <v>100</v>
      </c>
      <c r="L576" s="3">
        <f>Gegenstände!L576</f>
        <v>0</v>
      </c>
      <c r="M576" s="3">
        <f>Gegenstände!Z576</f>
        <v>0</v>
      </c>
      <c r="N576" s="783">
        <f>(Gegenstände!Y576*10)</f>
        <v>40</v>
      </c>
      <c r="O576" s="783">
        <f>(Gegenstände!W576*10)</f>
        <v>0</v>
      </c>
      <c r="P576" s="783">
        <f>Gegenstände!AA576*10</f>
        <v>460</v>
      </c>
      <c r="Q576" s="783">
        <f>Gegenstände!O576</f>
        <v>0</v>
      </c>
      <c r="R576" s="168">
        <f>Gegenstände!S576</f>
        <v>0</v>
      </c>
      <c r="S576" s="168">
        <f>Gegenstände!T576</f>
        <v>0</v>
      </c>
      <c r="T576" s="783">
        <f>Gegenstände!AC576</f>
        <v>0</v>
      </c>
      <c r="U576" s="783">
        <f>Gegenstände!AE576</f>
        <v>0</v>
      </c>
      <c r="V576" s="783">
        <f>Gegenstände!AD576</f>
        <v>0</v>
      </c>
      <c r="W576" s="783">
        <f>Gegenstände!AF576</f>
        <v>0</v>
      </c>
      <c r="AB576" s="3">
        <f>Gegenstände!M576</f>
        <v>4</v>
      </c>
      <c r="AC576" s="3">
        <f>Gegenstände!AB576</f>
        <v>0</v>
      </c>
      <c r="AD576" s="3">
        <f>Gegenstände!F576</f>
        <v>0</v>
      </c>
    </row>
    <row r="577" spans="1:30" x14ac:dyDescent="0.2">
      <c r="A577" s="3">
        <f>Gegenstände!A577</f>
        <v>1509</v>
      </c>
      <c r="B577" s="3" t="str">
        <f>Gegenstände!B577</f>
        <v>Verteidiger</v>
      </c>
      <c r="D577" s="3">
        <f>Gegenstände!K577</f>
        <v>3300</v>
      </c>
      <c r="E577" s="3">
        <f>Gegenstände!I577</f>
        <v>3</v>
      </c>
      <c r="F577" s="3">
        <f>VLOOKUP(Gegenstände!E577,Berechnungen!$E$87:$F$115,2,FALSE)</f>
        <v>24</v>
      </c>
      <c r="G577" s="3">
        <f>Gegenstände!H577</f>
        <v>1</v>
      </c>
      <c r="H577" s="3">
        <f>Gegenstände!G577</f>
        <v>8</v>
      </c>
      <c r="I577" s="3">
        <f>Gegenstände!D577</f>
        <v>21</v>
      </c>
      <c r="J577" s="168">
        <f>ROUND(Gegenstände!N577,0)</f>
        <v>16400</v>
      </c>
      <c r="K577" s="3">
        <f>Gegenstände!J577</f>
        <v>100</v>
      </c>
      <c r="L577" s="3">
        <f>Gegenstände!L577</f>
        <v>0</v>
      </c>
      <c r="M577" s="3">
        <f>Gegenstände!Z577</f>
        <v>0</v>
      </c>
      <c r="N577" s="783">
        <f>(Gegenstände!Y577*10)</f>
        <v>40</v>
      </c>
      <c r="O577" s="783">
        <f>(Gegenstände!W577*10)</f>
        <v>0</v>
      </c>
      <c r="P577" s="783">
        <f>Gegenstände!AA577*10</f>
        <v>480</v>
      </c>
      <c r="Q577" s="783">
        <f>Gegenstände!O577</f>
        <v>0</v>
      </c>
      <c r="R577" s="168">
        <f>Gegenstände!S577</f>
        <v>0</v>
      </c>
      <c r="S577" s="168">
        <f>Gegenstände!T577</f>
        <v>0</v>
      </c>
      <c r="T577" s="783">
        <f>Gegenstände!AC577</f>
        <v>0</v>
      </c>
      <c r="U577" s="783">
        <f>Gegenstände!AE577</f>
        <v>0</v>
      </c>
      <c r="V577" s="783">
        <f>Gegenstände!AD577</f>
        <v>0</v>
      </c>
      <c r="W577" s="783">
        <f>Gegenstände!AF577</f>
        <v>0</v>
      </c>
      <c r="AB577" s="3">
        <f>Gegenstände!M577</f>
        <v>5</v>
      </c>
      <c r="AC577" s="3">
        <f>Gegenstände!AB577</f>
        <v>0</v>
      </c>
      <c r="AD577" s="3">
        <f>Gegenstände!F577</f>
        <v>0</v>
      </c>
    </row>
    <row r="578" spans="1:30" x14ac:dyDescent="0.2">
      <c r="A578" s="3">
        <f>Gegenstände!A578</f>
        <v>1510</v>
      </c>
      <c r="B578" s="3" t="str">
        <f>Gegenstände!B578</f>
        <v>Nebelschild</v>
      </c>
      <c r="D578" s="3">
        <f>Gegenstände!K578</f>
        <v>3400</v>
      </c>
      <c r="E578" s="3">
        <f>Gegenstände!I578</f>
        <v>3</v>
      </c>
      <c r="F578" s="3">
        <f>VLOOKUP(Gegenstände!E578,Berechnungen!$E$87:$F$115,2,FALSE)</f>
        <v>24</v>
      </c>
      <c r="G578" s="3">
        <f>Gegenstände!H578</f>
        <v>1</v>
      </c>
      <c r="H578" s="3">
        <f>Gegenstände!G578</f>
        <v>8</v>
      </c>
      <c r="I578" s="3">
        <f>Gegenstände!D578</f>
        <v>24</v>
      </c>
      <c r="J578" s="168">
        <f>ROUND(Gegenstände!N578,0)</f>
        <v>24900</v>
      </c>
      <c r="K578" s="3">
        <f>Gegenstände!J578</f>
        <v>100</v>
      </c>
      <c r="L578" s="3">
        <f>Gegenstände!L578</f>
        <v>0</v>
      </c>
      <c r="M578" s="3">
        <f>Gegenstände!Z578</f>
        <v>0</v>
      </c>
      <c r="N578" s="783">
        <f>(Gegenstände!Y578*10)</f>
        <v>40</v>
      </c>
      <c r="O578" s="783">
        <f>(Gegenstände!W578*10)</f>
        <v>0</v>
      </c>
      <c r="P578" s="783">
        <f>Gegenstände!AA578*10</f>
        <v>510</v>
      </c>
      <c r="Q578" s="783">
        <f>Gegenstände!O578</f>
        <v>0</v>
      </c>
      <c r="R578" s="168">
        <f>Gegenstände!S578</f>
        <v>0</v>
      </c>
      <c r="S578" s="168">
        <f>Gegenstände!T578</f>
        <v>0</v>
      </c>
      <c r="T578" s="783">
        <f>Gegenstände!AC578</f>
        <v>0</v>
      </c>
      <c r="U578" s="783">
        <f>Gegenstände!AE578</f>
        <v>0</v>
      </c>
      <c r="V578" s="783">
        <f>Gegenstände!AD578</f>
        <v>0</v>
      </c>
      <c r="W578" s="783">
        <f>Gegenstände!AF578</f>
        <v>0</v>
      </c>
      <c r="AB578" s="3">
        <f>Gegenstände!M578</f>
        <v>5</v>
      </c>
      <c r="AC578" s="3">
        <f>Gegenstände!AB578</f>
        <v>0</v>
      </c>
      <c r="AD578" s="3">
        <f>Gegenstände!F578</f>
        <v>0</v>
      </c>
    </row>
    <row r="579" spans="1:30" x14ac:dyDescent="0.2">
      <c r="A579" s="3">
        <f>Gegenstände!A579</f>
        <v>2501</v>
      </c>
      <c r="B579" s="3" t="str">
        <f>Gegenstände!B579</f>
        <v>Achat-Rundschild</v>
      </c>
      <c r="D579" s="3">
        <f>Gegenstände!K579</f>
        <v>2800</v>
      </c>
      <c r="E579" s="3">
        <f>Gegenstände!I579</f>
        <v>3</v>
      </c>
      <c r="F579" s="3">
        <f>VLOOKUP(Gegenstände!E579,Berechnungen!$E$87:$F$115,2,FALSE)</f>
        <v>24</v>
      </c>
      <c r="G579" s="3">
        <f>Gegenstände!H579</f>
        <v>2</v>
      </c>
      <c r="H579" s="3">
        <f>Gegenstände!G579</f>
        <v>8</v>
      </c>
      <c r="I579" s="3">
        <f>Gegenstände!D579</f>
        <v>4</v>
      </c>
      <c r="J579" s="168">
        <f>ROUND(Gegenstände!N579,0)</f>
        <v>2500</v>
      </c>
      <c r="K579" s="3">
        <f>Gegenstände!J579</f>
        <v>100</v>
      </c>
      <c r="L579" s="3">
        <f>Gegenstände!L579</f>
        <v>0</v>
      </c>
      <c r="M579" s="3">
        <f>Gegenstände!Z579</f>
        <v>0</v>
      </c>
      <c r="N579" s="783">
        <f>(Gegenstände!Y579*10)</f>
        <v>40</v>
      </c>
      <c r="O579" s="783">
        <f>(Gegenstände!W579*10)</f>
        <v>0</v>
      </c>
      <c r="P579" s="783">
        <f>Gegenstände!AA579*10</f>
        <v>330</v>
      </c>
      <c r="Q579" s="783">
        <f>Gegenstände!O579</f>
        <v>0</v>
      </c>
      <c r="R579" s="168">
        <f>Gegenstände!S579</f>
        <v>0</v>
      </c>
      <c r="S579" s="168">
        <f>Gegenstände!T579</f>
        <v>0</v>
      </c>
      <c r="T579" s="783">
        <f>Gegenstände!AC579</f>
        <v>0</v>
      </c>
      <c r="U579" s="783">
        <f>Gegenstände!AE579</f>
        <v>0</v>
      </c>
      <c r="V579" s="783">
        <f>Gegenstände!AD579</f>
        <v>0</v>
      </c>
      <c r="W579" s="783">
        <f>Gegenstände!AF579</f>
        <v>0</v>
      </c>
      <c r="AB579" s="3">
        <f>Gegenstände!M579</f>
        <v>0</v>
      </c>
      <c r="AC579" s="3">
        <f>Gegenstände!AB579</f>
        <v>0</v>
      </c>
      <c r="AD579" s="3">
        <f>Gegenstände!F579</f>
        <v>0</v>
      </c>
    </row>
    <row r="580" spans="1:30" x14ac:dyDescent="0.2">
      <c r="A580" s="3">
        <f>Gegenstände!A580</f>
        <v>2502</v>
      </c>
      <c r="B580" s="3" t="str">
        <f>Gegenstände!B580</f>
        <v>Topas-Rundschild</v>
      </c>
      <c r="D580" s="3">
        <f>Gegenstände!K580</f>
        <v>2800</v>
      </c>
      <c r="E580" s="3">
        <f>Gegenstände!I580</f>
        <v>3</v>
      </c>
      <c r="F580" s="3">
        <f>VLOOKUP(Gegenstände!E580,Berechnungen!$E$87:$F$115,2,FALSE)</f>
        <v>24</v>
      </c>
      <c r="G580" s="3">
        <f>Gegenstände!H580</f>
        <v>2</v>
      </c>
      <c r="H580" s="3">
        <f>Gegenstände!G580</f>
        <v>8</v>
      </c>
      <c r="I580" s="3">
        <f>Gegenstände!D580</f>
        <v>9</v>
      </c>
      <c r="J580" s="168">
        <f>ROUND(Gegenstände!N580,0)</f>
        <v>5100</v>
      </c>
      <c r="K580" s="3">
        <f>Gegenstände!J580</f>
        <v>100</v>
      </c>
      <c r="L580" s="3">
        <f>Gegenstände!L580</f>
        <v>0</v>
      </c>
      <c r="M580" s="3">
        <f>Gegenstände!Z580</f>
        <v>0</v>
      </c>
      <c r="N580" s="783">
        <f>(Gegenstände!Y580*10)</f>
        <v>40</v>
      </c>
      <c r="O580" s="783">
        <f>(Gegenstände!W580*10)</f>
        <v>0</v>
      </c>
      <c r="P580" s="783">
        <f>Gegenstände!AA580*10</f>
        <v>380</v>
      </c>
      <c r="Q580" s="783">
        <f>Gegenstände!O580</f>
        <v>0</v>
      </c>
      <c r="R580" s="168">
        <f>Gegenstände!S580</f>
        <v>0</v>
      </c>
      <c r="S580" s="168">
        <f>Gegenstände!T580</f>
        <v>0</v>
      </c>
      <c r="T580" s="783">
        <f>Gegenstände!AC580</f>
        <v>0</v>
      </c>
      <c r="U580" s="783">
        <f>Gegenstände!AE580</f>
        <v>0</v>
      </c>
      <c r="V580" s="783">
        <f>Gegenstände!AD580</f>
        <v>0</v>
      </c>
      <c r="W580" s="783">
        <f>Gegenstände!AF580</f>
        <v>0</v>
      </c>
      <c r="AB580" s="3">
        <f>Gegenstände!M580</f>
        <v>0</v>
      </c>
      <c r="AC580" s="3">
        <f>Gegenstände!AB580</f>
        <v>0</v>
      </c>
      <c r="AD580" s="3">
        <f>Gegenstände!F580</f>
        <v>0</v>
      </c>
    </row>
    <row r="581" spans="1:30" x14ac:dyDescent="0.2">
      <c r="A581" s="3">
        <f>Gegenstände!A581</f>
        <v>2503</v>
      </c>
      <c r="B581" s="3" t="str">
        <f>Gegenstände!B581</f>
        <v>Saphir-Rundschild</v>
      </c>
      <c r="D581" s="3">
        <f>Gegenstände!K581</f>
        <v>2800</v>
      </c>
      <c r="E581" s="3">
        <f>Gegenstände!I581</f>
        <v>3</v>
      </c>
      <c r="F581" s="3">
        <f>VLOOKUP(Gegenstände!E581,Berechnungen!$E$87:$F$115,2,FALSE)</f>
        <v>24</v>
      </c>
      <c r="G581" s="3">
        <f>Gegenstände!H581</f>
        <v>2</v>
      </c>
      <c r="H581" s="3">
        <f>Gegenstände!G581</f>
        <v>8</v>
      </c>
      <c r="I581" s="3">
        <f>Gegenstände!D581</f>
        <v>14</v>
      </c>
      <c r="J581" s="168">
        <f>ROUND(Gegenstände!N581,0)</f>
        <v>10200</v>
      </c>
      <c r="K581" s="3">
        <f>Gegenstände!J581</f>
        <v>100</v>
      </c>
      <c r="L581" s="3">
        <f>Gegenstände!L581</f>
        <v>0</v>
      </c>
      <c r="M581" s="3">
        <f>Gegenstände!Z581</f>
        <v>0</v>
      </c>
      <c r="N581" s="783">
        <f>(Gegenstände!Y581*10)</f>
        <v>40</v>
      </c>
      <c r="O581" s="783">
        <f>(Gegenstände!W581*10)</f>
        <v>0</v>
      </c>
      <c r="P581" s="783">
        <f>Gegenstände!AA581*10</f>
        <v>440</v>
      </c>
      <c r="Q581" s="783">
        <f>Gegenstände!O581</f>
        <v>0</v>
      </c>
      <c r="R581" s="168">
        <f>Gegenstände!S581</f>
        <v>0</v>
      </c>
      <c r="S581" s="168">
        <f>Gegenstände!T581</f>
        <v>0</v>
      </c>
      <c r="T581" s="783">
        <f>Gegenstände!AC581</f>
        <v>0</v>
      </c>
      <c r="U581" s="783">
        <f>Gegenstände!AE581</f>
        <v>0</v>
      </c>
      <c r="V581" s="783">
        <f>Gegenstände!AD581</f>
        <v>0</v>
      </c>
      <c r="W581" s="783">
        <f>Gegenstände!AF581</f>
        <v>0</v>
      </c>
      <c r="AB581" s="3">
        <f>Gegenstände!M581</f>
        <v>0</v>
      </c>
      <c r="AC581" s="3">
        <f>Gegenstände!AB581</f>
        <v>0</v>
      </c>
      <c r="AD581" s="3">
        <f>Gegenstände!F581</f>
        <v>0</v>
      </c>
    </row>
    <row r="582" spans="1:30" x14ac:dyDescent="0.2">
      <c r="A582" s="3">
        <f>Gegenstände!A582</f>
        <v>2504</v>
      </c>
      <c r="B582" s="3" t="str">
        <f>Gegenstände!B582</f>
        <v>Lapis-Rundschild</v>
      </c>
      <c r="D582" s="3">
        <f>Gegenstände!K582</f>
        <v>2800</v>
      </c>
      <c r="E582" s="3">
        <f>Gegenstände!I582</f>
        <v>3</v>
      </c>
      <c r="F582" s="3">
        <f>VLOOKUP(Gegenstände!E582,Berechnungen!$E$87:$F$115,2,FALSE)</f>
        <v>24</v>
      </c>
      <c r="G582" s="3">
        <f>Gegenstände!H582</f>
        <v>2</v>
      </c>
      <c r="H582" s="3">
        <f>Gegenstände!G582</f>
        <v>8</v>
      </c>
      <c r="I582" s="3">
        <f>Gegenstände!D582</f>
        <v>19</v>
      </c>
      <c r="J582" s="168">
        <f>ROUND(Gegenstände!N582,0)</f>
        <v>19400</v>
      </c>
      <c r="K582" s="3">
        <f>Gegenstände!J582</f>
        <v>100</v>
      </c>
      <c r="L582" s="3">
        <f>Gegenstände!L582</f>
        <v>0</v>
      </c>
      <c r="M582" s="3">
        <f>Gegenstände!Z582</f>
        <v>0</v>
      </c>
      <c r="N582" s="783">
        <f>(Gegenstände!Y582*10)</f>
        <v>40</v>
      </c>
      <c r="O582" s="783">
        <f>(Gegenstände!W582*10)</f>
        <v>0</v>
      </c>
      <c r="P582" s="783">
        <f>Gegenstände!AA582*10</f>
        <v>490</v>
      </c>
      <c r="Q582" s="783">
        <f>Gegenstände!O582</f>
        <v>0</v>
      </c>
      <c r="R582" s="168">
        <f>Gegenstände!S582</f>
        <v>0</v>
      </c>
      <c r="S582" s="168">
        <f>Gegenstände!T582</f>
        <v>0</v>
      </c>
      <c r="T582" s="783">
        <f>Gegenstände!AC582</f>
        <v>0</v>
      </c>
      <c r="U582" s="783">
        <f>Gegenstände!AE582</f>
        <v>0</v>
      </c>
      <c r="V582" s="783">
        <f>Gegenstände!AD582</f>
        <v>0</v>
      </c>
      <c r="W582" s="783">
        <f>Gegenstände!AF582</f>
        <v>0</v>
      </c>
      <c r="AB582" s="3">
        <f>Gegenstände!M582</f>
        <v>0</v>
      </c>
      <c r="AC582" s="3">
        <f>Gegenstände!AB582</f>
        <v>0</v>
      </c>
      <c r="AD582" s="3">
        <f>Gegenstände!F582</f>
        <v>0</v>
      </c>
    </row>
    <row r="583" spans="1:30" x14ac:dyDescent="0.2">
      <c r="A583" s="3">
        <f>Gegenstände!A583</f>
        <v>2505</v>
      </c>
      <c r="B583" s="3" t="str">
        <f>Gegenstände!B583</f>
        <v>Diamant-Rundschild</v>
      </c>
      <c r="D583" s="3">
        <f>Gegenstände!K583</f>
        <v>2800</v>
      </c>
      <c r="E583" s="3">
        <f>Gegenstände!I583</f>
        <v>3</v>
      </c>
      <c r="F583" s="3">
        <f>VLOOKUP(Gegenstände!E583,Berechnungen!$E$87:$F$115,2,FALSE)</f>
        <v>24</v>
      </c>
      <c r="G583" s="3">
        <f>Gegenstände!H583</f>
        <v>2</v>
      </c>
      <c r="H583" s="3">
        <f>Gegenstände!G583</f>
        <v>8</v>
      </c>
      <c r="I583" s="3">
        <f>Gegenstände!D583</f>
        <v>24</v>
      </c>
      <c r="J583" s="168">
        <f>ROUND(Gegenstände!N583,0)</f>
        <v>34900</v>
      </c>
      <c r="K583" s="3">
        <f>Gegenstände!J583</f>
        <v>100</v>
      </c>
      <c r="L583" s="3">
        <f>Gegenstände!L583</f>
        <v>0</v>
      </c>
      <c r="M583" s="3">
        <f>Gegenstände!Z583</f>
        <v>0</v>
      </c>
      <c r="N583" s="783">
        <f>(Gegenstände!Y583*10)</f>
        <v>40</v>
      </c>
      <c r="O583" s="783">
        <f>(Gegenstände!W583*10)</f>
        <v>0</v>
      </c>
      <c r="P583" s="783">
        <f>Gegenstände!AA583*10</f>
        <v>550</v>
      </c>
      <c r="Q583" s="783">
        <f>Gegenstände!O583</f>
        <v>0</v>
      </c>
      <c r="R583" s="168">
        <f>Gegenstände!S583</f>
        <v>0</v>
      </c>
      <c r="S583" s="168">
        <f>Gegenstände!T583</f>
        <v>0</v>
      </c>
      <c r="T583" s="783">
        <f>Gegenstände!AC583</f>
        <v>0</v>
      </c>
      <c r="U583" s="783">
        <f>Gegenstände!AE583</f>
        <v>0</v>
      </c>
      <c r="V583" s="783">
        <f>Gegenstände!AD583</f>
        <v>0</v>
      </c>
      <c r="W583" s="783">
        <f>Gegenstände!AF583</f>
        <v>0</v>
      </c>
      <c r="AB583" s="3">
        <f>Gegenstände!M583</f>
        <v>0</v>
      </c>
      <c r="AC583" s="3">
        <f>Gegenstände!AB583</f>
        <v>0</v>
      </c>
      <c r="AD583" s="3">
        <f>Gegenstände!F583</f>
        <v>0</v>
      </c>
    </row>
    <row r="584" spans="1:30" x14ac:dyDescent="0.2">
      <c r="A584" s="3">
        <f>Gegenstände!A584</f>
        <v>0</v>
      </c>
      <c r="B584" s="3" t="str">
        <f>Gegenstände!B584</f>
        <v>Schwere Schilde</v>
      </c>
      <c r="D584" s="3">
        <f>Gegenstände!K584</f>
        <v>0</v>
      </c>
      <c r="E584" s="3">
        <f>Gegenstände!I584</f>
        <v>3</v>
      </c>
      <c r="F584" s="3" t="e">
        <f>VLOOKUP(Gegenstände!E584,Berechnungen!$E$87:$F$115,2,FALSE)</f>
        <v>#N/A</v>
      </c>
      <c r="G584" s="3">
        <f>Gegenstände!H584</f>
        <v>0</v>
      </c>
      <c r="H584" s="3">
        <f>Gegenstände!G584</f>
        <v>0</v>
      </c>
      <c r="I584" s="3">
        <f>Gegenstände!D584</f>
        <v>0</v>
      </c>
      <c r="J584" s="168">
        <f>ROUND(Gegenstände!N584,0)</f>
        <v>0</v>
      </c>
      <c r="K584" s="3">
        <f>Gegenstände!J584</f>
        <v>0</v>
      </c>
      <c r="L584" s="3">
        <f>Gegenstände!L584</f>
        <v>0</v>
      </c>
      <c r="M584" s="3">
        <f>Gegenstände!Z584</f>
        <v>0</v>
      </c>
      <c r="N584" s="783">
        <f>(Gegenstände!Y584*10)</f>
        <v>0</v>
      </c>
      <c r="O584" s="783">
        <f>(Gegenstände!W584*10)</f>
        <v>0</v>
      </c>
      <c r="P584" s="783">
        <f>Gegenstände!AA584*10</f>
        <v>0</v>
      </c>
      <c r="Q584" s="783">
        <f>Gegenstände!O584</f>
        <v>0</v>
      </c>
      <c r="R584" s="168">
        <f>Gegenstände!S584</f>
        <v>0</v>
      </c>
      <c r="S584" s="168">
        <f>Gegenstände!T584</f>
        <v>0</v>
      </c>
      <c r="T584" s="783">
        <f>Gegenstände!AC584</f>
        <v>0</v>
      </c>
      <c r="U584" s="783">
        <f>Gegenstände!AE584</f>
        <v>0</v>
      </c>
      <c r="V584" s="783">
        <f>Gegenstände!AD584</f>
        <v>0</v>
      </c>
      <c r="W584" s="783">
        <f>Gegenstände!AF584</f>
        <v>0</v>
      </c>
      <c r="AB584" s="3">
        <f>Gegenstände!M584</f>
        <v>0</v>
      </c>
      <c r="AC584" s="3">
        <f>Gegenstände!AB584</f>
        <v>0</v>
      </c>
      <c r="AD584" s="3">
        <f>Gegenstände!F584</f>
        <v>0</v>
      </c>
    </row>
    <row r="585" spans="1:30" x14ac:dyDescent="0.2">
      <c r="A585" s="3">
        <f>Gegenstände!A585</f>
        <v>1511</v>
      </c>
      <c r="B585" s="3" t="str">
        <f>Gegenstände!B585</f>
        <v>Eckschild</v>
      </c>
      <c r="D585" s="3">
        <f>Gegenstände!K585</f>
        <v>3400</v>
      </c>
      <c r="E585" s="3">
        <f>Gegenstände!I585</f>
        <v>3</v>
      </c>
      <c r="F585" s="3">
        <f>VLOOKUP(Gegenstände!E585,Berechnungen!$E$87:$F$115,2,FALSE)</f>
        <v>25</v>
      </c>
      <c r="G585" s="3">
        <f>Gegenstände!H585</f>
        <v>1</v>
      </c>
      <c r="H585" s="3">
        <f>Gegenstände!G585</f>
        <v>9</v>
      </c>
      <c r="I585" s="3">
        <f>Gegenstände!D585</f>
        <v>2</v>
      </c>
      <c r="J585" s="168">
        <f>ROUND(Gegenstände!N585,0)</f>
        <v>1400</v>
      </c>
      <c r="K585" s="3">
        <f>Gegenstände!J585</f>
        <v>100</v>
      </c>
      <c r="L585" s="3">
        <f>Gegenstände!L585</f>
        <v>0</v>
      </c>
      <c r="M585" s="3">
        <f>Gegenstände!Z585</f>
        <v>0</v>
      </c>
      <c r="N585" s="783">
        <f>(Gegenstände!Y585*10)</f>
        <v>60</v>
      </c>
      <c r="O585" s="783">
        <f>(Gegenstände!W585*10)</f>
        <v>0</v>
      </c>
      <c r="P585" s="783">
        <f>Gegenstände!AA585*10</f>
        <v>360</v>
      </c>
      <c r="Q585" s="783">
        <f>Gegenstände!O585</f>
        <v>0</v>
      </c>
      <c r="R585" s="168">
        <f>Gegenstände!S585</f>
        <v>0</v>
      </c>
      <c r="S585" s="168">
        <f>Gegenstände!T585</f>
        <v>0</v>
      </c>
      <c r="T585" s="783">
        <f>Gegenstände!AC585</f>
        <v>0</v>
      </c>
      <c r="U585" s="783">
        <f>Gegenstände!AE585</f>
        <v>0</v>
      </c>
      <c r="V585" s="783">
        <f>Gegenstände!AD585</f>
        <v>0</v>
      </c>
      <c r="W585" s="783">
        <f>Gegenstände!AF585</f>
        <v>0</v>
      </c>
      <c r="AB585" s="3">
        <f>Gegenstände!M585</f>
        <v>1</v>
      </c>
      <c r="AC585" s="3">
        <f>Gegenstände!AB585</f>
        <v>0</v>
      </c>
      <c r="AD585" s="3">
        <f>Gegenstände!F585</f>
        <v>0</v>
      </c>
    </row>
    <row r="586" spans="1:30" x14ac:dyDescent="0.2">
      <c r="A586" s="3">
        <f>Gegenstände!A586</f>
        <v>1512</v>
      </c>
      <c r="B586" s="3" t="str">
        <f>Gegenstände!B586</f>
        <v>Kampfschild</v>
      </c>
      <c r="D586" s="3">
        <f>Gegenstände!K586</f>
        <v>3500</v>
      </c>
      <c r="E586" s="3">
        <f>Gegenstände!I586</f>
        <v>3</v>
      </c>
      <c r="F586" s="3">
        <f>VLOOKUP(Gegenstände!E586,Berechnungen!$E$87:$F$115,2,FALSE)</f>
        <v>25</v>
      </c>
      <c r="G586" s="3">
        <f>Gegenstände!H586</f>
        <v>1</v>
      </c>
      <c r="H586" s="3">
        <f>Gegenstände!G586</f>
        <v>9</v>
      </c>
      <c r="I586" s="3">
        <f>Gegenstände!D586</f>
        <v>5</v>
      </c>
      <c r="J586" s="168">
        <f>ROUND(Gegenstände!N586,0)</f>
        <v>2100</v>
      </c>
      <c r="K586" s="3">
        <f>Gegenstände!J586</f>
        <v>100</v>
      </c>
      <c r="L586" s="3">
        <f>Gegenstände!L586</f>
        <v>0</v>
      </c>
      <c r="M586" s="3">
        <f>Gegenstände!Z586</f>
        <v>0</v>
      </c>
      <c r="N586" s="783">
        <f>(Gegenstände!Y586*10)</f>
        <v>60</v>
      </c>
      <c r="O586" s="783">
        <f>(Gegenstände!W586*10)</f>
        <v>0</v>
      </c>
      <c r="P586" s="783">
        <f>Gegenstände!AA586*10</f>
        <v>390</v>
      </c>
      <c r="Q586" s="783">
        <f>Gegenstände!O586</f>
        <v>0</v>
      </c>
      <c r="R586" s="168">
        <f>Gegenstände!S586</f>
        <v>0</v>
      </c>
      <c r="S586" s="168">
        <f>Gegenstände!T586</f>
        <v>0</v>
      </c>
      <c r="T586" s="783">
        <f>Gegenstände!AC586</f>
        <v>0</v>
      </c>
      <c r="U586" s="783">
        <f>Gegenstände!AE586</f>
        <v>0</v>
      </c>
      <c r="V586" s="783">
        <f>Gegenstände!AD586</f>
        <v>0</v>
      </c>
      <c r="W586" s="783">
        <f>Gegenstände!AF586</f>
        <v>0</v>
      </c>
      <c r="AB586" s="3">
        <f>Gegenstände!M586</f>
        <v>1</v>
      </c>
      <c r="AC586" s="3">
        <f>Gegenstände!AB586</f>
        <v>0</v>
      </c>
      <c r="AD586" s="3">
        <f>Gegenstände!F586</f>
        <v>0</v>
      </c>
    </row>
    <row r="587" spans="1:30" x14ac:dyDescent="0.2">
      <c r="A587" s="3">
        <f>Gegenstände!A587</f>
        <v>1513</v>
      </c>
      <c r="B587" s="3" t="str">
        <f>Gegenstände!B587</f>
        <v>Drachenschild</v>
      </c>
      <c r="D587" s="3">
        <f>Gegenstände!K587</f>
        <v>3700</v>
      </c>
      <c r="E587" s="3">
        <f>Gegenstände!I587</f>
        <v>3</v>
      </c>
      <c r="F587" s="3">
        <f>VLOOKUP(Gegenstände!E587,Berechnungen!$E$87:$F$115,2,FALSE)</f>
        <v>25</v>
      </c>
      <c r="G587" s="3">
        <f>Gegenstände!H587</f>
        <v>1</v>
      </c>
      <c r="H587" s="3">
        <f>Gegenstände!G587</f>
        <v>9</v>
      </c>
      <c r="I587" s="3">
        <f>Gegenstände!D587</f>
        <v>7</v>
      </c>
      <c r="J587" s="168">
        <f>ROUND(Gegenstände!N587,0)</f>
        <v>2800</v>
      </c>
      <c r="K587" s="3">
        <f>Gegenstände!J587</f>
        <v>100</v>
      </c>
      <c r="L587" s="3">
        <f>Gegenstände!L587</f>
        <v>0</v>
      </c>
      <c r="M587" s="3">
        <f>Gegenstände!Z587</f>
        <v>0</v>
      </c>
      <c r="N587" s="783">
        <f>(Gegenstände!Y587*10)</f>
        <v>60</v>
      </c>
      <c r="O587" s="783">
        <f>(Gegenstände!W587*10)</f>
        <v>0</v>
      </c>
      <c r="P587" s="783">
        <f>Gegenstände!AA587*10</f>
        <v>400</v>
      </c>
      <c r="Q587" s="783">
        <f>Gegenstände!O587</f>
        <v>0</v>
      </c>
      <c r="R587" s="168">
        <f>Gegenstände!S587</f>
        <v>0</v>
      </c>
      <c r="S587" s="168">
        <f>Gegenstände!T587</f>
        <v>0</v>
      </c>
      <c r="T587" s="783">
        <f>Gegenstände!AC587</f>
        <v>0</v>
      </c>
      <c r="U587" s="783">
        <f>Gegenstände!AE587</f>
        <v>0</v>
      </c>
      <c r="V587" s="783">
        <f>Gegenstände!AD587</f>
        <v>0</v>
      </c>
      <c r="W587" s="783">
        <f>Gegenstände!AF587</f>
        <v>0</v>
      </c>
      <c r="AB587" s="3">
        <f>Gegenstände!M587</f>
        <v>2</v>
      </c>
      <c r="AC587" s="3">
        <f>Gegenstände!AB587</f>
        <v>0</v>
      </c>
      <c r="AD587" s="3">
        <f>Gegenstände!F587</f>
        <v>0</v>
      </c>
    </row>
    <row r="588" spans="1:30" x14ac:dyDescent="0.2">
      <c r="A588" s="3">
        <f>Gegenstände!A588</f>
        <v>1514</v>
      </c>
      <c r="B588" s="3" t="str">
        <f>Gegenstände!B588</f>
        <v>Gothika</v>
      </c>
      <c r="D588" s="3">
        <f>Gegenstände!K588</f>
        <v>3600</v>
      </c>
      <c r="E588" s="3">
        <f>Gegenstände!I588</f>
        <v>3</v>
      </c>
      <c r="F588" s="3">
        <f>VLOOKUP(Gegenstände!E588,Berechnungen!$E$87:$F$115,2,FALSE)</f>
        <v>25</v>
      </c>
      <c r="G588" s="3">
        <f>Gegenstände!H588</f>
        <v>1</v>
      </c>
      <c r="H588" s="3">
        <f>Gegenstände!G588</f>
        <v>9</v>
      </c>
      <c r="I588" s="3">
        <f>Gegenstände!D588</f>
        <v>10</v>
      </c>
      <c r="J588" s="168">
        <f>ROUND(Gegenstände!N588,0)</f>
        <v>4200</v>
      </c>
      <c r="K588" s="3">
        <f>Gegenstände!J588</f>
        <v>100</v>
      </c>
      <c r="L588" s="3">
        <f>Gegenstände!L588</f>
        <v>0</v>
      </c>
      <c r="M588" s="3">
        <f>Gegenstände!Z588</f>
        <v>0</v>
      </c>
      <c r="N588" s="783">
        <f>(Gegenstände!Y588*10)</f>
        <v>60</v>
      </c>
      <c r="O588" s="783">
        <f>(Gegenstände!W588*10)</f>
        <v>0</v>
      </c>
      <c r="P588" s="783">
        <f>Gegenstände!AA588*10</f>
        <v>430</v>
      </c>
      <c r="Q588" s="783">
        <f>Gegenstände!O588</f>
        <v>0</v>
      </c>
      <c r="R588" s="168">
        <f>Gegenstände!S588</f>
        <v>0</v>
      </c>
      <c r="S588" s="168">
        <f>Gegenstände!T588</f>
        <v>0</v>
      </c>
      <c r="T588" s="783">
        <f>Gegenstände!AC588</f>
        <v>0</v>
      </c>
      <c r="U588" s="783">
        <f>Gegenstände!AE588</f>
        <v>0</v>
      </c>
      <c r="V588" s="783">
        <f>Gegenstände!AD588</f>
        <v>0</v>
      </c>
      <c r="W588" s="783">
        <f>Gegenstände!AF588</f>
        <v>0</v>
      </c>
      <c r="AB588" s="3">
        <f>Gegenstände!M588</f>
        <v>2</v>
      </c>
      <c r="AC588" s="3">
        <f>Gegenstände!AB588</f>
        <v>0</v>
      </c>
      <c r="AD588" s="3">
        <f>Gegenstände!F588</f>
        <v>0</v>
      </c>
    </row>
    <row r="589" spans="1:30" x14ac:dyDescent="0.2">
      <c r="A589" s="3">
        <f>Gegenstände!A589</f>
        <v>1515</v>
      </c>
      <c r="B589" s="3" t="str">
        <f>Gegenstände!B589</f>
        <v>Pavese</v>
      </c>
      <c r="D589" s="3">
        <f>Gegenstände!K589</f>
        <v>3500</v>
      </c>
      <c r="E589" s="3">
        <f>Gegenstände!I589</f>
        <v>3</v>
      </c>
      <c r="F589" s="3">
        <f>VLOOKUP(Gegenstände!E589,Berechnungen!$E$87:$F$115,2,FALSE)</f>
        <v>25</v>
      </c>
      <c r="G589" s="3">
        <f>Gegenstände!H589</f>
        <v>1</v>
      </c>
      <c r="H589" s="3">
        <f>Gegenstände!G589</f>
        <v>9</v>
      </c>
      <c r="I589" s="3">
        <f>Gegenstände!D589</f>
        <v>12</v>
      </c>
      <c r="J589" s="168">
        <f>ROUND(Gegenstände!N589,0)</f>
        <v>5600</v>
      </c>
      <c r="K589" s="3">
        <f>Gegenstände!J589</f>
        <v>100</v>
      </c>
      <c r="L589" s="3">
        <f>Gegenstände!L589</f>
        <v>0</v>
      </c>
      <c r="M589" s="3">
        <f>Gegenstände!Z589</f>
        <v>0</v>
      </c>
      <c r="N589" s="783">
        <f>(Gegenstände!Y589*10)</f>
        <v>60</v>
      </c>
      <c r="O589" s="783">
        <f>(Gegenstände!W589*10)</f>
        <v>0</v>
      </c>
      <c r="P589" s="783">
        <f>Gegenstände!AA589*10</f>
        <v>450</v>
      </c>
      <c r="Q589" s="783">
        <f>Gegenstände!O589</f>
        <v>0</v>
      </c>
      <c r="R589" s="168">
        <f>Gegenstände!S589</f>
        <v>0</v>
      </c>
      <c r="S589" s="168">
        <f>Gegenstände!T589</f>
        <v>0</v>
      </c>
      <c r="T589" s="783">
        <f>Gegenstände!AC589</f>
        <v>0</v>
      </c>
      <c r="U589" s="783">
        <f>Gegenstände!AE589</f>
        <v>0</v>
      </c>
      <c r="V589" s="783">
        <f>Gegenstände!AD589</f>
        <v>0</v>
      </c>
      <c r="W589" s="783">
        <f>Gegenstände!AF589</f>
        <v>0</v>
      </c>
      <c r="AB589" s="3">
        <f>Gegenstände!M589</f>
        <v>3</v>
      </c>
      <c r="AC589" s="3">
        <f>Gegenstände!AB589</f>
        <v>0</v>
      </c>
      <c r="AD589" s="3">
        <f>Gegenstände!F589</f>
        <v>0</v>
      </c>
    </row>
    <row r="590" spans="1:30" x14ac:dyDescent="0.2">
      <c r="A590" s="3">
        <f>Gegenstände!A590</f>
        <v>1516</v>
      </c>
      <c r="B590" s="3" t="str">
        <f>Gegenstände!B590</f>
        <v>Prunkschild</v>
      </c>
      <c r="D590" s="3">
        <f>Gegenstände!K590</f>
        <v>3800</v>
      </c>
      <c r="E590" s="3">
        <f>Gegenstände!I590</f>
        <v>3</v>
      </c>
      <c r="F590" s="3">
        <f>VLOOKUP(Gegenstände!E590,Berechnungen!$E$87:$F$115,2,FALSE)</f>
        <v>25</v>
      </c>
      <c r="G590" s="3">
        <f>Gegenstände!H590</f>
        <v>1</v>
      </c>
      <c r="H590" s="3">
        <f>Gegenstände!G590</f>
        <v>9</v>
      </c>
      <c r="I590" s="3">
        <f>Gegenstände!D590</f>
        <v>15</v>
      </c>
      <c r="J590" s="168">
        <f>ROUND(Gegenstände!N590,0)</f>
        <v>8500</v>
      </c>
      <c r="K590" s="3">
        <f>Gegenstände!J590</f>
        <v>100</v>
      </c>
      <c r="L590" s="3">
        <f>Gegenstände!L590</f>
        <v>0</v>
      </c>
      <c r="M590" s="3">
        <f>Gegenstände!Z590</f>
        <v>0</v>
      </c>
      <c r="N590" s="783">
        <f>(Gegenstände!Y590*10)</f>
        <v>60</v>
      </c>
      <c r="O590" s="783">
        <f>(Gegenstände!W590*10)</f>
        <v>0</v>
      </c>
      <c r="P590" s="783">
        <f>Gegenstände!AA590*10</f>
        <v>480</v>
      </c>
      <c r="Q590" s="783">
        <f>Gegenstände!O590</f>
        <v>0</v>
      </c>
      <c r="R590" s="168">
        <f>Gegenstände!S590</f>
        <v>0</v>
      </c>
      <c r="S590" s="168">
        <f>Gegenstände!T590</f>
        <v>0</v>
      </c>
      <c r="T590" s="783">
        <f>Gegenstände!AC590</f>
        <v>0</v>
      </c>
      <c r="U590" s="783">
        <f>Gegenstände!AE590</f>
        <v>0</v>
      </c>
      <c r="V590" s="783">
        <f>Gegenstände!AD590</f>
        <v>0</v>
      </c>
      <c r="W590" s="783">
        <f>Gegenstände!AF590</f>
        <v>0</v>
      </c>
      <c r="AB590" s="3">
        <f>Gegenstände!M590</f>
        <v>3</v>
      </c>
      <c r="AC590" s="3">
        <f>Gegenstände!AB590</f>
        <v>0</v>
      </c>
      <c r="AD590" s="3">
        <f>Gegenstände!F590</f>
        <v>0</v>
      </c>
    </row>
    <row r="591" spans="1:30" x14ac:dyDescent="0.2">
      <c r="A591" s="3">
        <f>Gegenstände!A591</f>
        <v>1517</v>
      </c>
      <c r="B591" s="3" t="str">
        <f>Gegenstände!B591</f>
        <v>Wappenschild</v>
      </c>
      <c r="D591" s="3">
        <f>Gegenstände!K591</f>
        <v>3600</v>
      </c>
      <c r="E591" s="3">
        <f>Gegenstände!I591</f>
        <v>3</v>
      </c>
      <c r="F591" s="3">
        <f>VLOOKUP(Gegenstände!E591,Berechnungen!$E$87:$F$115,2,FALSE)</f>
        <v>25</v>
      </c>
      <c r="G591" s="3">
        <f>Gegenstände!H591</f>
        <v>1</v>
      </c>
      <c r="H591" s="3">
        <f>Gegenstände!G591</f>
        <v>9</v>
      </c>
      <c r="I591" s="3">
        <f>Gegenstände!D591</f>
        <v>17</v>
      </c>
      <c r="J591" s="168">
        <f>ROUND(Gegenstände!N591,0)</f>
        <v>11200</v>
      </c>
      <c r="K591" s="3">
        <f>Gegenstände!J591</f>
        <v>100</v>
      </c>
      <c r="L591" s="3">
        <f>Gegenstände!L591</f>
        <v>0</v>
      </c>
      <c r="M591" s="3">
        <f>Gegenstände!Z591</f>
        <v>0</v>
      </c>
      <c r="N591" s="783">
        <f>(Gegenstände!Y591*10)</f>
        <v>60</v>
      </c>
      <c r="O591" s="783">
        <f>(Gegenstände!W591*10)</f>
        <v>0</v>
      </c>
      <c r="P591" s="783">
        <f>Gegenstände!AA591*10</f>
        <v>490</v>
      </c>
      <c r="Q591" s="783">
        <f>Gegenstände!O591</f>
        <v>0</v>
      </c>
      <c r="R591" s="168">
        <f>Gegenstände!S591</f>
        <v>0</v>
      </c>
      <c r="S591" s="168">
        <f>Gegenstände!T591</f>
        <v>0</v>
      </c>
      <c r="T591" s="783">
        <f>Gegenstände!AC591</f>
        <v>0</v>
      </c>
      <c r="U591" s="783">
        <f>Gegenstände!AE591</f>
        <v>0</v>
      </c>
      <c r="V591" s="783">
        <f>Gegenstände!AD591</f>
        <v>0</v>
      </c>
      <c r="W591" s="783">
        <f>Gegenstände!AF591</f>
        <v>0</v>
      </c>
      <c r="AB591" s="3">
        <f>Gegenstände!M591</f>
        <v>4</v>
      </c>
      <c r="AC591" s="3">
        <f>Gegenstände!AB591</f>
        <v>0</v>
      </c>
      <c r="AD591" s="3">
        <f>Gegenstände!F591</f>
        <v>0</v>
      </c>
    </row>
    <row r="592" spans="1:30" x14ac:dyDescent="0.2">
      <c r="A592" s="3">
        <f>Gegenstände!A592</f>
        <v>1518</v>
      </c>
      <c r="B592" s="3" t="str">
        <f>Gegenstände!B592</f>
        <v>Turmschild</v>
      </c>
      <c r="D592" s="3">
        <f>Gegenstände!K592</f>
        <v>4000</v>
      </c>
      <c r="E592" s="3">
        <f>Gegenstände!I592</f>
        <v>3</v>
      </c>
      <c r="F592" s="3">
        <f>VLOOKUP(Gegenstände!E592,Berechnungen!$E$87:$F$115,2,FALSE)</f>
        <v>25</v>
      </c>
      <c r="G592" s="3">
        <f>Gegenstände!H592</f>
        <v>1</v>
      </c>
      <c r="H592" s="3">
        <f>Gegenstände!G592</f>
        <v>9</v>
      </c>
      <c r="I592" s="3">
        <f>Gegenstände!D592</f>
        <v>20</v>
      </c>
      <c r="J592" s="168">
        <f>ROUND(Gegenstände!N592,0)</f>
        <v>17100</v>
      </c>
      <c r="K592" s="3">
        <f>Gegenstände!J592</f>
        <v>100</v>
      </c>
      <c r="L592" s="3">
        <f>Gegenstände!L592</f>
        <v>0</v>
      </c>
      <c r="M592" s="3">
        <f>Gegenstände!Z592</f>
        <v>0</v>
      </c>
      <c r="N592" s="783">
        <f>(Gegenstände!Y592*10)</f>
        <v>60</v>
      </c>
      <c r="O592" s="783">
        <f>(Gegenstände!W592*10)</f>
        <v>0</v>
      </c>
      <c r="P592" s="783">
        <f>Gegenstände!AA592*10</f>
        <v>520</v>
      </c>
      <c r="Q592" s="783">
        <f>Gegenstände!O592</f>
        <v>0</v>
      </c>
      <c r="R592" s="168">
        <f>Gegenstände!S592</f>
        <v>0</v>
      </c>
      <c r="S592" s="168">
        <f>Gegenstände!T592</f>
        <v>0</v>
      </c>
      <c r="T592" s="783">
        <f>Gegenstände!AC592</f>
        <v>0</v>
      </c>
      <c r="U592" s="783">
        <f>Gegenstände!AE592</f>
        <v>0</v>
      </c>
      <c r="V592" s="783">
        <f>Gegenstände!AD592</f>
        <v>0</v>
      </c>
      <c r="W592" s="783">
        <f>Gegenstände!AF592</f>
        <v>0</v>
      </c>
      <c r="AB592" s="3">
        <f>Gegenstände!M592</f>
        <v>4</v>
      </c>
      <c r="AC592" s="3">
        <f>Gegenstände!AB592</f>
        <v>0</v>
      </c>
      <c r="AD592" s="3">
        <f>Gegenstände!F592</f>
        <v>0</v>
      </c>
    </row>
    <row r="593" spans="1:30" x14ac:dyDescent="0.2">
      <c r="A593" s="3">
        <f>Gegenstände!A593</f>
        <v>1519</v>
      </c>
      <c r="B593" s="3" t="str">
        <f>Gegenstände!B593</f>
        <v>Wall</v>
      </c>
      <c r="D593" s="3">
        <f>Gegenstände!K593</f>
        <v>3900</v>
      </c>
      <c r="E593" s="3">
        <f>Gegenstände!I593</f>
        <v>3</v>
      </c>
      <c r="F593" s="3">
        <f>VLOOKUP(Gegenstände!E593,Berechnungen!$E$87:$F$115,2,FALSE)</f>
        <v>25</v>
      </c>
      <c r="G593" s="3">
        <f>Gegenstände!H593</f>
        <v>1</v>
      </c>
      <c r="H593" s="3">
        <f>Gegenstände!G593</f>
        <v>9</v>
      </c>
      <c r="I593" s="3">
        <f>Gegenstände!D593</f>
        <v>22</v>
      </c>
      <c r="J593" s="168">
        <f>ROUND(Gegenstände!N593,0)</f>
        <v>22600</v>
      </c>
      <c r="K593" s="3">
        <f>Gegenstände!J593</f>
        <v>100</v>
      </c>
      <c r="L593" s="3">
        <f>Gegenstände!L593</f>
        <v>0</v>
      </c>
      <c r="M593" s="3">
        <f>Gegenstände!Z593</f>
        <v>0</v>
      </c>
      <c r="N593" s="783">
        <f>(Gegenstände!Y593*10)</f>
        <v>60</v>
      </c>
      <c r="O593" s="783">
        <f>(Gegenstände!W593*10)</f>
        <v>0</v>
      </c>
      <c r="P593" s="783">
        <f>Gegenstände!AA593*10</f>
        <v>540</v>
      </c>
      <c r="Q593" s="783">
        <f>Gegenstände!O593</f>
        <v>0</v>
      </c>
      <c r="R593" s="168">
        <f>Gegenstände!S593</f>
        <v>0</v>
      </c>
      <c r="S593" s="168">
        <f>Gegenstände!T593</f>
        <v>0</v>
      </c>
      <c r="T593" s="783">
        <f>Gegenstände!AC593</f>
        <v>0</v>
      </c>
      <c r="U593" s="783">
        <f>Gegenstände!AE593</f>
        <v>0</v>
      </c>
      <c r="V593" s="783">
        <f>Gegenstände!AD593</f>
        <v>0</v>
      </c>
      <c r="W593" s="783">
        <f>Gegenstände!AF593</f>
        <v>0</v>
      </c>
      <c r="AB593" s="3">
        <f>Gegenstände!M593</f>
        <v>5</v>
      </c>
      <c r="AC593" s="3">
        <f>Gegenstände!AB593</f>
        <v>0</v>
      </c>
      <c r="AD593" s="3">
        <f>Gegenstände!F593</f>
        <v>0</v>
      </c>
    </row>
    <row r="594" spans="1:30" x14ac:dyDescent="0.2">
      <c r="A594" s="3">
        <f>Gegenstände!A594</f>
        <v>1520</v>
      </c>
      <c r="B594" s="3" t="str">
        <f>Gegenstände!B594</f>
        <v>Monarchenschild</v>
      </c>
      <c r="D594" s="3">
        <f>Gegenstände!K594</f>
        <v>3800</v>
      </c>
      <c r="E594" s="3">
        <f>Gegenstände!I594</f>
        <v>3</v>
      </c>
      <c r="F594" s="3">
        <f>VLOOKUP(Gegenstände!E594,Berechnungen!$E$87:$F$115,2,FALSE)</f>
        <v>25</v>
      </c>
      <c r="G594" s="3">
        <f>Gegenstände!H594</f>
        <v>1</v>
      </c>
      <c r="H594" s="3">
        <f>Gegenstände!G594</f>
        <v>9</v>
      </c>
      <c r="I594" s="3">
        <f>Gegenstände!D594</f>
        <v>25</v>
      </c>
      <c r="J594" s="168">
        <f>ROUND(Gegenstände!N594,0)</f>
        <v>34400</v>
      </c>
      <c r="K594" s="3">
        <f>Gegenstände!J594</f>
        <v>100</v>
      </c>
      <c r="L594" s="3">
        <f>Gegenstände!L594</f>
        <v>0</v>
      </c>
      <c r="M594" s="3">
        <f>Gegenstände!Z594</f>
        <v>0</v>
      </c>
      <c r="N594" s="783">
        <f>(Gegenstände!Y594*10)</f>
        <v>60</v>
      </c>
      <c r="O594" s="783">
        <f>(Gegenstände!W594*10)</f>
        <v>0</v>
      </c>
      <c r="P594" s="783">
        <f>Gegenstände!AA594*10</f>
        <v>570</v>
      </c>
      <c r="Q594" s="783">
        <f>Gegenstände!O594</f>
        <v>0</v>
      </c>
      <c r="R594" s="168">
        <f>Gegenstände!S594</f>
        <v>0</v>
      </c>
      <c r="S594" s="168">
        <f>Gegenstände!T594</f>
        <v>0</v>
      </c>
      <c r="T594" s="783">
        <f>Gegenstände!AC594</f>
        <v>0</v>
      </c>
      <c r="U594" s="783">
        <f>Gegenstände!AE594</f>
        <v>0</v>
      </c>
      <c r="V594" s="783">
        <f>Gegenstände!AD594</f>
        <v>0</v>
      </c>
      <c r="W594" s="783">
        <f>Gegenstände!AF594</f>
        <v>0</v>
      </c>
      <c r="AB594" s="3">
        <f>Gegenstände!M594</f>
        <v>5</v>
      </c>
      <c r="AC594" s="3">
        <f>Gegenstände!AB594</f>
        <v>0</v>
      </c>
      <c r="AD594" s="3">
        <f>Gegenstände!F594</f>
        <v>0</v>
      </c>
    </row>
    <row r="595" spans="1:30" x14ac:dyDescent="0.2">
      <c r="A595" s="3">
        <f>Gegenstände!A595</f>
        <v>2511</v>
      </c>
      <c r="B595" s="3" t="str">
        <f>Gegenstände!B595</f>
        <v>Kristall-Prunkschild</v>
      </c>
      <c r="D595" s="3">
        <f>Gegenstände!K595</f>
        <v>3500</v>
      </c>
      <c r="E595" s="3">
        <f>Gegenstände!I595</f>
        <v>3</v>
      </c>
      <c r="F595" s="3">
        <f>VLOOKUP(Gegenstände!E595,Berechnungen!$E$87:$F$115,2,FALSE)</f>
        <v>25</v>
      </c>
      <c r="G595" s="3">
        <f>Gegenstände!H595</f>
        <v>2</v>
      </c>
      <c r="H595" s="3">
        <f>Gegenstände!G595</f>
        <v>9</v>
      </c>
      <c r="I595" s="3">
        <f>Gegenstände!D595</f>
        <v>5</v>
      </c>
      <c r="J595" s="168">
        <f>ROUND(Gegenstände!N595,0)</f>
        <v>3100</v>
      </c>
      <c r="K595" s="3">
        <f>Gegenstände!J595</f>
        <v>100</v>
      </c>
      <c r="L595" s="3">
        <f>Gegenstände!L595</f>
        <v>0</v>
      </c>
      <c r="M595" s="3">
        <f>Gegenstände!Z595</f>
        <v>0</v>
      </c>
      <c r="N595" s="783">
        <f>(Gegenstände!Y595*10)</f>
        <v>60</v>
      </c>
      <c r="O595" s="783">
        <f>(Gegenstände!W595*10)</f>
        <v>0</v>
      </c>
      <c r="P595" s="783">
        <f>Gegenstände!AA595*10</f>
        <v>410</v>
      </c>
      <c r="Q595" s="783">
        <f>Gegenstände!O595</f>
        <v>0</v>
      </c>
      <c r="R595" s="168">
        <f>Gegenstände!S595</f>
        <v>0</v>
      </c>
      <c r="S595" s="168">
        <f>Gegenstände!T595</f>
        <v>0</v>
      </c>
      <c r="T595" s="783">
        <f>Gegenstände!AC595</f>
        <v>0</v>
      </c>
      <c r="U595" s="783">
        <f>Gegenstände!AE595</f>
        <v>0</v>
      </c>
      <c r="V595" s="783">
        <f>Gegenstände!AD595</f>
        <v>0</v>
      </c>
      <c r="W595" s="783">
        <f>Gegenstände!AF595</f>
        <v>0</v>
      </c>
      <c r="AB595" s="3">
        <f>Gegenstände!M595</f>
        <v>0</v>
      </c>
      <c r="AC595" s="3">
        <f>Gegenstände!AB595</f>
        <v>0</v>
      </c>
      <c r="AD595" s="3">
        <f>Gegenstände!F595</f>
        <v>0</v>
      </c>
    </row>
    <row r="596" spans="1:30" x14ac:dyDescent="0.2">
      <c r="A596" s="3">
        <f>Gegenstände!A596</f>
        <v>2512</v>
      </c>
      <c r="B596" s="3" t="str">
        <f>Gegenstände!B596</f>
        <v>Quarz-Prunkschild</v>
      </c>
      <c r="D596" s="3">
        <f>Gegenstände!K596</f>
        <v>3500</v>
      </c>
      <c r="E596" s="3">
        <f>Gegenstände!I596</f>
        <v>3</v>
      </c>
      <c r="F596" s="3">
        <f>VLOOKUP(Gegenstände!E596,Berechnungen!$E$87:$F$115,2,FALSE)</f>
        <v>25</v>
      </c>
      <c r="G596" s="3">
        <f>Gegenstände!H596</f>
        <v>2</v>
      </c>
      <c r="H596" s="3">
        <f>Gegenstände!G596</f>
        <v>9</v>
      </c>
      <c r="I596" s="3">
        <f>Gegenstände!D596</f>
        <v>10</v>
      </c>
      <c r="J596" s="168">
        <f>ROUND(Gegenstände!N596,0)</f>
        <v>6200</v>
      </c>
      <c r="K596" s="3">
        <f>Gegenstände!J596</f>
        <v>100</v>
      </c>
      <c r="L596" s="3">
        <f>Gegenstände!L596</f>
        <v>0</v>
      </c>
      <c r="M596" s="3">
        <f>Gegenstände!Z596</f>
        <v>0</v>
      </c>
      <c r="N596" s="783">
        <f>(Gegenstände!Y596*10)</f>
        <v>60</v>
      </c>
      <c r="O596" s="783">
        <f>(Gegenstände!W596*10)</f>
        <v>0</v>
      </c>
      <c r="P596" s="783">
        <f>Gegenstände!AA596*10</f>
        <v>460</v>
      </c>
      <c r="Q596" s="783">
        <f>Gegenstände!O596</f>
        <v>0</v>
      </c>
      <c r="R596" s="168">
        <f>Gegenstände!S596</f>
        <v>0</v>
      </c>
      <c r="S596" s="168">
        <f>Gegenstände!T596</f>
        <v>0</v>
      </c>
      <c r="T596" s="783">
        <f>Gegenstände!AC596</f>
        <v>0</v>
      </c>
      <c r="U596" s="783">
        <f>Gegenstände!AE596</f>
        <v>0</v>
      </c>
      <c r="V596" s="783">
        <f>Gegenstände!AD596</f>
        <v>0</v>
      </c>
      <c r="W596" s="783">
        <f>Gegenstände!AF596</f>
        <v>0</v>
      </c>
      <c r="AB596" s="3">
        <f>Gegenstände!M596</f>
        <v>0</v>
      </c>
      <c r="AC596" s="3">
        <f>Gegenstände!AB596</f>
        <v>0</v>
      </c>
      <c r="AD596" s="3">
        <f>Gegenstände!F596</f>
        <v>0</v>
      </c>
    </row>
    <row r="597" spans="1:30" x14ac:dyDescent="0.2">
      <c r="A597" s="3">
        <f>Gegenstände!A597</f>
        <v>2513</v>
      </c>
      <c r="B597" s="3" t="str">
        <f>Gegenstände!B597</f>
        <v>Smaragd-Prunkschild</v>
      </c>
      <c r="D597" s="3">
        <f>Gegenstände!K597</f>
        <v>3500</v>
      </c>
      <c r="E597" s="3">
        <f>Gegenstände!I597</f>
        <v>3</v>
      </c>
      <c r="F597" s="3">
        <f>VLOOKUP(Gegenstände!E597,Berechnungen!$E$87:$F$115,2,FALSE)</f>
        <v>25</v>
      </c>
      <c r="G597" s="3">
        <f>Gegenstände!H597</f>
        <v>2</v>
      </c>
      <c r="H597" s="3">
        <f>Gegenstände!G597</f>
        <v>9</v>
      </c>
      <c r="I597" s="3">
        <f>Gegenstände!D597</f>
        <v>15</v>
      </c>
      <c r="J597" s="168">
        <f>ROUND(Gegenstände!N597,0)</f>
        <v>12500</v>
      </c>
      <c r="K597" s="3">
        <f>Gegenstände!J597</f>
        <v>100</v>
      </c>
      <c r="L597" s="3">
        <f>Gegenstände!L597</f>
        <v>0</v>
      </c>
      <c r="M597" s="3">
        <f>Gegenstände!Z597</f>
        <v>0</v>
      </c>
      <c r="N597" s="783">
        <f>(Gegenstände!Y597*10)</f>
        <v>60</v>
      </c>
      <c r="O597" s="783">
        <f>(Gegenstände!W597*10)</f>
        <v>0</v>
      </c>
      <c r="P597" s="783">
        <f>Gegenstände!AA597*10</f>
        <v>500</v>
      </c>
      <c r="Q597" s="783">
        <f>Gegenstände!O597</f>
        <v>0</v>
      </c>
      <c r="R597" s="168">
        <f>Gegenstände!S597</f>
        <v>0</v>
      </c>
      <c r="S597" s="168">
        <f>Gegenstände!T597</f>
        <v>0</v>
      </c>
      <c r="T597" s="783">
        <f>Gegenstände!AC597</f>
        <v>0</v>
      </c>
      <c r="U597" s="783">
        <f>Gegenstände!AE597</f>
        <v>0</v>
      </c>
      <c r="V597" s="783">
        <f>Gegenstände!AD597</f>
        <v>0</v>
      </c>
      <c r="W597" s="783">
        <f>Gegenstände!AF597</f>
        <v>0</v>
      </c>
      <c r="AB597" s="3">
        <f>Gegenstände!M597</f>
        <v>0</v>
      </c>
      <c r="AC597" s="3">
        <f>Gegenstände!AB597</f>
        <v>0</v>
      </c>
      <c r="AD597" s="3">
        <f>Gegenstände!F597</f>
        <v>0</v>
      </c>
    </row>
    <row r="598" spans="1:30" x14ac:dyDescent="0.2">
      <c r="A598" s="3">
        <f>Gegenstände!A598</f>
        <v>2514</v>
      </c>
      <c r="B598" s="3" t="str">
        <f>Gegenstände!B598</f>
        <v>Rubin-Prunkschild</v>
      </c>
      <c r="D598" s="3">
        <f>Gegenstände!K598</f>
        <v>3500</v>
      </c>
      <c r="E598" s="3">
        <f>Gegenstände!I598</f>
        <v>3</v>
      </c>
      <c r="F598" s="3">
        <f>VLOOKUP(Gegenstände!E598,Berechnungen!$E$87:$F$115,2,FALSE)</f>
        <v>25</v>
      </c>
      <c r="G598" s="3">
        <f>Gegenstände!H598</f>
        <v>2</v>
      </c>
      <c r="H598" s="3">
        <f>Gegenstände!G598</f>
        <v>9</v>
      </c>
      <c r="I598" s="3">
        <f>Gegenstände!D598</f>
        <v>20</v>
      </c>
      <c r="J598" s="168">
        <f>ROUND(Gegenstände!N598,0)</f>
        <v>24100</v>
      </c>
      <c r="K598" s="3">
        <f>Gegenstände!J598</f>
        <v>100</v>
      </c>
      <c r="L598" s="3">
        <f>Gegenstände!L598</f>
        <v>0</v>
      </c>
      <c r="M598" s="3">
        <f>Gegenstände!Z598</f>
        <v>0</v>
      </c>
      <c r="N598" s="783">
        <f>(Gegenstände!Y598*10)</f>
        <v>60</v>
      </c>
      <c r="O598" s="783">
        <f>(Gegenstände!W598*10)</f>
        <v>0</v>
      </c>
      <c r="P598" s="783">
        <f>Gegenstände!AA598*10</f>
        <v>550</v>
      </c>
      <c r="Q598" s="783">
        <f>Gegenstände!O598</f>
        <v>0</v>
      </c>
      <c r="R598" s="168">
        <f>Gegenstände!S598</f>
        <v>0</v>
      </c>
      <c r="S598" s="168">
        <f>Gegenstände!T598</f>
        <v>0</v>
      </c>
      <c r="T598" s="783">
        <f>Gegenstände!AC598</f>
        <v>0</v>
      </c>
      <c r="U598" s="783">
        <f>Gegenstände!AE598</f>
        <v>0</v>
      </c>
      <c r="V598" s="783">
        <f>Gegenstände!AD598</f>
        <v>0</v>
      </c>
      <c r="W598" s="783">
        <f>Gegenstände!AF598</f>
        <v>0</v>
      </c>
      <c r="AB598" s="3">
        <f>Gegenstände!M598</f>
        <v>0</v>
      </c>
      <c r="AC598" s="3">
        <f>Gegenstände!AB598</f>
        <v>0</v>
      </c>
      <c r="AD598" s="3">
        <f>Gegenstände!F598</f>
        <v>0</v>
      </c>
    </row>
    <row r="599" spans="1:30" x14ac:dyDescent="0.2">
      <c r="A599" s="3">
        <f>Gegenstände!A599</f>
        <v>2515</v>
      </c>
      <c r="B599" s="3" t="str">
        <f>Gegenstände!B599</f>
        <v>Obsidian-Prunkschild</v>
      </c>
      <c r="D599" s="3">
        <f>Gegenstände!K599</f>
        <v>3500</v>
      </c>
      <c r="E599" s="3">
        <f>Gegenstände!I599</f>
        <v>3</v>
      </c>
      <c r="F599" s="3">
        <f>VLOOKUP(Gegenstände!E599,Berechnungen!$E$87:$F$115,2,FALSE)</f>
        <v>25</v>
      </c>
      <c r="G599" s="3">
        <f>Gegenstände!H599</f>
        <v>2</v>
      </c>
      <c r="H599" s="3">
        <f>Gegenstände!G599</f>
        <v>9</v>
      </c>
      <c r="I599" s="3">
        <f>Gegenstände!D599</f>
        <v>25</v>
      </c>
      <c r="J599" s="168">
        <f>ROUND(Gegenstände!N599,0)</f>
        <v>44400</v>
      </c>
      <c r="K599" s="3">
        <f>Gegenstände!J599</f>
        <v>100</v>
      </c>
      <c r="L599" s="3">
        <f>Gegenstände!L599</f>
        <v>0</v>
      </c>
      <c r="M599" s="3">
        <f>Gegenstände!Z599</f>
        <v>0</v>
      </c>
      <c r="N599" s="783">
        <f>(Gegenstände!Y599*10)</f>
        <v>60</v>
      </c>
      <c r="O599" s="783">
        <f>(Gegenstände!W599*10)</f>
        <v>0</v>
      </c>
      <c r="P599" s="783">
        <f>Gegenstände!AA599*10</f>
        <v>590</v>
      </c>
      <c r="Q599" s="783">
        <f>Gegenstände!O599</f>
        <v>0</v>
      </c>
      <c r="R599" s="168">
        <f>Gegenstände!S599</f>
        <v>0</v>
      </c>
      <c r="S599" s="168">
        <f>Gegenstände!T599</f>
        <v>0</v>
      </c>
      <c r="T599" s="783">
        <f>Gegenstände!AC599</f>
        <v>0</v>
      </c>
      <c r="U599" s="783">
        <f>Gegenstände!AE599</f>
        <v>0</v>
      </c>
      <c r="V599" s="783">
        <f>Gegenstände!AD599</f>
        <v>0</v>
      </c>
      <c r="W599" s="783">
        <f>Gegenstände!AF599</f>
        <v>0</v>
      </c>
      <c r="AB599" s="3">
        <f>Gegenstände!M599</f>
        <v>0</v>
      </c>
      <c r="AC599" s="3">
        <f>Gegenstände!AB599</f>
        <v>0</v>
      </c>
      <c r="AD599" s="3">
        <f>Gegenstände!F599</f>
        <v>0</v>
      </c>
    </row>
    <row r="600" spans="1:30" x14ac:dyDescent="0.2">
      <c r="A600" s="3">
        <f>Gegenstände!A600</f>
        <v>0</v>
      </c>
      <c r="B600" s="3" t="str">
        <f>Gegenstände!B600</f>
        <v>Stäbe (Feuer)</v>
      </c>
      <c r="D600" s="3">
        <f>Gegenstände!K600</f>
        <v>0</v>
      </c>
      <c r="E600" s="3">
        <f>Gegenstände!I600</f>
        <v>0</v>
      </c>
      <c r="F600" s="3" t="e">
        <f>VLOOKUP(Gegenstände!E600,Berechnungen!$E$87:$F$115,2,FALSE)</f>
        <v>#N/A</v>
      </c>
      <c r="G600" s="3">
        <f>Gegenstände!H600</f>
        <v>0</v>
      </c>
      <c r="H600" s="3">
        <f>Gegenstände!G600</f>
        <v>0</v>
      </c>
      <c r="I600" s="3">
        <f>Gegenstände!D600</f>
        <v>0</v>
      </c>
      <c r="J600" s="168">
        <f>ROUND(Gegenstände!N600,0)</f>
        <v>0</v>
      </c>
      <c r="K600" s="3">
        <f>Gegenstände!J600</f>
        <v>0</v>
      </c>
      <c r="L600" s="3">
        <f>Gegenstände!L600</f>
        <v>0</v>
      </c>
      <c r="M600" s="3">
        <f>Gegenstände!Z600</f>
        <v>0</v>
      </c>
      <c r="N600" s="783">
        <f>(Gegenstände!Y600*10)</f>
        <v>0</v>
      </c>
      <c r="O600" s="783">
        <f>(Gegenstände!W600*10)</f>
        <v>0</v>
      </c>
      <c r="P600" s="783">
        <f>Gegenstände!AA600*10</f>
        <v>0</v>
      </c>
      <c r="Q600" s="783">
        <f>Gegenstände!O600</f>
        <v>0</v>
      </c>
      <c r="R600" s="168">
        <f>Gegenstände!S600</f>
        <v>0</v>
      </c>
      <c r="S600" s="168">
        <f>Gegenstände!T600</f>
        <v>0</v>
      </c>
      <c r="T600" s="783">
        <f>Gegenstände!AC600</f>
        <v>0</v>
      </c>
      <c r="U600" s="783">
        <f>Gegenstände!AE600</f>
        <v>0</v>
      </c>
      <c r="V600" s="783">
        <f>Gegenstände!AD600</f>
        <v>0</v>
      </c>
      <c r="W600" s="783">
        <f>Gegenstände!AF600</f>
        <v>0</v>
      </c>
      <c r="AB600" s="3">
        <f>Gegenstände!M600</f>
        <v>0</v>
      </c>
      <c r="AC600" s="3">
        <f>Gegenstände!AB600</f>
        <v>0</v>
      </c>
      <c r="AD600" s="3">
        <f>Gegenstände!F600</f>
        <v>0</v>
      </c>
    </row>
    <row r="601" spans="1:30" x14ac:dyDescent="0.2">
      <c r="A601" s="3">
        <f>Gegenstände!A601</f>
        <v>1601</v>
      </c>
      <c r="B601" s="3" t="str">
        <f>Gegenstände!B601</f>
        <v>Feuer-Stecken</v>
      </c>
      <c r="D601" s="3">
        <f>Gegenstände!K601</f>
        <v>1700</v>
      </c>
      <c r="E601" s="3">
        <f>Gegenstände!I601</f>
        <v>4</v>
      </c>
      <c r="F601" s="3">
        <f>VLOOKUP(Gegenstände!E601,Berechnungen!$E$87:$F$115,2,FALSE)</f>
        <v>13</v>
      </c>
      <c r="G601" s="3">
        <f>Gegenstände!H601</f>
        <v>1</v>
      </c>
      <c r="H601" s="3">
        <f>Gegenstände!G601</f>
        <v>10</v>
      </c>
      <c r="I601" s="3">
        <f>Gegenstände!D601</f>
        <v>1</v>
      </c>
      <c r="J601" s="168">
        <f>ROUND(Gegenstände!N601,0)</f>
        <v>2000</v>
      </c>
      <c r="K601" s="3">
        <f>Gegenstände!J601</f>
        <v>100</v>
      </c>
      <c r="L601" s="3">
        <f>Gegenstände!L601</f>
        <v>0</v>
      </c>
      <c r="M601" s="3">
        <f>Gegenstände!Z601</f>
        <v>0</v>
      </c>
      <c r="N601" s="783">
        <f>(Gegenstände!Y601*10)</f>
        <v>0</v>
      </c>
      <c r="O601" s="783">
        <f>(Gegenstände!W601*10)</f>
        <v>0</v>
      </c>
      <c r="P601" s="783">
        <f>Gegenstände!AA601*10</f>
        <v>0</v>
      </c>
      <c r="Q601" s="783">
        <f>Gegenstände!O601</f>
        <v>0</v>
      </c>
      <c r="R601" s="168">
        <f>Gegenstände!S601</f>
        <v>0</v>
      </c>
      <c r="S601" s="168">
        <f>Gegenstände!T601</f>
        <v>0</v>
      </c>
      <c r="T601" s="783">
        <f>Gegenstände!AC601</f>
        <v>4</v>
      </c>
      <c r="U601" s="783">
        <f>Gegenstände!AE601</f>
        <v>0</v>
      </c>
      <c r="V601" s="783">
        <f>Gegenstände!AD601</f>
        <v>0</v>
      </c>
      <c r="W601" s="783">
        <f>Gegenstände!AF601</f>
        <v>2</v>
      </c>
      <c r="AB601" s="3">
        <f>Gegenstände!M601</f>
        <v>1</v>
      </c>
      <c r="AC601" s="3">
        <f>Gegenstände!AB601</f>
        <v>43</v>
      </c>
      <c r="AD601" s="3">
        <f>Gegenstände!F601</f>
        <v>0</v>
      </c>
    </row>
    <row r="602" spans="1:30" x14ac:dyDescent="0.2">
      <c r="A602" s="3">
        <f>Gegenstände!A602</f>
        <v>1602</v>
      </c>
      <c r="B602" s="3" t="str">
        <f>Gegenstände!B602</f>
        <v>Feuer-Krummstab</v>
      </c>
      <c r="D602" s="3">
        <f>Gegenstände!K602</f>
        <v>1800</v>
      </c>
      <c r="E602" s="3">
        <f>Gegenstände!I602</f>
        <v>4</v>
      </c>
      <c r="F602" s="3">
        <f>VLOOKUP(Gegenstände!E602,Berechnungen!$E$87:$F$115,2,FALSE)</f>
        <v>13</v>
      </c>
      <c r="G602" s="3">
        <f>Gegenstände!H602</f>
        <v>1</v>
      </c>
      <c r="H602" s="3">
        <f>Gegenstände!G602</f>
        <v>10</v>
      </c>
      <c r="I602" s="3">
        <f>Gegenstände!D602</f>
        <v>4</v>
      </c>
      <c r="J602" s="168">
        <f>ROUND(Gegenstände!N602,0)</f>
        <v>3000</v>
      </c>
      <c r="K602" s="3">
        <f>Gegenstände!J602</f>
        <v>100</v>
      </c>
      <c r="L602" s="3">
        <f>Gegenstände!L602</f>
        <v>0</v>
      </c>
      <c r="M602" s="3">
        <f>Gegenstände!Z602</f>
        <v>0</v>
      </c>
      <c r="N602" s="783">
        <f>(Gegenstände!Y602*10)</f>
        <v>0</v>
      </c>
      <c r="O602" s="783">
        <f>(Gegenstände!W602*10)</f>
        <v>0</v>
      </c>
      <c r="P602" s="783">
        <f>Gegenstände!AA602*10</f>
        <v>0</v>
      </c>
      <c r="Q602" s="783">
        <f>Gegenstände!O602</f>
        <v>0</v>
      </c>
      <c r="R602" s="168">
        <f>Gegenstände!S602</f>
        <v>0</v>
      </c>
      <c r="S602" s="168">
        <f>Gegenstände!T602</f>
        <v>0</v>
      </c>
      <c r="T602" s="783">
        <f>Gegenstände!AC602</f>
        <v>16</v>
      </c>
      <c r="U602" s="783">
        <f>Gegenstände!AE602</f>
        <v>0</v>
      </c>
      <c r="V602" s="783">
        <f>Gegenstände!AD602</f>
        <v>0</v>
      </c>
      <c r="W602" s="783">
        <f>Gegenstände!AF602</f>
        <v>8</v>
      </c>
      <c r="AB602" s="3">
        <f>Gegenstände!M602</f>
        <v>1</v>
      </c>
      <c r="AC602" s="3">
        <f>Gegenstände!AB602</f>
        <v>43</v>
      </c>
      <c r="AD602" s="3">
        <f>Gegenstände!F602</f>
        <v>0</v>
      </c>
    </row>
    <row r="603" spans="1:30" x14ac:dyDescent="0.2">
      <c r="A603" s="3">
        <f>Gegenstände!A603</f>
        <v>1603</v>
      </c>
      <c r="B603" s="3" t="str">
        <f>Gegenstände!B603</f>
        <v>Feuer-Langholz</v>
      </c>
      <c r="D603" s="3">
        <f>Gegenstände!K603</f>
        <v>2000</v>
      </c>
      <c r="E603" s="3">
        <f>Gegenstände!I603</f>
        <v>4</v>
      </c>
      <c r="F603" s="3">
        <f>VLOOKUP(Gegenstände!E603,Berechnungen!$E$87:$F$115,2,FALSE)</f>
        <v>13</v>
      </c>
      <c r="G603" s="3">
        <f>Gegenstände!H603</f>
        <v>1</v>
      </c>
      <c r="H603" s="3">
        <f>Gegenstände!G603</f>
        <v>10</v>
      </c>
      <c r="I603" s="3">
        <f>Gegenstände!D603</f>
        <v>6</v>
      </c>
      <c r="J603" s="168">
        <f>ROUND(Gegenstände!N603,0)</f>
        <v>4000</v>
      </c>
      <c r="K603" s="3">
        <f>Gegenstände!J603</f>
        <v>100</v>
      </c>
      <c r="L603" s="3">
        <f>Gegenstände!L603</f>
        <v>0</v>
      </c>
      <c r="M603" s="3">
        <f>Gegenstände!Z603</f>
        <v>0</v>
      </c>
      <c r="N603" s="783">
        <f>(Gegenstände!Y603*10)</f>
        <v>0</v>
      </c>
      <c r="O603" s="783">
        <f>(Gegenstände!W603*10)</f>
        <v>0</v>
      </c>
      <c r="P603" s="783">
        <f>Gegenstände!AA603*10</f>
        <v>0</v>
      </c>
      <c r="Q603" s="783">
        <f>Gegenstände!O603</f>
        <v>0</v>
      </c>
      <c r="R603" s="168">
        <f>Gegenstände!S603</f>
        <v>0</v>
      </c>
      <c r="S603" s="168">
        <f>Gegenstände!T603</f>
        <v>0</v>
      </c>
      <c r="T603" s="783">
        <f>Gegenstände!AC603</f>
        <v>24</v>
      </c>
      <c r="U603" s="783">
        <f>Gegenstände!AE603</f>
        <v>0</v>
      </c>
      <c r="V603" s="783">
        <f>Gegenstände!AD603</f>
        <v>0</v>
      </c>
      <c r="W603" s="783">
        <f>Gegenstände!AF603</f>
        <v>12</v>
      </c>
      <c r="AB603" s="3">
        <f>Gegenstände!M603</f>
        <v>2</v>
      </c>
      <c r="AC603" s="3">
        <f>Gegenstände!AB603</f>
        <v>43</v>
      </c>
      <c r="AD603" s="3">
        <f>Gegenstände!F603</f>
        <v>0</v>
      </c>
    </row>
    <row r="604" spans="1:30" x14ac:dyDescent="0.2">
      <c r="A604" s="3">
        <f>Gegenstände!A604</f>
        <v>1604</v>
      </c>
      <c r="B604" s="3" t="str">
        <f>Gegenstände!B604</f>
        <v>Feuer-Runenstab</v>
      </c>
      <c r="D604" s="3">
        <f>Gegenstände!K604</f>
        <v>1900</v>
      </c>
      <c r="E604" s="3">
        <f>Gegenstände!I604</f>
        <v>4</v>
      </c>
      <c r="F604" s="3">
        <f>VLOOKUP(Gegenstände!E604,Berechnungen!$E$87:$F$115,2,FALSE)</f>
        <v>13</v>
      </c>
      <c r="G604" s="3">
        <f>Gegenstände!H604</f>
        <v>1</v>
      </c>
      <c r="H604" s="3">
        <f>Gegenstände!G604</f>
        <v>10</v>
      </c>
      <c r="I604" s="3">
        <f>Gegenstände!D604</f>
        <v>9</v>
      </c>
      <c r="J604" s="168">
        <f>ROUND(Gegenstände!N604,0)</f>
        <v>6100</v>
      </c>
      <c r="K604" s="3">
        <f>Gegenstände!J604</f>
        <v>100</v>
      </c>
      <c r="L604" s="3">
        <f>Gegenstände!L604</f>
        <v>0</v>
      </c>
      <c r="M604" s="3">
        <f>Gegenstände!Z604</f>
        <v>0</v>
      </c>
      <c r="N604" s="783">
        <f>(Gegenstände!Y604*10)</f>
        <v>0</v>
      </c>
      <c r="O604" s="783">
        <f>(Gegenstände!W604*10)</f>
        <v>0</v>
      </c>
      <c r="P604" s="783">
        <f>Gegenstände!AA604*10</f>
        <v>0</v>
      </c>
      <c r="Q604" s="783">
        <f>Gegenstände!O604</f>
        <v>0</v>
      </c>
      <c r="R604" s="168">
        <f>Gegenstände!S604</f>
        <v>0</v>
      </c>
      <c r="S604" s="168">
        <f>Gegenstände!T604</f>
        <v>0</v>
      </c>
      <c r="T604" s="783">
        <f>Gegenstände!AC604</f>
        <v>36</v>
      </c>
      <c r="U604" s="783">
        <f>Gegenstände!AE604</f>
        <v>0</v>
      </c>
      <c r="V604" s="783">
        <f>Gegenstände!AD604</f>
        <v>0</v>
      </c>
      <c r="W604" s="783">
        <f>Gegenstände!AF604</f>
        <v>18</v>
      </c>
      <c r="AB604" s="3">
        <f>Gegenstände!M604</f>
        <v>2</v>
      </c>
      <c r="AC604" s="3">
        <f>Gegenstände!AB604</f>
        <v>43</v>
      </c>
      <c r="AD604" s="3">
        <f>Gegenstände!F604</f>
        <v>0</v>
      </c>
    </row>
    <row r="605" spans="1:30" x14ac:dyDescent="0.2">
      <c r="A605" s="3">
        <f>Gegenstände!A605</f>
        <v>1605</v>
      </c>
      <c r="B605" s="3" t="str">
        <f>Gegenstände!B605</f>
        <v>Feuer-Lichtstab</v>
      </c>
      <c r="D605" s="3">
        <f>Gegenstände!K605</f>
        <v>1800</v>
      </c>
      <c r="E605" s="3">
        <f>Gegenstände!I605</f>
        <v>4</v>
      </c>
      <c r="F605" s="3">
        <f>VLOOKUP(Gegenstände!E605,Berechnungen!$E$87:$F$115,2,FALSE)</f>
        <v>13</v>
      </c>
      <c r="G605" s="3">
        <f>Gegenstände!H605</f>
        <v>1</v>
      </c>
      <c r="H605" s="3">
        <f>Gegenstände!G605</f>
        <v>10</v>
      </c>
      <c r="I605" s="3">
        <f>Gegenstände!D605</f>
        <v>11</v>
      </c>
      <c r="J605" s="168">
        <f>ROUND(Gegenstände!N605,0)</f>
        <v>8100</v>
      </c>
      <c r="K605" s="3">
        <f>Gegenstände!J605</f>
        <v>100</v>
      </c>
      <c r="L605" s="3">
        <f>Gegenstände!L605</f>
        <v>0</v>
      </c>
      <c r="M605" s="3">
        <f>Gegenstände!Z605</f>
        <v>0</v>
      </c>
      <c r="N605" s="783">
        <f>(Gegenstände!Y605*10)</f>
        <v>0</v>
      </c>
      <c r="O605" s="783">
        <f>(Gegenstände!W605*10)</f>
        <v>0</v>
      </c>
      <c r="P605" s="783">
        <f>Gegenstände!AA605*10</f>
        <v>0</v>
      </c>
      <c r="Q605" s="783">
        <f>Gegenstände!O605</f>
        <v>0</v>
      </c>
      <c r="R605" s="168">
        <f>Gegenstände!S605</f>
        <v>0</v>
      </c>
      <c r="S605" s="168">
        <f>Gegenstände!T605</f>
        <v>0</v>
      </c>
      <c r="T605" s="783">
        <f>Gegenstände!AC605</f>
        <v>44</v>
      </c>
      <c r="U605" s="783">
        <f>Gegenstände!AE605</f>
        <v>0</v>
      </c>
      <c r="V605" s="783">
        <f>Gegenstände!AD605</f>
        <v>0</v>
      </c>
      <c r="W605" s="783">
        <f>Gegenstände!AF605</f>
        <v>22</v>
      </c>
      <c r="AB605" s="3">
        <f>Gegenstände!M605</f>
        <v>3</v>
      </c>
      <c r="AC605" s="3">
        <f>Gegenstände!AB605</f>
        <v>43</v>
      </c>
      <c r="AD605" s="3">
        <f>Gegenstände!F605</f>
        <v>0</v>
      </c>
    </row>
    <row r="606" spans="1:30" x14ac:dyDescent="0.2">
      <c r="A606" s="3">
        <f>Gegenstände!A606</f>
        <v>1606</v>
      </c>
      <c r="B606" s="3" t="str">
        <f>Gegenstände!B606</f>
        <v>Feuer-Rute</v>
      </c>
      <c r="D606" s="3">
        <f>Gegenstände!K606</f>
        <v>1600</v>
      </c>
      <c r="E606" s="3">
        <f>Gegenstände!I606</f>
        <v>4</v>
      </c>
      <c r="F606" s="3">
        <f>VLOOKUP(Gegenstände!E606,Berechnungen!$E$87:$F$115,2,FALSE)</f>
        <v>13</v>
      </c>
      <c r="G606" s="3">
        <f>Gegenstände!H606</f>
        <v>1</v>
      </c>
      <c r="H606" s="3">
        <f>Gegenstände!G606</f>
        <v>10</v>
      </c>
      <c r="I606" s="3">
        <f>Gegenstände!D606</f>
        <v>14</v>
      </c>
      <c r="J606" s="168">
        <f>ROUND(Gegenstände!N606,0)</f>
        <v>12300</v>
      </c>
      <c r="K606" s="3">
        <f>Gegenstände!J606</f>
        <v>100</v>
      </c>
      <c r="L606" s="3">
        <f>Gegenstände!L606</f>
        <v>0</v>
      </c>
      <c r="M606" s="3">
        <f>Gegenstände!Z606</f>
        <v>0</v>
      </c>
      <c r="N606" s="783">
        <f>(Gegenstände!Y606*10)</f>
        <v>0</v>
      </c>
      <c r="O606" s="783">
        <f>(Gegenstände!W606*10)</f>
        <v>0</v>
      </c>
      <c r="P606" s="783">
        <f>Gegenstände!AA606*10</f>
        <v>0</v>
      </c>
      <c r="Q606" s="783">
        <f>Gegenstände!O606</f>
        <v>0</v>
      </c>
      <c r="R606" s="168">
        <f>Gegenstände!S606</f>
        <v>0</v>
      </c>
      <c r="S606" s="168">
        <f>Gegenstände!T606</f>
        <v>0</v>
      </c>
      <c r="T606" s="783">
        <f>Gegenstände!AC606</f>
        <v>56</v>
      </c>
      <c r="U606" s="783">
        <f>Gegenstände!AE606</f>
        <v>0</v>
      </c>
      <c r="V606" s="783">
        <f>Gegenstände!AD606</f>
        <v>0</v>
      </c>
      <c r="W606" s="783">
        <f>Gegenstände!AF606</f>
        <v>28</v>
      </c>
      <c r="AB606" s="3">
        <f>Gegenstände!M606</f>
        <v>3</v>
      </c>
      <c r="AC606" s="3">
        <f>Gegenstände!AB606</f>
        <v>43</v>
      </c>
      <c r="AD606" s="3">
        <f>Gegenstände!F606</f>
        <v>0</v>
      </c>
    </row>
    <row r="607" spans="1:30" x14ac:dyDescent="0.2">
      <c r="A607" s="3">
        <f>Gegenstände!A607</f>
        <v>1607</v>
      </c>
      <c r="B607" s="3" t="str">
        <f>Gegenstände!B607</f>
        <v>Feuer-Spiralstab</v>
      </c>
      <c r="D607" s="3">
        <f>Gegenstände!K607</f>
        <v>1800</v>
      </c>
      <c r="E607" s="3">
        <f>Gegenstände!I607</f>
        <v>4</v>
      </c>
      <c r="F607" s="3">
        <f>VLOOKUP(Gegenstände!E607,Berechnungen!$E$87:$F$115,2,FALSE)</f>
        <v>13</v>
      </c>
      <c r="G607" s="3">
        <f>Gegenstände!H607</f>
        <v>1</v>
      </c>
      <c r="H607" s="3">
        <f>Gegenstände!G607</f>
        <v>10</v>
      </c>
      <c r="I607" s="3">
        <f>Gegenstände!D607</f>
        <v>16</v>
      </c>
      <c r="J607" s="168">
        <f>ROUND(Gegenstände!N607,0)</f>
        <v>16300</v>
      </c>
      <c r="K607" s="3">
        <f>Gegenstände!J607</f>
        <v>100</v>
      </c>
      <c r="L607" s="3">
        <f>Gegenstände!L607</f>
        <v>0</v>
      </c>
      <c r="M607" s="3">
        <f>Gegenstände!Z607</f>
        <v>0</v>
      </c>
      <c r="N607" s="783">
        <f>(Gegenstände!Y607*10)</f>
        <v>0</v>
      </c>
      <c r="O607" s="783">
        <f>(Gegenstände!W607*10)</f>
        <v>0</v>
      </c>
      <c r="P607" s="783">
        <f>Gegenstände!AA607*10</f>
        <v>0</v>
      </c>
      <c r="Q607" s="783">
        <f>Gegenstände!O607</f>
        <v>0</v>
      </c>
      <c r="R607" s="168">
        <f>Gegenstände!S607</f>
        <v>0</v>
      </c>
      <c r="S607" s="168">
        <f>Gegenstände!T607</f>
        <v>0</v>
      </c>
      <c r="T607" s="783">
        <f>Gegenstände!AC607</f>
        <v>64</v>
      </c>
      <c r="U607" s="783">
        <f>Gegenstände!AE607</f>
        <v>0</v>
      </c>
      <c r="V607" s="783">
        <f>Gegenstände!AD607</f>
        <v>0</v>
      </c>
      <c r="W607" s="783">
        <f>Gegenstände!AF607</f>
        <v>32</v>
      </c>
      <c r="AB607" s="3">
        <f>Gegenstände!M607</f>
        <v>4</v>
      </c>
      <c r="AC607" s="3">
        <f>Gegenstände!AB607</f>
        <v>43</v>
      </c>
      <c r="AD607" s="3">
        <f>Gegenstände!F607</f>
        <v>0</v>
      </c>
    </row>
    <row r="608" spans="1:30" x14ac:dyDescent="0.2">
      <c r="A608" s="3">
        <f>Gegenstände!A608</f>
        <v>1608</v>
      </c>
      <c r="B608" s="3" t="str">
        <f>Gegenstände!B608</f>
        <v>Feuer-Eschenstab</v>
      </c>
      <c r="D608" s="3">
        <f>Gegenstände!K608</f>
        <v>1700</v>
      </c>
      <c r="E608" s="3">
        <f>Gegenstände!I608</f>
        <v>4</v>
      </c>
      <c r="F608" s="3">
        <f>VLOOKUP(Gegenstände!E608,Berechnungen!$E$87:$F$115,2,FALSE)</f>
        <v>13</v>
      </c>
      <c r="G608" s="3">
        <f>Gegenstände!H608</f>
        <v>1</v>
      </c>
      <c r="H608" s="3">
        <f>Gegenstände!G608</f>
        <v>10</v>
      </c>
      <c r="I608" s="3">
        <f>Gegenstände!D608</f>
        <v>19</v>
      </c>
      <c r="J608" s="168">
        <f>ROUND(Gegenstände!N608,0)</f>
        <v>24800</v>
      </c>
      <c r="K608" s="3">
        <f>Gegenstände!J608</f>
        <v>100</v>
      </c>
      <c r="L608" s="3">
        <f>Gegenstände!L608</f>
        <v>0</v>
      </c>
      <c r="M608" s="3">
        <f>Gegenstände!Z608</f>
        <v>0</v>
      </c>
      <c r="N608" s="783">
        <f>(Gegenstände!Y608*10)</f>
        <v>0</v>
      </c>
      <c r="O608" s="783">
        <f>(Gegenstände!W608*10)</f>
        <v>0</v>
      </c>
      <c r="P608" s="783">
        <f>Gegenstände!AA608*10</f>
        <v>0</v>
      </c>
      <c r="Q608" s="783">
        <f>Gegenstände!O608</f>
        <v>0</v>
      </c>
      <c r="R608" s="168">
        <f>Gegenstände!S608</f>
        <v>0</v>
      </c>
      <c r="S608" s="168">
        <f>Gegenstände!T608</f>
        <v>0</v>
      </c>
      <c r="T608" s="783">
        <f>Gegenstände!AC608</f>
        <v>76</v>
      </c>
      <c r="U608" s="783">
        <f>Gegenstände!AE608</f>
        <v>0</v>
      </c>
      <c r="V608" s="783">
        <f>Gegenstände!AD608</f>
        <v>0</v>
      </c>
      <c r="W608" s="783">
        <f>Gegenstände!AF608</f>
        <v>38</v>
      </c>
      <c r="AB608" s="3">
        <f>Gegenstände!M608</f>
        <v>4</v>
      </c>
      <c r="AC608" s="3">
        <f>Gegenstände!AB608</f>
        <v>43</v>
      </c>
      <c r="AD608" s="3">
        <f>Gegenstände!F608</f>
        <v>0</v>
      </c>
    </row>
    <row r="609" spans="1:30" x14ac:dyDescent="0.2">
      <c r="A609" s="3">
        <f>Gegenstände!A609</f>
        <v>1609</v>
      </c>
      <c r="B609" s="3" t="str">
        <f>Gegenstände!B609</f>
        <v>Feuer-Eibenlanze</v>
      </c>
      <c r="D609" s="3">
        <f>Gegenstände!K609</f>
        <v>1900</v>
      </c>
      <c r="E609" s="3">
        <f>Gegenstände!I609</f>
        <v>4</v>
      </c>
      <c r="F609" s="3">
        <f>VLOOKUP(Gegenstände!E609,Berechnungen!$E$87:$F$115,2,FALSE)</f>
        <v>13</v>
      </c>
      <c r="G609" s="3">
        <f>Gegenstände!H609</f>
        <v>1</v>
      </c>
      <c r="H609" s="3">
        <f>Gegenstände!G609</f>
        <v>10</v>
      </c>
      <c r="I609" s="3">
        <f>Gegenstände!D609</f>
        <v>22</v>
      </c>
      <c r="J609" s="168">
        <f>ROUND(Gegenstände!N609,0)</f>
        <v>37600</v>
      </c>
      <c r="K609" s="3">
        <f>Gegenstände!J609</f>
        <v>100</v>
      </c>
      <c r="L609" s="3">
        <f>Gegenstände!L609</f>
        <v>0</v>
      </c>
      <c r="M609" s="3">
        <f>Gegenstände!Z609</f>
        <v>0</v>
      </c>
      <c r="N609" s="783">
        <f>(Gegenstände!Y609*10)</f>
        <v>0</v>
      </c>
      <c r="O609" s="783">
        <f>(Gegenstände!W609*10)</f>
        <v>0</v>
      </c>
      <c r="P609" s="783">
        <f>Gegenstände!AA609*10</f>
        <v>0</v>
      </c>
      <c r="Q609" s="783">
        <f>Gegenstände!O609</f>
        <v>0</v>
      </c>
      <c r="R609" s="168">
        <f>Gegenstände!S609</f>
        <v>0</v>
      </c>
      <c r="S609" s="168">
        <f>Gegenstände!T609</f>
        <v>0</v>
      </c>
      <c r="T609" s="783">
        <f>Gegenstände!AC609</f>
        <v>88</v>
      </c>
      <c r="U609" s="783">
        <f>Gegenstände!AE609</f>
        <v>0</v>
      </c>
      <c r="V609" s="783">
        <f>Gegenstände!AD609</f>
        <v>0</v>
      </c>
      <c r="W609" s="783">
        <f>Gegenstände!AF609</f>
        <v>44</v>
      </c>
      <c r="AB609" s="3">
        <f>Gegenstände!M609</f>
        <v>5</v>
      </c>
      <c r="AC609" s="3">
        <f>Gegenstände!AB609</f>
        <v>43</v>
      </c>
      <c r="AD609" s="3">
        <f>Gegenstände!F609</f>
        <v>0</v>
      </c>
    </row>
    <row r="610" spans="1:30" x14ac:dyDescent="0.2">
      <c r="A610" s="3">
        <f>Gegenstände!A610</f>
        <v>1610</v>
      </c>
      <c r="B610" s="3" t="str">
        <f>Gegenstände!B610</f>
        <v>Feuer-Wächterstab</v>
      </c>
      <c r="D610" s="3">
        <f>Gegenstände!K610</f>
        <v>1800</v>
      </c>
      <c r="E610" s="3">
        <f>Gegenstände!I610</f>
        <v>4</v>
      </c>
      <c r="F610" s="3">
        <f>VLOOKUP(Gegenstände!E610,Berechnungen!$E$87:$F$115,2,FALSE)</f>
        <v>13</v>
      </c>
      <c r="G610" s="3">
        <f>Gegenstände!H610</f>
        <v>1</v>
      </c>
      <c r="H610" s="3">
        <f>Gegenstände!G610</f>
        <v>10</v>
      </c>
      <c r="I610" s="3">
        <f>Gegenstände!D610</f>
        <v>25</v>
      </c>
      <c r="J610" s="168">
        <f>ROUND(Gegenstände!N610,0)</f>
        <v>57300</v>
      </c>
      <c r="K610" s="3">
        <f>Gegenstände!J610</f>
        <v>100</v>
      </c>
      <c r="L610" s="3">
        <f>Gegenstände!L610</f>
        <v>0</v>
      </c>
      <c r="M610" s="3">
        <f>Gegenstände!Z610</f>
        <v>0</v>
      </c>
      <c r="N610" s="783">
        <f>(Gegenstände!Y610*10)</f>
        <v>0</v>
      </c>
      <c r="O610" s="783">
        <f>(Gegenstände!W610*10)</f>
        <v>0</v>
      </c>
      <c r="P610" s="783">
        <f>Gegenstände!AA610*10</f>
        <v>0</v>
      </c>
      <c r="Q610" s="783">
        <f>Gegenstände!O610</f>
        <v>0</v>
      </c>
      <c r="R610" s="168">
        <f>Gegenstände!S610</f>
        <v>0</v>
      </c>
      <c r="S610" s="168">
        <f>Gegenstände!T610</f>
        <v>0</v>
      </c>
      <c r="T610" s="783">
        <f>Gegenstände!AC610</f>
        <v>100</v>
      </c>
      <c r="U610" s="783">
        <f>Gegenstände!AE610</f>
        <v>0</v>
      </c>
      <c r="V610" s="783">
        <f>Gegenstände!AD610</f>
        <v>0</v>
      </c>
      <c r="W610" s="783">
        <f>Gegenstände!AF610</f>
        <v>50</v>
      </c>
      <c r="AB610" s="3">
        <f>Gegenstände!M610</f>
        <v>5</v>
      </c>
      <c r="AC610" s="3">
        <f>Gegenstände!AB610</f>
        <v>43</v>
      </c>
      <c r="AD610" s="3">
        <f>Gegenstände!F610</f>
        <v>0</v>
      </c>
    </row>
    <row r="611" spans="1:30" x14ac:dyDescent="0.2">
      <c r="A611" s="3">
        <f>Gegenstände!A611</f>
        <v>2601</v>
      </c>
      <c r="B611" s="3" t="str">
        <f>Gegenstände!B611</f>
        <v>Pyrit-Feuerstab</v>
      </c>
      <c r="D611" s="3">
        <f>Gegenstände!K611</f>
        <v>1700</v>
      </c>
      <c r="E611" s="3">
        <f>Gegenstände!I611</f>
        <v>4</v>
      </c>
      <c r="F611" s="3">
        <f>VLOOKUP(Gegenstände!E611,Berechnungen!$E$87:$F$115,2,FALSE)</f>
        <v>13</v>
      </c>
      <c r="G611" s="3">
        <f>Gegenstände!H611</f>
        <v>2</v>
      </c>
      <c r="H611" s="3">
        <f>Gegenstände!G611</f>
        <v>10</v>
      </c>
      <c r="I611" s="3">
        <f>Gegenstände!D611</f>
        <v>4</v>
      </c>
      <c r="J611" s="168">
        <f>ROUND(Gegenstände!N611,0)</f>
        <v>5500</v>
      </c>
      <c r="K611" s="3">
        <f>Gegenstände!J611</f>
        <v>100</v>
      </c>
      <c r="L611" s="3">
        <f>Gegenstände!L611</f>
        <v>0</v>
      </c>
      <c r="M611" s="3">
        <f>Gegenstände!Z611</f>
        <v>0</v>
      </c>
      <c r="N611" s="783">
        <f>(Gegenstände!Y611*10)</f>
        <v>0</v>
      </c>
      <c r="O611" s="783">
        <f>(Gegenstände!W611*10)</f>
        <v>0</v>
      </c>
      <c r="P611" s="783">
        <f>Gegenstände!AA611*10</f>
        <v>0</v>
      </c>
      <c r="Q611" s="783">
        <f>Gegenstände!O611</f>
        <v>0</v>
      </c>
      <c r="R611" s="168">
        <f>Gegenstände!S611</f>
        <v>0</v>
      </c>
      <c r="S611" s="168">
        <f>Gegenstände!T611</f>
        <v>0</v>
      </c>
      <c r="T611" s="783">
        <f>Gegenstände!AC611</f>
        <v>28</v>
      </c>
      <c r="U611" s="783">
        <f>Gegenstände!AE611</f>
        <v>0</v>
      </c>
      <c r="V611" s="783">
        <f>Gegenstände!AD611</f>
        <v>0</v>
      </c>
      <c r="W611" s="783">
        <f>Gegenstände!AF611</f>
        <v>14</v>
      </c>
      <c r="AB611" s="3">
        <f>Gegenstände!M611</f>
        <v>0</v>
      </c>
      <c r="AC611" s="3">
        <f>Gegenstände!AB611</f>
        <v>43</v>
      </c>
      <c r="AD611" s="3">
        <f>Gegenstände!F611</f>
        <v>0</v>
      </c>
    </row>
    <row r="612" spans="1:30" x14ac:dyDescent="0.2">
      <c r="A612" s="3">
        <f>Gegenstände!A612</f>
        <v>2602</v>
      </c>
      <c r="B612" s="3" t="str">
        <f>Gegenstände!B612</f>
        <v>Jaspis-Feuerstab</v>
      </c>
      <c r="D612" s="3">
        <f>Gegenstände!K612</f>
        <v>1800</v>
      </c>
      <c r="E612" s="3">
        <f>Gegenstände!I612</f>
        <v>4</v>
      </c>
      <c r="F612" s="3">
        <f>VLOOKUP(Gegenstände!E612,Berechnungen!$E$87:$F$115,2,FALSE)</f>
        <v>13</v>
      </c>
      <c r="G612" s="3">
        <f>Gegenstände!H612</f>
        <v>2</v>
      </c>
      <c r="H612" s="3">
        <f>Gegenstände!G612</f>
        <v>10</v>
      </c>
      <c r="I612" s="3">
        <f>Gegenstände!D612</f>
        <v>9</v>
      </c>
      <c r="J612" s="168">
        <f>ROUND(Gegenstände!N612,0)</f>
        <v>11100</v>
      </c>
      <c r="K612" s="3">
        <f>Gegenstände!J612</f>
        <v>100</v>
      </c>
      <c r="L612" s="3">
        <f>Gegenstände!L612</f>
        <v>0</v>
      </c>
      <c r="M612" s="3">
        <f>Gegenstände!Z612</f>
        <v>0</v>
      </c>
      <c r="N612" s="783">
        <f>(Gegenstände!Y612*10)</f>
        <v>0</v>
      </c>
      <c r="O612" s="783">
        <f>(Gegenstände!W612*10)</f>
        <v>0</v>
      </c>
      <c r="P612" s="783">
        <f>Gegenstände!AA612*10</f>
        <v>0</v>
      </c>
      <c r="Q612" s="783">
        <f>Gegenstände!O612</f>
        <v>0</v>
      </c>
      <c r="R612" s="168">
        <f>Gegenstände!S612</f>
        <v>0</v>
      </c>
      <c r="S612" s="168">
        <f>Gegenstände!T612</f>
        <v>0</v>
      </c>
      <c r="T612" s="783">
        <f>Gegenstände!AC612</f>
        <v>48</v>
      </c>
      <c r="U612" s="783">
        <f>Gegenstände!AE612</f>
        <v>0</v>
      </c>
      <c r="V612" s="783">
        <f>Gegenstände!AD612</f>
        <v>0</v>
      </c>
      <c r="W612" s="783">
        <f>Gegenstände!AF612</f>
        <v>24</v>
      </c>
      <c r="AB612" s="3">
        <f>Gegenstände!M612</f>
        <v>0</v>
      </c>
      <c r="AC612" s="3">
        <f>Gegenstände!AB612</f>
        <v>43</v>
      </c>
      <c r="AD612" s="3">
        <f>Gegenstände!F612</f>
        <v>0</v>
      </c>
    </row>
    <row r="613" spans="1:30" x14ac:dyDescent="0.2">
      <c r="A613" s="3">
        <f>Gegenstände!A613</f>
        <v>2603</v>
      </c>
      <c r="B613" s="3" t="str">
        <f>Gegenstände!B613</f>
        <v>Perlmutt-Feuerstab</v>
      </c>
      <c r="D613" s="3">
        <f>Gegenstände!K613</f>
        <v>2000</v>
      </c>
      <c r="E613" s="3">
        <f>Gegenstände!I613</f>
        <v>4</v>
      </c>
      <c r="F613" s="3">
        <f>VLOOKUP(Gegenstände!E613,Berechnungen!$E$87:$F$115,2,FALSE)</f>
        <v>13</v>
      </c>
      <c r="G613" s="3">
        <f>Gegenstände!H613</f>
        <v>2</v>
      </c>
      <c r="H613" s="3">
        <f>Gegenstände!G613</f>
        <v>10</v>
      </c>
      <c r="I613" s="3">
        <f>Gegenstände!D613</f>
        <v>14</v>
      </c>
      <c r="J613" s="168">
        <f>ROUND(Gegenstände!N613,0)</f>
        <v>22300</v>
      </c>
      <c r="K613" s="3">
        <f>Gegenstände!J613</f>
        <v>100</v>
      </c>
      <c r="L613" s="3">
        <f>Gegenstände!L613</f>
        <v>0</v>
      </c>
      <c r="M613" s="3">
        <f>Gegenstände!Z613</f>
        <v>0</v>
      </c>
      <c r="N613" s="783">
        <f>(Gegenstände!Y613*10)</f>
        <v>0</v>
      </c>
      <c r="O613" s="783">
        <f>(Gegenstände!W613*10)</f>
        <v>0</v>
      </c>
      <c r="P613" s="783">
        <f>Gegenstände!AA613*10</f>
        <v>0</v>
      </c>
      <c r="Q613" s="783">
        <f>Gegenstände!O613</f>
        <v>0</v>
      </c>
      <c r="R613" s="168">
        <f>Gegenstände!S613</f>
        <v>0</v>
      </c>
      <c r="S613" s="168">
        <f>Gegenstände!T613</f>
        <v>0</v>
      </c>
      <c r="T613" s="783">
        <f>Gegenstände!AC613</f>
        <v>68</v>
      </c>
      <c r="U613" s="783">
        <f>Gegenstände!AE613</f>
        <v>0</v>
      </c>
      <c r="V613" s="783">
        <f>Gegenstände!AD613</f>
        <v>0</v>
      </c>
      <c r="W613" s="783">
        <f>Gegenstände!AF613</f>
        <v>34</v>
      </c>
      <c r="AB613" s="3">
        <f>Gegenstände!M613</f>
        <v>0</v>
      </c>
      <c r="AC613" s="3">
        <f>Gegenstände!AB613</f>
        <v>43</v>
      </c>
      <c r="AD613" s="3">
        <f>Gegenstände!F613</f>
        <v>0</v>
      </c>
    </row>
    <row r="614" spans="1:30" x14ac:dyDescent="0.2">
      <c r="A614" s="3">
        <f>Gegenstände!A614</f>
        <v>2604</v>
      </c>
      <c r="B614" s="3" t="str">
        <f>Gegenstände!B614</f>
        <v>Jade-Feuerstab</v>
      </c>
      <c r="D614" s="3">
        <f>Gegenstände!K614</f>
        <v>1900</v>
      </c>
      <c r="E614" s="3">
        <f>Gegenstände!I614</f>
        <v>4</v>
      </c>
      <c r="F614" s="3">
        <f>VLOOKUP(Gegenstände!E614,Berechnungen!$E$87:$F$115,2,FALSE)</f>
        <v>13</v>
      </c>
      <c r="G614" s="3">
        <f>Gegenstände!H614</f>
        <v>2</v>
      </c>
      <c r="H614" s="3">
        <f>Gegenstände!G614</f>
        <v>10</v>
      </c>
      <c r="I614" s="3">
        <f>Gegenstände!D614</f>
        <v>19</v>
      </c>
      <c r="J614" s="168">
        <f>ROUND(Gegenstände!N614,0)</f>
        <v>42300</v>
      </c>
      <c r="K614" s="3">
        <f>Gegenstände!J614</f>
        <v>100</v>
      </c>
      <c r="L614" s="3">
        <f>Gegenstände!L614</f>
        <v>0</v>
      </c>
      <c r="M614" s="3">
        <f>Gegenstände!Z614</f>
        <v>0</v>
      </c>
      <c r="N614" s="783">
        <f>(Gegenstände!Y614*10)</f>
        <v>0</v>
      </c>
      <c r="O614" s="783">
        <f>(Gegenstände!W614*10)</f>
        <v>0</v>
      </c>
      <c r="P614" s="783">
        <f>Gegenstände!AA614*10</f>
        <v>0</v>
      </c>
      <c r="Q614" s="783">
        <f>Gegenstände!O614</f>
        <v>0</v>
      </c>
      <c r="R614" s="168">
        <f>Gegenstände!S614</f>
        <v>0</v>
      </c>
      <c r="S614" s="168">
        <f>Gegenstände!T614</f>
        <v>0</v>
      </c>
      <c r="T614" s="783">
        <f>Gegenstände!AC614</f>
        <v>88</v>
      </c>
      <c r="U614" s="783">
        <f>Gegenstände!AE614</f>
        <v>0</v>
      </c>
      <c r="V614" s="783">
        <f>Gegenstände!AD614</f>
        <v>0</v>
      </c>
      <c r="W614" s="783">
        <f>Gegenstände!AF614</f>
        <v>44</v>
      </c>
      <c r="AB614" s="3">
        <f>Gegenstände!M614</f>
        <v>0</v>
      </c>
      <c r="AC614" s="3">
        <f>Gegenstände!AB614</f>
        <v>43</v>
      </c>
      <c r="AD614" s="3">
        <f>Gegenstände!F614</f>
        <v>0</v>
      </c>
    </row>
    <row r="615" spans="1:30" x14ac:dyDescent="0.2">
      <c r="A615" s="3">
        <f>Gegenstände!A615</f>
        <v>2605</v>
      </c>
      <c r="B615" s="3" t="str">
        <f>Gegenstände!B615</f>
        <v>Onyx-Feuerstab</v>
      </c>
      <c r="D615" s="3">
        <f>Gegenstände!K615</f>
        <v>1800</v>
      </c>
      <c r="E615" s="3">
        <f>Gegenstände!I615</f>
        <v>4</v>
      </c>
      <c r="F615" s="3">
        <f>VLOOKUP(Gegenstände!E615,Berechnungen!$E$87:$F$115,2,FALSE)</f>
        <v>13</v>
      </c>
      <c r="G615" s="3">
        <f>Gegenstände!H615</f>
        <v>2</v>
      </c>
      <c r="H615" s="3">
        <f>Gegenstände!G615</f>
        <v>10</v>
      </c>
      <c r="I615" s="3">
        <f>Gegenstände!D615</f>
        <v>25</v>
      </c>
      <c r="J615" s="168">
        <f>ROUND(Gegenstände!N615,0)</f>
        <v>82300</v>
      </c>
      <c r="K615" s="3">
        <f>Gegenstände!J615</f>
        <v>100</v>
      </c>
      <c r="L615" s="3">
        <f>Gegenstände!L615</f>
        <v>0</v>
      </c>
      <c r="M615" s="3">
        <f>Gegenstände!Z615</f>
        <v>0</v>
      </c>
      <c r="N615" s="783">
        <f>(Gegenstände!Y615*10)</f>
        <v>0</v>
      </c>
      <c r="O615" s="783">
        <f>(Gegenstände!W615*10)</f>
        <v>0</v>
      </c>
      <c r="P615" s="783">
        <f>Gegenstände!AA615*10</f>
        <v>0</v>
      </c>
      <c r="Q615" s="783">
        <f>Gegenstände!O615</f>
        <v>0</v>
      </c>
      <c r="R615" s="168">
        <f>Gegenstände!S615</f>
        <v>0</v>
      </c>
      <c r="S615" s="168">
        <f>Gegenstände!T615</f>
        <v>0</v>
      </c>
      <c r="T615" s="783">
        <f>Gegenstände!AC615</f>
        <v>112</v>
      </c>
      <c r="U615" s="783">
        <f>Gegenstände!AE615</f>
        <v>0</v>
      </c>
      <c r="V615" s="783">
        <f>Gegenstände!AD615</f>
        <v>0</v>
      </c>
      <c r="W615" s="783">
        <f>Gegenstände!AF615</f>
        <v>56</v>
      </c>
      <c r="AB615" s="3">
        <f>Gegenstände!M615</f>
        <v>0</v>
      </c>
      <c r="AC615" s="3">
        <f>Gegenstände!AB615</f>
        <v>43</v>
      </c>
      <c r="AD615" s="3">
        <f>Gegenstände!F615</f>
        <v>0</v>
      </c>
    </row>
    <row r="616" spans="1:30" x14ac:dyDescent="0.2">
      <c r="A616" s="3">
        <f>Gegenstände!A616</f>
        <v>0</v>
      </c>
      <c r="B616" s="3" t="str">
        <f>Gegenstände!B616</f>
        <v>Stäbe (Wasser)</v>
      </c>
      <c r="D616" s="3">
        <f>Gegenstände!K616</f>
        <v>0</v>
      </c>
      <c r="E616" s="3">
        <f>Gegenstände!I616</f>
        <v>0</v>
      </c>
      <c r="F616" s="3" t="e">
        <f>VLOOKUP(Gegenstände!E616,Berechnungen!$E$87:$F$115,2,FALSE)</f>
        <v>#N/A</v>
      </c>
      <c r="G616" s="3">
        <f>Gegenstände!H616</f>
        <v>0</v>
      </c>
      <c r="H616" s="3">
        <f>Gegenstände!G616</f>
        <v>0</v>
      </c>
      <c r="I616" s="3">
        <f>Gegenstände!D616</f>
        <v>0</v>
      </c>
      <c r="J616" s="168">
        <f>ROUND(Gegenstände!N616,0)</f>
        <v>0</v>
      </c>
      <c r="K616" s="3">
        <f>Gegenstände!J616</f>
        <v>0</v>
      </c>
      <c r="L616" s="3">
        <f>Gegenstände!L616</f>
        <v>0</v>
      </c>
      <c r="M616" s="3">
        <f>Gegenstände!Z616</f>
        <v>0</v>
      </c>
      <c r="N616" s="783">
        <f>(Gegenstände!Y616*10)</f>
        <v>0</v>
      </c>
      <c r="O616" s="783">
        <f>(Gegenstände!W616*10)</f>
        <v>0</v>
      </c>
      <c r="P616" s="783">
        <f>Gegenstände!AA616*10</f>
        <v>0</v>
      </c>
      <c r="Q616" s="783">
        <f>Gegenstände!O616</f>
        <v>0</v>
      </c>
      <c r="R616" s="168">
        <f>Gegenstände!S616</f>
        <v>0</v>
      </c>
      <c r="S616" s="168">
        <f>Gegenstände!T616</f>
        <v>0</v>
      </c>
      <c r="T616" s="783">
        <f>Gegenstände!AC616</f>
        <v>0</v>
      </c>
      <c r="U616" s="783">
        <f>Gegenstände!AE616</f>
        <v>0</v>
      </c>
      <c r="V616" s="783">
        <f>Gegenstände!AD616</f>
        <v>0</v>
      </c>
      <c r="W616" s="783">
        <f>Gegenstände!AF616</f>
        <v>0</v>
      </c>
      <c r="AB616" s="3">
        <f>Gegenstände!M616</f>
        <v>0</v>
      </c>
      <c r="AC616" s="3">
        <f>Gegenstände!AB616</f>
        <v>0</v>
      </c>
      <c r="AD616" s="3">
        <f>Gegenstände!F616</f>
        <v>0</v>
      </c>
    </row>
    <row r="617" spans="1:30" x14ac:dyDescent="0.2">
      <c r="A617" s="3">
        <f>Gegenstände!A617</f>
        <v>1611</v>
      </c>
      <c r="B617" s="3" t="str">
        <f>Gegenstände!B617</f>
        <v>Wasser-Stecken</v>
      </c>
      <c r="D617" s="3">
        <f>Gegenstände!K617</f>
        <v>1700</v>
      </c>
      <c r="E617" s="3">
        <f>Gegenstände!I617</f>
        <v>4</v>
      </c>
      <c r="F617" s="3">
        <f>VLOOKUP(Gegenstände!E617,Berechnungen!$E$87:$F$115,2,FALSE)</f>
        <v>14</v>
      </c>
      <c r="G617" s="3">
        <f>Gegenstände!H617</f>
        <v>1</v>
      </c>
      <c r="H617" s="3">
        <f>Gegenstände!G617</f>
        <v>11</v>
      </c>
      <c r="I617" s="3">
        <f>Gegenstände!D617</f>
        <v>1</v>
      </c>
      <c r="J617" s="168">
        <f>ROUND(Gegenstände!N617,0)</f>
        <v>2000</v>
      </c>
      <c r="K617" s="3">
        <f>Gegenstände!J617</f>
        <v>100</v>
      </c>
      <c r="L617" s="3">
        <f>Gegenstände!L617</f>
        <v>0</v>
      </c>
      <c r="M617" s="3">
        <f>Gegenstände!Z617</f>
        <v>0</v>
      </c>
      <c r="N617" s="783">
        <f>(Gegenstände!Y617*10)</f>
        <v>0</v>
      </c>
      <c r="O617" s="783">
        <f>(Gegenstände!W617*10)</f>
        <v>0</v>
      </c>
      <c r="P617" s="783">
        <f>Gegenstände!AA617*10</f>
        <v>0</v>
      </c>
      <c r="Q617" s="783">
        <f>Gegenstände!O617</f>
        <v>0</v>
      </c>
      <c r="R617" s="168">
        <f>Gegenstände!S617</f>
        <v>0</v>
      </c>
      <c r="S617" s="168">
        <f>Gegenstände!T617</f>
        <v>0</v>
      </c>
      <c r="T617" s="783">
        <f>Gegenstände!AC617</f>
        <v>4</v>
      </c>
      <c r="U617" s="783">
        <f>Gegenstände!AE617</f>
        <v>0</v>
      </c>
      <c r="V617" s="783">
        <f>Gegenstände!AD617</f>
        <v>0</v>
      </c>
      <c r="W617" s="783">
        <f>Gegenstände!AF617</f>
        <v>2</v>
      </c>
      <c r="AB617" s="3">
        <f>Gegenstände!M617</f>
        <v>1</v>
      </c>
      <c r="AC617" s="3">
        <f>Gegenstände!AB617</f>
        <v>43</v>
      </c>
      <c r="AD617" s="3">
        <f>Gegenstände!F617</f>
        <v>0</v>
      </c>
    </row>
    <row r="618" spans="1:30" x14ac:dyDescent="0.2">
      <c r="A618" s="3">
        <f>Gegenstände!A618</f>
        <v>1612</v>
      </c>
      <c r="B618" s="3" t="str">
        <f>Gegenstände!B618</f>
        <v>Wasser-Krummstab</v>
      </c>
      <c r="D618" s="3">
        <f>Gegenstände!K618</f>
        <v>1800</v>
      </c>
      <c r="E618" s="3">
        <f>Gegenstände!I618</f>
        <v>4</v>
      </c>
      <c r="F618" s="3">
        <f>VLOOKUP(Gegenstände!E618,Berechnungen!$E$87:$F$115,2,FALSE)</f>
        <v>14</v>
      </c>
      <c r="G618" s="3">
        <f>Gegenstände!H618</f>
        <v>1</v>
      </c>
      <c r="H618" s="3">
        <f>Gegenstände!G618</f>
        <v>11</v>
      </c>
      <c r="I618" s="3">
        <f>Gegenstände!D618</f>
        <v>4</v>
      </c>
      <c r="J618" s="168">
        <f>ROUND(Gegenstände!N618,0)</f>
        <v>3000</v>
      </c>
      <c r="K618" s="3">
        <f>Gegenstände!J618</f>
        <v>100</v>
      </c>
      <c r="L618" s="3">
        <f>Gegenstände!L618</f>
        <v>0</v>
      </c>
      <c r="M618" s="3">
        <f>Gegenstände!Z618</f>
        <v>0</v>
      </c>
      <c r="N618" s="783">
        <f>(Gegenstände!Y618*10)</f>
        <v>0</v>
      </c>
      <c r="O618" s="783">
        <f>(Gegenstände!W618*10)</f>
        <v>0</v>
      </c>
      <c r="P618" s="783">
        <f>Gegenstände!AA618*10</f>
        <v>0</v>
      </c>
      <c r="Q618" s="783">
        <f>Gegenstände!O618</f>
        <v>0</v>
      </c>
      <c r="R618" s="168">
        <f>Gegenstände!S618</f>
        <v>0</v>
      </c>
      <c r="S618" s="168">
        <f>Gegenstände!T618</f>
        <v>0</v>
      </c>
      <c r="T618" s="783">
        <f>Gegenstände!AC618</f>
        <v>16</v>
      </c>
      <c r="U618" s="783">
        <f>Gegenstände!AE618</f>
        <v>0</v>
      </c>
      <c r="V618" s="783">
        <f>Gegenstände!AD618</f>
        <v>0</v>
      </c>
      <c r="W618" s="783">
        <f>Gegenstände!AF618</f>
        <v>8</v>
      </c>
      <c r="AB618" s="3">
        <f>Gegenstände!M618</f>
        <v>1</v>
      </c>
      <c r="AC618" s="3">
        <f>Gegenstände!AB618</f>
        <v>43</v>
      </c>
      <c r="AD618" s="3">
        <f>Gegenstände!F618</f>
        <v>0</v>
      </c>
    </row>
    <row r="619" spans="1:30" x14ac:dyDescent="0.2">
      <c r="A619" s="3">
        <f>Gegenstände!A619</f>
        <v>1613</v>
      </c>
      <c r="B619" s="3" t="str">
        <f>Gegenstände!B619</f>
        <v>Wasser-Langholz</v>
      </c>
      <c r="D619" s="3">
        <f>Gegenstände!K619</f>
        <v>2000</v>
      </c>
      <c r="E619" s="3">
        <f>Gegenstände!I619</f>
        <v>4</v>
      </c>
      <c r="F619" s="3">
        <f>VLOOKUP(Gegenstände!E619,Berechnungen!$E$87:$F$115,2,FALSE)</f>
        <v>14</v>
      </c>
      <c r="G619" s="3">
        <f>Gegenstände!H619</f>
        <v>1</v>
      </c>
      <c r="H619" s="3">
        <f>Gegenstände!G619</f>
        <v>11</v>
      </c>
      <c r="I619" s="3">
        <f>Gegenstände!D619</f>
        <v>6</v>
      </c>
      <c r="J619" s="168">
        <f>ROUND(Gegenstände!N619,0)</f>
        <v>4000</v>
      </c>
      <c r="K619" s="3">
        <f>Gegenstände!J619</f>
        <v>100</v>
      </c>
      <c r="L619" s="3">
        <f>Gegenstände!L619</f>
        <v>0</v>
      </c>
      <c r="M619" s="3">
        <f>Gegenstände!Z619</f>
        <v>0</v>
      </c>
      <c r="N619" s="783">
        <f>(Gegenstände!Y619*10)</f>
        <v>0</v>
      </c>
      <c r="O619" s="783">
        <f>(Gegenstände!W619*10)</f>
        <v>0</v>
      </c>
      <c r="P619" s="783">
        <f>Gegenstände!AA619*10</f>
        <v>0</v>
      </c>
      <c r="Q619" s="783">
        <f>Gegenstände!O619</f>
        <v>0</v>
      </c>
      <c r="R619" s="168">
        <f>Gegenstände!S619</f>
        <v>0</v>
      </c>
      <c r="S619" s="168">
        <f>Gegenstände!T619</f>
        <v>0</v>
      </c>
      <c r="T619" s="783">
        <f>Gegenstände!AC619</f>
        <v>24</v>
      </c>
      <c r="U619" s="783">
        <f>Gegenstände!AE619</f>
        <v>0</v>
      </c>
      <c r="V619" s="783">
        <f>Gegenstände!AD619</f>
        <v>0</v>
      </c>
      <c r="W619" s="783">
        <f>Gegenstände!AF619</f>
        <v>12</v>
      </c>
      <c r="AB619" s="3">
        <f>Gegenstände!M619</f>
        <v>2</v>
      </c>
      <c r="AC619" s="3">
        <f>Gegenstände!AB619</f>
        <v>43</v>
      </c>
      <c r="AD619" s="3">
        <f>Gegenstände!F619</f>
        <v>0</v>
      </c>
    </row>
    <row r="620" spans="1:30" x14ac:dyDescent="0.2">
      <c r="A620" s="3">
        <f>Gegenstände!A620</f>
        <v>1614</v>
      </c>
      <c r="B620" s="3" t="str">
        <f>Gegenstände!B620</f>
        <v>Wasser-Runenstab</v>
      </c>
      <c r="D620" s="3">
        <f>Gegenstände!K620</f>
        <v>1900</v>
      </c>
      <c r="E620" s="3">
        <f>Gegenstände!I620</f>
        <v>4</v>
      </c>
      <c r="F620" s="3">
        <f>VLOOKUP(Gegenstände!E620,Berechnungen!$E$87:$F$115,2,FALSE)</f>
        <v>14</v>
      </c>
      <c r="G620" s="3">
        <f>Gegenstände!H620</f>
        <v>1</v>
      </c>
      <c r="H620" s="3">
        <f>Gegenstände!G620</f>
        <v>11</v>
      </c>
      <c r="I620" s="3">
        <f>Gegenstände!D620</f>
        <v>9</v>
      </c>
      <c r="J620" s="168">
        <f>ROUND(Gegenstände!N620,0)</f>
        <v>6100</v>
      </c>
      <c r="K620" s="3">
        <f>Gegenstände!J620</f>
        <v>100</v>
      </c>
      <c r="L620" s="3">
        <f>Gegenstände!L620</f>
        <v>0</v>
      </c>
      <c r="M620" s="3">
        <f>Gegenstände!Z620</f>
        <v>0</v>
      </c>
      <c r="N620" s="783">
        <f>(Gegenstände!Y620*10)</f>
        <v>0</v>
      </c>
      <c r="O620" s="783">
        <f>(Gegenstände!W620*10)</f>
        <v>0</v>
      </c>
      <c r="P620" s="783">
        <f>Gegenstände!AA620*10</f>
        <v>0</v>
      </c>
      <c r="Q620" s="783">
        <f>Gegenstände!O620</f>
        <v>0</v>
      </c>
      <c r="R620" s="168">
        <f>Gegenstände!S620</f>
        <v>0</v>
      </c>
      <c r="S620" s="168">
        <f>Gegenstände!T620</f>
        <v>0</v>
      </c>
      <c r="T620" s="783">
        <f>Gegenstände!AC620</f>
        <v>36</v>
      </c>
      <c r="U620" s="783">
        <f>Gegenstände!AE620</f>
        <v>0</v>
      </c>
      <c r="V620" s="783">
        <f>Gegenstände!AD620</f>
        <v>0</v>
      </c>
      <c r="W620" s="783">
        <f>Gegenstände!AF620</f>
        <v>18</v>
      </c>
      <c r="AB620" s="3">
        <f>Gegenstände!M620</f>
        <v>2</v>
      </c>
      <c r="AC620" s="3">
        <f>Gegenstände!AB620</f>
        <v>43</v>
      </c>
      <c r="AD620" s="3">
        <f>Gegenstände!F620</f>
        <v>0</v>
      </c>
    </row>
    <row r="621" spans="1:30" x14ac:dyDescent="0.2">
      <c r="A621" s="3">
        <f>Gegenstände!A621</f>
        <v>1615</v>
      </c>
      <c r="B621" s="3" t="str">
        <f>Gegenstände!B621</f>
        <v>Wasser-Lichtstab</v>
      </c>
      <c r="D621" s="3">
        <f>Gegenstände!K621</f>
        <v>1800</v>
      </c>
      <c r="E621" s="3">
        <f>Gegenstände!I621</f>
        <v>4</v>
      </c>
      <c r="F621" s="3">
        <f>VLOOKUP(Gegenstände!E621,Berechnungen!$E$87:$F$115,2,FALSE)</f>
        <v>14</v>
      </c>
      <c r="G621" s="3">
        <f>Gegenstände!H621</f>
        <v>1</v>
      </c>
      <c r="H621" s="3">
        <f>Gegenstände!G621</f>
        <v>11</v>
      </c>
      <c r="I621" s="3">
        <f>Gegenstände!D621</f>
        <v>11</v>
      </c>
      <c r="J621" s="168">
        <f>ROUND(Gegenstände!N621,0)</f>
        <v>8100</v>
      </c>
      <c r="K621" s="3">
        <f>Gegenstände!J621</f>
        <v>100</v>
      </c>
      <c r="L621" s="3">
        <f>Gegenstände!L621</f>
        <v>0</v>
      </c>
      <c r="M621" s="3">
        <f>Gegenstände!Z621</f>
        <v>0</v>
      </c>
      <c r="N621" s="783">
        <f>(Gegenstände!Y621*10)</f>
        <v>0</v>
      </c>
      <c r="O621" s="783">
        <f>(Gegenstände!W621*10)</f>
        <v>0</v>
      </c>
      <c r="P621" s="783">
        <f>Gegenstände!AA621*10</f>
        <v>0</v>
      </c>
      <c r="Q621" s="783">
        <f>Gegenstände!O621</f>
        <v>0</v>
      </c>
      <c r="R621" s="168">
        <f>Gegenstände!S621</f>
        <v>0</v>
      </c>
      <c r="S621" s="168">
        <f>Gegenstände!T621</f>
        <v>0</v>
      </c>
      <c r="T621" s="783">
        <f>Gegenstände!AC621</f>
        <v>44</v>
      </c>
      <c r="U621" s="783">
        <f>Gegenstände!AE621</f>
        <v>0</v>
      </c>
      <c r="V621" s="783">
        <f>Gegenstände!AD621</f>
        <v>0</v>
      </c>
      <c r="W621" s="783">
        <f>Gegenstände!AF621</f>
        <v>22</v>
      </c>
      <c r="AB621" s="3">
        <f>Gegenstände!M621</f>
        <v>3</v>
      </c>
      <c r="AC621" s="3">
        <f>Gegenstände!AB621</f>
        <v>43</v>
      </c>
      <c r="AD621" s="3">
        <f>Gegenstände!F621</f>
        <v>0</v>
      </c>
    </row>
    <row r="622" spans="1:30" x14ac:dyDescent="0.2">
      <c r="A622" s="3">
        <f>Gegenstände!A622</f>
        <v>1616</v>
      </c>
      <c r="B622" s="3" t="str">
        <f>Gegenstände!B622</f>
        <v>Wasser-Rute</v>
      </c>
      <c r="D622" s="3">
        <f>Gegenstände!K622</f>
        <v>1600</v>
      </c>
      <c r="E622" s="3">
        <f>Gegenstände!I622</f>
        <v>4</v>
      </c>
      <c r="F622" s="3">
        <f>VLOOKUP(Gegenstände!E622,Berechnungen!$E$87:$F$115,2,FALSE)</f>
        <v>14</v>
      </c>
      <c r="G622" s="3">
        <f>Gegenstände!H622</f>
        <v>1</v>
      </c>
      <c r="H622" s="3">
        <f>Gegenstände!G622</f>
        <v>11</v>
      </c>
      <c r="I622" s="3">
        <f>Gegenstände!D622</f>
        <v>14</v>
      </c>
      <c r="J622" s="168">
        <f>ROUND(Gegenstände!N622,0)</f>
        <v>12300</v>
      </c>
      <c r="K622" s="3">
        <f>Gegenstände!J622</f>
        <v>100</v>
      </c>
      <c r="L622" s="3">
        <f>Gegenstände!L622</f>
        <v>0</v>
      </c>
      <c r="M622" s="3">
        <f>Gegenstände!Z622</f>
        <v>0</v>
      </c>
      <c r="N622" s="783">
        <f>(Gegenstände!Y622*10)</f>
        <v>0</v>
      </c>
      <c r="O622" s="783">
        <f>(Gegenstände!W622*10)</f>
        <v>0</v>
      </c>
      <c r="P622" s="783">
        <f>Gegenstände!AA622*10</f>
        <v>0</v>
      </c>
      <c r="Q622" s="783">
        <f>Gegenstände!O622</f>
        <v>0</v>
      </c>
      <c r="R622" s="168">
        <f>Gegenstände!S622</f>
        <v>0</v>
      </c>
      <c r="S622" s="168">
        <f>Gegenstände!T622</f>
        <v>0</v>
      </c>
      <c r="T622" s="783">
        <f>Gegenstände!AC622</f>
        <v>56</v>
      </c>
      <c r="U622" s="783">
        <f>Gegenstände!AE622</f>
        <v>0</v>
      </c>
      <c r="V622" s="783">
        <f>Gegenstände!AD622</f>
        <v>0</v>
      </c>
      <c r="W622" s="783">
        <f>Gegenstände!AF622</f>
        <v>28</v>
      </c>
      <c r="AB622" s="3">
        <f>Gegenstände!M622</f>
        <v>3</v>
      </c>
      <c r="AC622" s="3">
        <f>Gegenstände!AB622</f>
        <v>43</v>
      </c>
      <c r="AD622" s="3">
        <f>Gegenstände!F622</f>
        <v>0</v>
      </c>
    </row>
    <row r="623" spans="1:30" x14ac:dyDescent="0.2">
      <c r="A623" s="3">
        <f>Gegenstände!A623</f>
        <v>1617</v>
      </c>
      <c r="B623" s="3" t="str">
        <f>Gegenstände!B623</f>
        <v>Wasser-Spiralstab</v>
      </c>
      <c r="D623" s="3">
        <f>Gegenstände!K623</f>
        <v>1800</v>
      </c>
      <c r="E623" s="3">
        <f>Gegenstände!I623</f>
        <v>4</v>
      </c>
      <c r="F623" s="3">
        <f>VLOOKUP(Gegenstände!E623,Berechnungen!$E$87:$F$115,2,FALSE)</f>
        <v>14</v>
      </c>
      <c r="G623" s="3">
        <f>Gegenstände!H623</f>
        <v>1</v>
      </c>
      <c r="H623" s="3">
        <f>Gegenstände!G623</f>
        <v>11</v>
      </c>
      <c r="I623" s="3">
        <f>Gegenstände!D623</f>
        <v>16</v>
      </c>
      <c r="J623" s="168">
        <f>ROUND(Gegenstände!N623,0)</f>
        <v>16300</v>
      </c>
      <c r="K623" s="3">
        <f>Gegenstände!J623</f>
        <v>100</v>
      </c>
      <c r="L623" s="3">
        <f>Gegenstände!L623</f>
        <v>0</v>
      </c>
      <c r="M623" s="3">
        <f>Gegenstände!Z623</f>
        <v>0</v>
      </c>
      <c r="N623" s="783">
        <f>(Gegenstände!Y623*10)</f>
        <v>0</v>
      </c>
      <c r="O623" s="783">
        <f>(Gegenstände!W623*10)</f>
        <v>0</v>
      </c>
      <c r="P623" s="783">
        <f>Gegenstände!AA623*10</f>
        <v>0</v>
      </c>
      <c r="Q623" s="783">
        <f>Gegenstände!O623</f>
        <v>0</v>
      </c>
      <c r="R623" s="168">
        <f>Gegenstände!S623</f>
        <v>0</v>
      </c>
      <c r="S623" s="168">
        <f>Gegenstände!T623</f>
        <v>0</v>
      </c>
      <c r="T623" s="783">
        <f>Gegenstände!AC623</f>
        <v>64</v>
      </c>
      <c r="U623" s="783">
        <f>Gegenstände!AE623</f>
        <v>0</v>
      </c>
      <c r="V623" s="783">
        <f>Gegenstände!AD623</f>
        <v>0</v>
      </c>
      <c r="W623" s="783">
        <f>Gegenstände!AF623</f>
        <v>32</v>
      </c>
      <c r="AB623" s="3">
        <f>Gegenstände!M623</f>
        <v>4</v>
      </c>
      <c r="AC623" s="3">
        <f>Gegenstände!AB623</f>
        <v>43</v>
      </c>
      <c r="AD623" s="3">
        <f>Gegenstände!F623</f>
        <v>0</v>
      </c>
    </row>
    <row r="624" spans="1:30" x14ac:dyDescent="0.2">
      <c r="A624" s="3">
        <f>Gegenstände!A624</f>
        <v>1618</v>
      </c>
      <c r="B624" s="3" t="str">
        <f>Gegenstände!B624</f>
        <v>Wasser-Eschenstab</v>
      </c>
      <c r="D624" s="3">
        <f>Gegenstände!K624</f>
        <v>1700</v>
      </c>
      <c r="E624" s="3">
        <f>Gegenstände!I624</f>
        <v>4</v>
      </c>
      <c r="F624" s="3">
        <f>VLOOKUP(Gegenstände!E624,Berechnungen!$E$87:$F$115,2,FALSE)</f>
        <v>14</v>
      </c>
      <c r="G624" s="3">
        <f>Gegenstände!H624</f>
        <v>1</v>
      </c>
      <c r="H624" s="3">
        <f>Gegenstände!G624</f>
        <v>11</v>
      </c>
      <c r="I624" s="3">
        <f>Gegenstände!D624</f>
        <v>19</v>
      </c>
      <c r="J624" s="168">
        <f>ROUND(Gegenstände!N624,0)</f>
        <v>24800</v>
      </c>
      <c r="K624" s="3">
        <f>Gegenstände!J624</f>
        <v>100</v>
      </c>
      <c r="L624" s="3">
        <f>Gegenstände!L624</f>
        <v>0</v>
      </c>
      <c r="M624" s="3">
        <f>Gegenstände!Z624</f>
        <v>0</v>
      </c>
      <c r="N624" s="783">
        <f>(Gegenstände!Y624*10)</f>
        <v>0</v>
      </c>
      <c r="O624" s="783">
        <f>(Gegenstände!W624*10)</f>
        <v>0</v>
      </c>
      <c r="P624" s="783">
        <f>Gegenstände!AA624*10</f>
        <v>0</v>
      </c>
      <c r="Q624" s="783">
        <f>Gegenstände!O624</f>
        <v>0</v>
      </c>
      <c r="R624" s="168">
        <f>Gegenstände!S624</f>
        <v>0</v>
      </c>
      <c r="S624" s="168">
        <f>Gegenstände!T624</f>
        <v>0</v>
      </c>
      <c r="T624" s="783">
        <f>Gegenstände!AC624</f>
        <v>76</v>
      </c>
      <c r="U624" s="783">
        <f>Gegenstände!AE624</f>
        <v>0</v>
      </c>
      <c r="V624" s="783">
        <f>Gegenstände!AD624</f>
        <v>0</v>
      </c>
      <c r="W624" s="783">
        <f>Gegenstände!AF624</f>
        <v>38</v>
      </c>
      <c r="AB624" s="3">
        <f>Gegenstände!M624</f>
        <v>4</v>
      </c>
      <c r="AC624" s="3">
        <f>Gegenstände!AB624</f>
        <v>43</v>
      </c>
      <c r="AD624" s="3">
        <f>Gegenstände!F624</f>
        <v>0</v>
      </c>
    </row>
    <row r="625" spans="1:30" x14ac:dyDescent="0.2">
      <c r="A625" s="3">
        <f>Gegenstände!A625</f>
        <v>1619</v>
      </c>
      <c r="B625" s="3" t="str">
        <f>Gegenstände!B625</f>
        <v>Wasser-Eibenlanze</v>
      </c>
      <c r="D625" s="3">
        <f>Gegenstände!K625</f>
        <v>1900</v>
      </c>
      <c r="E625" s="3">
        <f>Gegenstände!I625</f>
        <v>4</v>
      </c>
      <c r="F625" s="3">
        <f>VLOOKUP(Gegenstände!E625,Berechnungen!$E$87:$F$115,2,FALSE)</f>
        <v>14</v>
      </c>
      <c r="G625" s="3">
        <f>Gegenstände!H625</f>
        <v>1</v>
      </c>
      <c r="H625" s="3">
        <f>Gegenstände!G625</f>
        <v>11</v>
      </c>
      <c r="I625" s="3">
        <f>Gegenstände!D625</f>
        <v>22</v>
      </c>
      <c r="J625" s="168">
        <f>ROUND(Gegenstände!N625,0)</f>
        <v>37600</v>
      </c>
      <c r="K625" s="3">
        <f>Gegenstände!J625</f>
        <v>100</v>
      </c>
      <c r="L625" s="3">
        <f>Gegenstände!L625</f>
        <v>0</v>
      </c>
      <c r="M625" s="3">
        <f>Gegenstände!Z625</f>
        <v>0</v>
      </c>
      <c r="N625" s="783">
        <f>(Gegenstände!Y625*10)</f>
        <v>0</v>
      </c>
      <c r="O625" s="783">
        <f>(Gegenstände!W625*10)</f>
        <v>0</v>
      </c>
      <c r="P625" s="783">
        <f>Gegenstände!AA625*10</f>
        <v>0</v>
      </c>
      <c r="Q625" s="783">
        <f>Gegenstände!O625</f>
        <v>0</v>
      </c>
      <c r="R625" s="168">
        <f>Gegenstände!S625</f>
        <v>0</v>
      </c>
      <c r="S625" s="168">
        <f>Gegenstände!T625</f>
        <v>0</v>
      </c>
      <c r="T625" s="783">
        <f>Gegenstände!AC625</f>
        <v>88</v>
      </c>
      <c r="U625" s="783">
        <f>Gegenstände!AE625</f>
        <v>0</v>
      </c>
      <c r="V625" s="783">
        <f>Gegenstände!AD625</f>
        <v>0</v>
      </c>
      <c r="W625" s="783">
        <f>Gegenstände!AF625</f>
        <v>44</v>
      </c>
      <c r="AB625" s="3">
        <f>Gegenstände!M625</f>
        <v>5</v>
      </c>
      <c r="AC625" s="3">
        <f>Gegenstände!AB625</f>
        <v>43</v>
      </c>
      <c r="AD625" s="3">
        <f>Gegenstände!F625</f>
        <v>0</v>
      </c>
    </row>
    <row r="626" spans="1:30" x14ac:dyDescent="0.2">
      <c r="A626" s="3">
        <f>Gegenstände!A626</f>
        <v>1620</v>
      </c>
      <c r="B626" s="3" t="str">
        <f>Gegenstände!B626</f>
        <v>Wasser-Wächterstab</v>
      </c>
      <c r="D626" s="3">
        <f>Gegenstände!K626</f>
        <v>1800</v>
      </c>
      <c r="E626" s="3">
        <f>Gegenstände!I626</f>
        <v>4</v>
      </c>
      <c r="F626" s="3">
        <f>VLOOKUP(Gegenstände!E626,Berechnungen!$E$87:$F$115,2,FALSE)</f>
        <v>14</v>
      </c>
      <c r="G626" s="3">
        <f>Gegenstände!H626</f>
        <v>1</v>
      </c>
      <c r="H626" s="3">
        <f>Gegenstände!G626</f>
        <v>11</v>
      </c>
      <c r="I626" s="3">
        <f>Gegenstände!D626</f>
        <v>25</v>
      </c>
      <c r="J626" s="168">
        <f>ROUND(Gegenstände!N626,0)</f>
        <v>57300</v>
      </c>
      <c r="K626" s="3">
        <f>Gegenstände!J626</f>
        <v>100</v>
      </c>
      <c r="L626" s="3">
        <f>Gegenstände!L626</f>
        <v>0</v>
      </c>
      <c r="M626" s="3">
        <f>Gegenstände!Z626</f>
        <v>0</v>
      </c>
      <c r="N626" s="783">
        <f>(Gegenstände!Y626*10)</f>
        <v>0</v>
      </c>
      <c r="O626" s="783">
        <f>(Gegenstände!W626*10)</f>
        <v>0</v>
      </c>
      <c r="P626" s="783">
        <f>Gegenstände!AA626*10</f>
        <v>0</v>
      </c>
      <c r="Q626" s="783">
        <f>Gegenstände!O626</f>
        <v>0</v>
      </c>
      <c r="R626" s="168">
        <f>Gegenstände!S626</f>
        <v>0</v>
      </c>
      <c r="S626" s="168">
        <f>Gegenstände!T626</f>
        <v>0</v>
      </c>
      <c r="T626" s="783">
        <f>Gegenstände!AC626</f>
        <v>100</v>
      </c>
      <c r="U626" s="783">
        <f>Gegenstände!AE626</f>
        <v>0</v>
      </c>
      <c r="V626" s="783">
        <f>Gegenstände!AD626</f>
        <v>0</v>
      </c>
      <c r="W626" s="783">
        <f>Gegenstände!AF626</f>
        <v>50</v>
      </c>
      <c r="AB626" s="3">
        <f>Gegenstände!M626</f>
        <v>5</v>
      </c>
      <c r="AC626" s="3">
        <f>Gegenstände!AB626</f>
        <v>43</v>
      </c>
      <c r="AD626" s="3">
        <f>Gegenstände!F626</f>
        <v>0</v>
      </c>
    </row>
    <row r="627" spans="1:30" x14ac:dyDescent="0.2">
      <c r="A627" s="3">
        <f>Gegenstände!A627</f>
        <v>2611</v>
      </c>
      <c r="B627" s="3" t="str">
        <f>Gegenstände!B627</f>
        <v>Pyrit-Wasserstab</v>
      </c>
      <c r="D627" s="3">
        <f>Gegenstände!K627</f>
        <v>1700</v>
      </c>
      <c r="E627" s="3">
        <f>Gegenstände!I627</f>
        <v>4</v>
      </c>
      <c r="F627" s="3">
        <f>VLOOKUP(Gegenstände!E627,Berechnungen!$E$87:$F$115,2,FALSE)</f>
        <v>14</v>
      </c>
      <c r="G627" s="3">
        <f>Gegenstände!H627</f>
        <v>2</v>
      </c>
      <c r="H627" s="3">
        <f>Gegenstände!G627</f>
        <v>11</v>
      </c>
      <c r="I627" s="3">
        <f>Gegenstände!D627</f>
        <v>4</v>
      </c>
      <c r="J627" s="168">
        <f>ROUND(Gegenstände!N627,0)</f>
        <v>5500</v>
      </c>
      <c r="K627" s="3">
        <f>Gegenstände!J627</f>
        <v>100</v>
      </c>
      <c r="L627" s="3">
        <f>Gegenstände!L627</f>
        <v>0</v>
      </c>
      <c r="M627" s="3">
        <f>Gegenstände!Z627</f>
        <v>0</v>
      </c>
      <c r="N627" s="783">
        <f>(Gegenstände!Y627*10)</f>
        <v>0</v>
      </c>
      <c r="O627" s="783">
        <f>(Gegenstände!W627*10)</f>
        <v>0</v>
      </c>
      <c r="P627" s="783">
        <f>Gegenstände!AA627*10</f>
        <v>0</v>
      </c>
      <c r="Q627" s="783">
        <f>Gegenstände!O627</f>
        <v>0</v>
      </c>
      <c r="R627" s="168">
        <f>Gegenstände!S627</f>
        <v>0</v>
      </c>
      <c r="S627" s="168">
        <f>Gegenstände!T627</f>
        <v>0</v>
      </c>
      <c r="T627" s="783">
        <f>Gegenstände!AC627</f>
        <v>28</v>
      </c>
      <c r="U627" s="783">
        <f>Gegenstände!AE627</f>
        <v>0</v>
      </c>
      <c r="V627" s="783">
        <f>Gegenstände!AD627</f>
        <v>0</v>
      </c>
      <c r="W627" s="783">
        <f>Gegenstände!AF627</f>
        <v>14</v>
      </c>
      <c r="AB627" s="3">
        <f>Gegenstände!M627</f>
        <v>0</v>
      </c>
      <c r="AC627" s="3">
        <f>Gegenstände!AB627</f>
        <v>43</v>
      </c>
      <c r="AD627" s="3">
        <f>Gegenstände!F627</f>
        <v>0</v>
      </c>
    </row>
    <row r="628" spans="1:30" x14ac:dyDescent="0.2">
      <c r="A628" s="3">
        <f>Gegenstände!A628</f>
        <v>2612</v>
      </c>
      <c r="B628" s="3" t="str">
        <f>Gegenstände!B628</f>
        <v>Jaspis-Wasserstab</v>
      </c>
      <c r="D628" s="3">
        <f>Gegenstände!K628</f>
        <v>1800</v>
      </c>
      <c r="E628" s="3">
        <f>Gegenstände!I628</f>
        <v>4</v>
      </c>
      <c r="F628" s="3">
        <f>VLOOKUP(Gegenstände!E628,Berechnungen!$E$87:$F$115,2,FALSE)</f>
        <v>14</v>
      </c>
      <c r="G628" s="3">
        <f>Gegenstände!H628</f>
        <v>2</v>
      </c>
      <c r="H628" s="3">
        <f>Gegenstände!G628</f>
        <v>11</v>
      </c>
      <c r="I628" s="3">
        <f>Gegenstände!D628</f>
        <v>9</v>
      </c>
      <c r="J628" s="168">
        <f>ROUND(Gegenstände!N628,0)</f>
        <v>11100</v>
      </c>
      <c r="K628" s="3">
        <f>Gegenstände!J628</f>
        <v>100</v>
      </c>
      <c r="L628" s="3">
        <f>Gegenstände!L628</f>
        <v>0</v>
      </c>
      <c r="M628" s="3">
        <f>Gegenstände!Z628</f>
        <v>0</v>
      </c>
      <c r="N628" s="783">
        <f>(Gegenstände!Y628*10)</f>
        <v>0</v>
      </c>
      <c r="O628" s="783">
        <f>(Gegenstände!W628*10)</f>
        <v>0</v>
      </c>
      <c r="P628" s="783">
        <f>Gegenstände!AA628*10</f>
        <v>0</v>
      </c>
      <c r="Q628" s="783">
        <f>Gegenstände!O628</f>
        <v>0</v>
      </c>
      <c r="R628" s="168">
        <f>Gegenstände!S628</f>
        <v>0</v>
      </c>
      <c r="S628" s="168">
        <f>Gegenstände!T628</f>
        <v>0</v>
      </c>
      <c r="T628" s="783">
        <f>Gegenstände!AC628</f>
        <v>48</v>
      </c>
      <c r="U628" s="783">
        <f>Gegenstände!AE628</f>
        <v>0</v>
      </c>
      <c r="V628" s="783">
        <f>Gegenstände!AD628</f>
        <v>0</v>
      </c>
      <c r="W628" s="783">
        <f>Gegenstände!AF628</f>
        <v>24</v>
      </c>
      <c r="AB628" s="3">
        <f>Gegenstände!M628</f>
        <v>0</v>
      </c>
      <c r="AC628" s="3">
        <f>Gegenstände!AB628</f>
        <v>43</v>
      </c>
      <c r="AD628" s="3">
        <f>Gegenstände!F628</f>
        <v>0</v>
      </c>
    </row>
    <row r="629" spans="1:30" x14ac:dyDescent="0.2">
      <c r="A629" s="3">
        <f>Gegenstände!A629</f>
        <v>2613</v>
      </c>
      <c r="B629" s="3" t="str">
        <f>Gegenstände!B629</f>
        <v>Perlmutt-Wasserstab</v>
      </c>
      <c r="D629" s="3">
        <f>Gegenstände!K629</f>
        <v>2000</v>
      </c>
      <c r="E629" s="3">
        <f>Gegenstände!I629</f>
        <v>4</v>
      </c>
      <c r="F629" s="3">
        <f>VLOOKUP(Gegenstände!E629,Berechnungen!$E$87:$F$115,2,FALSE)</f>
        <v>14</v>
      </c>
      <c r="G629" s="3">
        <f>Gegenstände!H629</f>
        <v>2</v>
      </c>
      <c r="H629" s="3">
        <f>Gegenstände!G629</f>
        <v>11</v>
      </c>
      <c r="I629" s="3">
        <f>Gegenstände!D629</f>
        <v>14</v>
      </c>
      <c r="J629" s="168">
        <f>ROUND(Gegenstände!N629,0)</f>
        <v>22300</v>
      </c>
      <c r="K629" s="3">
        <f>Gegenstände!J629</f>
        <v>100</v>
      </c>
      <c r="L629" s="3">
        <f>Gegenstände!L629</f>
        <v>0</v>
      </c>
      <c r="M629" s="3">
        <f>Gegenstände!Z629</f>
        <v>0</v>
      </c>
      <c r="N629" s="783">
        <f>(Gegenstände!Y629*10)</f>
        <v>0</v>
      </c>
      <c r="O629" s="783">
        <f>(Gegenstände!W629*10)</f>
        <v>0</v>
      </c>
      <c r="P629" s="783">
        <f>Gegenstände!AA629*10</f>
        <v>0</v>
      </c>
      <c r="Q629" s="783">
        <f>Gegenstände!O629</f>
        <v>0</v>
      </c>
      <c r="R629" s="168">
        <f>Gegenstände!S629</f>
        <v>0</v>
      </c>
      <c r="S629" s="168">
        <f>Gegenstände!T629</f>
        <v>0</v>
      </c>
      <c r="T629" s="783">
        <f>Gegenstände!AC629</f>
        <v>68</v>
      </c>
      <c r="U629" s="783">
        <f>Gegenstände!AE629</f>
        <v>0</v>
      </c>
      <c r="V629" s="783">
        <f>Gegenstände!AD629</f>
        <v>0</v>
      </c>
      <c r="W629" s="783">
        <f>Gegenstände!AF629</f>
        <v>34</v>
      </c>
      <c r="AB629" s="3">
        <f>Gegenstände!M629</f>
        <v>0</v>
      </c>
      <c r="AC629" s="3">
        <f>Gegenstände!AB629</f>
        <v>43</v>
      </c>
      <c r="AD629" s="3">
        <f>Gegenstände!F629</f>
        <v>0</v>
      </c>
    </row>
    <row r="630" spans="1:30" x14ac:dyDescent="0.2">
      <c r="A630" s="3">
        <f>Gegenstände!A630</f>
        <v>2614</v>
      </c>
      <c r="B630" s="3" t="str">
        <f>Gegenstände!B630</f>
        <v>Jade-Wasserstab</v>
      </c>
      <c r="D630" s="3">
        <f>Gegenstände!K630</f>
        <v>1900</v>
      </c>
      <c r="E630" s="3">
        <f>Gegenstände!I630</f>
        <v>4</v>
      </c>
      <c r="F630" s="3">
        <f>VLOOKUP(Gegenstände!E630,Berechnungen!$E$87:$F$115,2,FALSE)</f>
        <v>14</v>
      </c>
      <c r="G630" s="3">
        <f>Gegenstände!H630</f>
        <v>2</v>
      </c>
      <c r="H630" s="3">
        <f>Gegenstände!G630</f>
        <v>11</v>
      </c>
      <c r="I630" s="3">
        <f>Gegenstände!D630</f>
        <v>19</v>
      </c>
      <c r="J630" s="168">
        <f>ROUND(Gegenstände!N630,0)</f>
        <v>42300</v>
      </c>
      <c r="K630" s="3">
        <f>Gegenstände!J630</f>
        <v>100</v>
      </c>
      <c r="L630" s="3">
        <f>Gegenstände!L630</f>
        <v>0</v>
      </c>
      <c r="M630" s="3">
        <f>Gegenstände!Z630</f>
        <v>0</v>
      </c>
      <c r="N630" s="783">
        <f>(Gegenstände!Y630*10)</f>
        <v>0</v>
      </c>
      <c r="O630" s="783">
        <f>(Gegenstände!W630*10)</f>
        <v>0</v>
      </c>
      <c r="P630" s="783">
        <f>Gegenstände!AA630*10</f>
        <v>0</v>
      </c>
      <c r="Q630" s="783">
        <f>Gegenstände!O630</f>
        <v>0</v>
      </c>
      <c r="R630" s="168">
        <f>Gegenstände!S630</f>
        <v>0</v>
      </c>
      <c r="S630" s="168">
        <f>Gegenstände!T630</f>
        <v>0</v>
      </c>
      <c r="T630" s="783">
        <f>Gegenstände!AC630</f>
        <v>88</v>
      </c>
      <c r="U630" s="783">
        <f>Gegenstände!AE630</f>
        <v>0</v>
      </c>
      <c r="V630" s="783">
        <f>Gegenstände!AD630</f>
        <v>0</v>
      </c>
      <c r="W630" s="783">
        <f>Gegenstände!AF630</f>
        <v>44</v>
      </c>
      <c r="AB630" s="3">
        <f>Gegenstände!M630</f>
        <v>0</v>
      </c>
      <c r="AC630" s="3">
        <f>Gegenstände!AB630</f>
        <v>43</v>
      </c>
      <c r="AD630" s="3">
        <f>Gegenstände!F630</f>
        <v>0</v>
      </c>
    </row>
    <row r="631" spans="1:30" x14ac:dyDescent="0.2">
      <c r="A631" s="3">
        <f>Gegenstände!A631</f>
        <v>2615</v>
      </c>
      <c r="B631" s="3" t="str">
        <f>Gegenstände!B631</f>
        <v>Onyx-Wasserstab</v>
      </c>
      <c r="D631" s="3">
        <f>Gegenstände!K631</f>
        <v>1800</v>
      </c>
      <c r="E631" s="3">
        <f>Gegenstände!I631</f>
        <v>4</v>
      </c>
      <c r="F631" s="3">
        <f>VLOOKUP(Gegenstände!E631,Berechnungen!$E$87:$F$115,2,FALSE)</f>
        <v>14</v>
      </c>
      <c r="G631" s="3">
        <f>Gegenstände!H631</f>
        <v>2</v>
      </c>
      <c r="H631" s="3">
        <f>Gegenstände!G631</f>
        <v>11</v>
      </c>
      <c r="I631" s="3">
        <f>Gegenstände!D631</f>
        <v>25</v>
      </c>
      <c r="J631" s="168">
        <f>ROUND(Gegenstände!N631,0)</f>
        <v>82300</v>
      </c>
      <c r="K631" s="3">
        <f>Gegenstände!J631</f>
        <v>100</v>
      </c>
      <c r="L631" s="3">
        <f>Gegenstände!L631</f>
        <v>0</v>
      </c>
      <c r="M631" s="3">
        <f>Gegenstände!Z631</f>
        <v>0</v>
      </c>
      <c r="N631" s="783">
        <f>(Gegenstände!Y631*10)</f>
        <v>0</v>
      </c>
      <c r="O631" s="783">
        <f>(Gegenstände!W631*10)</f>
        <v>0</v>
      </c>
      <c r="P631" s="783">
        <f>Gegenstände!AA631*10</f>
        <v>0</v>
      </c>
      <c r="Q631" s="783">
        <f>Gegenstände!O631</f>
        <v>0</v>
      </c>
      <c r="R631" s="168">
        <f>Gegenstände!S631</f>
        <v>0</v>
      </c>
      <c r="S631" s="168">
        <f>Gegenstände!T631</f>
        <v>0</v>
      </c>
      <c r="T631" s="783">
        <f>Gegenstände!AC631</f>
        <v>112</v>
      </c>
      <c r="U631" s="783">
        <f>Gegenstände!AE631</f>
        <v>0</v>
      </c>
      <c r="V631" s="783">
        <f>Gegenstände!AD631</f>
        <v>0</v>
      </c>
      <c r="W631" s="783">
        <f>Gegenstände!AF631</f>
        <v>56</v>
      </c>
      <c r="AB631" s="3">
        <f>Gegenstände!M631</f>
        <v>0</v>
      </c>
      <c r="AC631" s="3">
        <f>Gegenstände!AB631</f>
        <v>43</v>
      </c>
      <c r="AD631" s="3">
        <f>Gegenstände!F631</f>
        <v>0</v>
      </c>
    </row>
    <row r="632" spans="1:30" x14ac:dyDescent="0.2">
      <c r="A632" s="3">
        <f>Gegenstände!A632</f>
        <v>0</v>
      </c>
      <c r="B632" s="3" t="str">
        <f>Gegenstände!B632</f>
        <v>Stäbe (Erde)</v>
      </c>
      <c r="D632" s="3">
        <f>Gegenstände!K632</f>
        <v>0</v>
      </c>
      <c r="E632" s="3">
        <f>Gegenstände!I632</f>
        <v>0</v>
      </c>
      <c r="F632" s="3" t="e">
        <f>VLOOKUP(Gegenstände!E632,Berechnungen!$E$87:$F$115,2,FALSE)</f>
        <v>#N/A</v>
      </c>
      <c r="G632" s="3">
        <f>Gegenstände!H632</f>
        <v>0</v>
      </c>
      <c r="H632" s="3">
        <f>Gegenstände!G632</f>
        <v>0</v>
      </c>
      <c r="I632" s="3">
        <f>Gegenstände!D632</f>
        <v>0</v>
      </c>
      <c r="J632" s="168">
        <f>ROUND(Gegenstände!N632,0)</f>
        <v>0</v>
      </c>
      <c r="K632" s="3">
        <f>Gegenstände!J632</f>
        <v>0</v>
      </c>
      <c r="L632" s="3">
        <f>Gegenstände!L632</f>
        <v>0</v>
      </c>
      <c r="M632" s="3">
        <f>Gegenstände!Z632</f>
        <v>0</v>
      </c>
      <c r="N632" s="783">
        <f>(Gegenstände!Y632*10)</f>
        <v>0</v>
      </c>
      <c r="O632" s="783">
        <f>(Gegenstände!W632*10)</f>
        <v>0</v>
      </c>
      <c r="P632" s="783">
        <f>Gegenstände!AA632*10</f>
        <v>0</v>
      </c>
      <c r="Q632" s="783">
        <f>Gegenstände!O632</f>
        <v>0</v>
      </c>
      <c r="R632" s="168">
        <f>Gegenstände!S632</f>
        <v>0</v>
      </c>
      <c r="S632" s="168">
        <f>Gegenstände!T632</f>
        <v>0</v>
      </c>
      <c r="T632" s="783">
        <f>Gegenstände!AC632</f>
        <v>0</v>
      </c>
      <c r="U632" s="783">
        <f>Gegenstände!AE632</f>
        <v>0</v>
      </c>
      <c r="V632" s="783">
        <f>Gegenstände!AD632</f>
        <v>0</v>
      </c>
      <c r="W632" s="783">
        <f>Gegenstände!AF632</f>
        <v>0</v>
      </c>
      <c r="AB632" s="3">
        <f>Gegenstände!M632</f>
        <v>0</v>
      </c>
      <c r="AC632" s="3">
        <f>Gegenstände!AB632</f>
        <v>0</v>
      </c>
      <c r="AD632" s="3">
        <f>Gegenstände!F632</f>
        <v>0</v>
      </c>
    </row>
    <row r="633" spans="1:30" x14ac:dyDescent="0.2">
      <c r="A633" s="3">
        <f>Gegenstände!A633</f>
        <v>1621</v>
      </c>
      <c r="B633" s="3" t="str">
        <f>Gegenstände!B633</f>
        <v>Erde-Stecken</v>
      </c>
      <c r="D633" s="3">
        <f>Gegenstände!K633</f>
        <v>1700</v>
      </c>
      <c r="E633" s="3">
        <f>Gegenstände!I633</f>
        <v>4</v>
      </c>
      <c r="F633" s="3">
        <f>VLOOKUP(Gegenstände!E633,Berechnungen!$E$87:$F$115,2,FALSE)</f>
        <v>15</v>
      </c>
      <c r="G633" s="3">
        <f>Gegenstände!H633</f>
        <v>1</v>
      </c>
      <c r="H633" s="3">
        <f>Gegenstände!G633</f>
        <v>12</v>
      </c>
      <c r="I633" s="3">
        <f>Gegenstände!D633</f>
        <v>1</v>
      </c>
      <c r="J633" s="168">
        <f>ROUND(Gegenstände!N633,0)</f>
        <v>2000</v>
      </c>
      <c r="K633" s="3">
        <f>Gegenstände!J633</f>
        <v>100</v>
      </c>
      <c r="L633" s="3">
        <f>Gegenstände!L633</f>
        <v>0</v>
      </c>
      <c r="M633" s="3">
        <f>Gegenstände!Z633</f>
        <v>0</v>
      </c>
      <c r="N633" s="783">
        <f>(Gegenstände!Y633*10)</f>
        <v>0</v>
      </c>
      <c r="O633" s="783">
        <f>(Gegenstände!W633*10)</f>
        <v>0</v>
      </c>
      <c r="P633" s="783">
        <f>Gegenstände!AA633*10</f>
        <v>0</v>
      </c>
      <c r="Q633" s="783">
        <f>Gegenstände!O633</f>
        <v>0</v>
      </c>
      <c r="R633" s="168">
        <f>Gegenstände!S633</f>
        <v>0</v>
      </c>
      <c r="S633" s="168">
        <f>Gegenstände!T633</f>
        <v>0</v>
      </c>
      <c r="T633" s="783">
        <f>Gegenstände!AC633</f>
        <v>4</v>
      </c>
      <c r="U633" s="783">
        <f>Gegenstände!AE633</f>
        <v>0</v>
      </c>
      <c r="V633" s="783">
        <f>Gegenstände!AD633</f>
        <v>0</v>
      </c>
      <c r="W633" s="783">
        <f>Gegenstände!AF633</f>
        <v>2</v>
      </c>
      <c r="AB633" s="3">
        <f>Gegenstände!M633</f>
        <v>1</v>
      </c>
      <c r="AC633" s="3">
        <f>Gegenstände!AB633</f>
        <v>43</v>
      </c>
      <c r="AD633" s="3">
        <f>Gegenstände!F633</f>
        <v>0</v>
      </c>
    </row>
    <row r="634" spans="1:30" x14ac:dyDescent="0.2">
      <c r="A634" s="3">
        <f>Gegenstände!A634</f>
        <v>1622</v>
      </c>
      <c r="B634" s="3" t="str">
        <f>Gegenstände!B634</f>
        <v>Erde-Krummstab</v>
      </c>
      <c r="D634" s="3">
        <f>Gegenstände!K634</f>
        <v>1800</v>
      </c>
      <c r="E634" s="3">
        <f>Gegenstände!I634</f>
        <v>4</v>
      </c>
      <c r="F634" s="3">
        <f>VLOOKUP(Gegenstände!E634,Berechnungen!$E$87:$F$115,2,FALSE)</f>
        <v>15</v>
      </c>
      <c r="G634" s="3">
        <f>Gegenstände!H634</f>
        <v>1</v>
      </c>
      <c r="H634" s="3">
        <f>Gegenstände!G634</f>
        <v>12</v>
      </c>
      <c r="I634" s="3">
        <f>Gegenstände!D634</f>
        <v>4</v>
      </c>
      <c r="J634" s="168">
        <f>ROUND(Gegenstände!N634,0)</f>
        <v>3000</v>
      </c>
      <c r="K634" s="3">
        <f>Gegenstände!J634</f>
        <v>100</v>
      </c>
      <c r="L634" s="3">
        <f>Gegenstände!L634</f>
        <v>0</v>
      </c>
      <c r="M634" s="3">
        <f>Gegenstände!Z634</f>
        <v>0</v>
      </c>
      <c r="N634" s="783">
        <f>(Gegenstände!Y634*10)</f>
        <v>0</v>
      </c>
      <c r="O634" s="783">
        <f>(Gegenstände!W634*10)</f>
        <v>0</v>
      </c>
      <c r="P634" s="783">
        <f>Gegenstände!AA634*10</f>
        <v>0</v>
      </c>
      <c r="Q634" s="783">
        <f>Gegenstände!O634</f>
        <v>0</v>
      </c>
      <c r="R634" s="168">
        <f>Gegenstände!S634</f>
        <v>0</v>
      </c>
      <c r="S634" s="168">
        <f>Gegenstände!T634</f>
        <v>0</v>
      </c>
      <c r="T634" s="783">
        <f>Gegenstände!AC634</f>
        <v>16</v>
      </c>
      <c r="U634" s="783">
        <f>Gegenstände!AE634</f>
        <v>0</v>
      </c>
      <c r="V634" s="783">
        <f>Gegenstände!AD634</f>
        <v>0</v>
      </c>
      <c r="W634" s="783">
        <f>Gegenstände!AF634</f>
        <v>8</v>
      </c>
      <c r="AB634" s="3">
        <f>Gegenstände!M634</f>
        <v>1</v>
      </c>
      <c r="AC634" s="3">
        <f>Gegenstände!AB634</f>
        <v>43</v>
      </c>
      <c r="AD634" s="3">
        <f>Gegenstände!F634</f>
        <v>0</v>
      </c>
    </row>
    <row r="635" spans="1:30" x14ac:dyDescent="0.2">
      <c r="A635" s="3">
        <f>Gegenstände!A635</f>
        <v>1623</v>
      </c>
      <c r="B635" s="3" t="str">
        <f>Gegenstände!B635</f>
        <v>Erde-Langholz</v>
      </c>
      <c r="D635" s="3">
        <f>Gegenstände!K635</f>
        <v>2000</v>
      </c>
      <c r="E635" s="3">
        <f>Gegenstände!I635</f>
        <v>4</v>
      </c>
      <c r="F635" s="3">
        <f>VLOOKUP(Gegenstände!E635,Berechnungen!$E$87:$F$115,2,FALSE)</f>
        <v>15</v>
      </c>
      <c r="G635" s="3">
        <f>Gegenstände!H635</f>
        <v>1</v>
      </c>
      <c r="H635" s="3">
        <f>Gegenstände!G635</f>
        <v>12</v>
      </c>
      <c r="I635" s="3">
        <f>Gegenstände!D635</f>
        <v>6</v>
      </c>
      <c r="J635" s="168">
        <f>ROUND(Gegenstände!N635,0)</f>
        <v>4000</v>
      </c>
      <c r="K635" s="3">
        <f>Gegenstände!J635</f>
        <v>100</v>
      </c>
      <c r="L635" s="3">
        <f>Gegenstände!L635</f>
        <v>0</v>
      </c>
      <c r="M635" s="3">
        <f>Gegenstände!Z635</f>
        <v>0</v>
      </c>
      <c r="N635" s="783">
        <f>(Gegenstände!Y635*10)</f>
        <v>0</v>
      </c>
      <c r="O635" s="783">
        <f>(Gegenstände!W635*10)</f>
        <v>0</v>
      </c>
      <c r="P635" s="783">
        <f>Gegenstände!AA635*10</f>
        <v>0</v>
      </c>
      <c r="Q635" s="783">
        <f>Gegenstände!O635</f>
        <v>0</v>
      </c>
      <c r="R635" s="168">
        <f>Gegenstände!S635</f>
        <v>0</v>
      </c>
      <c r="S635" s="168">
        <f>Gegenstände!T635</f>
        <v>0</v>
      </c>
      <c r="T635" s="783">
        <f>Gegenstände!AC635</f>
        <v>24</v>
      </c>
      <c r="U635" s="783">
        <f>Gegenstände!AE635</f>
        <v>0</v>
      </c>
      <c r="V635" s="783">
        <f>Gegenstände!AD635</f>
        <v>0</v>
      </c>
      <c r="W635" s="783">
        <f>Gegenstände!AF635</f>
        <v>12</v>
      </c>
      <c r="AB635" s="3">
        <f>Gegenstände!M635</f>
        <v>2</v>
      </c>
      <c r="AC635" s="3">
        <f>Gegenstände!AB635</f>
        <v>43</v>
      </c>
      <c r="AD635" s="3">
        <f>Gegenstände!F635</f>
        <v>0</v>
      </c>
    </row>
    <row r="636" spans="1:30" x14ac:dyDescent="0.2">
      <c r="A636" s="3">
        <f>Gegenstände!A636</f>
        <v>1624</v>
      </c>
      <c r="B636" s="3" t="str">
        <f>Gegenstände!B636</f>
        <v>Erde-Runenstab</v>
      </c>
      <c r="D636" s="3">
        <f>Gegenstände!K636</f>
        <v>1900</v>
      </c>
      <c r="E636" s="3">
        <f>Gegenstände!I636</f>
        <v>4</v>
      </c>
      <c r="F636" s="3">
        <f>VLOOKUP(Gegenstände!E636,Berechnungen!$E$87:$F$115,2,FALSE)</f>
        <v>15</v>
      </c>
      <c r="G636" s="3">
        <f>Gegenstände!H636</f>
        <v>1</v>
      </c>
      <c r="H636" s="3">
        <f>Gegenstände!G636</f>
        <v>12</v>
      </c>
      <c r="I636" s="3">
        <f>Gegenstände!D636</f>
        <v>9</v>
      </c>
      <c r="J636" s="168">
        <f>ROUND(Gegenstände!N636,0)</f>
        <v>6100</v>
      </c>
      <c r="K636" s="3">
        <f>Gegenstände!J636</f>
        <v>100</v>
      </c>
      <c r="L636" s="3">
        <f>Gegenstände!L636</f>
        <v>0</v>
      </c>
      <c r="M636" s="3">
        <f>Gegenstände!Z636</f>
        <v>0</v>
      </c>
      <c r="N636" s="783">
        <f>(Gegenstände!Y636*10)</f>
        <v>0</v>
      </c>
      <c r="O636" s="783">
        <f>(Gegenstände!W636*10)</f>
        <v>0</v>
      </c>
      <c r="P636" s="783">
        <f>Gegenstände!AA636*10</f>
        <v>0</v>
      </c>
      <c r="Q636" s="783">
        <f>Gegenstände!O636</f>
        <v>0</v>
      </c>
      <c r="R636" s="168">
        <f>Gegenstände!S636</f>
        <v>0</v>
      </c>
      <c r="S636" s="168">
        <f>Gegenstände!T636</f>
        <v>0</v>
      </c>
      <c r="T636" s="783">
        <f>Gegenstände!AC636</f>
        <v>36</v>
      </c>
      <c r="U636" s="783">
        <f>Gegenstände!AE636</f>
        <v>0</v>
      </c>
      <c r="V636" s="783">
        <f>Gegenstände!AD636</f>
        <v>0</v>
      </c>
      <c r="W636" s="783">
        <f>Gegenstände!AF636</f>
        <v>18</v>
      </c>
      <c r="AB636" s="3">
        <f>Gegenstände!M636</f>
        <v>2</v>
      </c>
      <c r="AC636" s="3">
        <f>Gegenstände!AB636</f>
        <v>43</v>
      </c>
      <c r="AD636" s="3">
        <f>Gegenstände!F636</f>
        <v>0</v>
      </c>
    </row>
    <row r="637" spans="1:30" x14ac:dyDescent="0.2">
      <c r="A637" s="3">
        <f>Gegenstände!A637</f>
        <v>1625</v>
      </c>
      <c r="B637" s="3" t="str">
        <f>Gegenstände!B637</f>
        <v>Erde-Lichtstab</v>
      </c>
      <c r="D637" s="3">
        <f>Gegenstände!K637</f>
        <v>1800</v>
      </c>
      <c r="E637" s="3">
        <f>Gegenstände!I637</f>
        <v>4</v>
      </c>
      <c r="F637" s="3">
        <f>VLOOKUP(Gegenstände!E637,Berechnungen!$E$87:$F$115,2,FALSE)</f>
        <v>15</v>
      </c>
      <c r="G637" s="3">
        <f>Gegenstände!H637</f>
        <v>1</v>
      </c>
      <c r="H637" s="3">
        <f>Gegenstände!G637</f>
        <v>12</v>
      </c>
      <c r="I637" s="3">
        <f>Gegenstände!D637</f>
        <v>11</v>
      </c>
      <c r="J637" s="168">
        <f>ROUND(Gegenstände!N637,0)</f>
        <v>8100</v>
      </c>
      <c r="K637" s="3">
        <f>Gegenstände!J637</f>
        <v>100</v>
      </c>
      <c r="L637" s="3">
        <f>Gegenstände!L637</f>
        <v>0</v>
      </c>
      <c r="M637" s="3">
        <f>Gegenstände!Z637</f>
        <v>0</v>
      </c>
      <c r="N637" s="783">
        <f>(Gegenstände!Y637*10)</f>
        <v>0</v>
      </c>
      <c r="O637" s="783">
        <f>(Gegenstände!W637*10)</f>
        <v>0</v>
      </c>
      <c r="P637" s="783">
        <f>Gegenstände!AA637*10</f>
        <v>0</v>
      </c>
      <c r="Q637" s="783">
        <f>Gegenstände!O637</f>
        <v>0</v>
      </c>
      <c r="R637" s="168">
        <f>Gegenstände!S637</f>
        <v>0</v>
      </c>
      <c r="S637" s="168">
        <f>Gegenstände!T637</f>
        <v>0</v>
      </c>
      <c r="T637" s="783">
        <f>Gegenstände!AC637</f>
        <v>44</v>
      </c>
      <c r="U637" s="783">
        <f>Gegenstände!AE637</f>
        <v>0</v>
      </c>
      <c r="V637" s="783">
        <f>Gegenstände!AD637</f>
        <v>0</v>
      </c>
      <c r="W637" s="783">
        <f>Gegenstände!AF637</f>
        <v>22</v>
      </c>
      <c r="AB637" s="3">
        <f>Gegenstände!M637</f>
        <v>3</v>
      </c>
      <c r="AC637" s="3">
        <f>Gegenstände!AB637</f>
        <v>43</v>
      </c>
      <c r="AD637" s="3">
        <f>Gegenstände!F637</f>
        <v>0</v>
      </c>
    </row>
    <row r="638" spans="1:30" x14ac:dyDescent="0.2">
      <c r="A638" s="3">
        <f>Gegenstände!A638</f>
        <v>1626</v>
      </c>
      <c r="B638" s="3" t="str">
        <f>Gegenstände!B638</f>
        <v>Erde-Rute</v>
      </c>
      <c r="D638" s="3">
        <f>Gegenstände!K638</f>
        <v>1600</v>
      </c>
      <c r="E638" s="3">
        <f>Gegenstände!I638</f>
        <v>4</v>
      </c>
      <c r="F638" s="3">
        <f>VLOOKUP(Gegenstände!E638,Berechnungen!$E$87:$F$115,2,FALSE)</f>
        <v>15</v>
      </c>
      <c r="G638" s="3">
        <f>Gegenstände!H638</f>
        <v>1</v>
      </c>
      <c r="H638" s="3">
        <f>Gegenstände!G638</f>
        <v>12</v>
      </c>
      <c r="I638" s="3">
        <f>Gegenstände!D638</f>
        <v>14</v>
      </c>
      <c r="J638" s="168">
        <f>ROUND(Gegenstände!N638,0)</f>
        <v>12300</v>
      </c>
      <c r="K638" s="3">
        <f>Gegenstände!J638</f>
        <v>100</v>
      </c>
      <c r="L638" s="3">
        <f>Gegenstände!L638</f>
        <v>0</v>
      </c>
      <c r="M638" s="3">
        <f>Gegenstände!Z638</f>
        <v>0</v>
      </c>
      <c r="N638" s="783">
        <f>(Gegenstände!Y638*10)</f>
        <v>0</v>
      </c>
      <c r="O638" s="783">
        <f>(Gegenstände!W638*10)</f>
        <v>0</v>
      </c>
      <c r="P638" s="783">
        <f>Gegenstände!AA638*10</f>
        <v>0</v>
      </c>
      <c r="Q638" s="783">
        <f>Gegenstände!O638</f>
        <v>0</v>
      </c>
      <c r="R638" s="168">
        <f>Gegenstände!S638</f>
        <v>0</v>
      </c>
      <c r="S638" s="168">
        <f>Gegenstände!T638</f>
        <v>0</v>
      </c>
      <c r="T638" s="783">
        <f>Gegenstände!AC638</f>
        <v>56</v>
      </c>
      <c r="U638" s="783">
        <f>Gegenstände!AE638</f>
        <v>0</v>
      </c>
      <c r="V638" s="783">
        <f>Gegenstände!AD638</f>
        <v>0</v>
      </c>
      <c r="W638" s="783">
        <f>Gegenstände!AF638</f>
        <v>28</v>
      </c>
      <c r="AB638" s="3">
        <f>Gegenstände!M638</f>
        <v>3</v>
      </c>
      <c r="AC638" s="3">
        <f>Gegenstände!AB638</f>
        <v>43</v>
      </c>
      <c r="AD638" s="3">
        <f>Gegenstände!F638</f>
        <v>0</v>
      </c>
    </row>
    <row r="639" spans="1:30" x14ac:dyDescent="0.2">
      <c r="A639" s="3">
        <f>Gegenstände!A639</f>
        <v>1627</v>
      </c>
      <c r="B639" s="3" t="str">
        <f>Gegenstände!B639</f>
        <v>Erde-Spiralstab</v>
      </c>
      <c r="D639" s="3">
        <f>Gegenstände!K639</f>
        <v>1800</v>
      </c>
      <c r="E639" s="3">
        <f>Gegenstände!I639</f>
        <v>4</v>
      </c>
      <c r="F639" s="3">
        <f>VLOOKUP(Gegenstände!E639,Berechnungen!$E$87:$F$115,2,FALSE)</f>
        <v>15</v>
      </c>
      <c r="G639" s="3">
        <f>Gegenstände!H639</f>
        <v>1</v>
      </c>
      <c r="H639" s="3">
        <f>Gegenstände!G639</f>
        <v>12</v>
      </c>
      <c r="I639" s="3">
        <f>Gegenstände!D639</f>
        <v>16</v>
      </c>
      <c r="J639" s="168">
        <f>ROUND(Gegenstände!N639,0)</f>
        <v>16300</v>
      </c>
      <c r="K639" s="3">
        <f>Gegenstände!J639</f>
        <v>100</v>
      </c>
      <c r="L639" s="3">
        <f>Gegenstände!L639</f>
        <v>0</v>
      </c>
      <c r="M639" s="3">
        <f>Gegenstände!Z639</f>
        <v>0</v>
      </c>
      <c r="N639" s="783">
        <f>(Gegenstände!Y639*10)</f>
        <v>0</v>
      </c>
      <c r="O639" s="783">
        <f>(Gegenstände!W639*10)</f>
        <v>0</v>
      </c>
      <c r="P639" s="783">
        <f>Gegenstände!AA639*10</f>
        <v>0</v>
      </c>
      <c r="Q639" s="783">
        <f>Gegenstände!O639</f>
        <v>0</v>
      </c>
      <c r="R639" s="168">
        <f>Gegenstände!S639</f>
        <v>0</v>
      </c>
      <c r="S639" s="168">
        <f>Gegenstände!T639</f>
        <v>0</v>
      </c>
      <c r="T639" s="783">
        <f>Gegenstände!AC639</f>
        <v>64</v>
      </c>
      <c r="U639" s="783">
        <f>Gegenstände!AE639</f>
        <v>0</v>
      </c>
      <c r="V639" s="783">
        <f>Gegenstände!AD639</f>
        <v>0</v>
      </c>
      <c r="W639" s="783">
        <f>Gegenstände!AF639</f>
        <v>32</v>
      </c>
      <c r="AB639" s="3">
        <f>Gegenstände!M639</f>
        <v>4</v>
      </c>
      <c r="AC639" s="3">
        <f>Gegenstände!AB639</f>
        <v>43</v>
      </c>
      <c r="AD639" s="3">
        <f>Gegenstände!F639</f>
        <v>0</v>
      </c>
    </row>
    <row r="640" spans="1:30" x14ac:dyDescent="0.2">
      <c r="A640" s="3">
        <f>Gegenstände!A640</f>
        <v>1628</v>
      </c>
      <c r="B640" s="3" t="str">
        <f>Gegenstände!B640</f>
        <v>Erde-Eschenstab</v>
      </c>
      <c r="D640" s="3">
        <f>Gegenstände!K640</f>
        <v>1700</v>
      </c>
      <c r="E640" s="3">
        <f>Gegenstände!I640</f>
        <v>4</v>
      </c>
      <c r="F640" s="3">
        <f>VLOOKUP(Gegenstände!E640,Berechnungen!$E$87:$F$115,2,FALSE)</f>
        <v>15</v>
      </c>
      <c r="G640" s="3">
        <f>Gegenstände!H640</f>
        <v>1</v>
      </c>
      <c r="H640" s="3">
        <f>Gegenstände!G640</f>
        <v>12</v>
      </c>
      <c r="I640" s="3">
        <f>Gegenstände!D640</f>
        <v>19</v>
      </c>
      <c r="J640" s="168">
        <f>ROUND(Gegenstände!N640,0)</f>
        <v>24800</v>
      </c>
      <c r="K640" s="3">
        <f>Gegenstände!J640</f>
        <v>100</v>
      </c>
      <c r="L640" s="3">
        <f>Gegenstände!L640</f>
        <v>0</v>
      </c>
      <c r="M640" s="3">
        <f>Gegenstände!Z640</f>
        <v>0</v>
      </c>
      <c r="N640" s="783">
        <f>(Gegenstände!Y640*10)</f>
        <v>0</v>
      </c>
      <c r="O640" s="783">
        <f>(Gegenstände!W640*10)</f>
        <v>0</v>
      </c>
      <c r="P640" s="783">
        <f>Gegenstände!AA640*10</f>
        <v>0</v>
      </c>
      <c r="Q640" s="783">
        <f>Gegenstände!O640</f>
        <v>0</v>
      </c>
      <c r="R640" s="168">
        <f>Gegenstände!S640</f>
        <v>0</v>
      </c>
      <c r="S640" s="168">
        <f>Gegenstände!T640</f>
        <v>0</v>
      </c>
      <c r="T640" s="783">
        <f>Gegenstände!AC640</f>
        <v>76</v>
      </c>
      <c r="U640" s="783">
        <f>Gegenstände!AE640</f>
        <v>0</v>
      </c>
      <c r="V640" s="783">
        <f>Gegenstände!AD640</f>
        <v>0</v>
      </c>
      <c r="W640" s="783">
        <f>Gegenstände!AF640</f>
        <v>38</v>
      </c>
      <c r="AB640" s="3">
        <f>Gegenstände!M640</f>
        <v>4</v>
      </c>
      <c r="AC640" s="3">
        <f>Gegenstände!AB640</f>
        <v>43</v>
      </c>
      <c r="AD640" s="3">
        <f>Gegenstände!F640</f>
        <v>0</v>
      </c>
    </row>
    <row r="641" spans="1:30" x14ac:dyDescent="0.2">
      <c r="A641" s="3">
        <f>Gegenstände!A641</f>
        <v>1629</v>
      </c>
      <c r="B641" s="3" t="str">
        <f>Gegenstände!B641</f>
        <v>Erde-Eibenlanze</v>
      </c>
      <c r="D641" s="3">
        <f>Gegenstände!K641</f>
        <v>1900</v>
      </c>
      <c r="E641" s="3">
        <f>Gegenstände!I641</f>
        <v>4</v>
      </c>
      <c r="F641" s="3">
        <f>VLOOKUP(Gegenstände!E641,Berechnungen!$E$87:$F$115,2,FALSE)</f>
        <v>15</v>
      </c>
      <c r="G641" s="3">
        <f>Gegenstände!H641</f>
        <v>1</v>
      </c>
      <c r="H641" s="3">
        <f>Gegenstände!G641</f>
        <v>12</v>
      </c>
      <c r="I641" s="3">
        <f>Gegenstände!D641</f>
        <v>22</v>
      </c>
      <c r="J641" s="168">
        <f>ROUND(Gegenstände!N641,0)</f>
        <v>37600</v>
      </c>
      <c r="K641" s="3">
        <f>Gegenstände!J641</f>
        <v>100</v>
      </c>
      <c r="L641" s="3">
        <f>Gegenstände!L641</f>
        <v>0</v>
      </c>
      <c r="M641" s="3">
        <f>Gegenstände!Z641</f>
        <v>0</v>
      </c>
      <c r="N641" s="783">
        <f>(Gegenstände!Y641*10)</f>
        <v>0</v>
      </c>
      <c r="O641" s="783">
        <f>(Gegenstände!W641*10)</f>
        <v>0</v>
      </c>
      <c r="P641" s="783">
        <f>Gegenstände!AA641*10</f>
        <v>0</v>
      </c>
      <c r="Q641" s="783">
        <f>Gegenstände!O641</f>
        <v>0</v>
      </c>
      <c r="R641" s="168">
        <f>Gegenstände!S641</f>
        <v>0</v>
      </c>
      <c r="S641" s="168">
        <f>Gegenstände!T641</f>
        <v>0</v>
      </c>
      <c r="T641" s="783">
        <f>Gegenstände!AC641</f>
        <v>88</v>
      </c>
      <c r="U641" s="783">
        <f>Gegenstände!AE641</f>
        <v>0</v>
      </c>
      <c r="V641" s="783">
        <f>Gegenstände!AD641</f>
        <v>0</v>
      </c>
      <c r="W641" s="783">
        <f>Gegenstände!AF641</f>
        <v>44</v>
      </c>
      <c r="AB641" s="3">
        <f>Gegenstände!M641</f>
        <v>5</v>
      </c>
      <c r="AC641" s="3">
        <f>Gegenstände!AB641</f>
        <v>43</v>
      </c>
      <c r="AD641" s="3">
        <f>Gegenstände!F641</f>
        <v>0</v>
      </c>
    </row>
    <row r="642" spans="1:30" x14ac:dyDescent="0.2">
      <c r="A642" s="3">
        <f>Gegenstände!A642</f>
        <v>1630</v>
      </c>
      <c r="B642" s="3" t="str">
        <f>Gegenstände!B642</f>
        <v>Erde-Wächterstab</v>
      </c>
      <c r="D642" s="3">
        <f>Gegenstände!K642</f>
        <v>1800</v>
      </c>
      <c r="E642" s="3">
        <f>Gegenstände!I642</f>
        <v>4</v>
      </c>
      <c r="F642" s="3">
        <f>VLOOKUP(Gegenstände!E642,Berechnungen!$E$87:$F$115,2,FALSE)</f>
        <v>15</v>
      </c>
      <c r="G642" s="3">
        <f>Gegenstände!H642</f>
        <v>1</v>
      </c>
      <c r="H642" s="3">
        <f>Gegenstände!G642</f>
        <v>12</v>
      </c>
      <c r="I642" s="3">
        <f>Gegenstände!D642</f>
        <v>25</v>
      </c>
      <c r="J642" s="168">
        <f>ROUND(Gegenstände!N642,0)</f>
        <v>57300</v>
      </c>
      <c r="K642" s="3">
        <f>Gegenstände!J642</f>
        <v>100</v>
      </c>
      <c r="L642" s="3">
        <f>Gegenstände!L642</f>
        <v>0</v>
      </c>
      <c r="M642" s="3">
        <f>Gegenstände!Z642</f>
        <v>0</v>
      </c>
      <c r="N642" s="783">
        <f>(Gegenstände!Y642*10)</f>
        <v>0</v>
      </c>
      <c r="O642" s="783">
        <f>(Gegenstände!W642*10)</f>
        <v>0</v>
      </c>
      <c r="P642" s="783">
        <f>Gegenstände!AA642*10</f>
        <v>0</v>
      </c>
      <c r="Q642" s="783">
        <f>Gegenstände!O642</f>
        <v>0</v>
      </c>
      <c r="R642" s="168">
        <f>Gegenstände!S642</f>
        <v>0</v>
      </c>
      <c r="S642" s="168">
        <f>Gegenstände!T642</f>
        <v>0</v>
      </c>
      <c r="T642" s="783">
        <f>Gegenstände!AC642</f>
        <v>100</v>
      </c>
      <c r="U642" s="783">
        <f>Gegenstände!AE642</f>
        <v>0</v>
      </c>
      <c r="V642" s="783">
        <f>Gegenstände!AD642</f>
        <v>0</v>
      </c>
      <c r="W642" s="783">
        <f>Gegenstände!AF642</f>
        <v>50</v>
      </c>
      <c r="AB642" s="3">
        <f>Gegenstände!M642</f>
        <v>5</v>
      </c>
      <c r="AC642" s="3">
        <f>Gegenstände!AB642</f>
        <v>43</v>
      </c>
      <c r="AD642" s="3">
        <f>Gegenstände!F642</f>
        <v>0</v>
      </c>
    </row>
    <row r="643" spans="1:30" x14ac:dyDescent="0.2">
      <c r="A643" s="3">
        <f>Gegenstände!A643</f>
        <v>2621</v>
      </c>
      <c r="B643" s="3" t="str">
        <f>Gegenstände!B643</f>
        <v>Pyrit-Erdenstab</v>
      </c>
      <c r="D643" s="3">
        <f>Gegenstände!K643</f>
        <v>1700</v>
      </c>
      <c r="E643" s="3">
        <f>Gegenstände!I643</f>
        <v>4</v>
      </c>
      <c r="F643" s="3">
        <f>VLOOKUP(Gegenstände!E643,Berechnungen!$E$87:$F$115,2,FALSE)</f>
        <v>15</v>
      </c>
      <c r="G643" s="3">
        <f>Gegenstände!H643</f>
        <v>2</v>
      </c>
      <c r="H643" s="3">
        <f>Gegenstände!G643</f>
        <v>12</v>
      </c>
      <c r="I643" s="3">
        <f>Gegenstände!D643</f>
        <v>4</v>
      </c>
      <c r="J643" s="168">
        <f>ROUND(Gegenstände!N643,0)</f>
        <v>5500</v>
      </c>
      <c r="K643" s="3">
        <f>Gegenstände!J643</f>
        <v>100</v>
      </c>
      <c r="L643" s="3">
        <f>Gegenstände!L643</f>
        <v>0</v>
      </c>
      <c r="M643" s="3">
        <f>Gegenstände!Z643</f>
        <v>0</v>
      </c>
      <c r="N643" s="783">
        <f>(Gegenstände!Y643*10)</f>
        <v>0</v>
      </c>
      <c r="O643" s="783">
        <f>(Gegenstände!W643*10)</f>
        <v>0</v>
      </c>
      <c r="P643" s="783">
        <f>Gegenstände!AA643*10</f>
        <v>0</v>
      </c>
      <c r="Q643" s="783">
        <f>Gegenstände!O643</f>
        <v>0</v>
      </c>
      <c r="R643" s="168">
        <f>Gegenstände!S643</f>
        <v>0</v>
      </c>
      <c r="S643" s="168">
        <f>Gegenstände!T643</f>
        <v>0</v>
      </c>
      <c r="T643" s="783">
        <f>Gegenstände!AC643</f>
        <v>28</v>
      </c>
      <c r="U643" s="783">
        <f>Gegenstände!AE643</f>
        <v>0</v>
      </c>
      <c r="V643" s="783">
        <f>Gegenstände!AD643</f>
        <v>0</v>
      </c>
      <c r="W643" s="783">
        <f>Gegenstände!AF643</f>
        <v>14</v>
      </c>
      <c r="AB643" s="3">
        <f>Gegenstände!M643</f>
        <v>0</v>
      </c>
      <c r="AC643" s="3">
        <f>Gegenstände!AB643</f>
        <v>43</v>
      </c>
      <c r="AD643" s="3">
        <f>Gegenstände!F643</f>
        <v>0</v>
      </c>
    </row>
    <row r="644" spans="1:30" x14ac:dyDescent="0.2">
      <c r="A644" s="3">
        <f>Gegenstände!A644</f>
        <v>2622</v>
      </c>
      <c r="B644" s="3" t="str">
        <f>Gegenstände!B644</f>
        <v>Jaspis-Erdenstab</v>
      </c>
      <c r="D644" s="3">
        <f>Gegenstände!K644</f>
        <v>1800</v>
      </c>
      <c r="E644" s="3">
        <f>Gegenstände!I644</f>
        <v>4</v>
      </c>
      <c r="F644" s="3">
        <f>VLOOKUP(Gegenstände!E644,Berechnungen!$E$87:$F$115,2,FALSE)</f>
        <v>15</v>
      </c>
      <c r="G644" s="3">
        <f>Gegenstände!H644</f>
        <v>2</v>
      </c>
      <c r="H644" s="3">
        <f>Gegenstände!G644</f>
        <v>12</v>
      </c>
      <c r="I644" s="3">
        <f>Gegenstände!D644</f>
        <v>9</v>
      </c>
      <c r="J644" s="168">
        <f>ROUND(Gegenstände!N644,0)</f>
        <v>11100</v>
      </c>
      <c r="K644" s="3">
        <f>Gegenstände!J644</f>
        <v>100</v>
      </c>
      <c r="L644" s="3">
        <f>Gegenstände!L644</f>
        <v>0</v>
      </c>
      <c r="M644" s="3">
        <f>Gegenstände!Z644</f>
        <v>0</v>
      </c>
      <c r="N644" s="783">
        <f>(Gegenstände!Y644*10)</f>
        <v>0</v>
      </c>
      <c r="O644" s="783">
        <f>(Gegenstände!W644*10)</f>
        <v>0</v>
      </c>
      <c r="P644" s="783">
        <f>Gegenstände!AA644*10</f>
        <v>0</v>
      </c>
      <c r="Q644" s="783">
        <f>Gegenstände!O644</f>
        <v>0</v>
      </c>
      <c r="R644" s="168">
        <f>Gegenstände!S644</f>
        <v>0</v>
      </c>
      <c r="S644" s="168">
        <f>Gegenstände!T644</f>
        <v>0</v>
      </c>
      <c r="T644" s="783">
        <f>Gegenstände!AC644</f>
        <v>48</v>
      </c>
      <c r="U644" s="783">
        <f>Gegenstände!AE644</f>
        <v>0</v>
      </c>
      <c r="V644" s="783">
        <f>Gegenstände!AD644</f>
        <v>0</v>
      </c>
      <c r="W644" s="783">
        <f>Gegenstände!AF644</f>
        <v>24</v>
      </c>
      <c r="AB644" s="3">
        <f>Gegenstände!M644</f>
        <v>0</v>
      </c>
      <c r="AC644" s="3">
        <f>Gegenstände!AB644</f>
        <v>43</v>
      </c>
      <c r="AD644" s="3">
        <f>Gegenstände!F644</f>
        <v>0</v>
      </c>
    </row>
    <row r="645" spans="1:30" x14ac:dyDescent="0.2">
      <c r="A645" s="3">
        <f>Gegenstände!A645</f>
        <v>2623</v>
      </c>
      <c r="B645" s="3" t="str">
        <f>Gegenstände!B645</f>
        <v>Perlmutt-Erdenstab</v>
      </c>
      <c r="D645" s="3">
        <f>Gegenstände!K645</f>
        <v>2000</v>
      </c>
      <c r="E645" s="3">
        <f>Gegenstände!I645</f>
        <v>4</v>
      </c>
      <c r="F645" s="3">
        <f>VLOOKUP(Gegenstände!E645,Berechnungen!$E$87:$F$115,2,FALSE)</f>
        <v>15</v>
      </c>
      <c r="G645" s="3">
        <f>Gegenstände!H645</f>
        <v>2</v>
      </c>
      <c r="H645" s="3">
        <f>Gegenstände!G645</f>
        <v>12</v>
      </c>
      <c r="I645" s="3">
        <f>Gegenstände!D645</f>
        <v>14</v>
      </c>
      <c r="J645" s="168">
        <f>ROUND(Gegenstände!N645,0)</f>
        <v>22300</v>
      </c>
      <c r="K645" s="3">
        <f>Gegenstände!J645</f>
        <v>100</v>
      </c>
      <c r="L645" s="3">
        <f>Gegenstände!L645</f>
        <v>0</v>
      </c>
      <c r="M645" s="3">
        <f>Gegenstände!Z645</f>
        <v>0</v>
      </c>
      <c r="N645" s="783">
        <f>(Gegenstände!Y645*10)</f>
        <v>0</v>
      </c>
      <c r="O645" s="783">
        <f>(Gegenstände!W645*10)</f>
        <v>0</v>
      </c>
      <c r="P645" s="783">
        <f>Gegenstände!AA645*10</f>
        <v>0</v>
      </c>
      <c r="Q645" s="783">
        <f>Gegenstände!O645</f>
        <v>0</v>
      </c>
      <c r="R645" s="168">
        <f>Gegenstände!S645</f>
        <v>0</v>
      </c>
      <c r="S645" s="168">
        <f>Gegenstände!T645</f>
        <v>0</v>
      </c>
      <c r="T645" s="783">
        <f>Gegenstände!AC645</f>
        <v>68</v>
      </c>
      <c r="U645" s="783">
        <f>Gegenstände!AE645</f>
        <v>0</v>
      </c>
      <c r="V645" s="783">
        <f>Gegenstände!AD645</f>
        <v>0</v>
      </c>
      <c r="W645" s="783">
        <f>Gegenstände!AF645</f>
        <v>34</v>
      </c>
      <c r="AB645" s="3">
        <f>Gegenstände!M645</f>
        <v>0</v>
      </c>
      <c r="AC645" s="3">
        <f>Gegenstände!AB645</f>
        <v>43</v>
      </c>
      <c r="AD645" s="3">
        <f>Gegenstände!F645</f>
        <v>0</v>
      </c>
    </row>
    <row r="646" spans="1:30" x14ac:dyDescent="0.2">
      <c r="A646" s="3">
        <f>Gegenstände!A646</f>
        <v>2624</v>
      </c>
      <c r="B646" s="3" t="str">
        <f>Gegenstände!B646</f>
        <v>Jade-Erdenstab</v>
      </c>
      <c r="D646" s="3">
        <f>Gegenstände!K646</f>
        <v>1900</v>
      </c>
      <c r="E646" s="3">
        <f>Gegenstände!I646</f>
        <v>4</v>
      </c>
      <c r="F646" s="3">
        <f>VLOOKUP(Gegenstände!E646,Berechnungen!$E$87:$F$115,2,FALSE)</f>
        <v>15</v>
      </c>
      <c r="G646" s="3">
        <f>Gegenstände!H646</f>
        <v>2</v>
      </c>
      <c r="H646" s="3">
        <f>Gegenstände!G646</f>
        <v>12</v>
      </c>
      <c r="I646" s="3">
        <f>Gegenstände!D646</f>
        <v>19</v>
      </c>
      <c r="J646" s="168">
        <f>ROUND(Gegenstände!N646,0)</f>
        <v>42300</v>
      </c>
      <c r="K646" s="3">
        <f>Gegenstände!J646</f>
        <v>100</v>
      </c>
      <c r="L646" s="3">
        <f>Gegenstände!L646</f>
        <v>0</v>
      </c>
      <c r="M646" s="3">
        <f>Gegenstände!Z646</f>
        <v>0</v>
      </c>
      <c r="N646" s="783">
        <f>(Gegenstände!Y646*10)</f>
        <v>0</v>
      </c>
      <c r="O646" s="783">
        <f>(Gegenstände!W646*10)</f>
        <v>0</v>
      </c>
      <c r="P646" s="783">
        <f>Gegenstände!AA646*10</f>
        <v>0</v>
      </c>
      <c r="Q646" s="783">
        <f>Gegenstände!O646</f>
        <v>0</v>
      </c>
      <c r="R646" s="168">
        <f>Gegenstände!S646</f>
        <v>0</v>
      </c>
      <c r="S646" s="168">
        <f>Gegenstände!T646</f>
        <v>0</v>
      </c>
      <c r="T646" s="783">
        <f>Gegenstände!AC646</f>
        <v>88</v>
      </c>
      <c r="U646" s="783">
        <f>Gegenstände!AE646</f>
        <v>0</v>
      </c>
      <c r="V646" s="783">
        <f>Gegenstände!AD646</f>
        <v>0</v>
      </c>
      <c r="W646" s="783">
        <f>Gegenstände!AF646</f>
        <v>44</v>
      </c>
      <c r="AB646" s="3">
        <f>Gegenstände!M646</f>
        <v>0</v>
      </c>
      <c r="AC646" s="3">
        <f>Gegenstände!AB646</f>
        <v>43</v>
      </c>
      <c r="AD646" s="3">
        <f>Gegenstände!F646</f>
        <v>0</v>
      </c>
    </row>
    <row r="647" spans="1:30" x14ac:dyDescent="0.2">
      <c r="A647" s="3">
        <f>Gegenstände!A647</f>
        <v>2625</v>
      </c>
      <c r="B647" s="3" t="str">
        <f>Gegenstände!B647</f>
        <v>Onyx-Erdenstab</v>
      </c>
      <c r="D647" s="3">
        <f>Gegenstände!K647</f>
        <v>1800</v>
      </c>
      <c r="E647" s="3">
        <f>Gegenstände!I647</f>
        <v>4</v>
      </c>
      <c r="F647" s="3">
        <f>VLOOKUP(Gegenstände!E647,Berechnungen!$E$87:$F$115,2,FALSE)</f>
        <v>15</v>
      </c>
      <c r="G647" s="3">
        <f>Gegenstände!H647</f>
        <v>2</v>
      </c>
      <c r="H647" s="3">
        <f>Gegenstände!G647</f>
        <v>12</v>
      </c>
      <c r="I647" s="3">
        <f>Gegenstände!D647</f>
        <v>25</v>
      </c>
      <c r="J647" s="168">
        <f>ROUND(Gegenstände!N647,0)</f>
        <v>82300</v>
      </c>
      <c r="K647" s="3">
        <f>Gegenstände!J647</f>
        <v>100</v>
      </c>
      <c r="L647" s="3">
        <f>Gegenstände!L647</f>
        <v>0</v>
      </c>
      <c r="M647" s="3">
        <f>Gegenstände!Z647</f>
        <v>0</v>
      </c>
      <c r="N647" s="783">
        <f>(Gegenstände!Y647*10)</f>
        <v>0</v>
      </c>
      <c r="O647" s="783">
        <f>(Gegenstände!W647*10)</f>
        <v>0</v>
      </c>
      <c r="P647" s="783">
        <f>Gegenstände!AA647*10</f>
        <v>0</v>
      </c>
      <c r="Q647" s="783">
        <f>Gegenstände!O647</f>
        <v>0</v>
      </c>
      <c r="R647" s="168">
        <f>Gegenstände!S647</f>
        <v>0</v>
      </c>
      <c r="S647" s="168">
        <f>Gegenstände!T647</f>
        <v>0</v>
      </c>
      <c r="T647" s="783">
        <f>Gegenstände!AC647</f>
        <v>112</v>
      </c>
      <c r="U647" s="783">
        <f>Gegenstände!AE647</f>
        <v>0</v>
      </c>
      <c r="V647" s="783">
        <f>Gegenstände!AD647</f>
        <v>0</v>
      </c>
      <c r="W647" s="783">
        <f>Gegenstände!AF647</f>
        <v>56</v>
      </c>
      <c r="AB647" s="3">
        <f>Gegenstände!M647</f>
        <v>0</v>
      </c>
      <c r="AC647" s="3">
        <f>Gegenstände!AB647</f>
        <v>43</v>
      </c>
      <c r="AD647" s="3">
        <f>Gegenstände!F647</f>
        <v>0</v>
      </c>
    </row>
    <row r="648" spans="1:30" x14ac:dyDescent="0.2">
      <c r="A648" s="3">
        <f>Gegenstände!A648</f>
        <v>0</v>
      </c>
      <c r="B648" s="3" t="str">
        <f>Gegenstände!B648</f>
        <v>Stäbe (Luft)</v>
      </c>
      <c r="D648" s="3">
        <f>Gegenstände!K648</f>
        <v>0</v>
      </c>
      <c r="E648" s="3">
        <f>Gegenstände!I648</f>
        <v>0</v>
      </c>
      <c r="F648" s="3" t="e">
        <f>VLOOKUP(Gegenstände!E648,Berechnungen!$E$87:$F$115,2,FALSE)</f>
        <v>#N/A</v>
      </c>
      <c r="G648" s="3">
        <f>Gegenstände!H648</f>
        <v>0</v>
      </c>
      <c r="H648" s="3">
        <f>Gegenstände!G648</f>
        <v>0</v>
      </c>
      <c r="I648" s="3">
        <f>Gegenstände!D648</f>
        <v>0</v>
      </c>
      <c r="J648" s="168">
        <f>ROUND(Gegenstände!N648,0)</f>
        <v>0</v>
      </c>
      <c r="K648" s="3">
        <f>Gegenstände!J648</f>
        <v>0</v>
      </c>
      <c r="L648" s="3">
        <f>Gegenstände!L648</f>
        <v>0</v>
      </c>
      <c r="M648" s="3">
        <f>Gegenstände!Z648</f>
        <v>0</v>
      </c>
      <c r="N648" s="783">
        <f>(Gegenstände!Y648*10)</f>
        <v>0</v>
      </c>
      <c r="O648" s="783">
        <f>(Gegenstände!W648*10)</f>
        <v>0</v>
      </c>
      <c r="P648" s="783">
        <f>Gegenstände!AA648*10</f>
        <v>0</v>
      </c>
      <c r="Q648" s="783">
        <f>Gegenstände!O648</f>
        <v>0</v>
      </c>
      <c r="R648" s="168">
        <f>Gegenstände!S648</f>
        <v>0</v>
      </c>
      <c r="S648" s="168">
        <f>Gegenstände!T648</f>
        <v>0</v>
      </c>
      <c r="T648" s="783">
        <f>Gegenstände!AC648</f>
        <v>0</v>
      </c>
      <c r="U648" s="783">
        <f>Gegenstände!AE648</f>
        <v>0</v>
      </c>
      <c r="V648" s="783">
        <f>Gegenstände!AD648</f>
        <v>0</v>
      </c>
      <c r="W648" s="783">
        <f>Gegenstände!AF648</f>
        <v>0</v>
      </c>
      <c r="AB648" s="3">
        <f>Gegenstände!M648</f>
        <v>0</v>
      </c>
      <c r="AC648" s="3">
        <f>Gegenstände!AB648</f>
        <v>0</v>
      </c>
      <c r="AD648" s="3">
        <f>Gegenstände!F648</f>
        <v>0</v>
      </c>
    </row>
    <row r="649" spans="1:30" x14ac:dyDescent="0.2">
      <c r="A649" s="3">
        <f>Gegenstände!A649</f>
        <v>1631</v>
      </c>
      <c r="B649" s="3" t="str">
        <f>Gegenstände!B649</f>
        <v>Luft-Stecken</v>
      </c>
      <c r="D649" s="3">
        <f>Gegenstände!K649</f>
        <v>1700</v>
      </c>
      <c r="E649" s="3">
        <f>Gegenstände!I649</f>
        <v>4</v>
      </c>
      <c r="F649" s="3">
        <f>VLOOKUP(Gegenstände!E649,Berechnungen!$E$87:$F$115,2,FALSE)</f>
        <v>16</v>
      </c>
      <c r="G649" s="3">
        <f>Gegenstände!H649</f>
        <v>1</v>
      </c>
      <c r="H649" s="3">
        <f>Gegenstände!G649</f>
        <v>13</v>
      </c>
      <c r="I649" s="3">
        <f>Gegenstände!D649</f>
        <v>1</v>
      </c>
      <c r="J649" s="168">
        <f>ROUND(Gegenstände!N649,0)</f>
        <v>2000</v>
      </c>
      <c r="K649" s="3">
        <f>Gegenstände!J649</f>
        <v>100</v>
      </c>
      <c r="L649" s="3">
        <f>Gegenstände!L649</f>
        <v>0</v>
      </c>
      <c r="M649" s="3">
        <f>Gegenstände!Z649</f>
        <v>0</v>
      </c>
      <c r="N649" s="783">
        <f>(Gegenstände!Y649*10)</f>
        <v>0</v>
      </c>
      <c r="O649" s="783">
        <f>(Gegenstände!W649*10)</f>
        <v>0</v>
      </c>
      <c r="P649" s="783">
        <f>Gegenstände!AA649*10</f>
        <v>0</v>
      </c>
      <c r="Q649" s="783">
        <f>Gegenstände!O649</f>
        <v>0</v>
      </c>
      <c r="R649" s="168">
        <f>Gegenstände!S649</f>
        <v>0</v>
      </c>
      <c r="S649" s="168">
        <f>Gegenstände!T649</f>
        <v>0</v>
      </c>
      <c r="T649" s="783">
        <f>Gegenstände!AC649</f>
        <v>4</v>
      </c>
      <c r="U649" s="783">
        <f>Gegenstände!AE649</f>
        <v>0</v>
      </c>
      <c r="V649" s="783">
        <f>Gegenstände!AD649</f>
        <v>0</v>
      </c>
      <c r="W649" s="783">
        <f>Gegenstände!AF649</f>
        <v>2</v>
      </c>
      <c r="AB649" s="3">
        <f>Gegenstände!M649</f>
        <v>1</v>
      </c>
      <c r="AC649" s="3">
        <f>Gegenstände!AB649</f>
        <v>43</v>
      </c>
      <c r="AD649" s="3">
        <f>Gegenstände!F649</f>
        <v>0</v>
      </c>
    </row>
    <row r="650" spans="1:30" x14ac:dyDescent="0.2">
      <c r="A650" s="3">
        <f>Gegenstände!A650</f>
        <v>1632</v>
      </c>
      <c r="B650" s="3" t="str">
        <f>Gegenstände!B650</f>
        <v>Luft-Krummstab</v>
      </c>
      <c r="D650" s="3">
        <f>Gegenstände!K650</f>
        <v>1800</v>
      </c>
      <c r="E650" s="3">
        <f>Gegenstände!I650</f>
        <v>4</v>
      </c>
      <c r="F650" s="3">
        <f>VLOOKUP(Gegenstände!E650,Berechnungen!$E$87:$F$115,2,FALSE)</f>
        <v>16</v>
      </c>
      <c r="G650" s="3">
        <f>Gegenstände!H650</f>
        <v>1</v>
      </c>
      <c r="H650" s="3">
        <f>Gegenstände!G650</f>
        <v>13</v>
      </c>
      <c r="I650" s="3">
        <f>Gegenstände!D650</f>
        <v>4</v>
      </c>
      <c r="J650" s="168">
        <f>ROUND(Gegenstände!N650,0)</f>
        <v>3000</v>
      </c>
      <c r="K650" s="3">
        <f>Gegenstände!J650</f>
        <v>100</v>
      </c>
      <c r="L650" s="3">
        <f>Gegenstände!L650</f>
        <v>0</v>
      </c>
      <c r="M650" s="3">
        <f>Gegenstände!Z650</f>
        <v>0</v>
      </c>
      <c r="N650" s="783">
        <f>(Gegenstände!Y650*10)</f>
        <v>0</v>
      </c>
      <c r="O650" s="783">
        <f>(Gegenstände!W650*10)</f>
        <v>0</v>
      </c>
      <c r="P650" s="783">
        <f>Gegenstände!AA650*10</f>
        <v>0</v>
      </c>
      <c r="Q650" s="783">
        <f>Gegenstände!O650</f>
        <v>0</v>
      </c>
      <c r="R650" s="168">
        <f>Gegenstände!S650</f>
        <v>0</v>
      </c>
      <c r="S650" s="168">
        <f>Gegenstände!T650</f>
        <v>0</v>
      </c>
      <c r="T650" s="783">
        <f>Gegenstände!AC650</f>
        <v>16</v>
      </c>
      <c r="U650" s="783">
        <f>Gegenstände!AE650</f>
        <v>0</v>
      </c>
      <c r="V650" s="783">
        <f>Gegenstände!AD650</f>
        <v>0</v>
      </c>
      <c r="W650" s="783">
        <f>Gegenstände!AF650</f>
        <v>8</v>
      </c>
      <c r="AB650" s="3">
        <f>Gegenstände!M650</f>
        <v>1</v>
      </c>
      <c r="AC650" s="3">
        <f>Gegenstände!AB650</f>
        <v>43</v>
      </c>
      <c r="AD650" s="3">
        <f>Gegenstände!F650</f>
        <v>0</v>
      </c>
    </row>
    <row r="651" spans="1:30" x14ac:dyDescent="0.2">
      <c r="A651" s="3">
        <f>Gegenstände!A651</f>
        <v>1633</v>
      </c>
      <c r="B651" s="3" t="str">
        <f>Gegenstände!B651</f>
        <v>Luft-Langholz</v>
      </c>
      <c r="D651" s="3">
        <f>Gegenstände!K651</f>
        <v>2000</v>
      </c>
      <c r="E651" s="3">
        <f>Gegenstände!I651</f>
        <v>4</v>
      </c>
      <c r="F651" s="3">
        <f>VLOOKUP(Gegenstände!E651,Berechnungen!$E$87:$F$115,2,FALSE)</f>
        <v>16</v>
      </c>
      <c r="G651" s="3">
        <f>Gegenstände!H651</f>
        <v>1</v>
      </c>
      <c r="H651" s="3">
        <f>Gegenstände!G651</f>
        <v>13</v>
      </c>
      <c r="I651" s="3">
        <f>Gegenstände!D651</f>
        <v>6</v>
      </c>
      <c r="J651" s="168">
        <f>ROUND(Gegenstände!N651,0)</f>
        <v>4000</v>
      </c>
      <c r="K651" s="3">
        <f>Gegenstände!J651</f>
        <v>100</v>
      </c>
      <c r="L651" s="3">
        <f>Gegenstände!L651</f>
        <v>0</v>
      </c>
      <c r="M651" s="3">
        <f>Gegenstände!Z651</f>
        <v>0</v>
      </c>
      <c r="N651" s="783">
        <f>(Gegenstände!Y651*10)</f>
        <v>0</v>
      </c>
      <c r="O651" s="783">
        <f>(Gegenstände!W651*10)</f>
        <v>0</v>
      </c>
      <c r="P651" s="783">
        <f>Gegenstände!AA651*10</f>
        <v>0</v>
      </c>
      <c r="Q651" s="783">
        <f>Gegenstände!O651</f>
        <v>0</v>
      </c>
      <c r="R651" s="168">
        <f>Gegenstände!S651</f>
        <v>0</v>
      </c>
      <c r="S651" s="168">
        <f>Gegenstände!T651</f>
        <v>0</v>
      </c>
      <c r="T651" s="783">
        <f>Gegenstände!AC651</f>
        <v>24</v>
      </c>
      <c r="U651" s="783">
        <f>Gegenstände!AE651</f>
        <v>0</v>
      </c>
      <c r="V651" s="783">
        <f>Gegenstände!AD651</f>
        <v>0</v>
      </c>
      <c r="W651" s="783">
        <f>Gegenstände!AF651</f>
        <v>12</v>
      </c>
      <c r="AB651" s="3">
        <f>Gegenstände!M651</f>
        <v>2</v>
      </c>
      <c r="AC651" s="3">
        <f>Gegenstände!AB651</f>
        <v>43</v>
      </c>
      <c r="AD651" s="3">
        <f>Gegenstände!F651</f>
        <v>0</v>
      </c>
    </row>
    <row r="652" spans="1:30" x14ac:dyDescent="0.2">
      <c r="A652" s="3">
        <f>Gegenstände!A652</f>
        <v>1634</v>
      </c>
      <c r="B652" s="3" t="str">
        <f>Gegenstände!B652</f>
        <v>Luft-Runenstab</v>
      </c>
      <c r="D652" s="3">
        <f>Gegenstände!K652</f>
        <v>1900</v>
      </c>
      <c r="E652" s="3">
        <f>Gegenstände!I652</f>
        <v>4</v>
      </c>
      <c r="F652" s="3">
        <f>VLOOKUP(Gegenstände!E652,Berechnungen!$E$87:$F$115,2,FALSE)</f>
        <v>16</v>
      </c>
      <c r="G652" s="3">
        <f>Gegenstände!H652</f>
        <v>1</v>
      </c>
      <c r="H652" s="3">
        <f>Gegenstände!G652</f>
        <v>13</v>
      </c>
      <c r="I652" s="3">
        <f>Gegenstände!D652</f>
        <v>9</v>
      </c>
      <c r="J652" s="168">
        <f>ROUND(Gegenstände!N652,0)</f>
        <v>6100</v>
      </c>
      <c r="K652" s="3">
        <f>Gegenstände!J652</f>
        <v>100</v>
      </c>
      <c r="L652" s="3">
        <f>Gegenstände!L652</f>
        <v>0</v>
      </c>
      <c r="M652" s="3">
        <f>Gegenstände!Z652</f>
        <v>0</v>
      </c>
      <c r="N652" s="783">
        <f>(Gegenstände!Y652*10)</f>
        <v>0</v>
      </c>
      <c r="O652" s="783">
        <f>(Gegenstände!W652*10)</f>
        <v>0</v>
      </c>
      <c r="P652" s="783">
        <f>Gegenstände!AA652*10</f>
        <v>0</v>
      </c>
      <c r="Q652" s="783">
        <f>Gegenstände!O652</f>
        <v>0</v>
      </c>
      <c r="R652" s="168">
        <f>Gegenstände!S652</f>
        <v>0</v>
      </c>
      <c r="S652" s="168">
        <f>Gegenstände!T652</f>
        <v>0</v>
      </c>
      <c r="T652" s="783">
        <f>Gegenstände!AC652</f>
        <v>36</v>
      </c>
      <c r="U652" s="783">
        <f>Gegenstände!AE652</f>
        <v>0</v>
      </c>
      <c r="V652" s="783">
        <f>Gegenstände!AD652</f>
        <v>0</v>
      </c>
      <c r="W652" s="783">
        <f>Gegenstände!AF652</f>
        <v>18</v>
      </c>
      <c r="AB652" s="3">
        <f>Gegenstände!M652</f>
        <v>2</v>
      </c>
      <c r="AC652" s="3">
        <f>Gegenstände!AB652</f>
        <v>43</v>
      </c>
      <c r="AD652" s="3">
        <f>Gegenstände!F652</f>
        <v>0</v>
      </c>
    </row>
    <row r="653" spans="1:30" x14ac:dyDescent="0.2">
      <c r="A653" s="3">
        <f>Gegenstände!A653</f>
        <v>1635</v>
      </c>
      <c r="B653" s="3" t="str">
        <f>Gegenstände!B653</f>
        <v>Luft-Lichtstab</v>
      </c>
      <c r="D653" s="3">
        <f>Gegenstände!K653</f>
        <v>1800</v>
      </c>
      <c r="E653" s="3">
        <f>Gegenstände!I653</f>
        <v>4</v>
      </c>
      <c r="F653" s="3">
        <f>VLOOKUP(Gegenstände!E653,Berechnungen!$E$87:$F$115,2,FALSE)</f>
        <v>16</v>
      </c>
      <c r="G653" s="3">
        <f>Gegenstände!H653</f>
        <v>1</v>
      </c>
      <c r="H653" s="3">
        <f>Gegenstände!G653</f>
        <v>13</v>
      </c>
      <c r="I653" s="3">
        <f>Gegenstände!D653</f>
        <v>11</v>
      </c>
      <c r="J653" s="168">
        <f>ROUND(Gegenstände!N653,0)</f>
        <v>8100</v>
      </c>
      <c r="K653" s="3">
        <f>Gegenstände!J653</f>
        <v>100</v>
      </c>
      <c r="L653" s="3">
        <f>Gegenstände!L653</f>
        <v>0</v>
      </c>
      <c r="M653" s="3">
        <f>Gegenstände!Z653</f>
        <v>0</v>
      </c>
      <c r="N653" s="783">
        <f>(Gegenstände!Y653*10)</f>
        <v>0</v>
      </c>
      <c r="O653" s="783">
        <f>(Gegenstände!W653*10)</f>
        <v>0</v>
      </c>
      <c r="P653" s="783">
        <f>Gegenstände!AA653*10</f>
        <v>0</v>
      </c>
      <c r="Q653" s="783">
        <f>Gegenstände!O653</f>
        <v>0</v>
      </c>
      <c r="R653" s="168">
        <f>Gegenstände!S653</f>
        <v>0</v>
      </c>
      <c r="S653" s="168">
        <f>Gegenstände!T653</f>
        <v>0</v>
      </c>
      <c r="T653" s="783">
        <f>Gegenstände!AC653</f>
        <v>44</v>
      </c>
      <c r="U653" s="783">
        <f>Gegenstände!AE653</f>
        <v>0</v>
      </c>
      <c r="V653" s="783">
        <f>Gegenstände!AD653</f>
        <v>0</v>
      </c>
      <c r="W653" s="783">
        <f>Gegenstände!AF653</f>
        <v>22</v>
      </c>
      <c r="AB653" s="3">
        <f>Gegenstände!M653</f>
        <v>3</v>
      </c>
      <c r="AC653" s="3">
        <f>Gegenstände!AB653</f>
        <v>43</v>
      </c>
      <c r="AD653" s="3">
        <f>Gegenstände!F653</f>
        <v>0</v>
      </c>
    </row>
    <row r="654" spans="1:30" x14ac:dyDescent="0.2">
      <c r="A654" s="3">
        <f>Gegenstände!A654</f>
        <v>1636</v>
      </c>
      <c r="B654" s="3" t="str">
        <f>Gegenstände!B654</f>
        <v>Luft-Rute</v>
      </c>
      <c r="D654" s="3">
        <f>Gegenstände!K654</f>
        <v>1600</v>
      </c>
      <c r="E654" s="3">
        <f>Gegenstände!I654</f>
        <v>4</v>
      </c>
      <c r="F654" s="3">
        <f>VLOOKUP(Gegenstände!E654,Berechnungen!$E$87:$F$115,2,FALSE)</f>
        <v>16</v>
      </c>
      <c r="G654" s="3">
        <f>Gegenstände!H654</f>
        <v>1</v>
      </c>
      <c r="H654" s="3">
        <f>Gegenstände!G654</f>
        <v>13</v>
      </c>
      <c r="I654" s="3">
        <f>Gegenstände!D654</f>
        <v>14</v>
      </c>
      <c r="J654" s="168">
        <f>ROUND(Gegenstände!N654,0)</f>
        <v>12300</v>
      </c>
      <c r="K654" s="3">
        <f>Gegenstände!J654</f>
        <v>100</v>
      </c>
      <c r="L654" s="3">
        <f>Gegenstände!L654</f>
        <v>0</v>
      </c>
      <c r="M654" s="3">
        <f>Gegenstände!Z654</f>
        <v>0</v>
      </c>
      <c r="N654" s="783">
        <f>(Gegenstände!Y654*10)</f>
        <v>0</v>
      </c>
      <c r="O654" s="783">
        <f>(Gegenstände!W654*10)</f>
        <v>0</v>
      </c>
      <c r="P654" s="783">
        <f>Gegenstände!AA654*10</f>
        <v>0</v>
      </c>
      <c r="Q654" s="783">
        <f>Gegenstände!O654</f>
        <v>0</v>
      </c>
      <c r="R654" s="168">
        <f>Gegenstände!S654</f>
        <v>0</v>
      </c>
      <c r="S654" s="168">
        <f>Gegenstände!T654</f>
        <v>0</v>
      </c>
      <c r="T654" s="783">
        <f>Gegenstände!AC654</f>
        <v>56</v>
      </c>
      <c r="U654" s="783">
        <f>Gegenstände!AE654</f>
        <v>0</v>
      </c>
      <c r="V654" s="783">
        <f>Gegenstände!AD654</f>
        <v>0</v>
      </c>
      <c r="W654" s="783">
        <f>Gegenstände!AF654</f>
        <v>28</v>
      </c>
      <c r="AB654" s="3">
        <f>Gegenstände!M654</f>
        <v>3</v>
      </c>
      <c r="AC654" s="3">
        <f>Gegenstände!AB654</f>
        <v>43</v>
      </c>
      <c r="AD654" s="3">
        <f>Gegenstände!F654</f>
        <v>0</v>
      </c>
    </row>
    <row r="655" spans="1:30" x14ac:dyDescent="0.2">
      <c r="A655" s="3">
        <f>Gegenstände!A655</f>
        <v>1637</v>
      </c>
      <c r="B655" s="3" t="str">
        <f>Gegenstände!B655</f>
        <v>Luft-Spiralstab</v>
      </c>
      <c r="D655" s="3">
        <f>Gegenstände!K655</f>
        <v>1800</v>
      </c>
      <c r="E655" s="3">
        <f>Gegenstände!I655</f>
        <v>4</v>
      </c>
      <c r="F655" s="3">
        <f>VLOOKUP(Gegenstände!E655,Berechnungen!$E$87:$F$115,2,FALSE)</f>
        <v>16</v>
      </c>
      <c r="G655" s="3">
        <f>Gegenstände!H655</f>
        <v>1</v>
      </c>
      <c r="H655" s="3">
        <f>Gegenstände!G655</f>
        <v>13</v>
      </c>
      <c r="I655" s="3">
        <f>Gegenstände!D655</f>
        <v>16</v>
      </c>
      <c r="J655" s="168">
        <f>ROUND(Gegenstände!N655,0)</f>
        <v>16300</v>
      </c>
      <c r="K655" s="3">
        <f>Gegenstände!J655</f>
        <v>100</v>
      </c>
      <c r="L655" s="3">
        <f>Gegenstände!L655</f>
        <v>0</v>
      </c>
      <c r="M655" s="3">
        <f>Gegenstände!Z655</f>
        <v>0</v>
      </c>
      <c r="N655" s="783">
        <f>(Gegenstände!Y655*10)</f>
        <v>0</v>
      </c>
      <c r="O655" s="783">
        <f>(Gegenstände!W655*10)</f>
        <v>0</v>
      </c>
      <c r="P655" s="783">
        <f>Gegenstände!AA655*10</f>
        <v>0</v>
      </c>
      <c r="Q655" s="783">
        <f>Gegenstände!O655</f>
        <v>0</v>
      </c>
      <c r="R655" s="168">
        <f>Gegenstände!S655</f>
        <v>0</v>
      </c>
      <c r="S655" s="168">
        <f>Gegenstände!T655</f>
        <v>0</v>
      </c>
      <c r="T655" s="783">
        <f>Gegenstände!AC655</f>
        <v>64</v>
      </c>
      <c r="U655" s="783">
        <f>Gegenstände!AE655</f>
        <v>0</v>
      </c>
      <c r="V655" s="783">
        <f>Gegenstände!AD655</f>
        <v>0</v>
      </c>
      <c r="W655" s="783">
        <f>Gegenstände!AF655</f>
        <v>32</v>
      </c>
      <c r="AB655" s="3">
        <f>Gegenstände!M655</f>
        <v>4</v>
      </c>
      <c r="AC655" s="3">
        <f>Gegenstände!AB655</f>
        <v>43</v>
      </c>
      <c r="AD655" s="3">
        <f>Gegenstände!F655</f>
        <v>0</v>
      </c>
    </row>
    <row r="656" spans="1:30" x14ac:dyDescent="0.2">
      <c r="A656" s="3">
        <f>Gegenstände!A656</f>
        <v>1638</v>
      </c>
      <c r="B656" s="3" t="str">
        <f>Gegenstände!B656</f>
        <v>Luft-Eschenstab</v>
      </c>
      <c r="D656" s="3">
        <f>Gegenstände!K656</f>
        <v>1700</v>
      </c>
      <c r="E656" s="3">
        <f>Gegenstände!I656</f>
        <v>4</v>
      </c>
      <c r="F656" s="3">
        <f>VLOOKUP(Gegenstände!E656,Berechnungen!$E$87:$F$115,2,FALSE)</f>
        <v>16</v>
      </c>
      <c r="G656" s="3">
        <f>Gegenstände!H656</f>
        <v>1</v>
      </c>
      <c r="H656" s="3">
        <f>Gegenstände!G656</f>
        <v>13</v>
      </c>
      <c r="I656" s="3">
        <f>Gegenstände!D656</f>
        <v>19</v>
      </c>
      <c r="J656" s="168">
        <f>ROUND(Gegenstände!N656,0)</f>
        <v>24800</v>
      </c>
      <c r="K656" s="3">
        <f>Gegenstände!J656</f>
        <v>100</v>
      </c>
      <c r="L656" s="3">
        <f>Gegenstände!L656</f>
        <v>0</v>
      </c>
      <c r="M656" s="3">
        <f>Gegenstände!Z656</f>
        <v>0</v>
      </c>
      <c r="N656" s="783">
        <f>(Gegenstände!Y656*10)</f>
        <v>0</v>
      </c>
      <c r="O656" s="783">
        <f>(Gegenstände!W656*10)</f>
        <v>0</v>
      </c>
      <c r="P656" s="783">
        <f>Gegenstände!AA656*10</f>
        <v>0</v>
      </c>
      <c r="Q656" s="783">
        <f>Gegenstände!O656</f>
        <v>0</v>
      </c>
      <c r="R656" s="168">
        <f>Gegenstände!S656</f>
        <v>0</v>
      </c>
      <c r="S656" s="168">
        <f>Gegenstände!T656</f>
        <v>0</v>
      </c>
      <c r="T656" s="783">
        <f>Gegenstände!AC656</f>
        <v>76</v>
      </c>
      <c r="U656" s="783">
        <f>Gegenstände!AE656</f>
        <v>0</v>
      </c>
      <c r="V656" s="783">
        <f>Gegenstände!AD656</f>
        <v>0</v>
      </c>
      <c r="W656" s="783">
        <f>Gegenstände!AF656</f>
        <v>38</v>
      </c>
      <c r="AB656" s="3">
        <f>Gegenstände!M656</f>
        <v>4</v>
      </c>
      <c r="AC656" s="3">
        <f>Gegenstände!AB656</f>
        <v>43</v>
      </c>
      <c r="AD656" s="3">
        <f>Gegenstände!F656</f>
        <v>0</v>
      </c>
    </row>
    <row r="657" spans="1:30" x14ac:dyDescent="0.2">
      <c r="A657" s="3">
        <f>Gegenstände!A657</f>
        <v>1639</v>
      </c>
      <c r="B657" s="3" t="str">
        <f>Gegenstände!B657</f>
        <v>Luft-Eibenlanze</v>
      </c>
      <c r="D657" s="3">
        <f>Gegenstände!K657</f>
        <v>1900</v>
      </c>
      <c r="E657" s="3">
        <f>Gegenstände!I657</f>
        <v>4</v>
      </c>
      <c r="F657" s="3">
        <f>VLOOKUP(Gegenstände!E657,Berechnungen!$E$87:$F$115,2,FALSE)</f>
        <v>16</v>
      </c>
      <c r="G657" s="3">
        <f>Gegenstände!H657</f>
        <v>1</v>
      </c>
      <c r="H657" s="3">
        <f>Gegenstände!G657</f>
        <v>13</v>
      </c>
      <c r="I657" s="3">
        <f>Gegenstände!D657</f>
        <v>22</v>
      </c>
      <c r="J657" s="168">
        <f>ROUND(Gegenstände!N657,0)</f>
        <v>37600</v>
      </c>
      <c r="K657" s="3">
        <f>Gegenstände!J657</f>
        <v>100</v>
      </c>
      <c r="L657" s="3">
        <f>Gegenstände!L657</f>
        <v>0</v>
      </c>
      <c r="M657" s="3">
        <f>Gegenstände!Z657</f>
        <v>0</v>
      </c>
      <c r="N657" s="783">
        <f>(Gegenstände!Y657*10)</f>
        <v>0</v>
      </c>
      <c r="O657" s="783">
        <f>(Gegenstände!W657*10)</f>
        <v>0</v>
      </c>
      <c r="P657" s="783">
        <f>Gegenstände!AA657*10</f>
        <v>0</v>
      </c>
      <c r="Q657" s="783">
        <f>Gegenstände!O657</f>
        <v>0</v>
      </c>
      <c r="R657" s="168">
        <f>Gegenstände!S657</f>
        <v>0</v>
      </c>
      <c r="S657" s="168">
        <f>Gegenstände!T657</f>
        <v>0</v>
      </c>
      <c r="T657" s="783">
        <f>Gegenstände!AC657</f>
        <v>88</v>
      </c>
      <c r="U657" s="783">
        <f>Gegenstände!AE657</f>
        <v>0</v>
      </c>
      <c r="V657" s="783">
        <f>Gegenstände!AD657</f>
        <v>0</v>
      </c>
      <c r="W657" s="783">
        <f>Gegenstände!AF657</f>
        <v>44</v>
      </c>
      <c r="AB657" s="3">
        <f>Gegenstände!M657</f>
        <v>5</v>
      </c>
      <c r="AC657" s="3">
        <f>Gegenstände!AB657</f>
        <v>43</v>
      </c>
      <c r="AD657" s="3">
        <f>Gegenstände!F657</f>
        <v>0</v>
      </c>
    </row>
    <row r="658" spans="1:30" x14ac:dyDescent="0.2">
      <c r="A658" s="3">
        <f>Gegenstände!A658</f>
        <v>1640</v>
      </c>
      <c r="B658" s="3" t="str">
        <f>Gegenstände!B658</f>
        <v>Luft-Wächterstab</v>
      </c>
      <c r="D658" s="3">
        <f>Gegenstände!K658</f>
        <v>1800</v>
      </c>
      <c r="E658" s="3">
        <f>Gegenstände!I658</f>
        <v>4</v>
      </c>
      <c r="F658" s="3">
        <f>VLOOKUP(Gegenstände!E658,Berechnungen!$E$87:$F$115,2,FALSE)</f>
        <v>16</v>
      </c>
      <c r="G658" s="3">
        <f>Gegenstände!H658</f>
        <v>1</v>
      </c>
      <c r="H658" s="3">
        <f>Gegenstände!G658</f>
        <v>13</v>
      </c>
      <c r="I658" s="3">
        <f>Gegenstände!D658</f>
        <v>25</v>
      </c>
      <c r="J658" s="168">
        <f>ROUND(Gegenstände!N658,0)</f>
        <v>57300</v>
      </c>
      <c r="K658" s="3">
        <f>Gegenstände!J658</f>
        <v>100</v>
      </c>
      <c r="L658" s="3">
        <f>Gegenstände!L658</f>
        <v>0</v>
      </c>
      <c r="M658" s="3">
        <f>Gegenstände!Z658</f>
        <v>0</v>
      </c>
      <c r="N658" s="783">
        <f>(Gegenstände!Y658*10)</f>
        <v>0</v>
      </c>
      <c r="O658" s="783">
        <f>(Gegenstände!W658*10)</f>
        <v>0</v>
      </c>
      <c r="P658" s="783">
        <f>Gegenstände!AA658*10</f>
        <v>0</v>
      </c>
      <c r="Q658" s="783">
        <f>Gegenstände!O658</f>
        <v>0</v>
      </c>
      <c r="R658" s="168">
        <f>Gegenstände!S658</f>
        <v>0</v>
      </c>
      <c r="S658" s="168">
        <f>Gegenstände!T658</f>
        <v>0</v>
      </c>
      <c r="T658" s="783">
        <f>Gegenstände!AC658</f>
        <v>100</v>
      </c>
      <c r="U658" s="783">
        <f>Gegenstände!AE658</f>
        <v>0</v>
      </c>
      <c r="V658" s="783">
        <f>Gegenstände!AD658</f>
        <v>0</v>
      </c>
      <c r="W658" s="783">
        <f>Gegenstände!AF658</f>
        <v>50</v>
      </c>
      <c r="AB658" s="3">
        <f>Gegenstände!M658</f>
        <v>5</v>
      </c>
      <c r="AC658" s="3">
        <f>Gegenstände!AB658</f>
        <v>43</v>
      </c>
      <c r="AD658" s="3">
        <f>Gegenstände!F658</f>
        <v>0</v>
      </c>
    </row>
    <row r="659" spans="1:30" x14ac:dyDescent="0.2">
      <c r="A659" s="3">
        <f>Gegenstände!A659</f>
        <v>2631</v>
      </c>
      <c r="B659" s="3" t="str">
        <f>Gegenstände!B659</f>
        <v>Pyrit-Luftstab</v>
      </c>
      <c r="D659" s="3">
        <f>Gegenstände!K659</f>
        <v>1700</v>
      </c>
      <c r="E659" s="3">
        <f>Gegenstände!I659</f>
        <v>4</v>
      </c>
      <c r="F659" s="3">
        <f>VLOOKUP(Gegenstände!E659,Berechnungen!$E$87:$F$115,2,FALSE)</f>
        <v>16</v>
      </c>
      <c r="G659" s="3">
        <f>Gegenstände!H659</f>
        <v>2</v>
      </c>
      <c r="H659" s="3">
        <f>Gegenstände!G659</f>
        <v>13</v>
      </c>
      <c r="I659" s="3">
        <f>Gegenstände!D659</f>
        <v>4</v>
      </c>
      <c r="J659" s="168">
        <f>ROUND(Gegenstände!N659,0)</f>
        <v>5500</v>
      </c>
      <c r="K659" s="3">
        <f>Gegenstände!J659</f>
        <v>100</v>
      </c>
      <c r="L659" s="3">
        <f>Gegenstände!L659</f>
        <v>0</v>
      </c>
      <c r="M659" s="3">
        <f>Gegenstände!Z659</f>
        <v>0</v>
      </c>
      <c r="N659" s="783">
        <f>(Gegenstände!Y659*10)</f>
        <v>0</v>
      </c>
      <c r="O659" s="783">
        <f>(Gegenstände!W659*10)</f>
        <v>0</v>
      </c>
      <c r="P659" s="783">
        <f>Gegenstände!AA659*10</f>
        <v>0</v>
      </c>
      <c r="Q659" s="783">
        <f>Gegenstände!O659</f>
        <v>0</v>
      </c>
      <c r="R659" s="168">
        <f>Gegenstände!S659</f>
        <v>0</v>
      </c>
      <c r="S659" s="168">
        <f>Gegenstände!T659</f>
        <v>0</v>
      </c>
      <c r="T659" s="783">
        <f>Gegenstände!AC659</f>
        <v>28</v>
      </c>
      <c r="U659" s="783">
        <f>Gegenstände!AE659</f>
        <v>0</v>
      </c>
      <c r="V659" s="783">
        <f>Gegenstände!AD659</f>
        <v>0</v>
      </c>
      <c r="W659" s="783">
        <f>Gegenstände!AF659</f>
        <v>14</v>
      </c>
      <c r="AB659" s="3">
        <f>Gegenstände!M659</f>
        <v>0</v>
      </c>
      <c r="AC659" s="3">
        <f>Gegenstände!AB659</f>
        <v>43</v>
      </c>
      <c r="AD659" s="3">
        <f>Gegenstände!F659</f>
        <v>0</v>
      </c>
    </row>
    <row r="660" spans="1:30" x14ac:dyDescent="0.2">
      <c r="A660" s="3">
        <f>Gegenstände!A660</f>
        <v>2632</v>
      </c>
      <c r="B660" s="3" t="str">
        <f>Gegenstände!B660</f>
        <v>Jaspis-Luftstab</v>
      </c>
      <c r="D660" s="3">
        <f>Gegenstände!K660</f>
        <v>1800</v>
      </c>
      <c r="E660" s="3">
        <f>Gegenstände!I660</f>
        <v>4</v>
      </c>
      <c r="F660" s="3">
        <f>VLOOKUP(Gegenstände!E660,Berechnungen!$E$87:$F$115,2,FALSE)</f>
        <v>16</v>
      </c>
      <c r="G660" s="3">
        <f>Gegenstände!H660</f>
        <v>2</v>
      </c>
      <c r="H660" s="3">
        <f>Gegenstände!G660</f>
        <v>13</v>
      </c>
      <c r="I660" s="3">
        <f>Gegenstände!D660</f>
        <v>9</v>
      </c>
      <c r="J660" s="168">
        <f>ROUND(Gegenstände!N660,0)</f>
        <v>11100</v>
      </c>
      <c r="K660" s="3">
        <f>Gegenstände!J660</f>
        <v>100</v>
      </c>
      <c r="L660" s="3">
        <f>Gegenstände!L660</f>
        <v>0</v>
      </c>
      <c r="M660" s="3">
        <f>Gegenstände!Z660</f>
        <v>0</v>
      </c>
      <c r="N660" s="783">
        <f>(Gegenstände!Y660*10)</f>
        <v>0</v>
      </c>
      <c r="O660" s="783">
        <f>(Gegenstände!W660*10)</f>
        <v>0</v>
      </c>
      <c r="P660" s="783">
        <f>Gegenstände!AA660*10</f>
        <v>0</v>
      </c>
      <c r="Q660" s="783">
        <f>Gegenstände!O660</f>
        <v>0</v>
      </c>
      <c r="R660" s="168">
        <f>Gegenstände!S660</f>
        <v>0</v>
      </c>
      <c r="S660" s="168">
        <f>Gegenstände!T660</f>
        <v>0</v>
      </c>
      <c r="T660" s="783">
        <f>Gegenstände!AC660</f>
        <v>48</v>
      </c>
      <c r="U660" s="783">
        <f>Gegenstände!AE660</f>
        <v>0</v>
      </c>
      <c r="V660" s="783">
        <f>Gegenstände!AD660</f>
        <v>0</v>
      </c>
      <c r="W660" s="783">
        <f>Gegenstände!AF660</f>
        <v>24</v>
      </c>
      <c r="AB660" s="3">
        <f>Gegenstände!M660</f>
        <v>0</v>
      </c>
      <c r="AC660" s="3">
        <f>Gegenstände!AB660</f>
        <v>43</v>
      </c>
      <c r="AD660" s="3">
        <f>Gegenstände!F660</f>
        <v>0</v>
      </c>
    </row>
    <row r="661" spans="1:30" x14ac:dyDescent="0.2">
      <c r="A661" s="3">
        <f>Gegenstände!A661</f>
        <v>2633</v>
      </c>
      <c r="B661" s="3" t="str">
        <f>Gegenstände!B661</f>
        <v>Perlmutt-Luftstab</v>
      </c>
      <c r="D661" s="3">
        <f>Gegenstände!K661</f>
        <v>2000</v>
      </c>
      <c r="E661" s="3">
        <f>Gegenstände!I661</f>
        <v>4</v>
      </c>
      <c r="F661" s="3">
        <f>VLOOKUP(Gegenstände!E661,Berechnungen!$E$87:$F$115,2,FALSE)</f>
        <v>16</v>
      </c>
      <c r="G661" s="3">
        <f>Gegenstände!H661</f>
        <v>2</v>
      </c>
      <c r="H661" s="3">
        <f>Gegenstände!G661</f>
        <v>13</v>
      </c>
      <c r="I661" s="3">
        <f>Gegenstände!D661</f>
        <v>14</v>
      </c>
      <c r="J661" s="168">
        <f>ROUND(Gegenstände!N661,0)</f>
        <v>22300</v>
      </c>
      <c r="K661" s="3">
        <f>Gegenstände!J661</f>
        <v>100</v>
      </c>
      <c r="L661" s="3">
        <f>Gegenstände!L661</f>
        <v>0</v>
      </c>
      <c r="M661" s="3">
        <f>Gegenstände!Z661</f>
        <v>0</v>
      </c>
      <c r="N661" s="783">
        <f>(Gegenstände!Y661*10)</f>
        <v>0</v>
      </c>
      <c r="O661" s="783">
        <f>(Gegenstände!W661*10)</f>
        <v>0</v>
      </c>
      <c r="P661" s="783">
        <f>Gegenstände!AA661*10</f>
        <v>0</v>
      </c>
      <c r="Q661" s="783">
        <f>Gegenstände!O661</f>
        <v>0</v>
      </c>
      <c r="R661" s="168">
        <f>Gegenstände!S661</f>
        <v>0</v>
      </c>
      <c r="S661" s="168">
        <f>Gegenstände!T661</f>
        <v>0</v>
      </c>
      <c r="T661" s="783">
        <f>Gegenstände!AC661</f>
        <v>68</v>
      </c>
      <c r="U661" s="783">
        <f>Gegenstände!AE661</f>
        <v>0</v>
      </c>
      <c r="V661" s="783">
        <f>Gegenstände!AD661</f>
        <v>0</v>
      </c>
      <c r="W661" s="783">
        <f>Gegenstände!AF661</f>
        <v>34</v>
      </c>
      <c r="AB661" s="3">
        <f>Gegenstände!M661</f>
        <v>0</v>
      </c>
      <c r="AC661" s="3">
        <f>Gegenstände!AB661</f>
        <v>43</v>
      </c>
      <c r="AD661" s="3">
        <f>Gegenstände!F661</f>
        <v>0</v>
      </c>
    </row>
    <row r="662" spans="1:30" x14ac:dyDescent="0.2">
      <c r="A662" s="3">
        <f>Gegenstände!A662</f>
        <v>2634</v>
      </c>
      <c r="B662" s="3" t="str">
        <f>Gegenstände!B662</f>
        <v>Jade-Luftstab</v>
      </c>
      <c r="D662" s="3">
        <f>Gegenstände!K662</f>
        <v>1900</v>
      </c>
      <c r="E662" s="3">
        <f>Gegenstände!I662</f>
        <v>4</v>
      </c>
      <c r="F662" s="3">
        <f>VLOOKUP(Gegenstände!E662,Berechnungen!$E$87:$F$115,2,FALSE)</f>
        <v>16</v>
      </c>
      <c r="G662" s="3">
        <f>Gegenstände!H662</f>
        <v>2</v>
      </c>
      <c r="H662" s="3">
        <f>Gegenstände!G662</f>
        <v>13</v>
      </c>
      <c r="I662" s="3">
        <f>Gegenstände!D662</f>
        <v>19</v>
      </c>
      <c r="J662" s="168">
        <f>ROUND(Gegenstände!N662,0)</f>
        <v>42300</v>
      </c>
      <c r="K662" s="3">
        <f>Gegenstände!J662</f>
        <v>100</v>
      </c>
      <c r="L662" s="3">
        <f>Gegenstände!L662</f>
        <v>0</v>
      </c>
      <c r="M662" s="3">
        <f>Gegenstände!Z662</f>
        <v>0</v>
      </c>
      <c r="N662" s="783">
        <f>(Gegenstände!Y662*10)</f>
        <v>0</v>
      </c>
      <c r="O662" s="783">
        <f>(Gegenstände!W662*10)</f>
        <v>0</v>
      </c>
      <c r="P662" s="783">
        <f>Gegenstände!AA662*10</f>
        <v>0</v>
      </c>
      <c r="Q662" s="783">
        <f>Gegenstände!O662</f>
        <v>0</v>
      </c>
      <c r="R662" s="168">
        <f>Gegenstände!S662</f>
        <v>0</v>
      </c>
      <c r="S662" s="168">
        <f>Gegenstände!T662</f>
        <v>0</v>
      </c>
      <c r="T662" s="783">
        <f>Gegenstände!AC662</f>
        <v>88</v>
      </c>
      <c r="U662" s="783">
        <f>Gegenstände!AE662</f>
        <v>0</v>
      </c>
      <c r="V662" s="783">
        <f>Gegenstände!AD662</f>
        <v>0</v>
      </c>
      <c r="W662" s="783">
        <f>Gegenstände!AF662</f>
        <v>44</v>
      </c>
      <c r="AB662" s="3">
        <f>Gegenstände!M662</f>
        <v>0</v>
      </c>
      <c r="AC662" s="3">
        <f>Gegenstände!AB662</f>
        <v>43</v>
      </c>
      <c r="AD662" s="3">
        <f>Gegenstände!F662</f>
        <v>0</v>
      </c>
    </row>
    <row r="663" spans="1:30" x14ac:dyDescent="0.2">
      <c r="A663" s="3">
        <f>Gegenstände!A663</f>
        <v>2635</v>
      </c>
      <c r="B663" s="3" t="str">
        <f>Gegenstände!B663</f>
        <v>Onyx-Luftstab</v>
      </c>
      <c r="D663" s="3">
        <f>Gegenstände!K663</f>
        <v>1800</v>
      </c>
      <c r="E663" s="3">
        <f>Gegenstände!I663</f>
        <v>4</v>
      </c>
      <c r="F663" s="3">
        <f>VLOOKUP(Gegenstände!E663,Berechnungen!$E$87:$F$115,2,FALSE)</f>
        <v>16</v>
      </c>
      <c r="G663" s="3">
        <f>Gegenstände!H663</f>
        <v>2</v>
      </c>
      <c r="H663" s="3">
        <f>Gegenstände!G663</f>
        <v>13</v>
      </c>
      <c r="I663" s="3">
        <f>Gegenstände!D663</f>
        <v>25</v>
      </c>
      <c r="J663" s="168">
        <f>ROUND(Gegenstände!N663,0)</f>
        <v>82300</v>
      </c>
      <c r="K663" s="3">
        <f>Gegenstände!J663</f>
        <v>100</v>
      </c>
      <c r="L663" s="3">
        <f>Gegenstände!L663</f>
        <v>0</v>
      </c>
      <c r="M663" s="3">
        <f>Gegenstände!Z663</f>
        <v>0</v>
      </c>
      <c r="N663" s="783">
        <f>(Gegenstände!Y663*10)</f>
        <v>0</v>
      </c>
      <c r="O663" s="783">
        <f>(Gegenstände!W663*10)</f>
        <v>0</v>
      </c>
      <c r="P663" s="783">
        <f>Gegenstände!AA663*10</f>
        <v>0</v>
      </c>
      <c r="Q663" s="783">
        <f>Gegenstände!O663</f>
        <v>0</v>
      </c>
      <c r="R663" s="168">
        <f>Gegenstände!S663</f>
        <v>0</v>
      </c>
      <c r="S663" s="168">
        <f>Gegenstände!T663</f>
        <v>0</v>
      </c>
      <c r="T663" s="783">
        <f>Gegenstände!AC663</f>
        <v>112</v>
      </c>
      <c r="U663" s="783">
        <f>Gegenstände!AE663</f>
        <v>0</v>
      </c>
      <c r="V663" s="783">
        <f>Gegenstände!AD663</f>
        <v>0</v>
      </c>
      <c r="W663" s="783">
        <f>Gegenstände!AF663</f>
        <v>56</v>
      </c>
      <c r="AB663" s="3">
        <f>Gegenstände!M663</f>
        <v>0</v>
      </c>
      <c r="AC663" s="3">
        <f>Gegenstände!AB663</f>
        <v>43</v>
      </c>
      <c r="AD663" s="3">
        <f>Gegenstände!F663</f>
        <v>0</v>
      </c>
    </row>
    <row r="664" spans="1:30" x14ac:dyDescent="0.2">
      <c r="A664" s="3">
        <f>Gegenstände!A664</f>
        <v>0</v>
      </c>
      <c r="B664" s="3">
        <f>Gegenstände!B664</f>
        <v>0</v>
      </c>
      <c r="D664" s="3">
        <f>Gegenstände!K664</f>
        <v>0</v>
      </c>
      <c r="E664" s="3">
        <f>Gegenstände!I664</f>
        <v>0</v>
      </c>
      <c r="F664" s="3" t="e">
        <f>VLOOKUP(Gegenstände!E664,Berechnungen!$E$87:$F$115,2,FALSE)</f>
        <v>#N/A</v>
      </c>
      <c r="G664" s="3">
        <f>Gegenstände!H664</f>
        <v>0</v>
      </c>
      <c r="H664" s="3">
        <f>Gegenstände!G664</f>
        <v>0</v>
      </c>
      <c r="I664" s="3">
        <f>Gegenstände!D664</f>
        <v>0</v>
      </c>
      <c r="J664" s="168">
        <f>ROUND(Gegenstände!N664,0)</f>
        <v>0</v>
      </c>
      <c r="K664" s="3">
        <f>Gegenstände!J664</f>
        <v>0</v>
      </c>
      <c r="L664" s="3">
        <f>Gegenstände!L664</f>
        <v>0</v>
      </c>
      <c r="M664" s="3">
        <f>Gegenstände!Z664</f>
        <v>0</v>
      </c>
      <c r="N664" s="783">
        <f>(Gegenstände!Y664*10)</f>
        <v>0</v>
      </c>
      <c r="O664" s="783">
        <f>(Gegenstände!W664*10)</f>
        <v>0</v>
      </c>
      <c r="P664" s="783">
        <f>Gegenstände!AA664*10</f>
        <v>0</v>
      </c>
      <c r="Q664" s="783">
        <f>Gegenstände!O664</f>
        <v>0</v>
      </c>
      <c r="R664" s="168">
        <f>Gegenstände!S664</f>
        <v>0</v>
      </c>
      <c r="S664" s="168">
        <f>Gegenstände!T664</f>
        <v>0</v>
      </c>
      <c r="T664" s="783">
        <f>Gegenstände!AC664</f>
        <v>0</v>
      </c>
      <c r="U664" s="783">
        <f>Gegenstände!AE664</f>
        <v>0</v>
      </c>
      <c r="V664" s="783">
        <f>Gegenstände!AD664</f>
        <v>0</v>
      </c>
      <c r="W664" s="783">
        <f>Gegenstände!AF664</f>
        <v>0</v>
      </c>
      <c r="AB664" s="3">
        <f>Gegenstände!M664</f>
        <v>0</v>
      </c>
      <c r="AC664" s="3">
        <f>Gegenstände!AB664</f>
        <v>0</v>
      </c>
      <c r="AD664" s="3">
        <f>Gegenstände!F664</f>
        <v>0</v>
      </c>
    </row>
    <row r="665" spans="1:30" x14ac:dyDescent="0.2">
      <c r="A665" s="3">
        <f>Gegenstände!A665</f>
        <v>3001</v>
      </c>
      <c r="B665" s="3" t="str">
        <f>Gegenstände!B665</f>
        <v>Sprengstoff I (Plan)</v>
      </c>
      <c r="D665" s="3">
        <f>Gegenstände!K665</f>
        <v>1000</v>
      </c>
      <c r="E665" s="3">
        <f>Gegenstände!I665</f>
        <v>36</v>
      </c>
      <c r="F665" s="3">
        <f>VLOOKUP(Gegenstände!E665,Berechnungen!$E$87:$F$115,2,FALSE)</f>
        <v>35</v>
      </c>
      <c r="G665" s="3">
        <f>Gegenstände!H665</f>
        <v>0</v>
      </c>
      <c r="H665" s="3">
        <f>Gegenstände!G665</f>
        <v>16</v>
      </c>
      <c r="I665" s="3">
        <f>Gegenstände!D665</f>
        <v>5</v>
      </c>
      <c r="J665" s="168">
        <f>ROUND(Gegenstände!N665,0)</f>
        <v>2000</v>
      </c>
      <c r="K665" s="3">
        <f>Gegenstände!J665</f>
        <v>100</v>
      </c>
      <c r="L665" s="3">
        <f>Gegenstände!L665</f>
        <v>1</v>
      </c>
      <c r="M665" s="3">
        <f>Gegenstände!Z665</f>
        <v>0</v>
      </c>
      <c r="N665" s="783">
        <f>(Gegenstände!Y665*10)</f>
        <v>0</v>
      </c>
      <c r="O665" s="783">
        <f>(Gegenstände!W665*10)</f>
        <v>0</v>
      </c>
      <c r="P665" s="783">
        <f>Gegenstände!AA665*10</f>
        <v>0</v>
      </c>
      <c r="Q665" s="783">
        <f>Gegenstände!O665</f>
        <v>0</v>
      </c>
      <c r="R665" s="168">
        <f>Gegenstände!S665</f>
        <v>0</v>
      </c>
      <c r="S665" s="168">
        <f>Gegenstände!T665</f>
        <v>0</v>
      </c>
      <c r="T665" s="783">
        <f>Gegenstände!AC665</f>
        <v>0</v>
      </c>
      <c r="U665" s="783">
        <f>Gegenstände!AE665</f>
        <v>0</v>
      </c>
      <c r="V665" s="783">
        <f>Gegenstände!AD665</f>
        <v>0</v>
      </c>
      <c r="W665" s="783">
        <f>Gegenstände!AF665</f>
        <v>0</v>
      </c>
      <c r="AB665" s="3">
        <f>Gegenstände!M665</f>
        <v>0</v>
      </c>
      <c r="AC665" s="3">
        <f>Gegenstände!AB665</f>
        <v>0</v>
      </c>
      <c r="AD665" s="3">
        <f>Gegenstände!F665</f>
        <v>401</v>
      </c>
    </row>
    <row r="666" spans="1:30" x14ac:dyDescent="0.2">
      <c r="A666" s="3">
        <f>Gegenstände!A666</f>
        <v>3002</v>
      </c>
      <c r="B666" s="3" t="str">
        <f>Gegenstände!B666</f>
        <v>Sprengstoff II (Plan)</v>
      </c>
      <c r="D666" s="3">
        <f>Gegenstände!K666</f>
        <v>1000</v>
      </c>
      <c r="E666" s="3">
        <f>Gegenstände!I666</f>
        <v>36</v>
      </c>
      <c r="F666" s="3">
        <f>VLOOKUP(Gegenstände!E666,Berechnungen!$E$87:$F$115,2,FALSE)</f>
        <v>35</v>
      </c>
      <c r="G666" s="3">
        <f>Gegenstände!H666</f>
        <v>0</v>
      </c>
      <c r="H666" s="3">
        <f>Gegenstände!G666</f>
        <v>16</v>
      </c>
      <c r="I666" s="3">
        <f>Gegenstände!D666</f>
        <v>10</v>
      </c>
      <c r="J666" s="168">
        <f>ROUND(Gegenstände!N666,0)</f>
        <v>5000</v>
      </c>
      <c r="K666" s="3">
        <f>Gegenstände!J666</f>
        <v>100</v>
      </c>
      <c r="L666" s="3">
        <f>Gegenstände!L666</f>
        <v>1</v>
      </c>
      <c r="M666" s="3">
        <f>Gegenstände!Z666</f>
        <v>0</v>
      </c>
      <c r="N666" s="783">
        <f>(Gegenstände!Y666*10)</f>
        <v>0</v>
      </c>
      <c r="O666" s="783">
        <f>(Gegenstände!W666*10)</f>
        <v>0</v>
      </c>
      <c r="P666" s="783">
        <f>Gegenstände!AA666*10</f>
        <v>0</v>
      </c>
      <c r="Q666" s="783">
        <f>Gegenstände!O666</f>
        <v>0</v>
      </c>
      <c r="R666" s="168">
        <f>Gegenstände!S666</f>
        <v>0</v>
      </c>
      <c r="S666" s="168">
        <f>Gegenstände!T666</f>
        <v>0</v>
      </c>
      <c r="T666" s="783">
        <f>Gegenstände!AC666</f>
        <v>0</v>
      </c>
      <c r="U666" s="783">
        <f>Gegenstände!AE666</f>
        <v>0</v>
      </c>
      <c r="V666" s="783">
        <f>Gegenstände!AD666</f>
        <v>0</v>
      </c>
      <c r="W666" s="783">
        <f>Gegenstände!AF666</f>
        <v>0</v>
      </c>
      <c r="AB666" s="3">
        <f>Gegenstände!M666</f>
        <v>0</v>
      </c>
      <c r="AC666" s="3">
        <f>Gegenstände!AB666</f>
        <v>0</v>
      </c>
      <c r="AD666" s="3">
        <f>Gegenstände!F666</f>
        <v>402</v>
      </c>
    </row>
    <row r="667" spans="1:30" x14ac:dyDescent="0.2">
      <c r="A667" s="3">
        <f>Gegenstände!A667</f>
        <v>3003</v>
      </c>
      <c r="B667" s="3" t="str">
        <f>Gegenstände!B667</f>
        <v>Sprengstoff III (Plan)</v>
      </c>
      <c r="D667" s="3">
        <f>Gegenstände!K667</f>
        <v>1000</v>
      </c>
      <c r="E667" s="3">
        <f>Gegenstände!I667</f>
        <v>36</v>
      </c>
      <c r="F667" s="3">
        <f>VLOOKUP(Gegenstände!E667,Berechnungen!$E$87:$F$115,2,FALSE)</f>
        <v>35</v>
      </c>
      <c r="G667" s="3">
        <f>Gegenstände!H667</f>
        <v>0</v>
      </c>
      <c r="H667" s="3">
        <f>Gegenstände!G667</f>
        <v>16</v>
      </c>
      <c r="I667" s="3">
        <f>Gegenstände!D667</f>
        <v>15</v>
      </c>
      <c r="J667" s="168">
        <f>ROUND(Gegenstände!N667,0)</f>
        <v>10000</v>
      </c>
      <c r="K667" s="3">
        <f>Gegenstände!J667</f>
        <v>100</v>
      </c>
      <c r="L667" s="3">
        <f>Gegenstände!L667</f>
        <v>1</v>
      </c>
      <c r="M667" s="3">
        <f>Gegenstände!Z667</f>
        <v>0</v>
      </c>
      <c r="N667" s="783">
        <f>(Gegenstände!Y667*10)</f>
        <v>0</v>
      </c>
      <c r="O667" s="783">
        <f>(Gegenstände!W667*10)</f>
        <v>0</v>
      </c>
      <c r="P667" s="783">
        <f>Gegenstände!AA667*10</f>
        <v>0</v>
      </c>
      <c r="Q667" s="783">
        <f>Gegenstände!O667</f>
        <v>0</v>
      </c>
      <c r="R667" s="168">
        <f>Gegenstände!S667</f>
        <v>0</v>
      </c>
      <c r="S667" s="168">
        <f>Gegenstände!T667</f>
        <v>0</v>
      </c>
      <c r="T667" s="783">
        <f>Gegenstände!AC667</f>
        <v>0</v>
      </c>
      <c r="U667" s="783">
        <f>Gegenstände!AE667</f>
        <v>0</v>
      </c>
      <c r="V667" s="783">
        <f>Gegenstände!AD667</f>
        <v>0</v>
      </c>
      <c r="W667" s="783">
        <f>Gegenstände!AF667</f>
        <v>0</v>
      </c>
      <c r="AB667" s="3">
        <f>Gegenstände!M667</f>
        <v>0</v>
      </c>
      <c r="AC667" s="3">
        <f>Gegenstände!AB667</f>
        <v>0</v>
      </c>
      <c r="AD667" s="3">
        <f>Gegenstände!F667</f>
        <v>403</v>
      </c>
    </row>
    <row r="668" spans="1:30" x14ac:dyDescent="0.2">
      <c r="A668" s="3">
        <f>Gegenstände!A668</f>
        <v>3004</v>
      </c>
      <c r="B668" s="3" t="str">
        <f>Gegenstände!B668</f>
        <v>Sprengstoff IV (Plan)</v>
      </c>
      <c r="D668" s="3">
        <f>Gegenstände!K668</f>
        <v>1000</v>
      </c>
      <c r="E668" s="3">
        <f>Gegenstände!I668</f>
        <v>36</v>
      </c>
      <c r="F668" s="3">
        <f>VLOOKUP(Gegenstände!E668,Berechnungen!$E$87:$F$115,2,FALSE)</f>
        <v>35</v>
      </c>
      <c r="G668" s="3">
        <f>Gegenstände!H668</f>
        <v>0</v>
      </c>
      <c r="H668" s="3">
        <f>Gegenstände!G668</f>
        <v>16</v>
      </c>
      <c r="I668" s="3">
        <f>Gegenstände!D668</f>
        <v>20</v>
      </c>
      <c r="J668" s="168">
        <f>ROUND(Gegenstände!N668,0)</f>
        <v>25000</v>
      </c>
      <c r="K668" s="3">
        <f>Gegenstände!J668</f>
        <v>100</v>
      </c>
      <c r="L668" s="3">
        <f>Gegenstände!L668</f>
        <v>1</v>
      </c>
      <c r="M668" s="3">
        <f>Gegenstände!Z668</f>
        <v>0</v>
      </c>
      <c r="N668" s="783">
        <f>(Gegenstände!Y668*10)</f>
        <v>0</v>
      </c>
      <c r="O668" s="783">
        <f>(Gegenstände!W668*10)</f>
        <v>0</v>
      </c>
      <c r="P668" s="783">
        <f>Gegenstände!AA668*10</f>
        <v>0</v>
      </c>
      <c r="Q668" s="783">
        <f>Gegenstände!O668</f>
        <v>0</v>
      </c>
      <c r="R668" s="168">
        <f>Gegenstände!S668</f>
        <v>0</v>
      </c>
      <c r="S668" s="168">
        <f>Gegenstände!T668</f>
        <v>0</v>
      </c>
      <c r="T668" s="783">
        <f>Gegenstände!AC668</f>
        <v>0</v>
      </c>
      <c r="U668" s="783">
        <f>Gegenstände!AE668</f>
        <v>0</v>
      </c>
      <c r="V668" s="783">
        <f>Gegenstände!AD668</f>
        <v>0</v>
      </c>
      <c r="W668" s="783">
        <f>Gegenstände!AF668</f>
        <v>0</v>
      </c>
      <c r="AB668" s="3">
        <f>Gegenstände!M668</f>
        <v>0</v>
      </c>
      <c r="AC668" s="3">
        <f>Gegenstände!AB668</f>
        <v>0</v>
      </c>
      <c r="AD668" s="3">
        <f>Gegenstände!F668</f>
        <v>404</v>
      </c>
    </row>
    <row r="669" spans="1:30" x14ac:dyDescent="0.2">
      <c r="A669" s="3">
        <f>Gegenstände!A669</f>
        <v>3005</v>
      </c>
      <c r="B669" s="3" t="str">
        <f>Gegenstände!B669</f>
        <v>Sprengstoff V (Plan)</v>
      </c>
      <c r="D669" s="3">
        <f>Gegenstände!K669</f>
        <v>1000</v>
      </c>
      <c r="E669" s="3">
        <f>Gegenstände!I669</f>
        <v>36</v>
      </c>
      <c r="F669" s="3">
        <f>VLOOKUP(Gegenstände!E669,Berechnungen!$E$87:$F$115,2,FALSE)</f>
        <v>35</v>
      </c>
      <c r="G669" s="3">
        <f>Gegenstände!H669</f>
        <v>0</v>
      </c>
      <c r="H669" s="3">
        <f>Gegenstände!G669</f>
        <v>16</v>
      </c>
      <c r="I669" s="3">
        <f>Gegenstände!D669</f>
        <v>25</v>
      </c>
      <c r="J669" s="168">
        <f>ROUND(Gegenstände!N669,0)</f>
        <v>50000</v>
      </c>
      <c r="K669" s="3">
        <f>Gegenstände!J669</f>
        <v>100</v>
      </c>
      <c r="L669" s="3">
        <f>Gegenstände!L669</f>
        <v>1</v>
      </c>
      <c r="M669" s="3">
        <f>Gegenstände!Z669</f>
        <v>0</v>
      </c>
      <c r="N669" s="783">
        <f>(Gegenstände!Y669*10)</f>
        <v>0</v>
      </c>
      <c r="O669" s="783">
        <f>(Gegenstände!W669*10)</f>
        <v>0</v>
      </c>
      <c r="P669" s="783">
        <f>Gegenstände!AA669*10</f>
        <v>0</v>
      </c>
      <c r="Q669" s="783">
        <f>Gegenstände!O669</f>
        <v>0</v>
      </c>
      <c r="R669" s="168">
        <f>Gegenstände!S669</f>
        <v>0</v>
      </c>
      <c r="S669" s="168">
        <f>Gegenstände!T669</f>
        <v>0</v>
      </c>
      <c r="T669" s="783">
        <f>Gegenstände!AC669</f>
        <v>0</v>
      </c>
      <c r="U669" s="783">
        <f>Gegenstände!AE669</f>
        <v>0</v>
      </c>
      <c r="V669" s="783">
        <f>Gegenstände!AD669</f>
        <v>0</v>
      </c>
      <c r="W669" s="783">
        <f>Gegenstände!AF669</f>
        <v>0</v>
      </c>
      <c r="AB669" s="3">
        <f>Gegenstände!M669</f>
        <v>0</v>
      </c>
      <c r="AC669" s="3">
        <f>Gegenstände!AB669</f>
        <v>0</v>
      </c>
      <c r="AD669" s="3">
        <f>Gegenstände!F669</f>
        <v>405</v>
      </c>
    </row>
    <row r="670" spans="1:30" x14ac:dyDescent="0.2">
      <c r="A670" s="3">
        <f>Gegenstände!A670</f>
        <v>0</v>
      </c>
      <c r="B670" s="3">
        <f>Gegenstände!B670</f>
        <v>0</v>
      </c>
      <c r="D670" s="3">
        <f>Gegenstände!K670</f>
        <v>0</v>
      </c>
      <c r="E670" s="3">
        <f>Gegenstände!I670</f>
        <v>0</v>
      </c>
      <c r="F670" s="3" t="e">
        <f>VLOOKUP(Gegenstände!E670,Berechnungen!$E$87:$F$115,2,FALSE)</f>
        <v>#N/A</v>
      </c>
      <c r="G670" s="3">
        <f>Gegenstände!H670</f>
        <v>0</v>
      </c>
      <c r="H670" s="3">
        <f>Gegenstände!G670</f>
        <v>0</v>
      </c>
      <c r="I670" s="3">
        <f>Gegenstände!D670</f>
        <v>0</v>
      </c>
      <c r="J670" s="168">
        <f>ROUND(Gegenstände!N670,0)</f>
        <v>0</v>
      </c>
      <c r="K670" s="3">
        <f>Gegenstände!J670</f>
        <v>0</v>
      </c>
      <c r="L670" s="3">
        <f>Gegenstände!L670</f>
        <v>0</v>
      </c>
      <c r="M670" s="3">
        <f>Gegenstände!Z670</f>
        <v>0</v>
      </c>
      <c r="N670" s="783">
        <f>(Gegenstände!Y670*10)</f>
        <v>0</v>
      </c>
      <c r="O670" s="783">
        <f>(Gegenstände!W670*10)</f>
        <v>0</v>
      </c>
      <c r="P670" s="783">
        <f>Gegenstände!AA670*10</f>
        <v>0</v>
      </c>
      <c r="Q670" s="783">
        <f>Gegenstände!O670</f>
        <v>0</v>
      </c>
      <c r="R670" s="168">
        <f>Gegenstände!S670</f>
        <v>0</v>
      </c>
      <c r="S670" s="168">
        <f>Gegenstände!T670</f>
        <v>0</v>
      </c>
      <c r="T670" s="783">
        <f>Gegenstände!AC670</f>
        <v>0</v>
      </c>
      <c r="U670" s="783">
        <f>Gegenstände!AE670</f>
        <v>0</v>
      </c>
      <c r="V670" s="783">
        <f>Gegenstände!AD670</f>
        <v>0</v>
      </c>
      <c r="W670" s="783">
        <f>Gegenstände!AF670</f>
        <v>0</v>
      </c>
      <c r="AB670" s="3">
        <f>Gegenstände!M670</f>
        <v>0</v>
      </c>
      <c r="AC670" s="3">
        <f>Gegenstände!AB670</f>
        <v>0</v>
      </c>
      <c r="AD670" s="3">
        <f>Gegenstände!F670</f>
        <v>0</v>
      </c>
    </row>
    <row r="671" spans="1:30" x14ac:dyDescent="0.2">
      <c r="A671" s="3">
        <f>Gegenstände!A671</f>
        <v>3011</v>
      </c>
      <c r="B671" s="3" t="str">
        <f>Gegenstände!B671</f>
        <v>Dietrich I (Plan)</v>
      </c>
      <c r="D671" s="3">
        <f>Gegenstände!K671</f>
        <v>1000</v>
      </c>
      <c r="E671" s="3">
        <f>Gegenstände!I671</f>
        <v>37</v>
      </c>
      <c r="F671" s="3">
        <f>VLOOKUP(Gegenstände!E671,Berechnungen!$E$87:$F$115,2,FALSE)</f>
        <v>35</v>
      </c>
      <c r="G671" s="3">
        <f>Gegenstände!H671</f>
        <v>0</v>
      </c>
      <c r="H671" s="3">
        <f>Gegenstände!G671</f>
        <v>15</v>
      </c>
      <c r="I671" s="3">
        <f>Gegenstände!D671</f>
        <v>5</v>
      </c>
      <c r="J671" s="168">
        <f>ROUND(Gegenstände!N671,0)</f>
        <v>2000</v>
      </c>
      <c r="K671" s="3">
        <f>Gegenstände!J671</f>
        <v>100</v>
      </c>
      <c r="L671" s="3">
        <f>Gegenstände!L671</f>
        <v>1</v>
      </c>
      <c r="M671" s="3">
        <f>Gegenstände!Z671</f>
        <v>0</v>
      </c>
      <c r="N671" s="783">
        <f>(Gegenstände!Y671*10)</f>
        <v>0</v>
      </c>
      <c r="O671" s="783">
        <f>(Gegenstände!W671*10)</f>
        <v>0</v>
      </c>
      <c r="P671" s="783">
        <f>Gegenstände!AA671*10</f>
        <v>0</v>
      </c>
      <c r="Q671" s="783">
        <f>Gegenstände!O671</f>
        <v>0</v>
      </c>
      <c r="R671" s="168">
        <f>Gegenstände!S671</f>
        <v>0</v>
      </c>
      <c r="S671" s="168">
        <f>Gegenstände!T671</f>
        <v>0</v>
      </c>
      <c r="T671" s="783">
        <f>Gegenstände!AC671</f>
        <v>0</v>
      </c>
      <c r="U671" s="783">
        <f>Gegenstände!AE671</f>
        <v>0</v>
      </c>
      <c r="V671" s="783">
        <f>Gegenstände!AD671</f>
        <v>0</v>
      </c>
      <c r="W671" s="783">
        <f>Gegenstände!AF671</f>
        <v>0</v>
      </c>
      <c r="AB671" s="3">
        <f>Gegenstände!M671</f>
        <v>0</v>
      </c>
      <c r="AC671" s="3">
        <f>Gegenstände!AB671</f>
        <v>0</v>
      </c>
      <c r="AD671" s="3">
        <f>Gegenstände!F671</f>
        <v>411</v>
      </c>
    </row>
    <row r="672" spans="1:30" x14ac:dyDescent="0.2">
      <c r="A672" s="3">
        <f>Gegenstände!A672</f>
        <v>3012</v>
      </c>
      <c r="B672" s="3" t="str">
        <f>Gegenstände!B672</f>
        <v>Dietrich II (Plan)</v>
      </c>
      <c r="D672" s="3">
        <f>Gegenstände!K672</f>
        <v>1000</v>
      </c>
      <c r="E672" s="3">
        <f>Gegenstände!I672</f>
        <v>37</v>
      </c>
      <c r="F672" s="3">
        <f>VLOOKUP(Gegenstände!E672,Berechnungen!$E$87:$F$115,2,FALSE)</f>
        <v>35</v>
      </c>
      <c r="G672" s="3">
        <f>Gegenstände!H672</f>
        <v>0</v>
      </c>
      <c r="H672" s="3">
        <f>Gegenstände!G672</f>
        <v>15</v>
      </c>
      <c r="I672" s="3">
        <f>Gegenstände!D672</f>
        <v>10</v>
      </c>
      <c r="J672" s="168">
        <f>ROUND(Gegenstände!N672,0)</f>
        <v>5000</v>
      </c>
      <c r="K672" s="3">
        <f>Gegenstände!J672</f>
        <v>100</v>
      </c>
      <c r="L672" s="3">
        <f>Gegenstände!L672</f>
        <v>1</v>
      </c>
      <c r="M672" s="3">
        <f>Gegenstände!Z672</f>
        <v>0</v>
      </c>
      <c r="N672" s="783">
        <f>(Gegenstände!Y672*10)</f>
        <v>0</v>
      </c>
      <c r="O672" s="783">
        <f>(Gegenstände!W672*10)</f>
        <v>0</v>
      </c>
      <c r="P672" s="783">
        <f>Gegenstände!AA672*10</f>
        <v>0</v>
      </c>
      <c r="Q672" s="783">
        <f>Gegenstände!O672</f>
        <v>0</v>
      </c>
      <c r="R672" s="168">
        <f>Gegenstände!S672</f>
        <v>0</v>
      </c>
      <c r="S672" s="168">
        <f>Gegenstände!T672</f>
        <v>0</v>
      </c>
      <c r="T672" s="783">
        <f>Gegenstände!AC672</f>
        <v>0</v>
      </c>
      <c r="U672" s="783">
        <f>Gegenstände!AE672</f>
        <v>0</v>
      </c>
      <c r="V672" s="783">
        <f>Gegenstände!AD672</f>
        <v>0</v>
      </c>
      <c r="W672" s="783">
        <f>Gegenstände!AF672</f>
        <v>0</v>
      </c>
      <c r="AB672" s="3">
        <f>Gegenstände!M672</f>
        <v>0</v>
      </c>
      <c r="AC672" s="3">
        <f>Gegenstände!AB672</f>
        <v>0</v>
      </c>
      <c r="AD672" s="3">
        <f>Gegenstände!F672</f>
        <v>412</v>
      </c>
    </row>
    <row r="673" spans="1:30" x14ac:dyDescent="0.2">
      <c r="A673" s="3">
        <f>Gegenstände!A673</f>
        <v>3013</v>
      </c>
      <c r="B673" s="3" t="str">
        <f>Gegenstände!B673</f>
        <v>Dietrich III (Plan)</v>
      </c>
      <c r="D673" s="3">
        <f>Gegenstände!K673</f>
        <v>1000</v>
      </c>
      <c r="E673" s="3">
        <f>Gegenstände!I673</f>
        <v>37</v>
      </c>
      <c r="F673" s="3">
        <f>VLOOKUP(Gegenstände!E673,Berechnungen!$E$87:$F$115,2,FALSE)</f>
        <v>35</v>
      </c>
      <c r="G673" s="3">
        <f>Gegenstände!H673</f>
        <v>0</v>
      </c>
      <c r="H673" s="3">
        <f>Gegenstände!G673</f>
        <v>15</v>
      </c>
      <c r="I673" s="3">
        <f>Gegenstände!D673</f>
        <v>15</v>
      </c>
      <c r="J673" s="168">
        <f>ROUND(Gegenstände!N673,0)</f>
        <v>10000</v>
      </c>
      <c r="K673" s="3">
        <f>Gegenstände!J673</f>
        <v>100</v>
      </c>
      <c r="L673" s="3">
        <f>Gegenstände!L673</f>
        <v>1</v>
      </c>
      <c r="M673" s="3">
        <f>Gegenstände!Z673</f>
        <v>0</v>
      </c>
      <c r="N673" s="783">
        <f>(Gegenstände!Y673*10)</f>
        <v>0</v>
      </c>
      <c r="O673" s="783">
        <f>(Gegenstände!W673*10)</f>
        <v>0</v>
      </c>
      <c r="P673" s="783">
        <f>Gegenstände!AA673*10</f>
        <v>0</v>
      </c>
      <c r="Q673" s="783">
        <f>Gegenstände!O673</f>
        <v>0</v>
      </c>
      <c r="R673" s="168">
        <f>Gegenstände!S673</f>
        <v>0</v>
      </c>
      <c r="S673" s="168">
        <f>Gegenstände!T673</f>
        <v>0</v>
      </c>
      <c r="T673" s="783">
        <f>Gegenstände!AC673</f>
        <v>0</v>
      </c>
      <c r="U673" s="783">
        <f>Gegenstände!AE673</f>
        <v>0</v>
      </c>
      <c r="V673" s="783">
        <f>Gegenstände!AD673</f>
        <v>0</v>
      </c>
      <c r="W673" s="783">
        <f>Gegenstände!AF673</f>
        <v>0</v>
      </c>
      <c r="AB673" s="3">
        <f>Gegenstände!M673</f>
        <v>0</v>
      </c>
      <c r="AC673" s="3">
        <f>Gegenstände!AB673</f>
        <v>0</v>
      </c>
      <c r="AD673" s="3">
        <f>Gegenstände!F673</f>
        <v>413</v>
      </c>
    </row>
    <row r="674" spans="1:30" x14ac:dyDescent="0.2">
      <c r="A674" s="3">
        <f>Gegenstände!A674</f>
        <v>3014</v>
      </c>
      <c r="B674" s="3" t="str">
        <f>Gegenstände!B674</f>
        <v>Dietrich IV (Plan)</v>
      </c>
      <c r="D674" s="3">
        <f>Gegenstände!K674</f>
        <v>1000</v>
      </c>
      <c r="E674" s="3">
        <f>Gegenstände!I674</f>
        <v>37</v>
      </c>
      <c r="F674" s="3">
        <f>VLOOKUP(Gegenstände!E674,Berechnungen!$E$87:$F$115,2,FALSE)</f>
        <v>35</v>
      </c>
      <c r="G674" s="3">
        <f>Gegenstände!H674</f>
        <v>0</v>
      </c>
      <c r="H674" s="3">
        <f>Gegenstände!G674</f>
        <v>15</v>
      </c>
      <c r="I674" s="3">
        <f>Gegenstände!D674</f>
        <v>20</v>
      </c>
      <c r="J674" s="168">
        <f>ROUND(Gegenstände!N674,0)</f>
        <v>25000</v>
      </c>
      <c r="K674" s="3">
        <f>Gegenstände!J674</f>
        <v>100</v>
      </c>
      <c r="L674" s="3">
        <f>Gegenstände!L674</f>
        <v>1</v>
      </c>
      <c r="M674" s="3">
        <f>Gegenstände!Z674</f>
        <v>0</v>
      </c>
      <c r="N674" s="783">
        <f>(Gegenstände!Y674*10)</f>
        <v>0</v>
      </c>
      <c r="O674" s="783">
        <f>(Gegenstände!W674*10)</f>
        <v>0</v>
      </c>
      <c r="P674" s="783">
        <f>Gegenstände!AA674*10</f>
        <v>0</v>
      </c>
      <c r="Q674" s="783">
        <f>Gegenstände!O674</f>
        <v>0</v>
      </c>
      <c r="R674" s="168">
        <f>Gegenstände!S674</f>
        <v>0</v>
      </c>
      <c r="S674" s="168">
        <f>Gegenstände!T674</f>
        <v>0</v>
      </c>
      <c r="T674" s="783">
        <f>Gegenstände!AC674</f>
        <v>0</v>
      </c>
      <c r="U674" s="783">
        <f>Gegenstände!AE674</f>
        <v>0</v>
      </c>
      <c r="V674" s="783">
        <f>Gegenstände!AD674</f>
        <v>0</v>
      </c>
      <c r="W674" s="783">
        <f>Gegenstände!AF674</f>
        <v>0</v>
      </c>
      <c r="AB674" s="3">
        <f>Gegenstände!M674</f>
        <v>0</v>
      </c>
      <c r="AC674" s="3">
        <f>Gegenstände!AB674</f>
        <v>0</v>
      </c>
      <c r="AD674" s="3">
        <f>Gegenstände!F674</f>
        <v>414</v>
      </c>
    </row>
    <row r="675" spans="1:30" x14ac:dyDescent="0.2">
      <c r="A675" s="3">
        <f>Gegenstände!A675</f>
        <v>3015</v>
      </c>
      <c r="B675" s="3" t="str">
        <f>Gegenstände!B675</f>
        <v>Dietrich V (Plan)</v>
      </c>
      <c r="D675" s="3">
        <f>Gegenstände!K675</f>
        <v>1000</v>
      </c>
      <c r="E675" s="3">
        <f>Gegenstände!I675</f>
        <v>37</v>
      </c>
      <c r="F675" s="3">
        <f>VLOOKUP(Gegenstände!E675,Berechnungen!$E$87:$F$115,2,FALSE)</f>
        <v>35</v>
      </c>
      <c r="G675" s="3">
        <f>Gegenstände!H675</f>
        <v>0</v>
      </c>
      <c r="H675" s="3">
        <f>Gegenstände!G675</f>
        <v>15</v>
      </c>
      <c r="I675" s="3">
        <f>Gegenstände!D675</f>
        <v>25</v>
      </c>
      <c r="J675" s="168">
        <f>ROUND(Gegenstände!N675,0)</f>
        <v>50000</v>
      </c>
      <c r="K675" s="3">
        <f>Gegenstände!J675</f>
        <v>100</v>
      </c>
      <c r="L675" s="3">
        <f>Gegenstände!L675</f>
        <v>1</v>
      </c>
      <c r="M675" s="3">
        <f>Gegenstände!Z675</f>
        <v>0</v>
      </c>
      <c r="N675" s="783">
        <f>(Gegenstände!Y675*10)</f>
        <v>0</v>
      </c>
      <c r="O675" s="783">
        <f>(Gegenstände!W675*10)</f>
        <v>0</v>
      </c>
      <c r="P675" s="783">
        <f>Gegenstände!AA675*10</f>
        <v>0</v>
      </c>
      <c r="Q675" s="783">
        <f>Gegenstände!O675</f>
        <v>0</v>
      </c>
      <c r="R675" s="168">
        <f>Gegenstände!S675</f>
        <v>0</v>
      </c>
      <c r="S675" s="168">
        <f>Gegenstände!T675</f>
        <v>0</v>
      </c>
      <c r="T675" s="783">
        <f>Gegenstände!AC675</f>
        <v>0</v>
      </c>
      <c r="U675" s="783">
        <f>Gegenstände!AE675</f>
        <v>0</v>
      </c>
      <c r="V675" s="783">
        <f>Gegenstände!AD675</f>
        <v>0</v>
      </c>
      <c r="W675" s="783">
        <f>Gegenstände!AF675</f>
        <v>0</v>
      </c>
      <c r="AB675" s="3">
        <f>Gegenstände!M675</f>
        <v>0</v>
      </c>
      <c r="AC675" s="3">
        <f>Gegenstände!AB675</f>
        <v>0</v>
      </c>
      <c r="AD675" s="3">
        <f>Gegenstände!F675</f>
        <v>415</v>
      </c>
    </row>
    <row r="676" spans="1:30" x14ac:dyDescent="0.2">
      <c r="A676" s="3">
        <f>Gegenstände!A676</f>
        <v>0</v>
      </c>
      <c r="B676" s="3">
        <f>Gegenstände!B676</f>
        <v>0</v>
      </c>
      <c r="D676" s="3">
        <f>Gegenstände!K676</f>
        <v>0</v>
      </c>
      <c r="E676" s="3">
        <f>Gegenstände!I676</f>
        <v>0</v>
      </c>
      <c r="F676" s="3" t="e">
        <f>VLOOKUP(Gegenstände!E676,Berechnungen!$E$87:$F$115,2,FALSE)</f>
        <v>#N/A</v>
      </c>
      <c r="G676" s="3">
        <f>Gegenstände!H676</f>
        <v>0</v>
      </c>
      <c r="H676" s="3">
        <f>Gegenstände!G676</f>
        <v>0</v>
      </c>
      <c r="I676" s="3">
        <f>Gegenstände!D676</f>
        <v>0</v>
      </c>
      <c r="J676" s="168">
        <f>ROUND(Gegenstände!N676,0)</f>
        <v>0</v>
      </c>
      <c r="K676" s="3">
        <f>Gegenstände!J676</f>
        <v>0</v>
      </c>
      <c r="L676" s="3">
        <f>Gegenstände!L676</f>
        <v>0</v>
      </c>
      <c r="M676" s="3">
        <f>Gegenstände!Z676</f>
        <v>0</v>
      </c>
      <c r="N676" s="783">
        <f>(Gegenstände!Y676*10)</f>
        <v>0</v>
      </c>
      <c r="O676" s="783">
        <f>(Gegenstände!W676*10)</f>
        <v>0</v>
      </c>
      <c r="P676" s="783">
        <f>Gegenstände!AA676*10</f>
        <v>0</v>
      </c>
      <c r="Q676" s="783">
        <f>Gegenstände!O676</f>
        <v>0</v>
      </c>
      <c r="R676" s="168">
        <f>Gegenstände!S676</f>
        <v>0</v>
      </c>
      <c r="S676" s="168">
        <f>Gegenstände!T676</f>
        <v>0</v>
      </c>
      <c r="T676" s="783">
        <f>Gegenstände!AC676</f>
        <v>0</v>
      </c>
      <c r="U676" s="783">
        <f>Gegenstände!AE676</f>
        <v>0</v>
      </c>
      <c r="V676" s="783">
        <f>Gegenstände!AD676</f>
        <v>0</v>
      </c>
      <c r="W676" s="783">
        <f>Gegenstände!AF676</f>
        <v>0</v>
      </c>
      <c r="AB676" s="3">
        <f>Gegenstände!M676</f>
        <v>0</v>
      </c>
      <c r="AC676" s="3">
        <f>Gegenstände!AB676</f>
        <v>0</v>
      </c>
      <c r="AD676" s="3">
        <f>Gegenstände!F676</f>
        <v>0</v>
      </c>
    </row>
    <row r="677" spans="1:30" x14ac:dyDescent="0.2">
      <c r="A677" s="3">
        <f>Gegenstände!A677</f>
        <v>3101</v>
      </c>
      <c r="B677" s="3" t="str">
        <f>Gegenstände!B677</f>
        <v>Kristall-Schwert (Plan)</v>
      </c>
      <c r="D677" s="3">
        <f>Gegenstände!K677</f>
        <v>1000</v>
      </c>
      <c r="E677" s="3">
        <f>Gegenstände!I677</f>
        <v>35</v>
      </c>
      <c r="F677" s="3">
        <f>VLOOKUP(Gegenstände!E677,Berechnungen!$E$87:$F$115,2,FALSE)</f>
        <v>35</v>
      </c>
      <c r="G677" s="3">
        <f>Gegenstände!H677</f>
        <v>2</v>
      </c>
      <c r="H677" s="3">
        <f>Gegenstände!G677</f>
        <v>56</v>
      </c>
      <c r="I677" s="3">
        <f>Gegenstände!D677</f>
        <v>3</v>
      </c>
      <c r="J677" s="168">
        <f>ROUND(Gegenstände!N677,0)</f>
        <v>2800</v>
      </c>
      <c r="K677" s="3">
        <f>Gegenstände!J677</f>
        <v>100</v>
      </c>
      <c r="L677" s="3">
        <f>Gegenstände!L677</f>
        <v>1</v>
      </c>
      <c r="M677" s="3">
        <f>Gegenstände!Z677</f>
        <v>0</v>
      </c>
      <c r="N677" s="783">
        <f>(Gegenstände!Y677*10)</f>
        <v>0</v>
      </c>
      <c r="O677" s="783">
        <f>(Gegenstände!W677*10)</f>
        <v>0</v>
      </c>
      <c r="P677" s="783">
        <f>Gegenstände!AA677*10</f>
        <v>0</v>
      </c>
      <c r="Q677" s="783">
        <f>Gegenstände!O677</f>
        <v>0</v>
      </c>
      <c r="R677" s="168">
        <f>Gegenstände!S677</f>
        <v>0</v>
      </c>
      <c r="S677" s="168">
        <f>Gegenstände!T677</f>
        <v>0</v>
      </c>
      <c r="T677" s="783">
        <f>Gegenstände!AC677</f>
        <v>0</v>
      </c>
      <c r="U677" s="783">
        <f>Gegenstände!AE677</f>
        <v>0</v>
      </c>
      <c r="V677" s="783">
        <f>Gegenstände!AD677</f>
        <v>0</v>
      </c>
      <c r="W677" s="783">
        <f>Gegenstände!AF677</f>
        <v>0</v>
      </c>
      <c r="AB677" s="3">
        <f>Gegenstände!M677</f>
        <v>0</v>
      </c>
      <c r="AC677" s="3">
        <f>Gegenstände!AB677</f>
        <v>0</v>
      </c>
      <c r="AD677" s="3">
        <f>Gegenstände!F677</f>
        <v>2101</v>
      </c>
    </row>
    <row r="678" spans="1:30" x14ac:dyDescent="0.2">
      <c r="A678" s="3">
        <f>Gegenstände!A678</f>
        <v>3102</v>
      </c>
      <c r="B678" s="3" t="str">
        <f>Gegenstände!B678</f>
        <v>Quarz-Schwert (Plan)</v>
      </c>
      <c r="D678" s="3">
        <f>Gegenstände!K678</f>
        <v>1000</v>
      </c>
      <c r="E678" s="3">
        <f>Gegenstände!I678</f>
        <v>35</v>
      </c>
      <c r="F678" s="3">
        <f>VLOOKUP(Gegenstände!E678,Berechnungen!$E$87:$F$115,2,FALSE)</f>
        <v>35</v>
      </c>
      <c r="G678" s="3">
        <f>Gegenstände!H678</f>
        <v>2</v>
      </c>
      <c r="H678" s="3">
        <f>Gegenstände!G678</f>
        <v>56</v>
      </c>
      <c r="I678" s="3">
        <f>Gegenstände!D678</f>
        <v>8</v>
      </c>
      <c r="J678" s="168">
        <f>ROUND(Gegenstände!N678,0)</f>
        <v>5700</v>
      </c>
      <c r="K678" s="3">
        <f>Gegenstände!J678</f>
        <v>100</v>
      </c>
      <c r="L678" s="3">
        <f>Gegenstände!L678</f>
        <v>1</v>
      </c>
      <c r="M678" s="3">
        <f>Gegenstände!Z678</f>
        <v>0</v>
      </c>
      <c r="N678" s="783">
        <f>(Gegenstände!Y678*10)</f>
        <v>0</v>
      </c>
      <c r="O678" s="783">
        <f>(Gegenstände!W678*10)</f>
        <v>0</v>
      </c>
      <c r="P678" s="783">
        <f>Gegenstände!AA678*10</f>
        <v>0</v>
      </c>
      <c r="Q678" s="783">
        <f>Gegenstände!O678</f>
        <v>0</v>
      </c>
      <c r="R678" s="168">
        <f>Gegenstände!S678</f>
        <v>0</v>
      </c>
      <c r="S678" s="168">
        <f>Gegenstände!T678</f>
        <v>0</v>
      </c>
      <c r="T678" s="783">
        <f>Gegenstände!AC678</f>
        <v>0</v>
      </c>
      <c r="U678" s="783">
        <f>Gegenstände!AE678</f>
        <v>0</v>
      </c>
      <c r="V678" s="783">
        <f>Gegenstände!AD678</f>
        <v>0</v>
      </c>
      <c r="W678" s="783">
        <f>Gegenstände!AF678</f>
        <v>0</v>
      </c>
      <c r="AB678" s="3">
        <f>Gegenstände!M678</f>
        <v>0</v>
      </c>
      <c r="AC678" s="3">
        <f>Gegenstände!AB678</f>
        <v>0</v>
      </c>
      <c r="AD678" s="3">
        <f>Gegenstände!F678</f>
        <v>2102</v>
      </c>
    </row>
    <row r="679" spans="1:30" x14ac:dyDescent="0.2">
      <c r="A679" s="3">
        <f>Gegenstände!A679</f>
        <v>3103</v>
      </c>
      <c r="B679" s="3" t="str">
        <f>Gegenstände!B679</f>
        <v>Smaragd-Schwert (Plan)</v>
      </c>
      <c r="D679" s="3">
        <f>Gegenstände!K679</f>
        <v>1000</v>
      </c>
      <c r="E679" s="3">
        <f>Gegenstände!I679</f>
        <v>35</v>
      </c>
      <c r="F679" s="3">
        <f>VLOOKUP(Gegenstände!E679,Berechnungen!$E$87:$F$115,2,FALSE)</f>
        <v>35</v>
      </c>
      <c r="G679" s="3">
        <f>Gegenstände!H679</f>
        <v>2</v>
      </c>
      <c r="H679" s="3">
        <f>Gegenstände!G679</f>
        <v>56</v>
      </c>
      <c r="I679" s="3">
        <f>Gegenstände!D679</f>
        <v>13</v>
      </c>
      <c r="J679" s="168">
        <f>ROUND(Gegenstände!N679,0)</f>
        <v>11400</v>
      </c>
      <c r="K679" s="3">
        <f>Gegenstände!J679</f>
        <v>100</v>
      </c>
      <c r="L679" s="3">
        <f>Gegenstände!L679</f>
        <v>1</v>
      </c>
      <c r="M679" s="3">
        <f>Gegenstände!Z679</f>
        <v>0</v>
      </c>
      <c r="N679" s="783">
        <f>(Gegenstände!Y679*10)</f>
        <v>0</v>
      </c>
      <c r="O679" s="783">
        <f>(Gegenstände!W679*10)</f>
        <v>0</v>
      </c>
      <c r="P679" s="783">
        <f>Gegenstände!AA679*10</f>
        <v>0</v>
      </c>
      <c r="Q679" s="783">
        <f>Gegenstände!O679</f>
        <v>0</v>
      </c>
      <c r="R679" s="168">
        <f>Gegenstände!S679</f>
        <v>0</v>
      </c>
      <c r="S679" s="168">
        <f>Gegenstände!T679</f>
        <v>0</v>
      </c>
      <c r="T679" s="783">
        <f>Gegenstände!AC679</f>
        <v>0</v>
      </c>
      <c r="U679" s="783">
        <f>Gegenstände!AE679</f>
        <v>0</v>
      </c>
      <c r="V679" s="783">
        <f>Gegenstände!AD679</f>
        <v>0</v>
      </c>
      <c r="W679" s="783">
        <f>Gegenstände!AF679</f>
        <v>0</v>
      </c>
      <c r="AB679" s="3">
        <f>Gegenstände!M679</f>
        <v>0</v>
      </c>
      <c r="AC679" s="3">
        <f>Gegenstände!AB679</f>
        <v>0</v>
      </c>
      <c r="AD679" s="3">
        <f>Gegenstände!F679</f>
        <v>2103</v>
      </c>
    </row>
    <row r="680" spans="1:30" x14ac:dyDescent="0.2">
      <c r="A680" s="3">
        <f>Gegenstände!A680</f>
        <v>3104</v>
      </c>
      <c r="B680" s="3" t="str">
        <f>Gegenstände!B680</f>
        <v>Rubin-Schwert (Plan)</v>
      </c>
      <c r="D680" s="3">
        <f>Gegenstände!K680</f>
        <v>1000</v>
      </c>
      <c r="E680" s="3">
        <f>Gegenstände!I680</f>
        <v>35</v>
      </c>
      <c r="F680" s="3">
        <f>VLOOKUP(Gegenstände!E680,Berechnungen!$E$87:$F$115,2,FALSE)</f>
        <v>35</v>
      </c>
      <c r="G680" s="3">
        <f>Gegenstände!H680</f>
        <v>2</v>
      </c>
      <c r="H680" s="3">
        <f>Gegenstände!G680</f>
        <v>56</v>
      </c>
      <c r="I680" s="3">
        <f>Gegenstände!D680</f>
        <v>18</v>
      </c>
      <c r="J680" s="168">
        <f>ROUND(Gegenstände!N680,0)</f>
        <v>21900</v>
      </c>
      <c r="K680" s="3">
        <f>Gegenstände!J680</f>
        <v>100</v>
      </c>
      <c r="L680" s="3">
        <f>Gegenstände!L680</f>
        <v>1</v>
      </c>
      <c r="M680" s="3">
        <f>Gegenstände!Z680</f>
        <v>0</v>
      </c>
      <c r="N680" s="783">
        <f>(Gegenstände!Y680*10)</f>
        <v>0</v>
      </c>
      <c r="O680" s="783">
        <f>(Gegenstände!W680*10)</f>
        <v>0</v>
      </c>
      <c r="P680" s="783">
        <f>Gegenstände!AA680*10</f>
        <v>0</v>
      </c>
      <c r="Q680" s="783">
        <f>Gegenstände!O680</f>
        <v>0</v>
      </c>
      <c r="R680" s="168">
        <f>Gegenstände!S680</f>
        <v>0</v>
      </c>
      <c r="S680" s="168">
        <f>Gegenstände!T680</f>
        <v>0</v>
      </c>
      <c r="T680" s="783">
        <f>Gegenstände!AC680</f>
        <v>0</v>
      </c>
      <c r="U680" s="783">
        <f>Gegenstände!AE680</f>
        <v>0</v>
      </c>
      <c r="V680" s="783">
        <f>Gegenstände!AD680</f>
        <v>0</v>
      </c>
      <c r="W680" s="783">
        <f>Gegenstände!AF680</f>
        <v>0</v>
      </c>
      <c r="AB680" s="3">
        <f>Gegenstände!M680</f>
        <v>0</v>
      </c>
      <c r="AC680" s="3">
        <f>Gegenstände!AB680</f>
        <v>0</v>
      </c>
      <c r="AD680" s="3">
        <f>Gegenstände!F680</f>
        <v>2104</v>
      </c>
    </row>
    <row r="681" spans="1:30" x14ac:dyDescent="0.2">
      <c r="A681" s="3">
        <f>Gegenstände!A681</f>
        <v>3105</v>
      </c>
      <c r="B681" s="3" t="str">
        <f>Gegenstände!B681</f>
        <v>Obsidian-Schwert (Plan)</v>
      </c>
      <c r="D681" s="3">
        <f>Gegenstände!K681</f>
        <v>1000</v>
      </c>
      <c r="E681" s="3">
        <f>Gegenstände!I681</f>
        <v>35</v>
      </c>
      <c r="F681" s="3">
        <f>VLOOKUP(Gegenstände!E681,Berechnungen!$E$87:$F$115,2,FALSE)</f>
        <v>35</v>
      </c>
      <c r="G681" s="3">
        <f>Gegenstände!H681</f>
        <v>2</v>
      </c>
      <c r="H681" s="3">
        <f>Gegenstände!G681</f>
        <v>56</v>
      </c>
      <c r="I681" s="3">
        <f>Gegenstände!D681</f>
        <v>24</v>
      </c>
      <c r="J681" s="168">
        <f>ROUND(Gegenstände!N681,0)</f>
        <v>44400</v>
      </c>
      <c r="K681" s="3">
        <f>Gegenstände!J681</f>
        <v>100</v>
      </c>
      <c r="L681" s="3">
        <f>Gegenstände!L681</f>
        <v>1</v>
      </c>
      <c r="M681" s="3">
        <f>Gegenstände!Z681</f>
        <v>0</v>
      </c>
      <c r="N681" s="783">
        <f>(Gegenstände!Y681*10)</f>
        <v>0</v>
      </c>
      <c r="O681" s="783">
        <f>(Gegenstände!W681*10)</f>
        <v>0</v>
      </c>
      <c r="P681" s="783">
        <f>Gegenstände!AA681*10</f>
        <v>0</v>
      </c>
      <c r="Q681" s="783">
        <f>Gegenstände!O681</f>
        <v>0</v>
      </c>
      <c r="R681" s="168">
        <f>Gegenstände!S681</f>
        <v>0</v>
      </c>
      <c r="S681" s="168">
        <f>Gegenstände!T681</f>
        <v>0</v>
      </c>
      <c r="T681" s="783">
        <f>Gegenstände!AC681</f>
        <v>0</v>
      </c>
      <c r="U681" s="783">
        <f>Gegenstände!AE681</f>
        <v>0</v>
      </c>
      <c r="V681" s="783">
        <f>Gegenstände!AD681</f>
        <v>0</v>
      </c>
      <c r="W681" s="783">
        <f>Gegenstände!AF681</f>
        <v>0</v>
      </c>
      <c r="AB681" s="3">
        <f>Gegenstände!M681</f>
        <v>0</v>
      </c>
      <c r="AC681" s="3">
        <f>Gegenstände!AB681</f>
        <v>0</v>
      </c>
      <c r="AD681" s="3">
        <f>Gegenstände!F681</f>
        <v>2105</v>
      </c>
    </row>
    <row r="682" spans="1:30" x14ac:dyDescent="0.2">
      <c r="A682" s="3">
        <f>Gegenstände!A682</f>
        <v>0</v>
      </c>
      <c r="B682" s="3">
        <f>Gegenstände!B682</f>
        <v>0</v>
      </c>
      <c r="D682" s="3">
        <f>Gegenstände!K682</f>
        <v>0</v>
      </c>
      <c r="E682" s="3">
        <f>Gegenstände!I682</f>
        <v>0</v>
      </c>
      <c r="F682" s="3" t="e">
        <f>VLOOKUP(Gegenstände!E682,Berechnungen!$E$87:$F$115,2,FALSE)</f>
        <v>#N/A</v>
      </c>
      <c r="G682" s="3">
        <f>Gegenstände!H682</f>
        <v>0</v>
      </c>
      <c r="H682" s="3">
        <f>Gegenstände!G682</f>
        <v>0</v>
      </c>
      <c r="I682" s="3">
        <f>Gegenstände!D682</f>
        <v>0</v>
      </c>
      <c r="J682" s="168">
        <f>ROUND(Gegenstände!N682,0)</f>
        <v>0</v>
      </c>
      <c r="K682" s="3">
        <f>Gegenstände!J682</f>
        <v>0</v>
      </c>
      <c r="L682" s="3">
        <f>Gegenstände!L682</f>
        <v>0</v>
      </c>
      <c r="M682" s="3">
        <f>Gegenstände!Z682</f>
        <v>0</v>
      </c>
      <c r="N682" s="783">
        <f>(Gegenstände!Y682*10)</f>
        <v>0</v>
      </c>
      <c r="O682" s="783">
        <f>(Gegenstände!W682*10)</f>
        <v>0</v>
      </c>
      <c r="P682" s="783">
        <f>Gegenstände!AA682*10</f>
        <v>0</v>
      </c>
      <c r="Q682" s="783">
        <f>Gegenstände!O682</f>
        <v>0</v>
      </c>
      <c r="R682" s="168">
        <f>Gegenstände!S682</f>
        <v>0</v>
      </c>
      <c r="S682" s="168">
        <f>Gegenstände!T682</f>
        <v>0</v>
      </c>
      <c r="T682" s="783">
        <f>Gegenstände!AC682</f>
        <v>0</v>
      </c>
      <c r="U682" s="783">
        <f>Gegenstände!AE682</f>
        <v>0</v>
      </c>
      <c r="V682" s="783">
        <f>Gegenstände!AD682</f>
        <v>0</v>
      </c>
      <c r="W682" s="783">
        <f>Gegenstände!AF682</f>
        <v>0</v>
      </c>
      <c r="AB682" s="3">
        <f>Gegenstände!M682</f>
        <v>0</v>
      </c>
      <c r="AC682" s="3">
        <f>Gegenstände!AB682</f>
        <v>0</v>
      </c>
      <c r="AD682" s="3">
        <f>Gegenstände!F682</f>
        <v>0</v>
      </c>
    </row>
    <row r="683" spans="1:30" x14ac:dyDescent="0.2">
      <c r="A683" s="3">
        <f>Gegenstände!A683</f>
        <v>3111</v>
      </c>
      <c r="B683" s="3" t="str">
        <f>Gegenstände!B683</f>
        <v>Quarz-Prunkschwert (Plan)</v>
      </c>
      <c r="D683" s="3">
        <f>Gegenstände!K683</f>
        <v>1000</v>
      </c>
      <c r="E683" s="3">
        <f>Gegenstände!I683</f>
        <v>35</v>
      </c>
      <c r="F683" s="3">
        <f>VLOOKUP(Gegenstände!E683,Berechnungen!$E$87:$F$115,2,FALSE)</f>
        <v>35</v>
      </c>
      <c r="G683" s="3">
        <f>Gegenstände!H683</f>
        <v>2</v>
      </c>
      <c r="H683" s="3">
        <f>Gegenstände!G683</f>
        <v>56</v>
      </c>
      <c r="I683" s="3">
        <f>Gegenstände!D683</f>
        <v>9</v>
      </c>
      <c r="J683" s="168">
        <f>ROUND(Gegenstände!N683,0)</f>
        <v>12000</v>
      </c>
      <c r="K683" s="3">
        <f>Gegenstände!J683</f>
        <v>100</v>
      </c>
      <c r="L683" s="3">
        <f>Gegenstände!L683</f>
        <v>1</v>
      </c>
      <c r="M683" s="3">
        <f>Gegenstände!Z683</f>
        <v>0</v>
      </c>
      <c r="N683" s="783">
        <f>(Gegenstände!Y683*10)</f>
        <v>0</v>
      </c>
      <c r="O683" s="783">
        <f>(Gegenstände!W683*10)</f>
        <v>0</v>
      </c>
      <c r="P683" s="783">
        <f>Gegenstände!AA683*10</f>
        <v>0</v>
      </c>
      <c r="Q683" s="783">
        <f>Gegenstände!O683</f>
        <v>0</v>
      </c>
      <c r="R683" s="168">
        <f>Gegenstände!S683</f>
        <v>0</v>
      </c>
      <c r="S683" s="168">
        <f>Gegenstände!T683</f>
        <v>0</v>
      </c>
      <c r="T683" s="783">
        <f>Gegenstände!AC683</f>
        <v>0</v>
      </c>
      <c r="U683" s="783">
        <f>Gegenstände!AE683</f>
        <v>0</v>
      </c>
      <c r="V683" s="783">
        <f>Gegenstände!AD683</f>
        <v>0</v>
      </c>
      <c r="W683" s="783">
        <f>Gegenstände!AF683</f>
        <v>0</v>
      </c>
      <c r="AB683" s="3">
        <f>Gegenstände!M683</f>
        <v>0</v>
      </c>
      <c r="AC683" s="3">
        <f>Gegenstände!AB683</f>
        <v>0</v>
      </c>
      <c r="AD683" s="3">
        <f>Gegenstände!F683</f>
        <v>2111</v>
      </c>
    </row>
    <row r="684" spans="1:30" x14ac:dyDescent="0.2">
      <c r="A684" s="3">
        <f>Gegenstände!A684</f>
        <v>3112</v>
      </c>
      <c r="B684" s="3" t="str">
        <f>Gegenstände!B684</f>
        <v>Smaragd-Prunkschwert (Plan)</v>
      </c>
      <c r="D684" s="3">
        <f>Gegenstände!K684</f>
        <v>1000</v>
      </c>
      <c r="E684" s="3">
        <f>Gegenstände!I684</f>
        <v>35</v>
      </c>
      <c r="F684" s="3">
        <f>VLOOKUP(Gegenstände!E684,Berechnungen!$E$87:$F$115,2,FALSE)</f>
        <v>35</v>
      </c>
      <c r="G684" s="3">
        <f>Gegenstände!H684</f>
        <v>2</v>
      </c>
      <c r="H684" s="3">
        <f>Gegenstände!G684</f>
        <v>56</v>
      </c>
      <c r="I684" s="3">
        <f>Gegenstände!D684</f>
        <v>14</v>
      </c>
      <c r="J684" s="168">
        <f>ROUND(Gegenstände!N684,0)</f>
        <v>24200</v>
      </c>
      <c r="K684" s="3">
        <f>Gegenstände!J684</f>
        <v>100</v>
      </c>
      <c r="L684" s="3">
        <f>Gegenstände!L684</f>
        <v>1</v>
      </c>
      <c r="M684" s="3">
        <f>Gegenstände!Z684</f>
        <v>0</v>
      </c>
      <c r="N684" s="783">
        <f>(Gegenstände!Y684*10)</f>
        <v>0</v>
      </c>
      <c r="O684" s="783">
        <f>(Gegenstände!W684*10)</f>
        <v>0</v>
      </c>
      <c r="P684" s="783">
        <f>Gegenstände!AA684*10</f>
        <v>0</v>
      </c>
      <c r="Q684" s="783">
        <f>Gegenstände!O684</f>
        <v>0</v>
      </c>
      <c r="R684" s="168">
        <f>Gegenstände!S684</f>
        <v>0</v>
      </c>
      <c r="S684" s="168">
        <f>Gegenstände!T684</f>
        <v>0</v>
      </c>
      <c r="T684" s="783">
        <f>Gegenstände!AC684</f>
        <v>0</v>
      </c>
      <c r="U684" s="783">
        <f>Gegenstände!AE684</f>
        <v>0</v>
      </c>
      <c r="V684" s="783">
        <f>Gegenstände!AD684</f>
        <v>0</v>
      </c>
      <c r="W684" s="783">
        <f>Gegenstände!AF684</f>
        <v>0</v>
      </c>
      <c r="AB684" s="3">
        <f>Gegenstände!M684</f>
        <v>0</v>
      </c>
      <c r="AC684" s="3">
        <f>Gegenstände!AB684</f>
        <v>0</v>
      </c>
      <c r="AD684" s="3">
        <f>Gegenstände!F684</f>
        <v>2112</v>
      </c>
    </row>
    <row r="685" spans="1:30" x14ac:dyDescent="0.2">
      <c r="A685" s="3">
        <f>Gegenstände!A685</f>
        <v>3113</v>
      </c>
      <c r="B685" s="3" t="str">
        <f>Gegenstände!B685</f>
        <v>Rubin-Prunkschwert (Plan)</v>
      </c>
      <c r="D685" s="3">
        <f>Gegenstände!K685</f>
        <v>1000</v>
      </c>
      <c r="E685" s="3">
        <f>Gegenstände!I685</f>
        <v>35</v>
      </c>
      <c r="F685" s="3">
        <f>VLOOKUP(Gegenstände!E685,Berechnungen!$E$87:$F$115,2,FALSE)</f>
        <v>35</v>
      </c>
      <c r="G685" s="3">
        <f>Gegenstände!H685</f>
        <v>2</v>
      </c>
      <c r="H685" s="3">
        <f>Gegenstände!G685</f>
        <v>56</v>
      </c>
      <c r="I685" s="3">
        <f>Gegenstände!D685</f>
        <v>19</v>
      </c>
      <c r="J685" s="168">
        <f>ROUND(Gegenstände!N685,0)</f>
        <v>46000</v>
      </c>
      <c r="K685" s="3">
        <f>Gegenstände!J685</f>
        <v>100</v>
      </c>
      <c r="L685" s="3">
        <f>Gegenstände!L685</f>
        <v>1</v>
      </c>
      <c r="M685" s="3">
        <f>Gegenstände!Z685</f>
        <v>0</v>
      </c>
      <c r="N685" s="783">
        <f>(Gegenstände!Y685*10)</f>
        <v>0</v>
      </c>
      <c r="O685" s="783">
        <f>(Gegenstände!W685*10)</f>
        <v>0</v>
      </c>
      <c r="P685" s="783">
        <f>Gegenstände!AA685*10</f>
        <v>0</v>
      </c>
      <c r="Q685" s="783">
        <f>Gegenstände!O685</f>
        <v>0</v>
      </c>
      <c r="R685" s="168">
        <f>Gegenstände!S685</f>
        <v>0</v>
      </c>
      <c r="S685" s="168">
        <f>Gegenstände!T685</f>
        <v>0</v>
      </c>
      <c r="T685" s="783">
        <f>Gegenstände!AC685</f>
        <v>0</v>
      </c>
      <c r="U685" s="783">
        <f>Gegenstände!AE685</f>
        <v>0</v>
      </c>
      <c r="V685" s="783">
        <f>Gegenstände!AD685</f>
        <v>0</v>
      </c>
      <c r="W685" s="783">
        <f>Gegenstände!AF685</f>
        <v>0</v>
      </c>
      <c r="AB685" s="3">
        <f>Gegenstände!M685</f>
        <v>0</v>
      </c>
      <c r="AC685" s="3">
        <f>Gegenstände!AB685</f>
        <v>0</v>
      </c>
      <c r="AD685" s="3">
        <f>Gegenstände!F685</f>
        <v>2113</v>
      </c>
    </row>
    <row r="686" spans="1:30" x14ac:dyDescent="0.2">
      <c r="A686" s="3">
        <f>Gegenstände!A686</f>
        <v>3114</v>
      </c>
      <c r="B686" s="3" t="str">
        <f>Gegenstände!B686</f>
        <v>Obsidian-Prunkschwert (Plan)</v>
      </c>
      <c r="D686" s="3">
        <f>Gegenstände!K686</f>
        <v>1000</v>
      </c>
      <c r="E686" s="3">
        <f>Gegenstände!I686</f>
        <v>35</v>
      </c>
      <c r="F686" s="3">
        <f>VLOOKUP(Gegenstände!E686,Berechnungen!$E$87:$F$115,2,FALSE)</f>
        <v>35</v>
      </c>
      <c r="G686" s="3">
        <f>Gegenstände!H686</f>
        <v>2</v>
      </c>
      <c r="H686" s="3">
        <f>Gegenstände!G686</f>
        <v>56</v>
      </c>
      <c r="I686" s="3">
        <f>Gegenstände!D686</f>
        <v>24</v>
      </c>
      <c r="J686" s="168">
        <f>ROUND(Gegenstände!N686,0)</f>
        <v>82300</v>
      </c>
      <c r="K686" s="3">
        <f>Gegenstände!J686</f>
        <v>100</v>
      </c>
      <c r="L686" s="3">
        <f>Gegenstände!L686</f>
        <v>1</v>
      </c>
      <c r="M686" s="3">
        <f>Gegenstände!Z686</f>
        <v>0</v>
      </c>
      <c r="N686" s="783">
        <f>(Gegenstände!Y686*10)</f>
        <v>0</v>
      </c>
      <c r="O686" s="783">
        <f>(Gegenstände!W686*10)</f>
        <v>0</v>
      </c>
      <c r="P686" s="783">
        <f>Gegenstände!AA686*10</f>
        <v>0</v>
      </c>
      <c r="Q686" s="783">
        <f>Gegenstände!O686</f>
        <v>0</v>
      </c>
      <c r="R686" s="168">
        <f>Gegenstände!S686</f>
        <v>0</v>
      </c>
      <c r="S686" s="168">
        <f>Gegenstände!T686</f>
        <v>0</v>
      </c>
      <c r="T686" s="783">
        <f>Gegenstände!AC686</f>
        <v>0</v>
      </c>
      <c r="U686" s="783">
        <f>Gegenstände!AE686</f>
        <v>0</v>
      </c>
      <c r="V686" s="783">
        <f>Gegenstände!AD686</f>
        <v>0</v>
      </c>
      <c r="W686" s="783">
        <f>Gegenstände!AF686</f>
        <v>0</v>
      </c>
      <c r="AB686" s="3">
        <f>Gegenstände!M686</f>
        <v>0</v>
      </c>
      <c r="AC686" s="3">
        <f>Gegenstände!AB686</f>
        <v>0</v>
      </c>
      <c r="AD686" s="3">
        <f>Gegenstände!F686</f>
        <v>2114</v>
      </c>
    </row>
    <row r="687" spans="1:30" x14ac:dyDescent="0.2">
      <c r="A687" s="3">
        <f>Gegenstände!A687</f>
        <v>0</v>
      </c>
      <c r="B687" s="3">
        <f>Gegenstände!B687</f>
        <v>0</v>
      </c>
      <c r="D687" s="3">
        <f>Gegenstände!K687</f>
        <v>0</v>
      </c>
      <c r="E687" s="3">
        <f>Gegenstände!I687</f>
        <v>0</v>
      </c>
      <c r="F687" s="3" t="e">
        <f>VLOOKUP(Gegenstände!E687,Berechnungen!$E$87:$F$115,2,FALSE)</f>
        <v>#N/A</v>
      </c>
      <c r="G687" s="3">
        <f>Gegenstände!H687</f>
        <v>0</v>
      </c>
      <c r="H687" s="3">
        <f>Gegenstände!G687</f>
        <v>0</v>
      </c>
      <c r="I687" s="3">
        <f>Gegenstände!D687</f>
        <v>0</v>
      </c>
      <c r="J687" s="168">
        <f>ROUND(Gegenstände!N687,0)</f>
        <v>0</v>
      </c>
      <c r="K687" s="3">
        <f>Gegenstände!J687</f>
        <v>0</v>
      </c>
      <c r="L687" s="3">
        <f>Gegenstände!L687</f>
        <v>0</v>
      </c>
      <c r="M687" s="3">
        <f>Gegenstände!Z687</f>
        <v>0</v>
      </c>
      <c r="N687" s="783">
        <f>(Gegenstände!Y687*10)</f>
        <v>0</v>
      </c>
      <c r="O687" s="783">
        <f>(Gegenstände!W687*10)</f>
        <v>0</v>
      </c>
      <c r="P687" s="783">
        <f>Gegenstände!AA687*10</f>
        <v>0</v>
      </c>
      <c r="Q687" s="783">
        <f>Gegenstände!O687</f>
        <v>0</v>
      </c>
      <c r="R687" s="168">
        <f>Gegenstände!S687</f>
        <v>0</v>
      </c>
      <c r="S687" s="168">
        <f>Gegenstände!T687</f>
        <v>0</v>
      </c>
      <c r="T687" s="783">
        <f>Gegenstände!AC687</f>
        <v>0</v>
      </c>
      <c r="U687" s="783">
        <f>Gegenstände!AE687</f>
        <v>0</v>
      </c>
      <c r="V687" s="783">
        <f>Gegenstände!AD687</f>
        <v>0</v>
      </c>
      <c r="W687" s="783">
        <f>Gegenstände!AF687</f>
        <v>0</v>
      </c>
      <c r="AB687" s="3">
        <f>Gegenstände!M687</f>
        <v>0</v>
      </c>
      <c r="AC687" s="3">
        <f>Gegenstände!AB687</f>
        <v>0</v>
      </c>
      <c r="AD687" s="3">
        <f>Gegenstände!F687</f>
        <v>0</v>
      </c>
    </row>
    <row r="688" spans="1:30" x14ac:dyDescent="0.2">
      <c r="A688" s="3">
        <f>Gegenstände!A688</f>
        <v>3121</v>
      </c>
      <c r="B688" s="3" t="str">
        <f>Gegenstände!B688</f>
        <v>Kristall-Dolch (Plan)</v>
      </c>
      <c r="D688" s="3">
        <f>Gegenstände!K688</f>
        <v>1000</v>
      </c>
      <c r="E688" s="3">
        <f>Gegenstände!I688</f>
        <v>35</v>
      </c>
      <c r="F688" s="3">
        <f>VLOOKUP(Gegenstände!E688,Berechnungen!$E$87:$F$115,2,FALSE)</f>
        <v>35</v>
      </c>
      <c r="G688" s="3">
        <f>Gegenstände!H688</f>
        <v>2</v>
      </c>
      <c r="H688" s="3">
        <f>Gegenstände!G688</f>
        <v>57</v>
      </c>
      <c r="I688" s="3">
        <f>Gegenstände!D688</f>
        <v>3</v>
      </c>
      <c r="J688" s="168">
        <f>ROUND(Gegenstände!N688,0)</f>
        <v>2800</v>
      </c>
      <c r="K688" s="3">
        <f>Gegenstände!J688</f>
        <v>100</v>
      </c>
      <c r="L688" s="3">
        <f>Gegenstände!L688</f>
        <v>1</v>
      </c>
      <c r="M688" s="3">
        <f>Gegenstände!Z688</f>
        <v>0</v>
      </c>
      <c r="N688" s="783">
        <f>(Gegenstände!Y688*10)</f>
        <v>0</v>
      </c>
      <c r="O688" s="783">
        <f>(Gegenstände!W688*10)</f>
        <v>0</v>
      </c>
      <c r="P688" s="783">
        <f>Gegenstände!AA688*10</f>
        <v>0</v>
      </c>
      <c r="Q688" s="783">
        <f>Gegenstände!O688</f>
        <v>0</v>
      </c>
      <c r="R688" s="168">
        <f>Gegenstände!S688</f>
        <v>0</v>
      </c>
      <c r="S688" s="168">
        <f>Gegenstände!T688</f>
        <v>0</v>
      </c>
      <c r="T688" s="783">
        <f>Gegenstände!AC688</f>
        <v>0</v>
      </c>
      <c r="U688" s="783">
        <f>Gegenstände!AE688</f>
        <v>0</v>
      </c>
      <c r="V688" s="783">
        <f>Gegenstände!AD688</f>
        <v>0</v>
      </c>
      <c r="W688" s="783">
        <f>Gegenstände!AF688</f>
        <v>0</v>
      </c>
      <c r="AB688" s="3">
        <f>Gegenstände!M688</f>
        <v>0</v>
      </c>
      <c r="AC688" s="3">
        <f>Gegenstände!AB688</f>
        <v>0</v>
      </c>
      <c r="AD688" s="3">
        <f>Gegenstände!F688</f>
        <v>2121</v>
      </c>
    </row>
    <row r="689" spans="1:30" x14ac:dyDescent="0.2">
      <c r="A689" s="3">
        <f>Gegenstände!A689</f>
        <v>3122</v>
      </c>
      <c r="B689" s="3" t="str">
        <f>Gegenstände!B689</f>
        <v>Quarz-Dolch (Plan)</v>
      </c>
      <c r="D689" s="3">
        <f>Gegenstände!K689</f>
        <v>1000</v>
      </c>
      <c r="E689" s="3">
        <f>Gegenstände!I689</f>
        <v>35</v>
      </c>
      <c r="F689" s="3">
        <f>VLOOKUP(Gegenstände!E689,Berechnungen!$E$87:$F$115,2,FALSE)</f>
        <v>35</v>
      </c>
      <c r="G689" s="3">
        <f>Gegenstände!H689</f>
        <v>2</v>
      </c>
      <c r="H689" s="3">
        <f>Gegenstände!G689</f>
        <v>57</v>
      </c>
      <c r="I689" s="3">
        <f>Gegenstände!D689</f>
        <v>8</v>
      </c>
      <c r="J689" s="168">
        <f>ROUND(Gegenstände!N689,0)</f>
        <v>5700</v>
      </c>
      <c r="K689" s="3">
        <f>Gegenstände!J689</f>
        <v>100</v>
      </c>
      <c r="L689" s="3">
        <f>Gegenstände!L689</f>
        <v>1</v>
      </c>
      <c r="M689" s="3">
        <f>Gegenstände!Z689</f>
        <v>0</v>
      </c>
      <c r="N689" s="783">
        <f>(Gegenstände!Y689*10)</f>
        <v>0</v>
      </c>
      <c r="O689" s="783">
        <f>(Gegenstände!W689*10)</f>
        <v>0</v>
      </c>
      <c r="P689" s="783">
        <f>Gegenstände!AA689*10</f>
        <v>0</v>
      </c>
      <c r="Q689" s="783">
        <f>Gegenstände!O689</f>
        <v>0</v>
      </c>
      <c r="R689" s="168">
        <f>Gegenstände!S689</f>
        <v>0</v>
      </c>
      <c r="S689" s="168">
        <f>Gegenstände!T689</f>
        <v>0</v>
      </c>
      <c r="T689" s="783">
        <f>Gegenstände!AC689</f>
        <v>0</v>
      </c>
      <c r="U689" s="783">
        <f>Gegenstände!AE689</f>
        <v>0</v>
      </c>
      <c r="V689" s="783">
        <f>Gegenstände!AD689</f>
        <v>0</v>
      </c>
      <c r="W689" s="783">
        <f>Gegenstände!AF689</f>
        <v>0</v>
      </c>
      <c r="AB689" s="3">
        <f>Gegenstände!M689</f>
        <v>0</v>
      </c>
      <c r="AC689" s="3">
        <f>Gegenstände!AB689</f>
        <v>0</v>
      </c>
      <c r="AD689" s="3">
        <f>Gegenstände!F689</f>
        <v>2122</v>
      </c>
    </row>
    <row r="690" spans="1:30" x14ac:dyDescent="0.2">
      <c r="A690" s="3">
        <f>Gegenstände!A690</f>
        <v>3123</v>
      </c>
      <c r="B690" s="3" t="str">
        <f>Gegenstände!B690</f>
        <v>Smaragd-Dolch (Plan)</v>
      </c>
      <c r="D690" s="3">
        <f>Gegenstände!K690</f>
        <v>1000</v>
      </c>
      <c r="E690" s="3">
        <f>Gegenstände!I690</f>
        <v>35</v>
      </c>
      <c r="F690" s="3">
        <f>VLOOKUP(Gegenstände!E690,Berechnungen!$E$87:$F$115,2,FALSE)</f>
        <v>35</v>
      </c>
      <c r="G690" s="3">
        <f>Gegenstände!H690</f>
        <v>2</v>
      </c>
      <c r="H690" s="3">
        <f>Gegenstände!G690</f>
        <v>57</v>
      </c>
      <c r="I690" s="3">
        <f>Gegenstände!D690</f>
        <v>13</v>
      </c>
      <c r="J690" s="168">
        <f>ROUND(Gegenstände!N690,0)</f>
        <v>11400</v>
      </c>
      <c r="K690" s="3">
        <f>Gegenstände!J690</f>
        <v>100</v>
      </c>
      <c r="L690" s="3">
        <f>Gegenstände!L690</f>
        <v>1</v>
      </c>
      <c r="M690" s="3">
        <f>Gegenstände!Z690</f>
        <v>0</v>
      </c>
      <c r="N690" s="783">
        <f>(Gegenstände!Y690*10)</f>
        <v>0</v>
      </c>
      <c r="O690" s="783">
        <f>(Gegenstände!W690*10)</f>
        <v>0</v>
      </c>
      <c r="P690" s="783">
        <f>Gegenstände!AA690*10</f>
        <v>0</v>
      </c>
      <c r="Q690" s="783">
        <f>Gegenstände!O690</f>
        <v>0</v>
      </c>
      <c r="R690" s="168">
        <f>Gegenstände!S690</f>
        <v>0</v>
      </c>
      <c r="S690" s="168">
        <f>Gegenstände!T690</f>
        <v>0</v>
      </c>
      <c r="T690" s="783">
        <f>Gegenstände!AC690</f>
        <v>0</v>
      </c>
      <c r="U690" s="783">
        <f>Gegenstände!AE690</f>
        <v>0</v>
      </c>
      <c r="V690" s="783">
        <f>Gegenstände!AD690</f>
        <v>0</v>
      </c>
      <c r="W690" s="783">
        <f>Gegenstände!AF690</f>
        <v>0</v>
      </c>
      <c r="AB690" s="3">
        <f>Gegenstände!M690</f>
        <v>0</v>
      </c>
      <c r="AC690" s="3">
        <f>Gegenstände!AB690</f>
        <v>0</v>
      </c>
      <c r="AD690" s="3">
        <f>Gegenstände!F690</f>
        <v>2123</v>
      </c>
    </row>
    <row r="691" spans="1:30" x14ac:dyDescent="0.2">
      <c r="A691" s="3">
        <f>Gegenstände!A691</f>
        <v>3124</v>
      </c>
      <c r="B691" s="3" t="str">
        <f>Gegenstände!B691</f>
        <v>Rubin-Dolch (Plan)</v>
      </c>
      <c r="D691" s="3">
        <f>Gegenstände!K691</f>
        <v>1000</v>
      </c>
      <c r="E691" s="3">
        <f>Gegenstände!I691</f>
        <v>35</v>
      </c>
      <c r="F691" s="3">
        <f>VLOOKUP(Gegenstände!E691,Berechnungen!$E$87:$F$115,2,FALSE)</f>
        <v>35</v>
      </c>
      <c r="G691" s="3">
        <f>Gegenstände!H691</f>
        <v>2</v>
      </c>
      <c r="H691" s="3">
        <f>Gegenstände!G691</f>
        <v>57</v>
      </c>
      <c r="I691" s="3">
        <f>Gegenstände!D691</f>
        <v>18</v>
      </c>
      <c r="J691" s="168">
        <f>ROUND(Gegenstände!N691,0)</f>
        <v>21900</v>
      </c>
      <c r="K691" s="3">
        <f>Gegenstände!J691</f>
        <v>100</v>
      </c>
      <c r="L691" s="3">
        <f>Gegenstände!L691</f>
        <v>1</v>
      </c>
      <c r="M691" s="3">
        <f>Gegenstände!Z691</f>
        <v>0</v>
      </c>
      <c r="N691" s="783">
        <f>(Gegenstände!Y691*10)</f>
        <v>0</v>
      </c>
      <c r="O691" s="783">
        <f>(Gegenstände!W691*10)</f>
        <v>0</v>
      </c>
      <c r="P691" s="783">
        <f>Gegenstände!AA691*10</f>
        <v>0</v>
      </c>
      <c r="Q691" s="783">
        <f>Gegenstände!O691</f>
        <v>0</v>
      </c>
      <c r="R691" s="168">
        <f>Gegenstände!S691</f>
        <v>0</v>
      </c>
      <c r="S691" s="168">
        <f>Gegenstände!T691</f>
        <v>0</v>
      </c>
      <c r="T691" s="783">
        <f>Gegenstände!AC691</f>
        <v>0</v>
      </c>
      <c r="U691" s="783">
        <f>Gegenstände!AE691</f>
        <v>0</v>
      </c>
      <c r="V691" s="783">
        <f>Gegenstände!AD691</f>
        <v>0</v>
      </c>
      <c r="W691" s="783">
        <f>Gegenstände!AF691</f>
        <v>0</v>
      </c>
      <c r="AB691" s="3">
        <f>Gegenstände!M691</f>
        <v>0</v>
      </c>
      <c r="AC691" s="3">
        <f>Gegenstände!AB691</f>
        <v>0</v>
      </c>
      <c r="AD691" s="3">
        <f>Gegenstände!F691</f>
        <v>2124</v>
      </c>
    </row>
    <row r="692" spans="1:30" x14ac:dyDescent="0.2">
      <c r="A692" s="3">
        <f>Gegenstände!A692</f>
        <v>3125</v>
      </c>
      <c r="B692" s="3" t="str">
        <f>Gegenstände!B692</f>
        <v>Obsidian-Dolch (Plan)</v>
      </c>
      <c r="D692" s="3">
        <f>Gegenstände!K692</f>
        <v>1000</v>
      </c>
      <c r="E692" s="3">
        <f>Gegenstände!I692</f>
        <v>35</v>
      </c>
      <c r="F692" s="3">
        <f>VLOOKUP(Gegenstände!E692,Berechnungen!$E$87:$F$115,2,FALSE)</f>
        <v>35</v>
      </c>
      <c r="G692" s="3">
        <f>Gegenstände!H692</f>
        <v>2</v>
      </c>
      <c r="H692" s="3">
        <f>Gegenstände!G692</f>
        <v>57</v>
      </c>
      <c r="I692" s="3">
        <f>Gegenstände!D692</f>
        <v>24</v>
      </c>
      <c r="J692" s="168">
        <f>ROUND(Gegenstände!N692,0)</f>
        <v>44400</v>
      </c>
      <c r="K692" s="3">
        <f>Gegenstände!J692</f>
        <v>100</v>
      </c>
      <c r="L692" s="3">
        <f>Gegenstände!L692</f>
        <v>1</v>
      </c>
      <c r="M692" s="3">
        <f>Gegenstände!Z692</f>
        <v>0</v>
      </c>
      <c r="N692" s="783">
        <f>(Gegenstände!Y692*10)</f>
        <v>0</v>
      </c>
      <c r="O692" s="783">
        <f>(Gegenstände!W692*10)</f>
        <v>0</v>
      </c>
      <c r="P692" s="783">
        <f>Gegenstände!AA692*10</f>
        <v>0</v>
      </c>
      <c r="Q692" s="783">
        <f>Gegenstände!O692</f>
        <v>0</v>
      </c>
      <c r="R692" s="168">
        <f>Gegenstände!S692</f>
        <v>0</v>
      </c>
      <c r="S692" s="168">
        <f>Gegenstände!T692</f>
        <v>0</v>
      </c>
      <c r="T692" s="783">
        <f>Gegenstände!AC692</f>
        <v>0</v>
      </c>
      <c r="U692" s="783">
        <f>Gegenstände!AE692</f>
        <v>0</v>
      </c>
      <c r="V692" s="783">
        <f>Gegenstände!AD692</f>
        <v>0</v>
      </c>
      <c r="W692" s="783">
        <f>Gegenstände!AF692</f>
        <v>0</v>
      </c>
      <c r="AB692" s="3">
        <f>Gegenstände!M692</f>
        <v>0</v>
      </c>
      <c r="AC692" s="3">
        <f>Gegenstände!AB692</f>
        <v>0</v>
      </c>
      <c r="AD692" s="3">
        <f>Gegenstände!F692</f>
        <v>2125</v>
      </c>
    </row>
    <row r="693" spans="1:30" x14ac:dyDescent="0.2">
      <c r="A693" s="3">
        <f>Gegenstände!A693</f>
        <v>0</v>
      </c>
      <c r="B693" s="3">
        <f>Gegenstände!B693</f>
        <v>0</v>
      </c>
      <c r="D693" s="3">
        <f>Gegenstände!K693</f>
        <v>0</v>
      </c>
      <c r="E693" s="3">
        <f>Gegenstände!I693</f>
        <v>0</v>
      </c>
      <c r="F693" s="3" t="e">
        <f>VLOOKUP(Gegenstände!E693,Berechnungen!$E$87:$F$115,2,FALSE)</f>
        <v>#N/A</v>
      </c>
      <c r="G693" s="3">
        <f>Gegenstände!H693</f>
        <v>0</v>
      </c>
      <c r="H693" s="3">
        <f>Gegenstände!G693</f>
        <v>0</v>
      </c>
      <c r="I693" s="3">
        <f>Gegenstände!D693</f>
        <v>0</v>
      </c>
      <c r="J693" s="168">
        <f>ROUND(Gegenstände!N693,0)</f>
        <v>0</v>
      </c>
      <c r="K693" s="3">
        <f>Gegenstände!J693</f>
        <v>0</v>
      </c>
      <c r="L693" s="3">
        <f>Gegenstände!L693</f>
        <v>0</v>
      </c>
      <c r="M693" s="3">
        <f>Gegenstände!Z693</f>
        <v>0</v>
      </c>
      <c r="N693" s="783">
        <f>(Gegenstände!Y693*10)</f>
        <v>0</v>
      </c>
      <c r="O693" s="783">
        <f>(Gegenstände!W693*10)</f>
        <v>0</v>
      </c>
      <c r="P693" s="783">
        <f>Gegenstände!AA693*10</f>
        <v>0</v>
      </c>
      <c r="Q693" s="783">
        <f>Gegenstände!O693</f>
        <v>0</v>
      </c>
      <c r="R693" s="168">
        <f>Gegenstände!S693</f>
        <v>0</v>
      </c>
      <c r="S693" s="168">
        <f>Gegenstände!T693</f>
        <v>0</v>
      </c>
      <c r="T693" s="783">
        <f>Gegenstände!AC693</f>
        <v>0</v>
      </c>
      <c r="U693" s="783">
        <f>Gegenstände!AE693</f>
        <v>0</v>
      </c>
      <c r="V693" s="783">
        <f>Gegenstände!AD693</f>
        <v>0</v>
      </c>
      <c r="W693" s="783">
        <f>Gegenstände!AF693</f>
        <v>0</v>
      </c>
      <c r="AB693" s="3">
        <f>Gegenstände!M693</f>
        <v>0</v>
      </c>
      <c r="AC693" s="3">
        <f>Gegenstände!AB693</f>
        <v>0</v>
      </c>
      <c r="AD693" s="3">
        <f>Gegenstände!F693</f>
        <v>0</v>
      </c>
    </row>
    <row r="694" spans="1:30" x14ac:dyDescent="0.2">
      <c r="A694" s="3">
        <f>Gegenstände!A694</f>
        <v>3131</v>
      </c>
      <c r="B694" s="3" t="str">
        <f>Gegenstände!B694</f>
        <v>Kristall-Axt (Plan)</v>
      </c>
      <c r="D694" s="3">
        <f>Gegenstände!K694</f>
        <v>1000</v>
      </c>
      <c r="E694" s="3">
        <f>Gegenstände!I694</f>
        <v>35</v>
      </c>
      <c r="F694" s="3">
        <f>VLOOKUP(Gegenstände!E694,Berechnungen!$E$87:$F$115,2,FALSE)</f>
        <v>35</v>
      </c>
      <c r="G694" s="3">
        <f>Gegenstände!H694</f>
        <v>2</v>
      </c>
      <c r="H694" s="3">
        <f>Gegenstände!G694</f>
        <v>58</v>
      </c>
      <c r="I694" s="3">
        <f>Gegenstände!D694</f>
        <v>3</v>
      </c>
      <c r="J694" s="168">
        <f>ROUND(Gegenstände!N694,0)</f>
        <v>2800</v>
      </c>
      <c r="K694" s="3">
        <f>Gegenstände!J694</f>
        <v>100</v>
      </c>
      <c r="L694" s="3">
        <f>Gegenstände!L694</f>
        <v>1</v>
      </c>
      <c r="M694" s="3">
        <f>Gegenstände!Z694</f>
        <v>0</v>
      </c>
      <c r="N694" s="783">
        <f>(Gegenstände!Y694*10)</f>
        <v>0</v>
      </c>
      <c r="O694" s="783">
        <f>(Gegenstände!W694*10)</f>
        <v>0</v>
      </c>
      <c r="P694" s="783">
        <f>Gegenstände!AA694*10</f>
        <v>0</v>
      </c>
      <c r="Q694" s="783">
        <f>Gegenstände!O694</f>
        <v>0</v>
      </c>
      <c r="R694" s="168">
        <f>Gegenstände!S694</f>
        <v>0</v>
      </c>
      <c r="S694" s="168">
        <f>Gegenstände!T694</f>
        <v>0</v>
      </c>
      <c r="T694" s="783">
        <f>Gegenstände!AC694</f>
        <v>0</v>
      </c>
      <c r="U694" s="783">
        <f>Gegenstände!AE694</f>
        <v>0</v>
      </c>
      <c r="V694" s="783">
        <f>Gegenstände!AD694</f>
        <v>0</v>
      </c>
      <c r="W694" s="783">
        <f>Gegenstände!AF694</f>
        <v>0</v>
      </c>
      <c r="AB694" s="3">
        <f>Gegenstände!M694</f>
        <v>0</v>
      </c>
      <c r="AC694" s="3">
        <f>Gegenstände!AB694</f>
        <v>0</v>
      </c>
      <c r="AD694" s="3">
        <f>Gegenstände!F694</f>
        <v>2131</v>
      </c>
    </row>
    <row r="695" spans="1:30" x14ac:dyDescent="0.2">
      <c r="A695" s="3">
        <f>Gegenstände!A695</f>
        <v>3132</v>
      </c>
      <c r="B695" s="3" t="str">
        <f>Gegenstände!B695</f>
        <v>Quarz-Axt (Plan)</v>
      </c>
      <c r="D695" s="3">
        <f>Gegenstände!K695</f>
        <v>1000</v>
      </c>
      <c r="E695" s="3">
        <f>Gegenstände!I695</f>
        <v>35</v>
      </c>
      <c r="F695" s="3">
        <f>VLOOKUP(Gegenstände!E695,Berechnungen!$E$87:$F$115,2,FALSE)</f>
        <v>35</v>
      </c>
      <c r="G695" s="3">
        <f>Gegenstände!H695</f>
        <v>2</v>
      </c>
      <c r="H695" s="3">
        <f>Gegenstände!G695</f>
        <v>58</v>
      </c>
      <c r="I695" s="3">
        <f>Gegenstände!D695</f>
        <v>8</v>
      </c>
      <c r="J695" s="168">
        <f>ROUND(Gegenstände!N695,0)</f>
        <v>5700</v>
      </c>
      <c r="K695" s="3">
        <f>Gegenstände!J695</f>
        <v>100</v>
      </c>
      <c r="L695" s="3">
        <f>Gegenstände!L695</f>
        <v>1</v>
      </c>
      <c r="M695" s="3">
        <f>Gegenstände!Z695</f>
        <v>0</v>
      </c>
      <c r="N695" s="783">
        <f>(Gegenstände!Y695*10)</f>
        <v>0</v>
      </c>
      <c r="O695" s="783">
        <f>(Gegenstände!W695*10)</f>
        <v>0</v>
      </c>
      <c r="P695" s="783">
        <f>Gegenstände!AA695*10</f>
        <v>0</v>
      </c>
      <c r="Q695" s="783">
        <f>Gegenstände!O695</f>
        <v>0</v>
      </c>
      <c r="R695" s="168">
        <f>Gegenstände!S695</f>
        <v>0</v>
      </c>
      <c r="S695" s="168">
        <f>Gegenstände!T695</f>
        <v>0</v>
      </c>
      <c r="T695" s="783">
        <f>Gegenstände!AC695</f>
        <v>0</v>
      </c>
      <c r="U695" s="783">
        <f>Gegenstände!AE695</f>
        <v>0</v>
      </c>
      <c r="V695" s="783">
        <f>Gegenstände!AD695</f>
        <v>0</v>
      </c>
      <c r="W695" s="783">
        <f>Gegenstände!AF695</f>
        <v>0</v>
      </c>
      <c r="AB695" s="3">
        <f>Gegenstände!M695</f>
        <v>0</v>
      </c>
      <c r="AC695" s="3">
        <f>Gegenstände!AB695</f>
        <v>0</v>
      </c>
      <c r="AD695" s="3">
        <f>Gegenstände!F695</f>
        <v>2132</v>
      </c>
    </row>
    <row r="696" spans="1:30" x14ac:dyDescent="0.2">
      <c r="A696" s="3">
        <f>Gegenstände!A696</f>
        <v>3133</v>
      </c>
      <c r="B696" s="3" t="str">
        <f>Gegenstände!B696</f>
        <v>Smaragd-Axt (Plan)</v>
      </c>
      <c r="D696" s="3">
        <f>Gegenstände!K696</f>
        <v>1000</v>
      </c>
      <c r="E696" s="3">
        <f>Gegenstände!I696</f>
        <v>35</v>
      </c>
      <c r="F696" s="3">
        <f>VLOOKUP(Gegenstände!E696,Berechnungen!$E$87:$F$115,2,FALSE)</f>
        <v>35</v>
      </c>
      <c r="G696" s="3">
        <f>Gegenstände!H696</f>
        <v>2</v>
      </c>
      <c r="H696" s="3">
        <f>Gegenstände!G696</f>
        <v>58</v>
      </c>
      <c r="I696" s="3">
        <f>Gegenstände!D696</f>
        <v>13</v>
      </c>
      <c r="J696" s="168">
        <f>ROUND(Gegenstände!N696,0)</f>
        <v>11400</v>
      </c>
      <c r="K696" s="3">
        <f>Gegenstände!J696</f>
        <v>100</v>
      </c>
      <c r="L696" s="3">
        <f>Gegenstände!L696</f>
        <v>1</v>
      </c>
      <c r="M696" s="3">
        <f>Gegenstände!Z696</f>
        <v>0</v>
      </c>
      <c r="N696" s="783">
        <f>(Gegenstände!Y696*10)</f>
        <v>0</v>
      </c>
      <c r="O696" s="783">
        <f>(Gegenstände!W696*10)</f>
        <v>0</v>
      </c>
      <c r="P696" s="783">
        <f>Gegenstände!AA696*10</f>
        <v>0</v>
      </c>
      <c r="Q696" s="783">
        <f>Gegenstände!O696</f>
        <v>0</v>
      </c>
      <c r="R696" s="168">
        <f>Gegenstände!S696</f>
        <v>0</v>
      </c>
      <c r="S696" s="168">
        <f>Gegenstände!T696</f>
        <v>0</v>
      </c>
      <c r="T696" s="783">
        <f>Gegenstände!AC696</f>
        <v>0</v>
      </c>
      <c r="U696" s="783">
        <f>Gegenstände!AE696</f>
        <v>0</v>
      </c>
      <c r="V696" s="783">
        <f>Gegenstände!AD696</f>
        <v>0</v>
      </c>
      <c r="W696" s="783">
        <f>Gegenstände!AF696</f>
        <v>0</v>
      </c>
      <c r="AB696" s="3">
        <f>Gegenstände!M696</f>
        <v>0</v>
      </c>
      <c r="AC696" s="3">
        <f>Gegenstände!AB696</f>
        <v>0</v>
      </c>
      <c r="AD696" s="3">
        <f>Gegenstände!F696</f>
        <v>2133</v>
      </c>
    </row>
    <row r="697" spans="1:30" x14ac:dyDescent="0.2">
      <c r="A697" s="3">
        <f>Gegenstände!A697</f>
        <v>3134</v>
      </c>
      <c r="B697" s="3" t="str">
        <f>Gegenstände!B697</f>
        <v>Rubin-Axt (Plan)</v>
      </c>
      <c r="D697" s="3">
        <f>Gegenstände!K697</f>
        <v>1000</v>
      </c>
      <c r="E697" s="3">
        <f>Gegenstände!I697</f>
        <v>35</v>
      </c>
      <c r="F697" s="3">
        <f>VLOOKUP(Gegenstände!E697,Berechnungen!$E$87:$F$115,2,FALSE)</f>
        <v>35</v>
      </c>
      <c r="G697" s="3">
        <f>Gegenstände!H697</f>
        <v>2</v>
      </c>
      <c r="H697" s="3">
        <f>Gegenstände!G697</f>
        <v>58</v>
      </c>
      <c r="I697" s="3">
        <f>Gegenstände!D697</f>
        <v>18</v>
      </c>
      <c r="J697" s="168">
        <f>ROUND(Gegenstände!N697,0)</f>
        <v>21900</v>
      </c>
      <c r="K697" s="3">
        <f>Gegenstände!J697</f>
        <v>100</v>
      </c>
      <c r="L697" s="3">
        <f>Gegenstände!L697</f>
        <v>1</v>
      </c>
      <c r="M697" s="3">
        <f>Gegenstände!Z697</f>
        <v>0</v>
      </c>
      <c r="N697" s="783">
        <f>(Gegenstände!Y697*10)</f>
        <v>0</v>
      </c>
      <c r="O697" s="783">
        <f>(Gegenstände!W697*10)</f>
        <v>0</v>
      </c>
      <c r="P697" s="783">
        <f>Gegenstände!AA697*10</f>
        <v>0</v>
      </c>
      <c r="Q697" s="783">
        <f>Gegenstände!O697</f>
        <v>0</v>
      </c>
      <c r="R697" s="168">
        <f>Gegenstände!S697</f>
        <v>0</v>
      </c>
      <c r="S697" s="168">
        <f>Gegenstände!T697</f>
        <v>0</v>
      </c>
      <c r="T697" s="783">
        <f>Gegenstände!AC697</f>
        <v>0</v>
      </c>
      <c r="U697" s="783">
        <f>Gegenstände!AE697</f>
        <v>0</v>
      </c>
      <c r="V697" s="783">
        <f>Gegenstände!AD697</f>
        <v>0</v>
      </c>
      <c r="W697" s="783">
        <f>Gegenstände!AF697</f>
        <v>0</v>
      </c>
      <c r="AB697" s="3">
        <f>Gegenstände!M697</f>
        <v>0</v>
      </c>
      <c r="AC697" s="3">
        <f>Gegenstände!AB697</f>
        <v>0</v>
      </c>
      <c r="AD697" s="3">
        <f>Gegenstände!F697</f>
        <v>2134</v>
      </c>
    </row>
    <row r="698" spans="1:30" x14ac:dyDescent="0.2">
      <c r="A698" s="3">
        <f>Gegenstände!A698</f>
        <v>3135</v>
      </c>
      <c r="B698" s="3" t="str">
        <f>Gegenstände!B698</f>
        <v>Obsidian-Axt (Plan)</v>
      </c>
      <c r="D698" s="3">
        <f>Gegenstände!K698</f>
        <v>1000</v>
      </c>
      <c r="E698" s="3">
        <f>Gegenstände!I698</f>
        <v>35</v>
      </c>
      <c r="F698" s="3">
        <f>VLOOKUP(Gegenstände!E698,Berechnungen!$E$87:$F$115,2,FALSE)</f>
        <v>35</v>
      </c>
      <c r="G698" s="3">
        <f>Gegenstände!H698</f>
        <v>2</v>
      </c>
      <c r="H698" s="3">
        <f>Gegenstände!G698</f>
        <v>58</v>
      </c>
      <c r="I698" s="3">
        <f>Gegenstände!D698</f>
        <v>24</v>
      </c>
      <c r="J698" s="168">
        <f>ROUND(Gegenstände!N698,0)</f>
        <v>44400</v>
      </c>
      <c r="K698" s="3">
        <f>Gegenstände!J698</f>
        <v>100</v>
      </c>
      <c r="L698" s="3">
        <f>Gegenstände!L698</f>
        <v>1</v>
      </c>
      <c r="M698" s="3">
        <f>Gegenstände!Z698</f>
        <v>0</v>
      </c>
      <c r="N698" s="783">
        <f>(Gegenstände!Y698*10)</f>
        <v>0</v>
      </c>
      <c r="O698" s="783">
        <f>(Gegenstände!W698*10)</f>
        <v>0</v>
      </c>
      <c r="P698" s="783">
        <f>Gegenstände!AA698*10</f>
        <v>0</v>
      </c>
      <c r="Q698" s="783">
        <f>Gegenstände!O698</f>
        <v>0</v>
      </c>
      <c r="R698" s="168">
        <f>Gegenstände!S698</f>
        <v>0</v>
      </c>
      <c r="S698" s="168">
        <f>Gegenstände!T698</f>
        <v>0</v>
      </c>
      <c r="T698" s="783">
        <f>Gegenstände!AC698</f>
        <v>0</v>
      </c>
      <c r="U698" s="783">
        <f>Gegenstände!AE698</f>
        <v>0</v>
      </c>
      <c r="V698" s="783">
        <f>Gegenstände!AD698</f>
        <v>0</v>
      </c>
      <c r="W698" s="783">
        <f>Gegenstände!AF698</f>
        <v>0</v>
      </c>
      <c r="AB698" s="3">
        <f>Gegenstände!M698</f>
        <v>0</v>
      </c>
      <c r="AC698" s="3">
        <f>Gegenstände!AB698</f>
        <v>0</v>
      </c>
      <c r="AD698" s="3">
        <f>Gegenstände!F698</f>
        <v>2135</v>
      </c>
    </row>
    <row r="699" spans="1:30" x14ac:dyDescent="0.2">
      <c r="A699" s="3">
        <f>Gegenstände!A699</f>
        <v>0</v>
      </c>
      <c r="B699" s="3">
        <f>Gegenstände!B699</f>
        <v>0</v>
      </c>
      <c r="D699" s="3">
        <f>Gegenstände!K699</f>
        <v>0</v>
      </c>
      <c r="E699" s="3">
        <f>Gegenstände!I699</f>
        <v>0</v>
      </c>
      <c r="F699" s="3" t="e">
        <f>VLOOKUP(Gegenstände!E699,Berechnungen!$E$87:$F$115,2,FALSE)</f>
        <v>#N/A</v>
      </c>
      <c r="G699" s="3">
        <f>Gegenstände!H699</f>
        <v>0</v>
      </c>
      <c r="H699" s="3">
        <f>Gegenstände!G699</f>
        <v>0</v>
      </c>
      <c r="I699" s="3">
        <f>Gegenstände!D699</f>
        <v>0</v>
      </c>
      <c r="J699" s="168">
        <f>ROUND(Gegenstände!N699,0)</f>
        <v>0</v>
      </c>
      <c r="K699" s="3">
        <f>Gegenstände!J699</f>
        <v>0</v>
      </c>
      <c r="L699" s="3">
        <f>Gegenstände!L699</f>
        <v>0</v>
      </c>
      <c r="M699" s="3">
        <f>Gegenstände!Z699</f>
        <v>0</v>
      </c>
      <c r="N699" s="783">
        <f>(Gegenstände!Y699*10)</f>
        <v>0</v>
      </c>
      <c r="O699" s="783">
        <f>(Gegenstände!W699*10)</f>
        <v>0</v>
      </c>
      <c r="P699" s="783">
        <f>Gegenstände!AA699*10</f>
        <v>0</v>
      </c>
      <c r="Q699" s="783">
        <f>Gegenstände!O699</f>
        <v>0</v>
      </c>
      <c r="R699" s="168">
        <f>Gegenstände!S699</f>
        <v>0</v>
      </c>
      <c r="S699" s="168">
        <f>Gegenstände!T699</f>
        <v>0</v>
      </c>
      <c r="T699" s="783">
        <f>Gegenstände!AC699</f>
        <v>0</v>
      </c>
      <c r="U699" s="783">
        <f>Gegenstände!AE699</f>
        <v>0</v>
      </c>
      <c r="V699" s="783">
        <f>Gegenstände!AD699</f>
        <v>0</v>
      </c>
      <c r="W699" s="783">
        <f>Gegenstände!AF699</f>
        <v>0</v>
      </c>
      <c r="AB699" s="3">
        <f>Gegenstände!M699</f>
        <v>0</v>
      </c>
      <c r="AC699" s="3">
        <f>Gegenstände!AB699</f>
        <v>0</v>
      </c>
      <c r="AD699" s="3">
        <f>Gegenstände!F699</f>
        <v>0</v>
      </c>
    </row>
    <row r="700" spans="1:30" x14ac:dyDescent="0.2">
      <c r="A700" s="3">
        <f>Gegenstände!A700</f>
        <v>3141</v>
      </c>
      <c r="B700" s="3" t="str">
        <f>Gegenstände!B700</f>
        <v>Quarz-Prunkaxt (Plan)</v>
      </c>
      <c r="D700" s="3">
        <f>Gegenstände!K700</f>
        <v>1000</v>
      </c>
      <c r="E700" s="3">
        <f>Gegenstände!I700</f>
        <v>35</v>
      </c>
      <c r="F700" s="3">
        <f>VLOOKUP(Gegenstände!E700,Berechnungen!$E$87:$F$115,2,FALSE)</f>
        <v>35</v>
      </c>
      <c r="G700" s="3">
        <f>Gegenstände!H700</f>
        <v>2</v>
      </c>
      <c r="H700" s="3">
        <f>Gegenstände!G700</f>
        <v>58</v>
      </c>
      <c r="I700" s="3">
        <f>Gegenstände!D700</f>
        <v>9</v>
      </c>
      <c r="J700" s="168">
        <f>ROUND(Gegenstände!N700,0)</f>
        <v>12000</v>
      </c>
      <c r="K700" s="3">
        <f>Gegenstände!J700</f>
        <v>100</v>
      </c>
      <c r="L700" s="3">
        <f>Gegenstände!L700</f>
        <v>1</v>
      </c>
      <c r="M700" s="3">
        <f>Gegenstände!Z700</f>
        <v>0</v>
      </c>
      <c r="N700" s="783">
        <f>(Gegenstände!Y700*10)</f>
        <v>0</v>
      </c>
      <c r="O700" s="783">
        <f>(Gegenstände!W700*10)</f>
        <v>0</v>
      </c>
      <c r="P700" s="783">
        <f>Gegenstände!AA700*10</f>
        <v>0</v>
      </c>
      <c r="Q700" s="783">
        <f>Gegenstände!O700</f>
        <v>0</v>
      </c>
      <c r="R700" s="168">
        <f>Gegenstände!S700</f>
        <v>0</v>
      </c>
      <c r="S700" s="168">
        <f>Gegenstände!T700</f>
        <v>0</v>
      </c>
      <c r="T700" s="783">
        <f>Gegenstände!AC700</f>
        <v>0</v>
      </c>
      <c r="U700" s="783">
        <f>Gegenstände!AE700</f>
        <v>0</v>
      </c>
      <c r="V700" s="783">
        <f>Gegenstände!AD700</f>
        <v>0</v>
      </c>
      <c r="W700" s="783">
        <f>Gegenstände!AF700</f>
        <v>0</v>
      </c>
      <c r="AB700" s="3">
        <f>Gegenstände!M700</f>
        <v>0</v>
      </c>
      <c r="AC700" s="3">
        <f>Gegenstände!AB700</f>
        <v>0</v>
      </c>
      <c r="AD700" s="3">
        <f>Gegenstände!F700</f>
        <v>2141</v>
      </c>
    </row>
    <row r="701" spans="1:30" x14ac:dyDescent="0.2">
      <c r="A701" s="3">
        <f>Gegenstände!A701</f>
        <v>3142</v>
      </c>
      <c r="B701" s="3" t="str">
        <f>Gegenstände!B701</f>
        <v>Smaragd-Prunkaxt (Plan)</v>
      </c>
      <c r="D701" s="3">
        <f>Gegenstände!K701</f>
        <v>1000</v>
      </c>
      <c r="E701" s="3">
        <f>Gegenstände!I701</f>
        <v>35</v>
      </c>
      <c r="F701" s="3">
        <f>VLOOKUP(Gegenstände!E701,Berechnungen!$E$87:$F$115,2,FALSE)</f>
        <v>35</v>
      </c>
      <c r="G701" s="3">
        <f>Gegenstände!H701</f>
        <v>2</v>
      </c>
      <c r="H701" s="3">
        <f>Gegenstände!G701</f>
        <v>58</v>
      </c>
      <c r="I701" s="3">
        <f>Gegenstände!D701</f>
        <v>14</v>
      </c>
      <c r="J701" s="168">
        <f>ROUND(Gegenstände!N701,0)</f>
        <v>24200</v>
      </c>
      <c r="K701" s="3">
        <f>Gegenstände!J701</f>
        <v>100</v>
      </c>
      <c r="L701" s="3">
        <f>Gegenstände!L701</f>
        <v>1</v>
      </c>
      <c r="M701" s="3">
        <f>Gegenstände!Z701</f>
        <v>0</v>
      </c>
      <c r="N701" s="783">
        <f>(Gegenstände!Y701*10)</f>
        <v>0</v>
      </c>
      <c r="O701" s="783">
        <f>(Gegenstände!W701*10)</f>
        <v>0</v>
      </c>
      <c r="P701" s="783">
        <f>Gegenstände!AA701*10</f>
        <v>0</v>
      </c>
      <c r="Q701" s="783">
        <f>Gegenstände!O701</f>
        <v>0</v>
      </c>
      <c r="R701" s="168">
        <f>Gegenstände!S701</f>
        <v>0</v>
      </c>
      <c r="S701" s="168">
        <f>Gegenstände!T701</f>
        <v>0</v>
      </c>
      <c r="T701" s="783">
        <f>Gegenstände!AC701</f>
        <v>0</v>
      </c>
      <c r="U701" s="783">
        <f>Gegenstände!AE701</f>
        <v>0</v>
      </c>
      <c r="V701" s="783">
        <f>Gegenstände!AD701</f>
        <v>0</v>
      </c>
      <c r="W701" s="783">
        <f>Gegenstände!AF701</f>
        <v>0</v>
      </c>
      <c r="AB701" s="3">
        <f>Gegenstände!M701</f>
        <v>0</v>
      </c>
      <c r="AC701" s="3">
        <f>Gegenstände!AB701</f>
        <v>0</v>
      </c>
      <c r="AD701" s="3">
        <f>Gegenstände!F701</f>
        <v>2142</v>
      </c>
    </row>
    <row r="702" spans="1:30" x14ac:dyDescent="0.2">
      <c r="A702" s="3">
        <f>Gegenstände!A702</f>
        <v>3143</v>
      </c>
      <c r="B702" s="3" t="str">
        <f>Gegenstände!B702</f>
        <v>Rubin-Prunkaxt (Plan)</v>
      </c>
      <c r="D702" s="3">
        <f>Gegenstände!K702</f>
        <v>1000</v>
      </c>
      <c r="E702" s="3">
        <f>Gegenstände!I702</f>
        <v>35</v>
      </c>
      <c r="F702" s="3">
        <f>VLOOKUP(Gegenstände!E702,Berechnungen!$E$87:$F$115,2,FALSE)</f>
        <v>35</v>
      </c>
      <c r="G702" s="3">
        <f>Gegenstände!H702</f>
        <v>2</v>
      </c>
      <c r="H702" s="3">
        <f>Gegenstände!G702</f>
        <v>58</v>
      </c>
      <c r="I702" s="3">
        <f>Gegenstände!D702</f>
        <v>19</v>
      </c>
      <c r="J702" s="168">
        <f>ROUND(Gegenstände!N702,0)</f>
        <v>46000</v>
      </c>
      <c r="K702" s="3">
        <f>Gegenstände!J702</f>
        <v>100</v>
      </c>
      <c r="L702" s="3">
        <f>Gegenstände!L702</f>
        <v>1</v>
      </c>
      <c r="M702" s="3">
        <f>Gegenstände!Z702</f>
        <v>0</v>
      </c>
      <c r="N702" s="783">
        <f>(Gegenstände!Y702*10)</f>
        <v>0</v>
      </c>
      <c r="O702" s="783">
        <f>(Gegenstände!W702*10)</f>
        <v>0</v>
      </c>
      <c r="P702" s="783">
        <f>Gegenstände!AA702*10</f>
        <v>0</v>
      </c>
      <c r="Q702" s="783">
        <f>Gegenstände!O702</f>
        <v>0</v>
      </c>
      <c r="R702" s="168">
        <f>Gegenstände!S702</f>
        <v>0</v>
      </c>
      <c r="S702" s="168">
        <f>Gegenstände!T702</f>
        <v>0</v>
      </c>
      <c r="T702" s="783">
        <f>Gegenstände!AC702</f>
        <v>0</v>
      </c>
      <c r="U702" s="783">
        <f>Gegenstände!AE702</f>
        <v>0</v>
      </c>
      <c r="V702" s="783">
        <f>Gegenstände!AD702</f>
        <v>0</v>
      </c>
      <c r="W702" s="783">
        <f>Gegenstände!AF702</f>
        <v>0</v>
      </c>
      <c r="AB702" s="3">
        <f>Gegenstände!M702</f>
        <v>0</v>
      </c>
      <c r="AC702" s="3">
        <f>Gegenstände!AB702</f>
        <v>0</v>
      </c>
      <c r="AD702" s="3">
        <f>Gegenstände!F702</f>
        <v>2143</v>
      </c>
    </row>
    <row r="703" spans="1:30" x14ac:dyDescent="0.2">
      <c r="A703" s="3">
        <f>Gegenstände!A703</f>
        <v>3144</v>
      </c>
      <c r="B703" s="3" t="str">
        <f>Gegenstände!B703</f>
        <v>Obsidian-Prunkaxt (Plan)</v>
      </c>
      <c r="D703" s="3">
        <f>Gegenstände!K703</f>
        <v>1000</v>
      </c>
      <c r="E703" s="3">
        <f>Gegenstände!I703</f>
        <v>35</v>
      </c>
      <c r="F703" s="3">
        <f>VLOOKUP(Gegenstände!E703,Berechnungen!$E$87:$F$115,2,FALSE)</f>
        <v>35</v>
      </c>
      <c r="G703" s="3">
        <f>Gegenstände!H703</f>
        <v>2</v>
      </c>
      <c r="H703" s="3">
        <f>Gegenstände!G703</f>
        <v>58</v>
      </c>
      <c r="I703" s="3">
        <f>Gegenstände!D703</f>
        <v>24</v>
      </c>
      <c r="J703" s="168">
        <f>ROUND(Gegenstände!N703,0)</f>
        <v>82300</v>
      </c>
      <c r="K703" s="3">
        <f>Gegenstände!J703</f>
        <v>100</v>
      </c>
      <c r="L703" s="3">
        <f>Gegenstände!L703</f>
        <v>1</v>
      </c>
      <c r="M703" s="3">
        <f>Gegenstände!Z703</f>
        <v>0</v>
      </c>
      <c r="N703" s="783">
        <f>(Gegenstände!Y703*10)</f>
        <v>0</v>
      </c>
      <c r="O703" s="783">
        <f>(Gegenstände!W703*10)</f>
        <v>0</v>
      </c>
      <c r="P703" s="783">
        <f>Gegenstände!AA703*10</f>
        <v>0</v>
      </c>
      <c r="Q703" s="783">
        <f>Gegenstände!O703</f>
        <v>0</v>
      </c>
      <c r="R703" s="168">
        <f>Gegenstände!S703</f>
        <v>0</v>
      </c>
      <c r="S703" s="168">
        <f>Gegenstände!T703</f>
        <v>0</v>
      </c>
      <c r="T703" s="783">
        <f>Gegenstände!AC703</f>
        <v>0</v>
      </c>
      <c r="U703" s="783">
        <f>Gegenstände!AE703</f>
        <v>0</v>
      </c>
      <c r="V703" s="783">
        <f>Gegenstände!AD703</f>
        <v>0</v>
      </c>
      <c r="W703" s="783">
        <f>Gegenstände!AF703</f>
        <v>0</v>
      </c>
      <c r="AB703" s="3">
        <f>Gegenstände!M703</f>
        <v>0</v>
      </c>
      <c r="AC703" s="3">
        <f>Gegenstände!AB703</f>
        <v>0</v>
      </c>
      <c r="AD703" s="3">
        <f>Gegenstände!F703</f>
        <v>2144</v>
      </c>
    </row>
    <row r="704" spans="1:30" x14ac:dyDescent="0.2">
      <c r="A704" s="3">
        <f>Gegenstände!A704</f>
        <v>0</v>
      </c>
      <c r="B704" s="3">
        <f>Gegenstände!B704</f>
        <v>0</v>
      </c>
      <c r="D704" s="3">
        <f>Gegenstände!K704</f>
        <v>0</v>
      </c>
      <c r="E704" s="3">
        <f>Gegenstände!I704</f>
        <v>0</v>
      </c>
      <c r="F704" s="3" t="e">
        <f>VLOOKUP(Gegenstände!E704,Berechnungen!$E$87:$F$115,2,FALSE)</f>
        <v>#N/A</v>
      </c>
      <c r="G704" s="3">
        <f>Gegenstände!H704</f>
        <v>0</v>
      </c>
      <c r="H704" s="3">
        <f>Gegenstände!G704</f>
        <v>0</v>
      </c>
      <c r="I704" s="3">
        <f>Gegenstände!D704</f>
        <v>0</v>
      </c>
      <c r="J704" s="168">
        <f>ROUND(Gegenstände!N704,0)</f>
        <v>0</v>
      </c>
      <c r="K704" s="3">
        <f>Gegenstände!J704</f>
        <v>0</v>
      </c>
      <c r="L704" s="3">
        <f>Gegenstände!L704</f>
        <v>0</v>
      </c>
      <c r="M704" s="3">
        <f>Gegenstände!Z704</f>
        <v>0</v>
      </c>
      <c r="N704" s="783">
        <f>(Gegenstände!Y704*10)</f>
        <v>0</v>
      </c>
      <c r="O704" s="783">
        <f>(Gegenstände!W704*10)</f>
        <v>0</v>
      </c>
      <c r="P704" s="783">
        <f>Gegenstände!AA704*10</f>
        <v>0</v>
      </c>
      <c r="Q704" s="783">
        <f>Gegenstände!O704</f>
        <v>0</v>
      </c>
      <c r="R704" s="168">
        <f>Gegenstände!S704</f>
        <v>0</v>
      </c>
      <c r="S704" s="168">
        <f>Gegenstände!T704</f>
        <v>0</v>
      </c>
      <c r="T704" s="783">
        <f>Gegenstände!AC704</f>
        <v>0</v>
      </c>
      <c r="U704" s="783">
        <f>Gegenstände!AE704</f>
        <v>0</v>
      </c>
      <c r="V704" s="783">
        <f>Gegenstände!AD704</f>
        <v>0</v>
      </c>
      <c r="W704" s="783">
        <f>Gegenstände!AF704</f>
        <v>0</v>
      </c>
      <c r="AB704" s="3">
        <f>Gegenstände!M704</f>
        <v>0</v>
      </c>
      <c r="AC704" s="3">
        <f>Gegenstände!AB704</f>
        <v>0</v>
      </c>
      <c r="AD704" s="3">
        <f>Gegenstände!F704</f>
        <v>0</v>
      </c>
    </row>
    <row r="705" spans="1:30" x14ac:dyDescent="0.2">
      <c r="A705" s="3">
        <f>Gegenstände!A705</f>
        <v>3151</v>
      </c>
      <c r="B705" s="3" t="str">
        <f>Gegenstände!B705</f>
        <v>Kristall-Hammer (Plan)</v>
      </c>
      <c r="D705" s="3">
        <f>Gegenstände!K705</f>
        <v>1000</v>
      </c>
      <c r="E705" s="3">
        <f>Gegenstände!I705</f>
        <v>35</v>
      </c>
      <c r="F705" s="3">
        <f>VLOOKUP(Gegenstände!E705,Berechnungen!$E$87:$F$115,2,FALSE)</f>
        <v>35</v>
      </c>
      <c r="G705" s="3">
        <f>Gegenstände!H705</f>
        <v>2</v>
      </c>
      <c r="H705" s="3">
        <f>Gegenstände!G705</f>
        <v>59</v>
      </c>
      <c r="I705" s="3">
        <f>Gegenstände!D705</f>
        <v>3</v>
      </c>
      <c r="J705" s="168">
        <f>ROUND(Gegenstände!N705,0)</f>
        <v>2800</v>
      </c>
      <c r="K705" s="3">
        <f>Gegenstände!J705</f>
        <v>100</v>
      </c>
      <c r="L705" s="3">
        <f>Gegenstände!L705</f>
        <v>1</v>
      </c>
      <c r="M705" s="3">
        <f>Gegenstände!Z705</f>
        <v>0</v>
      </c>
      <c r="N705" s="783">
        <f>(Gegenstände!Y705*10)</f>
        <v>0</v>
      </c>
      <c r="O705" s="783">
        <f>(Gegenstände!W705*10)</f>
        <v>0</v>
      </c>
      <c r="P705" s="783">
        <f>Gegenstände!AA705*10</f>
        <v>0</v>
      </c>
      <c r="Q705" s="783">
        <f>Gegenstände!O705</f>
        <v>0</v>
      </c>
      <c r="R705" s="168">
        <f>Gegenstände!S705</f>
        <v>0</v>
      </c>
      <c r="S705" s="168">
        <f>Gegenstände!T705</f>
        <v>0</v>
      </c>
      <c r="T705" s="783">
        <f>Gegenstände!AC705</f>
        <v>0</v>
      </c>
      <c r="U705" s="783">
        <f>Gegenstände!AE705</f>
        <v>0</v>
      </c>
      <c r="V705" s="783">
        <f>Gegenstände!AD705</f>
        <v>0</v>
      </c>
      <c r="W705" s="783">
        <f>Gegenstände!AF705</f>
        <v>0</v>
      </c>
      <c r="AB705" s="3">
        <f>Gegenstände!M705</f>
        <v>0</v>
      </c>
      <c r="AC705" s="3">
        <f>Gegenstände!AB705</f>
        <v>0</v>
      </c>
      <c r="AD705" s="3">
        <f>Gegenstände!F705</f>
        <v>2151</v>
      </c>
    </row>
    <row r="706" spans="1:30" x14ac:dyDescent="0.2">
      <c r="A706" s="3">
        <f>Gegenstände!A706</f>
        <v>3152</v>
      </c>
      <c r="B706" s="3" t="str">
        <f>Gegenstände!B706</f>
        <v>Quarz-Hammer (Plan)</v>
      </c>
      <c r="D706" s="3">
        <f>Gegenstände!K706</f>
        <v>1000</v>
      </c>
      <c r="E706" s="3">
        <f>Gegenstände!I706</f>
        <v>35</v>
      </c>
      <c r="F706" s="3">
        <f>VLOOKUP(Gegenstände!E706,Berechnungen!$E$87:$F$115,2,FALSE)</f>
        <v>35</v>
      </c>
      <c r="G706" s="3">
        <f>Gegenstände!H706</f>
        <v>2</v>
      </c>
      <c r="H706" s="3">
        <f>Gegenstände!G706</f>
        <v>59</v>
      </c>
      <c r="I706" s="3">
        <f>Gegenstände!D706</f>
        <v>8</v>
      </c>
      <c r="J706" s="168">
        <f>ROUND(Gegenstände!N706,0)</f>
        <v>5700</v>
      </c>
      <c r="K706" s="3">
        <f>Gegenstände!J706</f>
        <v>100</v>
      </c>
      <c r="L706" s="3">
        <f>Gegenstände!L706</f>
        <v>1</v>
      </c>
      <c r="M706" s="3">
        <f>Gegenstände!Z706</f>
        <v>0</v>
      </c>
      <c r="N706" s="783">
        <f>(Gegenstände!Y706*10)</f>
        <v>0</v>
      </c>
      <c r="O706" s="783">
        <f>(Gegenstände!W706*10)</f>
        <v>0</v>
      </c>
      <c r="P706" s="783">
        <f>Gegenstände!AA706*10</f>
        <v>0</v>
      </c>
      <c r="Q706" s="783">
        <f>Gegenstände!O706</f>
        <v>0</v>
      </c>
      <c r="R706" s="168">
        <f>Gegenstände!S706</f>
        <v>0</v>
      </c>
      <c r="S706" s="168">
        <f>Gegenstände!T706</f>
        <v>0</v>
      </c>
      <c r="T706" s="783">
        <f>Gegenstände!AC706</f>
        <v>0</v>
      </c>
      <c r="U706" s="783">
        <f>Gegenstände!AE706</f>
        <v>0</v>
      </c>
      <c r="V706" s="783">
        <f>Gegenstände!AD706</f>
        <v>0</v>
      </c>
      <c r="W706" s="783">
        <f>Gegenstände!AF706</f>
        <v>0</v>
      </c>
      <c r="AB706" s="3">
        <f>Gegenstände!M706</f>
        <v>0</v>
      </c>
      <c r="AC706" s="3">
        <f>Gegenstände!AB706</f>
        <v>0</v>
      </c>
      <c r="AD706" s="3">
        <f>Gegenstände!F706</f>
        <v>2152</v>
      </c>
    </row>
    <row r="707" spans="1:30" x14ac:dyDescent="0.2">
      <c r="A707" s="3">
        <f>Gegenstände!A707</f>
        <v>3153</v>
      </c>
      <c r="B707" s="3" t="str">
        <f>Gegenstände!B707</f>
        <v>Smaragd-Hammer (Plan)</v>
      </c>
      <c r="D707" s="3">
        <f>Gegenstände!K707</f>
        <v>1000</v>
      </c>
      <c r="E707" s="3">
        <f>Gegenstände!I707</f>
        <v>35</v>
      </c>
      <c r="F707" s="3">
        <f>VLOOKUP(Gegenstände!E707,Berechnungen!$E$87:$F$115,2,FALSE)</f>
        <v>35</v>
      </c>
      <c r="G707" s="3">
        <f>Gegenstände!H707</f>
        <v>2</v>
      </c>
      <c r="H707" s="3">
        <f>Gegenstände!G707</f>
        <v>59</v>
      </c>
      <c r="I707" s="3">
        <f>Gegenstände!D707</f>
        <v>13</v>
      </c>
      <c r="J707" s="168">
        <f>ROUND(Gegenstände!N707,0)</f>
        <v>11400</v>
      </c>
      <c r="K707" s="3">
        <f>Gegenstände!J707</f>
        <v>100</v>
      </c>
      <c r="L707" s="3">
        <f>Gegenstände!L707</f>
        <v>1</v>
      </c>
      <c r="M707" s="3">
        <f>Gegenstände!Z707</f>
        <v>0</v>
      </c>
      <c r="N707" s="783">
        <f>(Gegenstände!Y707*10)</f>
        <v>0</v>
      </c>
      <c r="O707" s="783">
        <f>(Gegenstände!W707*10)</f>
        <v>0</v>
      </c>
      <c r="P707" s="783">
        <f>Gegenstände!AA707*10</f>
        <v>0</v>
      </c>
      <c r="Q707" s="783">
        <f>Gegenstände!O707</f>
        <v>0</v>
      </c>
      <c r="R707" s="168">
        <f>Gegenstände!S707</f>
        <v>0</v>
      </c>
      <c r="S707" s="168">
        <f>Gegenstände!T707</f>
        <v>0</v>
      </c>
      <c r="T707" s="783">
        <f>Gegenstände!AC707</f>
        <v>0</v>
      </c>
      <c r="U707" s="783">
        <f>Gegenstände!AE707</f>
        <v>0</v>
      </c>
      <c r="V707" s="783">
        <f>Gegenstände!AD707</f>
        <v>0</v>
      </c>
      <c r="W707" s="783">
        <f>Gegenstände!AF707</f>
        <v>0</v>
      </c>
      <c r="AB707" s="3">
        <f>Gegenstände!M707</f>
        <v>0</v>
      </c>
      <c r="AC707" s="3">
        <f>Gegenstände!AB707</f>
        <v>0</v>
      </c>
      <c r="AD707" s="3">
        <f>Gegenstände!F707</f>
        <v>2153</v>
      </c>
    </row>
    <row r="708" spans="1:30" x14ac:dyDescent="0.2">
      <c r="A708" s="3">
        <f>Gegenstände!A708</f>
        <v>3154</v>
      </c>
      <c r="B708" s="3" t="str">
        <f>Gegenstände!B708</f>
        <v>Rubin-Hammer (Plan)</v>
      </c>
      <c r="D708" s="3">
        <f>Gegenstände!K708</f>
        <v>1000</v>
      </c>
      <c r="E708" s="3">
        <f>Gegenstände!I708</f>
        <v>35</v>
      </c>
      <c r="F708" s="3">
        <f>VLOOKUP(Gegenstände!E708,Berechnungen!$E$87:$F$115,2,FALSE)</f>
        <v>35</v>
      </c>
      <c r="G708" s="3">
        <f>Gegenstände!H708</f>
        <v>2</v>
      </c>
      <c r="H708" s="3">
        <f>Gegenstände!G708</f>
        <v>59</v>
      </c>
      <c r="I708" s="3">
        <f>Gegenstände!D708</f>
        <v>18</v>
      </c>
      <c r="J708" s="168">
        <f>ROUND(Gegenstände!N708,0)</f>
        <v>21900</v>
      </c>
      <c r="K708" s="3">
        <f>Gegenstände!J708</f>
        <v>100</v>
      </c>
      <c r="L708" s="3">
        <f>Gegenstände!L708</f>
        <v>1</v>
      </c>
      <c r="M708" s="3">
        <f>Gegenstände!Z708</f>
        <v>0</v>
      </c>
      <c r="N708" s="783">
        <f>(Gegenstände!Y708*10)</f>
        <v>0</v>
      </c>
      <c r="O708" s="783">
        <f>(Gegenstände!W708*10)</f>
        <v>0</v>
      </c>
      <c r="P708" s="783">
        <f>Gegenstände!AA708*10</f>
        <v>0</v>
      </c>
      <c r="Q708" s="783">
        <f>Gegenstände!O708</f>
        <v>0</v>
      </c>
      <c r="R708" s="168">
        <f>Gegenstände!S708</f>
        <v>0</v>
      </c>
      <c r="S708" s="168">
        <f>Gegenstände!T708</f>
        <v>0</v>
      </c>
      <c r="T708" s="783">
        <f>Gegenstände!AC708</f>
        <v>0</v>
      </c>
      <c r="U708" s="783">
        <f>Gegenstände!AE708</f>
        <v>0</v>
      </c>
      <c r="V708" s="783">
        <f>Gegenstände!AD708</f>
        <v>0</v>
      </c>
      <c r="W708" s="783">
        <f>Gegenstände!AF708</f>
        <v>0</v>
      </c>
      <c r="AB708" s="3">
        <f>Gegenstände!M708</f>
        <v>0</v>
      </c>
      <c r="AC708" s="3">
        <f>Gegenstände!AB708</f>
        <v>0</v>
      </c>
      <c r="AD708" s="3">
        <f>Gegenstände!F708</f>
        <v>2154</v>
      </c>
    </row>
    <row r="709" spans="1:30" x14ac:dyDescent="0.2">
      <c r="A709" s="3">
        <f>Gegenstände!A709</f>
        <v>3155</v>
      </c>
      <c r="B709" s="3" t="str">
        <f>Gegenstände!B709</f>
        <v>Obsidian-Hammer (Plan)</v>
      </c>
      <c r="D709" s="3">
        <f>Gegenstände!K709</f>
        <v>1000</v>
      </c>
      <c r="E709" s="3">
        <f>Gegenstände!I709</f>
        <v>35</v>
      </c>
      <c r="F709" s="3">
        <f>VLOOKUP(Gegenstände!E709,Berechnungen!$E$87:$F$115,2,FALSE)</f>
        <v>35</v>
      </c>
      <c r="G709" s="3">
        <f>Gegenstände!H709</f>
        <v>2</v>
      </c>
      <c r="H709" s="3">
        <f>Gegenstände!G709</f>
        <v>59</v>
      </c>
      <c r="I709" s="3">
        <f>Gegenstände!D709</f>
        <v>24</v>
      </c>
      <c r="J709" s="168">
        <f>ROUND(Gegenstände!N709,0)</f>
        <v>44400</v>
      </c>
      <c r="K709" s="3">
        <f>Gegenstände!J709</f>
        <v>100</v>
      </c>
      <c r="L709" s="3">
        <f>Gegenstände!L709</f>
        <v>1</v>
      </c>
      <c r="M709" s="3">
        <f>Gegenstände!Z709</f>
        <v>0</v>
      </c>
      <c r="N709" s="783">
        <f>(Gegenstände!Y709*10)</f>
        <v>0</v>
      </c>
      <c r="O709" s="783">
        <f>(Gegenstände!W709*10)</f>
        <v>0</v>
      </c>
      <c r="P709" s="783">
        <f>Gegenstände!AA709*10</f>
        <v>0</v>
      </c>
      <c r="Q709" s="783">
        <f>Gegenstände!O709</f>
        <v>0</v>
      </c>
      <c r="R709" s="168">
        <f>Gegenstände!S709</f>
        <v>0</v>
      </c>
      <c r="S709" s="168">
        <f>Gegenstände!T709</f>
        <v>0</v>
      </c>
      <c r="T709" s="783">
        <f>Gegenstände!AC709</f>
        <v>0</v>
      </c>
      <c r="U709" s="783">
        <f>Gegenstände!AE709</f>
        <v>0</v>
      </c>
      <c r="V709" s="783">
        <f>Gegenstände!AD709</f>
        <v>0</v>
      </c>
      <c r="W709" s="783">
        <f>Gegenstände!AF709</f>
        <v>0</v>
      </c>
      <c r="AB709" s="3">
        <f>Gegenstände!M709</f>
        <v>0</v>
      </c>
      <c r="AC709" s="3">
        <f>Gegenstände!AB709</f>
        <v>0</v>
      </c>
      <c r="AD709" s="3">
        <f>Gegenstände!F709</f>
        <v>2155</v>
      </c>
    </row>
    <row r="710" spans="1:30" x14ac:dyDescent="0.2">
      <c r="A710" s="3">
        <f>Gegenstände!A710</f>
        <v>0</v>
      </c>
      <c r="B710" s="3">
        <f>Gegenstände!B710</f>
        <v>0</v>
      </c>
      <c r="D710" s="3">
        <f>Gegenstände!K710</f>
        <v>0</v>
      </c>
      <c r="E710" s="3">
        <f>Gegenstände!I710</f>
        <v>0</v>
      </c>
      <c r="F710" s="3" t="e">
        <f>VLOOKUP(Gegenstände!E710,Berechnungen!$E$87:$F$115,2,FALSE)</f>
        <v>#N/A</v>
      </c>
      <c r="G710" s="3">
        <f>Gegenstände!H710</f>
        <v>0</v>
      </c>
      <c r="H710" s="3">
        <f>Gegenstände!G710</f>
        <v>0</v>
      </c>
      <c r="I710" s="3">
        <f>Gegenstände!D710</f>
        <v>0</v>
      </c>
      <c r="J710" s="168">
        <f>ROUND(Gegenstände!N710,0)</f>
        <v>0</v>
      </c>
      <c r="K710" s="3">
        <f>Gegenstände!J710</f>
        <v>0</v>
      </c>
      <c r="L710" s="3">
        <f>Gegenstände!L710</f>
        <v>0</v>
      </c>
      <c r="M710" s="3">
        <f>Gegenstände!Z710</f>
        <v>0</v>
      </c>
      <c r="N710" s="783">
        <f>(Gegenstände!Y710*10)</f>
        <v>0</v>
      </c>
      <c r="O710" s="783">
        <f>(Gegenstände!W710*10)</f>
        <v>0</v>
      </c>
      <c r="P710" s="783">
        <f>Gegenstände!AA710*10</f>
        <v>0</v>
      </c>
      <c r="Q710" s="783">
        <f>Gegenstände!O710</f>
        <v>0</v>
      </c>
      <c r="R710" s="168">
        <f>Gegenstände!S710</f>
        <v>0</v>
      </c>
      <c r="S710" s="168">
        <f>Gegenstände!T710</f>
        <v>0</v>
      </c>
      <c r="T710" s="783">
        <f>Gegenstände!AC710</f>
        <v>0</v>
      </c>
      <c r="U710" s="783">
        <f>Gegenstände!AE710</f>
        <v>0</v>
      </c>
      <c r="V710" s="783">
        <f>Gegenstände!AD710</f>
        <v>0</v>
      </c>
      <c r="W710" s="783">
        <f>Gegenstände!AF710</f>
        <v>0</v>
      </c>
      <c r="AB710" s="3">
        <f>Gegenstände!M710</f>
        <v>0</v>
      </c>
      <c r="AC710" s="3">
        <f>Gegenstände!AB710</f>
        <v>0</v>
      </c>
      <c r="AD710" s="3">
        <f>Gegenstände!F710</f>
        <v>0</v>
      </c>
    </row>
    <row r="711" spans="1:30" x14ac:dyDescent="0.2">
      <c r="A711" s="3">
        <f>Gegenstände!A711</f>
        <v>3161</v>
      </c>
      <c r="B711" s="3" t="str">
        <f>Gegenstände!B711</f>
        <v>Quarz-Kriegshammer (Plan)</v>
      </c>
      <c r="D711" s="3">
        <f>Gegenstände!K711</f>
        <v>1000</v>
      </c>
      <c r="E711" s="3">
        <f>Gegenstände!I711</f>
        <v>35</v>
      </c>
      <c r="F711" s="3">
        <f>VLOOKUP(Gegenstände!E711,Berechnungen!$E$87:$F$115,2,FALSE)</f>
        <v>35</v>
      </c>
      <c r="G711" s="3">
        <f>Gegenstände!H711</f>
        <v>2</v>
      </c>
      <c r="H711" s="3">
        <f>Gegenstände!G711</f>
        <v>59</v>
      </c>
      <c r="I711" s="3">
        <f>Gegenstände!D711</f>
        <v>9</v>
      </c>
      <c r="J711" s="168">
        <f>ROUND(Gegenstände!N711,0)</f>
        <v>12000</v>
      </c>
      <c r="K711" s="3">
        <f>Gegenstände!J711</f>
        <v>100</v>
      </c>
      <c r="L711" s="3">
        <f>Gegenstände!L711</f>
        <v>1</v>
      </c>
      <c r="M711" s="3">
        <f>Gegenstände!Z711</f>
        <v>0</v>
      </c>
      <c r="N711" s="783">
        <f>(Gegenstände!Y711*10)</f>
        <v>0</v>
      </c>
      <c r="O711" s="783">
        <f>(Gegenstände!W711*10)</f>
        <v>0</v>
      </c>
      <c r="P711" s="783">
        <f>Gegenstände!AA711*10</f>
        <v>0</v>
      </c>
      <c r="Q711" s="783">
        <f>Gegenstände!O711</f>
        <v>0</v>
      </c>
      <c r="R711" s="168">
        <f>Gegenstände!S711</f>
        <v>0</v>
      </c>
      <c r="S711" s="168">
        <f>Gegenstände!T711</f>
        <v>0</v>
      </c>
      <c r="T711" s="783">
        <f>Gegenstände!AC711</f>
        <v>0</v>
      </c>
      <c r="U711" s="783">
        <f>Gegenstände!AE711</f>
        <v>0</v>
      </c>
      <c r="V711" s="783">
        <f>Gegenstände!AD711</f>
        <v>0</v>
      </c>
      <c r="W711" s="783">
        <f>Gegenstände!AF711</f>
        <v>0</v>
      </c>
      <c r="AB711" s="3">
        <f>Gegenstände!M711</f>
        <v>0</v>
      </c>
      <c r="AC711" s="3">
        <f>Gegenstände!AB711</f>
        <v>0</v>
      </c>
      <c r="AD711" s="3">
        <f>Gegenstände!F711</f>
        <v>2161</v>
      </c>
    </row>
    <row r="712" spans="1:30" x14ac:dyDescent="0.2">
      <c r="A712" s="3">
        <f>Gegenstände!A712</f>
        <v>3162</v>
      </c>
      <c r="B712" s="3" t="str">
        <f>Gegenstände!B712</f>
        <v>Smaragd-Kriegshammer (Plan)</v>
      </c>
      <c r="D712" s="3">
        <f>Gegenstände!K712</f>
        <v>1000</v>
      </c>
      <c r="E712" s="3">
        <f>Gegenstände!I712</f>
        <v>35</v>
      </c>
      <c r="F712" s="3">
        <f>VLOOKUP(Gegenstände!E712,Berechnungen!$E$87:$F$115,2,FALSE)</f>
        <v>35</v>
      </c>
      <c r="G712" s="3">
        <f>Gegenstände!H712</f>
        <v>2</v>
      </c>
      <c r="H712" s="3">
        <f>Gegenstände!G712</f>
        <v>59</v>
      </c>
      <c r="I712" s="3">
        <f>Gegenstände!D712</f>
        <v>14</v>
      </c>
      <c r="J712" s="168">
        <f>ROUND(Gegenstände!N712,0)</f>
        <v>24200</v>
      </c>
      <c r="K712" s="3">
        <f>Gegenstände!J712</f>
        <v>100</v>
      </c>
      <c r="L712" s="3">
        <f>Gegenstände!L712</f>
        <v>1</v>
      </c>
      <c r="M712" s="3">
        <f>Gegenstände!Z712</f>
        <v>0</v>
      </c>
      <c r="N712" s="783">
        <f>(Gegenstände!Y712*10)</f>
        <v>0</v>
      </c>
      <c r="O712" s="783">
        <f>(Gegenstände!W712*10)</f>
        <v>0</v>
      </c>
      <c r="P712" s="783">
        <f>Gegenstände!AA712*10</f>
        <v>0</v>
      </c>
      <c r="Q712" s="783">
        <f>Gegenstände!O712</f>
        <v>0</v>
      </c>
      <c r="R712" s="168">
        <f>Gegenstände!S712</f>
        <v>0</v>
      </c>
      <c r="S712" s="168">
        <f>Gegenstände!T712</f>
        <v>0</v>
      </c>
      <c r="T712" s="783">
        <f>Gegenstände!AC712</f>
        <v>0</v>
      </c>
      <c r="U712" s="783">
        <f>Gegenstände!AE712</f>
        <v>0</v>
      </c>
      <c r="V712" s="783">
        <f>Gegenstände!AD712</f>
        <v>0</v>
      </c>
      <c r="W712" s="783">
        <f>Gegenstände!AF712</f>
        <v>0</v>
      </c>
      <c r="AB712" s="3">
        <f>Gegenstände!M712</f>
        <v>0</v>
      </c>
      <c r="AC712" s="3">
        <f>Gegenstände!AB712</f>
        <v>0</v>
      </c>
      <c r="AD712" s="3">
        <f>Gegenstände!F712</f>
        <v>2162</v>
      </c>
    </row>
    <row r="713" spans="1:30" x14ac:dyDescent="0.2">
      <c r="A713" s="3">
        <f>Gegenstände!A713</f>
        <v>3163</v>
      </c>
      <c r="B713" s="3" t="str">
        <f>Gegenstände!B713</f>
        <v>Rubin-Kriegshammer (Plan)</v>
      </c>
      <c r="D713" s="3">
        <f>Gegenstände!K713</f>
        <v>1000</v>
      </c>
      <c r="E713" s="3">
        <f>Gegenstände!I713</f>
        <v>35</v>
      </c>
      <c r="F713" s="3">
        <f>VLOOKUP(Gegenstände!E713,Berechnungen!$E$87:$F$115,2,FALSE)</f>
        <v>35</v>
      </c>
      <c r="G713" s="3">
        <f>Gegenstände!H713</f>
        <v>2</v>
      </c>
      <c r="H713" s="3">
        <f>Gegenstände!G713</f>
        <v>59</v>
      </c>
      <c r="I713" s="3">
        <f>Gegenstände!D713</f>
        <v>19</v>
      </c>
      <c r="J713" s="168">
        <f>ROUND(Gegenstände!N713,0)</f>
        <v>46000</v>
      </c>
      <c r="K713" s="3">
        <f>Gegenstände!J713</f>
        <v>100</v>
      </c>
      <c r="L713" s="3">
        <f>Gegenstände!L713</f>
        <v>1</v>
      </c>
      <c r="M713" s="3">
        <f>Gegenstände!Z713</f>
        <v>0</v>
      </c>
      <c r="N713" s="783">
        <f>(Gegenstände!Y713*10)</f>
        <v>0</v>
      </c>
      <c r="O713" s="783">
        <f>(Gegenstände!W713*10)</f>
        <v>0</v>
      </c>
      <c r="P713" s="783">
        <f>Gegenstände!AA713*10</f>
        <v>0</v>
      </c>
      <c r="Q713" s="783">
        <f>Gegenstände!O713</f>
        <v>0</v>
      </c>
      <c r="R713" s="168">
        <f>Gegenstände!S713</f>
        <v>0</v>
      </c>
      <c r="S713" s="168">
        <f>Gegenstände!T713</f>
        <v>0</v>
      </c>
      <c r="T713" s="783">
        <f>Gegenstände!AC713</f>
        <v>0</v>
      </c>
      <c r="U713" s="783">
        <f>Gegenstände!AE713</f>
        <v>0</v>
      </c>
      <c r="V713" s="783">
        <f>Gegenstände!AD713</f>
        <v>0</v>
      </c>
      <c r="W713" s="783">
        <f>Gegenstände!AF713</f>
        <v>0</v>
      </c>
      <c r="AB713" s="3">
        <f>Gegenstände!M713</f>
        <v>0</v>
      </c>
      <c r="AC713" s="3">
        <f>Gegenstände!AB713</f>
        <v>0</v>
      </c>
      <c r="AD713" s="3">
        <f>Gegenstände!F713</f>
        <v>2163</v>
      </c>
    </row>
    <row r="714" spans="1:30" x14ac:dyDescent="0.2">
      <c r="A714" s="3">
        <f>Gegenstände!A714</f>
        <v>3164</v>
      </c>
      <c r="B714" s="3" t="str">
        <f>Gegenstände!B714</f>
        <v>Obsidian-Kriegshammer (Plan)</v>
      </c>
      <c r="D714" s="3">
        <f>Gegenstände!K714</f>
        <v>1000</v>
      </c>
      <c r="E714" s="3">
        <f>Gegenstände!I714</f>
        <v>35</v>
      </c>
      <c r="F714" s="3">
        <f>VLOOKUP(Gegenstände!E714,Berechnungen!$E$87:$F$115,2,FALSE)</f>
        <v>35</v>
      </c>
      <c r="G714" s="3">
        <f>Gegenstände!H714</f>
        <v>2</v>
      </c>
      <c r="H714" s="3">
        <f>Gegenstände!G714</f>
        <v>59</v>
      </c>
      <c r="I714" s="3">
        <f>Gegenstände!D714</f>
        <v>24</v>
      </c>
      <c r="J714" s="168">
        <f>ROUND(Gegenstände!N714,0)</f>
        <v>82300</v>
      </c>
      <c r="K714" s="3">
        <f>Gegenstände!J714</f>
        <v>100</v>
      </c>
      <c r="L714" s="3">
        <f>Gegenstände!L714</f>
        <v>1</v>
      </c>
      <c r="M714" s="3">
        <f>Gegenstände!Z714</f>
        <v>0</v>
      </c>
      <c r="N714" s="783">
        <f>(Gegenstände!Y714*10)</f>
        <v>0</v>
      </c>
      <c r="O714" s="783">
        <f>(Gegenstände!W714*10)</f>
        <v>0</v>
      </c>
      <c r="P714" s="783">
        <f>Gegenstände!AA714*10</f>
        <v>0</v>
      </c>
      <c r="Q714" s="783">
        <f>Gegenstände!O714</f>
        <v>0</v>
      </c>
      <c r="R714" s="168">
        <f>Gegenstände!S714</f>
        <v>0</v>
      </c>
      <c r="S714" s="168">
        <f>Gegenstände!T714</f>
        <v>0</v>
      </c>
      <c r="T714" s="783">
        <f>Gegenstände!AC714</f>
        <v>0</v>
      </c>
      <c r="U714" s="783">
        <f>Gegenstände!AE714</f>
        <v>0</v>
      </c>
      <c r="V714" s="783">
        <f>Gegenstände!AD714</f>
        <v>0</v>
      </c>
      <c r="W714" s="783">
        <f>Gegenstände!AF714</f>
        <v>0</v>
      </c>
      <c r="AB714" s="3">
        <f>Gegenstände!M714</f>
        <v>0</v>
      </c>
      <c r="AC714" s="3">
        <f>Gegenstände!AB714</f>
        <v>0</v>
      </c>
      <c r="AD714" s="3">
        <f>Gegenstände!F714</f>
        <v>2164</v>
      </c>
    </row>
    <row r="715" spans="1:30" x14ac:dyDescent="0.2">
      <c r="A715" s="3">
        <f>Gegenstände!A715</f>
        <v>0</v>
      </c>
      <c r="B715" s="3">
        <f>Gegenstände!B715</f>
        <v>0</v>
      </c>
      <c r="D715" s="3">
        <f>Gegenstände!K715</f>
        <v>0</v>
      </c>
      <c r="E715" s="3">
        <f>Gegenstände!I715</f>
        <v>0</v>
      </c>
      <c r="F715" s="3" t="e">
        <f>VLOOKUP(Gegenstände!E715,Berechnungen!$E$87:$F$115,2,FALSE)</f>
        <v>#N/A</v>
      </c>
      <c r="G715" s="3">
        <f>Gegenstände!H715</f>
        <v>0</v>
      </c>
      <c r="H715" s="3">
        <f>Gegenstände!G715</f>
        <v>0</v>
      </c>
      <c r="I715" s="3">
        <f>Gegenstände!D715</f>
        <v>0</v>
      </c>
      <c r="J715" s="168">
        <f>ROUND(Gegenstände!N715,0)</f>
        <v>0</v>
      </c>
      <c r="K715" s="3">
        <f>Gegenstände!J715</f>
        <v>0</v>
      </c>
      <c r="L715" s="3">
        <f>Gegenstände!L715</f>
        <v>0</v>
      </c>
      <c r="M715" s="3">
        <f>Gegenstände!Z715</f>
        <v>0</v>
      </c>
      <c r="N715" s="783">
        <f>(Gegenstände!Y715*10)</f>
        <v>0</v>
      </c>
      <c r="O715" s="783">
        <f>(Gegenstände!W715*10)</f>
        <v>0</v>
      </c>
      <c r="P715" s="783">
        <f>Gegenstände!AA715*10</f>
        <v>0</v>
      </c>
      <c r="Q715" s="783">
        <f>Gegenstände!O715</f>
        <v>0</v>
      </c>
      <c r="R715" s="168">
        <f>Gegenstände!S715</f>
        <v>0</v>
      </c>
      <c r="S715" s="168">
        <f>Gegenstände!T715</f>
        <v>0</v>
      </c>
      <c r="T715" s="783">
        <f>Gegenstände!AC715</f>
        <v>0</v>
      </c>
      <c r="U715" s="783">
        <f>Gegenstände!AE715</f>
        <v>0</v>
      </c>
      <c r="V715" s="783">
        <f>Gegenstände!AD715</f>
        <v>0</v>
      </c>
      <c r="W715" s="783">
        <f>Gegenstände!AF715</f>
        <v>0</v>
      </c>
      <c r="AB715" s="3">
        <f>Gegenstände!M715</f>
        <v>0</v>
      </c>
      <c r="AC715" s="3">
        <f>Gegenstände!AB715</f>
        <v>0</v>
      </c>
      <c r="AD715" s="3">
        <f>Gegenstände!F715</f>
        <v>0</v>
      </c>
    </row>
    <row r="716" spans="1:30" x14ac:dyDescent="0.2">
      <c r="A716" s="3">
        <f>Gegenstände!A716</f>
        <v>3171</v>
      </c>
      <c r="B716" s="3" t="str">
        <f>Gegenstände!B716</f>
        <v>Kristall-Pike (Plan)</v>
      </c>
      <c r="D716" s="3">
        <f>Gegenstände!K716</f>
        <v>1000</v>
      </c>
      <c r="E716" s="3">
        <f>Gegenstände!I716</f>
        <v>35</v>
      </c>
      <c r="F716" s="3">
        <f>VLOOKUP(Gegenstände!E716,Berechnungen!$E$87:$F$115,2,FALSE)</f>
        <v>35</v>
      </c>
      <c r="G716" s="3">
        <f>Gegenstände!H716</f>
        <v>2</v>
      </c>
      <c r="H716" s="3">
        <f>Gegenstände!G716</f>
        <v>60</v>
      </c>
      <c r="I716" s="3">
        <f>Gegenstände!D716</f>
        <v>3</v>
      </c>
      <c r="J716" s="168">
        <f>ROUND(Gegenstände!N716,0)</f>
        <v>5500</v>
      </c>
      <c r="K716" s="3">
        <f>Gegenstände!J716</f>
        <v>100</v>
      </c>
      <c r="L716" s="3">
        <f>Gegenstände!L716</f>
        <v>1</v>
      </c>
      <c r="M716" s="3">
        <f>Gegenstände!Z716</f>
        <v>0</v>
      </c>
      <c r="N716" s="783">
        <f>(Gegenstände!Y716*10)</f>
        <v>0</v>
      </c>
      <c r="O716" s="783">
        <f>(Gegenstände!W716*10)</f>
        <v>0</v>
      </c>
      <c r="P716" s="783">
        <f>Gegenstände!AA716*10</f>
        <v>0</v>
      </c>
      <c r="Q716" s="783">
        <f>Gegenstände!O716</f>
        <v>0</v>
      </c>
      <c r="R716" s="168">
        <f>Gegenstände!S716</f>
        <v>0</v>
      </c>
      <c r="S716" s="168">
        <f>Gegenstände!T716</f>
        <v>0</v>
      </c>
      <c r="T716" s="783">
        <f>Gegenstände!AC716</f>
        <v>0</v>
      </c>
      <c r="U716" s="783">
        <f>Gegenstände!AE716</f>
        <v>0</v>
      </c>
      <c r="V716" s="783">
        <f>Gegenstände!AD716</f>
        <v>0</v>
      </c>
      <c r="W716" s="783">
        <f>Gegenstände!AF716</f>
        <v>0</v>
      </c>
      <c r="AB716" s="3">
        <f>Gegenstände!M716</f>
        <v>0</v>
      </c>
      <c r="AC716" s="3">
        <f>Gegenstände!AB716</f>
        <v>0</v>
      </c>
      <c r="AD716" s="3">
        <f>Gegenstände!F716</f>
        <v>2171</v>
      </c>
    </row>
    <row r="717" spans="1:30" x14ac:dyDescent="0.2">
      <c r="A717" s="3">
        <f>Gegenstände!A717</f>
        <v>3172</v>
      </c>
      <c r="B717" s="3" t="str">
        <f>Gegenstände!B717</f>
        <v>Quarz-Pike (Plan)</v>
      </c>
      <c r="D717" s="3">
        <f>Gegenstände!K717</f>
        <v>1000</v>
      </c>
      <c r="E717" s="3">
        <f>Gegenstände!I717</f>
        <v>35</v>
      </c>
      <c r="F717" s="3">
        <f>VLOOKUP(Gegenstände!E717,Berechnungen!$E$87:$F$115,2,FALSE)</f>
        <v>35</v>
      </c>
      <c r="G717" s="3">
        <f>Gegenstände!H717</f>
        <v>2</v>
      </c>
      <c r="H717" s="3">
        <f>Gegenstände!G717</f>
        <v>60</v>
      </c>
      <c r="I717" s="3">
        <f>Gegenstände!D717</f>
        <v>8</v>
      </c>
      <c r="J717" s="168">
        <f>ROUND(Gegenstände!N717,0)</f>
        <v>11100</v>
      </c>
      <c r="K717" s="3">
        <f>Gegenstände!J717</f>
        <v>100</v>
      </c>
      <c r="L717" s="3">
        <f>Gegenstände!L717</f>
        <v>1</v>
      </c>
      <c r="M717" s="3">
        <f>Gegenstände!Z717</f>
        <v>0</v>
      </c>
      <c r="N717" s="783">
        <f>(Gegenstände!Y717*10)</f>
        <v>0</v>
      </c>
      <c r="O717" s="783">
        <f>(Gegenstände!W717*10)</f>
        <v>0</v>
      </c>
      <c r="P717" s="783">
        <f>Gegenstände!AA717*10</f>
        <v>0</v>
      </c>
      <c r="Q717" s="783">
        <f>Gegenstände!O717</f>
        <v>0</v>
      </c>
      <c r="R717" s="168">
        <f>Gegenstände!S717</f>
        <v>0</v>
      </c>
      <c r="S717" s="168">
        <f>Gegenstände!T717</f>
        <v>0</v>
      </c>
      <c r="T717" s="783">
        <f>Gegenstände!AC717</f>
        <v>0</v>
      </c>
      <c r="U717" s="783">
        <f>Gegenstände!AE717</f>
        <v>0</v>
      </c>
      <c r="V717" s="783">
        <f>Gegenstände!AD717</f>
        <v>0</v>
      </c>
      <c r="W717" s="783">
        <f>Gegenstände!AF717</f>
        <v>0</v>
      </c>
      <c r="AB717" s="3">
        <f>Gegenstände!M717</f>
        <v>0</v>
      </c>
      <c r="AC717" s="3">
        <f>Gegenstände!AB717</f>
        <v>0</v>
      </c>
      <c r="AD717" s="3">
        <f>Gegenstände!F717</f>
        <v>2172</v>
      </c>
    </row>
    <row r="718" spans="1:30" x14ac:dyDescent="0.2">
      <c r="A718" s="3">
        <f>Gegenstände!A718</f>
        <v>3173</v>
      </c>
      <c r="B718" s="3" t="str">
        <f>Gegenstände!B718</f>
        <v>Smaragd-Pike (Plan)</v>
      </c>
      <c r="D718" s="3">
        <f>Gegenstände!K718</f>
        <v>1000</v>
      </c>
      <c r="E718" s="3">
        <f>Gegenstände!I718</f>
        <v>35</v>
      </c>
      <c r="F718" s="3">
        <f>VLOOKUP(Gegenstände!E718,Berechnungen!$E$87:$F$115,2,FALSE)</f>
        <v>35</v>
      </c>
      <c r="G718" s="3">
        <f>Gegenstände!H718</f>
        <v>2</v>
      </c>
      <c r="H718" s="3">
        <f>Gegenstände!G718</f>
        <v>60</v>
      </c>
      <c r="I718" s="3">
        <f>Gegenstände!D718</f>
        <v>13</v>
      </c>
      <c r="J718" s="168">
        <f>ROUND(Gegenstände!N718,0)</f>
        <v>22300</v>
      </c>
      <c r="K718" s="3">
        <f>Gegenstände!J718</f>
        <v>100</v>
      </c>
      <c r="L718" s="3">
        <f>Gegenstände!L718</f>
        <v>1</v>
      </c>
      <c r="M718" s="3">
        <f>Gegenstände!Z718</f>
        <v>0</v>
      </c>
      <c r="N718" s="783">
        <f>(Gegenstände!Y718*10)</f>
        <v>0</v>
      </c>
      <c r="O718" s="783">
        <f>(Gegenstände!W718*10)</f>
        <v>0</v>
      </c>
      <c r="P718" s="783">
        <f>Gegenstände!AA718*10</f>
        <v>0</v>
      </c>
      <c r="Q718" s="783">
        <f>Gegenstände!O718</f>
        <v>0</v>
      </c>
      <c r="R718" s="168">
        <f>Gegenstände!S718</f>
        <v>0</v>
      </c>
      <c r="S718" s="168">
        <f>Gegenstände!T718</f>
        <v>0</v>
      </c>
      <c r="T718" s="783">
        <f>Gegenstände!AC718</f>
        <v>0</v>
      </c>
      <c r="U718" s="783">
        <f>Gegenstände!AE718</f>
        <v>0</v>
      </c>
      <c r="V718" s="783">
        <f>Gegenstände!AD718</f>
        <v>0</v>
      </c>
      <c r="W718" s="783">
        <f>Gegenstände!AF718</f>
        <v>0</v>
      </c>
      <c r="AB718" s="3">
        <f>Gegenstände!M718</f>
        <v>0</v>
      </c>
      <c r="AC718" s="3">
        <f>Gegenstände!AB718</f>
        <v>0</v>
      </c>
      <c r="AD718" s="3">
        <f>Gegenstände!F718</f>
        <v>2173</v>
      </c>
    </row>
    <row r="719" spans="1:30" x14ac:dyDescent="0.2">
      <c r="A719" s="3">
        <f>Gegenstände!A719</f>
        <v>3174</v>
      </c>
      <c r="B719" s="3" t="str">
        <f>Gegenstände!B719</f>
        <v>Rubin-Pike (Plan)</v>
      </c>
      <c r="D719" s="3">
        <f>Gegenstände!K719</f>
        <v>1000</v>
      </c>
      <c r="E719" s="3">
        <f>Gegenstände!I719</f>
        <v>35</v>
      </c>
      <c r="F719" s="3">
        <f>VLOOKUP(Gegenstände!E719,Berechnungen!$E$87:$F$115,2,FALSE)</f>
        <v>35</v>
      </c>
      <c r="G719" s="3">
        <f>Gegenstände!H719</f>
        <v>2</v>
      </c>
      <c r="H719" s="3">
        <f>Gegenstände!G719</f>
        <v>60</v>
      </c>
      <c r="I719" s="3">
        <f>Gegenstände!D719</f>
        <v>18</v>
      </c>
      <c r="J719" s="168">
        <f>ROUND(Gegenstände!N719,0)</f>
        <v>42300</v>
      </c>
      <c r="K719" s="3">
        <f>Gegenstände!J719</f>
        <v>100</v>
      </c>
      <c r="L719" s="3">
        <f>Gegenstände!L719</f>
        <v>1</v>
      </c>
      <c r="M719" s="3">
        <f>Gegenstände!Z719</f>
        <v>0</v>
      </c>
      <c r="N719" s="783">
        <f>(Gegenstände!Y719*10)</f>
        <v>0</v>
      </c>
      <c r="O719" s="783">
        <f>(Gegenstände!W719*10)</f>
        <v>0</v>
      </c>
      <c r="P719" s="783">
        <f>Gegenstände!AA719*10</f>
        <v>0</v>
      </c>
      <c r="Q719" s="783">
        <f>Gegenstände!O719</f>
        <v>0</v>
      </c>
      <c r="R719" s="168">
        <f>Gegenstände!S719</f>
        <v>0</v>
      </c>
      <c r="S719" s="168">
        <f>Gegenstände!T719</f>
        <v>0</v>
      </c>
      <c r="T719" s="783">
        <f>Gegenstände!AC719</f>
        <v>0</v>
      </c>
      <c r="U719" s="783">
        <f>Gegenstände!AE719</f>
        <v>0</v>
      </c>
      <c r="V719" s="783">
        <f>Gegenstände!AD719</f>
        <v>0</v>
      </c>
      <c r="W719" s="783">
        <f>Gegenstände!AF719</f>
        <v>0</v>
      </c>
      <c r="AB719" s="3">
        <f>Gegenstände!M719</f>
        <v>0</v>
      </c>
      <c r="AC719" s="3">
        <f>Gegenstände!AB719</f>
        <v>0</v>
      </c>
      <c r="AD719" s="3">
        <f>Gegenstände!F719</f>
        <v>2174</v>
      </c>
    </row>
    <row r="720" spans="1:30" x14ac:dyDescent="0.2">
      <c r="A720" s="3">
        <f>Gegenstände!A720</f>
        <v>3175</v>
      </c>
      <c r="B720" s="3" t="str">
        <f>Gegenstände!B720</f>
        <v>Obsidian-Pike (Plan)</v>
      </c>
      <c r="D720" s="3">
        <f>Gegenstände!K720</f>
        <v>1000</v>
      </c>
      <c r="E720" s="3">
        <f>Gegenstände!I720</f>
        <v>35</v>
      </c>
      <c r="F720" s="3">
        <f>VLOOKUP(Gegenstände!E720,Berechnungen!$E$87:$F$115,2,FALSE)</f>
        <v>35</v>
      </c>
      <c r="G720" s="3">
        <f>Gegenstände!H720</f>
        <v>2</v>
      </c>
      <c r="H720" s="3">
        <f>Gegenstände!G720</f>
        <v>60</v>
      </c>
      <c r="I720" s="3">
        <f>Gegenstände!D720</f>
        <v>24</v>
      </c>
      <c r="J720" s="168">
        <f>ROUND(Gegenstände!N720,0)</f>
        <v>82300</v>
      </c>
      <c r="K720" s="3">
        <f>Gegenstände!J720</f>
        <v>100</v>
      </c>
      <c r="L720" s="3">
        <f>Gegenstände!L720</f>
        <v>1</v>
      </c>
      <c r="M720" s="3">
        <f>Gegenstände!Z720</f>
        <v>0</v>
      </c>
      <c r="N720" s="783">
        <f>(Gegenstände!Y720*10)</f>
        <v>0</v>
      </c>
      <c r="O720" s="783">
        <f>(Gegenstände!W720*10)</f>
        <v>0</v>
      </c>
      <c r="P720" s="783">
        <f>Gegenstände!AA720*10</f>
        <v>0</v>
      </c>
      <c r="Q720" s="783">
        <f>Gegenstände!O720</f>
        <v>0</v>
      </c>
      <c r="R720" s="168">
        <f>Gegenstände!S720</f>
        <v>0</v>
      </c>
      <c r="S720" s="168">
        <f>Gegenstände!T720</f>
        <v>0</v>
      </c>
      <c r="T720" s="783">
        <f>Gegenstände!AC720</f>
        <v>0</v>
      </c>
      <c r="U720" s="783">
        <f>Gegenstände!AE720</f>
        <v>0</v>
      </c>
      <c r="V720" s="783">
        <f>Gegenstände!AD720</f>
        <v>0</v>
      </c>
      <c r="W720" s="783">
        <f>Gegenstände!AF720</f>
        <v>0</v>
      </c>
      <c r="AB720" s="3">
        <f>Gegenstände!M720</f>
        <v>0</v>
      </c>
      <c r="AC720" s="3">
        <f>Gegenstände!AB720</f>
        <v>0</v>
      </c>
      <c r="AD720" s="3">
        <f>Gegenstände!F720</f>
        <v>2175</v>
      </c>
    </row>
    <row r="721" spans="1:30" x14ac:dyDescent="0.2">
      <c r="A721" s="3">
        <f>Gegenstände!A721</f>
        <v>0</v>
      </c>
      <c r="B721" s="3">
        <f>Gegenstände!B721</f>
        <v>0</v>
      </c>
      <c r="D721" s="3">
        <f>Gegenstände!K721</f>
        <v>0</v>
      </c>
      <c r="E721" s="3">
        <f>Gegenstände!I721</f>
        <v>0</v>
      </c>
      <c r="F721" s="3" t="e">
        <f>VLOOKUP(Gegenstände!E721,Berechnungen!$E$87:$F$115,2,FALSE)</f>
        <v>#N/A</v>
      </c>
      <c r="G721" s="3">
        <f>Gegenstände!H721</f>
        <v>0</v>
      </c>
      <c r="H721" s="3">
        <f>Gegenstände!G721</f>
        <v>0</v>
      </c>
      <c r="I721" s="3">
        <f>Gegenstände!D721</f>
        <v>0</v>
      </c>
      <c r="J721" s="168">
        <f>ROUND(Gegenstände!N721,0)</f>
        <v>0</v>
      </c>
      <c r="K721" s="3">
        <f>Gegenstände!J721</f>
        <v>0</v>
      </c>
      <c r="L721" s="3">
        <f>Gegenstände!L721</f>
        <v>0</v>
      </c>
      <c r="M721" s="3">
        <f>Gegenstände!Z721</f>
        <v>0</v>
      </c>
      <c r="N721" s="783">
        <f>(Gegenstände!Y721*10)</f>
        <v>0</v>
      </c>
      <c r="O721" s="783">
        <f>(Gegenstände!W721*10)</f>
        <v>0</v>
      </c>
      <c r="P721" s="783">
        <f>Gegenstände!AA721*10</f>
        <v>0</v>
      </c>
      <c r="Q721" s="783">
        <f>Gegenstände!O721</f>
        <v>0</v>
      </c>
      <c r="R721" s="168">
        <f>Gegenstände!S721</f>
        <v>0</v>
      </c>
      <c r="S721" s="168">
        <f>Gegenstände!T721</f>
        <v>0</v>
      </c>
      <c r="T721" s="783">
        <f>Gegenstände!AC721</f>
        <v>0</v>
      </c>
      <c r="U721" s="783">
        <f>Gegenstände!AE721</f>
        <v>0</v>
      </c>
      <c r="V721" s="783">
        <f>Gegenstände!AD721</f>
        <v>0</v>
      </c>
      <c r="W721" s="783">
        <f>Gegenstände!AF721</f>
        <v>0</v>
      </c>
      <c r="AB721" s="3">
        <f>Gegenstände!M721</f>
        <v>0</v>
      </c>
      <c r="AC721" s="3">
        <f>Gegenstände!AB721</f>
        <v>0</v>
      </c>
      <c r="AD721" s="3">
        <f>Gegenstände!F721</f>
        <v>0</v>
      </c>
    </row>
    <row r="722" spans="1:30" x14ac:dyDescent="0.2">
      <c r="A722" s="3">
        <f>Gegenstände!A722</f>
        <v>3181</v>
      </c>
      <c r="B722" s="3" t="str">
        <f>Gegenstände!B722</f>
        <v>Achat-Bogen (Plan)</v>
      </c>
      <c r="D722" s="3">
        <f>Gegenstände!K722</f>
        <v>1000</v>
      </c>
      <c r="E722" s="3">
        <f>Gegenstände!I722</f>
        <v>35</v>
      </c>
      <c r="F722" s="3">
        <f>VLOOKUP(Gegenstände!E722,Berechnungen!$E$87:$F$115,2,FALSE)</f>
        <v>35</v>
      </c>
      <c r="G722" s="3">
        <f>Gegenstände!H722</f>
        <v>2</v>
      </c>
      <c r="H722" s="3">
        <f>Gegenstände!G722</f>
        <v>64</v>
      </c>
      <c r="I722" s="3">
        <f>Gegenstände!D722</f>
        <v>3</v>
      </c>
      <c r="J722" s="168">
        <f>ROUND(Gegenstände!N722,0)</f>
        <v>5500</v>
      </c>
      <c r="K722" s="3">
        <f>Gegenstände!J722</f>
        <v>100</v>
      </c>
      <c r="L722" s="3">
        <f>Gegenstände!L722</f>
        <v>1</v>
      </c>
      <c r="M722" s="3">
        <f>Gegenstände!Z722</f>
        <v>0</v>
      </c>
      <c r="N722" s="783">
        <f>(Gegenstände!Y722*10)</f>
        <v>0</v>
      </c>
      <c r="O722" s="783">
        <f>(Gegenstände!W722*10)</f>
        <v>0</v>
      </c>
      <c r="P722" s="783">
        <f>Gegenstände!AA722*10</f>
        <v>0</v>
      </c>
      <c r="Q722" s="783">
        <f>Gegenstände!O722</f>
        <v>0</v>
      </c>
      <c r="R722" s="168">
        <f>Gegenstände!S722</f>
        <v>0</v>
      </c>
      <c r="S722" s="168">
        <f>Gegenstände!T722</f>
        <v>0</v>
      </c>
      <c r="T722" s="783">
        <f>Gegenstände!AC722</f>
        <v>0</v>
      </c>
      <c r="U722" s="783">
        <f>Gegenstände!AE722</f>
        <v>0</v>
      </c>
      <c r="V722" s="783">
        <f>Gegenstände!AD722</f>
        <v>0</v>
      </c>
      <c r="W722" s="783">
        <f>Gegenstände!AF722</f>
        <v>0</v>
      </c>
      <c r="AB722" s="3">
        <f>Gegenstände!M722</f>
        <v>0</v>
      </c>
      <c r="AC722" s="3">
        <f>Gegenstände!AB722</f>
        <v>0</v>
      </c>
      <c r="AD722" s="3">
        <f>Gegenstände!F722</f>
        <v>2181</v>
      </c>
    </row>
    <row r="723" spans="1:30" x14ac:dyDescent="0.2">
      <c r="A723" s="3">
        <f>Gegenstände!A723</f>
        <v>3182</v>
      </c>
      <c r="B723" s="3" t="str">
        <f>Gegenstände!B723</f>
        <v>Topas-Bogen (Plan)</v>
      </c>
      <c r="D723" s="3">
        <f>Gegenstände!K723</f>
        <v>1000</v>
      </c>
      <c r="E723" s="3">
        <f>Gegenstände!I723</f>
        <v>35</v>
      </c>
      <c r="F723" s="3">
        <f>VLOOKUP(Gegenstände!E723,Berechnungen!$E$87:$F$115,2,FALSE)</f>
        <v>35</v>
      </c>
      <c r="G723" s="3">
        <f>Gegenstände!H723</f>
        <v>2</v>
      </c>
      <c r="H723" s="3">
        <f>Gegenstände!G723</f>
        <v>64</v>
      </c>
      <c r="I723" s="3">
        <f>Gegenstände!D723</f>
        <v>8</v>
      </c>
      <c r="J723" s="168">
        <f>ROUND(Gegenstände!N723,0)</f>
        <v>11100</v>
      </c>
      <c r="K723" s="3">
        <f>Gegenstände!J723</f>
        <v>100</v>
      </c>
      <c r="L723" s="3">
        <f>Gegenstände!L723</f>
        <v>1</v>
      </c>
      <c r="M723" s="3">
        <f>Gegenstände!Z723</f>
        <v>0</v>
      </c>
      <c r="N723" s="783">
        <f>(Gegenstände!Y723*10)</f>
        <v>0</v>
      </c>
      <c r="O723" s="783">
        <f>(Gegenstände!W723*10)</f>
        <v>0</v>
      </c>
      <c r="P723" s="783">
        <f>Gegenstände!AA723*10</f>
        <v>0</v>
      </c>
      <c r="Q723" s="783">
        <f>Gegenstände!O723</f>
        <v>0</v>
      </c>
      <c r="R723" s="168">
        <f>Gegenstände!S723</f>
        <v>0</v>
      </c>
      <c r="S723" s="168">
        <f>Gegenstände!T723</f>
        <v>0</v>
      </c>
      <c r="T723" s="783">
        <f>Gegenstände!AC723</f>
        <v>0</v>
      </c>
      <c r="U723" s="783">
        <f>Gegenstände!AE723</f>
        <v>0</v>
      </c>
      <c r="V723" s="783">
        <f>Gegenstände!AD723</f>
        <v>0</v>
      </c>
      <c r="W723" s="783">
        <f>Gegenstände!AF723</f>
        <v>0</v>
      </c>
      <c r="AB723" s="3">
        <f>Gegenstände!M723</f>
        <v>0</v>
      </c>
      <c r="AC723" s="3">
        <f>Gegenstände!AB723</f>
        <v>0</v>
      </c>
      <c r="AD723" s="3">
        <f>Gegenstände!F723</f>
        <v>2182</v>
      </c>
    </row>
    <row r="724" spans="1:30" x14ac:dyDescent="0.2">
      <c r="A724" s="3">
        <f>Gegenstände!A724</f>
        <v>3183</v>
      </c>
      <c r="B724" s="3" t="str">
        <f>Gegenstände!B724</f>
        <v>Saphir-Bogen (Plan)</v>
      </c>
      <c r="D724" s="3">
        <f>Gegenstände!K724</f>
        <v>1000</v>
      </c>
      <c r="E724" s="3">
        <f>Gegenstände!I724</f>
        <v>35</v>
      </c>
      <c r="F724" s="3">
        <f>VLOOKUP(Gegenstände!E724,Berechnungen!$E$87:$F$115,2,FALSE)</f>
        <v>35</v>
      </c>
      <c r="G724" s="3">
        <f>Gegenstände!H724</f>
        <v>2</v>
      </c>
      <c r="H724" s="3">
        <f>Gegenstände!G724</f>
        <v>64</v>
      </c>
      <c r="I724" s="3">
        <f>Gegenstände!D724</f>
        <v>13</v>
      </c>
      <c r="J724" s="168">
        <f>ROUND(Gegenstände!N724,0)</f>
        <v>22300</v>
      </c>
      <c r="K724" s="3">
        <f>Gegenstände!J724</f>
        <v>100</v>
      </c>
      <c r="L724" s="3">
        <f>Gegenstände!L724</f>
        <v>1</v>
      </c>
      <c r="M724" s="3">
        <f>Gegenstände!Z724</f>
        <v>0</v>
      </c>
      <c r="N724" s="783">
        <f>(Gegenstände!Y724*10)</f>
        <v>0</v>
      </c>
      <c r="O724" s="783">
        <f>(Gegenstände!W724*10)</f>
        <v>0</v>
      </c>
      <c r="P724" s="783">
        <f>Gegenstände!AA724*10</f>
        <v>0</v>
      </c>
      <c r="Q724" s="783">
        <f>Gegenstände!O724</f>
        <v>0</v>
      </c>
      <c r="R724" s="168">
        <f>Gegenstände!S724</f>
        <v>0</v>
      </c>
      <c r="S724" s="168">
        <f>Gegenstände!T724</f>
        <v>0</v>
      </c>
      <c r="T724" s="783">
        <f>Gegenstände!AC724</f>
        <v>0</v>
      </c>
      <c r="U724" s="783">
        <f>Gegenstände!AE724</f>
        <v>0</v>
      </c>
      <c r="V724" s="783">
        <f>Gegenstände!AD724</f>
        <v>0</v>
      </c>
      <c r="W724" s="783">
        <f>Gegenstände!AF724</f>
        <v>0</v>
      </c>
      <c r="AB724" s="3">
        <f>Gegenstände!M724</f>
        <v>0</v>
      </c>
      <c r="AC724" s="3">
        <f>Gegenstände!AB724</f>
        <v>0</v>
      </c>
      <c r="AD724" s="3">
        <f>Gegenstände!F724</f>
        <v>2183</v>
      </c>
    </row>
    <row r="725" spans="1:30" x14ac:dyDescent="0.2">
      <c r="A725" s="3">
        <f>Gegenstände!A725</f>
        <v>3184</v>
      </c>
      <c r="B725" s="3" t="str">
        <f>Gegenstände!B725</f>
        <v>Lapis-Bogen (Plan)</v>
      </c>
      <c r="D725" s="3">
        <f>Gegenstände!K725</f>
        <v>1000</v>
      </c>
      <c r="E725" s="3">
        <f>Gegenstände!I725</f>
        <v>35</v>
      </c>
      <c r="F725" s="3">
        <f>VLOOKUP(Gegenstände!E725,Berechnungen!$E$87:$F$115,2,FALSE)</f>
        <v>35</v>
      </c>
      <c r="G725" s="3">
        <f>Gegenstände!H725</f>
        <v>2</v>
      </c>
      <c r="H725" s="3">
        <f>Gegenstände!G725</f>
        <v>64</v>
      </c>
      <c r="I725" s="3">
        <f>Gegenstände!D725</f>
        <v>18</v>
      </c>
      <c r="J725" s="168">
        <f>ROUND(Gegenstände!N725,0)</f>
        <v>42300</v>
      </c>
      <c r="K725" s="3">
        <f>Gegenstände!J725</f>
        <v>100</v>
      </c>
      <c r="L725" s="3">
        <f>Gegenstände!L725</f>
        <v>1</v>
      </c>
      <c r="M725" s="3">
        <f>Gegenstände!Z725</f>
        <v>0</v>
      </c>
      <c r="N725" s="783">
        <f>(Gegenstände!Y725*10)</f>
        <v>0</v>
      </c>
      <c r="O725" s="783">
        <f>(Gegenstände!W725*10)</f>
        <v>0</v>
      </c>
      <c r="P725" s="783">
        <f>Gegenstände!AA725*10</f>
        <v>0</v>
      </c>
      <c r="Q725" s="783">
        <f>Gegenstände!O725</f>
        <v>0</v>
      </c>
      <c r="R725" s="168">
        <f>Gegenstände!S725</f>
        <v>0</v>
      </c>
      <c r="S725" s="168">
        <f>Gegenstände!T725</f>
        <v>0</v>
      </c>
      <c r="T725" s="783">
        <f>Gegenstände!AC725</f>
        <v>0</v>
      </c>
      <c r="U725" s="783">
        <f>Gegenstände!AE725</f>
        <v>0</v>
      </c>
      <c r="V725" s="783">
        <f>Gegenstände!AD725</f>
        <v>0</v>
      </c>
      <c r="W725" s="783">
        <f>Gegenstände!AF725</f>
        <v>0</v>
      </c>
      <c r="AB725" s="3">
        <f>Gegenstände!M725</f>
        <v>0</v>
      </c>
      <c r="AC725" s="3">
        <f>Gegenstände!AB725</f>
        <v>0</v>
      </c>
      <c r="AD725" s="3">
        <f>Gegenstände!F725</f>
        <v>2184</v>
      </c>
    </row>
    <row r="726" spans="1:30" x14ac:dyDescent="0.2">
      <c r="A726" s="3">
        <f>Gegenstände!A726</f>
        <v>3185</v>
      </c>
      <c r="B726" s="3" t="str">
        <f>Gegenstände!B726</f>
        <v>Diamant-Bogen (Plan)</v>
      </c>
      <c r="D726" s="3">
        <f>Gegenstände!K726</f>
        <v>1000</v>
      </c>
      <c r="E726" s="3">
        <f>Gegenstände!I726</f>
        <v>35</v>
      </c>
      <c r="F726" s="3">
        <f>VLOOKUP(Gegenstände!E726,Berechnungen!$E$87:$F$115,2,FALSE)</f>
        <v>35</v>
      </c>
      <c r="G726" s="3">
        <f>Gegenstände!H726</f>
        <v>2</v>
      </c>
      <c r="H726" s="3">
        <f>Gegenstände!G726</f>
        <v>64</v>
      </c>
      <c r="I726" s="3">
        <f>Gegenstände!D726</f>
        <v>24</v>
      </c>
      <c r="J726" s="168">
        <f>ROUND(Gegenstände!N726,0)</f>
        <v>82300</v>
      </c>
      <c r="K726" s="3">
        <f>Gegenstände!J726</f>
        <v>100</v>
      </c>
      <c r="L726" s="3">
        <f>Gegenstände!L726</f>
        <v>1</v>
      </c>
      <c r="M726" s="3">
        <f>Gegenstände!Z726</f>
        <v>0</v>
      </c>
      <c r="N726" s="783">
        <f>(Gegenstände!Y726*10)</f>
        <v>0</v>
      </c>
      <c r="O726" s="783">
        <f>(Gegenstände!W726*10)</f>
        <v>0</v>
      </c>
      <c r="P726" s="783">
        <f>Gegenstände!AA726*10</f>
        <v>0</v>
      </c>
      <c r="Q726" s="783">
        <f>Gegenstände!O726</f>
        <v>0</v>
      </c>
      <c r="R726" s="168">
        <f>Gegenstände!S726</f>
        <v>0</v>
      </c>
      <c r="S726" s="168">
        <f>Gegenstände!T726</f>
        <v>0</v>
      </c>
      <c r="T726" s="783">
        <f>Gegenstände!AC726</f>
        <v>0</v>
      </c>
      <c r="U726" s="783">
        <f>Gegenstände!AE726</f>
        <v>0</v>
      </c>
      <c r="V726" s="783">
        <f>Gegenstände!AD726</f>
        <v>0</v>
      </c>
      <c r="W726" s="783">
        <f>Gegenstände!AF726</f>
        <v>0</v>
      </c>
      <c r="AB726" s="3">
        <f>Gegenstände!M726</f>
        <v>0</v>
      </c>
      <c r="AC726" s="3">
        <f>Gegenstände!AB726</f>
        <v>0</v>
      </c>
      <c r="AD726" s="3">
        <f>Gegenstände!F726</f>
        <v>2185</v>
      </c>
    </row>
    <row r="727" spans="1:30" x14ac:dyDescent="0.2">
      <c r="A727" s="3">
        <f>Gegenstände!A727</f>
        <v>0</v>
      </c>
      <c r="B727" s="3">
        <f>Gegenstände!B727</f>
        <v>0</v>
      </c>
      <c r="D727" s="3">
        <f>Gegenstände!K727</f>
        <v>0</v>
      </c>
      <c r="E727" s="3">
        <f>Gegenstände!I727</f>
        <v>0</v>
      </c>
      <c r="F727" s="3" t="e">
        <f>VLOOKUP(Gegenstände!E727,Berechnungen!$E$87:$F$115,2,FALSE)</f>
        <v>#N/A</v>
      </c>
      <c r="G727" s="3">
        <f>Gegenstände!H727</f>
        <v>0</v>
      </c>
      <c r="H727" s="3">
        <f>Gegenstände!G727</f>
        <v>0</v>
      </c>
      <c r="I727" s="3">
        <f>Gegenstände!D727</f>
        <v>0</v>
      </c>
      <c r="J727" s="168">
        <f>ROUND(Gegenstände!N727,0)</f>
        <v>0</v>
      </c>
      <c r="K727" s="3">
        <f>Gegenstände!J727</f>
        <v>0</v>
      </c>
      <c r="L727" s="3">
        <f>Gegenstände!L727</f>
        <v>0</v>
      </c>
      <c r="M727" s="3">
        <f>Gegenstände!Z727</f>
        <v>0</v>
      </c>
      <c r="N727" s="783">
        <f>(Gegenstände!Y727*10)</f>
        <v>0</v>
      </c>
      <c r="O727" s="783">
        <f>(Gegenstände!W727*10)</f>
        <v>0</v>
      </c>
      <c r="P727" s="783">
        <f>Gegenstände!AA727*10</f>
        <v>0</v>
      </c>
      <c r="Q727" s="783">
        <f>Gegenstände!O727</f>
        <v>0</v>
      </c>
      <c r="R727" s="168">
        <f>Gegenstände!S727</f>
        <v>0</v>
      </c>
      <c r="S727" s="168">
        <f>Gegenstände!T727</f>
        <v>0</v>
      </c>
      <c r="T727" s="783">
        <f>Gegenstände!AC727</f>
        <v>0</v>
      </c>
      <c r="U727" s="783">
        <f>Gegenstände!AE727</f>
        <v>0</v>
      </c>
      <c r="V727" s="783">
        <f>Gegenstände!AD727</f>
        <v>0</v>
      </c>
      <c r="W727" s="783">
        <f>Gegenstände!AF727</f>
        <v>0</v>
      </c>
      <c r="AB727" s="3">
        <f>Gegenstände!M727</f>
        <v>0</v>
      </c>
      <c r="AC727" s="3">
        <f>Gegenstände!AB727</f>
        <v>0</v>
      </c>
      <c r="AD727" s="3">
        <f>Gegenstände!F727</f>
        <v>0</v>
      </c>
    </row>
    <row r="728" spans="1:30" x14ac:dyDescent="0.2">
      <c r="A728" s="3">
        <f>Gegenstände!A728</f>
        <v>3191</v>
      </c>
      <c r="B728" s="3" t="str">
        <f>Gegenstände!B728</f>
        <v>Achat-Armbrust (Plan)</v>
      </c>
      <c r="D728" s="3">
        <f>Gegenstände!K728</f>
        <v>1000</v>
      </c>
      <c r="E728" s="3">
        <f>Gegenstände!I728</f>
        <v>35</v>
      </c>
      <c r="F728" s="3">
        <f>VLOOKUP(Gegenstände!E728,Berechnungen!$E$87:$F$115,2,FALSE)</f>
        <v>35</v>
      </c>
      <c r="G728" s="3">
        <f>Gegenstände!H728</f>
        <v>2</v>
      </c>
      <c r="H728" s="3">
        <f>Gegenstände!G728</f>
        <v>65</v>
      </c>
      <c r="I728" s="3">
        <f>Gegenstände!D728</f>
        <v>3</v>
      </c>
      <c r="J728" s="168">
        <f>ROUND(Gegenstände!N728,0)</f>
        <v>5500</v>
      </c>
      <c r="K728" s="3">
        <f>Gegenstände!J728</f>
        <v>100</v>
      </c>
      <c r="L728" s="3">
        <f>Gegenstände!L728</f>
        <v>1</v>
      </c>
      <c r="M728" s="3">
        <f>Gegenstände!Z728</f>
        <v>0</v>
      </c>
      <c r="N728" s="783">
        <f>(Gegenstände!Y728*10)</f>
        <v>0</v>
      </c>
      <c r="O728" s="783">
        <f>(Gegenstände!W728*10)</f>
        <v>0</v>
      </c>
      <c r="P728" s="783">
        <f>Gegenstände!AA728*10</f>
        <v>0</v>
      </c>
      <c r="Q728" s="783">
        <f>Gegenstände!O728</f>
        <v>0</v>
      </c>
      <c r="R728" s="168">
        <f>Gegenstände!S728</f>
        <v>0</v>
      </c>
      <c r="S728" s="168">
        <f>Gegenstände!T728</f>
        <v>0</v>
      </c>
      <c r="T728" s="783">
        <f>Gegenstände!AC728</f>
        <v>0</v>
      </c>
      <c r="U728" s="783">
        <f>Gegenstände!AE728</f>
        <v>0</v>
      </c>
      <c r="V728" s="783">
        <f>Gegenstände!AD728</f>
        <v>0</v>
      </c>
      <c r="W728" s="783">
        <f>Gegenstände!AF728</f>
        <v>0</v>
      </c>
      <c r="AB728" s="3">
        <f>Gegenstände!M728</f>
        <v>0</v>
      </c>
      <c r="AC728" s="3">
        <f>Gegenstände!AB728</f>
        <v>0</v>
      </c>
      <c r="AD728" s="3">
        <f>Gegenstände!F728</f>
        <v>2191</v>
      </c>
    </row>
    <row r="729" spans="1:30" x14ac:dyDescent="0.2">
      <c r="A729" s="3">
        <f>Gegenstände!A729</f>
        <v>3192</v>
      </c>
      <c r="B729" s="3" t="str">
        <f>Gegenstände!B729</f>
        <v>Topas-Armbrust (Plan)</v>
      </c>
      <c r="D729" s="3">
        <f>Gegenstände!K729</f>
        <v>1000</v>
      </c>
      <c r="E729" s="3">
        <f>Gegenstände!I729</f>
        <v>35</v>
      </c>
      <c r="F729" s="3">
        <f>VLOOKUP(Gegenstände!E729,Berechnungen!$E$87:$F$115,2,FALSE)</f>
        <v>35</v>
      </c>
      <c r="G729" s="3">
        <f>Gegenstände!H729</f>
        <v>2</v>
      </c>
      <c r="H729" s="3">
        <f>Gegenstände!G729</f>
        <v>65</v>
      </c>
      <c r="I729" s="3">
        <f>Gegenstände!D729</f>
        <v>8</v>
      </c>
      <c r="J729" s="168">
        <f>ROUND(Gegenstände!N729,0)</f>
        <v>11100</v>
      </c>
      <c r="K729" s="3">
        <f>Gegenstände!J729</f>
        <v>100</v>
      </c>
      <c r="L729" s="3">
        <f>Gegenstände!L729</f>
        <v>1</v>
      </c>
      <c r="M729" s="3">
        <f>Gegenstände!Z729</f>
        <v>0</v>
      </c>
      <c r="N729" s="783">
        <f>(Gegenstände!Y729*10)</f>
        <v>0</v>
      </c>
      <c r="O729" s="783">
        <f>(Gegenstände!W729*10)</f>
        <v>0</v>
      </c>
      <c r="P729" s="783">
        <f>Gegenstände!AA729*10</f>
        <v>0</v>
      </c>
      <c r="Q729" s="783">
        <f>Gegenstände!O729</f>
        <v>0</v>
      </c>
      <c r="R729" s="168">
        <f>Gegenstände!S729</f>
        <v>0</v>
      </c>
      <c r="S729" s="168">
        <f>Gegenstände!T729</f>
        <v>0</v>
      </c>
      <c r="T729" s="783">
        <f>Gegenstände!AC729</f>
        <v>0</v>
      </c>
      <c r="U729" s="783">
        <f>Gegenstände!AE729</f>
        <v>0</v>
      </c>
      <c r="V729" s="783">
        <f>Gegenstände!AD729</f>
        <v>0</v>
      </c>
      <c r="W729" s="783">
        <f>Gegenstände!AF729</f>
        <v>0</v>
      </c>
      <c r="AB729" s="3">
        <f>Gegenstände!M729</f>
        <v>0</v>
      </c>
      <c r="AC729" s="3">
        <f>Gegenstände!AB729</f>
        <v>0</v>
      </c>
      <c r="AD729" s="3">
        <f>Gegenstände!F729</f>
        <v>2192</v>
      </c>
    </row>
    <row r="730" spans="1:30" x14ac:dyDescent="0.2">
      <c r="A730" s="3">
        <f>Gegenstände!A730</f>
        <v>3193</v>
      </c>
      <c r="B730" s="3" t="str">
        <f>Gegenstände!B730</f>
        <v>Saphir-Armbrust (Plan)</v>
      </c>
      <c r="D730" s="3">
        <f>Gegenstände!K730</f>
        <v>1000</v>
      </c>
      <c r="E730" s="3">
        <f>Gegenstände!I730</f>
        <v>35</v>
      </c>
      <c r="F730" s="3">
        <f>VLOOKUP(Gegenstände!E730,Berechnungen!$E$87:$F$115,2,FALSE)</f>
        <v>35</v>
      </c>
      <c r="G730" s="3">
        <f>Gegenstände!H730</f>
        <v>2</v>
      </c>
      <c r="H730" s="3">
        <f>Gegenstände!G730</f>
        <v>65</v>
      </c>
      <c r="I730" s="3">
        <f>Gegenstände!D730</f>
        <v>13</v>
      </c>
      <c r="J730" s="168">
        <f>ROUND(Gegenstände!N730,0)</f>
        <v>22300</v>
      </c>
      <c r="K730" s="3">
        <f>Gegenstände!J730</f>
        <v>100</v>
      </c>
      <c r="L730" s="3">
        <f>Gegenstände!L730</f>
        <v>1</v>
      </c>
      <c r="M730" s="3">
        <f>Gegenstände!Z730</f>
        <v>0</v>
      </c>
      <c r="N730" s="783">
        <f>(Gegenstände!Y730*10)</f>
        <v>0</v>
      </c>
      <c r="O730" s="783">
        <f>(Gegenstände!W730*10)</f>
        <v>0</v>
      </c>
      <c r="P730" s="783">
        <f>Gegenstände!AA730*10</f>
        <v>0</v>
      </c>
      <c r="Q730" s="783">
        <f>Gegenstände!O730</f>
        <v>0</v>
      </c>
      <c r="R730" s="168">
        <f>Gegenstände!S730</f>
        <v>0</v>
      </c>
      <c r="S730" s="168">
        <f>Gegenstände!T730</f>
        <v>0</v>
      </c>
      <c r="T730" s="783">
        <f>Gegenstände!AC730</f>
        <v>0</v>
      </c>
      <c r="U730" s="783">
        <f>Gegenstände!AE730</f>
        <v>0</v>
      </c>
      <c r="V730" s="783">
        <f>Gegenstände!AD730</f>
        <v>0</v>
      </c>
      <c r="W730" s="783">
        <f>Gegenstände!AF730</f>
        <v>0</v>
      </c>
      <c r="AB730" s="3">
        <f>Gegenstände!M730</f>
        <v>0</v>
      </c>
      <c r="AC730" s="3">
        <f>Gegenstände!AB730</f>
        <v>0</v>
      </c>
      <c r="AD730" s="3">
        <f>Gegenstände!F730</f>
        <v>2193</v>
      </c>
    </row>
    <row r="731" spans="1:30" x14ac:dyDescent="0.2">
      <c r="A731" s="3">
        <f>Gegenstände!A731</f>
        <v>3194</v>
      </c>
      <c r="B731" s="3" t="str">
        <f>Gegenstände!B731</f>
        <v>Lapis-Armbrust (Plan)</v>
      </c>
      <c r="D731" s="3">
        <f>Gegenstände!K731</f>
        <v>1000</v>
      </c>
      <c r="E731" s="3">
        <f>Gegenstände!I731</f>
        <v>35</v>
      </c>
      <c r="F731" s="3">
        <f>VLOOKUP(Gegenstände!E731,Berechnungen!$E$87:$F$115,2,FALSE)</f>
        <v>35</v>
      </c>
      <c r="G731" s="3">
        <f>Gegenstände!H731</f>
        <v>2</v>
      </c>
      <c r="H731" s="3">
        <f>Gegenstände!G731</f>
        <v>65</v>
      </c>
      <c r="I731" s="3">
        <f>Gegenstände!D731</f>
        <v>18</v>
      </c>
      <c r="J731" s="168">
        <f>ROUND(Gegenstände!N731,0)</f>
        <v>42300</v>
      </c>
      <c r="K731" s="3">
        <f>Gegenstände!J731</f>
        <v>100</v>
      </c>
      <c r="L731" s="3">
        <f>Gegenstände!L731</f>
        <v>1</v>
      </c>
      <c r="M731" s="3">
        <f>Gegenstände!Z731</f>
        <v>0</v>
      </c>
      <c r="N731" s="783">
        <f>(Gegenstände!Y731*10)</f>
        <v>0</v>
      </c>
      <c r="O731" s="783">
        <f>(Gegenstände!W731*10)</f>
        <v>0</v>
      </c>
      <c r="P731" s="783">
        <f>Gegenstände!AA731*10</f>
        <v>0</v>
      </c>
      <c r="Q731" s="783">
        <f>Gegenstände!O731</f>
        <v>0</v>
      </c>
      <c r="R731" s="168">
        <f>Gegenstände!S731</f>
        <v>0</v>
      </c>
      <c r="S731" s="168">
        <f>Gegenstände!T731</f>
        <v>0</v>
      </c>
      <c r="T731" s="783">
        <f>Gegenstände!AC731</f>
        <v>0</v>
      </c>
      <c r="U731" s="783">
        <f>Gegenstände!AE731</f>
        <v>0</v>
      </c>
      <c r="V731" s="783">
        <f>Gegenstände!AD731</f>
        <v>0</v>
      </c>
      <c r="W731" s="783">
        <f>Gegenstände!AF731</f>
        <v>0</v>
      </c>
      <c r="AB731" s="3">
        <f>Gegenstände!M731</f>
        <v>0</v>
      </c>
      <c r="AC731" s="3">
        <f>Gegenstände!AB731</f>
        <v>0</v>
      </c>
      <c r="AD731" s="3">
        <f>Gegenstände!F731</f>
        <v>2194</v>
      </c>
    </row>
    <row r="732" spans="1:30" x14ac:dyDescent="0.2">
      <c r="A732" s="3">
        <f>Gegenstände!A732</f>
        <v>3195</v>
      </c>
      <c r="B732" s="3" t="str">
        <f>Gegenstände!B732</f>
        <v>Diamant-Armbrust (Plan)</v>
      </c>
      <c r="D732" s="3">
        <f>Gegenstände!K732</f>
        <v>1000</v>
      </c>
      <c r="E732" s="3">
        <f>Gegenstände!I732</f>
        <v>35</v>
      </c>
      <c r="F732" s="3">
        <f>VLOOKUP(Gegenstände!E732,Berechnungen!$E$87:$F$115,2,FALSE)</f>
        <v>35</v>
      </c>
      <c r="G732" s="3">
        <f>Gegenstände!H732</f>
        <v>2</v>
      </c>
      <c r="H732" s="3">
        <f>Gegenstände!G732</f>
        <v>65</v>
      </c>
      <c r="I732" s="3">
        <f>Gegenstände!D732</f>
        <v>24</v>
      </c>
      <c r="J732" s="168">
        <f>ROUND(Gegenstände!N732,0)</f>
        <v>82300</v>
      </c>
      <c r="K732" s="3">
        <f>Gegenstände!J732</f>
        <v>100</v>
      </c>
      <c r="L732" s="3">
        <f>Gegenstände!L732</f>
        <v>1</v>
      </c>
      <c r="M732" s="3">
        <f>Gegenstände!Z732</f>
        <v>0</v>
      </c>
      <c r="N732" s="783">
        <f>(Gegenstände!Y732*10)</f>
        <v>0</v>
      </c>
      <c r="O732" s="783">
        <f>(Gegenstände!W732*10)</f>
        <v>0</v>
      </c>
      <c r="P732" s="783">
        <f>Gegenstände!AA732*10</f>
        <v>0</v>
      </c>
      <c r="Q732" s="783">
        <f>Gegenstände!O732</f>
        <v>0</v>
      </c>
      <c r="R732" s="168">
        <f>Gegenstände!S732</f>
        <v>0</v>
      </c>
      <c r="S732" s="168">
        <f>Gegenstände!T732</f>
        <v>0</v>
      </c>
      <c r="T732" s="783">
        <f>Gegenstände!AC732</f>
        <v>0</v>
      </c>
      <c r="U732" s="783">
        <f>Gegenstände!AE732</f>
        <v>0</v>
      </c>
      <c r="V732" s="783">
        <f>Gegenstände!AD732</f>
        <v>0</v>
      </c>
      <c r="W732" s="783">
        <f>Gegenstände!AF732</f>
        <v>0</v>
      </c>
      <c r="AB732" s="3">
        <f>Gegenstände!M732</f>
        <v>0</v>
      </c>
      <c r="AC732" s="3">
        <f>Gegenstände!AB732</f>
        <v>0</v>
      </c>
      <c r="AD732" s="3">
        <f>Gegenstände!F732</f>
        <v>2195</v>
      </c>
    </row>
    <row r="733" spans="1:30" x14ac:dyDescent="0.2">
      <c r="A733" s="3">
        <f>Gegenstände!A733</f>
        <v>0</v>
      </c>
      <c r="B733" s="3">
        <f>Gegenstände!B733</f>
        <v>0</v>
      </c>
      <c r="D733" s="3">
        <f>Gegenstände!K733</f>
        <v>0</v>
      </c>
      <c r="E733" s="3">
        <f>Gegenstände!I733</f>
        <v>0</v>
      </c>
      <c r="F733" s="3" t="e">
        <f>VLOOKUP(Gegenstände!E733,Berechnungen!$E$87:$F$115,2,FALSE)</f>
        <v>#N/A</v>
      </c>
      <c r="G733" s="3">
        <f>Gegenstände!H733</f>
        <v>0</v>
      </c>
      <c r="H733" s="3">
        <f>Gegenstände!G733</f>
        <v>0</v>
      </c>
      <c r="I733" s="3">
        <f>Gegenstände!D733</f>
        <v>0</v>
      </c>
      <c r="J733" s="168">
        <f>ROUND(Gegenstände!N733,0)</f>
        <v>0</v>
      </c>
      <c r="K733" s="3">
        <f>Gegenstände!J733</f>
        <v>0</v>
      </c>
      <c r="L733" s="3">
        <f>Gegenstände!L733</f>
        <v>0</v>
      </c>
      <c r="M733" s="3">
        <f>Gegenstände!Z733</f>
        <v>0</v>
      </c>
      <c r="N733" s="783">
        <f>(Gegenstände!Y733*10)</f>
        <v>0</v>
      </c>
      <c r="O733" s="783">
        <f>(Gegenstände!W733*10)</f>
        <v>0</v>
      </c>
      <c r="P733" s="783">
        <f>Gegenstände!AA733*10</f>
        <v>0</v>
      </c>
      <c r="Q733" s="783">
        <f>Gegenstände!O733</f>
        <v>0</v>
      </c>
      <c r="R733" s="168">
        <f>Gegenstände!S733</f>
        <v>0</v>
      </c>
      <c r="S733" s="168">
        <f>Gegenstände!T733</f>
        <v>0</v>
      </c>
      <c r="T733" s="783">
        <f>Gegenstände!AC733</f>
        <v>0</v>
      </c>
      <c r="U733" s="783">
        <f>Gegenstände!AE733</f>
        <v>0</v>
      </c>
      <c r="V733" s="783">
        <f>Gegenstände!AD733</f>
        <v>0</v>
      </c>
      <c r="W733" s="783">
        <f>Gegenstände!AF733</f>
        <v>0</v>
      </c>
      <c r="AB733" s="3">
        <f>Gegenstände!M733</f>
        <v>0</v>
      </c>
      <c r="AC733" s="3">
        <f>Gegenstände!AB733</f>
        <v>0</v>
      </c>
      <c r="AD733" s="3">
        <f>Gegenstände!F733</f>
        <v>0</v>
      </c>
    </row>
    <row r="734" spans="1:30" x14ac:dyDescent="0.2">
      <c r="A734" s="3">
        <f>Gegenstände!A734</f>
        <v>3201</v>
      </c>
      <c r="B734" s="3" t="str">
        <f>Gegenstände!B734</f>
        <v>Pyrit-Haube (Plan)</v>
      </c>
      <c r="D734" s="3">
        <f>Gegenstände!K734</f>
        <v>1000</v>
      </c>
      <c r="E734" s="3">
        <f>Gegenstände!I734</f>
        <v>35</v>
      </c>
      <c r="F734" s="3">
        <f>VLOOKUP(Gegenstände!E734,Berechnungen!$E$87:$F$115,2,FALSE)</f>
        <v>35</v>
      </c>
      <c r="G734" s="3">
        <f>Gegenstände!H734</f>
        <v>2</v>
      </c>
      <c r="H734" s="3">
        <f>Gegenstände!G734</f>
        <v>66</v>
      </c>
      <c r="I734" s="3">
        <f>Gegenstände!D734</f>
        <v>3</v>
      </c>
      <c r="J734" s="168">
        <f>ROUND(Gegenstände!N734,0)</f>
        <v>2000</v>
      </c>
      <c r="K734" s="3">
        <f>Gegenstände!J734</f>
        <v>100</v>
      </c>
      <c r="L734" s="3">
        <f>Gegenstände!L734</f>
        <v>1</v>
      </c>
      <c r="M734" s="3">
        <f>Gegenstände!Z734</f>
        <v>0</v>
      </c>
      <c r="N734" s="783">
        <f>(Gegenstände!Y734*10)</f>
        <v>0</v>
      </c>
      <c r="O734" s="783">
        <f>(Gegenstände!W734*10)</f>
        <v>0</v>
      </c>
      <c r="P734" s="783">
        <f>Gegenstände!AA734*10</f>
        <v>0</v>
      </c>
      <c r="Q734" s="783">
        <f>Gegenstände!O734</f>
        <v>0</v>
      </c>
      <c r="R734" s="168">
        <f>Gegenstände!S734</f>
        <v>0</v>
      </c>
      <c r="S734" s="168">
        <f>Gegenstände!T734</f>
        <v>0</v>
      </c>
      <c r="T734" s="783">
        <f>Gegenstände!AC734</f>
        <v>0</v>
      </c>
      <c r="U734" s="783">
        <f>Gegenstände!AE734</f>
        <v>0</v>
      </c>
      <c r="V734" s="783">
        <f>Gegenstände!AD734</f>
        <v>0</v>
      </c>
      <c r="W734" s="783">
        <f>Gegenstände!AF734</f>
        <v>0</v>
      </c>
      <c r="AB734" s="3">
        <f>Gegenstände!M734</f>
        <v>0</v>
      </c>
      <c r="AC734" s="3">
        <f>Gegenstände!AB734</f>
        <v>0</v>
      </c>
      <c r="AD734" s="3">
        <f>Gegenstände!F734</f>
        <v>2201</v>
      </c>
    </row>
    <row r="735" spans="1:30" x14ac:dyDescent="0.2">
      <c r="A735" s="3">
        <f>Gegenstände!A735</f>
        <v>3202</v>
      </c>
      <c r="B735" s="3" t="str">
        <f>Gegenstände!B735</f>
        <v>Pyrit-Robe (Plan)</v>
      </c>
      <c r="D735" s="3">
        <f>Gegenstände!K735</f>
        <v>1000</v>
      </c>
      <c r="E735" s="3">
        <f>Gegenstände!I735</f>
        <v>35</v>
      </c>
      <c r="F735" s="3">
        <f>VLOOKUP(Gegenstände!E735,Berechnungen!$E$87:$F$115,2,FALSE)</f>
        <v>35</v>
      </c>
      <c r="G735" s="3">
        <f>Gegenstände!H735</f>
        <v>2</v>
      </c>
      <c r="H735" s="3">
        <f>Gegenstände!G735</f>
        <v>66</v>
      </c>
      <c r="I735" s="3">
        <f>Gegenstände!D735</f>
        <v>3</v>
      </c>
      <c r="J735" s="168">
        <f>ROUND(Gegenstände!N735,0)</f>
        <v>2800</v>
      </c>
      <c r="K735" s="3">
        <f>Gegenstände!J735</f>
        <v>100</v>
      </c>
      <c r="L735" s="3">
        <f>Gegenstände!L735</f>
        <v>1</v>
      </c>
      <c r="M735" s="3">
        <f>Gegenstände!Z735</f>
        <v>0</v>
      </c>
      <c r="N735" s="783">
        <f>(Gegenstände!Y735*10)</f>
        <v>0</v>
      </c>
      <c r="O735" s="783">
        <f>(Gegenstände!W735*10)</f>
        <v>0</v>
      </c>
      <c r="P735" s="783">
        <f>Gegenstände!AA735*10</f>
        <v>0</v>
      </c>
      <c r="Q735" s="783">
        <f>Gegenstände!O735</f>
        <v>0</v>
      </c>
      <c r="R735" s="168">
        <f>Gegenstände!S735</f>
        <v>0</v>
      </c>
      <c r="S735" s="168">
        <f>Gegenstände!T735</f>
        <v>0</v>
      </c>
      <c r="T735" s="783">
        <f>Gegenstände!AC735</f>
        <v>0</v>
      </c>
      <c r="U735" s="783">
        <f>Gegenstände!AE735</f>
        <v>0</v>
      </c>
      <c r="V735" s="783">
        <f>Gegenstände!AD735</f>
        <v>0</v>
      </c>
      <c r="W735" s="783">
        <f>Gegenstände!AF735</f>
        <v>0</v>
      </c>
      <c r="AB735" s="3">
        <f>Gegenstände!M735</f>
        <v>0</v>
      </c>
      <c r="AC735" s="3">
        <f>Gegenstände!AB735</f>
        <v>0</v>
      </c>
      <c r="AD735" s="3">
        <f>Gegenstände!F735</f>
        <v>2202</v>
      </c>
    </row>
    <row r="736" spans="1:30" x14ac:dyDescent="0.2">
      <c r="A736" s="3">
        <f>Gegenstände!A736</f>
        <v>3203</v>
      </c>
      <c r="B736" s="3" t="str">
        <f>Gegenstände!B736</f>
        <v>Pyrit-Handschuhe (Plan)</v>
      </c>
      <c r="D736" s="3">
        <f>Gegenstände!K736</f>
        <v>1000</v>
      </c>
      <c r="E736" s="3">
        <f>Gegenstände!I736</f>
        <v>35</v>
      </c>
      <c r="F736" s="3">
        <f>VLOOKUP(Gegenstände!E736,Berechnungen!$E$87:$F$115,2,FALSE)</f>
        <v>35</v>
      </c>
      <c r="G736" s="3">
        <f>Gegenstände!H736</f>
        <v>2</v>
      </c>
      <c r="H736" s="3">
        <f>Gegenstände!G736</f>
        <v>66</v>
      </c>
      <c r="I736" s="3">
        <f>Gegenstände!D736</f>
        <v>4</v>
      </c>
      <c r="J736" s="168">
        <f>ROUND(Gegenstände!N736,0)</f>
        <v>1800</v>
      </c>
      <c r="K736" s="3">
        <f>Gegenstände!J736</f>
        <v>100</v>
      </c>
      <c r="L736" s="3">
        <f>Gegenstände!L736</f>
        <v>1</v>
      </c>
      <c r="M736" s="3">
        <f>Gegenstände!Z736</f>
        <v>0</v>
      </c>
      <c r="N736" s="783">
        <f>(Gegenstände!Y736*10)</f>
        <v>0</v>
      </c>
      <c r="O736" s="783">
        <f>(Gegenstände!W736*10)</f>
        <v>0</v>
      </c>
      <c r="P736" s="783">
        <f>Gegenstände!AA736*10</f>
        <v>0</v>
      </c>
      <c r="Q736" s="783">
        <f>Gegenstände!O736</f>
        <v>0</v>
      </c>
      <c r="R736" s="168">
        <f>Gegenstände!S736</f>
        <v>0</v>
      </c>
      <c r="S736" s="168">
        <f>Gegenstände!T736</f>
        <v>0</v>
      </c>
      <c r="T736" s="783">
        <f>Gegenstände!AC736</f>
        <v>0</v>
      </c>
      <c r="U736" s="783">
        <f>Gegenstände!AE736</f>
        <v>0</v>
      </c>
      <c r="V736" s="783">
        <f>Gegenstände!AD736</f>
        <v>0</v>
      </c>
      <c r="W736" s="783">
        <f>Gegenstände!AF736</f>
        <v>0</v>
      </c>
      <c r="AB736" s="3">
        <f>Gegenstände!M736</f>
        <v>0</v>
      </c>
      <c r="AC736" s="3">
        <f>Gegenstände!AB736</f>
        <v>0</v>
      </c>
      <c r="AD736" s="3">
        <f>Gegenstände!F736</f>
        <v>2203</v>
      </c>
    </row>
    <row r="737" spans="1:30" x14ac:dyDescent="0.2">
      <c r="A737" s="3">
        <f>Gegenstände!A737</f>
        <v>3204</v>
      </c>
      <c r="B737" s="3" t="str">
        <f>Gegenstände!B737</f>
        <v>Pyrit-Hose (Plan)</v>
      </c>
      <c r="D737" s="3">
        <f>Gegenstände!K737</f>
        <v>1000</v>
      </c>
      <c r="E737" s="3">
        <f>Gegenstände!I737</f>
        <v>35</v>
      </c>
      <c r="F737" s="3">
        <f>VLOOKUP(Gegenstände!E737,Berechnungen!$E$87:$F$115,2,FALSE)</f>
        <v>35</v>
      </c>
      <c r="G737" s="3">
        <f>Gegenstände!H737</f>
        <v>2</v>
      </c>
      <c r="H737" s="3">
        <f>Gegenstände!G737</f>
        <v>66</v>
      </c>
      <c r="I737" s="3">
        <f>Gegenstände!D737</f>
        <v>4</v>
      </c>
      <c r="J737" s="168">
        <f>ROUND(Gegenstände!N737,0)</f>
        <v>2200</v>
      </c>
      <c r="K737" s="3">
        <f>Gegenstände!J737</f>
        <v>100</v>
      </c>
      <c r="L737" s="3">
        <f>Gegenstände!L737</f>
        <v>1</v>
      </c>
      <c r="M737" s="3">
        <f>Gegenstände!Z737</f>
        <v>0</v>
      </c>
      <c r="N737" s="783">
        <f>(Gegenstände!Y737*10)</f>
        <v>0</v>
      </c>
      <c r="O737" s="783">
        <f>(Gegenstände!W737*10)</f>
        <v>0</v>
      </c>
      <c r="P737" s="783">
        <f>Gegenstände!AA737*10</f>
        <v>0</v>
      </c>
      <c r="Q737" s="783">
        <f>Gegenstände!O737</f>
        <v>0</v>
      </c>
      <c r="R737" s="168">
        <f>Gegenstände!S737</f>
        <v>0</v>
      </c>
      <c r="S737" s="168">
        <f>Gegenstände!T737</f>
        <v>0</v>
      </c>
      <c r="T737" s="783">
        <f>Gegenstände!AC737</f>
        <v>0</v>
      </c>
      <c r="U737" s="783">
        <f>Gegenstände!AE737</f>
        <v>0</v>
      </c>
      <c r="V737" s="783">
        <f>Gegenstände!AD737</f>
        <v>0</v>
      </c>
      <c r="W737" s="783">
        <f>Gegenstände!AF737</f>
        <v>0</v>
      </c>
      <c r="AB737" s="3">
        <f>Gegenstände!M737</f>
        <v>0</v>
      </c>
      <c r="AC737" s="3">
        <f>Gegenstände!AB737</f>
        <v>0</v>
      </c>
      <c r="AD737" s="3">
        <f>Gegenstände!F737</f>
        <v>2204</v>
      </c>
    </row>
    <row r="738" spans="1:30" x14ac:dyDescent="0.2">
      <c r="A738" s="3">
        <f>Gegenstände!A738</f>
        <v>3205</v>
      </c>
      <c r="B738" s="3" t="str">
        <f>Gegenstände!B738</f>
        <v>Pyrit-Schuhe (Plan)</v>
      </c>
      <c r="D738" s="3">
        <f>Gegenstände!K738</f>
        <v>1000</v>
      </c>
      <c r="E738" s="3">
        <f>Gegenstände!I738</f>
        <v>35</v>
      </c>
      <c r="F738" s="3">
        <f>VLOOKUP(Gegenstände!E738,Berechnungen!$E$87:$F$115,2,FALSE)</f>
        <v>35</v>
      </c>
      <c r="G738" s="3">
        <f>Gegenstände!H738</f>
        <v>2</v>
      </c>
      <c r="H738" s="3">
        <f>Gegenstände!G738</f>
        <v>66</v>
      </c>
      <c r="I738" s="3">
        <f>Gegenstände!D738</f>
        <v>4</v>
      </c>
      <c r="J738" s="168">
        <f>ROUND(Gegenstände!N738,0)</f>
        <v>1800</v>
      </c>
      <c r="K738" s="3">
        <f>Gegenstände!J738</f>
        <v>100</v>
      </c>
      <c r="L738" s="3">
        <f>Gegenstände!L738</f>
        <v>1</v>
      </c>
      <c r="M738" s="3">
        <f>Gegenstände!Z738</f>
        <v>0</v>
      </c>
      <c r="N738" s="783">
        <f>(Gegenstände!Y738*10)</f>
        <v>0</v>
      </c>
      <c r="O738" s="783">
        <f>(Gegenstände!W738*10)</f>
        <v>0</v>
      </c>
      <c r="P738" s="783">
        <f>Gegenstände!AA738*10</f>
        <v>0</v>
      </c>
      <c r="Q738" s="783">
        <f>Gegenstände!O738</f>
        <v>0</v>
      </c>
      <c r="R738" s="168">
        <f>Gegenstände!S738</f>
        <v>0</v>
      </c>
      <c r="S738" s="168">
        <f>Gegenstände!T738</f>
        <v>0</v>
      </c>
      <c r="T738" s="783">
        <f>Gegenstände!AC738</f>
        <v>0</v>
      </c>
      <c r="U738" s="783">
        <f>Gegenstände!AE738</f>
        <v>0</v>
      </c>
      <c r="V738" s="783">
        <f>Gegenstände!AD738</f>
        <v>0</v>
      </c>
      <c r="W738" s="783">
        <f>Gegenstände!AF738</f>
        <v>0</v>
      </c>
      <c r="AB738" s="3">
        <f>Gegenstände!M738</f>
        <v>0</v>
      </c>
      <c r="AC738" s="3">
        <f>Gegenstände!AB738</f>
        <v>0</v>
      </c>
      <c r="AD738" s="3">
        <f>Gegenstände!F738</f>
        <v>2205</v>
      </c>
    </row>
    <row r="739" spans="1:30" x14ac:dyDescent="0.2">
      <c r="A739" s="3">
        <f>Gegenstände!A739</f>
        <v>3211</v>
      </c>
      <c r="B739" s="3" t="str">
        <f>Gegenstände!B739</f>
        <v>Jaspis-Haube (Plan)</v>
      </c>
      <c r="D739" s="3">
        <f>Gegenstände!K739</f>
        <v>1000</v>
      </c>
      <c r="E739" s="3">
        <f>Gegenstände!I739</f>
        <v>35</v>
      </c>
      <c r="F739" s="3">
        <f>VLOOKUP(Gegenstände!E739,Berechnungen!$E$87:$F$115,2,FALSE)</f>
        <v>35</v>
      </c>
      <c r="G739" s="3">
        <f>Gegenstände!H739</f>
        <v>2</v>
      </c>
      <c r="H739" s="3">
        <f>Gegenstände!G739</f>
        <v>66</v>
      </c>
      <c r="I739" s="3">
        <f>Gegenstände!D739</f>
        <v>8</v>
      </c>
      <c r="J739" s="168">
        <f>ROUND(Gegenstände!N739,0)</f>
        <v>4100</v>
      </c>
      <c r="K739" s="3">
        <f>Gegenstände!J739</f>
        <v>100</v>
      </c>
      <c r="L739" s="3">
        <f>Gegenstände!L739</f>
        <v>1</v>
      </c>
      <c r="M739" s="3">
        <f>Gegenstände!Z739</f>
        <v>0</v>
      </c>
      <c r="N739" s="783">
        <f>(Gegenstände!Y739*10)</f>
        <v>0</v>
      </c>
      <c r="O739" s="783">
        <f>(Gegenstände!W739*10)</f>
        <v>0</v>
      </c>
      <c r="P739" s="783">
        <f>Gegenstände!AA739*10</f>
        <v>0</v>
      </c>
      <c r="Q739" s="783">
        <f>Gegenstände!O739</f>
        <v>0</v>
      </c>
      <c r="R739" s="168">
        <f>Gegenstände!S739</f>
        <v>0</v>
      </c>
      <c r="S739" s="168">
        <f>Gegenstände!T739</f>
        <v>0</v>
      </c>
      <c r="T739" s="783">
        <f>Gegenstände!AC739</f>
        <v>0</v>
      </c>
      <c r="U739" s="783">
        <f>Gegenstände!AE739</f>
        <v>0</v>
      </c>
      <c r="V739" s="783">
        <f>Gegenstände!AD739</f>
        <v>0</v>
      </c>
      <c r="W739" s="783">
        <f>Gegenstände!AF739</f>
        <v>0</v>
      </c>
      <c r="AB739" s="3">
        <f>Gegenstände!M739</f>
        <v>0</v>
      </c>
      <c r="AC739" s="3">
        <f>Gegenstände!AB739</f>
        <v>0</v>
      </c>
      <c r="AD739" s="3">
        <f>Gegenstände!F739</f>
        <v>2211</v>
      </c>
    </row>
    <row r="740" spans="1:30" x14ac:dyDescent="0.2">
      <c r="A740" s="3">
        <f>Gegenstände!A740</f>
        <v>3212</v>
      </c>
      <c r="B740" s="3" t="str">
        <f>Gegenstände!B740</f>
        <v>Jaspis-Robe (Plan)</v>
      </c>
      <c r="D740" s="3">
        <f>Gegenstände!K740</f>
        <v>1000</v>
      </c>
      <c r="E740" s="3">
        <f>Gegenstände!I740</f>
        <v>35</v>
      </c>
      <c r="F740" s="3">
        <f>VLOOKUP(Gegenstände!E740,Berechnungen!$E$87:$F$115,2,FALSE)</f>
        <v>35</v>
      </c>
      <c r="G740" s="3">
        <f>Gegenstände!H740</f>
        <v>2</v>
      </c>
      <c r="H740" s="3">
        <f>Gegenstände!G740</f>
        <v>66</v>
      </c>
      <c r="I740" s="3">
        <f>Gegenstände!D740</f>
        <v>8</v>
      </c>
      <c r="J740" s="168">
        <f>ROUND(Gegenstände!N740,0)</f>
        <v>5600</v>
      </c>
      <c r="K740" s="3">
        <f>Gegenstände!J740</f>
        <v>100</v>
      </c>
      <c r="L740" s="3">
        <f>Gegenstände!L740</f>
        <v>1</v>
      </c>
      <c r="M740" s="3">
        <f>Gegenstände!Z740</f>
        <v>0</v>
      </c>
      <c r="N740" s="783">
        <f>(Gegenstände!Y740*10)</f>
        <v>0</v>
      </c>
      <c r="O740" s="783">
        <f>(Gegenstände!W740*10)</f>
        <v>0</v>
      </c>
      <c r="P740" s="783">
        <f>Gegenstände!AA740*10</f>
        <v>0</v>
      </c>
      <c r="Q740" s="783">
        <f>Gegenstände!O740</f>
        <v>0</v>
      </c>
      <c r="R740" s="168">
        <f>Gegenstände!S740</f>
        <v>0</v>
      </c>
      <c r="S740" s="168">
        <f>Gegenstände!T740</f>
        <v>0</v>
      </c>
      <c r="T740" s="783">
        <f>Gegenstände!AC740</f>
        <v>0</v>
      </c>
      <c r="U740" s="783">
        <f>Gegenstände!AE740</f>
        <v>0</v>
      </c>
      <c r="V740" s="783">
        <f>Gegenstände!AD740</f>
        <v>0</v>
      </c>
      <c r="W740" s="783">
        <f>Gegenstände!AF740</f>
        <v>0</v>
      </c>
      <c r="AB740" s="3">
        <f>Gegenstände!M740</f>
        <v>0</v>
      </c>
      <c r="AC740" s="3">
        <f>Gegenstände!AB740</f>
        <v>0</v>
      </c>
      <c r="AD740" s="3">
        <f>Gegenstände!F740</f>
        <v>2212</v>
      </c>
    </row>
    <row r="741" spans="1:30" x14ac:dyDescent="0.2">
      <c r="A741" s="3">
        <f>Gegenstände!A741</f>
        <v>3213</v>
      </c>
      <c r="B741" s="3" t="str">
        <f>Gegenstände!B741</f>
        <v>Jaspis-Handschuhe (Plan)</v>
      </c>
      <c r="D741" s="3">
        <f>Gegenstände!K741</f>
        <v>1000</v>
      </c>
      <c r="E741" s="3">
        <f>Gegenstände!I741</f>
        <v>35</v>
      </c>
      <c r="F741" s="3">
        <f>VLOOKUP(Gegenstände!E741,Berechnungen!$E$87:$F$115,2,FALSE)</f>
        <v>35</v>
      </c>
      <c r="G741" s="3">
        <f>Gegenstände!H741</f>
        <v>2</v>
      </c>
      <c r="H741" s="3">
        <f>Gegenstände!G741</f>
        <v>66</v>
      </c>
      <c r="I741" s="3">
        <f>Gegenstände!D741</f>
        <v>9</v>
      </c>
      <c r="J741" s="168">
        <f>ROUND(Gegenstände!N741,0)</f>
        <v>3600</v>
      </c>
      <c r="K741" s="3">
        <f>Gegenstände!J741</f>
        <v>100</v>
      </c>
      <c r="L741" s="3">
        <f>Gegenstände!L741</f>
        <v>1</v>
      </c>
      <c r="M741" s="3">
        <f>Gegenstände!Z741</f>
        <v>0</v>
      </c>
      <c r="N741" s="783">
        <f>(Gegenstände!Y741*10)</f>
        <v>0</v>
      </c>
      <c r="O741" s="783">
        <f>(Gegenstände!W741*10)</f>
        <v>0</v>
      </c>
      <c r="P741" s="783">
        <f>Gegenstände!AA741*10</f>
        <v>0</v>
      </c>
      <c r="Q741" s="783">
        <f>Gegenstände!O741</f>
        <v>0</v>
      </c>
      <c r="R741" s="168">
        <f>Gegenstände!S741</f>
        <v>0</v>
      </c>
      <c r="S741" s="168">
        <f>Gegenstände!T741</f>
        <v>0</v>
      </c>
      <c r="T741" s="783">
        <f>Gegenstände!AC741</f>
        <v>0</v>
      </c>
      <c r="U741" s="783">
        <f>Gegenstände!AE741</f>
        <v>0</v>
      </c>
      <c r="V741" s="783">
        <f>Gegenstände!AD741</f>
        <v>0</v>
      </c>
      <c r="W741" s="783">
        <f>Gegenstände!AF741</f>
        <v>0</v>
      </c>
      <c r="AB741" s="3">
        <f>Gegenstände!M741</f>
        <v>0</v>
      </c>
      <c r="AC741" s="3">
        <f>Gegenstände!AB741</f>
        <v>0</v>
      </c>
      <c r="AD741" s="3">
        <f>Gegenstände!F741</f>
        <v>2213</v>
      </c>
    </row>
    <row r="742" spans="1:30" x14ac:dyDescent="0.2">
      <c r="A742" s="3">
        <f>Gegenstände!A742</f>
        <v>3214</v>
      </c>
      <c r="B742" s="3" t="str">
        <f>Gegenstände!B742</f>
        <v>Jaspis-Hose (Plan)</v>
      </c>
      <c r="D742" s="3">
        <f>Gegenstände!K742</f>
        <v>1000</v>
      </c>
      <c r="E742" s="3">
        <f>Gegenstände!I742</f>
        <v>35</v>
      </c>
      <c r="F742" s="3">
        <f>VLOOKUP(Gegenstände!E742,Berechnungen!$E$87:$F$115,2,FALSE)</f>
        <v>35</v>
      </c>
      <c r="G742" s="3">
        <f>Gegenstände!H742</f>
        <v>2</v>
      </c>
      <c r="H742" s="3">
        <f>Gegenstände!G742</f>
        <v>66</v>
      </c>
      <c r="I742" s="3">
        <f>Gegenstände!D742</f>
        <v>9</v>
      </c>
      <c r="J742" s="168">
        <f>ROUND(Gegenstände!N742,0)</f>
        <v>4500</v>
      </c>
      <c r="K742" s="3">
        <f>Gegenstände!J742</f>
        <v>100</v>
      </c>
      <c r="L742" s="3">
        <f>Gegenstände!L742</f>
        <v>1</v>
      </c>
      <c r="M742" s="3">
        <f>Gegenstände!Z742</f>
        <v>0</v>
      </c>
      <c r="N742" s="783">
        <f>(Gegenstände!Y742*10)</f>
        <v>0</v>
      </c>
      <c r="O742" s="783">
        <f>(Gegenstände!W742*10)</f>
        <v>0</v>
      </c>
      <c r="P742" s="783">
        <f>Gegenstände!AA742*10</f>
        <v>0</v>
      </c>
      <c r="Q742" s="783">
        <f>Gegenstände!O742</f>
        <v>0</v>
      </c>
      <c r="R742" s="168">
        <f>Gegenstände!S742</f>
        <v>0</v>
      </c>
      <c r="S742" s="168">
        <f>Gegenstände!T742</f>
        <v>0</v>
      </c>
      <c r="T742" s="783">
        <f>Gegenstände!AC742</f>
        <v>0</v>
      </c>
      <c r="U742" s="783">
        <f>Gegenstände!AE742</f>
        <v>0</v>
      </c>
      <c r="V742" s="783">
        <f>Gegenstände!AD742</f>
        <v>0</v>
      </c>
      <c r="W742" s="783">
        <f>Gegenstände!AF742</f>
        <v>0</v>
      </c>
      <c r="AB742" s="3">
        <f>Gegenstände!M742</f>
        <v>0</v>
      </c>
      <c r="AC742" s="3">
        <f>Gegenstände!AB742</f>
        <v>0</v>
      </c>
      <c r="AD742" s="3">
        <f>Gegenstände!F742</f>
        <v>2214</v>
      </c>
    </row>
    <row r="743" spans="1:30" x14ac:dyDescent="0.2">
      <c r="A743" s="3">
        <f>Gegenstände!A743</f>
        <v>3215</v>
      </c>
      <c r="B743" s="3" t="str">
        <f>Gegenstände!B743</f>
        <v>Jaspis-Schuhe (Plan)</v>
      </c>
      <c r="D743" s="3">
        <f>Gegenstände!K743</f>
        <v>1000</v>
      </c>
      <c r="E743" s="3">
        <f>Gegenstände!I743</f>
        <v>35</v>
      </c>
      <c r="F743" s="3">
        <f>VLOOKUP(Gegenstände!E743,Berechnungen!$E$87:$F$115,2,FALSE)</f>
        <v>35</v>
      </c>
      <c r="G743" s="3">
        <f>Gegenstände!H743</f>
        <v>2</v>
      </c>
      <c r="H743" s="3">
        <f>Gegenstände!G743</f>
        <v>66</v>
      </c>
      <c r="I743" s="3">
        <f>Gegenstände!D743</f>
        <v>9</v>
      </c>
      <c r="J743" s="168">
        <f>ROUND(Gegenstände!N743,0)</f>
        <v>3600</v>
      </c>
      <c r="K743" s="3">
        <f>Gegenstände!J743</f>
        <v>100</v>
      </c>
      <c r="L743" s="3">
        <f>Gegenstände!L743</f>
        <v>1</v>
      </c>
      <c r="M743" s="3">
        <f>Gegenstände!Z743</f>
        <v>0</v>
      </c>
      <c r="N743" s="783">
        <f>(Gegenstände!Y743*10)</f>
        <v>0</v>
      </c>
      <c r="O743" s="783">
        <f>(Gegenstände!W743*10)</f>
        <v>0</v>
      </c>
      <c r="P743" s="783">
        <f>Gegenstände!AA743*10</f>
        <v>0</v>
      </c>
      <c r="Q743" s="783">
        <f>Gegenstände!O743</f>
        <v>0</v>
      </c>
      <c r="R743" s="168">
        <f>Gegenstände!S743</f>
        <v>0</v>
      </c>
      <c r="S743" s="168">
        <f>Gegenstände!T743</f>
        <v>0</v>
      </c>
      <c r="T743" s="783">
        <f>Gegenstände!AC743</f>
        <v>0</v>
      </c>
      <c r="U743" s="783">
        <f>Gegenstände!AE743</f>
        <v>0</v>
      </c>
      <c r="V743" s="783">
        <f>Gegenstände!AD743</f>
        <v>0</v>
      </c>
      <c r="W743" s="783">
        <f>Gegenstände!AF743</f>
        <v>0</v>
      </c>
      <c r="AB743" s="3">
        <f>Gegenstände!M743</f>
        <v>0</v>
      </c>
      <c r="AC743" s="3">
        <f>Gegenstände!AB743</f>
        <v>0</v>
      </c>
      <c r="AD743" s="3">
        <f>Gegenstände!F743</f>
        <v>2215</v>
      </c>
    </row>
    <row r="744" spans="1:30" x14ac:dyDescent="0.2">
      <c r="A744" s="3">
        <f>Gegenstände!A744</f>
        <v>3221</v>
      </c>
      <c r="B744" s="3" t="str">
        <f>Gegenstände!B744</f>
        <v>Perlmutt-Haube (Plan)</v>
      </c>
      <c r="D744" s="3">
        <f>Gegenstände!K744</f>
        <v>1000</v>
      </c>
      <c r="E744" s="3">
        <f>Gegenstände!I744</f>
        <v>35</v>
      </c>
      <c r="F744" s="3">
        <f>VLOOKUP(Gegenstände!E744,Berechnungen!$E$87:$F$115,2,FALSE)</f>
        <v>35</v>
      </c>
      <c r="G744" s="3">
        <f>Gegenstände!H744</f>
        <v>2</v>
      </c>
      <c r="H744" s="3">
        <f>Gegenstände!G744</f>
        <v>66</v>
      </c>
      <c r="I744" s="3">
        <f>Gegenstände!D744</f>
        <v>13</v>
      </c>
      <c r="J744" s="168">
        <f>ROUND(Gegenstände!N744,0)</f>
        <v>8200</v>
      </c>
      <c r="K744" s="3">
        <f>Gegenstände!J744</f>
        <v>100</v>
      </c>
      <c r="L744" s="3">
        <f>Gegenstände!L744</f>
        <v>1</v>
      </c>
      <c r="M744" s="3">
        <f>Gegenstände!Z744</f>
        <v>0</v>
      </c>
      <c r="N744" s="783">
        <f>(Gegenstände!Y744*10)</f>
        <v>0</v>
      </c>
      <c r="O744" s="783">
        <f>(Gegenstände!W744*10)</f>
        <v>0</v>
      </c>
      <c r="P744" s="783">
        <f>Gegenstände!AA744*10</f>
        <v>0</v>
      </c>
      <c r="Q744" s="783">
        <f>Gegenstände!O744</f>
        <v>0</v>
      </c>
      <c r="R744" s="168">
        <f>Gegenstände!S744</f>
        <v>0</v>
      </c>
      <c r="S744" s="168">
        <f>Gegenstände!T744</f>
        <v>0</v>
      </c>
      <c r="T744" s="783">
        <f>Gegenstände!AC744</f>
        <v>0</v>
      </c>
      <c r="U744" s="783">
        <f>Gegenstände!AE744</f>
        <v>0</v>
      </c>
      <c r="V744" s="783">
        <f>Gegenstände!AD744</f>
        <v>0</v>
      </c>
      <c r="W744" s="783">
        <f>Gegenstände!AF744</f>
        <v>0</v>
      </c>
      <c r="AB744" s="3">
        <f>Gegenstände!M744</f>
        <v>0</v>
      </c>
      <c r="AC744" s="3">
        <f>Gegenstände!AB744</f>
        <v>0</v>
      </c>
      <c r="AD744" s="3">
        <f>Gegenstände!F744</f>
        <v>2221</v>
      </c>
    </row>
    <row r="745" spans="1:30" x14ac:dyDescent="0.2">
      <c r="A745" s="3">
        <f>Gegenstände!A745</f>
        <v>3222</v>
      </c>
      <c r="B745" s="3" t="str">
        <f>Gegenstände!B745</f>
        <v>Perlmutt-Robe (Plan)</v>
      </c>
      <c r="D745" s="3">
        <f>Gegenstände!K745</f>
        <v>1000</v>
      </c>
      <c r="E745" s="3">
        <f>Gegenstände!I745</f>
        <v>35</v>
      </c>
      <c r="F745" s="3">
        <f>VLOOKUP(Gegenstände!E745,Berechnungen!$E$87:$F$115,2,FALSE)</f>
        <v>35</v>
      </c>
      <c r="G745" s="3">
        <f>Gegenstände!H745</f>
        <v>2</v>
      </c>
      <c r="H745" s="3">
        <f>Gegenstände!G745</f>
        <v>66</v>
      </c>
      <c r="I745" s="3">
        <f>Gegenstände!D745</f>
        <v>13</v>
      </c>
      <c r="J745" s="168">
        <f>ROUND(Gegenstände!N745,0)</f>
        <v>11200</v>
      </c>
      <c r="K745" s="3">
        <f>Gegenstände!J745</f>
        <v>100</v>
      </c>
      <c r="L745" s="3">
        <f>Gegenstände!L745</f>
        <v>1</v>
      </c>
      <c r="M745" s="3">
        <f>Gegenstände!Z745</f>
        <v>0</v>
      </c>
      <c r="N745" s="783">
        <f>(Gegenstände!Y745*10)</f>
        <v>0</v>
      </c>
      <c r="O745" s="783">
        <f>(Gegenstände!W745*10)</f>
        <v>0</v>
      </c>
      <c r="P745" s="783">
        <f>Gegenstände!AA745*10</f>
        <v>0</v>
      </c>
      <c r="Q745" s="783">
        <f>Gegenstände!O745</f>
        <v>0</v>
      </c>
      <c r="R745" s="168">
        <f>Gegenstände!S745</f>
        <v>0</v>
      </c>
      <c r="S745" s="168">
        <f>Gegenstände!T745</f>
        <v>0</v>
      </c>
      <c r="T745" s="783">
        <f>Gegenstände!AC745</f>
        <v>0</v>
      </c>
      <c r="U745" s="783">
        <f>Gegenstände!AE745</f>
        <v>0</v>
      </c>
      <c r="V745" s="783">
        <f>Gegenstände!AD745</f>
        <v>0</v>
      </c>
      <c r="W745" s="783">
        <f>Gegenstände!AF745</f>
        <v>0</v>
      </c>
      <c r="AB745" s="3">
        <f>Gegenstände!M745</f>
        <v>0</v>
      </c>
      <c r="AC745" s="3">
        <f>Gegenstände!AB745</f>
        <v>0</v>
      </c>
      <c r="AD745" s="3">
        <f>Gegenstände!F745</f>
        <v>2222</v>
      </c>
    </row>
    <row r="746" spans="1:30" x14ac:dyDescent="0.2">
      <c r="A746" s="3">
        <f>Gegenstände!A746</f>
        <v>3223</v>
      </c>
      <c r="B746" s="3" t="str">
        <f>Gegenstände!B746</f>
        <v>Perlmutt-Handschuhe (Plan)</v>
      </c>
      <c r="D746" s="3">
        <f>Gegenstände!K746</f>
        <v>1000</v>
      </c>
      <c r="E746" s="3">
        <f>Gegenstände!I746</f>
        <v>35</v>
      </c>
      <c r="F746" s="3">
        <f>VLOOKUP(Gegenstände!E746,Berechnungen!$E$87:$F$115,2,FALSE)</f>
        <v>35</v>
      </c>
      <c r="G746" s="3">
        <f>Gegenstände!H746</f>
        <v>2</v>
      </c>
      <c r="H746" s="3">
        <f>Gegenstände!G746</f>
        <v>66</v>
      </c>
      <c r="I746" s="3">
        <f>Gegenstände!D746</f>
        <v>14</v>
      </c>
      <c r="J746" s="168">
        <f>ROUND(Gegenstände!N746,0)</f>
        <v>7300</v>
      </c>
      <c r="K746" s="3">
        <f>Gegenstände!J746</f>
        <v>100</v>
      </c>
      <c r="L746" s="3">
        <f>Gegenstände!L746</f>
        <v>1</v>
      </c>
      <c r="M746" s="3">
        <f>Gegenstände!Z746</f>
        <v>0</v>
      </c>
      <c r="N746" s="783">
        <f>(Gegenstände!Y746*10)</f>
        <v>0</v>
      </c>
      <c r="O746" s="783">
        <f>(Gegenstände!W746*10)</f>
        <v>0</v>
      </c>
      <c r="P746" s="783">
        <f>Gegenstände!AA746*10</f>
        <v>0</v>
      </c>
      <c r="Q746" s="783">
        <f>Gegenstände!O746</f>
        <v>0</v>
      </c>
      <c r="R746" s="168">
        <f>Gegenstände!S746</f>
        <v>0</v>
      </c>
      <c r="S746" s="168">
        <f>Gegenstände!T746</f>
        <v>0</v>
      </c>
      <c r="T746" s="783">
        <f>Gegenstände!AC746</f>
        <v>0</v>
      </c>
      <c r="U746" s="783">
        <f>Gegenstände!AE746</f>
        <v>0</v>
      </c>
      <c r="V746" s="783">
        <f>Gegenstände!AD746</f>
        <v>0</v>
      </c>
      <c r="W746" s="783">
        <f>Gegenstände!AF746</f>
        <v>0</v>
      </c>
      <c r="AB746" s="3">
        <f>Gegenstände!M746</f>
        <v>0</v>
      </c>
      <c r="AC746" s="3">
        <f>Gegenstände!AB746</f>
        <v>0</v>
      </c>
      <c r="AD746" s="3">
        <f>Gegenstände!F746</f>
        <v>2223</v>
      </c>
    </row>
    <row r="747" spans="1:30" x14ac:dyDescent="0.2">
      <c r="A747" s="3">
        <f>Gegenstände!A747</f>
        <v>3224</v>
      </c>
      <c r="B747" s="3" t="str">
        <f>Gegenstände!B747</f>
        <v>Perlmutt-Hose (Plan)</v>
      </c>
      <c r="D747" s="3">
        <f>Gegenstände!K747</f>
        <v>1000</v>
      </c>
      <c r="E747" s="3">
        <f>Gegenstände!I747</f>
        <v>35</v>
      </c>
      <c r="F747" s="3">
        <f>VLOOKUP(Gegenstände!E747,Berechnungen!$E$87:$F$115,2,FALSE)</f>
        <v>35</v>
      </c>
      <c r="G747" s="3">
        <f>Gegenstände!H747</f>
        <v>2</v>
      </c>
      <c r="H747" s="3">
        <f>Gegenstände!G747</f>
        <v>66</v>
      </c>
      <c r="I747" s="3">
        <f>Gegenstände!D747</f>
        <v>14</v>
      </c>
      <c r="J747" s="168">
        <f>ROUND(Gegenstände!N747,0)</f>
        <v>9100</v>
      </c>
      <c r="K747" s="3">
        <f>Gegenstände!J747</f>
        <v>100</v>
      </c>
      <c r="L747" s="3">
        <f>Gegenstände!L747</f>
        <v>1</v>
      </c>
      <c r="M747" s="3">
        <f>Gegenstände!Z747</f>
        <v>0</v>
      </c>
      <c r="N747" s="783">
        <f>(Gegenstände!Y747*10)</f>
        <v>0</v>
      </c>
      <c r="O747" s="783">
        <f>(Gegenstände!W747*10)</f>
        <v>0</v>
      </c>
      <c r="P747" s="783">
        <f>Gegenstände!AA747*10</f>
        <v>0</v>
      </c>
      <c r="Q747" s="783">
        <f>Gegenstände!O747</f>
        <v>0</v>
      </c>
      <c r="R747" s="168">
        <f>Gegenstände!S747</f>
        <v>0</v>
      </c>
      <c r="S747" s="168">
        <f>Gegenstände!T747</f>
        <v>0</v>
      </c>
      <c r="T747" s="783">
        <f>Gegenstände!AC747</f>
        <v>0</v>
      </c>
      <c r="U747" s="783">
        <f>Gegenstände!AE747</f>
        <v>0</v>
      </c>
      <c r="V747" s="783">
        <f>Gegenstände!AD747</f>
        <v>0</v>
      </c>
      <c r="W747" s="783">
        <f>Gegenstände!AF747</f>
        <v>0</v>
      </c>
      <c r="AB747" s="3">
        <f>Gegenstände!M747</f>
        <v>0</v>
      </c>
      <c r="AC747" s="3">
        <f>Gegenstände!AB747</f>
        <v>0</v>
      </c>
      <c r="AD747" s="3">
        <f>Gegenstände!F747</f>
        <v>2224</v>
      </c>
    </row>
    <row r="748" spans="1:30" x14ac:dyDescent="0.2">
      <c r="A748" s="3">
        <f>Gegenstände!A748</f>
        <v>3225</v>
      </c>
      <c r="B748" s="3" t="str">
        <f>Gegenstände!B748</f>
        <v>Perlmutt-Schuhe (Plan)</v>
      </c>
      <c r="D748" s="3">
        <f>Gegenstände!K748</f>
        <v>1000</v>
      </c>
      <c r="E748" s="3">
        <f>Gegenstände!I748</f>
        <v>35</v>
      </c>
      <c r="F748" s="3">
        <f>VLOOKUP(Gegenstände!E748,Berechnungen!$E$87:$F$115,2,FALSE)</f>
        <v>35</v>
      </c>
      <c r="G748" s="3">
        <f>Gegenstände!H748</f>
        <v>2</v>
      </c>
      <c r="H748" s="3">
        <f>Gegenstände!G748</f>
        <v>66</v>
      </c>
      <c r="I748" s="3">
        <f>Gegenstände!D748</f>
        <v>14</v>
      </c>
      <c r="J748" s="168">
        <f>ROUND(Gegenstände!N748,0)</f>
        <v>7300</v>
      </c>
      <c r="K748" s="3">
        <f>Gegenstände!J748</f>
        <v>100</v>
      </c>
      <c r="L748" s="3">
        <f>Gegenstände!L748</f>
        <v>1</v>
      </c>
      <c r="M748" s="3">
        <f>Gegenstände!Z748</f>
        <v>0</v>
      </c>
      <c r="N748" s="783">
        <f>(Gegenstände!Y748*10)</f>
        <v>0</v>
      </c>
      <c r="O748" s="783">
        <f>(Gegenstände!W748*10)</f>
        <v>0</v>
      </c>
      <c r="P748" s="783">
        <f>Gegenstände!AA748*10</f>
        <v>0</v>
      </c>
      <c r="Q748" s="783">
        <f>Gegenstände!O748</f>
        <v>0</v>
      </c>
      <c r="R748" s="168">
        <f>Gegenstände!S748</f>
        <v>0</v>
      </c>
      <c r="S748" s="168">
        <f>Gegenstände!T748</f>
        <v>0</v>
      </c>
      <c r="T748" s="783">
        <f>Gegenstände!AC748</f>
        <v>0</v>
      </c>
      <c r="U748" s="783">
        <f>Gegenstände!AE748</f>
        <v>0</v>
      </c>
      <c r="V748" s="783">
        <f>Gegenstände!AD748</f>
        <v>0</v>
      </c>
      <c r="W748" s="783">
        <f>Gegenstände!AF748</f>
        <v>0</v>
      </c>
      <c r="AB748" s="3">
        <f>Gegenstände!M748</f>
        <v>0</v>
      </c>
      <c r="AC748" s="3">
        <f>Gegenstände!AB748</f>
        <v>0</v>
      </c>
      <c r="AD748" s="3">
        <f>Gegenstände!F748</f>
        <v>2225</v>
      </c>
    </row>
    <row r="749" spans="1:30" x14ac:dyDescent="0.2">
      <c r="A749" s="3">
        <f>Gegenstände!A749</f>
        <v>3231</v>
      </c>
      <c r="B749" s="3" t="str">
        <f>Gegenstände!B749</f>
        <v>Jade-Haube (Plan)</v>
      </c>
      <c r="D749" s="3">
        <f>Gegenstände!K749</f>
        <v>1000</v>
      </c>
      <c r="E749" s="3">
        <f>Gegenstände!I749</f>
        <v>35</v>
      </c>
      <c r="F749" s="3">
        <f>VLOOKUP(Gegenstände!E749,Berechnungen!$E$87:$F$115,2,FALSE)</f>
        <v>35</v>
      </c>
      <c r="G749" s="3">
        <f>Gegenstände!H749</f>
        <v>2</v>
      </c>
      <c r="H749" s="3">
        <f>Gegenstände!G749</f>
        <v>66</v>
      </c>
      <c r="I749" s="3">
        <f>Gegenstände!D749</f>
        <v>18</v>
      </c>
      <c r="J749" s="168">
        <f>ROUND(Gegenstände!N749,0)</f>
        <v>15900</v>
      </c>
      <c r="K749" s="3">
        <f>Gegenstände!J749</f>
        <v>100</v>
      </c>
      <c r="L749" s="3">
        <f>Gegenstände!L749</f>
        <v>1</v>
      </c>
      <c r="M749" s="3">
        <f>Gegenstände!Z749</f>
        <v>0</v>
      </c>
      <c r="N749" s="783">
        <f>(Gegenstände!Y749*10)</f>
        <v>0</v>
      </c>
      <c r="O749" s="783">
        <f>(Gegenstände!W749*10)</f>
        <v>0</v>
      </c>
      <c r="P749" s="783">
        <f>Gegenstände!AA749*10</f>
        <v>0</v>
      </c>
      <c r="Q749" s="783">
        <f>Gegenstände!O749</f>
        <v>0</v>
      </c>
      <c r="R749" s="168">
        <f>Gegenstände!S749</f>
        <v>0</v>
      </c>
      <c r="S749" s="168">
        <f>Gegenstände!T749</f>
        <v>0</v>
      </c>
      <c r="T749" s="783">
        <f>Gegenstände!AC749</f>
        <v>0</v>
      </c>
      <c r="U749" s="783">
        <f>Gegenstände!AE749</f>
        <v>0</v>
      </c>
      <c r="V749" s="783">
        <f>Gegenstände!AD749</f>
        <v>0</v>
      </c>
      <c r="W749" s="783">
        <f>Gegenstände!AF749</f>
        <v>0</v>
      </c>
      <c r="AB749" s="3">
        <f>Gegenstände!M749</f>
        <v>0</v>
      </c>
      <c r="AC749" s="3">
        <f>Gegenstände!AB749</f>
        <v>0</v>
      </c>
      <c r="AD749" s="3">
        <f>Gegenstände!F749</f>
        <v>2231</v>
      </c>
    </row>
    <row r="750" spans="1:30" x14ac:dyDescent="0.2">
      <c r="A750" s="3">
        <f>Gegenstände!A750</f>
        <v>3232</v>
      </c>
      <c r="B750" s="3" t="str">
        <f>Gegenstände!B750</f>
        <v>Jade-Robe (Plan)</v>
      </c>
      <c r="D750" s="3">
        <f>Gegenstände!K750</f>
        <v>1000</v>
      </c>
      <c r="E750" s="3">
        <f>Gegenstände!I750</f>
        <v>35</v>
      </c>
      <c r="F750" s="3">
        <f>VLOOKUP(Gegenstände!E750,Berechnungen!$E$87:$F$115,2,FALSE)</f>
        <v>35</v>
      </c>
      <c r="G750" s="3">
        <f>Gegenstände!H750</f>
        <v>2</v>
      </c>
      <c r="H750" s="3">
        <f>Gegenstände!G750</f>
        <v>66</v>
      </c>
      <c r="I750" s="3">
        <f>Gegenstände!D750</f>
        <v>18</v>
      </c>
      <c r="J750" s="168">
        <f>ROUND(Gegenstände!N750,0)</f>
        <v>22100</v>
      </c>
      <c r="K750" s="3">
        <f>Gegenstände!J750</f>
        <v>100</v>
      </c>
      <c r="L750" s="3">
        <f>Gegenstände!L750</f>
        <v>1</v>
      </c>
      <c r="M750" s="3">
        <f>Gegenstände!Z750</f>
        <v>0</v>
      </c>
      <c r="N750" s="783">
        <f>(Gegenstände!Y750*10)</f>
        <v>0</v>
      </c>
      <c r="O750" s="783">
        <f>(Gegenstände!W750*10)</f>
        <v>0</v>
      </c>
      <c r="P750" s="783">
        <f>Gegenstände!AA750*10</f>
        <v>0</v>
      </c>
      <c r="Q750" s="783">
        <f>Gegenstände!O750</f>
        <v>0</v>
      </c>
      <c r="R750" s="168">
        <f>Gegenstände!S750</f>
        <v>0</v>
      </c>
      <c r="S750" s="168">
        <f>Gegenstände!T750</f>
        <v>0</v>
      </c>
      <c r="T750" s="783">
        <f>Gegenstände!AC750</f>
        <v>0</v>
      </c>
      <c r="U750" s="783">
        <f>Gegenstände!AE750</f>
        <v>0</v>
      </c>
      <c r="V750" s="783">
        <f>Gegenstände!AD750</f>
        <v>0</v>
      </c>
      <c r="W750" s="783">
        <f>Gegenstände!AF750</f>
        <v>0</v>
      </c>
      <c r="AB750" s="3">
        <f>Gegenstände!M750</f>
        <v>0</v>
      </c>
      <c r="AC750" s="3">
        <f>Gegenstände!AB750</f>
        <v>0</v>
      </c>
      <c r="AD750" s="3">
        <f>Gegenstände!F750</f>
        <v>2232</v>
      </c>
    </row>
    <row r="751" spans="1:30" x14ac:dyDescent="0.2">
      <c r="A751" s="3">
        <f>Gegenstände!A751</f>
        <v>3233</v>
      </c>
      <c r="B751" s="3" t="str">
        <f>Gegenstände!B751</f>
        <v>Jade-Handschuhe (Plan)</v>
      </c>
      <c r="D751" s="3">
        <f>Gegenstände!K751</f>
        <v>1000</v>
      </c>
      <c r="E751" s="3">
        <f>Gegenstände!I751</f>
        <v>35</v>
      </c>
      <c r="F751" s="3">
        <f>VLOOKUP(Gegenstände!E751,Berechnungen!$E$87:$F$115,2,FALSE)</f>
        <v>35</v>
      </c>
      <c r="G751" s="3">
        <f>Gegenstände!H751</f>
        <v>2</v>
      </c>
      <c r="H751" s="3">
        <f>Gegenstände!G751</f>
        <v>66</v>
      </c>
      <c r="I751" s="3">
        <f>Gegenstände!D751</f>
        <v>19</v>
      </c>
      <c r="J751" s="168">
        <f>ROUND(Gegenstände!N751,0)</f>
        <v>14200</v>
      </c>
      <c r="K751" s="3">
        <f>Gegenstände!J751</f>
        <v>100</v>
      </c>
      <c r="L751" s="3">
        <f>Gegenstände!L751</f>
        <v>1</v>
      </c>
      <c r="M751" s="3">
        <f>Gegenstände!Z751</f>
        <v>0</v>
      </c>
      <c r="N751" s="783">
        <f>(Gegenstände!Y751*10)</f>
        <v>0</v>
      </c>
      <c r="O751" s="783">
        <f>(Gegenstände!W751*10)</f>
        <v>0</v>
      </c>
      <c r="P751" s="783">
        <f>Gegenstände!AA751*10</f>
        <v>0</v>
      </c>
      <c r="Q751" s="783">
        <f>Gegenstände!O751</f>
        <v>0</v>
      </c>
      <c r="R751" s="168">
        <f>Gegenstände!S751</f>
        <v>0</v>
      </c>
      <c r="S751" s="168">
        <f>Gegenstände!T751</f>
        <v>0</v>
      </c>
      <c r="T751" s="783">
        <f>Gegenstände!AC751</f>
        <v>0</v>
      </c>
      <c r="U751" s="783">
        <f>Gegenstände!AE751</f>
        <v>0</v>
      </c>
      <c r="V751" s="783">
        <f>Gegenstände!AD751</f>
        <v>0</v>
      </c>
      <c r="W751" s="783">
        <f>Gegenstände!AF751</f>
        <v>0</v>
      </c>
      <c r="AB751" s="3">
        <f>Gegenstände!M751</f>
        <v>0</v>
      </c>
      <c r="AC751" s="3">
        <f>Gegenstände!AB751</f>
        <v>0</v>
      </c>
      <c r="AD751" s="3">
        <f>Gegenstände!F751</f>
        <v>2233</v>
      </c>
    </row>
    <row r="752" spans="1:30" x14ac:dyDescent="0.2">
      <c r="A752" s="3">
        <f>Gegenstände!A752</f>
        <v>3234</v>
      </c>
      <c r="B752" s="3" t="str">
        <f>Gegenstände!B752</f>
        <v>Jade-Hose (Plan)</v>
      </c>
      <c r="D752" s="3">
        <f>Gegenstände!K752</f>
        <v>1000</v>
      </c>
      <c r="E752" s="3">
        <f>Gegenstände!I752</f>
        <v>35</v>
      </c>
      <c r="F752" s="3">
        <f>VLOOKUP(Gegenstände!E752,Berechnungen!$E$87:$F$115,2,FALSE)</f>
        <v>35</v>
      </c>
      <c r="G752" s="3">
        <f>Gegenstände!H752</f>
        <v>2</v>
      </c>
      <c r="H752" s="3">
        <f>Gegenstände!G752</f>
        <v>66</v>
      </c>
      <c r="I752" s="3">
        <f>Gegenstände!D752</f>
        <v>19</v>
      </c>
      <c r="J752" s="168">
        <f>ROUND(Gegenstände!N752,0)</f>
        <v>17700</v>
      </c>
      <c r="K752" s="3">
        <f>Gegenstände!J752</f>
        <v>100</v>
      </c>
      <c r="L752" s="3">
        <f>Gegenstände!L752</f>
        <v>1</v>
      </c>
      <c r="M752" s="3">
        <f>Gegenstände!Z752</f>
        <v>0</v>
      </c>
      <c r="N752" s="783">
        <f>(Gegenstände!Y752*10)</f>
        <v>0</v>
      </c>
      <c r="O752" s="783">
        <f>(Gegenstände!W752*10)</f>
        <v>0</v>
      </c>
      <c r="P752" s="783">
        <f>Gegenstände!AA752*10</f>
        <v>0</v>
      </c>
      <c r="Q752" s="783">
        <f>Gegenstände!O752</f>
        <v>0</v>
      </c>
      <c r="R752" s="168">
        <f>Gegenstände!S752</f>
        <v>0</v>
      </c>
      <c r="S752" s="168">
        <f>Gegenstände!T752</f>
        <v>0</v>
      </c>
      <c r="T752" s="783">
        <f>Gegenstände!AC752</f>
        <v>0</v>
      </c>
      <c r="U752" s="783">
        <f>Gegenstände!AE752</f>
        <v>0</v>
      </c>
      <c r="V752" s="783">
        <f>Gegenstände!AD752</f>
        <v>0</v>
      </c>
      <c r="W752" s="783">
        <f>Gegenstände!AF752</f>
        <v>0</v>
      </c>
      <c r="AB752" s="3">
        <f>Gegenstände!M752</f>
        <v>0</v>
      </c>
      <c r="AC752" s="3">
        <f>Gegenstände!AB752</f>
        <v>0</v>
      </c>
      <c r="AD752" s="3">
        <f>Gegenstände!F752</f>
        <v>2234</v>
      </c>
    </row>
    <row r="753" spans="1:30" x14ac:dyDescent="0.2">
      <c r="A753" s="3">
        <f>Gegenstände!A753</f>
        <v>3235</v>
      </c>
      <c r="B753" s="3" t="str">
        <f>Gegenstände!B753</f>
        <v>Jade-Schuhe (Plan)</v>
      </c>
      <c r="D753" s="3">
        <f>Gegenstände!K753</f>
        <v>1000</v>
      </c>
      <c r="E753" s="3">
        <f>Gegenstände!I753</f>
        <v>35</v>
      </c>
      <c r="F753" s="3">
        <f>VLOOKUP(Gegenstände!E753,Berechnungen!$E$87:$F$115,2,FALSE)</f>
        <v>35</v>
      </c>
      <c r="G753" s="3">
        <f>Gegenstände!H753</f>
        <v>2</v>
      </c>
      <c r="H753" s="3">
        <f>Gegenstände!G753</f>
        <v>66</v>
      </c>
      <c r="I753" s="3">
        <f>Gegenstände!D753</f>
        <v>19</v>
      </c>
      <c r="J753" s="168">
        <f>ROUND(Gegenstände!N753,0)</f>
        <v>14200</v>
      </c>
      <c r="K753" s="3">
        <f>Gegenstände!J753</f>
        <v>100</v>
      </c>
      <c r="L753" s="3">
        <f>Gegenstände!L753</f>
        <v>1</v>
      </c>
      <c r="M753" s="3">
        <f>Gegenstände!Z753</f>
        <v>0</v>
      </c>
      <c r="N753" s="783">
        <f>(Gegenstände!Y753*10)</f>
        <v>0</v>
      </c>
      <c r="O753" s="783">
        <f>(Gegenstände!W753*10)</f>
        <v>0</v>
      </c>
      <c r="P753" s="783">
        <f>Gegenstände!AA753*10</f>
        <v>0</v>
      </c>
      <c r="Q753" s="783">
        <f>Gegenstände!O753</f>
        <v>0</v>
      </c>
      <c r="R753" s="168">
        <f>Gegenstände!S753</f>
        <v>0</v>
      </c>
      <c r="S753" s="168">
        <f>Gegenstände!T753</f>
        <v>0</v>
      </c>
      <c r="T753" s="783">
        <f>Gegenstände!AC753</f>
        <v>0</v>
      </c>
      <c r="U753" s="783">
        <f>Gegenstände!AE753</f>
        <v>0</v>
      </c>
      <c r="V753" s="783">
        <f>Gegenstände!AD753</f>
        <v>0</v>
      </c>
      <c r="W753" s="783">
        <f>Gegenstände!AF753</f>
        <v>0</v>
      </c>
      <c r="AB753" s="3">
        <f>Gegenstände!M753</f>
        <v>0</v>
      </c>
      <c r="AC753" s="3">
        <f>Gegenstände!AB753</f>
        <v>0</v>
      </c>
      <c r="AD753" s="3">
        <f>Gegenstände!F753</f>
        <v>2235</v>
      </c>
    </row>
    <row r="754" spans="1:30" x14ac:dyDescent="0.2">
      <c r="A754" s="3">
        <f>Gegenstände!A754</f>
        <v>3241</v>
      </c>
      <c r="B754" s="3" t="str">
        <f>Gegenstände!B754</f>
        <v>Onyx-Haube (Plan)</v>
      </c>
      <c r="D754" s="3">
        <f>Gegenstände!K754</f>
        <v>1000</v>
      </c>
      <c r="E754" s="3">
        <f>Gegenstände!I754</f>
        <v>35</v>
      </c>
      <c r="F754" s="3">
        <f>VLOOKUP(Gegenstände!E754,Berechnungen!$E$87:$F$115,2,FALSE)</f>
        <v>35</v>
      </c>
      <c r="G754" s="3">
        <f>Gegenstände!H754</f>
        <v>2</v>
      </c>
      <c r="H754" s="3">
        <f>Gegenstände!G754</f>
        <v>66</v>
      </c>
      <c r="I754" s="3">
        <f>Gegenstände!D754</f>
        <v>23</v>
      </c>
      <c r="J754" s="168">
        <f>ROUND(Gegenstände!N754,0)</f>
        <v>29900</v>
      </c>
      <c r="K754" s="3">
        <f>Gegenstände!J754</f>
        <v>100</v>
      </c>
      <c r="L754" s="3">
        <f>Gegenstände!L754</f>
        <v>1</v>
      </c>
      <c r="M754" s="3">
        <f>Gegenstände!Z754</f>
        <v>0</v>
      </c>
      <c r="N754" s="783">
        <f>(Gegenstände!Y754*10)</f>
        <v>0</v>
      </c>
      <c r="O754" s="783">
        <f>(Gegenstände!W754*10)</f>
        <v>0</v>
      </c>
      <c r="P754" s="783">
        <f>Gegenstände!AA754*10</f>
        <v>0</v>
      </c>
      <c r="Q754" s="783">
        <f>Gegenstände!O754</f>
        <v>0</v>
      </c>
      <c r="R754" s="168">
        <f>Gegenstände!S754</f>
        <v>0</v>
      </c>
      <c r="S754" s="168">
        <f>Gegenstände!T754</f>
        <v>0</v>
      </c>
      <c r="T754" s="783">
        <f>Gegenstände!AC754</f>
        <v>0</v>
      </c>
      <c r="U754" s="783">
        <f>Gegenstände!AE754</f>
        <v>0</v>
      </c>
      <c r="V754" s="783">
        <f>Gegenstände!AD754</f>
        <v>0</v>
      </c>
      <c r="W754" s="783">
        <f>Gegenstände!AF754</f>
        <v>0</v>
      </c>
      <c r="AB754" s="3">
        <f>Gegenstände!M754</f>
        <v>0</v>
      </c>
      <c r="AC754" s="3">
        <f>Gegenstände!AB754</f>
        <v>0</v>
      </c>
      <c r="AD754" s="3">
        <f>Gegenstände!F754</f>
        <v>2241</v>
      </c>
    </row>
    <row r="755" spans="1:30" x14ac:dyDescent="0.2">
      <c r="A755" s="3">
        <f>Gegenstände!A755</f>
        <v>3242</v>
      </c>
      <c r="B755" s="3" t="str">
        <f>Gegenstände!B755</f>
        <v>Onyx-Robe (Plan)</v>
      </c>
      <c r="D755" s="3">
        <f>Gegenstände!K755</f>
        <v>1000</v>
      </c>
      <c r="E755" s="3">
        <f>Gegenstände!I755</f>
        <v>35</v>
      </c>
      <c r="F755" s="3">
        <f>VLOOKUP(Gegenstände!E755,Berechnungen!$E$87:$F$115,2,FALSE)</f>
        <v>35</v>
      </c>
      <c r="G755" s="3">
        <f>Gegenstände!H755</f>
        <v>2</v>
      </c>
      <c r="H755" s="3">
        <f>Gegenstände!G755</f>
        <v>66</v>
      </c>
      <c r="I755" s="3">
        <f>Gegenstände!D755</f>
        <v>23</v>
      </c>
      <c r="J755" s="168">
        <f>ROUND(Gegenstände!N755,0)</f>
        <v>42300</v>
      </c>
      <c r="K755" s="3">
        <f>Gegenstände!J755</f>
        <v>100</v>
      </c>
      <c r="L755" s="3">
        <f>Gegenstände!L755</f>
        <v>1</v>
      </c>
      <c r="M755" s="3">
        <f>Gegenstände!Z755</f>
        <v>0</v>
      </c>
      <c r="N755" s="783">
        <f>(Gegenstände!Y755*10)</f>
        <v>0</v>
      </c>
      <c r="O755" s="783">
        <f>(Gegenstände!W755*10)</f>
        <v>0</v>
      </c>
      <c r="P755" s="783">
        <f>Gegenstände!AA755*10</f>
        <v>0</v>
      </c>
      <c r="Q755" s="783">
        <f>Gegenstände!O755</f>
        <v>0</v>
      </c>
      <c r="R755" s="168">
        <f>Gegenstände!S755</f>
        <v>0</v>
      </c>
      <c r="S755" s="168">
        <f>Gegenstände!T755</f>
        <v>0</v>
      </c>
      <c r="T755" s="783">
        <f>Gegenstände!AC755</f>
        <v>0</v>
      </c>
      <c r="U755" s="783">
        <f>Gegenstände!AE755</f>
        <v>0</v>
      </c>
      <c r="V755" s="783">
        <f>Gegenstände!AD755</f>
        <v>0</v>
      </c>
      <c r="W755" s="783">
        <f>Gegenstände!AF755</f>
        <v>0</v>
      </c>
      <c r="AB755" s="3">
        <f>Gegenstände!M755</f>
        <v>0</v>
      </c>
      <c r="AC755" s="3">
        <f>Gegenstände!AB755</f>
        <v>0</v>
      </c>
      <c r="AD755" s="3">
        <f>Gegenstände!F755</f>
        <v>2242</v>
      </c>
    </row>
    <row r="756" spans="1:30" x14ac:dyDescent="0.2">
      <c r="A756" s="3">
        <f>Gegenstände!A756</f>
        <v>3243</v>
      </c>
      <c r="B756" s="3" t="str">
        <f>Gegenstände!B756</f>
        <v>Onyx-Handschuhe (Plan)</v>
      </c>
      <c r="D756" s="3">
        <f>Gegenstände!K756</f>
        <v>1000</v>
      </c>
      <c r="E756" s="3">
        <f>Gegenstände!I756</f>
        <v>35</v>
      </c>
      <c r="F756" s="3">
        <f>VLOOKUP(Gegenstände!E756,Berechnungen!$E$87:$F$115,2,FALSE)</f>
        <v>35</v>
      </c>
      <c r="G756" s="3">
        <f>Gegenstände!H756</f>
        <v>2</v>
      </c>
      <c r="H756" s="3">
        <f>Gegenstände!G756</f>
        <v>66</v>
      </c>
      <c r="I756" s="3">
        <f>Gegenstände!D756</f>
        <v>24</v>
      </c>
      <c r="J756" s="168">
        <f>ROUND(Gegenstände!N756,0)</f>
        <v>26500</v>
      </c>
      <c r="K756" s="3">
        <f>Gegenstände!J756</f>
        <v>100</v>
      </c>
      <c r="L756" s="3">
        <f>Gegenstände!L756</f>
        <v>1</v>
      </c>
      <c r="M756" s="3">
        <f>Gegenstände!Z756</f>
        <v>0</v>
      </c>
      <c r="N756" s="783">
        <f>(Gegenstände!Y756*10)</f>
        <v>0</v>
      </c>
      <c r="O756" s="783">
        <f>(Gegenstände!W756*10)</f>
        <v>0</v>
      </c>
      <c r="P756" s="783">
        <f>Gegenstände!AA756*10</f>
        <v>0</v>
      </c>
      <c r="Q756" s="783">
        <f>Gegenstände!O756</f>
        <v>0</v>
      </c>
      <c r="R756" s="168">
        <f>Gegenstände!S756</f>
        <v>0</v>
      </c>
      <c r="S756" s="168">
        <f>Gegenstände!T756</f>
        <v>0</v>
      </c>
      <c r="T756" s="783">
        <f>Gegenstände!AC756</f>
        <v>0</v>
      </c>
      <c r="U756" s="783">
        <f>Gegenstände!AE756</f>
        <v>0</v>
      </c>
      <c r="V756" s="783">
        <f>Gegenstände!AD756</f>
        <v>0</v>
      </c>
      <c r="W756" s="783">
        <f>Gegenstände!AF756</f>
        <v>0</v>
      </c>
      <c r="AB756" s="3">
        <f>Gegenstände!M756</f>
        <v>0</v>
      </c>
      <c r="AC756" s="3">
        <f>Gegenstände!AB756</f>
        <v>0</v>
      </c>
      <c r="AD756" s="3">
        <f>Gegenstände!F756</f>
        <v>2243</v>
      </c>
    </row>
    <row r="757" spans="1:30" x14ac:dyDescent="0.2">
      <c r="A757" s="3">
        <f>Gegenstände!A757</f>
        <v>3244</v>
      </c>
      <c r="B757" s="3" t="str">
        <f>Gegenstände!B757</f>
        <v>Onyx-Hose (Plan)</v>
      </c>
      <c r="D757" s="3">
        <f>Gegenstände!K757</f>
        <v>1000</v>
      </c>
      <c r="E757" s="3">
        <f>Gegenstände!I757</f>
        <v>35</v>
      </c>
      <c r="F757" s="3">
        <f>VLOOKUP(Gegenstände!E757,Berechnungen!$E$87:$F$115,2,FALSE)</f>
        <v>35</v>
      </c>
      <c r="G757" s="3">
        <f>Gegenstände!H757</f>
        <v>2</v>
      </c>
      <c r="H757" s="3">
        <f>Gegenstände!G757</f>
        <v>66</v>
      </c>
      <c r="I757" s="3">
        <f>Gegenstände!D757</f>
        <v>24</v>
      </c>
      <c r="J757" s="168">
        <f>ROUND(Gegenstände!N757,0)</f>
        <v>33600</v>
      </c>
      <c r="K757" s="3">
        <f>Gegenstände!J757</f>
        <v>100</v>
      </c>
      <c r="L757" s="3">
        <f>Gegenstände!L757</f>
        <v>1</v>
      </c>
      <c r="M757" s="3">
        <f>Gegenstände!Z757</f>
        <v>0</v>
      </c>
      <c r="N757" s="783">
        <f>(Gegenstände!Y757*10)</f>
        <v>0</v>
      </c>
      <c r="O757" s="783">
        <f>(Gegenstände!W757*10)</f>
        <v>0</v>
      </c>
      <c r="P757" s="783">
        <f>Gegenstände!AA757*10</f>
        <v>0</v>
      </c>
      <c r="Q757" s="783">
        <f>Gegenstände!O757</f>
        <v>0</v>
      </c>
      <c r="R757" s="168">
        <f>Gegenstände!S757</f>
        <v>0</v>
      </c>
      <c r="S757" s="168">
        <f>Gegenstände!T757</f>
        <v>0</v>
      </c>
      <c r="T757" s="783">
        <f>Gegenstände!AC757</f>
        <v>0</v>
      </c>
      <c r="U757" s="783">
        <f>Gegenstände!AE757</f>
        <v>0</v>
      </c>
      <c r="V757" s="783">
        <f>Gegenstände!AD757</f>
        <v>0</v>
      </c>
      <c r="W757" s="783">
        <f>Gegenstände!AF757</f>
        <v>0</v>
      </c>
      <c r="AB757" s="3">
        <f>Gegenstände!M757</f>
        <v>0</v>
      </c>
      <c r="AC757" s="3">
        <f>Gegenstände!AB757</f>
        <v>0</v>
      </c>
      <c r="AD757" s="3">
        <f>Gegenstände!F757</f>
        <v>2244</v>
      </c>
    </row>
    <row r="758" spans="1:30" x14ac:dyDescent="0.2">
      <c r="A758" s="3">
        <f>Gegenstände!A758</f>
        <v>3245</v>
      </c>
      <c r="B758" s="3" t="str">
        <f>Gegenstände!B758</f>
        <v>Onyx-Schuhe (Plan)</v>
      </c>
      <c r="D758" s="3">
        <f>Gegenstände!K758</f>
        <v>1000</v>
      </c>
      <c r="E758" s="3">
        <f>Gegenstände!I758</f>
        <v>35</v>
      </c>
      <c r="F758" s="3">
        <f>VLOOKUP(Gegenstände!E758,Berechnungen!$E$87:$F$115,2,FALSE)</f>
        <v>35</v>
      </c>
      <c r="G758" s="3">
        <f>Gegenstände!H758</f>
        <v>2</v>
      </c>
      <c r="H758" s="3">
        <f>Gegenstände!G758</f>
        <v>66</v>
      </c>
      <c r="I758" s="3">
        <f>Gegenstände!D758</f>
        <v>24</v>
      </c>
      <c r="J758" s="168">
        <f>ROUND(Gegenstände!N758,0)</f>
        <v>26500</v>
      </c>
      <c r="K758" s="3">
        <f>Gegenstände!J758</f>
        <v>100</v>
      </c>
      <c r="L758" s="3">
        <f>Gegenstände!L758</f>
        <v>1</v>
      </c>
      <c r="M758" s="3">
        <f>Gegenstände!Z758</f>
        <v>0</v>
      </c>
      <c r="N758" s="783">
        <f>(Gegenstände!Y758*10)</f>
        <v>0</v>
      </c>
      <c r="O758" s="783">
        <f>(Gegenstände!W758*10)</f>
        <v>0</v>
      </c>
      <c r="P758" s="783">
        <f>Gegenstände!AA758*10</f>
        <v>0</v>
      </c>
      <c r="Q758" s="783">
        <f>Gegenstände!O758</f>
        <v>0</v>
      </c>
      <c r="R758" s="168">
        <f>Gegenstände!S758</f>
        <v>0</v>
      </c>
      <c r="S758" s="168">
        <f>Gegenstände!T758</f>
        <v>0</v>
      </c>
      <c r="T758" s="783">
        <f>Gegenstände!AC758</f>
        <v>0</v>
      </c>
      <c r="U758" s="783">
        <f>Gegenstände!AE758</f>
        <v>0</v>
      </c>
      <c r="V758" s="783">
        <f>Gegenstände!AD758</f>
        <v>0</v>
      </c>
      <c r="W758" s="783">
        <f>Gegenstände!AF758</f>
        <v>0</v>
      </c>
      <c r="AB758" s="3">
        <f>Gegenstände!M758</f>
        <v>0</v>
      </c>
      <c r="AC758" s="3">
        <f>Gegenstände!AB758</f>
        <v>0</v>
      </c>
      <c r="AD758" s="3">
        <f>Gegenstände!F758</f>
        <v>2245</v>
      </c>
    </row>
    <row r="759" spans="1:30" x14ac:dyDescent="0.2">
      <c r="A759" s="3">
        <f>Gegenstände!A759</f>
        <v>0</v>
      </c>
      <c r="B759" s="3">
        <f>Gegenstände!B759</f>
        <v>0</v>
      </c>
      <c r="D759" s="3">
        <f>Gegenstände!K759</f>
        <v>0</v>
      </c>
      <c r="E759" s="3">
        <f>Gegenstände!I759</f>
        <v>0</v>
      </c>
      <c r="F759" s="3" t="e">
        <f>VLOOKUP(Gegenstände!E759,Berechnungen!$E$87:$F$115,2,FALSE)</f>
        <v>#N/A</v>
      </c>
      <c r="G759" s="3">
        <f>Gegenstände!H759</f>
        <v>0</v>
      </c>
      <c r="H759" s="3">
        <f>Gegenstände!G759</f>
        <v>0</v>
      </c>
      <c r="I759" s="3">
        <f>Gegenstände!D759</f>
        <v>0</v>
      </c>
      <c r="J759" s="168">
        <f>ROUND(Gegenstände!N759,0)</f>
        <v>0</v>
      </c>
      <c r="K759" s="3">
        <f>Gegenstände!J759</f>
        <v>0</v>
      </c>
      <c r="L759" s="3">
        <f>Gegenstände!L759</f>
        <v>0</v>
      </c>
      <c r="M759" s="3">
        <f>Gegenstände!Z759</f>
        <v>0</v>
      </c>
      <c r="N759" s="783">
        <f>(Gegenstände!Y759*10)</f>
        <v>0</v>
      </c>
      <c r="O759" s="783">
        <f>(Gegenstände!W759*10)</f>
        <v>0</v>
      </c>
      <c r="P759" s="783">
        <f>Gegenstände!AA759*10</f>
        <v>0</v>
      </c>
      <c r="Q759" s="783">
        <f>Gegenstände!O759</f>
        <v>0</v>
      </c>
      <c r="R759" s="168">
        <f>Gegenstände!S759</f>
        <v>0</v>
      </c>
      <c r="S759" s="168">
        <f>Gegenstände!T759</f>
        <v>0</v>
      </c>
      <c r="T759" s="783">
        <f>Gegenstände!AC759</f>
        <v>0</v>
      </c>
      <c r="U759" s="783">
        <f>Gegenstände!AE759</f>
        <v>0</v>
      </c>
      <c r="V759" s="783">
        <f>Gegenstände!AD759</f>
        <v>0</v>
      </c>
      <c r="W759" s="783">
        <f>Gegenstände!AF759</f>
        <v>0</v>
      </c>
      <c r="AB759" s="3">
        <f>Gegenstände!M759</f>
        <v>0</v>
      </c>
      <c r="AC759" s="3">
        <f>Gegenstände!AB759</f>
        <v>0</v>
      </c>
      <c r="AD759" s="3">
        <f>Gegenstände!F759</f>
        <v>0</v>
      </c>
    </row>
    <row r="760" spans="1:30" x14ac:dyDescent="0.2">
      <c r="A760" s="3">
        <f>Gegenstände!A760</f>
        <v>3301</v>
      </c>
      <c r="B760" s="3" t="str">
        <f>Gegenstände!B760</f>
        <v>Achat-Lederhelm (Plan)</v>
      </c>
      <c r="D760" s="3">
        <f>Gegenstände!K760</f>
        <v>1000</v>
      </c>
      <c r="E760" s="3">
        <f>Gegenstände!I760</f>
        <v>35</v>
      </c>
      <c r="F760" s="3">
        <f>VLOOKUP(Gegenstände!E760,Berechnungen!$E$87:$F$115,2,FALSE)</f>
        <v>35</v>
      </c>
      <c r="G760" s="3">
        <f>Gegenstände!H760</f>
        <v>2</v>
      </c>
      <c r="H760" s="3">
        <f>Gegenstände!G760</f>
        <v>61</v>
      </c>
      <c r="I760" s="3">
        <f>Gegenstände!D760</f>
        <v>3</v>
      </c>
      <c r="J760" s="168">
        <f>ROUND(Gegenstände!N760,0)</f>
        <v>2000</v>
      </c>
      <c r="K760" s="3">
        <f>Gegenstände!J760</f>
        <v>100</v>
      </c>
      <c r="L760" s="3">
        <f>Gegenstände!L760</f>
        <v>1</v>
      </c>
      <c r="M760" s="3">
        <f>Gegenstände!Z760</f>
        <v>0</v>
      </c>
      <c r="N760" s="783">
        <f>(Gegenstände!Y760*10)</f>
        <v>0</v>
      </c>
      <c r="O760" s="783">
        <f>(Gegenstände!W760*10)</f>
        <v>0</v>
      </c>
      <c r="P760" s="783">
        <f>Gegenstände!AA760*10</f>
        <v>0</v>
      </c>
      <c r="Q760" s="783">
        <f>Gegenstände!O760</f>
        <v>0</v>
      </c>
      <c r="R760" s="168">
        <f>Gegenstände!S760</f>
        <v>0</v>
      </c>
      <c r="S760" s="168">
        <f>Gegenstände!T760</f>
        <v>0</v>
      </c>
      <c r="T760" s="783">
        <f>Gegenstände!AC760</f>
        <v>0</v>
      </c>
      <c r="U760" s="783">
        <f>Gegenstände!AE760</f>
        <v>0</v>
      </c>
      <c r="V760" s="783">
        <f>Gegenstände!AD760</f>
        <v>0</v>
      </c>
      <c r="W760" s="783">
        <f>Gegenstände!AF760</f>
        <v>0</v>
      </c>
      <c r="AB760" s="3">
        <f>Gegenstände!M760</f>
        <v>0</v>
      </c>
      <c r="AC760" s="3">
        <f>Gegenstände!AB760</f>
        <v>0</v>
      </c>
      <c r="AD760" s="3">
        <f>Gegenstände!F760</f>
        <v>2301</v>
      </c>
    </row>
    <row r="761" spans="1:30" x14ac:dyDescent="0.2">
      <c r="A761" s="3">
        <f>Gegenstände!A761</f>
        <v>3302</v>
      </c>
      <c r="B761" s="3" t="str">
        <f>Gegenstände!B761</f>
        <v>Achat-Lederharnisch (Plan)</v>
      </c>
      <c r="D761" s="3">
        <f>Gegenstände!K761</f>
        <v>1000</v>
      </c>
      <c r="E761" s="3">
        <f>Gegenstände!I761</f>
        <v>35</v>
      </c>
      <c r="F761" s="3">
        <f>VLOOKUP(Gegenstände!E761,Berechnungen!$E$87:$F$115,2,FALSE)</f>
        <v>35</v>
      </c>
      <c r="G761" s="3">
        <f>Gegenstände!H761</f>
        <v>2</v>
      </c>
      <c r="H761" s="3">
        <f>Gegenstände!G761</f>
        <v>61</v>
      </c>
      <c r="I761" s="3">
        <f>Gegenstände!D761</f>
        <v>3</v>
      </c>
      <c r="J761" s="168">
        <f>ROUND(Gegenstände!N761,0)</f>
        <v>2800</v>
      </c>
      <c r="K761" s="3">
        <f>Gegenstände!J761</f>
        <v>100</v>
      </c>
      <c r="L761" s="3">
        <f>Gegenstände!L761</f>
        <v>1</v>
      </c>
      <c r="M761" s="3">
        <f>Gegenstände!Z761</f>
        <v>0</v>
      </c>
      <c r="N761" s="783">
        <f>(Gegenstände!Y761*10)</f>
        <v>0</v>
      </c>
      <c r="O761" s="783">
        <f>(Gegenstände!W761*10)</f>
        <v>0</v>
      </c>
      <c r="P761" s="783">
        <f>Gegenstände!AA761*10</f>
        <v>0</v>
      </c>
      <c r="Q761" s="783">
        <f>Gegenstände!O761</f>
        <v>0</v>
      </c>
      <c r="R761" s="168">
        <f>Gegenstände!S761</f>
        <v>0</v>
      </c>
      <c r="S761" s="168">
        <f>Gegenstände!T761</f>
        <v>0</v>
      </c>
      <c r="T761" s="783">
        <f>Gegenstände!AC761</f>
        <v>0</v>
      </c>
      <c r="U761" s="783">
        <f>Gegenstände!AE761</f>
        <v>0</v>
      </c>
      <c r="V761" s="783">
        <f>Gegenstände!AD761</f>
        <v>0</v>
      </c>
      <c r="W761" s="783">
        <f>Gegenstände!AF761</f>
        <v>0</v>
      </c>
      <c r="AB761" s="3">
        <f>Gegenstände!M761</f>
        <v>0</v>
      </c>
      <c r="AC761" s="3">
        <f>Gegenstände!AB761</f>
        <v>0</v>
      </c>
      <c r="AD761" s="3">
        <f>Gegenstände!F761</f>
        <v>2302</v>
      </c>
    </row>
    <row r="762" spans="1:30" x14ac:dyDescent="0.2">
      <c r="A762" s="3">
        <f>Gegenstände!A762</f>
        <v>3303</v>
      </c>
      <c r="B762" s="3" t="str">
        <f>Gegenstände!B762</f>
        <v>Achat-Lederstulpen (Plan)</v>
      </c>
      <c r="D762" s="3">
        <f>Gegenstände!K762</f>
        <v>1000</v>
      </c>
      <c r="E762" s="3">
        <f>Gegenstände!I762</f>
        <v>35</v>
      </c>
      <c r="F762" s="3">
        <f>VLOOKUP(Gegenstände!E762,Berechnungen!$E$87:$F$115,2,FALSE)</f>
        <v>35</v>
      </c>
      <c r="G762" s="3">
        <f>Gegenstände!H762</f>
        <v>2</v>
      </c>
      <c r="H762" s="3">
        <f>Gegenstände!G762</f>
        <v>61</v>
      </c>
      <c r="I762" s="3">
        <f>Gegenstände!D762</f>
        <v>4</v>
      </c>
      <c r="J762" s="168">
        <f>ROUND(Gegenstände!N762,0)</f>
        <v>1800</v>
      </c>
      <c r="K762" s="3">
        <f>Gegenstände!J762</f>
        <v>100</v>
      </c>
      <c r="L762" s="3">
        <f>Gegenstände!L762</f>
        <v>1</v>
      </c>
      <c r="M762" s="3">
        <f>Gegenstände!Z762</f>
        <v>0</v>
      </c>
      <c r="N762" s="783">
        <f>(Gegenstände!Y762*10)</f>
        <v>0</v>
      </c>
      <c r="O762" s="783">
        <f>(Gegenstände!W762*10)</f>
        <v>0</v>
      </c>
      <c r="P762" s="783">
        <f>Gegenstände!AA762*10</f>
        <v>0</v>
      </c>
      <c r="Q762" s="783">
        <f>Gegenstände!O762</f>
        <v>0</v>
      </c>
      <c r="R762" s="168">
        <f>Gegenstände!S762</f>
        <v>0</v>
      </c>
      <c r="S762" s="168">
        <f>Gegenstände!T762</f>
        <v>0</v>
      </c>
      <c r="T762" s="783">
        <f>Gegenstände!AC762</f>
        <v>0</v>
      </c>
      <c r="U762" s="783">
        <f>Gegenstände!AE762</f>
        <v>0</v>
      </c>
      <c r="V762" s="783">
        <f>Gegenstände!AD762</f>
        <v>0</v>
      </c>
      <c r="W762" s="783">
        <f>Gegenstände!AF762</f>
        <v>0</v>
      </c>
      <c r="AB762" s="3">
        <f>Gegenstände!M762</f>
        <v>0</v>
      </c>
      <c r="AC762" s="3">
        <f>Gegenstände!AB762</f>
        <v>0</v>
      </c>
      <c r="AD762" s="3">
        <f>Gegenstände!F762</f>
        <v>2303</v>
      </c>
    </row>
    <row r="763" spans="1:30" x14ac:dyDescent="0.2">
      <c r="A763" s="3">
        <f>Gegenstände!A763</f>
        <v>3304</v>
      </c>
      <c r="B763" s="3" t="str">
        <f>Gegenstände!B763</f>
        <v>Achat-Lederbeinlinge (Plan)</v>
      </c>
      <c r="D763" s="3">
        <f>Gegenstände!K763</f>
        <v>1000</v>
      </c>
      <c r="E763" s="3">
        <f>Gegenstände!I763</f>
        <v>35</v>
      </c>
      <c r="F763" s="3">
        <f>VLOOKUP(Gegenstände!E763,Berechnungen!$E$87:$F$115,2,FALSE)</f>
        <v>35</v>
      </c>
      <c r="G763" s="3">
        <f>Gegenstände!H763</f>
        <v>2</v>
      </c>
      <c r="H763" s="3">
        <f>Gegenstände!G763</f>
        <v>61</v>
      </c>
      <c r="I763" s="3">
        <f>Gegenstände!D763</f>
        <v>4</v>
      </c>
      <c r="J763" s="168">
        <f>ROUND(Gegenstände!N763,0)</f>
        <v>2200</v>
      </c>
      <c r="K763" s="3">
        <f>Gegenstände!J763</f>
        <v>100</v>
      </c>
      <c r="L763" s="3">
        <f>Gegenstände!L763</f>
        <v>1</v>
      </c>
      <c r="M763" s="3">
        <f>Gegenstände!Z763</f>
        <v>0</v>
      </c>
      <c r="N763" s="783">
        <f>(Gegenstände!Y763*10)</f>
        <v>0</v>
      </c>
      <c r="O763" s="783">
        <f>(Gegenstände!W763*10)</f>
        <v>0</v>
      </c>
      <c r="P763" s="783">
        <f>Gegenstände!AA763*10</f>
        <v>0</v>
      </c>
      <c r="Q763" s="783">
        <f>Gegenstände!O763</f>
        <v>0</v>
      </c>
      <c r="R763" s="168">
        <f>Gegenstände!S763</f>
        <v>0</v>
      </c>
      <c r="S763" s="168">
        <f>Gegenstände!T763</f>
        <v>0</v>
      </c>
      <c r="T763" s="783">
        <f>Gegenstände!AC763</f>
        <v>0</v>
      </c>
      <c r="U763" s="783">
        <f>Gegenstände!AE763</f>
        <v>0</v>
      </c>
      <c r="V763" s="783">
        <f>Gegenstände!AD763</f>
        <v>0</v>
      </c>
      <c r="W763" s="783">
        <f>Gegenstände!AF763</f>
        <v>0</v>
      </c>
      <c r="AB763" s="3">
        <f>Gegenstände!M763</f>
        <v>0</v>
      </c>
      <c r="AC763" s="3">
        <f>Gegenstände!AB763</f>
        <v>0</v>
      </c>
      <c r="AD763" s="3">
        <f>Gegenstände!F763</f>
        <v>2304</v>
      </c>
    </row>
    <row r="764" spans="1:30" x14ac:dyDescent="0.2">
      <c r="A764" s="3">
        <f>Gegenstände!A764</f>
        <v>3305</v>
      </c>
      <c r="B764" s="3" t="str">
        <f>Gegenstände!B764</f>
        <v>Achat-Lederstiefel (Plan)</v>
      </c>
      <c r="D764" s="3">
        <f>Gegenstände!K764</f>
        <v>1000</v>
      </c>
      <c r="E764" s="3">
        <f>Gegenstände!I764</f>
        <v>35</v>
      </c>
      <c r="F764" s="3">
        <f>VLOOKUP(Gegenstände!E764,Berechnungen!$E$87:$F$115,2,FALSE)</f>
        <v>35</v>
      </c>
      <c r="G764" s="3">
        <f>Gegenstände!H764</f>
        <v>2</v>
      </c>
      <c r="H764" s="3">
        <f>Gegenstände!G764</f>
        <v>61</v>
      </c>
      <c r="I764" s="3">
        <f>Gegenstände!D764</f>
        <v>4</v>
      </c>
      <c r="J764" s="168">
        <f>ROUND(Gegenstände!N764,0)</f>
        <v>1800</v>
      </c>
      <c r="K764" s="3">
        <f>Gegenstände!J764</f>
        <v>100</v>
      </c>
      <c r="L764" s="3">
        <f>Gegenstände!L764</f>
        <v>1</v>
      </c>
      <c r="M764" s="3">
        <f>Gegenstände!Z764</f>
        <v>0</v>
      </c>
      <c r="N764" s="783">
        <f>(Gegenstände!Y764*10)</f>
        <v>0</v>
      </c>
      <c r="O764" s="783">
        <f>(Gegenstände!W764*10)</f>
        <v>0</v>
      </c>
      <c r="P764" s="783">
        <f>Gegenstände!AA764*10</f>
        <v>0</v>
      </c>
      <c r="Q764" s="783">
        <f>Gegenstände!O764</f>
        <v>0</v>
      </c>
      <c r="R764" s="168">
        <f>Gegenstände!S764</f>
        <v>0</v>
      </c>
      <c r="S764" s="168">
        <f>Gegenstände!T764</f>
        <v>0</v>
      </c>
      <c r="T764" s="783">
        <f>Gegenstände!AC764</f>
        <v>0</v>
      </c>
      <c r="U764" s="783">
        <f>Gegenstände!AE764</f>
        <v>0</v>
      </c>
      <c r="V764" s="783">
        <f>Gegenstände!AD764</f>
        <v>0</v>
      </c>
      <c r="W764" s="783">
        <f>Gegenstände!AF764</f>
        <v>0</v>
      </c>
      <c r="AB764" s="3">
        <f>Gegenstände!M764</f>
        <v>0</v>
      </c>
      <c r="AC764" s="3">
        <f>Gegenstände!AB764</f>
        <v>0</v>
      </c>
      <c r="AD764" s="3">
        <f>Gegenstände!F764</f>
        <v>2305</v>
      </c>
    </row>
    <row r="765" spans="1:30" x14ac:dyDescent="0.2">
      <c r="A765" s="3">
        <f>Gegenstände!A765</f>
        <v>3311</v>
      </c>
      <c r="B765" s="3" t="str">
        <f>Gegenstände!B765</f>
        <v>Topas-Lederhelm (Plan)</v>
      </c>
      <c r="D765" s="3">
        <f>Gegenstände!K765</f>
        <v>1000</v>
      </c>
      <c r="E765" s="3">
        <f>Gegenstände!I765</f>
        <v>35</v>
      </c>
      <c r="F765" s="3">
        <f>VLOOKUP(Gegenstände!E765,Berechnungen!$E$87:$F$115,2,FALSE)</f>
        <v>35</v>
      </c>
      <c r="G765" s="3">
        <f>Gegenstände!H765</f>
        <v>2</v>
      </c>
      <c r="H765" s="3">
        <f>Gegenstände!G765</f>
        <v>61</v>
      </c>
      <c r="I765" s="3">
        <f>Gegenstände!D765</f>
        <v>8</v>
      </c>
      <c r="J765" s="168">
        <f>ROUND(Gegenstände!N765,0)</f>
        <v>4100</v>
      </c>
      <c r="K765" s="3">
        <f>Gegenstände!J765</f>
        <v>100</v>
      </c>
      <c r="L765" s="3">
        <f>Gegenstände!L765</f>
        <v>1</v>
      </c>
      <c r="M765" s="3">
        <f>Gegenstände!Z765</f>
        <v>0</v>
      </c>
      <c r="N765" s="783">
        <f>(Gegenstände!Y765*10)</f>
        <v>0</v>
      </c>
      <c r="O765" s="783">
        <f>(Gegenstände!W765*10)</f>
        <v>0</v>
      </c>
      <c r="P765" s="783">
        <f>Gegenstände!AA765*10</f>
        <v>0</v>
      </c>
      <c r="Q765" s="783">
        <f>Gegenstände!O765</f>
        <v>0</v>
      </c>
      <c r="R765" s="168">
        <f>Gegenstände!S765</f>
        <v>0</v>
      </c>
      <c r="S765" s="168">
        <f>Gegenstände!T765</f>
        <v>0</v>
      </c>
      <c r="T765" s="783">
        <f>Gegenstände!AC765</f>
        <v>0</v>
      </c>
      <c r="U765" s="783">
        <f>Gegenstände!AE765</f>
        <v>0</v>
      </c>
      <c r="V765" s="783">
        <f>Gegenstände!AD765</f>
        <v>0</v>
      </c>
      <c r="W765" s="783">
        <f>Gegenstände!AF765</f>
        <v>0</v>
      </c>
      <c r="AB765" s="3">
        <f>Gegenstände!M765</f>
        <v>0</v>
      </c>
      <c r="AC765" s="3">
        <f>Gegenstände!AB765</f>
        <v>0</v>
      </c>
      <c r="AD765" s="3">
        <f>Gegenstände!F765</f>
        <v>2311</v>
      </c>
    </row>
    <row r="766" spans="1:30" x14ac:dyDescent="0.2">
      <c r="A766" s="3">
        <f>Gegenstände!A766</f>
        <v>3312</v>
      </c>
      <c r="B766" s="3" t="str">
        <f>Gegenstände!B766</f>
        <v>Topas-Lederharnisch (Plan)</v>
      </c>
      <c r="D766" s="3">
        <f>Gegenstände!K766</f>
        <v>1000</v>
      </c>
      <c r="E766" s="3">
        <f>Gegenstände!I766</f>
        <v>35</v>
      </c>
      <c r="F766" s="3">
        <f>VLOOKUP(Gegenstände!E766,Berechnungen!$E$87:$F$115,2,FALSE)</f>
        <v>35</v>
      </c>
      <c r="G766" s="3">
        <f>Gegenstände!H766</f>
        <v>2</v>
      </c>
      <c r="H766" s="3">
        <f>Gegenstände!G766</f>
        <v>61</v>
      </c>
      <c r="I766" s="3">
        <f>Gegenstände!D766</f>
        <v>8</v>
      </c>
      <c r="J766" s="168">
        <f>ROUND(Gegenstände!N766,0)</f>
        <v>5600</v>
      </c>
      <c r="K766" s="3">
        <f>Gegenstände!J766</f>
        <v>100</v>
      </c>
      <c r="L766" s="3">
        <f>Gegenstände!L766</f>
        <v>1</v>
      </c>
      <c r="M766" s="3">
        <f>Gegenstände!Z766</f>
        <v>0</v>
      </c>
      <c r="N766" s="783">
        <f>(Gegenstände!Y766*10)</f>
        <v>0</v>
      </c>
      <c r="O766" s="783">
        <f>(Gegenstände!W766*10)</f>
        <v>0</v>
      </c>
      <c r="P766" s="783">
        <f>Gegenstände!AA766*10</f>
        <v>0</v>
      </c>
      <c r="Q766" s="783">
        <f>Gegenstände!O766</f>
        <v>0</v>
      </c>
      <c r="R766" s="168">
        <f>Gegenstände!S766</f>
        <v>0</v>
      </c>
      <c r="S766" s="168">
        <f>Gegenstände!T766</f>
        <v>0</v>
      </c>
      <c r="T766" s="783">
        <f>Gegenstände!AC766</f>
        <v>0</v>
      </c>
      <c r="U766" s="783">
        <f>Gegenstände!AE766</f>
        <v>0</v>
      </c>
      <c r="V766" s="783">
        <f>Gegenstände!AD766</f>
        <v>0</v>
      </c>
      <c r="W766" s="783">
        <f>Gegenstände!AF766</f>
        <v>0</v>
      </c>
      <c r="AB766" s="3">
        <f>Gegenstände!M766</f>
        <v>0</v>
      </c>
      <c r="AC766" s="3">
        <f>Gegenstände!AB766</f>
        <v>0</v>
      </c>
      <c r="AD766" s="3">
        <f>Gegenstände!F766</f>
        <v>2312</v>
      </c>
    </row>
    <row r="767" spans="1:30" x14ac:dyDescent="0.2">
      <c r="A767" s="3">
        <f>Gegenstände!A767</f>
        <v>3313</v>
      </c>
      <c r="B767" s="3" t="str">
        <f>Gegenstände!B767</f>
        <v>Topas-Lederstulpen (Plan)</v>
      </c>
      <c r="D767" s="3">
        <f>Gegenstände!K767</f>
        <v>1000</v>
      </c>
      <c r="E767" s="3">
        <f>Gegenstände!I767</f>
        <v>35</v>
      </c>
      <c r="F767" s="3">
        <f>VLOOKUP(Gegenstände!E767,Berechnungen!$E$87:$F$115,2,FALSE)</f>
        <v>35</v>
      </c>
      <c r="G767" s="3">
        <f>Gegenstände!H767</f>
        <v>2</v>
      </c>
      <c r="H767" s="3">
        <f>Gegenstände!G767</f>
        <v>61</v>
      </c>
      <c r="I767" s="3">
        <f>Gegenstände!D767</f>
        <v>9</v>
      </c>
      <c r="J767" s="168">
        <f>ROUND(Gegenstände!N767,0)</f>
        <v>3600</v>
      </c>
      <c r="K767" s="3">
        <f>Gegenstände!J767</f>
        <v>100</v>
      </c>
      <c r="L767" s="3">
        <f>Gegenstände!L767</f>
        <v>1</v>
      </c>
      <c r="M767" s="3">
        <f>Gegenstände!Z767</f>
        <v>0</v>
      </c>
      <c r="N767" s="783">
        <f>(Gegenstände!Y767*10)</f>
        <v>0</v>
      </c>
      <c r="O767" s="783">
        <f>(Gegenstände!W767*10)</f>
        <v>0</v>
      </c>
      <c r="P767" s="783">
        <f>Gegenstände!AA767*10</f>
        <v>0</v>
      </c>
      <c r="Q767" s="783">
        <f>Gegenstände!O767</f>
        <v>0</v>
      </c>
      <c r="R767" s="168">
        <f>Gegenstände!S767</f>
        <v>0</v>
      </c>
      <c r="S767" s="168">
        <f>Gegenstände!T767</f>
        <v>0</v>
      </c>
      <c r="T767" s="783">
        <f>Gegenstände!AC767</f>
        <v>0</v>
      </c>
      <c r="U767" s="783">
        <f>Gegenstände!AE767</f>
        <v>0</v>
      </c>
      <c r="V767" s="783">
        <f>Gegenstände!AD767</f>
        <v>0</v>
      </c>
      <c r="W767" s="783">
        <f>Gegenstände!AF767</f>
        <v>0</v>
      </c>
      <c r="AB767" s="3">
        <f>Gegenstände!M767</f>
        <v>0</v>
      </c>
      <c r="AC767" s="3">
        <f>Gegenstände!AB767</f>
        <v>0</v>
      </c>
      <c r="AD767" s="3">
        <f>Gegenstände!F767</f>
        <v>2313</v>
      </c>
    </row>
    <row r="768" spans="1:30" x14ac:dyDescent="0.2">
      <c r="A768" s="3">
        <f>Gegenstände!A768</f>
        <v>3314</v>
      </c>
      <c r="B768" s="3" t="str">
        <f>Gegenstände!B768</f>
        <v>Topas-Lederbeinlinge (Plan)</v>
      </c>
      <c r="D768" s="3">
        <f>Gegenstände!K768</f>
        <v>1000</v>
      </c>
      <c r="E768" s="3">
        <f>Gegenstände!I768</f>
        <v>35</v>
      </c>
      <c r="F768" s="3">
        <f>VLOOKUP(Gegenstände!E768,Berechnungen!$E$87:$F$115,2,FALSE)</f>
        <v>35</v>
      </c>
      <c r="G768" s="3">
        <f>Gegenstände!H768</f>
        <v>2</v>
      </c>
      <c r="H768" s="3">
        <f>Gegenstände!G768</f>
        <v>61</v>
      </c>
      <c r="I768" s="3">
        <f>Gegenstände!D768</f>
        <v>9</v>
      </c>
      <c r="J768" s="168">
        <f>ROUND(Gegenstände!N768,0)</f>
        <v>4500</v>
      </c>
      <c r="K768" s="3">
        <f>Gegenstände!J768</f>
        <v>100</v>
      </c>
      <c r="L768" s="3">
        <f>Gegenstände!L768</f>
        <v>1</v>
      </c>
      <c r="M768" s="3">
        <f>Gegenstände!Z768</f>
        <v>0</v>
      </c>
      <c r="N768" s="783">
        <f>(Gegenstände!Y768*10)</f>
        <v>0</v>
      </c>
      <c r="O768" s="783">
        <f>(Gegenstände!W768*10)</f>
        <v>0</v>
      </c>
      <c r="P768" s="783">
        <f>Gegenstände!AA768*10</f>
        <v>0</v>
      </c>
      <c r="Q768" s="783">
        <f>Gegenstände!O768</f>
        <v>0</v>
      </c>
      <c r="R768" s="168">
        <f>Gegenstände!S768</f>
        <v>0</v>
      </c>
      <c r="S768" s="168">
        <f>Gegenstände!T768</f>
        <v>0</v>
      </c>
      <c r="T768" s="783">
        <f>Gegenstände!AC768</f>
        <v>0</v>
      </c>
      <c r="U768" s="783">
        <f>Gegenstände!AE768</f>
        <v>0</v>
      </c>
      <c r="V768" s="783">
        <f>Gegenstände!AD768</f>
        <v>0</v>
      </c>
      <c r="W768" s="783">
        <f>Gegenstände!AF768</f>
        <v>0</v>
      </c>
      <c r="AB768" s="3">
        <f>Gegenstände!M768</f>
        <v>0</v>
      </c>
      <c r="AC768" s="3">
        <f>Gegenstände!AB768</f>
        <v>0</v>
      </c>
      <c r="AD768" s="3">
        <f>Gegenstände!F768</f>
        <v>2314</v>
      </c>
    </row>
    <row r="769" spans="1:30" x14ac:dyDescent="0.2">
      <c r="A769" s="3">
        <f>Gegenstände!A769</f>
        <v>3315</v>
      </c>
      <c r="B769" s="3" t="str">
        <f>Gegenstände!B769</f>
        <v>Topas-Lederstiefel (Plan)</v>
      </c>
      <c r="D769" s="3">
        <f>Gegenstände!K769</f>
        <v>1000</v>
      </c>
      <c r="E769" s="3">
        <f>Gegenstände!I769</f>
        <v>35</v>
      </c>
      <c r="F769" s="3">
        <f>VLOOKUP(Gegenstände!E769,Berechnungen!$E$87:$F$115,2,FALSE)</f>
        <v>35</v>
      </c>
      <c r="G769" s="3">
        <f>Gegenstände!H769</f>
        <v>2</v>
      </c>
      <c r="H769" s="3">
        <f>Gegenstände!G769</f>
        <v>61</v>
      </c>
      <c r="I769" s="3">
        <f>Gegenstände!D769</f>
        <v>9</v>
      </c>
      <c r="J769" s="168">
        <f>ROUND(Gegenstände!N769,0)</f>
        <v>3600</v>
      </c>
      <c r="K769" s="3">
        <f>Gegenstände!J769</f>
        <v>100</v>
      </c>
      <c r="L769" s="3">
        <f>Gegenstände!L769</f>
        <v>1</v>
      </c>
      <c r="M769" s="3">
        <f>Gegenstände!Z769</f>
        <v>0</v>
      </c>
      <c r="N769" s="783">
        <f>(Gegenstände!Y769*10)</f>
        <v>0</v>
      </c>
      <c r="O769" s="783">
        <f>(Gegenstände!W769*10)</f>
        <v>0</v>
      </c>
      <c r="P769" s="783">
        <f>Gegenstände!AA769*10</f>
        <v>0</v>
      </c>
      <c r="Q769" s="783">
        <f>Gegenstände!O769</f>
        <v>0</v>
      </c>
      <c r="R769" s="168">
        <f>Gegenstände!S769</f>
        <v>0</v>
      </c>
      <c r="S769" s="168">
        <f>Gegenstände!T769</f>
        <v>0</v>
      </c>
      <c r="T769" s="783">
        <f>Gegenstände!AC769</f>
        <v>0</v>
      </c>
      <c r="U769" s="783">
        <f>Gegenstände!AE769</f>
        <v>0</v>
      </c>
      <c r="V769" s="783">
        <f>Gegenstände!AD769</f>
        <v>0</v>
      </c>
      <c r="W769" s="783">
        <f>Gegenstände!AF769</f>
        <v>0</v>
      </c>
      <c r="AB769" s="3">
        <f>Gegenstände!M769</f>
        <v>0</v>
      </c>
      <c r="AC769" s="3">
        <f>Gegenstände!AB769</f>
        <v>0</v>
      </c>
      <c r="AD769" s="3">
        <f>Gegenstände!F769</f>
        <v>2315</v>
      </c>
    </row>
    <row r="770" spans="1:30" x14ac:dyDescent="0.2">
      <c r="A770" s="3">
        <f>Gegenstände!A770</f>
        <v>3321</v>
      </c>
      <c r="B770" s="3" t="str">
        <f>Gegenstände!B770</f>
        <v>Saphir-Lederhelm (Plan)</v>
      </c>
      <c r="D770" s="3">
        <f>Gegenstände!K770</f>
        <v>1000</v>
      </c>
      <c r="E770" s="3">
        <f>Gegenstände!I770</f>
        <v>35</v>
      </c>
      <c r="F770" s="3">
        <f>VLOOKUP(Gegenstände!E770,Berechnungen!$E$87:$F$115,2,FALSE)</f>
        <v>35</v>
      </c>
      <c r="G770" s="3">
        <f>Gegenstände!H770</f>
        <v>2</v>
      </c>
      <c r="H770" s="3">
        <f>Gegenstände!G770</f>
        <v>61</v>
      </c>
      <c r="I770" s="3">
        <f>Gegenstände!D770</f>
        <v>13</v>
      </c>
      <c r="J770" s="168">
        <f>ROUND(Gegenstände!N770,0)</f>
        <v>8200</v>
      </c>
      <c r="K770" s="3">
        <f>Gegenstände!J770</f>
        <v>100</v>
      </c>
      <c r="L770" s="3">
        <f>Gegenstände!L770</f>
        <v>1</v>
      </c>
      <c r="M770" s="3">
        <f>Gegenstände!Z770</f>
        <v>0</v>
      </c>
      <c r="N770" s="783">
        <f>(Gegenstände!Y770*10)</f>
        <v>0</v>
      </c>
      <c r="O770" s="783">
        <f>(Gegenstände!W770*10)</f>
        <v>0</v>
      </c>
      <c r="P770" s="783">
        <f>Gegenstände!AA770*10</f>
        <v>0</v>
      </c>
      <c r="Q770" s="783">
        <f>Gegenstände!O770</f>
        <v>0</v>
      </c>
      <c r="R770" s="168">
        <f>Gegenstände!S770</f>
        <v>0</v>
      </c>
      <c r="S770" s="168">
        <f>Gegenstände!T770</f>
        <v>0</v>
      </c>
      <c r="T770" s="783">
        <f>Gegenstände!AC770</f>
        <v>0</v>
      </c>
      <c r="U770" s="783">
        <f>Gegenstände!AE770</f>
        <v>0</v>
      </c>
      <c r="V770" s="783">
        <f>Gegenstände!AD770</f>
        <v>0</v>
      </c>
      <c r="W770" s="783">
        <f>Gegenstände!AF770</f>
        <v>0</v>
      </c>
      <c r="AB770" s="3">
        <f>Gegenstände!M770</f>
        <v>0</v>
      </c>
      <c r="AC770" s="3">
        <f>Gegenstände!AB770</f>
        <v>0</v>
      </c>
      <c r="AD770" s="3">
        <f>Gegenstände!F770</f>
        <v>2321</v>
      </c>
    </row>
    <row r="771" spans="1:30" x14ac:dyDescent="0.2">
      <c r="A771" s="3">
        <f>Gegenstände!A771</f>
        <v>3322</v>
      </c>
      <c r="B771" s="3" t="str">
        <f>Gegenstände!B771</f>
        <v>Saphir-Lederharnisch (Plan)</v>
      </c>
      <c r="D771" s="3">
        <f>Gegenstände!K771</f>
        <v>1000</v>
      </c>
      <c r="E771" s="3">
        <f>Gegenstände!I771</f>
        <v>35</v>
      </c>
      <c r="F771" s="3">
        <f>VLOOKUP(Gegenstände!E771,Berechnungen!$E$87:$F$115,2,FALSE)</f>
        <v>35</v>
      </c>
      <c r="G771" s="3">
        <f>Gegenstände!H771</f>
        <v>2</v>
      </c>
      <c r="H771" s="3">
        <f>Gegenstände!G771</f>
        <v>61</v>
      </c>
      <c r="I771" s="3">
        <f>Gegenstände!D771</f>
        <v>13</v>
      </c>
      <c r="J771" s="168">
        <f>ROUND(Gegenstände!N771,0)</f>
        <v>11200</v>
      </c>
      <c r="K771" s="3">
        <f>Gegenstände!J771</f>
        <v>100</v>
      </c>
      <c r="L771" s="3">
        <f>Gegenstände!L771</f>
        <v>1</v>
      </c>
      <c r="M771" s="3">
        <f>Gegenstände!Z771</f>
        <v>0</v>
      </c>
      <c r="N771" s="783">
        <f>(Gegenstände!Y771*10)</f>
        <v>0</v>
      </c>
      <c r="O771" s="783">
        <f>(Gegenstände!W771*10)</f>
        <v>0</v>
      </c>
      <c r="P771" s="783">
        <f>Gegenstände!AA771*10</f>
        <v>0</v>
      </c>
      <c r="Q771" s="783">
        <f>Gegenstände!O771</f>
        <v>0</v>
      </c>
      <c r="R771" s="168">
        <f>Gegenstände!S771</f>
        <v>0</v>
      </c>
      <c r="S771" s="168">
        <f>Gegenstände!T771</f>
        <v>0</v>
      </c>
      <c r="T771" s="783">
        <f>Gegenstände!AC771</f>
        <v>0</v>
      </c>
      <c r="U771" s="783">
        <f>Gegenstände!AE771</f>
        <v>0</v>
      </c>
      <c r="V771" s="783">
        <f>Gegenstände!AD771</f>
        <v>0</v>
      </c>
      <c r="W771" s="783">
        <f>Gegenstände!AF771</f>
        <v>0</v>
      </c>
      <c r="AB771" s="3">
        <f>Gegenstände!M771</f>
        <v>0</v>
      </c>
      <c r="AC771" s="3">
        <f>Gegenstände!AB771</f>
        <v>0</v>
      </c>
      <c r="AD771" s="3">
        <f>Gegenstände!F771</f>
        <v>2322</v>
      </c>
    </row>
    <row r="772" spans="1:30" x14ac:dyDescent="0.2">
      <c r="A772" s="3">
        <f>Gegenstände!A772</f>
        <v>3323</v>
      </c>
      <c r="B772" s="3" t="str">
        <f>Gegenstände!B772</f>
        <v>Saphir-Lederstulpen (Plan)</v>
      </c>
      <c r="D772" s="3">
        <f>Gegenstände!K772</f>
        <v>1000</v>
      </c>
      <c r="E772" s="3">
        <f>Gegenstände!I772</f>
        <v>35</v>
      </c>
      <c r="F772" s="3">
        <f>VLOOKUP(Gegenstände!E772,Berechnungen!$E$87:$F$115,2,FALSE)</f>
        <v>35</v>
      </c>
      <c r="G772" s="3">
        <f>Gegenstände!H772</f>
        <v>2</v>
      </c>
      <c r="H772" s="3">
        <f>Gegenstände!G772</f>
        <v>61</v>
      </c>
      <c r="I772" s="3">
        <f>Gegenstände!D772</f>
        <v>14</v>
      </c>
      <c r="J772" s="168">
        <f>ROUND(Gegenstände!N772,0)</f>
        <v>7300</v>
      </c>
      <c r="K772" s="3">
        <f>Gegenstände!J772</f>
        <v>100</v>
      </c>
      <c r="L772" s="3">
        <f>Gegenstände!L772</f>
        <v>1</v>
      </c>
      <c r="M772" s="3">
        <f>Gegenstände!Z772</f>
        <v>0</v>
      </c>
      <c r="N772" s="783">
        <f>(Gegenstände!Y772*10)</f>
        <v>0</v>
      </c>
      <c r="O772" s="783">
        <f>(Gegenstände!W772*10)</f>
        <v>0</v>
      </c>
      <c r="P772" s="783">
        <f>Gegenstände!AA772*10</f>
        <v>0</v>
      </c>
      <c r="Q772" s="783">
        <f>Gegenstände!O772</f>
        <v>0</v>
      </c>
      <c r="R772" s="168">
        <f>Gegenstände!S772</f>
        <v>0</v>
      </c>
      <c r="S772" s="168">
        <f>Gegenstände!T772</f>
        <v>0</v>
      </c>
      <c r="T772" s="783">
        <f>Gegenstände!AC772</f>
        <v>0</v>
      </c>
      <c r="U772" s="783">
        <f>Gegenstände!AE772</f>
        <v>0</v>
      </c>
      <c r="V772" s="783">
        <f>Gegenstände!AD772</f>
        <v>0</v>
      </c>
      <c r="W772" s="783">
        <f>Gegenstände!AF772</f>
        <v>0</v>
      </c>
      <c r="AB772" s="3">
        <f>Gegenstände!M772</f>
        <v>0</v>
      </c>
      <c r="AC772" s="3">
        <f>Gegenstände!AB772</f>
        <v>0</v>
      </c>
      <c r="AD772" s="3">
        <f>Gegenstände!F772</f>
        <v>2323</v>
      </c>
    </row>
    <row r="773" spans="1:30" x14ac:dyDescent="0.2">
      <c r="A773" s="3">
        <f>Gegenstände!A773</f>
        <v>3324</v>
      </c>
      <c r="B773" s="3" t="str">
        <f>Gegenstände!B773</f>
        <v>Saphir-Lederbeinlinge (Plan)</v>
      </c>
      <c r="D773" s="3">
        <f>Gegenstände!K773</f>
        <v>1000</v>
      </c>
      <c r="E773" s="3">
        <f>Gegenstände!I773</f>
        <v>35</v>
      </c>
      <c r="F773" s="3">
        <f>VLOOKUP(Gegenstände!E773,Berechnungen!$E$87:$F$115,2,FALSE)</f>
        <v>35</v>
      </c>
      <c r="G773" s="3">
        <f>Gegenstände!H773</f>
        <v>2</v>
      </c>
      <c r="H773" s="3">
        <f>Gegenstände!G773</f>
        <v>61</v>
      </c>
      <c r="I773" s="3">
        <f>Gegenstände!D773</f>
        <v>14</v>
      </c>
      <c r="J773" s="168">
        <f>ROUND(Gegenstände!N773,0)</f>
        <v>9100</v>
      </c>
      <c r="K773" s="3">
        <f>Gegenstände!J773</f>
        <v>100</v>
      </c>
      <c r="L773" s="3">
        <f>Gegenstände!L773</f>
        <v>1</v>
      </c>
      <c r="M773" s="3">
        <f>Gegenstände!Z773</f>
        <v>0</v>
      </c>
      <c r="N773" s="783">
        <f>(Gegenstände!Y773*10)</f>
        <v>0</v>
      </c>
      <c r="O773" s="783">
        <f>(Gegenstände!W773*10)</f>
        <v>0</v>
      </c>
      <c r="P773" s="783">
        <f>Gegenstände!AA773*10</f>
        <v>0</v>
      </c>
      <c r="Q773" s="783">
        <f>Gegenstände!O773</f>
        <v>0</v>
      </c>
      <c r="R773" s="168">
        <f>Gegenstände!S773</f>
        <v>0</v>
      </c>
      <c r="S773" s="168">
        <f>Gegenstände!T773</f>
        <v>0</v>
      </c>
      <c r="T773" s="783">
        <f>Gegenstände!AC773</f>
        <v>0</v>
      </c>
      <c r="U773" s="783">
        <f>Gegenstände!AE773</f>
        <v>0</v>
      </c>
      <c r="V773" s="783">
        <f>Gegenstände!AD773</f>
        <v>0</v>
      </c>
      <c r="W773" s="783">
        <f>Gegenstände!AF773</f>
        <v>0</v>
      </c>
      <c r="AB773" s="3">
        <f>Gegenstände!M773</f>
        <v>0</v>
      </c>
      <c r="AC773" s="3">
        <f>Gegenstände!AB773</f>
        <v>0</v>
      </c>
      <c r="AD773" s="3">
        <f>Gegenstände!F773</f>
        <v>2324</v>
      </c>
    </row>
    <row r="774" spans="1:30" x14ac:dyDescent="0.2">
      <c r="A774" s="3">
        <f>Gegenstände!A774</f>
        <v>3325</v>
      </c>
      <c r="B774" s="3" t="str">
        <f>Gegenstände!B774</f>
        <v>Saphir-Lederstiefel (Plan)</v>
      </c>
      <c r="D774" s="3">
        <f>Gegenstände!K774</f>
        <v>1000</v>
      </c>
      <c r="E774" s="3">
        <f>Gegenstände!I774</f>
        <v>35</v>
      </c>
      <c r="F774" s="3">
        <f>VLOOKUP(Gegenstände!E774,Berechnungen!$E$87:$F$115,2,FALSE)</f>
        <v>35</v>
      </c>
      <c r="G774" s="3">
        <f>Gegenstände!H774</f>
        <v>2</v>
      </c>
      <c r="H774" s="3">
        <f>Gegenstände!G774</f>
        <v>61</v>
      </c>
      <c r="I774" s="3">
        <f>Gegenstände!D774</f>
        <v>14</v>
      </c>
      <c r="J774" s="168">
        <f>ROUND(Gegenstände!N774,0)</f>
        <v>7300</v>
      </c>
      <c r="K774" s="3">
        <f>Gegenstände!J774</f>
        <v>100</v>
      </c>
      <c r="L774" s="3">
        <f>Gegenstände!L774</f>
        <v>1</v>
      </c>
      <c r="M774" s="3">
        <f>Gegenstände!Z774</f>
        <v>0</v>
      </c>
      <c r="N774" s="783">
        <f>(Gegenstände!Y774*10)</f>
        <v>0</v>
      </c>
      <c r="O774" s="783">
        <f>(Gegenstände!W774*10)</f>
        <v>0</v>
      </c>
      <c r="P774" s="783">
        <f>Gegenstände!AA774*10</f>
        <v>0</v>
      </c>
      <c r="Q774" s="783">
        <f>Gegenstände!O774</f>
        <v>0</v>
      </c>
      <c r="R774" s="168">
        <f>Gegenstände!S774</f>
        <v>0</v>
      </c>
      <c r="S774" s="168">
        <f>Gegenstände!T774</f>
        <v>0</v>
      </c>
      <c r="T774" s="783">
        <f>Gegenstände!AC774</f>
        <v>0</v>
      </c>
      <c r="U774" s="783">
        <f>Gegenstände!AE774</f>
        <v>0</v>
      </c>
      <c r="V774" s="783">
        <f>Gegenstände!AD774</f>
        <v>0</v>
      </c>
      <c r="W774" s="783">
        <f>Gegenstände!AF774</f>
        <v>0</v>
      </c>
      <c r="AB774" s="3">
        <f>Gegenstände!M774</f>
        <v>0</v>
      </c>
      <c r="AC774" s="3">
        <f>Gegenstände!AB774</f>
        <v>0</v>
      </c>
      <c r="AD774" s="3">
        <f>Gegenstände!F774</f>
        <v>2325</v>
      </c>
    </row>
    <row r="775" spans="1:30" x14ac:dyDescent="0.2">
      <c r="A775" s="3">
        <f>Gegenstände!A775</f>
        <v>3331</v>
      </c>
      <c r="B775" s="3" t="str">
        <f>Gegenstände!B775</f>
        <v>Lapis-Lederhelm (Plan)</v>
      </c>
      <c r="D775" s="3">
        <f>Gegenstände!K775</f>
        <v>1000</v>
      </c>
      <c r="E775" s="3">
        <f>Gegenstände!I775</f>
        <v>35</v>
      </c>
      <c r="F775" s="3">
        <f>VLOOKUP(Gegenstände!E775,Berechnungen!$E$87:$F$115,2,FALSE)</f>
        <v>35</v>
      </c>
      <c r="G775" s="3">
        <f>Gegenstände!H775</f>
        <v>2</v>
      </c>
      <c r="H775" s="3">
        <f>Gegenstände!G775</f>
        <v>61</v>
      </c>
      <c r="I775" s="3">
        <f>Gegenstände!D775</f>
        <v>18</v>
      </c>
      <c r="J775" s="168">
        <f>ROUND(Gegenstände!N775,0)</f>
        <v>15900</v>
      </c>
      <c r="K775" s="3">
        <f>Gegenstände!J775</f>
        <v>100</v>
      </c>
      <c r="L775" s="3">
        <f>Gegenstände!L775</f>
        <v>1</v>
      </c>
      <c r="M775" s="3">
        <f>Gegenstände!Z775</f>
        <v>0</v>
      </c>
      <c r="N775" s="783">
        <f>(Gegenstände!Y775*10)</f>
        <v>0</v>
      </c>
      <c r="O775" s="783">
        <f>(Gegenstände!W775*10)</f>
        <v>0</v>
      </c>
      <c r="P775" s="783">
        <f>Gegenstände!AA775*10</f>
        <v>0</v>
      </c>
      <c r="Q775" s="783">
        <f>Gegenstände!O775</f>
        <v>0</v>
      </c>
      <c r="R775" s="168">
        <f>Gegenstände!S775</f>
        <v>0</v>
      </c>
      <c r="S775" s="168">
        <f>Gegenstände!T775</f>
        <v>0</v>
      </c>
      <c r="T775" s="783">
        <f>Gegenstände!AC775</f>
        <v>0</v>
      </c>
      <c r="U775" s="783">
        <f>Gegenstände!AE775</f>
        <v>0</v>
      </c>
      <c r="V775" s="783">
        <f>Gegenstände!AD775</f>
        <v>0</v>
      </c>
      <c r="W775" s="783">
        <f>Gegenstände!AF775</f>
        <v>0</v>
      </c>
      <c r="AB775" s="3">
        <f>Gegenstände!M775</f>
        <v>0</v>
      </c>
      <c r="AC775" s="3">
        <f>Gegenstände!AB775</f>
        <v>0</v>
      </c>
      <c r="AD775" s="3">
        <f>Gegenstände!F775</f>
        <v>2331</v>
      </c>
    </row>
    <row r="776" spans="1:30" x14ac:dyDescent="0.2">
      <c r="A776" s="3">
        <f>Gegenstände!A776</f>
        <v>3332</v>
      </c>
      <c r="B776" s="3" t="str">
        <f>Gegenstände!B776</f>
        <v>Lapis-Lederharnisch (Plan)</v>
      </c>
      <c r="D776" s="3">
        <f>Gegenstände!K776</f>
        <v>1000</v>
      </c>
      <c r="E776" s="3">
        <f>Gegenstände!I776</f>
        <v>35</v>
      </c>
      <c r="F776" s="3">
        <f>VLOOKUP(Gegenstände!E776,Berechnungen!$E$87:$F$115,2,FALSE)</f>
        <v>35</v>
      </c>
      <c r="G776" s="3">
        <f>Gegenstände!H776</f>
        <v>2</v>
      </c>
      <c r="H776" s="3">
        <f>Gegenstände!G776</f>
        <v>61</v>
      </c>
      <c r="I776" s="3">
        <f>Gegenstände!D776</f>
        <v>18</v>
      </c>
      <c r="J776" s="168">
        <f>ROUND(Gegenstände!N776,0)</f>
        <v>22100</v>
      </c>
      <c r="K776" s="3">
        <f>Gegenstände!J776</f>
        <v>100</v>
      </c>
      <c r="L776" s="3">
        <f>Gegenstände!L776</f>
        <v>1</v>
      </c>
      <c r="M776" s="3">
        <f>Gegenstände!Z776</f>
        <v>0</v>
      </c>
      <c r="N776" s="783">
        <f>(Gegenstände!Y776*10)</f>
        <v>0</v>
      </c>
      <c r="O776" s="783">
        <f>(Gegenstände!W776*10)</f>
        <v>0</v>
      </c>
      <c r="P776" s="783">
        <f>Gegenstände!AA776*10</f>
        <v>0</v>
      </c>
      <c r="Q776" s="783">
        <f>Gegenstände!O776</f>
        <v>0</v>
      </c>
      <c r="R776" s="168">
        <f>Gegenstände!S776</f>
        <v>0</v>
      </c>
      <c r="S776" s="168">
        <f>Gegenstände!T776</f>
        <v>0</v>
      </c>
      <c r="T776" s="783">
        <f>Gegenstände!AC776</f>
        <v>0</v>
      </c>
      <c r="U776" s="783">
        <f>Gegenstände!AE776</f>
        <v>0</v>
      </c>
      <c r="V776" s="783">
        <f>Gegenstände!AD776</f>
        <v>0</v>
      </c>
      <c r="W776" s="783">
        <f>Gegenstände!AF776</f>
        <v>0</v>
      </c>
      <c r="AB776" s="3">
        <f>Gegenstände!M776</f>
        <v>0</v>
      </c>
      <c r="AC776" s="3">
        <f>Gegenstände!AB776</f>
        <v>0</v>
      </c>
      <c r="AD776" s="3">
        <f>Gegenstände!F776</f>
        <v>2332</v>
      </c>
    </row>
    <row r="777" spans="1:30" x14ac:dyDescent="0.2">
      <c r="A777" s="3">
        <f>Gegenstände!A777</f>
        <v>3333</v>
      </c>
      <c r="B777" s="3" t="str">
        <f>Gegenstände!B777</f>
        <v>Lapis-Lederstulpen (Plan)</v>
      </c>
      <c r="D777" s="3">
        <f>Gegenstände!K777</f>
        <v>1000</v>
      </c>
      <c r="E777" s="3">
        <f>Gegenstände!I777</f>
        <v>35</v>
      </c>
      <c r="F777" s="3">
        <f>VLOOKUP(Gegenstände!E777,Berechnungen!$E$87:$F$115,2,FALSE)</f>
        <v>35</v>
      </c>
      <c r="G777" s="3">
        <f>Gegenstände!H777</f>
        <v>2</v>
      </c>
      <c r="H777" s="3">
        <f>Gegenstände!G777</f>
        <v>61</v>
      </c>
      <c r="I777" s="3">
        <f>Gegenstände!D777</f>
        <v>19</v>
      </c>
      <c r="J777" s="168">
        <f>ROUND(Gegenstände!N777,0)</f>
        <v>14200</v>
      </c>
      <c r="K777" s="3">
        <f>Gegenstände!J777</f>
        <v>100</v>
      </c>
      <c r="L777" s="3">
        <f>Gegenstände!L777</f>
        <v>1</v>
      </c>
      <c r="M777" s="3">
        <f>Gegenstände!Z777</f>
        <v>0</v>
      </c>
      <c r="N777" s="783">
        <f>(Gegenstände!Y777*10)</f>
        <v>0</v>
      </c>
      <c r="O777" s="783">
        <f>(Gegenstände!W777*10)</f>
        <v>0</v>
      </c>
      <c r="P777" s="783">
        <f>Gegenstände!AA777*10</f>
        <v>0</v>
      </c>
      <c r="Q777" s="783">
        <f>Gegenstände!O777</f>
        <v>0</v>
      </c>
      <c r="R777" s="168">
        <f>Gegenstände!S777</f>
        <v>0</v>
      </c>
      <c r="S777" s="168">
        <f>Gegenstände!T777</f>
        <v>0</v>
      </c>
      <c r="T777" s="783">
        <f>Gegenstände!AC777</f>
        <v>0</v>
      </c>
      <c r="U777" s="783">
        <f>Gegenstände!AE777</f>
        <v>0</v>
      </c>
      <c r="V777" s="783">
        <f>Gegenstände!AD777</f>
        <v>0</v>
      </c>
      <c r="W777" s="783">
        <f>Gegenstände!AF777</f>
        <v>0</v>
      </c>
      <c r="AB777" s="3">
        <f>Gegenstände!M777</f>
        <v>0</v>
      </c>
      <c r="AC777" s="3">
        <f>Gegenstände!AB777</f>
        <v>0</v>
      </c>
      <c r="AD777" s="3">
        <f>Gegenstände!F777</f>
        <v>2333</v>
      </c>
    </row>
    <row r="778" spans="1:30" x14ac:dyDescent="0.2">
      <c r="A778" s="3">
        <f>Gegenstände!A778</f>
        <v>3334</v>
      </c>
      <c r="B778" s="3" t="str">
        <f>Gegenstände!B778</f>
        <v>Lapis-Lederbeinlinge (Plan)</v>
      </c>
      <c r="D778" s="3">
        <f>Gegenstände!K778</f>
        <v>1000</v>
      </c>
      <c r="E778" s="3">
        <f>Gegenstände!I778</f>
        <v>35</v>
      </c>
      <c r="F778" s="3">
        <f>VLOOKUP(Gegenstände!E778,Berechnungen!$E$87:$F$115,2,FALSE)</f>
        <v>35</v>
      </c>
      <c r="G778" s="3">
        <f>Gegenstände!H778</f>
        <v>2</v>
      </c>
      <c r="H778" s="3">
        <f>Gegenstände!G778</f>
        <v>61</v>
      </c>
      <c r="I778" s="3">
        <f>Gegenstände!D778</f>
        <v>19</v>
      </c>
      <c r="J778" s="168">
        <f>ROUND(Gegenstände!N778,0)</f>
        <v>17700</v>
      </c>
      <c r="K778" s="3">
        <f>Gegenstände!J778</f>
        <v>100</v>
      </c>
      <c r="L778" s="3">
        <f>Gegenstände!L778</f>
        <v>1</v>
      </c>
      <c r="M778" s="3">
        <f>Gegenstände!Z778</f>
        <v>0</v>
      </c>
      <c r="N778" s="783">
        <f>(Gegenstände!Y778*10)</f>
        <v>0</v>
      </c>
      <c r="O778" s="783">
        <f>(Gegenstände!W778*10)</f>
        <v>0</v>
      </c>
      <c r="P778" s="783">
        <f>Gegenstände!AA778*10</f>
        <v>0</v>
      </c>
      <c r="Q778" s="783">
        <f>Gegenstände!O778</f>
        <v>0</v>
      </c>
      <c r="R778" s="168">
        <f>Gegenstände!S778</f>
        <v>0</v>
      </c>
      <c r="S778" s="168">
        <f>Gegenstände!T778</f>
        <v>0</v>
      </c>
      <c r="T778" s="783">
        <f>Gegenstände!AC778</f>
        <v>0</v>
      </c>
      <c r="U778" s="783">
        <f>Gegenstände!AE778</f>
        <v>0</v>
      </c>
      <c r="V778" s="783">
        <f>Gegenstände!AD778</f>
        <v>0</v>
      </c>
      <c r="W778" s="783">
        <f>Gegenstände!AF778</f>
        <v>0</v>
      </c>
      <c r="AB778" s="3">
        <f>Gegenstände!M778</f>
        <v>0</v>
      </c>
      <c r="AC778" s="3">
        <f>Gegenstände!AB778</f>
        <v>0</v>
      </c>
      <c r="AD778" s="3">
        <f>Gegenstände!F778</f>
        <v>2334</v>
      </c>
    </row>
    <row r="779" spans="1:30" x14ac:dyDescent="0.2">
      <c r="A779" s="3">
        <f>Gegenstände!A779</f>
        <v>3335</v>
      </c>
      <c r="B779" s="3" t="str">
        <f>Gegenstände!B779</f>
        <v>Lapis-Lederstiefel (Plan)</v>
      </c>
      <c r="D779" s="3">
        <f>Gegenstände!K779</f>
        <v>1000</v>
      </c>
      <c r="E779" s="3">
        <f>Gegenstände!I779</f>
        <v>35</v>
      </c>
      <c r="F779" s="3">
        <f>VLOOKUP(Gegenstände!E779,Berechnungen!$E$87:$F$115,2,FALSE)</f>
        <v>35</v>
      </c>
      <c r="G779" s="3">
        <f>Gegenstände!H779</f>
        <v>2</v>
      </c>
      <c r="H779" s="3">
        <f>Gegenstände!G779</f>
        <v>61</v>
      </c>
      <c r="I779" s="3">
        <f>Gegenstände!D779</f>
        <v>19</v>
      </c>
      <c r="J779" s="168">
        <f>ROUND(Gegenstände!N779,0)</f>
        <v>14200</v>
      </c>
      <c r="K779" s="3">
        <f>Gegenstände!J779</f>
        <v>100</v>
      </c>
      <c r="L779" s="3">
        <f>Gegenstände!L779</f>
        <v>1</v>
      </c>
      <c r="M779" s="3">
        <f>Gegenstände!Z779</f>
        <v>0</v>
      </c>
      <c r="N779" s="783">
        <f>(Gegenstände!Y779*10)</f>
        <v>0</v>
      </c>
      <c r="O779" s="783">
        <f>(Gegenstände!W779*10)</f>
        <v>0</v>
      </c>
      <c r="P779" s="783">
        <f>Gegenstände!AA779*10</f>
        <v>0</v>
      </c>
      <c r="Q779" s="783">
        <f>Gegenstände!O779</f>
        <v>0</v>
      </c>
      <c r="R779" s="168">
        <f>Gegenstände!S779</f>
        <v>0</v>
      </c>
      <c r="S779" s="168">
        <f>Gegenstände!T779</f>
        <v>0</v>
      </c>
      <c r="T779" s="783">
        <f>Gegenstände!AC779</f>
        <v>0</v>
      </c>
      <c r="U779" s="783">
        <f>Gegenstände!AE779</f>
        <v>0</v>
      </c>
      <c r="V779" s="783">
        <f>Gegenstände!AD779</f>
        <v>0</v>
      </c>
      <c r="W779" s="783">
        <f>Gegenstände!AF779</f>
        <v>0</v>
      </c>
      <c r="AB779" s="3">
        <f>Gegenstände!M779</f>
        <v>0</v>
      </c>
      <c r="AC779" s="3">
        <f>Gegenstände!AB779</f>
        <v>0</v>
      </c>
      <c r="AD779" s="3">
        <f>Gegenstände!F779</f>
        <v>2335</v>
      </c>
    </row>
    <row r="780" spans="1:30" x14ac:dyDescent="0.2">
      <c r="A780" s="3">
        <f>Gegenstände!A780</f>
        <v>3341</v>
      </c>
      <c r="B780" s="3" t="str">
        <f>Gegenstände!B780</f>
        <v>Diamant-Lederhelm (Plan)</v>
      </c>
      <c r="D780" s="3">
        <f>Gegenstände!K780</f>
        <v>1000</v>
      </c>
      <c r="E780" s="3">
        <f>Gegenstände!I780</f>
        <v>35</v>
      </c>
      <c r="F780" s="3">
        <f>VLOOKUP(Gegenstände!E780,Berechnungen!$E$87:$F$115,2,FALSE)</f>
        <v>35</v>
      </c>
      <c r="G780" s="3">
        <f>Gegenstände!H780</f>
        <v>2</v>
      </c>
      <c r="H780" s="3">
        <f>Gegenstände!G780</f>
        <v>61</v>
      </c>
      <c r="I780" s="3">
        <f>Gegenstände!D780</f>
        <v>23</v>
      </c>
      <c r="J780" s="168">
        <f>ROUND(Gegenstände!N780,0)</f>
        <v>29900</v>
      </c>
      <c r="K780" s="3">
        <f>Gegenstände!J780</f>
        <v>100</v>
      </c>
      <c r="L780" s="3">
        <f>Gegenstände!L780</f>
        <v>1</v>
      </c>
      <c r="M780" s="3">
        <f>Gegenstände!Z780</f>
        <v>0</v>
      </c>
      <c r="N780" s="783">
        <f>(Gegenstände!Y780*10)</f>
        <v>0</v>
      </c>
      <c r="O780" s="783">
        <f>(Gegenstände!W780*10)</f>
        <v>0</v>
      </c>
      <c r="P780" s="783">
        <f>Gegenstände!AA780*10</f>
        <v>0</v>
      </c>
      <c r="Q780" s="783">
        <f>Gegenstände!O780</f>
        <v>0</v>
      </c>
      <c r="R780" s="168">
        <f>Gegenstände!S780</f>
        <v>0</v>
      </c>
      <c r="S780" s="168">
        <f>Gegenstände!T780</f>
        <v>0</v>
      </c>
      <c r="T780" s="783">
        <f>Gegenstände!AC780</f>
        <v>0</v>
      </c>
      <c r="U780" s="783">
        <f>Gegenstände!AE780</f>
        <v>0</v>
      </c>
      <c r="V780" s="783">
        <f>Gegenstände!AD780</f>
        <v>0</v>
      </c>
      <c r="W780" s="783">
        <f>Gegenstände!AF780</f>
        <v>0</v>
      </c>
      <c r="AB780" s="3">
        <f>Gegenstände!M780</f>
        <v>0</v>
      </c>
      <c r="AC780" s="3">
        <f>Gegenstände!AB780</f>
        <v>0</v>
      </c>
      <c r="AD780" s="3">
        <f>Gegenstände!F780</f>
        <v>2341</v>
      </c>
    </row>
    <row r="781" spans="1:30" x14ac:dyDescent="0.2">
      <c r="A781" s="3">
        <f>Gegenstände!A781</f>
        <v>3342</v>
      </c>
      <c r="B781" s="3" t="str">
        <f>Gegenstände!B781</f>
        <v>Diamant-Lederharnisch (Plan)</v>
      </c>
      <c r="D781" s="3">
        <f>Gegenstände!K781</f>
        <v>1000</v>
      </c>
      <c r="E781" s="3">
        <f>Gegenstände!I781</f>
        <v>35</v>
      </c>
      <c r="F781" s="3">
        <f>VLOOKUP(Gegenstände!E781,Berechnungen!$E$87:$F$115,2,FALSE)</f>
        <v>35</v>
      </c>
      <c r="G781" s="3">
        <f>Gegenstände!H781</f>
        <v>2</v>
      </c>
      <c r="H781" s="3">
        <f>Gegenstände!G781</f>
        <v>61</v>
      </c>
      <c r="I781" s="3">
        <f>Gegenstände!D781</f>
        <v>23</v>
      </c>
      <c r="J781" s="168">
        <f>ROUND(Gegenstände!N781,0)</f>
        <v>42300</v>
      </c>
      <c r="K781" s="3">
        <f>Gegenstände!J781</f>
        <v>100</v>
      </c>
      <c r="L781" s="3">
        <f>Gegenstände!L781</f>
        <v>1</v>
      </c>
      <c r="M781" s="3">
        <f>Gegenstände!Z781</f>
        <v>0</v>
      </c>
      <c r="N781" s="783">
        <f>(Gegenstände!Y781*10)</f>
        <v>0</v>
      </c>
      <c r="O781" s="783">
        <f>(Gegenstände!W781*10)</f>
        <v>0</v>
      </c>
      <c r="P781" s="783">
        <f>Gegenstände!AA781*10</f>
        <v>0</v>
      </c>
      <c r="Q781" s="783">
        <f>Gegenstände!O781</f>
        <v>0</v>
      </c>
      <c r="R781" s="168">
        <f>Gegenstände!S781</f>
        <v>0</v>
      </c>
      <c r="S781" s="168">
        <f>Gegenstände!T781</f>
        <v>0</v>
      </c>
      <c r="T781" s="783">
        <f>Gegenstände!AC781</f>
        <v>0</v>
      </c>
      <c r="U781" s="783">
        <f>Gegenstände!AE781</f>
        <v>0</v>
      </c>
      <c r="V781" s="783">
        <f>Gegenstände!AD781</f>
        <v>0</v>
      </c>
      <c r="W781" s="783">
        <f>Gegenstände!AF781</f>
        <v>0</v>
      </c>
      <c r="AB781" s="3">
        <f>Gegenstände!M781</f>
        <v>0</v>
      </c>
      <c r="AC781" s="3">
        <f>Gegenstände!AB781</f>
        <v>0</v>
      </c>
      <c r="AD781" s="3">
        <f>Gegenstände!F781</f>
        <v>2342</v>
      </c>
    </row>
    <row r="782" spans="1:30" x14ac:dyDescent="0.2">
      <c r="A782" s="3">
        <f>Gegenstände!A782</f>
        <v>3343</v>
      </c>
      <c r="B782" s="3" t="str">
        <f>Gegenstände!B782</f>
        <v>Diamant-Lederstulpen (Plan)</v>
      </c>
      <c r="D782" s="3">
        <f>Gegenstände!K782</f>
        <v>1000</v>
      </c>
      <c r="E782" s="3">
        <f>Gegenstände!I782</f>
        <v>35</v>
      </c>
      <c r="F782" s="3">
        <f>VLOOKUP(Gegenstände!E782,Berechnungen!$E$87:$F$115,2,FALSE)</f>
        <v>35</v>
      </c>
      <c r="G782" s="3">
        <f>Gegenstände!H782</f>
        <v>2</v>
      </c>
      <c r="H782" s="3">
        <f>Gegenstände!G782</f>
        <v>61</v>
      </c>
      <c r="I782" s="3">
        <f>Gegenstände!D782</f>
        <v>24</v>
      </c>
      <c r="J782" s="168">
        <f>ROUND(Gegenstände!N782,0)</f>
        <v>26500</v>
      </c>
      <c r="K782" s="3">
        <f>Gegenstände!J782</f>
        <v>100</v>
      </c>
      <c r="L782" s="3">
        <f>Gegenstände!L782</f>
        <v>1</v>
      </c>
      <c r="M782" s="3">
        <f>Gegenstände!Z782</f>
        <v>0</v>
      </c>
      <c r="N782" s="783">
        <f>(Gegenstände!Y782*10)</f>
        <v>0</v>
      </c>
      <c r="O782" s="783">
        <f>(Gegenstände!W782*10)</f>
        <v>0</v>
      </c>
      <c r="P782" s="783">
        <f>Gegenstände!AA782*10</f>
        <v>0</v>
      </c>
      <c r="Q782" s="783">
        <f>Gegenstände!O782</f>
        <v>0</v>
      </c>
      <c r="R782" s="168">
        <f>Gegenstände!S782</f>
        <v>0</v>
      </c>
      <c r="S782" s="168">
        <f>Gegenstände!T782</f>
        <v>0</v>
      </c>
      <c r="T782" s="783">
        <f>Gegenstände!AC782</f>
        <v>0</v>
      </c>
      <c r="U782" s="783">
        <f>Gegenstände!AE782</f>
        <v>0</v>
      </c>
      <c r="V782" s="783">
        <f>Gegenstände!AD782</f>
        <v>0</v>
      </c>
      <c r="W782" s="783">
        <f>Gegenstände!AF782</f>
        <v>0</v>
      </c>
      <c r="AB782" s="3">
        <f>Gegenstände!M782</f>
        <v>0</v>
      </c>
      <c r="AC782" s="3">
        <f>Gegenstände!AB782</f>
        <v>0</v>
      </c>
      <c r="AD782" s="3">
        <f>Gegenstände!F782</f>
        <v>2343</v>
      </c>
    </row>
    <row r="783" spans="1:30" x14ac:dyDescent="0.2">
      <c r="A783" s="3">
        <f>Gegenstände!A783</f>
        <v>3344</v>
      </c>
      <c r="B783" s="3" t="str">
        <f>Gegenstände!B783</f>
        <v>Diamant-Lederbeinlinge (Plan)</v>
      </c>
      <c r="D783" s="3">
        <f>Gegenstände!K783</f>
        <v>1000</v>
      </c>
      <c r="E783" s="3">
        <f>Gegenstände!I783</f>
        <v>35</v>
      </c>
      <c r="F783" s="3">
        <f>VLOOKUP(Gegenstände!E783,Berechnungen!$E$87:$F$115,2,FALSE)</f>
        <v>35</v>
      </c>
      <c r="G783" s="3">
        <f>Gegenstände!H783</f>
        <v>2</v>
      </c>
      <c r="H783" s="3">
        <f>Gegenstände!G783</f>
        <v>61</v>
      </c>
      <c r="I783" s="3">
        <f>Gegenstände!D783</f>
        <v>24</v>
      </c>
      <c r="J783" s="168">
        <f>ROUND(Gegenstände!N783,0)</f>
        <v>33600</v>
      </c>
      <c r="K783" s="3">
        <f>Gegenstände!J783</f>
        <v>100</v>
      </c>
      <c r="L783" s="3">
        <f>Gegenstände!L783</f>
        <v>1</v>
      </c>
      <c r="M783" s="3">
        <f>Gegenstände!Z783</f>
        <v>0</v>
      </c>
      <c r="N783" s="783">
        <f>(Gegenstände!Y783*10)</f>
        <v>0</v>
      </c>
      <c r="O783" s="783">
        <f>(Gegenstände!W783*10)</f>
        <v>0</v>
      </c>
      <c r="P783" s="783">
        <f>Gegenstände!AA783*10</f>
        <v>0</v>
      </c>
      <c r="Q783" s="783">
        <f>Gegenstände!O783</f>
        <v>0</v>
      </c>
      <c r="R783" s="168">
        <f>Gegenstände!S783</f>
        <v>0</v>
      </c>
      <c r="S783" s="168">
        <f>Gegenstände!T783</f>
        <v>0</v>
      </c>
      <c r="T783" s="783">
        <f>Gegenstände!AC783</f>
        <v>0</v>
      </c>
      <c r="U783" s="783">
        <f>Gegenstände!AE783</f>
        <v>0</v>
      </c>
      <c r="V783" s="783">
        <f>Gegenstände!AD783</f>
        <v>0</v>
      </c>
      <c r="W783" s="783">
        <f>Gegenstände!AF783</f>
        <v>0</v>
      </c>
      <c r="AB783" s="3">
        <f>Gegenstände!M783</f>
        <v>0</v>
      </c>
      <c r="AC783" s="3">
        <f>Gegenstände!AB783</f>
        <v>0</v>
      </c>
      <c r="AD783" s="3">
        <f>Gegenstände!F783</f>
        <v>2344</v>
      </c>
    </row>
    <row r="784" spans="1:30" x14ac:dyDescent="0.2">
      <c r="A784" s="3">
        <f>Gegenstände!A784</f>
        <v>3345</v>
      </c>
      <c r="B784" s="3" t="str">
        <f>Gegenstände!B784</f>
        <v>Diamant-Lederstiefel (Plan)</v>
      </c>
      <c r="D784" s="3">
        <f>Gegenstände!K784</f>
        <v>1000</v>
      </c>
      <c r="E784" s="3">
        <f>Gegenstände!I784</f>
        <v>35</v>
      </c>
      <c r="F784" s="3">
        <f>VLOOKUP(Gegenstände!E784,Berechnungen!$E$87:$F$115,2,FALSE)</f>
        <v>35</v>
      </c>
      <c r="G784" s="3">
        <f>Gegenstände!H784</f>
        <v>2</v>
      </c>
      <c r="H784" s="3">
        <f>Gegenstände!G784</f>
        <v>61</v>
      </c>
      <c r="I784" s="3">
        <f>Gegenstände!D784</f>
        <v>24</v>
      </c>
      <c r="J784" s="168">
        <f>ROUND(Gegenstände!N784,0)</f>
        <v>26500</v>
      </c>
      <c r="K784" s="3">
        <f>Gegenstände!J784</f>
        <v>100</v>
      </c>
      <c r="L784" s="3">
        <f>Gegenstände!L784</f>
        <v>1</v>
      </c>
      <c r="M784" s="3">
        <f>Gegenstände!Z784</f>
        <v>0</v>
      </c>
      <c r="N784" s="783">
        <f>(Gegenstände!Y784*10)</f>
        <v>0</v>
      </c>
      <c r="O784" s="783">
        <f>(Gegenstände!W784*10)</f>
        <v>0</v>
      </c>
      <c r="P784" s="783">
        <f>Gegenstände!AA784*10</f>
        <v>0</v>
      </c>
      <c r="Q784" s="783">
        <f>Gegenstände!O784</f>
        <v>0</v>
      </c>
      <c r="R784" s="168">
        <f>Gegenstände!S784</f>
        <v>0</v>
      </c>
      <c r="S784" s="168">
        <f>Gegenstände!T784</f>
        <v>0</v>
      </c>
      <c r="T784" s="783">
        <f>Gegenstände!AC784</f>
        <v>0</v>
      </c>
      <c r="U784" s="783">
        <f>Gegenstände!AE784</f>
        <v>0</v>
      </c>
      <c r="V784" s="783">
        <f>Gegenstände!AD784</f>
        <v>0</v>
      </c>
      <c r="W784" s="783">
        <f>Gegenstände!AF784</f>
        <v>0</v>
      </c>
      <c r="AB784" s="3">
        <f>Gegenstände!M784</f>
        <v>0</v>
      </c>
      <c r="AC784" s="3">
        <f>Gegenstände!AB784</f>
        <v>0</v>
      </c>
      <c r="AD784" s="3">
        <f>Gegenstände!F784</f>
        <v>2345</v>
      </c>
    </row>
    <row r="785" spans="1:30" x14ac:dyDescent="0.2">
      <c r="A785" s="3">
        <f>Gegenstände!A785</f>
        <v>0</v>
      </c>
      <c r="B785" s="3">
        <f>Gegenstände!B785</f>
        <v>0</v>
      </c>
      <c r="D785" s="3">
        <f>Gegenstände!K785</f>
        <v>0</v>
      </c>
      <c r="E785" s="3">
        <f>Gegenstände!I785</f>
        <v>0</v>
      </c>
      <c r="F785" s="3" t="e">
        <f>VLOOKUP(Gegenstände!E785,Berechnungen!$E$87:$F$115,2,FALSE)</f>
        <v>#N/A</v>
      </c>
      <c r="G785" s="3">
        <f>Gegenstände!H785</f>
        <v>0</v>
      </c>
      <c r="H785" s="3">
        <f>Gegenstände!G785</f>
        <v>0</v>
      </c>
      <c r="I785" s="3">
        <f>Gegenstände!D785</f>
        <v>0</v>
      </c>
      <c r="J785" s="168">
        <f>ROUND(Gegenstände!N785,0)</f>
        <v>0</v>
      </c>
      <c r="K785" s="3">
        <f>Gegenstände!J785</f>
        <v>0</v>
      </c>
      <c r="L785" s="3">
        <f>Gegenstände!L785</f>
        <v>0</v>
      </c>
      <c r="M785" s="3">
        <f>Gegenstände!Z785</f>
        <v>0</v>
      </c>
      <c r="N785" s="783">
        <f>(Gegenstände!Y785*10)</f>
        <v>0</v>
      </c>
      <c r="O785" s="783">
        <f>(Gegenstände!W785*10)</f>
        <v>0</v>
      </c>
      <c r="P785" s="783">
        <f>Gegenstände!AA785*10</f>
        <v>0</v>
      </c>
      <c r="Q785" s="783">
        <f>Gegenstände!O785</f>
        <v>0</v>
      </c>
      <c r="R785" s="168">
        <f>Gegenstände!S785</f>
        <v>0</v>
      </c>
      <c r="S785" s="168">
        <f>Gegenstände!T785</f>
        <v>0</v>
      </c>
      <c r="T785" s="783">
        <f>Gegenstände!AC785</f>
        <v>0</v>
      </c>
      <c r="U785" s="783">
        <f>Gegenstände!AE785</f>
        <v>0</v>
      </c>
      <c r="V785" s="783">
        <f>Gegenstände!AD785</f>
        <v>0</v>
      </c>
      <c r="W785" s="783">
        <f>Gegenstände!AF785</f>
        <v>0</v>
      </c>
      <c r="AB785" s="3">
        <f>Gegenstände!M785</f>
        <v>0</v>
      </c>
      <c r="AC785" s="3">
        <f>Gegenstände!AB785</f>
        <v>0</v>
      </c>
      <c r="AD785" s="3">
        <f>Gegenstände!F785</f>
        <v>0</v>
      </c>
    </row>
    <row r="786" spans="1:30" x14ac:dyDescent="0.2">
      <c r="A786" s="3">
        <f>Gegenstände!A786</f>
        <v>3401</v>
      </c>
      <c r="B786" s="3" t="str">
        <f>Gegenstände!B786</f>
        <v>Kristall-Plattenhelm (Plan)</v>
      </c>
      <c r="D786" s="3">
        <f>Gegenstände!K786</f>
        <v>1000</v>
      </c>
      <c r="E786" s="3">
        <f>Gegenstände!I786</f>
        <v>35</v>
      </c>
      <c r="F786" s="3">
        <f>VLOOKUP(Gegenstände!E786,Berechnungen!$E$87:$F$115,2,FALSE)</f>
        <v>35</v>
      </c>
      <c r="G786" s="3">
        <f>Gegenstände!H786</f>
        <v>2</v>
      </c>
      <c r="H786" s="3">
        <f>Gegenstände!G786</f>
        <v>62</v>
      </c>
      <c r="I786" s="3">
        <f>Gegenstände!D786</f>
        <v>3</v>
      </c>
      <c r="J786" s="168">
        <f>ROUND(Gegenstände!N786,0)</f>
        <v>2000</v>
      </c>
      <c r="K786" s="3">
        <f>Gegenstände!J786</f>
        <v>100</v>
      </c>
      <c r="L786" s="3">
        <f>Gegenstände!L786</f>
        <v>1</v>
      </c>
      <c r="M786" s="3">
        <f>Gegenstände!Z786</f>
        <v>0</v>
      </c>
      <c r="N786" s="783">
        <f>(Gegenstände!Y786*10)</f>
        <v>0</v>
      </c>
      <c r="O786" s="783">
        <f>(Gegenstände!W786*10)</f>
        <v>0</v>
      </c>
      <c r="P786" s="783">
        <f>Gegenstände!AA786*10</f>
        <v>0</v>
      </c>
      <c r="Q786" s="783">
        <f>Gegenstände!O786</f>
        <v>0</v>
      </c>
      <c r="R786" s="168">
        <f>Gegenstände!S786</f>
        <v>0</v>
      </c>
      <c r="S786" s="168">
        <f>Gegenstände!T786</f>
        <v>0</v>
      </c>
      <c r="T786" s="783">
        <f>Gegenstände!AC786</f>
        <v>0</v>
      </c>
      <c r="U786" s="783">
        <f>Gegenstände!AE786</f>
        <v>0</v>
      </c>
      <c r="V786" s="783">
        <f>Gegenstände!AD786</f>
        <v>0</v>
      </c>
      <c r="W786" s="783">
        <f>Gegenstände!AF786</f>
        <v>0</v>
      </c>
      <c r="AB786" s="3">
        <f>Gegenstände!M786</f>
        <v>0</v>
      </c>
      <c r="AC786" s="3">
        <f>Gegenstände!AB786</f>
        <v>0</v>
      </c>
      <c r="AD786" s="3">
        <f>Gegenstände!F786</f>
        <v>2401</v>
      </c>
    </row>
    <row r="787" spans="1:30" x14ac:dyDescent="0.2">
      <c r="A787" s="3">
        <f>Gegenstände!A787</f>
        <v>3402</v>
      </c>
      <c r="B787" s="3" t="str">
        <f>Gegenstände!B787</f>
        <v>Kristall-Plattenpanzer (Plan)</v>
      </c>
      <c r="D787" s="3">
        <f>Gegenstände!K787</f>
        <v>1000</v>
      </c>
      <c r="E787" s="3">
        <f>Gegenstände!I787</f>
        <v>35</v>
      </c>
      <c r="F787" s="3">
        <f>VLOOKUP(Gegenstände!E787,Berechnungen!$E$87:$F$115,2,FALSE)</f>
        <v>35</v>
      </c>
      <c r="G787" s="3">
        <f>Gegenstände!H787</f>
        <v>2</v>
      </c>
      <c r="H787" s="3">
        <f>Gegenstände!G787</f>
        <v>62</v>
      </c>
      <c r="I787" s="3">
        <f>Gegenstände!D787</f>
        <v>3</v>
      </c>
      <c r="J787" s="168">
        <f>ROUND(Gegenstände!N787,0)</f>
        <v>2800</v>
      </c>
      <c r="K787" s="3">
        <f>Gegenstände!J787</f>
        <v>100</v>
      </c>
      <c r="L787" s="3">
        <f>Gegenstände!L787</f>
        <v>1</v>
      </c>
      <c r="M787" s="3">
        <f>Gegenstände!Z787</f>
        <v>0</v>
      </c>
      <c r="N787" s="783">
        <f>(Gegenstände!Y787*10)</f>
        <v>0</v>
      </c>
      <c r="O787" s="783">
        <f>(Gegenstände!W787*10)</f>
        <v>0</v>
      </c>
      <c r="P787" s="783">
        <f>Gegenstände!AA787*10</f>
        <v>0</v>
      </c>
      <c r="Q787" s="783">
        <f>Gegenstände!O787</f>
        <v>0</v>
      </c>
      <c r="R787" s="168">
        <f>Gegenstände!S787</f>
        <v>0</v>
      </c>
      <c r="S787" s="168">
        <f>Gegenstände!T787</f>
        <v>0</v>
      </c>
      <c r="T787" s="783">
        <f>Gegenstände!AC787</f>
        <v>0</v>
      </c>
      <c r="U787" s="783">
        <f>Gegenstände!AE787</f>
        <v>0</v>
      </c>
      <c r="V787" s="783">
        <f>Gegenstände!AD787</f>
        <v>0</v>
      </c>
      <c r="W787" s="783">
        <f>Gegenstände!AF787</f>
        <v>0</v>
      </c>
      <c r="AB787" s="3">
        <f>Gegenstände!M787</f>
        <v>0</v>
      </c>
      <c r="AC787" s="3">
        <f>Gegenstände!AB787</f>
        <v>0</v>
      </c>
      <c r="AD787" s="3">
        <f>Gegenstände!F787</f>
        <v>2402</v>
      </c>
    </row>
    <row r="788" spans="1:30" x14ac:dyDescent="0.2">
      <c r="A788" s="3">
        <f>Gegenstände!A788</f>
        <v>3403</v>
      </c>
      <c r="B788" s="3" t="str">
        <f>Gegenstände!B788</f>
        <v>Kristall-Plattenhandschuhe (Plan)</v>
      </c>
      <c r="D788" s="3">
        <f>Gegenstände!K788</f>
        <v>1000</v>
      </c>
      <c r="E788" s="3">
        <f>Gegenstände!I788</f>
        <v>35</v>
      </c>
      <c r="F788" s="3">
        <f>VLOOKUP(Gegenstände!E788,Berechnungen!$E$87:$F$115,2,FALSE)</f>
        <v>35</v>
      </c>
      <c r="G788" s="3">
        <f>Gegenstände!H788</f>
        <v>2</v>
      </c>
      <c r="H788" s="3">
        <f>Gegenstände!G788</f>
        <v>62</v>
      </c>
      <c r="I788" s="3">
        <f>Gegenstände!D788</f>
        <v>4</v>
      </c>
      <c r="J788" s="168">
        <f>ROUND(Gegenstände!N788,0)</f>
        <v>1800</v>
      </c>
      <c r="K788" s="3">
        <f>Gegenstände!J788</f>
        <v>100</v>
      </c>
      <c r="L788" s="3">
        <f>Gegenstände!L788</f>
        <v>1</v>
      </c>
      <c r="M788" s="3">
        <f>Gegenstände!Z788</f>
        <v>0</v>
      </c>
      <c r="N788" s="783">
        <f>(Gegenstände!Y788*10)</f>
        <v>0</v>
      </c>
      <c r="O788" s="783">
        <f>(Gegenstände!W788*10)</f>
        <v>0</v>
      </c>
      <c r="P788" s="783">
        <f>Gegenstände!AA788*10</f>
        <v>0</v>
      </c>
      <c r="Q788" s="783">
        <f>Gegenstände!O788</f>
        <v>0</v>
      </c>
      <c r="R788" s="168">
        <f>Gegenstände!S788</f>
        <v>0</v>
      </c>
      <c r="S788" s="168">
        <f>Gegenstände!T788</f>
        <v>0</v>
      </c>
      <c r="T788" s="783">
        <f>Gegenstände!AC788</f>
        <v>0</v>
      </c>
      <c r="U788" s="783">
        <f>Gegenstände!AE788</f>
        <v>0</v>
      </c>
      <c r="V788" s="783">
        <f>Gegenstände!AD788</f>
        <v>0</v>
      </c>
      <c r="W788" s="783">
        <f>Gegenstände!AF788</f>
        <v>0</v>
      </c>
      <c r="AB788" s="3">
        <f>Gegenstände!M788</f>
        <v>0</v>
      </c>
      <c r="AC788" s="3">
        <f>Gegenstände!AB788</f>
        <v>0</v>
      </c>
      <c r="AD788" s="3">
        <f>Gegenstände!F788</f>
        <v>2403</v>
      </c>
    </row>
    <row r="789" spans="1:30" x14ac:dyDescent="0.2">
      <c r="A789" s="3">
        <f>Gegenstände!A789</f>
        <v>3404</v>
      </c>
      <c r="B789" s="3" t="str">
        <f>Gegenstände!B789</f>
        <v>Kristall-Plattenbeinlinge (Plan)</v>
      </c>
      <c r="D789" s="3">
        <f>Gegenstände!K789</f>
        <v>1000</v>
      </c>
      <c r="E789" s="3">
        <f>Gegenstände!I789</f>
        <v>35</v>
      </c>
      <c r="F789" s="3">
        <f>VLOOKUP(Gegenstände!E789,Berechnungen!$E$87:$F$115,2,FALSE)</f>
        <v>35</v>
      </c>
      <c r="G789" s="3">
        <f>Gegenstände!H789</f>
        <v>2</v>
      </c>
      <c r="H789" s="3">
        <f>Gegenstände!G789</f>
        <v>62</v>
      </c>
      <c r="I789" s="3">
        <f>Gegenstände!D789</f>
        <v>4</v>
      </c>
      <c r="J789" s="168">
        <f>ROUND(Gegenstände!N789,0)</f>
        <v>2200</v>
      </c>
      <c r="K789" s="3">
        <f>Gegenstände!J789</f>
        <v>100</v>
      </c>
      <c r="L789" s="3">
        <f>Gegenstände!L789</f>
        <v>1</v>
      </c>
      <c r="M789" s="3">
        <f>Gegenstände!Z789</f>
        <v>0</v>
      </c>
      <c r="N789" s="783">
        <f>(Gegenstände!Y789*10)</f>
        <v>0</v>
      </c>
      <c r="O789" s="783">
        <f>(Gegenstände!W789*10)</f>
        <v>0</v>
      </c>
      <c r="P789" s="783">
        <f>Gegenstände!AA789*10</f>
        <v>0</v>
      </c>
      <c r="Q789" s="783">
        <f>Gegenstände!O789</f>
        <v>0</v>
      </c>
      <c r="R789" s="168">
        <f>Gegenstände!S789</f>
        <v>0</v>
      </c>
      <c r="S789" s="168">
        <f>Gegenstände!T789</f>
        <v>0</v>
      </c>
      <c r="T789" s="783">
        <f>Gegenstände!AC789</f>
        <v>0</v>
      </c>
      <c r="U789" s="783">
        <f>Gegenstände!AE789</f>
        <v>0</v>
      </c>
      <c r="V789" s="783">
        <f>Gegenstände!AD789</f>
        <v>0</v>
      </c>
      <c r="W789" s="783">
        <f>Gegenstände!AF789</f>
        <v>0</v>
      </c>
      <c r="AB789" s="3">
        <f>Gegenstände!M789</f>
        <v>0</v>
      </c>
      <c r="AC789" s="3">
        <f>Gegenstände!AB789</f>
        <v>0</v>
      </c>
      <c r="AD789" s="3">
        <f>Gegenstände!F789</f>
        <v>2404</v>
      </c>
    </row>
    <row r="790" spans="1:30" x14ac:dyDescent="0.2">
      <c r="A790" s="3">
        <f>Gegenstände!A790</f>
        <v>3405</v>
      </c>
      <c r="B790" s="3" t="str">
        <f>Gegenstände!B790</f>
        <v>Kristall-Plattenstiefel (Plan)</v>
      </c>
      <c r="D790" s="3">
        <f>Gegenstände!K790</f>
        <v>1000</v>
      </c>
      <c r="E790" s="3">
        <f>Gegenstände!I790</f>
        <v>35</v>
      </c>
      <c r="F790" s="3">
        <f>VLOOKUP(Gegenstände!E790,Berechnungen!$E$87:$F$115,2,FALSE)</f>
        <v>35</v>
      </c>
      <c r="G790" s="3">
        <f>Gegenstände!H790</f>
        <v>2</v>
      </c>
      <c r="H790" s="3">
        <f>Gegenstände!G790</f>
        <v>62</v>
      </c>
      <c r="I790" s="3">
        <f>Gegenstände!D790</f>
        <v>4</v>
      </c>
      <c r="J790" s="168">
        <f>ROUND(Gegenstände!N790,0)</f>
        <v>1800</v>
      </c>
      <c r="K790" s="3">
        <f>Gegenstände!J790</f>
        <v>100</v>
      </c>
      <c r="L790" s="3">
        <f>Gegenstände!L790</f>
        <v>1</v>
      </c>
      <c r="M790" s="3">
        <f>Gegenstände!Z790</f>
        <v>0</v>
      </c>
      <c r="N790" s="783">
        <f>(Gegenstände!Y790*10)</f>
        <v>0</v>
      </c>
      <c r="O790" s="783">
        <f>(Gegenstände!W790*10)</f>
        <v>0</v>
      </c>
      <c r="P790" s="783">
        <f>Gegenstände!AA790*10</f>
        <v>0</v>
      </c>
      <c r="Q790" s="783">
        <f>Gegenstände!O790</f>
        <v>0</v>
      </c>
      <c r="R790" s="168">
        <f>Gegenstände!S790</f>
        <v>0</v>
      </c>
      <c r="S790" s="168">
        <f>Gegenstände!T790</f>
        <v>0</v>
      </c>
      <c r="T790" s="783">
        <f>Gegenstände!AC790</f>
        <v>0</v>
      </c>
      <c r="U790" s="783">
        <f>Gegenstände!AE790</f>
        <v>0</v>
      </c>
      <c r="V790" s="783">
        <f>Gegenstände!AD790</f>
        <v>0</v>
      </c>
      <c r="W790" s="783">
        <f>Gegenstände!AF790</f>
        <v>0</v>
      </c>
      <c r="AB790" s="3">
        <f>Gegenstände!M790</f>
        <v>0</v>
      </c>
      <c r="AC790" s="3">
        <f>Gegenstände!AB790</f>
        <v>0</v>
      </c>
      <c r="AD790" s="3">
        <f>Gegenstände!F790</f>
        <v>2405</v>
      </c>
    </row>
    <row r="791" spans="1:30" x14ac:dyDescent="0.2">
      <c r="A791" s="3">
        <f>Gegenstände!A791</f>
        <v>3411</v>
      </c>
      <c r="B791" s="3" t="str">
        <f>Gegenstände!B791</f>
        <v>Quarz-Plattenhelm (Plan)</v>
      </c>
      <c r="D791" s="3">
        <f>Gegenstände!K791</f>
        <v>1000</v>
      </c>
      <c r="E791" s="3">
        <f>Gegenstände!I791</f>
        <v>35</v>
      </c>
      <c r="F791" s="3">
        <f>VLOOKUP(Gegenstände!E791,Berechnungen!$E$87:$F$115,2,FALSE)</f>
        <v>35</v>
      </c>
      <c r="G791" s="3">
        <f>Gegenstände!H791</f>
        <v>2</v>
      </c>
      <c r="H791" s="3">
        <f>Gegenstände!G791</f>
        <v>62</v>
      </c>
      <c r="I791" s="3">
        <f>Gegenstände!D791</f>
        <v>8</v>
      </c>
      <c r="J791" s="168">
        <f>ROUND(Gegenstände!N791,0)</f>
        <v>4100</v>
      </c>
      <c r="K791" s="3">
        <f>Gegenstände!J791</f>
        <v>100</v>
      </c>
      <c r="L791" s="3">
        <f>Gegenstände!L791</f>
        <v>1</v>
      </c>
      <c r="M791" s="3">
        <f>Gegenstände!Z791</f>
        <v>0</v>
      </c>
      <c r="N791" s="783">
        <f>(Gegenstände!Y791*10)</f>
        <v>0</v>
      </c>
      <c r="O791" s="783">
        <f>(Gegenstände!W791*10)</f>
        <v>0</v>
      </c>
      <c r="P791" s="783">
        <f>Gegenstände!AA791*10</f>
        <v>0</v>
      </c>
      <c r="Q791" s="783">
        <f>Gegenstände!O791</f>
        <v>0</v>
      </c>
      <c r="R791" s="168">
        <f>Gegenstände!S791</f>
        <v>0</v>
      </c>
      <c r="S791" s="168">
        <f>Gegenstände!T791</f>
        <v>0</v>
      </c>
      <c r="T791" s="783">
        <f>Gegenstände!AC791</f>
        <v>0</v>
      </c>
      <c r="U791" s="783">
        <f>Gegenstände!AE791</f>
        <v>0</v>
      </c>
      <c r="V791" s="783">
        <f>Gegenstände!AD791</f>
        <v>0</v>
      </c>
      <c r="W791" s="783">
        <f>Gegenstände!AF791</f>
        <v>0</v>
      </c>
      <c r="AB791" s="3">
        <f>Gegenstände!M791</f>
        <v>0</v>
      </c>
      <c r="AC791" s="3">
        <f>Gegenstände!AB791</f>
        <v>0</v>
      </c>
      <c r="AD791" s="3">
        <f>Gegenstände!F791</f>
        <v>2411</v>
      </c>
    </row>
    <row r="792" spans="1:30" x14ac:dyDescent="0.2">
      <c r="A792" s="3">
        <f>Gegenstände!A792</f>
        <v>3412</v>
      </c>
      <c r="B792" s="3" t="str">
        <f>Gegenstände!B792</f>
        <v>Quarz-Plattenpanzer (Plan)</v>
      </c>
      <c r="D792" s="3">
        <f>Gegenstände!K792</f>
        <v>1000</v>
      </c>
      <c r="E792" s="3">
        <f>Gegenstände!I792</f>
        <v>35</v>
      </c>
      <c r="F792" s="3">
        <f>VLOOKUP(Gegenstände!E792,Berechnungen!$E$87:$F$115,2,FALSE)</f>
        <v>35</v>
      </c>
      <c r="G792" s="3">
        <f>Gegenstände!H792</f>
        <v>2</v>
      </c>
      <c r="H792" s="3">
        <f>Gegenstände!G792</f>
        <v>62</v>
      </c>
      <c r="I792" s="3">
        <f>Gegenstände!D792</f>
        <v>8</v>
      </c>
      <c r="J792" s="168">
        <f>ROUND(Gegenstände!N792,0)</f>
        <v>5600</v>
      </c>
      <c r="K792" s="3">
        <f>Gegenstände!J792</f>
        <v>100</v>
      </c>
      <c r="L792" s="3">
        <f>Gegenstände!L792</f>
        <v>1</v>
      </c>
      <c r="M792" s="3">
        <f>Gegenstände!Z792</f>
        <v>0</v>
      </c>
      <c r="N792" s="783">
        <f>(Gegenstände!Y792*10)</f>
        <v>0</v>
      </c>
      <c r="O792" s="783">
        <f>(Gegenstände!W792*10)</f>
        <v>0</v>
      </c>
      <c r="P792" s="783">
        <f>Gegenstände!AA792*10</f>
        <v>0</v>
      </c>
      <c r="Q792" s="783">
        <f>Gegenstände!O792</f>
        <v>0</v>
      </c>
      <c r="R792" s="168">
        <f>Gegenstände!S792</f>
        <v>0</v>
      </c>
      <c r="S792" s="168">
        <f>Gegenstände!T792</f>
        <v>0</v>
      </c>
      <c r="T792" s="783">
        <f>Gegenstände!AC792</f>
        <v>0</v>
      </c>
      <c r="U792" s="783">
        <f>Gegenstände!AE792</f>
        <v>0</v>
      </c>
      <c r="V792" s="783">
        <f>Gegenstände!AD792</f>
        <v>0</v>
      </c>
      <c r="W792" s="783">
        <f>Gegenstände!AF792</f>
        <v>0</v>
      </c>
      <c r="AB792" s="3">
        <f>Gegenstände!M792</f>
        <v>0</v>
      </c>
      <c r="AC792" s="3">
        <f>Gegenstände!AB792</f>
        <v>0</v>
      </c>
      <c r="AD792" s="3">
        <f>Gegenstände!F792</f>
        <v>2412</v>
      </c>
    </row>
    <row r="793" spans="1:30" x14ac:dyDescent="0.2">
      <c r="A793" s="3">
        <f>Gegenstände!A793</f>
        <v>3413</v>
      </c>
      <c r="B793" s="3" t="str">
        <f>Gegenstände!B793</f>
        <v>Quarz-Plattenhandschuhe (Plan)</v>
      </c>
      <c r="D793" s="3">
        <f>Gegenstände!K793</f>
        <v>1000</v>
      </c>
      <c r="E793" s="3">
        <f>Gegenstände!I793</f>
        <v>35</v>
      </c>
      <c r="F793" s="3">
        <f>VLOOKUP(Gegenstände!E793,Berechnungen!$E$87:$F$115,2,FALSE)</f>
        <v>35</v>
      </c>
      <c r="G793" s="3">
        <f>Gegenstände!H793</f>
        <v>2</v>
      </c>
      <c r="H793" s="3">
        <f>Gegenstände!G793</f>
        <v>62</v>
      </c>
      <c r="I793" s="3">
        <f>Gegenstände!D793</f>
        <v>9</v>
      </c>
      <c r="J793" s="168">
        <f>ROUND(Gegenstände!N793,0)</f>
        <v>3600</v>
      </c>
      <c r="K793" s="3">
        <f>Gegenstände!J793</f>
        <v>100</v>
      </c>
      <c r="L793" s="3">
        <f>Gegenstände!L793</f>
        <v>1</v>
      </c>
      <c r="M793" s="3">
        <f>Gegenstände!Z793</f>
        <v>0</v>
      </c>
      <c r="N793" s="783">
        <f>(Gegenstände!Y793*10)</f>
        <v>0</v>
      </c>
      <c r="O793" s="783">
        <f>(Gegenstände!W793*10)</f>
        <v>0</v>
      </c>
      <c r="P793" s="783">
        <f>Gegenstände!AA793*10</f>
        <v>0</v>
      </c>
      <c r="Q793" s="783">
        <f>Gegenstände!O793</f>
        <v>0</v>
      </c>
      <c r="R793" s="168">
        <f>Gegenstände!S793</f>
        <v>0</v>
      </c>
      <c r="S793" s="168">
        <f>Gegenstände!T793</f>
        <v>0</v>
      </c>
      <c r="T793" s="783">
        <f>Gegenstände!AC793</f>
        <v>0</v>
      </c>
      <c r="U793" s="783">
        <f>Gegenstände!AE793</f>
        <v>0</v>
      </c>
      <c r="V793" s="783">
        <f>Gegenstände!AD793</f>
        <v>0</v>
      </c>
      <c r="W793" s="783">
        <f>Gegenstände!AF793</f>
        <v>0</v>
      </c>
      <c r="AB793" s="3">
        <f>Gegenstände!M793</f>
        <v>0</v>
      </c>
      <c r="AC793" s="3">
        <f>Gegenstände!AB793</f>
        <v>0</v>
      </c>
      <c r="AD793" s="3">
        <f>Gegenstände!F793</f>
        <v>2413</v>
      </c>
    </row>
    <row r="794" spans="1:30" x14ac:dyDescent="0.2">
      <c r="A794" s="3">
        <f>Gegenstände!A794</f>
        <v>3414</v>
      </c>
      <c r="B794" s="3" t="str">
        <f>Gegenstände!B794</f>
        <v>Quarz-Plattenbeinlinge (Plan)</v>
      </c>
      <c r="D794" s="3">
        <f>Gegenstände!K794</f>
        <v>1000</v>
      </c>
      <c r="E794" s="3">
        <f>Gegenstände!I794</f>
        <v>35</v>
      </c>
      <c r="F794" s="3">
        <f>VLOOKUP(Gegenstände!E794,Berechnungen!$E$87:$F$115,2,FALSE)</f>
        <v>35</v>
      </c>
      <c r="G794" s="3">
        <f>Gegenstände!H794</f>
        <v>2</v>
      </c>
      <c r="H794" s="3">
        <f>Gegenstände!G794</f>
        <v>62</v>
      </c>
      <c r="I794" s="3">
        <f>Gegenstände!D794</f>
        <v>9</v>
      </c>
      <c r="J794" s="168">
        <f>ROUND(Gegenstände!N794,0)</f>
        <v>4500</v>
      </c>
      <c r="K794" s="3">
        <f>Gegenstände!J794</f>
        <v>100</v>
      </c>
      <c r="L794" s="3">
        <f>Gegenstände!L794</f>
        <v>1</v>
      </c>
      <c r="M794" s="3">
        <f>Gegenstände!Z794</f>
        <v>0</v>
      </c>
      <c r="N794" s="783">
        <f>(Gegenstände!Y794*10)</f>
        <v>0</v>
      </c>
      <c r="O794" s="783">
        <f>(Gegenstände!W794*10)</f>
        <v>0</v>
      </c>
      <c r="P794" s="783">
        <f>Gegenstände!AA794*10</f>
        <v>0</v>
      </c>
      <c r="Q794" s="783">
        <f>Gegenstände!O794</f>
        <v>0</v>
      </c>
      <c r="R794" s="168">
        <f>Gegenstände!S794</f>
        <v>0</v>
      </c>
      <c r="S794" s="168">
        <f>Gegenstände!T794</f>
        <v>0</v>
      </c>
      <c r="T794" s="783">
        <f>Gegenstände!AC794</f>
        <v>0</v>
      </c>
      <c r="U794" s="783">
        <f>Gegenstände!AE794</f>
        <v>0</v>
      </c>
      <c r="V794" s="783">
        <f>Gegenstände!AD794</f>
        <v>0</v>
      </c>
      <c r="W794" s="783">
        <f>Gegenstände!AF794</f>
        <v>0</v>
      </c>
      <c r="AB794" s="3">
        <f>Gegenstände!M794</f>
        <v>0</v>
      </c>
      <c r="AC794" s="3">
        <f>Gegenstände!AB794</f>
        <v>0</v>
      </c>
      <c r="AD794" s="3">
        <f>Gegenstände!F794</f>
        <v>2414</v>
      </c>
    </row>
    <row r="795" spans="1:30" x14ac:dyDescent="0.2">
      <c r="A795" s="3">
        <f>Gegenstände!A795</f>
        <v>3415</v>
      </c>
      <c r="B795" s="3" t="str">
        <f>Gegenstände!B795</f>
        <v>Quarz-Plattenstiefel (Plan)</v>
      </c>
      <c r="D795" s="3">
        <f>Gegenstände!K795</f>
        <v>1000</v>
      </c>
      <c r="E795" s="3">
        <f>Gegenstände!I795</f>
        <v>35</v>
      </c>
      <c r="F795" s="3">
        <f>VLOOKUP(Gegenstände!E795,Berechnungen!$E$87:$F$115,2,FALSE)</f>
        <v>35</v>
      </c>
      <c r="G795" s="3">
        <f>Gegenstände!H795</f>
        <v>2</v>
      </c>
      <c r="H795" s="3">
        <f>Gegenstände!G795</f>
        <v>62</v>
      </c>
      <c r="I795" s="3">
        <f>Gegenstände!D795</f>
        <v>9</v>
      </c>
      <c r="J795" s="168">
        <f>ROUND(Gegenstände!N795,0)</f>
        <v>3600</v>
      </c>
      <c r="K795" s="3">
        <f>Gegenstände!J795</f>
        <v>100</v>
      </c>
      <c r="L795" s="3">
        <f>Gegenstände!L795</f>
        <v>1</v>
      </c>
      <c r="M795" s="3">
        <f>Gegenstände!Z795</f>
        <v>0</v>
      </c>
      <c r="N795" s="783">
        <f>(Gegenstände!Y795*10)</f>
        <v>0</v>
      </c>
      <c r="O795" s="783">
        <f>(Gegenstände!W795*10)</f>
        <v>0</v>
      </c>
      <c r="P795" s="783">
        <f>Gegenstände!AA795*10</f>
        <v>0</v>
      </c>
      <c r="Q795" s="783">
        <f>Gegenstände!O795</f>
        <v>0</v>
      </c>
      <c r="R795" s="168">
        <f>Gegenstände!S795</f>
        <v>0</v>
      </c>
      <c r="S795" s="168">
        <f>Gegenstände!T795</f>
        <v>0</v>
      </c>
      <c r="T795" s="783">
        <f>Gegenstände!AC795</f>
        <v>0</v>
      </c>
      <c r="U795" s="783">
        <f>Gegenstände!AE795</f>
        <v>0</v>
      </c>
      <c r="V795" s="783">
        <f>Gegenstände!AD795</f>
        <v>0</v>
      </c>
      <c r="W795" s="783">
        <f>Gegenstände!AF795</f>
        <v>0</v>
      </c>
      <c r="AB795" s="3">
        <f>Gegenstände!M795</f>
        <v>0</v>
      </c>
      <c r="AC795" s="3">
        <f>Gegenstände!AB795</f>
        <v>0</v>
      </c>
      <c r="AD795" s="3">
        <f>Gegenstände!F795</f>
        <v>2415</v>
      </c>
    </row>
    <row r="796" spans="1:30" x14ac:dyDescent="0.2">
      <c r="A796" s="3">
        <f>Gegenstände!A796</f>
        <v>3421</v>
      </c>
      <c r="B796" s="3" t="str">
        <f>Gegenstände!B796</f>
        <v>Smaragd-Plattenhelm (Plan)</v>
      </c>
      <c r="D796" s="3">
        <f>Gegenstände!K796</f>
        <v>1000</v>
      </c>
      <c r="E796" s="3">
        <f>Gegenstände!I796</f>
        <v>35</v>
      </c>
      <c r="F796" s="3">
        <f>VLOOKUP(Gegenstände!E796,Berechnungen!$E$87:$F$115,2,FALSE)</f>
        <v>35</v>
      </c>
      <c r="G796" s="3">
        <f>Gegenstände!H796</f>
        <v>2</v>
      </c>
      <c r="H796" s="3">
        <f>Gegenstände!G796</f>
        <v>62</v>
      </c>
      <c r="I796" s="3">
        <f>Gegenstände!D796</f>
        <v>13</v>
      </c>
      <c r="J796" s="168">
        <f>ROUND(Gegenstände!N796,0)</f>
        <v>8200</v>
      </c>
      <c r="K796" s="3">
        <f>Gegenstände!J796</f>
        <v>100</v>
      </c>
      <c r="L796" s="3">
        <f>Gegenstände!L796</f>
        <v>1</v>
      </c>
      <c r="M796" s="3">
        <f>Gegenstände!Z796</f>
        <v>0</v>
      </c>
      <c r="N796" s="783">
        <f>(Gegenstände!Y796*10)</f>
        <v>0</v>
      </c>
      <c r="O796" s="783">
        <f>(Gegenstände!W796*10)</f>
        <v>0</v>
      </c>
      <c r="P796" s="783">
        <f>Gegenstände!AA796*10</f>
        <v>0</v>
      </c>
      <c r="Q796" s="783">
        <f>Gegenstände!O796</f>
        <v>0</v>
      </c>
      <c r="R796" s="168">
        <f>Gegenstände!S796</f>
        <v>0</v>
      </c>
      <c r="S796" s="168">
        <f>Gegenstände!T796</f>
        <v>0</v>
      </c>
      <c r="T796" s="783">
        <f>Gegenstände!AC796</f>
        <v>0</v>
      </c>
      <c r="U796" s="783">
        <f>Gegenstände!AE796</f>
        <v>0</v>
      </c>
      <c r="V796" s="783">
        <f>Gegenstände!AD796</f>
        <v>0</v>
      </c>
      <c r="W796" s="783">
        <f>Gegenstände!AF796</f>
        <v>0</v>
      </c>
      <c r="AB796" s="3">
        <f>Gegenstände!M796</f>
        <v>0</v>
      </c>
      <c r="AC796" s="3">
        <f>Gegenstände!AB796</f>
        <v>0</v>
      </c>
      <c r="AD796" s="3">
        <f>Gegenstände!F796</f>
        <v>2421</v>
      </c>
    </row>
    <row r="797" spans="1:30" x14ac:dyDescent="0.2">
      <c r="A797" s="3">
        <f>Gegenstände!A797</f>
        <v>3422</v>
      </c>
      <c r="B797" s="3" t="str">
        <f>Gegenstände!B797</f>
        <v>Smaragd-Plattenpanzer (Plan)</v>
      </c>
      <c r="D797" s="3">
        <f>Gegenstände!K797</f>
        <v>1000</v>
      </c>
      <c r="E797" s="3">
        <f>Gegenstände!I797</f>
        <v>35</v>
      </c>
      <c r="F797" s="3">
        <f>VLOOKUP(Gegenstände!E797,Berechnungen!$E$87:$F$115,2,FALSE)</f>
        <v>35</v>
      </c>
      <c r="G797" s="3">
        <f>Gegenstände!H797</f>
        <v>2</v>
      </c>
      <c r="H797" s="3">
        <f>Gegenstände!G797</f>
        <v>62</v>
      </c>
      <c r="I797" s="3">
        <f>Gegenstände!D797</f>
        <v>13</v>
      </c>
      <c r="J797" s="168">
        <f>ROUND(Gegenstände!N797,0)</f>
        <v>11200</v>
      </c>
      <c r="K797" s="3">
        <f>Gegenstände!J797</f>
        <v>100</v>
      </c>
      <c r="L797" s="3">
        <f>Gegenstände!L797</f>
        <v>1</v>
      </c>
      <c r="M797" s="3">
        <f>Gegenstände!Z797</f>
        <v>0</v>
      </c>
      <c r="N797" s="783">
        <f>(Gegenstände!Y797*10)</f>
        <v>0</v>
      </c>
      <c r="O797" s="783">
        <f>(Gegenstände!W797*10)</f>
        <v>0</v>
      </c>
      <c r="P797" s="783">
        <f>Gegenstände!AA797*10</f>
        <v>0</v>
      </c>
      <c r="Q797" s="783">
        <f>Gegenstände!O797</f>
        <v>0</v>
      </c>
      <c r="R797" s="168">
        <f>Gegenstände!S797</f>
        <v>0</v>
      </c>
      <c r="S797" s="168">
        <f>Gegenstände!T797</f>
        <v>0</v>
      </c>
      <c r="T797" s="783">
        <f>Gegenstände!AC797</f>
        <v>0</v>
      </c>
      <c r="U797" s="783">
        <f>Gegenstände!AE797</f>
        <v>0</v>
      </c>
      <c r="V797" s="783">
        <f>Gegenstände!AD797</f>
        <v>0</v>
      </c>
      <c r="W797" s="783">
        <f>Gegenstände!AF797</f>
        <v>0</v>
      </c>
      <c r="AB797" s="3">
        <f>Gegenstände!M797</f>
        <v>0</v>
      </c>
      <c r="AC797" s="3">
        <f>Gegenstände!AB797</f>
        <v>0</v>
      </c>
      <c r="AD797" s="3">
        <f>Gegenstände!F797</f>
        <v>2422</v>
      </c>
    </row>
    <row r="798" spans="1:30" x14ac:dyDescent="0.2">
      <c r="A798" s="3">
        <f>Gegenstände!A798</f>
        <v>3423</v>
      </c>
      <c r="B798" s="3" t="str">
        <f>Gegenstände!B798</f>
        <v>Smaragd-Plattenhandschuhe (Plan)</v>
      </c>
      <c r="D798" s="3">
        <f>Gegenstände!K798</f>
        <v>1000</v>
      </c>
      <c r="E798" s="3">
        <f>Gegenstände!I798</f>
        <v>35</v>
      </c>
      <c r="F798" s="3">
        <f>VLOOKUP(Gegenstände!E798,Berechnungen!$E$87:$F$115,2,FALSE)</f>
        <v>35</v>
      </c>
      <c r="G798" s="3">
        <f>Gegenstände!H798</f>
        <v>2</v>
      </c>
      <c r="H798" s="3">
        <f>Gegenstände!G798</f>
        <v>62</v>
      </c>
      <c r="I798" s="3">
        <f>Gegenstände!D798</f>
        <v>14</v>
      </c>
      <c r="J798" s="168">
        <f>ROUND(Gegenstände!N798,0)</f>
        <v>7300</v>
      </c>
      <c r="K798" s="3">
        <f>Gegenstände!J798</f>
        <v>100</v>
      </c>
      <c r="L798" s="3">
        <f>Gegenstände!L798</f>
        <v>1</v>
      </c>
      <c r="M798" s="3">
        <f>Gegenstände!Z798</f>
        <v>0</v>
      </c>
      <c r="N798" s="783">
        <f>(Gegenstände!Y798*10)</f>
        <v>0</v>
      </c>
      <c r="O798" s="783">
        <f>(Gegenstände!W798*10)</f>
        <v>0</v>
      </c>
      <c r="P798" s="783">
        <f>Gegenstände!AA798*10</f>
        <v>0</v>
      </c>
      <c r="Q798" s="783">
        <f>Gegenstände!O798</f>
        <v>0</v>
      </c>
      <c r="R798" s="168">
        <f>Gegenstände!S798</f>
        <v>0</v>
      </c>
      <c r="S798" s="168">
        <f>Gegenstände!T798</f>
        <v>0</v>
      </c>
      <c r="T798" s="783">
        <f>Gegenstände!AC798</f>
        <v>0</v>
      </c>
      <c r="U798" s="783">
        <f>Gegenstände!AE798</f>
        <v>0</v>
      </c>
      <c r="V798" s="783">
        <f>Gegenstände!AD798</f>
        <v>0</v>
      </c>
      <c r="W798" s="783">
        <f>Gegenstände!AF798</f>
        <v>0</v>
      </c>
      <c r="AB798" s="3">
        <f>Gegenstände!M798</f>
        <v>0</v>
      </c>
      <c r="AC798" s="3">
        <f>Gegenstände!AB798</f>
        <v>0</v>
      </c>
      <c r="AD798" s="3">
        <f>Gegenstände!F798</f>
        <v>2423</v>
      </c>
    </row>
    <row r="799" spans="1:30" x14ac:dyDescent="0.2">
      <c r="A799" s="3">
        <f>Gegenstände!A799</f>
        <v>3424</v>
      </c>
      <c r="B799" s="3" t="str">
        <f>Gegenstände!B799</f>
        <v>Smaragd-Plattenbeinlinge (Plan)</v>
      </c>
      <c r="D799" s="3">
        <f>Gegenstände!K799</f>
        <v>1000</v>
      </c>
      <c r="E799" s="3">
        <f>Gegenstände!I799</f>
        <v>35</v>
      </c>
      <c r="F799" s="3">
        <f>VLOOKUP(Gegenstände!E799,Berechnungen!$E$87:$F$115,2,FALSE)</f>
        <v>35</v>
      </c>
      <c r="G799" s="3">
        <f>Gegenstände!H799</f>
        <v>2</v>
      </c>
      <c r="H799" s="3">
        <f>Gegenstände!G799</f>
        <v>62</v>
      </c>
      <c r="I799" s="3">
        <f>Gegenstände!D799</f>
        <v>14</v>
      </c>
      <c r="J799" s="168">
        <f>ROUND(Gegenstände!N799,0)</f>
        <v>9100</v>
      </c>
      <c r="K799" s="3">
        <f>Gegenstände!J799</f>
        <v>100</v>
      </c>
      <c r="L799" s="3">
        <f>Gegenstände!L799</f>
        <v>1</v>
      </c>
      <c r="M799" s="3">
        <f>Gegenstände!Z799</f>
        <v>0</v>
      </c>
      <c r="N799" s="783">
        <f>(Gegenstände!Y799*10)</f>
        <v>0</v>
      </c>
      <c r="O799" s="783">
        <f>(Gegenstände!W799*10)</f>
        <v>0</v>
      </c>
      <c r="P799" s="783">
        <f>Gegenstände!AA799*10</f>
        <v>0</v>
      </c>
      <c r="Q799" s="783">
        <f>Gegenstände!O799</f>
        <v>0</v>
      </c>
      <c r="R799" s="168">
        <f>Gegenstände!S799</f>
        <v>0</v>
      </c>
      <c r="S799" s="168">
        <f>Gegenstände!T799</f>
        <v>0</v>
      </c>
      <c r="T799" s="783">
        <f>Gegenstände!AC799</f>
        <v>0</v>
      </c>
      <c r="U799" s="783">
        <f>Gegenstände!AE799</f>
        <v>0</v>
      </c>
      <c r="V799" s="783">
        <f>Gegenstände!AD799</f>
        <v>0</v>
      </c>
      <c r="W799" s="783">
        <f>Gegenstände!AF799</f>
        <v>0</v>
      </c>
      <c r="AB799" s="3">
        <f>Gegenstände!M799</f>
        <v>0</v>
      </c>
      <c r="AC799" s="3">
        <f>Gegenstände!AB799</f>
        <v>0</v>
      </c>
      <c r="AD799" s="3">
        <f>Gegenstände!F799</f>
        <v>2424</v>
      </c>
    </row>
    <row r="800" spans="1:30" x14ac:dyDescent="0.2">
      <c r="A800" s="3">
        <f>Gegenstände!A800</f>
        <v>3425</v>
      </c>
      <c r="B800" s="3" t="str">
        <f>Gegenstände!B800</f>
        <v>Smaragd-Plattenstiefel (Plan)</v>
      </c>
      <c r="D800" s="3">
        <f>Gegenstände!K800</f>
        <v>1000</v>
      </c>
      <c r="E800" s="3">
        <f>Gegenstände!I800</f>
        <v>35</v>
      </c>
      <c r="F800" s="3">
        <f>VLOOKUP(Gegenstände!E800,Berechnungen!$E$87:$F$115,2,FALSE)</f>
        <v>35</v>
      </c>
      <c r="G800" s="3">
        <f>Gegenstände!H800</f>
        <v>2</v>
      </c>
      <c r="H800" s="3">
        <f>Gegenstände!G800</f>
        <v>62</v>
      </c>
      <c r="I800" s="3">
        <f>Gegenstände!D800</f>
        <v>14</v>
      </c>
      <c r="J800" s="168">
        <f>ROUND(Gegenstände!N800,0)</f>
        <v>7300</v>
      </c>
      <c r="K800" s="3">
        <f>Gegenstände!J800</f>
        <v>100</v>
      </c>
      <c r="L800" s="3">
        <f>Gegenstände!L800</f>
        <v>1</v>
      </c>
      <c r="M800" s="3">
        <f>Gegenstände!Z800</f>
        <v>0</v>
      </c>
      <c r="N800" s="783">
        <f>(Gegenstände!Y800*10)</f>
        <v>0</v>
      </c>
      <c r="O800" s="783">
        <f>(Gegenstände!W800*10)</f>
        <v>0</v>
      </c>
      <c r="P800" s="783">
        <f>Gegenstände!AA800*10</f>
        <v>0</v>
      </c>
      <c r="Q800" s="783">
        <f>Gegenstände!O800</f>
        <v>0</v>
      </c>
      <c r="R800" s="168">
        <f>Gegenstände!S800</f>
        <v>0</v>
      </c>
      <c r="S800" s="168">
        <f>Gegenstände!T800</f>
        <v>0</v>
      </c>
      <c r="T800" s="783">
        <f>Gegenstände!AC800</f>
        <v>0</v>
      </c>
      <c r="U800" s="783">
        <f>Gegenstände!AE800</f>
        <v>0</v>
      </c>
      <c r="V800" s="783">
        <f>Gegenstände!AD800</f>
        <v>0</v>
      </c>
      <c r="W800" s="783">
        <f>Gegenstände!AF800</f>
        <v>0</v>
      </c>
      <c r="AB800" s="3">
        <f>Gegenstände!M800</f>
        <v>0</v>
      </c>
      <c r="AC800" s="3">
        <f>Gegenstände!AB800</f>
        <v>0</v>
      </c>
      <c r="AD800" s="3">
        <f>Gegenstände!F800</f>
        <v>2425</v>
      </c>
    </row>
    <row r="801" spans="1:30" x14ac:dyDescent="0.2">
      <c r="A801" s="3">
        <f>Gegenstände!A801</f>
        <v>3431</v>
      </c>
      <c r="B801" s="3" t="str">
        <f>Gegenstände!B801</f>
        <v>Rubin-Plattenhelm (Plan)</v>
      </c>
      <c r="D801" s="3">
        <f>Gegenstände!K801</f>
        <v>1000</v>
      </c>
      <c r="E801" s="3">
        <f>Gegenstände!I801</f>
        <v>35</v>
      </c>
      <c r="F801" s="3">
        <f>VLOOKUP(Gegenstände!E801,Berechnungen!$E$87:$F$115,2,FALSE)</f>
        <v>35</v>
      </c>
      <c r="G801" s="3">
        <f>Gegenstände!H801</f>
        <v>2</v>
      </c>
      <c r="H801" s="3">
        <f>Gegenstände!G801</f>
        <v>62</v>
      </c>
      <c r="I801" s="3">
        <f>Gegenstände!D801</f>
        <v>18</v>
      </c>
      <c r="J801" s="168">
        <f>ROUND(Gegenstände!N801,0)</f>
        <v>15900</v>
      </c>
      <c r="K801" s="3">
        <f>Gegenstände!J801</f>
        <v>100</v>
      </c>
      <c r="L801" s="3">
        <f>Gegenstände!L801</f>
        <v>1</v>
      </c>
      <c r="M801" s="3">
        <f>Gegenstände!Z801</f>
        <v>0</v>
      </c>
      <c r="N801" s="783">
        <f>(Gegenstände!Y801*10)</f>
        <v>0</v>
      </c>
      <c r="O801" s="783">
        <f>(Gegenstände!W801*10)</f>
        <v>0</v>
      </c>
      <c r="P801" s="783">
        <f>Gegenstände!AA801*10</f>
        <v>0</v>
      </c>
      <c r="Q801" s="783">
        <f>Gegenstände!O801</f>
        <v>0</v>
      </c>
      <c r="R801" s="168">
        <f>Gegenstände!S801</f>
        <v>0</v>
      </c>
      <c r="S801" s="168">
        <f>Gegenstände!T801</f>
        <v>0</v>
      </c>
      <c r="T801" s="783">
        <f>Gegenstände!AC801</f>
        <v>0</v>
      </c>
      <c r="U801" s="783">
        <f>Gegenstände!AE801</f>
        <v>0</v>
      </c>
      <c r="V801" s="783">
        <f>Gegenstände!AD801</f>
        <v>0</v>
      </c>
      <c r="W801" s="783">
        <f>Gegenstände!AF801</f>
        <v>0</v>
      </c>
      <c r="AB801" s="3">
        <f>Gegenstände!M801</f>
        <v>0</v>
      </c>
      <c r="AC801" s="3">
        <f>Gegenstände!AB801</f>
        <v>0</v>
      </c>
      <c r="AD801" s="3">
        <f>Gegenstände!F801</f>
        <v>2431</v>
      </c>
    </row>
    <row r="802" spans="1:30" x14ac:dyDescent="0.2">
      <c r="A802" s="3">
        <f>Gegenstände!A802</f>
        <v>3432</v>
      </c>
      <c r="B802" s="3" t="str">
        <f>Gegenstände!B802</f>
        <v>Rubin-Plattenpanzer (Plan)</v>
      </c>
      <c r="D802" s="3">
        <f>Gegenstände!K802</f>
        <v>1000</v>
      </c>
      <c r="E802" s="3">
        <f>Gegenstände!I802</f>
        <v>35</v>
      </c>
      <c r="F802" s="3">
        <f>VLOOKUP(Gegenstände!E802,Berechnungen!$E$87:$F$115,2,FALSE)</f>
        <v>35</v>
      </c>
      <c r="G802" s="3">
        <f>Gegenstände!H802</f>
        <v>2</v>
      </c>
      <c r="H802" s="3">
        <f>Gegenstände!G802</f>
        <v>62</v>
      </c>
      <c r="I802" s="3">
        <f>Gegenstände!D802</f>
        <v>18</v>
      </c>
      <c r="J802" s="168">
        <f>ROUND(Gegenstände!N802,0)</f>
        <v>22100</v>
      </c>
      <c r="K802" s="3">
        <f>Gegenstände!J802</f>
        <v>100</v>
      </c>
      <c r="L802" s="3">
        <f>Gegenstände!L802</f>
        <v>1</v>
      </c>
      <c r="M802" s="3">
        <f>Gegenstände!Z802</f>
        <v>0</v>
      </c>
      <c r="N802" s="783">
        <f>(Gegenstände!Y802*10)</f>
        <v>0</v>
      </c>
      <c r="O802" s="783">
        <f>(Gegenstände!W802*10)</f>
        <v>0</v>
      </c>
      <c r="P802" s="783">
        <f>Gegenstände!AA802*10</f>
        <v>0</v>
      </c>
      <c r="Q802" s="783">
        <f>Gegenstände!O802</f>
        <v>0</v>
      </c>
      <c r="R802" s="168">
        <f>Gegenstände!S802</f>
        <v>0</v>
      </c>
      <c r="S802" s="168">
        <f>Gegenstände!T802</f>
        <v>0</v>
      </c>
      <c r="T802" s="783">
        <f>Gegenstände!AC802</f>
        <v>0</v>
      </c>
      <c r="U802" s="783">
        <f>Gegenstände!AE802</f>
        <v>0</v>
      </c>
      <c r="V802" s="783">
        <f>Gegenstände!AD802</f>
        <v>0</v>
      </c>
      <c r="W802" s="783">
        <f>Gegenstände!AF802</f>
        <v>0</v>
      </c>
      <c r="AB802" s="3">
        <f>Gegenstände!M802</f>
        <v>0</v>
      </c>
      <c r="AC802" s="3">
        <f>Gegenstände!AB802</f>
        <v>0</v>
      </c>
      <c r="AD802" s="3">
        <f>Gegenstände!F802</f>
        <v>2432</v>
      </c>
    </row>
    <row r="803" spans="1:30" x14ac:dyDescent="0.2">
      <c r="A803" s="3">
        <f>Gegenstände!A803</f>
        <v>3433</v>
      </c>
      <c r="B803" s="3" t="str">
        <f>Gegenstände!B803</f>
        <v>Rubin-Plattenhandschuhe (Plan)</v>
      </c>
      <c r="D803" s="3">
        <f>Gegenstände!K803</f>
        <v>1000</v>
      </c>
      <c r="E803" s="3">
        <f>Gegenstände!I803</f>
        <v>35</v>
      </c>
      <c r="F803" s="3">
        <f>VLOOKUP(Gegenstände!E803,Berechnungen!$E$87:$F$115,2,FALSE)</f>
        <v>35</v>
      </c>
      <c r="G803" s="3">
        <f>Gegenstände!H803</f>
        <v>2</v>
      </c>
      <c r="H803" s="3">
        <f>Gegenstände!G803</f>
        <v>62</v>
      </c>
      <c r="I803" s="3">
        <f>Gegenstände!D803</f>
        <v>19</v>
      </c>
      <c r="J803" s="168">
        <f>ROUND(Gegenstände!N803,0)</f>
        <v>14200</v>
      </c>
      <c r="K803" s="3">
        <f>Gegenstände!J803</f>
        <v>100</v>
      </c>
      <c r="L803" s="3">
        <f>Gegenstände!L803</f>
        <v>1</v>
      </c>
      <c r="M803" s="3">
        <f>Gegenstände!Z803</f>
        <v>0</v>
      </c>
      <c r="N803" s="783">
        <f>(Gegenstände!Y803*10)</f>
        <v>0</v>
      </c>
      <c r="O803" s="783">
        <f>(Gegenstände!W803*10)</f>
        <v>0</v>
      </c>
      <c r="P803" s="783">
        <f>Gegenstände!AA803*10</f>
        <v>0</v>
      </c>
      <c r="Q803" s="783">
        <f>Gegenstände!O803</f>
        <v>0</v>
      </c>
      <c r="R803" s="168">
        <f>Gegenstände!S803</f>
        <v>0</v>
      </c>
      <c r="S803" s="168">
        <f>Gegenstände!T803</f>
        <v>0</v>
      </c>
      <c r="T803" s="783">
        <f>Gegenstände!AC803</f>
        <v>0</v>
      </c>
      <c r="U803" s="783">
        <f>Gegenstände!AE803</f>
        <v>0</v>
      </c>
      <c r="V803" s="783">
        <f>Gegenstände!AD803</f>
        <v>0</v>
      </c>
      <c r="W803" s="783">
        <f>Gegenstände!AF803</f>
        <v>0</v>
      </c>
      <c r="AB803" s="3">
        <f>Gegenstände!M803</f>
        <v>0</v>
      </c>
      <c r="AC803" s="3">
        <f>Gegenstände!AB803</f>
        <v>0</v>
      </c>
      <c r="AD803" s="3">
        <f>Gegenstände!F803</f>
        <v>2433</v>
      </c>
    </row>
    <row r="804" spans="1:30" x14ac:dyDescent="0.2">
      <c r="A804" s="3">
        <f>Gegenstände!A804</f>
        <v>3434</v>
      </c>
      <c r="B804" s="3" t="str">
        <f>Gegenstände!B804</f>
        <v>Rubin-Plattenbeinlinge (Plan)</v>
      </c>
      <c r="D804" s="3">
        <f>Gegenstände!K804</f>
        <v>1000</v>
      </c>
      <c r="E804" s="3">
        <f>Gegenstände!I804</f>
        <v>35</v>
      </c>
      <c r="F804" s="3">
        <f>VLOOKUP(Gegenstände!E804,Berechnungen!$E$87:$F$115,2,FALSE)</f>
        <v>35</v>
      </c>
      <c r="G804" s="3">
        <f>Gegenstände!H804</f>
        <v>2</v>
      </c>
      <c r="H804" s="3">
        <f>Gegenstände!G804</f>
        <v>62</v>
      </c>
      <c r="I804" s="3">
        <f>Gegenstände!D804</f>
        <v>19</v>
      </c>
      <c r="J804" s="168">
        <f>ROUND(Gegenstände!N804,0)</f>
        <v>17700</v>
      </c>
      <c r="K804" s="3">
        <f>Gegenstände!J804</f>
        <v>100</v>
      </c>
      <c r="L804" s="3">
        <f>Gegenstände!L804</f>
        <v>1</v>
      </c>
      <c r="M804" s="3">
        <f>Gegenstände!Z804</f>
        <v>0</v>
      </c>
      <c r="N804" s="783">
        <f>(Gegenstände!Y804*10)</f>
        <v>0</v>
      </c>
      <c r="O804" s="783">
        <f>(Gegenstände!W804*10)</f>
        <v>0</v>
      </c>
      <c r="P804" s="783">
        <f>Gegenstände!AA804*10</f>
        <v>0</v>
      </c>
      <c r="Q804" s="783">
        <f>Gegenstände!O804</f>
        <v>0</v>
      </c>
      <c r="R804" s="168">
        <f>Gegenstände!S804</f>
        <v>0</v>
      </c>
      <c r="S804" s="168">
        <f>Gegenstände!T804</f>
        <v>0</v>
      </c>
      <c r="T804" s="783">
        <f>Gegenstände!AC804</f>
        <v>0</v>
      </c>
      <c r="U804" s="783">
        <f>Gegenstände!AE804</f>
        <v>0</v>
      </c>
      <c r="V804" s="783">
        <f>Gegenstände!AD804</f>
        <v>0</v>
      </c>
      <c r="W804" s="783">
        <f>Gegenstände!AF804</f>
        <v>0</v>
      </c>
      <c r="AB804" s="3">
        <f>Gegenstände!M804</f>
        <v>0</v>
      </c>
      <c r="AC804" s="3">
        <f>Gegenstände!AB804</f>
        <v>0</v>
      </c>
      <c r="AD804" s="3">
        <f>Gegenstände!F804</f>
        <v>2434</v>
      </c>
    </row>
    <row r="805" spans="1:30" x14ac:dyDescent="0.2">
      <c r="A805" s="3">
        <f>Gegenstände!A805</f>
        <v>3435</v>
      </c>
      <c r="B805" s="3" t="str">
        <f>Gegenstände!B805</f>
        <v>Rubin-Plattenstiefel (Plan)</v>
      </c>
      <c r="D805" s="3">
        <f>Gegenstände!K805</f>
        <v>1000</v>
      </c>
      <c r="E805" s="3">
        <f>Gegenstände!I805</f>
        <v>35</v>
      </c>
      <c r="F805" s="3">
        <f>VLOOKUP(Gegenstände!E805,Berechnungen!$E$87:$F$115,2,FALSE)</f>
        <v>35</v>
      </c>
      <c r="G805" s="3">
        <f>Gegenstände!H805</f>
        <v>2</v>
      </c>
      <c r="H805" s="3">
        <f>Gegenstände!G805</f>
        <v>62</v>
      </c>
      <c r="I805" s="3">
        <f>Gegenstände!D805</f>
        <v>19</v>
      </c>
      <c r="J805" s="168">
        <f>ROUND(Gegenstände!N805,0)</f>
        <v>14200</v>
      </c>
      <c r="K805" s="3">
        <f>Gegenstände!J805</f>
        <v>100</v>
      </c>
      <c r="L805" s="3">
        <f>Gegenstände!L805</f>
        <v>1</v>
      </c>
      <c r="M805" s="3">
        <f>Gegenstände!Z805</f>
        <v>0</v>
      </c>
      <c r="N805" s="783">
        <f>(Gegenstände!Y805*10)</f>
        <v>0</v>
      </c>
      <c r="O805" s="783">
        <f>(Gegenstände!W805*10)</f>
        <v>0</v>
      </c>
      <c r="P805" s="783">
        <f>Gegenstände!AA805*10</f>
        <v>0</v>
      </c>
      <c r="Q805" s="783">
        <f>Gegenstände!O805</f>
        <v>0</v>
      </c>
      <c r="R805" s="168">
        <f>Gegenstände!S805</f>
        <v>0</v>
      </c>
      <c r="S805" s="168">
        <f>Gegenstände!T805</f>
        <v>0</v>
      </c>
      <c r="T805" s="783">
        <f>Gegenstände!AC805</f>
        <v>0</v>
      </c>
      <c r="U805" s="783">
        <f>Gegenstände!AE805</f>
        <v>0</v>
      </c>
      <c r="V805" s="783">
        <f>Gegenstände!AD805</f>
        <v>0</v>
      </c>
      <c r="W805" s="783">
        <f>Gegenstände!AF805</f>
        <v>0</v>
      </c>
      <c r="AB805" s="3">
        <f>Gegenstände!M805</f>
        <v>0</v>
      </c>
      <c r="AC805" s="3">
        <f>Gegenstände!AB805</f>
        <v>0</v>
      </c>
      <c r="AD805" s="3">
        <f>Gegenstände!F805</f>
        <v>2435</v>
      </c>
    </row>
    <row r="806" spans="1:30" x14ac:dyDescent="0.2">
      <c r="A806" s="3">
        <f>Gegenstände!A806</f>
        <v>3441</v>
      </c>
      <c r="B806" s="3" t="str">
        <f>Gegenstände!B806</f>
        <v>Obsidian-Plattenhelm (Plan)</v>
      </c>
      <c r="D806" s="3">
        <f>Gegenstände!K806</f>
        <v>1000</v>
      </c>
      <c r="E806" s="3">
        <f>Gegenstände!I806</f>
        <v>35</v>
      </c>
      <c r="F806" s="3">
        <f>VLOOKUP(Gegenstände!E806,Berechnungen!$E$87:$F$115,2,FALSE)</f>
        <v>35</v>
      </c>
      <c r="G806" s="3">
        <f>Gegenstände!H806</f>
        <v>2</v>
      </c>
      <c r="H806" s="3">
        <f>Gegenstände!G806</f>
        <v>62</v>
      </c>
      <c r="I806" s="3">
        <f>Gegenstände!D806</f>
        <v>23</v>
      </c>
      <c r="J806" s="168">
        <f>ROUND(Gegenstände!N806,0)</f>
        <v>29900</v>
      </c>
      <c r="K806" s="3">
        <f>Gegenstände!J806</f>
        <v>100</v>
      </c>
      <c r="L806" s="3">
        <f>Gegenstände!L806</f>
        <v>1</v>
      </c>
      <c r="M806" s="3">
        <f>Gegenstände!Z806</f>
        <v>0</v>
      </c>
      <c r="N806" s="783">
        <f>(Gegenstände!Y806*10)</f>
        <v>0</v>
      </c>
      <c r="O806" s="783">
        <f>(Gegenstände!W806*10)</f>
        <v>0</v>
      </c>
      <c r="P806" s="783">
        <f>Gegenstände!AA806*10</f>
        <v>0</v>
      </c>
      <c r="Q806" s="783">
        <f>Gegenstände!O806</f>
        <v>0</v>
      </c>
      <c r="R806" s="168">
        <f>Gegenstände!S806</f>
        <v>0</v>
      </c>
      <c r="S806" s="168">
        <f>Gegenstände!T806</f>
        <v>0</v>
      </c>
      <c r="T806" s="783">
        <f>Gegenstände!AC806</f>
        <v>0</v>
      </c>
      <c r="U806" s="783">
        <f>Gegenstände!AE806</f>
        <v>0</v>
      </c>
      <c r="V806" s="783">
        <f>Gegenstände!AD806</f>
        <v>0</v>
      </c>
      <c r="W806" s="783">
        <f>Gegenstände!AF806</f>
        <v>0</v>
      </c>
      <c r="AB806" s="3">
        <f>Gegenstände!M806</f>
        <v>0</v>
      </c>
      <c r="AC806" s="3">
        <f>Gegenstände!AB806</f>
        <v>0</v>
      </c>
      <c r="AD806" s="3">
        <f>Gegenstände!F806</f>
        <v>2441</v>
      </c>
    </row>
    <row r="807" spans="1:30" x14ac:dyDescent="0.2">
      <c r="A807" s="3">
        <f>Gegenstände!A807</f>
        <v>3442</v>
      </c>
      <c r="B807" s="3" t="str">
        <f>Gegenstände!B807</f>
        <v>Obsidian-Plattenpanzer (Plan)</v>
      </c>
      <c r="D807" s="3">
        <f>Gegenstände!K807</f>
        <v>1000</v>
      </c>
      <c r="E807" s="3">
        <f>Gegenstände!I807</f>
        <v>35</v>
      </c>
      <c r="F807" s="3">
        <f>VLOOKUP(Gegenstände!E807,Berechnungen!$E$87:$F$115,2,FALSE)</f>
        <v>35</v>
      </c>
      <c r="G807" s="3">
        <f>Gegenstände!H807</f>
        <v>2</v>
      </c>
      <c r="H807" s="3">
        <f>Gegenstände!G807</f>
        <v>62</v>
      </c>
      <c r="I807" s="3">
        <f>Gegenstände!D807</f>
        <v>23</v>
      </c>
      <c r="J807" s="168">
        <f>ROUND(Gegenstände!N807,0)</f>
        <v>42300</v>
      </c>
      <c r="K807" s="3">
        <f>Gegenstände!J807</f>
        <v>100</v>
      </c>
      <c r="L807" s="3">
        <f>Gegenstände!L807</f>
        <v>1</v>
      </c>
      <c r="M807" s="3">
        <f>Gegenstände!Z807</f>
        <v>0</v>
      </c>
      <c r="N807" s="783">
        <f>(Gegenstände!Y807*10)</f>
        <v>0</v>
      </c>
      <c r="O807" s="783">
        <f>(Gegenstände!W807*10)</f>
        <v>0</v>
      </c>
      <c r="P807" s="783">
        <f>Gegenstände!AA807*10</f>
        <v>0</v>
      </c>
      <c r="Q807" s="783">
        <f>Gegenstände!O807</f>
        <v>0</v>
      </c>
      <c r="R807" s="168">
        <f>Gegenstände!S807</f>
        <v>0</v>
      </c>
      <c r="S807" s="168">
        <f>Gegenstände!T807</f>
        <v>0</v>
      </c>
      <c r="T807" s="783">
        <f>Gegenstände!AC807</f>
        <v>0</v>
      </c>
      <c r="U807" s="783">
        <f>Gegenstände!AE807</f>
        <v>0</v>
      </c>
      <c r="V807" s="783">
        <f>Gegenstände!AD807</f>
        <v>0</v>
      </c>
      <c r="W807" s="783">
        <f>Gegenstände!AF807</f>
        <v>0</v>
      </c>
      <c r="AB807" s="3">
        <f>Gegenstände!M807</f>
        <v>0</v>
      </c>
      <c r="AC807" s="3">
        <f>Gegenstände!AB807</f>
        <v>0</v>
      </c>
      <c r="AD807" s="3">
        <f>Gegenstände!F807</f>
        <v>2442</v>
      </c>
    </row>
    <row r="808" spans="1:30" x14ac:dyDescent="0.2">
      <c r="A808" s="3">
        <f>Gegenstände!A808</f>
        <v>3443</v>
      </c>
      <c r="B808" s="3" t="str">
        <f>Gegenstände!B808</f>
        <v>Obsidian-Plattenhandschuhe (Plan)</v>
      </c>
      <c r="D808" s="3">
        <f>Gegenstände!K808</f>
        <v>1000</v>
      </c>
      <c r="E808" s="3">
        <f>Gegenstände!I808</f>
        <v>35</v>
      </c>
      <c r="F808" s="3">
        <f>VLOOKUP(Gegenstände!E808,Berechnungen!$E$87:$F$115,2,FALSE)</f>
        <v>35</v>
      </c>
      <c r="G808" s="3">
        <f>Gegenstände!H808</f>
        <v>2</v>
      </c>
      <c r="H808" s="3">
        <f>Gegenstände!G808</f>
        <v>62</v>
      </c>
      <c r="I808" s="3">
        <f>Gegenstände!D808</f>
        <v>24</v>
      </c>
      <c r="J808" s="168">
        <f>ROUND(Gegenstände!N808,0)</f>
        <v>26500</v>
      </c>
      <c r="K808" s="3">
        <f>Gegenstände!J808</f>
        <v>100</v>
      </c>
      <c r="L808" s="3">
        <f>Gegenstände!L808</f>
        <v>1</v>
      </c>
      <c r="M808" s="3">
        <f>Gegenstände!Z808</f>
        <v>0</v>
      </c>
      <c r="N808" s="783">
        <f>(Gegenstände!Y808*10)</f>
        <v>0</v>
      </c>
      <c r="O808" s="783">
        <f>(Gegenstände!W808*10)</f>
        <v>0</v>
      </c>
      <c r="P808" s="783">
        <f>Gegenstände!AA808*10</f>
        <v>0</v>
      </c>
      <c r="Q808" s="783">
        <f>Gegenstände!O808</f>
        <v>0</v>
      </c>
      <c r="R808" s="168">
        <f>Gegenstände!S808</f>
        <v>0</v>
      </c>
      <c r="S808" s="168">
        <f>Gegenstände!T808</f>
        <v>0</v>
      </c>
      <c r="T808" s="783">
        <f>Gegenstände!AC808</f>
        <v>0</v>
      </c>
      <c r="U808" s="783">
        <f>Gegenstände!AE808</f>
        <v>0</v>
      </c>
      <c r="V808" s="783">
        <f>Gegenstände!AD808</f>
        <v>0</v>
      </c>
      <c r="W808" s="783">
        <f>Gegenstände!AF808</f>
        <v>0</v>
      </c>
      <c r="AB808" s="3">
        <f>Gegenstände!M808</f>
        <v>0</v>
      </c>
      <c r="AC808" s="3">
        <f>Gegenstände!AB808</f>
        <v>0</v>
      </c>
      <c r="AD808" s="3">
        <f>Gegenstände!F808</f>
        <v>2443</v>
      </c>
    </row>
    <row r="809" spans="1:30" x14ac:dyDescent="0.2">
      <c r="A809" s="3">
        <f>Gegenstände!A809</f>
        <v>3444</v>
      </c>
      <c r="B809" s="3" t="str">
        <f>Gegenstände!B809</f>
        <v>Obsidian-Plattenbeinlinge (Plan)</v>
      </c>
      <c r="D809" s="3">
        <f>Gegenstände!K809</f>
        <v>1000</v>
      </c>
      <c r="E809" s="3">
        <f>Gegenstände!I809</f>
        <v>35</v>
      </c>
      <c r="F809" s="3">
        <f>VLOOKUP(Gegenstände!E809,Berechnungen!$E$87:$F$115,2,FALSE)</f>
        <v>35</v>
      </c>
      <c r="G809" s="3">
        <f>Gegenstände!H809</f>
        <v>2</v>
      </c>
      <c r="H809" s="3">
        <f>Gegenstände!G809</f>
        <v>62</v>
      </c>
      <c r="I809" s="3">
        <f>Gegenstände!D809</f>
        <v>24</v>
      </c>
      <c r="J809" s="168">
        <f>ROUND(Gegenstände!N809,0)</f>
        <v>33600</v>
      </c>
      <c r="K809" s="3">
        <f>Gegenstände!J809</f>
        <v>100</v>
      </c>
      <c r="L809" s="3">
        <f>Gegenstände!L809</f>
        <v>1</v>
      </c>
      <c r="M809" s="3">
        <f>Gegenstände!Z809</f>
        <v>0</v>
      </c>
      <c r="N809" s="783">
        <f>(Gegenstände!Y809*10)</f>
        <v>0</v>
      </c>
      <c r="O809" s="783">
        <f>(Gegenstände!W809*10)</f>
        <v>0</v>
      </c>
      <c r="P809" s="783">
        <f>Gegenstände!AA809*10</f>
        <v>0</v>
      </c>
      <c r="Q809" s="783">
        <f>Gegenstände!O809</f>
        <v>0</v>
      </c>
      <c r="R809" s="168">
        <f>Gegenstände!S809</f>
        <v>0</v>
      </c>
      <c r="S809" s="168">
        <f>Gegenstände!T809</f>
        <v>0</v>
      </c>
      <c r="T809" s="783">
        <f>Gegenstände!AC809</f>
        <v>0</v>
      </c>
      <c r="U809" s="783">
        <f>Gegenstände!AE809</f>
        <v>0</v>
      </c>
      <c r="V809" s="783">
        <f>Gegenstände!AD809</f>
        <v>0</v>
      </c>
      <c r="W809" s="783">
        <f>Gegenstände!AF809</f>
        <v>0</v>
      </c>
      <c r="AB809" s="3">
        <f>Gegenstände!M809</f>
        <v>0</v>
      </c>
      <c r="AC809" s="3">
        <f>Gegenstände!AB809</f>
        <v>0</v>
      </c>
      <c r="AD809" s="3">
        <f>Gegenstände!F809</f>
        <v>2444</v>
      </c>
    </row>
    <row r="810" spans="1:30" x14ac:dyDescent="0.2">
      <c r="A810" s="3">
        <f>Gegenstände!A810</f>
        <v>3445</v>
      </c>
      <c r="B810" s="3" t="str">
        <f>Gegenstände!B810</f>
        <v>Obsidian-Plattenstiefel (Plan)</v>
      </c>
      <c r="D810" s="3">
        <f>Gegenstände!K810</f>
        <v>1000</v>
      </c>
      <c r="E810" s="3">
        <f>Gegenstände!I810</f>
        <v>35</v>
      </c>
      <c r="F810" s="3">
        <f>VLOOKUP(Gegenstände!E810,Berechnungen!$E$87:$F$115,2,FALSE)</f>
        <v>35</v>
      </c>
      <c r="G810" s="3">
        <f>Gegenstände!H810</f>
        <v>2</v>
      </c>
      <c r="H810" s="3">
        <f>Gegenstände!G810</f>
        <v>62</v>
      </c>
      <c r="I810" s="3">
        <f>Gegenstände!D810</f>
        <v>24</v>
      </c>
      <c r="J810" s="168">
        <f>ROUND(Gegenstände!N810,0)</f>
        <v>26500</v>
      </c>
      <c r="K810" s="3">
        <f>Gegenstände!J810</f>
        <v>100</v>
      </c>
      <c r="L810" s="3">
        <f>Gegenstände!L810</f>
        <v>1</v>
      </c>
      <c r="M810" s="3">
        <f>Gegenstände!Z810</f>
        <v>0</v>
      </c>
      <c r="N810" s="783">
        <f>(Gegenstände!Y810*10)</f>
        <v>0</v>
      </c>
      <c r="O810" s="783">
        <f>(Gegenstände!W810*10)</f>
        <v>0</v>
      </c>
      <c r="P810" s="783">
        <f>Gegenstände!AA810*10</f>
        <v>0</v>
      </c>
      <c r="Q810" s="783">
        <f>Gegenstände!O810</f>
        <v>0</v>
      </c>
      <c r="R810" s="168">
        <f>Gegenstände!S810</f>
        <v>0</v>
      </c>
      <c r="S810" s="168">
        <f>Gegenstände!T810</f>
        <v>0</v>
      </c>
      <c r="T810" s="783">
        <f>Gegenstände!AC810</f>
        <v>0</v>
      </c>
      <c r="U810" s="783">
        <f>Gegenstände!AE810</f>
        <v>0</v>
      </c>
      <c r="V810" s="783">
        <f>Gegenstände!AD810</f>
        <v>0</v>
      </c>
      <c r="W810" s="783">
        <f>Gegenstände!AF810</f>
        <v>0</v>
      </c>
      <c r="AB810" s="3">
        <f>Gegenstände!M810</f>
        <v>0</v>
      </c>
      <c r="AC810" s="3">
        <f>Gegenstände!AB810</f>
        <v>0</v>
      </c>
      <c r="AD810" s="3">
        <f>Gegenstände!F810</f>
        <v>2445</v>
      </c>
    </row>
    <row r="811" spans="1:30" x14ac:dyDescent="0.2">
      <c r="A811" s="3">
        <f>Gegenstände!A811</f>
        <v>0</v>
      </c>
      <c r="B811" s="3">
        <f>Gegenstände!B811</f>
        <v>0</v>
      </c>
      <c r="D811" s="3">
        <f>Gegenstände!K811</f>
        <v>0</v>
      </c>
      <c r="E811" s="3">
        <f>Gegenstände!I811</f>
        <v>0</v>
      </c>
      <c r="F811" s="3" t="e">
        <f>VLOOKUP(Gegenstände!E811,Berechnungen!$E$87:$F$115,2,FALSE)</f>
        <v>#N/A</v>
      </c>
      <c r="G811" s="3">
        <f>Gegenstände!H811</f>
        <v>0</v>
      </c>
      <c r="H811" s="3">
        <f>Gegenstände!G811</f>
        <v>0</v>
      </c>
      <c r="I811" s="3">
        <f>Gegenstände!D811</f>
        <v>0</v>
      </c>
      <c r="J811" s="168">
        <f>ROUND(Gegenstände!N811,0)</f>
        <v>0</v>
      </c>
      <c r="K811" s="3">
        <f>Gegenstände!J811</f>
        <v>0</v>
      </c>
      <c r="L811" s="3">
        <f>Gegenstände!L811</f>
        <v>0</v>
      </c>
      <c r="M811" s="3">
        <f>Gegenstände!Z811</f>
        <v>0</v>
      </c>
      <c r="N811" s="783">
        <f>(Gegenstände!Y811*10)</f>
        <v>0</v>
      </c>
      <c r="O811" s="783">
        <f>(Gegenstände!W811*10)</f>
        <v>0</v>
      </c>
      <c r="P811" s="783">
        <f>Gegenstände!AA811*10</f>
        <v>0</v>
      </c>
      <c r="Q811" s="783">
        <f>Gegenstände!O811</f>
        <v>0</v>
      </c>
      <c r="R811" s="168">
        <f>Gegenstände!S811</f>
        <v>0</v>
      </c>
      <c r="S811" s="168">
        <f>Gegenstände!T811</f>
        <v>0</v>
      </c>
      <c r="T811" s="783">
        <f>Gegenstände!AC811</f>
        <v>0</v>
      </c>
      <c r="U811" s="783">
        <f>Gegenstände!AE811</f>
        <v>0</v>
      </c>
      <c r="V811" s="783">
        <f>Gegenstände!AD811</f>
        <v>0</v>
      </c>
      <c r="W811" s="783">
        <f>Gegenstände!AF811</f>
        <v>0</v>
      </c>
      <c r="AB811" s="3">
        <f>Gegenstände!M811</f>
        <v>0</v>
      </c>
      <c r="AC811" s="3">
        <f>Gegenstände!AB811</f>
        <v>0</v>
      </c>
      <c r="AD811" s="3">
        <f>Gegenstände!F811</f>
        <v>0</v>
      </c>
    </row>
    <row r="812" spans="1:30" x14ac:dyDescent="0.2">
      <c r="A812" s="3">
        <f>Gegenstände!A812</f>
        <v>3501</v>
      </c>
      <c r="B812" s="3" t="str">
        <f>Gegenstände!B812</f>
        <v>Achat-Rundschild (Plan)</v>
      </c>
      <c r="D812" s="3">
        <f>Gegenstände!K812</f>
        <v>1000</v>
      </c>
      <c r="E812" s="3">
        <f>Gegenstände!I812</f>
        <v>35</v>
      </c>
      <c r="F812" s="3">
        <f>VLOOKUP(Gegenstände!E812,Berechnungen!$E$87:$F$115,2,FALSE)</f>
        <v>35</v>
      </c>
      <c r="G812" s="3">
        <f>Gegenstände!H812</f>
        <v>2</v>
      </c>
      <c r="H812" s="3">
        <f>Gegenstände!G812</f>
        <v>61</v>
      </c>
      <c r="I812" s="3">
        <f>Gegenstände!D812</f>
        <v>3</v>
      </c>
      <c r="J812" s="168">
        <f>ROUND(Gegenstände!N812,0)</f>
        <v>2500</v>
      </c>
      <c r="K812" s="3">
        <f>Gegenstände!J812</f>
        <v>100</v>
      </c>
      <c r="L812" s="3">
        <f>Gegenstände!L812</f>
        <v>1</v>
      </c>
      <c r="M812" s="3">
        <f>Gegenstände!Z812</f>
        <v>0</v>
      </c>
      <c r="N812" s="783">
        <f>(Gegenstände!Y812*10)</f>
        <v>0</v>
      </c>
      <c r="O812" s="783">
        <f>(Gegenstände!W812*10)</f>
        <v>0</v>
      </c>
      <c r="P812" s="783">
        <f>Gegenstände!AA812*10</f>
        <v>0</v>
      </c>
      <c r="Q812" s="783">
        <f>Gegenstände!O812</f>
        <v>0</v>
      </c>
      <c r="R812" s="168">
        <f>Gegenstände!S812</f>
        <v>0</v>
      </c>
      <c r="S812" s="168">
        <f>Gegenstände!T812</f>
        <v>0</v>
      </c>
      <c r="T812" s="783">
        <f>Gegenstände!AC812</f>
        <v>0</v>
      </c>
      <c r="U812" s="783">
        <f>Gegenstände!AE812</f>
        <v>0</v>
      </c>
      <c r="V812" s="783">
        <f>Gegenstände!AD812</f>
        <v>0</v>
      </c>
      <c r="W812" s="783">
        <f>Gegenstände!AF812</f>
        <v>0</v>
      </c>
      <c r="AB812" s="3">
        <f>Gegenstände!M812</f>
        <v>0</v>
      </c>
      <c r="AC812" s="3">
        <f>Gegenstände!AB812</f>
        <v>0</v>
      </c>
      <c r="AD812" s="3">
        <f>Gegenstände!F812</f>
        <v>2501</v>
      </c>
    </row>
    <row r="813" spans="1:30" x14ac:dyDescent="0.2">
      <c r="A813" s="3">
        <f>Gegenstände!A813</f>
        <v>3502</v>
      </c>
      <c r="B813" s="3" t="str">
        <f>Gegenstände!B813</f>
        <v>Topas-Rundschild (Plan)</v>
      </c>
      <c r="D813" s="3">
        <f>Gegenstände!K813</f>
        <v>1000</v>
      </c>
      <c r="E813" s="3">
        <f>Gegenstände!I813</f>
        <v>35</v>
      </c>
      <c r="F813" s="3">
        <f>VLOOKUP(Gegenstände!E813,Berechnungen!$E$87:$F$115,2,FALSE)</f>
        <v>35</v>
      </c>
      <c r="G813" s="3">
        <f>Gegenstände!H813</f>
        <v>2</v>
      </c>
      <c r="H813" s="3">
        <f>Gegenstände!G813</f>
        <v>61</v>
      </c>
      <c r="I813" s="3">
        <f>Gegenstände!D813</f>
        <v>8</v>
      </c>
      <c r="J813" s="168">
        <f>ROUND(Gegenstände!N813,0)</f>
        <v>5100</v>
      </c>
      <c r="K813" s="3">
        <f>Gegenstände!J813</f>
        <v>100</v>
      </c>
      <c r="L813" s="3">
        <f>Gegenstände!L813</f>
        <v>1</v>
      </c>
      <c r="M813" s="3">
        <f>Gegenstände!Z813</f>
        <v>0</v>
      </c>
      <c r="N813" s="783">
        <f>(Gegenstände!Y813*10)</f>
        <v>0</v>
      </c>
      <c r="O813" s="783">
        <f>(Gegenstände!W813*10)</f>
        <v>0</v>
      </c>
      <c r="P813" s="783">
        <f>Gegenstände!AA813*10</f>
        <v>0</v>
      </c>
      <c r="Q813" s="783">
        <f>Gegenstände!O813</f>
        <v>0</v>
      </c>
      <c r="R813" s="168">
        <f>Gegenstände!S813</f>
        <v>0</v>
      </c>
      <c r="S813" s="168">
        <f>Gegenstände!T813</f>
        <v>0</v>
      </c>
      <c r="T813" s="783">
        <f>Gegenstände!AC813</f>
        <v>0</v>
      </c>
      <c r="U813" s="783">
        <f>Gegenstände!AE813</f>
        <v>0</v>
      </c>
      <c r="V813" s="783">
        <f>Gegenstände!AD813</f>
        <v>0</v>
      </c>
      <c r="W813" s="783">
        <f>Gegenstände!AF813</f>
        <v>0</v>
      </c>
      <c r="AB813" s="3">
        <f>Gegenstände!M813</f>
        <v>0</v>
      </c>
      <c r="AC813" s="3">
        <f>Gegenstände!AB813</f>
        <v>0</v>
      </c>
      <c r="AD813" s="3">
        <f>Gegenstände!F813</f>
        <v>2502</v>
      </c>
    </row>
    <row r="814" spans="1:30" x14ac:dyDescent="0.2">
      <c r="A814" s="3">
        <f>Gegenstände!A814</f>
        <v>3503</v>
      </c>
      <c r="B814" s="3" t="str">
        <f>Gegenstände!B814</f>
        <v>Saphir-Rundschild (Plan)</v>
      </c>
      <c r="D814" s="3">
        <f>Gegenstände!K814</f>
        <v>1000</v>
      </c>
      <c r="E814" s="3">
        <f>Gegenstände!I814</f>
        <v>35</v>
      </c>
      <c r="F814" s="3">
        <f>VLOOKUP(Gegenstände!E814,Berechnungen!$E$87:$F$115,2,FALSE)</f>
        <v>35</v>
      </c>
      <c r="G814" s="3">
        <f>Gegenstände!H814</f>
        <v>2</v>
      </c>
      <c r="H814" s="3">
        <f>Gegenstände!G814</f>
        <v>61</v>
      </c>
      <c r="I814" s="3">
        <f>Gegenstände!D814</f>
        <v>13</v>
      </c>
      <c r="J814" s="168">
        <f>ROUND(Gegenstände!N814,0)</f>
        <v>10200</v>
      </c>
      <c r="K814" s="3">
        <f>Gegenstände!J814</f>
        <v>100</v>
      </c>
      <c r="L814" s="3">
        <f>Gegenstände!L814</f>
        <v>1</v>
      </c>
      <c r="M814" s="3">
        <f>Gegenstände!Z814</f>
        <v>0</v>
      </c>
      <c r="N814" s="783">
        <f>(Gegenstände!Y814*10)</f>
        <v>0</v>
      </c>
      <c r="O814" s="783">
        <f>(Gegenstände!W814*10)</f>
        <v>0</v>
      </c>
      <c r="P814" s="783">
        <f>Gegenstände!AA814*10</f>
        <v>0</v>
      </c>
      <c r="Q814" s="783">
        <f>Gegenstände!O814</f>
        <v>0</v>
      </c>
      <c r="R814" s="168">
        <f>Gegenstände!S814</f>
        <v>0</v>
      </c>
      <c r="S814" s="168">
        <f>Gegenstände!T814</f>
        <v>0</v>
      </c>
      <c r="T814" s="783">
        <f>Gegenstände!AC814</f>
        <v>0</v>
      </c>
      <c r="U814" s="783">
        <f>Gegenstände!AE814</f>
        <v>0</v>
      </c>
      <c r="V814" s="783">
        <f>Gegenstände!AD814</f>
        <v>0</v>
      </c>
      <c r="W814" s="783">
        <f>Gegenstände!AF814</f>
        <v>0</v>
      </c>
      <c r="AB814" s="3">
        <f>Gegenstände!M814</f>
        <v>0</v>
      </c>
      <c r="AC814" s="3">
        <f>Gegenstände!AB814</f>
        <v>0</v>
      </c>
      <c r="AD814" s="3">
        <f>Gegenstände!F814</f>
        <v>2503</v>
      </c>
    </row>
    <row r="815" spans="1:30" x14ac:dyDescent="0.2">
      <c r="A815" s="3">
        <f>Gegenstände!A815</f>
        <v>3504</v>
      </c>
      <c r="B815" s="3" t="str">
        <f>Gegenstände!B815</f>
        <v>Lapis-Rundschild (Plan)</v>
      </c>
      <c r="D815" s="3">
        <f>Gegenstände!K815</f>
        <v>1000</v>
      </c>
      <c r="E815" s="3">
        <f>Gegenstände!I815</f>
        <v>35</v>
      </c>
      <c r="F815" s="3">
        <f>VLOOKUP(Gegenstände!E815,Berechnungen!$E$87:$F$115,2,FALSE)</f>
        <v>35</v>
      </c>
      <c r="G815" s="3">
        <f>Gegenstände!H815</f>
        <v>2</v>
      </c>
      <c r="H815" s="3">
        <f>Gegenstände!G815</f>
        <v>61</v>
      </c>
      <c r="I815" s="3">
        <f>Gegenstände!D815</f>
        <v>18</v>
      </c>
      <c r="J815" s="168">
        <f>ROUND(Gegenstände!N815,0)</f>
        <v>19400</v>
      </c>
      <c r="K815" s="3">
        <f>Gegenstände!J815</f>
        <v>100</v>
      </c>
      <c r="L815" s="3">
        <f>Gegenstände!L815</f>
        <v>1</v>
      </c>
      <c r="M815" s="3">
        <f>Gegenstände!Z815</f>
        <v>0</v>
      </c>
      <c r="N815" s="783">
        <f>(Gegenstände!Y815*10)</f>
        <v>0</v>
      </c>
      <c r="O815" s="783">
        <f>(Gegenstände!W815*10)</f>
        <v>0</v>
      </c>
      <c r="P815" s="783">
        <f>Gegenstände!AA815*10</f>
        <v>0</v>
      </c>
      <c r="Q815" s="783">
        <f>Gegenstände!O815</f>
        <v>0</v>
      </c>
      <c r="R815" s="168">
        <f>Gegenstände!S815</f>
        <v>0</v>
      </c>
      <c r="S815" s="168">
        <f>Gegenstände!T815</f>
        <v>0</v>
      </c>
      <c r="T815" s="783">
        <f>Gegenstände!AC815</f>
        <v>0</v>
      </c>
      <c r="U815" s="783">
        <f>Gegenstände!AE815</f>
        <v>0</v>
      </c>
      <c r="V815" s="783">
        <f>Gegenstände!AD815</f>
        <v>0</v>
      </c>
      <c r="W815" s="783">
        <f>Gegenstände!AF815</f>
        <v>0</v>
      </c>
      <c r="AB815" s="3">
        <f>Gegenstände!M815</f>
        <v>0</v>
      </c>
      <c r="AC815" s="3">
        <f>Gegenstände!AB815</f>
        <v>0</v>
      </c>
      <c r="AD815" s="3">
        <f>Gegenstände!F815</f>
        <v>2504</v>
      </c>
    </row>
    <row r="816" spans="1:30" x14ac:dyDescent="0.2">
      <c r="A816" s="3">
        <f>Gegenstände!A816</f>
        <v>3505</v>
      </c>
      <c r="B816" s="3" t="str">
        <f>Gegenstände!B816</f>
        <v>Diamant-Rundschild (Plan)</v>
      </c>
      <c r="D816" s="3">
        <f>Gegenstände!K816</f>
        <v>1000</v>
      </c>
      <c r="E816" s="3">
        <f>Gegenstände!I816</f>
        <v>35</v>
      </c>
      <c r="F816" s="3">
        <f>VLOOKUP(Gegenstände!E816,Berechnungen!$E$87:$F$115,2,FALSE)</f>
        <v>35</v>
      </c>
      <c r="G816" s="3">
        <f>Gegenstände!H816</f>
        <v>2</v>
      </c>
      <c r="H816" s="3">
        <f>Gegenstände!G816</f>
        <v>61</v>
      </c>
      <c r="I816" s="3">
        <f>Gegenstände!D816</f>
        <v>23</v>
      </c>
      <c r="J816" s="168">
        <f>ROUND(Gegenstände!N816,0)</f>
        <v>34900</v>
      </c>
      <c r="K816" s="3">
        <f>Gegenstände!J816</f>
        <v>100</v>
      </c>
      <c r="L816" s="3">
        <f>Gegenstände!L816</f>
        <v>1</v>
      </c>
      <c r="M816" s="3">
        <f>Gegenstände!Z816</f>
        <v>0</v>
      </c>
      <c r="N816" s="783">
        <f>(Gegenstände!Y816*10)</f>
        <v>0</v>
      </c>
      <c r="O816" s="783">
        <f>(Gegenstände!W816*10)</f>
        <v>0</v>
      </c>
      <c r="P816" s="783">
        <f>Gegenstände!AA816*10</f>
        <v>0</v>
      </c>
      <c r="Q816" s="783">
        <f>Gegenstände!O816</f>
        <v>0</v>
      </c>
      <c r="R816" s="168">
        <f>Gegenstände!S816</f>
        <v>0</v>
      </c>
      <c r="S816" s="168">
        <f>Gegenstände!T816</f>
        <v>0</v>
      </c>
      <c r="T816" s="783">
        <f>Gegenstände!AC816</f>
        <v>0</v>
      </c>
      <c r="U816" s="783">
        <f>Gegenstände!AE816</f>
        <v>0</v>
      </c>
      <c r="V816" s="783">
        <f>Gegenstände!AD816</f>
        <v>0</v>
      </c>
      <c r="W816" s="783">
        <f>Gegenstände!AF816</f>
        <v>0</v>
      </c>
      <c r="AB816" s="3">
        <f>Gegenstände!M816</f>
        <v>0</v>
      </c>
      <c r="AC816" s="3">
        <f>Gegenstände!AB816</f>
        <v>0</v>
      </c>
      <c r="AD816" s="3">
        <f>Gegenstände!F816</f>
        <v>2505</v>
      </c>
    </row>
    <row r="817" spans="1:30" x14ac:dyDescent="0.2">
      <c r="A817" s="3">
        <f>Gegenstände!A817</f>
        <v>0</v>
      </c>
      <c r="B817" s="3">
        <f>Gegenstände!B817</f>
        <v>0</v>
      </c>
      <c r="D817" s="3">
        <f>Gegenstände!K817</f>
        <v>0</v>
      </c>
      <c r="E817" s="3">
        <f>Gegenstände!I817</f>
        <v>0</v>
      </c>
      <c r="F817" s="3" t="e">
        <f>VLOOKUP(Gegenstände!E817,Berechnungen!$E$87:$F$115,2,FALSE)</f>
        <v>#N/A</v>
      </c>
      <c r="G817" s="3">
        <f>Gegenstände!H817</f>
        <v>0</v>
      </c>
      <c r="H817" s="3">
        <f>Gegenstände!G817</f>
        <v>0</v>
      </c>
      <c r="I817" s="3">
        <f>Gegenstände!D817</f>
        <v>0</v>
      </c>
      <c r="J817" s="168">
        <f>ROUND(Gegenstände!N817,0)</f>
        <v>0</v>
      </c>
      <c r="K817" s="3">
        <f>Gegenstände!J817</f>
        <v>0</v>
      </c>
      <c r="L817" s="3">
        <f>Gegenstände!L817</f>
        <v>0</v>
      </c>
      <c r="M817" s="3">
        <f>Gegenstände!Z817</f>
        <v>0</v>
      </c>
      <c r="N817" s="783">
        <f>(Gegenstände!Y817*10)</f>
        <v>0</v>
      </c>
      <c r="O817" s="783">
        <f>(Gegenstände!W817*10)</f>
        <v>0</v>
      </c>
      <c r="P817" s="783">
        <f>Gegenstände!AA817*10</f>
        <v>0</v>
      </c>
      <c r="Q817" s="783">
        <f>Gegenstände!O817</f>
        <v>0</v>
      </c>
      <c r="R817" s="168">
        <f>Gegenstände!S817</f>
        <v>0</v>
      </c>
      <c r="S817" s="168">
        <f>Gegenstände!T817</f>
        <v>0</v>
      </c>
      <c r="T817" s="783">
        <f>Gegenstände!AC817</f>
        <v>0</v>
      </c>
      <c r="U817" s="783">
        <f>Gegenstände!AE817</f>
        <v>0</v>
      </c>
      <c r="V817" s="783">
        <f>Gegenstände!AD817</f>
        <v>0</v>
      </c>
      <c r="W817" s="783">
        <f>Gegenstände!AF817</f>
        <v>0</v>
      </c>
      <c r="AB817" s="3">
        <f>Gegenstände!M817</f>
        <v>0</v>
      </c>
      <c r="AC817" s="3">
        <f>Gegenstände!AB817</f>
        <v>0</v>
      </c>
      <c r="AD817" s="3">
        <f>Gegenstände!F817</f>
        <v>0</v>
      </c>
    </row>
    <row r="818" spans="1:30" x14ac:dyDescent="0.2">
      <c r="A818" s="3">
        <f>Gegenstände!A818</f>
        <v>3511</v>
      </c>
      <c r="B818" s="3" t="str">
        <f>Gegenstände!B818</f>
        <v>Kristall-Prunkschild (Plan)</v>
      </c>
      <c r="D818" s="3">
        <f>Gegenstände!K818</f>
        <v>1000</v>
      </c>
      <c r="E818" s="3">
        <f>Gegenstände!I818</f>
        <v>35</v>
      </c>
      <c r="F818" s="3">
        <f>VLOOKUP(Gegenstände!E818,Berechnungen!$E$87:$F$115,2,FALSE)</f>
        <v>35</v>
      </c>
      <c r="G818" s="3">
        <f>Gegenstände!H818</f>
        <v>2</v>
      </c>
      <c r="H818" s="3">
        <f>Gegenstände!G818</f>
        <v>62</v>
      </c>
      <c r="I818" s="3">
        <f>Gegenstände!D818</f>
        <v>4</v>
      </c>
      <c r="J818" s="168">
        <f>ROUND(Gegenstände!N818,0)</f>
        <v>3100</v>
      </c>
      <c r="K818" s="3">
        <f>Gegenstände!J818</f>
        <v>100</v>
      </c>
      <c r="L818" s="3">
        <f>Gegenstände!L818</f>
        <v>1</v>
      </c>
      <c r="M818" s="3">
        <f>Gegenstände!Z818</f>
        <v>0</v>
      </c>
      <c r="N818" s="783">
        <f>(Gegenstände!Y818*10)</f>
        <v>0</v>
      </c>
      <c r="O818" s="783">
        <f>(Gegenstände!W818*10)</f>
        <v>0</v>
      </c>
      <c r="P818" s="783">
        <f>Gegenstände!AA818*10</f>
        <v>0</v>
      </c>
      <c r="Q818" s="783">
        <f>Gegenstände!O818</f>
        <v>0</v>
      </c>
      <c r="R818" s="168">
        <f>Gegenstände!S818</f>
        <v>0</v>
      </c>
      <c r="S818" s="168">
        <f>Gegenstände!T818</f>
        <v>0</v>
      </c>
      <c r="T818" s="783">
        <f>Gegenstände!AC818</f>
        <v>0</v>
      </c>
      <c r="U818" s="783">
        <f>Gegenstände!AE818</f>
        <v>0</v>
      </c>
      <c r="V818" s="783">
        <f>Gegenstände!AD818</f>
        <v>0</v>
      </c>
      <c r="W818" s="783">
        <f>Gegenstände!AF818</f>
        <v>0</v>
      </c>
      <c r="AB818" s="3">
        <f>Gegenstände!M818</f>
        <v>0</v>
      </c>
      <c r="AC818" s="3">
        <f>Gegenstände!AB818</f>
        <v>0</v>
      </c>
      <c r="AD818" s="3">
        <f>Gegenstände!F818</f>
        <v>2511</v>
      </c>
    </row>
    <row r="819" spans="1:30" x14ac:dyDescent="0.2">
      <c r="A819" s="3">
        <f>Gegenstände!A819</f>
        <v>3512</v>
      </c>
      <c r="B819" s="3" t="str">
        <f>Gegenstände!B819</f>
        <v>Quarz-Prunkschild (Plan)</v>
      </c>
      <c r="D819" s="3">
        <f>Gegenstände!K819</f>
        <v>1000</v>
      </c>
      <c r="E819" s="3">
        <f>Gegenstände!I819</f>
        <v>35</v>
      </c>
      <c r="F819" s="3">
        <f>VLOOKUP(Gegenstände!E819,Berechnungen!$E$87:$F$115,2,FALSE)</f>
        <v>35</v>
      </c>
      <c r="G819" s="3">
        <f>Gegenstände!H819</f>
        <v>2</v>
      </c>
      <c r="H819" s="3">
        <f>Gegenstände!G819</f>
        <v>62</v>
      </c>
      <c r="I819" s="3">
        <f>Gegenstände!D819</f>
        <v>9</v>
      </c>
      <c r="J819" s="168">
        <f>ROUND(Gegenstände!N819,0)</f>
        <v>6200</v>
      </c>
      <c r="K819" s="3">
        <f>Gegenstände!J819</f>
        <v>100</v>
      </c>
      <c r="L819" s="3">
        <f>Gegenstände!L819</f>
        <v>1</v>
      </c>
      <c r="M819" s="3">
        <f>Gegenstände!Z819</f>
        <v>0</v>
      </c>
      <c r="N819" s="783">
        <f>(Gegenstände!Y819*10)</f>
        <v>0</v>
      </c>
      <c r="O819" s="783">
        <f>(Gegenstände!W819*10)</f>
        <v>0</v>
      </c>
      <c r="P819" s="783">
        <f>Gegenstände!AA819*10</f>
        <v>0</v>
      </c>
      <c r="Q819" s="783">
        <f>Gegenstände!O819</f>
        <v>0</v>
      </c>
      <c r="R819" s="168">
        <f>Gegenstände!S819</f>
        <v>0</v>
      </c>
      <c r="S819" s="168">
        <f>Gegenstände!T819</f>
        <v>0</v>
      </c>
      <c r="T819" s="783">
        <f>Gegenstände!AC819</f>
        <v>0</v>
      </c>
      <c r="U819" s="783">
        <f>Gegenstände!AE819</f>
        <v>0</v>
      </c>
      <c r="V819" s="783">
        <f>Gegenstände!AD819</f>
        <v>0</v>
      </c>
      <c r="W819" s="783">
        <f>Gegenstände!AF819</f>
        <v>0</v>
      </c>
      <c r="AB819" s="3">
        <f>Gegenstände!M819</f>
        <v>0</v>
      </c>
      <c r="AC819" s="3">
        <f>Gegenstände!AB819</f>
        <v>0</v>
      </c>
      <c r="AD819" s="3">
        <f>Gegenstände!F819</f>
        <v>2512</v>
      </c>
    </row>
    <row r="820" spans="1:30" x14ac:dyDescent="0.2">
      <c r="A820" s="3">
        <f>Gegenstände!A820</f>
        <v>3513</v>
      </c>
      <c r="B820" s="3" t="str">
        <f>Gegenstände!B820</f>
        <v>Smaragd-Prunkschild (Plan)</v>
      </c>
      <c r="D820" s="3">
        <f>Gegenstände!K820</f>
        <v>1000</v>
      </c>
      <c r="E820" s="3">
        <f>Gegenstände!I820</f>
        <v>35</v>
      </c>
      <c r="F820" s="3">
        <f>VLOOKUP(Gegenstände!E820,Berechnungen!$E$87:$F$115,2,FALSE)</f>
        <v>35</v>
      </c>
      <c r="G820" s="3">
        <f>Gegenstände!H820</f>
        <v>2</v>
      </c>
      <c r="H820" s="3">
        <f>Gegenstände!G820</f>
        <v>62</v>
      </c>
      <c r="I820" s="3">
        <f>Gegenstände!D820</f>
        <v>14</v>
      </c>
      <c r="J820" s="168">
        <f>ROUND(Gegenstände!N820,0)</f>
        <v>12500</v>
      </c>
      <c r="K820" s="3">
        <f>Gegenstände!J820</f>
        <v>100</v>
      </c>
      <c r="L820" s="3">
        <f>Gegenstände!L820</f>
        <v>1</v>
      </c>
      <c r="M820" s="3">
        <f>Gegenstände!Z820</f>
        <v>0</v>
      </c>
      <c r="N820" s="783">
        <f>(Gegenstände!Y820*10)</f>
        <v>0</v>
      </c>
      <c r="O820" s="783">
        <f>(Gegenstände!W820*10)</f>
        <v>0</v>
      </c>
      <c r="P820" s="783">
        <f>Gegenstände!AA820*10</f>
        <v>0</v>
      </c>
      <c r="Q820" s="783">
        <f>Gegenstände!O820</f>
        <v>0</v>
      </c>
      <c r="R820" s="168">
        <f>Gegenstände!S820</f>
        <v>0</v>
      </c>
      <c r="S820" s="168">
        <f>Gegenstände!T820</f>
        <v>0</v>
      </c>
      <c r="T820" s="783">
        <f>Gegenstände!AC820</f>
        <v>0</v>
      </c>
      <c r="U820" s="783">
        <f>Gegenstände!AE820</f>
        <v>0</v>
      </c>
      <c r="V820" s="783">
        <f>Gegenstände!AD820</f>
        <v>0</v>
      </c>
      <c r="W820" s="783">
        <f>Gegenstände!AF820</f>
        <v>0</v>
      </c>
      <c r="AB820" s="3">
        <f>Gegenstände!M820</f>
        <v>0</v>
      </c>
      <c r="AC820" s="3">
        <f>Gegenstände!AB820</f>
        <v>0</v>
      </c>
      <c r="AD820" s="3">
        <f>Gegenstände!F820</f>
        <v>2513</v>
      </c>
    </row>
    <row r="821" spans="1:30" x14ac:dyDescent="0.2">
      <c r="A821" s="3">
        <f>Gegenstände!A821</f>
        <v>3514</v>
      </c>
      <c r="B821" s="3" t="str">
        <f>Gegenstände!B821</f>
        <v>Rubin-Prunkschild (Plan)</v>
      </c>
      <c r="D821" s="3">
        <f>Gegenstände!K821</f>
        <v>1000</v>
      </c>
      <c r="E821" s="3">
        <f>Gegenstände!I821</f>
        <v>35</v>
      </c>
      <c r="F821" s="3">
        <f>VLOOKUP(Gegenstände!E821,Berechnungen!$E$87:$F$115,2,FALSE)</f>
        <v>35</v>
      </c>
      <c r="G821" s="3">
        <f>Gegenstände!H821</f>
        <v>2</v>
      </c>
      <c r="H821" s="3">
        <f>Gegenstände!G821</f>
        <v>62</v>
      </c>
      <c r="I821" s="3">
        <f>Gegenstände!D821</f>
        <v>19</v>
      </c>
      <c r="J821" s="168">
        <f>ROUND(Gegenstände!N821,0)</f>
        <v>24100</v>
      </c>
      <c r="K821" s="3">
        <f>Gegenstände!J821</f>
        <v>100</v>
      </c>
      <c r="L821" s="3">
        <f>Gegenstände!L821</f>
        <v>1</v>
      </c>
      <c r="M821" s="3">
        <f>Gegenstände!Z821</f>
        <v>0</v>
      </c>
      <c r="N821" s="783">
        <f>(Gegenstände!Y821*10)</f>
        <v>0</v>
      </c>
      <c r="O821" s="783">
        <f>(Gegenstände!W821*10)</f>
        <v>0</v>
      </c>
      <c r="P821" s="783">
        <f>Gegenstände!AA821*10</f>
        <v>0</v>
      </c>
      <c r="Q821" s="783">
        <f>Gegenstände!O821</f>
        <v>0</v>
      </c>
      <c r="R821" s="168">
        <f>Gegenstände!S821</f>
        <v>0</v>
      </c>
      <c r="S821" s="168">
        <f>Gegenstände!T821</f>
        <v>0</v>
      </c>
      <c r="T821" s="783">
        <f>Gegenstände!AC821</f>
        <v>0</v>
      </c>
      <c r="U821" s="783">
        <f>Gegenstände!AE821</f>
        <v>0</v>
      </c>
      <c r="V821" s="783">
        <f>Gegenstände!AD821</f>
        <v>0</v>
      </c>
      <c r="W821" s="783">
        <f>Gegenstände!AF821</f>
        <v>0</v>
      </c>
      <c r="AB821" s="3">
        <f>Gegenstände!M821</f>
        <v>0</v>
      </c>
      <c r="AC821" s="3">
        <f>Gegenstände!AB821</f>
        <v>0</v>
      </c>
      <c r="AD821" s="3">
        <f>Gegenstände!F821</f>
        <v>2514</v>
      </c>
    </row>
    <row r="822" spans="1:30" x14ac:dyDescent="0.2">
      <c r="A822" s="3">
        <f>Gegenstände!A822</f>
        <v>3515</v>
      </c>
      <c r="B822" s="3" t="str">
        <f>Gegenstände!B822</f>
        <v>Obsidian-Prunkschild (Plan)</v>
      </c>
      <c r="D822" s="3">
        <f>Gegenstände!K822</f>
        <v>1000</v>
      </c>
      <c r="E822" s="3">
        <f>Gegenstände!I822</f>
        <v>35</v>
      </c>
      <c r="F822" s="3">
        <f>VLOOKUP(Gegenstände!E822,Berechnungen!$E$87:$F$115,2,FALSE)</f>
        <v>35</v>
      </c>
      <c r="G822" s="3">
        <f>Gegenstände!H822</f>
        <v>2</v>
      </c>
      <c r="H822" s="3">
        <f>Gegenstände!G822</f>
        <v>62</v>
      </c>
      <c r="I822" s="3">
        <f>Gegenstände!D822</f>
        <v>24</v>
      </c>
      <c r="J822" s="168">
        <f>ROUND(Gegenstände!N822,0)</f>
        <v>44400</v>
      </c>
      <c r="K822" s="3">
        <f>Gegenstände!J822</f>
        <v>100</v>
      </c>
      <c r="L822" s="3">
        <f>Gegenstände!L822</f>
        <v>1</v>
      </c>
      <c r="M822" s="3">
        <f>Gegenstände!Z822</f>
        <v>0</v>
      </c>
      <c r="N822" s="783">
        <f>(Gegenstände!Y822*10)</f>
        <v>0</v>
      </c>
      <c r="O822" s="783">
        <f>(Gegenstände!W822*10)</f>
        <v>0</v>
      </c>
      <c r="P822" s="783">
        <f>Gegenstände!AA822*10</f>
        <v>0</v>
      </c>
      <c r="Q822" s="783">
        <f>Gegenstände!O822</f>
        <v>0</v>
      </c>
      <c r="R822" s="168">
        <f>Gegenstände!S822</f>
        <v>0</v>
      </c>
      <c r="S822" s="168">
        <f>Gegenstände!T822</f>
        <v>0</v>
      </c>
      <c r="T822" s="783">
        <f>Gegenstände!AC822</f>
        <v>0</v>
      </c>
      <c r="U822" s="783">
        <f>Gegenstände!AE822</f>
        <v>0</v>
      </c>
      <c r="V822" s="783">
        <f>Gegenstände!AD822</f>
        <v>0</v>
      </c>
      <c r="W822" s="783">
        <f>Gegenstände!AF822</f>
        <v>0</v>
      </c>
      <c r="AB822" s="3">
        <f>Gegenstände!M822</f>
        <v>0</v>
      </c>
      <c r="AC822" s="3">
        <f>Gegenstände!AB822</f>
        <v>0</v>
      </c>
      <c r="AD822" s="3">
        <f>Gegenstände!F822</f>
        <v>2515</v>
      </c>
    </row>
    <row r="823" spans="1:30" x14ac:dyDescent="0.2">
      <c r="A823" s="3">
        <f>Gegenstände!A823</f>
        <v>0</v>
      </c>
      <c r="B823" s="3">
        <f>Gegenstände!B823</f>
        <v>0</v>
      </c>
      <c r="D823" s="3">
        <f>Gegenstände!K823</f>
        <v>0</v>
      </c>
      <c r="E823" s="3">
        <f>Gegenstände!I823</f>
        <v>0</v>
      </c>
      <c r="F823" s="3" t="e">
        <f>VLOOKUP(Gegenstände!E823,Berechnungen!$E$87:$F$115,2,FALSE)</f>
        <v>#N/A</v>
      </c>
      <c r="G823" s="3">
        <f>Gegenstände!H823</f>
        <v>0</v>
      </c>
      <c r="H823" s="3">
        <f>Gegenstände!G823</f>
        <v>0</v>
      </c>
      <c r="I823" s="3">
        <f>Gegenstände!D823</f>
        <v>0</v>
      </c>
      <c r="J823" s="168">
        <f>ROUND(Gegenstände!N823,0)</f>
        <v>0</v>
      </c>
      <c r="K823" s="3">
        <f>Gegenstände!J823</f>
        <v>0</v>
      </c>
      <c r="L823" s="3">
        <f>Gegenstände!L823</f>
        <v>0</v>
      </c>
      <c r="M823" s="3">
        <f>Gegenstände!Z823</f>
        <v>0</v>
      </c>
      <c r="N823" s="783">
        <f>(Gegenstände!Y823*10)</f>
        <v>0</v>
      </c>
      <c r="O823" s="783">
        <f>(Gegenstände!W823*10)</f>
        <v>0</v>
      </c>
      <c r="P823" s="783">
        <f>Gegenstände!AA823*10</f>
        <v>0</v>
      </c>
      <c r="Q823" s="783">
        <f>Gegenstände!O823</f>
        <v>0</v>
      </c>
      <c r="R823" s="168">
        <f>Gegenstände!S823</f>
        <v>0</v>
      </c>
      <c r="S823" s="168">
        <f>Gegenstände!T823</f>
        <v>0</v>
      </c>
      <c r="T823" s="783">
        <f>Gegenstände!AC823</f>
        <v>0</v>
      </c>
      <c r="U823" s="783">
        <f>Gegenstände!AE823</f>
        <v>0</v>
      </c>
      <c r="V823" s="783">
        <f>Gegenstände!AD823</f>
        <v>0</v>
      </c>
      <c r="W823" s="783">
        <f>Gegenstände!AF823</f>
        <v>0</v>
      </c>
      <c r="AB823" s="3">
        <f>Gegenstände!M823</f>
        <v>0</v>
      </c>
      <c r="AC823" s="3">
        <f>Gegenstände!AB823</f>
        <v>0</v>
      </c>
      <c r="AD823" s="3">
        <f>Gegenstände!F823</f>
        <v>0</v>
      </c>
    </row>
    <row r="824" spans="1:30" x14ac:dyDescent="0.2">
      <c r="A824" s="3">
        <f>Gegenstände!A824</f>
        <v>3601</v>
      </c>
      <c r="B824" s="3" t="str">
        <f>Gegenstände!B824</f>
        <v>Pyrit-Feuerstab (Plan)</v>
      </c>
      <c r="D824" s="3">
        <f>Gegenstände!K824</f>
        <v>1000</v>
      </c>
      <c r="E824" s="3">
        <f>Gegenstände!I824</f>
        <v>35</v>
      </c>
      <c r="F824" s="3">
        <f>VLOOKUP(Gegenstände!E824,Berechnungen!$E$87:$F$115,2,FALSE)</f>
        <v>35</v>
      </c>
      <c r="G824" s="3">
        <f>Gegenstände!H824</f>
        <v>2</v>
      </c>
      <c r="H824" s="3">
        <f>Gegenstände!G824</f>
        <v>63</v>
      </c>
      <c r="I824" s="3">
        <f>Gegenstände!D824</f>
        <v>3</v>
      </c>
      <c r="J824" s="168">
        <f>ROUND(Gegenstände!N824,0)</f>
        <v>5500</v>
      </c>
      <c r="K824" s="3">
        <f>Gegenstände!J824</f>
        <v>100</v>
      </c>
      <c r="L824" s="3">
        <f>Gegenstände!L824</f>
        <v>1</v>
      </c>
      <c r="M824" s="3">
        <f>Gegenstände!Z824</f>
        <v>0</v>
      </c>
      <c r="N824" s="783">
        <f>(Gegenstände!Y824*10)</f>
        <v>0</v>
      </c>
      <c r="O824" s="783">
        <f>(Gegenstände!W824*10)</f>
        <v>0</v>
      </c>
      <c r="P824" s="783">
        <f>Gegenstände!AA824*10</f>
        <v>0</v>
      </c>
      <c r="Q824" s="783">
        <f>Gegenstände!O824</f>
        <v>0</v>
      </c>
      <c r="R824" s="168">
        <f>Gegenstände!S824</f>
        <v>0</v>
      </c>
      <c r="S824" s="168">
        <f>Gegenstände!T824</f>
        <v>0</v>
      </c>
      <c r="T824" s="783">
        <f>Gegenstände!AC824</f>
        <v>0</v>
      </c>
      <c r="U824" s="783">
        <f>Gegenstände!AE824</f>
        <v>0</v>
      </c>
      <c r="V824" s="783">
        <f>Gegenstände!AD824</f>
        <v>0</v>
      </c>
      <c r="W824" s="783">
        <f>Gegenstände!AF824</f>
        <v>0</v>
      </c>
      <c r="AB824" s="3">
        <f>Gegenstände!M824</f>
        <v>0</v>
      </c>
      <c r="AC824" s="3">
        <f>Gegenstände!AB824</f>
        <v>0</v>
      </c>
      <c r="AD824" s="3">
        <f>Gegenstände!F824</f>
        <v>2601</v>
      </c>
    </row>
    <row r="825" spans="1:30" x14ac:dyDescent="0.2">
      <c r="A825" s="3">
        <f>Gegenstände!A825</f>
        <v>3602</v>
      </c>
      <c r="B825" s="3" t="str">
        <f>Gegenstände!B825</f>
        <v>Jaspis-Feuerstab (Plan)</v>
      </c>
      <c r="D825" s="3">
        <f>Gegenstände!K825</f>
        <v>1000</v>
      </c>
      <c r="E825" s="3">
        <f>Gegenstände!I825</f>
        <v>35</v>
      </c>
      <c r="F825" s="3">
        <f>VLOOKUP(Gegenstände!E825,Berechnungen!$E$87:$F$115,2,FALSE)</f>
        <v>35</v>
      </c>
      <c r="G825" s="3">
        <f>Gegenstände!H825</f>
        <v>2</v>
      </c>
      <c r="H825" s="3">
        <f>Gegenstände!G825</f>
        <v>63</v>
      </c>
      <c r="I825" s="3">
        <f>Gegenstände!D825</f>
        <v>8</v>
      </c>
      <c r="J825" s="168">
        <f>ROUND(Gegenstände!N825,0)</f>
        <v>11100</v>
      </c>
      <c r="K825" s="3">
        <f>Gegenstände!J825</f>
        <v>100</v>
      </c>
      <c r="L825" s="3">
        <f>Gegenstände!L825</f>
        <v>1</v>
      </c>
      <c r="M825" s="3">
        <f>Gegenstände!Z825</f>
        <v>0</v>
      </c>
      <c r="N825" s="783">
        <f>(Gegenstände!Y825*10)</f>
        <v>0</v>
      </c>
      <c r="O825" s="783">
        <f>(Gegenstände!W825*10)</f>
        <v>0</v>
      </c>
      <c r="P825" s="783">
        <f>Gegenstände!AA825*10</f>
        <v>0</v>
      </c>
      <c r="Q825" s="783">
        <f>Gegenstände!O825</f>
        <v>0</v>
      </c>
      <c r="R825" s="168">
        <f>Gegenstände!S825</f>
        <v>0</v>
      </c>
      <c r="S825" s="168">
        <f>Gegenstände!T825</f>
        <v>0</v>
      </c>
      <c r="T825" s="783">
        <f>Gegenstände!AC825</f>
        <v>0</v>
      </c>
      <c r="U825" s="783">
        <f>Gegenstände!AE825</f>
        <v>0</v>
      </c>
      <c r="V825" s="783">
        <f>Gegenstände!AD825</f>
        <v>0</v>
      </c>
      <c r="W825" s="783">
        <f>Gegenstände!AF825</f>
        <v>0</v>
      </c>
      <c r="AB825" s="3">
        <f>Gegenstände!M825</f>
        <v>0</v>
      </c>
      <c r="AC825" s="3">
        <f>Gegenstände!AB825</f>
        <v>0</v>
      </c>
      <c r="AD825" s="3">
        <f>Gegenstände!F825</f>
        <v>2602</v>
      </c>
    </row>
    <row r="826" spans="1:30" x14ac:dyDescent="0.2">
      <c r="A826" s="3">
        <f>Gegenstände!A826</f>
        <v>3603</v>
      </c>
      <c r="B826" s="3" t="str">
        <f>Gegenstände!B826</f>
        <v>Perlmutt-Feuerstab (Plan)</v>
      </c>
      <c r="D826" s="3">
        <f>Gegenstände!K826</f>
        <v>1000</v>
      </c>
      <c r="E826" s="3">
        <f>Gegenstände!I826</f>
        <v>35</v>
      </c>
      <c r="F826" s="3">
        <f>VLOOKUP(Gegenstände!E826,Berechnungen!$E$87:$F$115,2,FALSE)</f>
        <v>35</v>
      </c>
      <c r="G826" s="3">
        <f>Gegenstände!H826</f>
        <v>2</v>
      </c>
      <c r="H826" s="3">
        <f>Gegenstände!G826</f>
        <v>63</v>
      </c>
      <c r="I826" s="3">
        <f>Gegenstände!D826</f>
        <v>13</v>
      </c>
      <c r="J826" s="168">
        <f>ROUND(Gegenstände!N826,0)</f>
        <v>22300</v>
      </c>
      <c r="K826" s="3">
        <f>Gegenstände!J826</f>
        <v>100</v>
      </c>
      <c r="L826" s="3">
        <f>Gegenstände!L826</f>
        <v>1</v>
      </c>
      <c r="M826" s="3">
        <f>Gegenstände!Z826</f>
        <v>0</v>
      </c>
      <c r="N826" s="783">
        <f>(Gegenstände!Y826*10)</f>
        <v>0</v>
      </c>
      <c r="O826" s="783">
        <f>(Gegenstände!W826*10)</f>
        <v>0</v>
      </c>
      <c r="P826" s="783">
        <f>Gegenstände!AA826*10</f>
        <v>0</v>
      </c>
      <c r="Q826" s="783">
        <f>Gegenstände!O826</f>
        <v>0</v>
      </c>
      <c r="R826" s="168">
        <f>Gegenstände!S826</f>
        <v>0</v>
      </c>
      <c r="S826" s="168">
        <f>Gegenstände!T826</f>
        <v>0</v>
      </c>
      <c r="T826" s="783">
        <f>Gegenstände!AC826</f>
        <v>0</v>
      </c>
      <c r="U826" s="783">
        <f>Gegenstände!AE826</f>
        <v>0</v>
      </c>
      <c r="V826" s="783">
        <f>Gegenstände!AD826</f>
        <v>0</v>
      </c>
      <c r="W826" s="783">
        <f>Gegenstände!AF826</f>
        <v>0</v>
      </c>
      <c r="AB826" s="3">
        <f>Gegenstände!M826</f>
        <v>0</v>
      </c>
      <c r="AC826" s="3">
        <f>Gegenstände!AB826</f>
        <v>0</v>
      </c>
      <c r="AD826" s="3">
        <f>Gegenstände!F826</f>
        <v>2603</v>
      </c>
    </row>
    <row r="827" spans="1:30" x14ac:dyDescent="0.2">
      <c r="A827" s="3">
        <f>Gegenstände!A827</f>
        <v>3604</v>
      </c>
      <c r="B827" s="3" t="str">
        <f>Gegenstände!B827</f>
        <v>Jade-Feuerstab (Plan)</v>
      </c>
      <c r="D827" s="3">
        <f>Gegenstände!K827</f>
        <v>1000</v>
      </c>
      <c r="E827" s="3">
        <f>Gegenstände!I827</f>
        <v>35</v>
      </c>
      <c r="F827" s="3">
        <f>VLOOKUP(Gegenstände!E827,Berechnungen!$E$87:$F$115,2,FALSE)</f>
        <v>35</v>
      </c>
      <c r="G827" s="3">
        <f>Gegenstände!H827</f>
        <v>2</v>
      </c>
      <c r="H827" s="3">
        <f>Gegenstände!G827</f>
        <v>63</v>
      </c>
      <c r="I827" s="3">
        <f>Gegenstände!D827</f>
        <v>18</v>
      </c>
      <c r="J827" s="168">
        <f>ROUND(Gegenstände!N827,0)</f>
        <v>42300</v>
      </c>
      <c r="K827" s="3">
        <f>Gegenstände!J827</f>
        <v>100</v>
      </c>
      <c r="L827" s="3">
        <f>Gegenstände!L827</f>
        <v>1</v>
      </c>
      <c r="M827" s="3">
        <f>Gegenstände!Z827</f>
        <v>0</v>
      </c>
      <c r="N827" s="783">
        <f>(Gegenstände!Y827*10)</f>
        <v>0</v>
      </c>
      <c r="O827" s="783">
        <f>(Gegenstände!W827*10)</f>
        <v>0</v>
      </c>
      <c r="P827" s="783">
        <f>Gegenstände!AA827*10</f>
        <v>0</v>
      </c>
      <c r="Q827" s="783">
        <f>Gegenstände!O827</f>
        <v>0</v>
      </c>
      <c r="R827" s="168">
        <f>Gegenstände!S827</f>
        <v>0</v>
      </c>
      <c r="S827" s="168">
        <f>Gegenstände!T827</f>
        <v>0</v>
      </c>
      <c r="T827" s="783">
        <f>Gegenstände!AC827</f>
        <v>0</v>
      </c>
      <c r="U827" s="783">
        <f>Gegenstände!AE827</f>
        <v>0</v>
      </c>
      <c r="V827" s="783">
        <f>Gegenstände!AD827</f>
        <v>0</v>
      </c>
      <c r="W827" s="783">
        <f>Gegenstände!AF827</f>
        <v>0</v>
      </c>
      <c r="AB827" s="3">
        <f>Gegenstände!M827</f>
        <v>0</v>
      </c>
      <c r="AC827" s="3">
        <f>Gegenstände!AB827</f>
        <v>0</v>
      </c>
      <c r="AD827" s="3">
        <f>Gegenstände!F827</f>
        <v>2604</v>
      </c>
    </row>
    <row r="828" spans="1:30" x14ac:dyDescent="0.2">
      <c r="A828" s="3">
        <f>Gegenstände!A828</f>
        <v>3605</v>
      </c>
      <c r="B828" s="3" t="str">
        <f>Gegenstände!B828</f>
        <v>Onyx-Feuerstab (Plan)</v>
      </c>
      <c r="D828" s="3">
        <f>Gegenstände!K828</f>
        <v>1000</v>
      </c>
      <c r="E828" s="3">
        <f>Gegenstände!I828</f>
        <v>35</v>
      </c>
      <c r="F828" s="3">
        <f>VLOOKUP(Gegenstände!E828,Berechnungen!$E$87:$F$115,2,FALSE)</f>
        <v>35</v>
      </c>
      <c r="G828" s="3">
        <f>Gegenstände!H828</f>
        <v>2</v>
      </c>
      <c r="H828" s="3">
        <f>Gegenstände!G828</f>
        <v>63</v>
      </c>
      <c r="I828" s="3">
        <f>Gegenstände!D828</f>
        <v>24</v>
      </c>
      <c r="J828" s="168">
        <f>ROUND(Gegenstände!N828,0)</f>
        <v>82300</v>
      </c>
      <c r="K828" s="3">
        <f>Gegenstände!J828</f>
        <v>100</v>
      </c>
      <c r="L828" s="3">
        <f>Gegenstände!L828</f>
        <v>1</v>
      </c>
      <c r="M828" s="3">
        <f>Gegenstände!Z828</f>
        <v>0</v>
      </c>
      <c r="N828" s="783">
        <f>(Gegenstände!Y828*10)</f>
        <v>0</v>
      </c>
      <c r="O828" s="783">
        <f>(Gegenstände!W828*10)</f>
        <v>0</v>
      </c>
      <c r="P828" s="783">
        <f>Gegenstände!AA828*10</f>
        <v>0</v>
      </c>
      <c r="Q828" s="783">
        <f>Gegenstände!O828</f>
        <v>0</v>
      </c>
      <c r="R828" s="168">
        <f>Gegenstände!S828</f>
        <v>0</v>
      </c>
      <c r="S828" s="168">
        <f>Gegenstände!T828</f>
        <v>0</v>
      </c>
      <c r="T828" s="783">
        <f>Gegenstände!AC828</f>
        <v>0</v>
      </c>
      <c r="U828" s="783">
        <f>Gegenstände!AE828</f>
        <v>0</v>
      </c>
      <c r="V828" s="783">
        <f>Gegenstände!AD828</f>
        <v>0</v>
      </c>
      <c r="W828" s="783">
        <f>Gegenstände!AF828</f>
        <v>0</v>
      </c>
      <c r="AB828" s="3">
        <f>Gegenstände!M828</f>
        <v>0</v>
      </c>
      <c r="AC828" s="3">
        <f>Gegenstände!AB828</f>
        <v>0</v>
      </c>
      <c r="AD828" s="3">
        <f>Gegenstände!F828</f>
        <v>2605</v>
      </c>
    </row>
    <row r="829" spans="1:30" x14ac:dyDescent="0.2">
      <c r="A829" s="3">
        <f>Gegenstände!A829</f>
        <v>0</v>
      </c>
      <c r="B829" s="3">
        <f>Gegenstände!B829</f>
        <v>0</v>
      </c>
      <c r="D829" s="3">
        <f>Gegenstände!K829</f>
        <v>0</v>
      </c>
      <c r="E829" s="3">
        <f>Gegenstände!I829</f>
        <v>0</v>
      </c>
      <c r="F829" s="3" t="e">
        <f>VLOOKUP(Gegenstände!E829,Berechnungen!$E$87:$F$115,2,FALSE)</f>
        <v>#N/A</v>
      </c>
      <c r="G829" s="3">
        <f>Gegenstände!H829</f>
        <v>0</v>
      </c>
      <c r="H829" s="3">
        <f>Gegenstände!G829</f>
        <v>0</v>
      </c>
      <c r="I829" s="3">
        <f>Gegenstände!D829</f>
        <v>0</v>
      </c>
      <c r="J829" s="168">
        <f>ROUND(Gegenstände!N829,0)</f>
        <v>0</v>
      </c>
      <c r="K829" s="3">
        <f>Gegenstände!J829</f>
        <v>0</v>
      </c>
      <c r="L829" s="3">
        <f>Gegenstände!L829</f>
        <v>0</v>
      </c>
      <c r="M829" s="3">
        <f>Gegenstände!Z829</f>
        <v>0</v>
      </c>
      <c r="N829" s="783">
        <f>(Gegenstände!Y829*10)</f>
        <v>0</v>
      </c>
      <c r="O829" s="783">
        <f>(Gegenstände!W829*10)</f>
        <v>0</v>
      </c>
      <c r="P829" s="783">
        <f>Gegenstände!AA829*10</f>
        <v>0</v>
      </c>
      <c r="Q829" s="783">
        <f>Gegenstände!O829</f>
        <v>0</v>
      </c>
      <c r="R829" s="168">
        <f>Gegenstände!S829</f>
        <v>0</v>
      </c>
      <c r="S829" s="168">
        <f>Gegenstände!T829</f>
        <v>0</v>
      </c>
      <c r="T829" s="783">
        <f>Gegenstände!AC829</f>
        <v>0</v>
      </c>
      <c r="U829" s="783">
        <f>Gegenstände!AE829</f>
        <v>0</v>
      </c>
      <c r="V829" s="783">
        <f>Gegenstände!AD829</f>
        <v>0</v>
      </c>
      <c r="W829" s="783">
        <f>Gegenstände!AF829</f>
        <v>0</v>
      </c>
      <c r="AB829" s="3">
        <f>Gegenstände!M829</f>
        <v>0</v>
      </c>
      <c r="AC829" s="3">
        <f>Gegenstände!AB829</f>
        <v>0</v>
      </c>
      <c r="AD829" s="3">
        <f>Gegenstände!F829</f>
        <v>0</v>
      </c>
    </row>
    <row r="830" spans="1:30" x14ac:dyDescent="0.2">
      <c r="A830" s="3">
        <f>Gegenstände!A830</f>
        <v>3611</v>
      </c>
      <c r="B830" s="3" t="str">
        <f>Gegenstände!B830</f>
        <v>Pyrit-Wasserstab (Plan)</v>
      </c>
      <c r="D830" s="3">
        <f>Gegenstände!K830</f>
        <v>1000</v>
      </c>
      <c r="E830" s="3">
        <f>Gegenstände!I830</f>
        <v>35</v>
      </c>
      <c r="F830" s="3">
        <f>VLOOKUP(Gegenstände!E830,Berechnungen!$E$87:$F$115,2,FALSE)</f>
        <v>35</v>
      </c>
      <c r="G830" s="3">
        <f>Gegenstände!H830</f>
        <v>2</v>
      </c>
      <c r="H830" s="3">
        <f>Gegenstände!G830</f>
        <v>63</v>
      </c>
      <c r="I830" s="3">
        <f>Gegenstände!D830</f>
        <v>3</v>
      </c>
      <c r="J830" s="168">
        <f>ROUND(Gegenstände!N830,0)</f>
        <v>5500</v>
      </c>
      <c r="K830" s="3">
        <f>Gegenstände!J830</f>
        <v>100</v>
      </c>
      <c r="L830" s="3">
        <f>Gegenstände!L830</f>
        <v>1</v>
      </c>
      <c r="M830" s="3">
        <f>Gegenstände!Z830</f>
        <v>0</v>
      </c>
      <c r="N830" s="783">
        <f>(Gegenstände!Y830*10)</f>
        <v>0</v>
      </c>
      <c r="O830" s="783">
        <f>(Gegenstände!W830*10)</f>
        <v>0</v>
      </c>
      <c r="P830" s="783">
        <f>Gegenstände!AA830*10</f>
        <v>0</v>
      </c>
      <c r="Q830" s="783">
        <f>Gegenstände!O830</f>
        <v>0</v>
      </c>
      <c r="R830" s="168">
        <f>Gegenstände!S830</f>
        <v>0</v>
      </c>
      <c r="S830" s="168">
        <f>Gegenstände!T830</f>
        <v>0</v>
      </c>
      <c r="T830" s="783">
        <f>Gegenstände!AC830</f>
        <v>0</v>
      </c>
      <c r="U830" s="783">
        <f>Gegenstände!AE830</f>
        <v>0</v>
      </c>
      <c r="V830" s="783">
        <f>Gegenstände!AD830</f>
        <v>0</v>
      </c>
      <c r="W830" s="783">
        <f>Gegenstände!AF830</f>
        <v>0</v>
      </c>
      <c r="AB830" s="3">
        <f>Gegenstände!M830</f>
        <v>0</v>
      </c>
      <c r="AC830" s="3">
        <f>Gegenstände!AB830</f>
        <v>0</v>
      </c>
      <c r="AD830" s="3">
        <f>Gegenstände!F830</f>
        <v>2611</v>
      </c>
    </row>
    <row r="831" spans="1:30" x14ac:dyDescent="0.2">
      <c r="A831" s="3">
        <f>Gegenstände!A831</f>
        <v>3612</v>
      </c>
      <c r="B831" s="3" t="str">
        <f>Gegenstände!B831</f>
        <v>Jaspis-Wasserstab (Plan)</v>
      </c>
      <c r="D831" s="3">
        <f>Gegenstände!K831</f>
        <v>1000</v>
      </c>
      <c r="E831" s="3">
        <f>Gegenstände!I831</f>
        <v>35</v>
      </c>
      <c r="F831" s="3">
        <f>VLOOKUP(Gegenstände!E831,Berechnungen!$E$87:$F$115,2,FALSE)</f>
        <v>35</v>
      </c>
      <c r="G831" s="3">
        <f>Gegenstände!H831</f>
        <v>2</v>
      </c>
      <c r="H831" s="3">
        <f>Gegenstände!G831</f>
        <v>63</v>
      </c>
      <c r="I831" s="3">
        <f>Gegenstände!D831</f>
        <v>8</v>
      </c>
      <c r="J831" s="168">
        <f>ROUND(Gegenstände!N831,0)</f>
        <v>11100</v>
      </c>
      <c r="K831" s="3">
        <f>Gegenstände!J831</f>
        <v>100</v>
      </c>
      <c r="L831" s="3">
        <f>Gegenstände!L831</f>
        <v>1</v>
      </c>
      <c r="M831" s="3">
        <f>Gegenstände!Z831</f>
        <v>0</v>
      </c>
      <c r="N831" s="783">
        <f>(Gegenstände!Y831*10)</f>
        <v>0</v>
      </c>
      <c r="O831" s="783">
        <f>(Gegenstände!W831*10)</f>
        <v>0</v>
      </c>
      <c r="P831" s="783">
        <f>Gegenstände!AA831*10</f>
        <v>0</v>
      </c>
      <c r="Q831" s="783">
        <f>Gegenstände!O831</f>
        <v>0</v>
      </c>
      <c r="R831" s="168">
        <f>Gegenstände!S831</f>
        <v>0</v>
      </c>
      <c r="S831" s="168">
        <f>Gegenstände!T831</f>
        <v>0</v>
      </c>
      <c r="T831" s="783">
        <f>Gegenstände!AC831</f>
        <v>0</v>
      </c>
      <c r="U831" s="783">
        <f>Gegenstände!AE831</f>
        <v>0</v>
      </c>
      <c r="V831" s="783">
        <f>Gegenstände!AD831</f>
        <v>0</v>
      </c>
      <c r="W831" s="783">
        <f>Gegenstände!AF831</f>
        <v>0</v>
      </c>
      <c r="AB831" s="3">
        <f>Gegenstände!M831</f>
        <v>0</v>
      </c>
      <c r="AC831" s="3">
        <f>Gegenstände!AB831</f>
        <v>0</v>
      </c>
      <c r="AD831" s="3">
        <f>Gegenstände!F831</f>
        <v>2612</v>
      </c>
    </row>
    <row r="832" spans="1:30" x14ac:dyDescent="0.2">
      <c r="A832" s="3">
        <f>Gegenstände!A832</f>
        <v>3613</v>
      </c>
      <c r="B832" s="3" t="str">
        <f>Gegenstände!B832</f>
        <v>Perlmutt-Wasserstab (Plan)</v>
      </c>
      <c r="D832" s="3">
        <f>Gegenstände!K832</f>
        <v>1000</v>
      </c>
      <c r="E832" s="3">
        <f>Gegenstände!I832</f>
        <v>35</v>
      </c>
      <c r="F832" s="3">
        <f>VLOOKUP(Gegenstände!E832,Berechnungen!$E$87:$F$115,2,FALSE)</f>
        <v>35</v>
      </c>
      <c r="G832" s="3">
        <f>Gegenstände!H832</f>
        <v>2</v>
      </c>
      <c r="H832" s="3">
        <f>Gegenstände!G832</f>
        <v>63</v>
      </c>
      <c r="I832" s="3">
        <f>Gegenstände!D832</f>
        <v>13</v>
      </c>
      <c r="J832" s="168">
        <f>ROUND(Gegenstände!N832,0)</f>
        <v>22300</v>
      </c>
      <c r="K832" s="3">
        <f>Gegenstände!J832</f>
        <v>100</v>
      </c>
      <c r="L832" s="3">
        <f>Gegenstände!L832</f>
        <v>1</v>
      </c>
      <c r="M832" s="3">
        <f>Gegenstände!Z832</f>
        <v>0</v>
      </c>
      <c r="N832" s="783">
        <f>(Gegenstände!Y832*10)</f>
        <v>0</v>
      </c>
      <c r="O832" s="783">
        <f>(Gegenstände!W832*10)</f>
        <v>0</v>
      </c>
      <c r="P832" s="783">
        <f>Gegenstände!AA832*10</f>
        <v>0</v>
      </c>
      <c r="Q832" s="783">
        <f>Gegenstände!O832</f>
        <v>0</v>
      </c>
      <c r="R832" s="168">
        <f>Gegenstände!S832</f>
        <v>0</v>
      </c>
      <c r="S832" s="168">
        <f>Gegenstände!T832</f>
        <v>0</v>
      </c>
      <c r="T832" s="783">
        <f>Gegenstände!AC832</f>
        <v>0</v>
      </c>
      <c r="U832" s="783">
        <f>Gegenstände!AE832</f>
        <v>0</v>
      </c>
      <c r="V832" s="783">
        <f>Gegenstände!AD832</f>
        <v>0</v>
      </c>
      <c r="W832" s="783">
        <f>Gegenstände!AF832</f>
        <v>0</v>
      </c>
      <c r="AB832" s="3">
        <f>Gegenstände!M832</f>
        <v>0</v>
      </c>
      <c r="AC832" s="3">
        <f>Gegenstände!AB832</f>
        <v>0</v>
      </c>
      <c r="AD832" s="3">
        <f>Gegenstände!F832</f>
        <v>2613</v>
      </c>
    </row>
    <row r="833" spans="1:30" x14ac:dyDescent="0.2">
      <c r="A833" s="3">
        <f>Gegenstände!A833</f>
        <v>3614</v>
      </c>
      <c r="B833" s="3" t="str">
        <f>Gegenstände!B833</f>
        <v>Jade-Wasserstab (Plan)</v>
      </c>
      <c r="D833" s="3">
        <f>Gegenstände!K833</f>
        <v>1000</v>
      </c>
      <c r="E833" s="3">
        <f>Gegenstände!I833</f>
        <v>35</v>
      </c>
      <c r="F833" s="3">
        <f>VLOOKUP(Gegenstände!E833,Berechnungen!$E$87:$F$115,2,FALSE)</f>
        <v>35</v>
      </c>
      <c r="G833" s="3">
        <f>Gegenstände!H833</f>
        <v>2</v>
      </c>
      <c r="H833" s="3">
        <f>Gegenstände!G833</f>
        <v>63</v>
      </c>
      <c r="I833" s="3">
        <f>Gegenstände!D833</f>
        <v>18</v>
      </c>
      <c r="J833" s="168">
        <f>ROUND(Gegenstände!N833,0)</f>
        <v>42300</v>
      </c>
      <c r="K833" s="3">
        <f>Gegenstände!J833</f>
        <v>100</v>
      </c>
      <c r="L833" s="3">
        <f>Gegenstände!L833</f>
        <v>1</v>
      </c>
      <c r="M833" s="3">
        <f>Gegenstände!Z833</f>
        <v>0</v>
      </c>
      <c r="N833" s="783">
        <f>(Gegenstände!Y833*10)</f>
        <v>0</v>
      </c>
      <c r="O833" s="783">
        <f>(Gegenstände!W833*10)</f>
        <v>0</v>
      </c>
      <c r="P833" s="783">
        <f>Gegenstände!AA833*10</f>
        <v>0</v>
      </c>
      <c r="Q833" s="783">
        <f>Gegenstände!O833</f>
        <v>0</v>
      </c>
      <c r="R833" s="168">
        <f>Gegenstände!S833</f>
        <v>0</v>
      </c>
      <c r="S833" s="168">
        <f>Gegenstände!T833</f>
        <v>0</v>
      </c>
      <c r="T833" s="783">
        <f>Gegenstände!AC833</f>
        <v>0</v>
      </c>
      <c r="U833" s="783">
        <f>Gegenstände!AE833</f>
        <v>0</v>
      </c>
      <c r="V833" s="783">
        <f>Gegenstände!AD833</f>
        <v>0</v>
      </c>
      <c r="W833" s="783">
        <f>Gegenstände!AF833</f>
        <v>0</v>
      </c>
      <c r="AB833" s="3">
        <f>Gegenstände!M833</f>
        <v>0</v>
      </c>
      <c r="AC833" s="3">
        <f>Gegenstände!AB833</f>
        <v>0</v>
      </c>
      <c r="AD833" s="3">
        <f>Gegenstände!F833</f>
        <v>2614</v>
      </c>
    </row>
    <row r="834" spans="1:30" x14ac:dyDescent="0.2">
      <c r="A834" s="3">
        <f>Gegenstände!A834</f>
        <v>3615</v>
      </c>
      <c r="B834" s="3" t="str">
        <f>Gegenstände!B834</f>
        <v>Onyx-Wasserstab (Plan)</v>
      </c>
      <c r="D834" s="3">
        <f>Gegenstände!K834</f>
        <v>1000</v>
      </c>
      <c r="E834" s="3">
        <f>Gegenstände!I834</f>
        <v>35</v>
      </c>
      <c r="F834" s="3">
        <f>VLOOKUP(Gegenstände!E834,Berechnungen!$E$87:$F$115,2,FALSE)</f>
        <v>35</v>
      </c>
      <c r="G834" s="3">
        <f>Gegenstände!H834</f>
        <v>2</v>
      </c>
      <c r="H834" s="3">
        <f>Gegenstände!G834</f>
        <v>63</v>
      </c>
      <c r="I834" s="3">
        <f>Gegenstände!D834</f>
        <v>24</v>
      </c>
      <c r="J834" s="168">
        <f>ROUND(Gegenstände!N834,0)</f>
        <v>82300</v>
      </c>
      <c r="K834" s="3">
        <f>Gegenstände!J834</f>
        <v>100</v>
      </c>
      <c r="L834" s="3">
        <f>Gegenstände!L834</f>
        <v>1</v>
      </c>
      <c r="M834" s="3">
        <f>Gegenstände!Z834</f>
        <v>0</v>
      </c>
      <c r="N834" s="783">
        <f>(Gegenstände!Y834*10)</f>
        <v>0</v>
      </c>
      <c r="O834" s="783">
        <f>(Gegenstände!W834*10)</f>
        <v>0</v>
      </c>
      <c r="P834" s="783">
        <f>Gegenstände!AA834*10</f>
        <v>0</v>
      </c>
      <c r="Q834" s="783">
        <f>Gegenstände!O834</f>
        <v>0</v>
      </c>
      <c r="R834" s="168">
        <f>Gegenstände!S834</f>
        <v>0</v>
      </c>
      <c r="S834" s="168">
        <f>Gegenstände!T834</f>
        <v>0</v>
      </c>
      <c r="T834" s="783">
        <f>Gegenstände!AC834</f>
        <v>0</v>
      </c>
      <c r="U834" s="783">
        <f>Gegenstände!AE834</f>
        <v>0</v>
      </c>
      <c r="V834" s="783">
        <f>Gegenstände!AD834</f>
        <v>0</v>
      </c>
      <c r="W834" s="783">
        <f>Gegenstände!AF834</f>
        <v>0</v>
      </c>
      <c r="AB834" s="3">
        <f>Gegenstände!M834</f>
        <v>0</v>
      </c>
      <c r="AC834" s="3">
        <f>Gegenstände!AB834</f>
        <v>0</v>
      </c>
      <c r="AD834" s="3">
        <f>Gegenstände!F834</f>
        <v>2615</v>
      </c>
    </row>
    <row r="835" spans="1:30" x14ac:dyDescent="0.2">
      <c r="A835" s="3">
        <f>Gegenstände!A835</f>
        <v>0</v>
      </c>
      <c r="B835" s="3">
        <f>Gegenstände!B835</f>
        <v>0</v>
      </c>
      <c r="D835" s="3">
        <f>Gegenstände!K835</f>
        <v>0</v>
      </c>
      <c r="E835" s="3">
        <f>Gegenstände!I835</f>
        <v>0</v>
      </c>
      <c r="F835" s="3" t="e">
        <f>VLOOKUP(Gegenstände!E835,Berechnungen!$E$87:$F$115,2,FALSE)</f>
        <v>#N/A</v>
      </c>
      <c r="G835" s="3">
        <f>Gegenstände!H835</f>
        <v>0</v>
      </c>
      <c r="H835" s="3">
        <f>Gegenstände!G835</f>
        <v>0</v>
      </c>
      <c r="I835" s="3">
        <f>Gegenstände!D835</f>
        <v>0</v>
      </c>
      <c r="J835" s="168">
        <f>ROUND(Gegenstände!N835,0)</f>
        <v>0</v>
      </c>
      <c r="K835" s="3">
        <f>Gegenstände!J835</f>
        <v>0</v>
      </c>
      <c r="L835" s="3">
        <f>Gegenstände!L835</f>
        <v>0</v>
      </c>
      <c r="M835" s="3">
        <f>Gegenstände!Z835</f>
        <v>0</v>
      </c>
      <c r="N835" s="783">
        <f>(Gegenstände!Y835*10)</f>
        <v>0</v>
      </c>
      <c r="O835" s="783">
        <f>(Gegenstände!W835*10)</f>
        <v>0</v>
      </c>
      <c r="P835" s="783">
        <f>Gegenstände!AA835*10</f>
        <v>0</v>
      </c>
      <c r="Q835" s="783">
        <f>Gegenstände!O835</f>
        <v>0</v>
      </c>
      <c r="R835" s="168">
        <f>Gegenstände!S835</f>
        <v>0</v>
      </c>
      <c r="S835" s="168">
        <f>Gegenstände!T835</f>
        <v>0</v>
      </c>
      <c r="T835" s="783">
        <f>Gegenstände!AC835</f>
        <v>0</v>
      </c>
      <c r="U835" s="783">
        <f>Gegenstände!AE835</f>
        <v>0</v>
      </c>
      <c r="V835" s="783">
        <f>Gegenstände!AD835</f>
        <v>0</v>
      </c>
      <c r="W835" s="783">
        <f>Gegenstände!AF835</f>
        <v>0</v>
      </c>
      <c r="AB835" s="3">
        <f>Gegenstände!M835</f>
        <v>0</v>
      </c>
      <c r="AC835" s="3">
        <f>Gegenstände!AB835</f>
        <v>0</v>
      </c>
      <c r="AD835" s="3">
        <f>Gegenstände!F835</f>
        <v>0</v>
      </c>
    </row>
    <row r="836" spans="1:30" x14ac:dyDescent="0.2">
      <c r="A836" s="3">
        <f>Gegenstände!A836</f>
        <v>3621</v>
      </c>
      <c r="B836" s="3" t="str">
        <f>Gegenstände!B836</f>
        <v>Pyrit-Erdenstab (Plan)</v>
      </c>
      <c r="D836" s="3">
        <f>Gegenstände!K836</f>
        <v>1000</v>
      </c>
      <c r="E836" s="3">
        <f>Gegenstände!I836</f>
        <v>35</v>
      </c>
      <c r="F836" s="3">
        <f>VLOOKUP(Gegenstände!E836,Berechnungen!$E$87:$F$115,2,FALSE)</f>
        <v>35</v>
      </c>
      <c r="G836" s="3">
        <f>Gegenstände!H836</f>
        <v>2</v>
      </c>
      <c r="H836" s="3">
        <f>Gegenstände!G836</f>
        <v>63</v>
      </c>
      <c r="I836" s="3">
        <f>Gegenstände!D836</f>
        <v>3</v>
      </c>
      <c r="J836" s="168">
        <f>ROUND(Gegenstände!N836,0)</f>
        <v>5500</v>
      </c>
      <c r="K836" s="3">
        <f>Gegenstände!J836</f>
        <v>100</v>
      </c>
      <c r="L836" s="3">
        <f>Gegenstände!L836</f>
        <v>1</v>
      </c>
      <c r="M836" s="3">
        <f>Gegenstände!Z836</f>
        <v>0</v>
      </c>
      <c r="N836" s="783">
        <f>(Gegenstände!Y836*10)</f>
        <v>0</v>
      </c>
      <c r="O836" s="783">
        <f>(Gegenstände!W836*10)</f>
        <v>0</v>
      </c>
      <c r="P836" s="783">
        <f>Gegenstände!AA836*10</f>
        <v>0</v>
      </c>
      <c r="Q836" s="783">
        <f>Gegenstände!O836</f>
        <v>0</v>
      </c>
      <c r="R836" s="168">
        <f>Gegenstände!S836</f>
        <v>0</v>
      </c>
      <c r="S836" s="168">
        <f>Gegenstände!T836</f>
        <v>0</v>
      </c>
      <c r="T836" s="783">
        <f>Gegenstände!AC836</f>
        <v>0</v>
      </c>
      <c r="U836" s="783">
        <f>Gegenstände!AE836</f>
        <v>0</v>
      </c>
      <c r="V836" s="783">
        <f>Gegenstände!AD836</f>
        <v>0</v>
      </c>
      <c r="W836" s="783">
        <f>Gegenstände!AF836</f>
        <v>0</v>
      </c>
      <c r="AB836" s="3">
        <f>Gegenstände!M836</f>
        <v>0</v>
      </c>
      <c r="AC836" s="3">
        <f>Gegenstände!AB836</f>
        <v>0</v>
      </c>
      <c r="AD836" s="3">
        <f>Gegenstände!F836</f>
        <v>2621</v>
      </c>
    </row>
    <row r="837" spans="1:30" x14ac:dyDescent="0.2">
      <c r="A837" s="3">
        <f>Gegenstände!A837</f>
        <v>3622</v>
      </c>
      <c r="B837" s="3" t="str">
        <f>Gegenstände!B837</f>
        <v>Jaspis-Erdenstab (Plan)</v>
      </c>
      <c r="D837" s="3">
        <f>Gegenstände!K837</f>
        <v>1000</v>
      </c>
      <c r="E837" s="3">
        <f>Gegenstände!I837</f>
        <v>35</v>
      </c>
      <c r="F837" s="3">
        <f>VLOOKUP(Gegenstände!E837,Berechnungen!$E$87:$F$115,2,FALSE)</f>
        <v>35</v>
      </c>
      <c r="G837" s="3">
        <f>Gegenstände!H837</f>
        <v>2</v>
      </c>
      <c r="H837" s="3">
        <f>Gegenstände!G837</f>
        <v>63</v>
      </c>
      <c r="I837" s="3">
        <f>Gegenstände!D837</f>
        <v>8</v>
      </c>
      <c r="J837" s="168">
        <f>ROUND(Gegenstände!N837,0)</f>
        <v>11100</v>
      </c>
      <c r="K837" s="3">
        <f>Gegenstände!J837</f>
        <v>100</v>
      </c>
      <c r="L837" s="3">
        <f>Gegenstände!L837</f>
        <v>1</v>
      </c>
      <c r="M837" s="3">
        <f>Gegenstände!Z837</f>
        <v>0</v>
      </c>
      <c r="N837" s="783">
        <f>(Gegenstände!Y837*10)</f>
        <v>0</v>
      </c>
      <c r="O837" s="783">
        <f>(Gegenstände!W837*10)</f>
        <v>0</v>
      </c>
      <c r="P837" s="783">
        <f>Gegenstände!AA837*10</f>
        <v>0</v>
      </c>
      <c r="Q837" s="783">
        <f>Gegenstände!O837</f>
        <v>0</v>
      </c>
      <c r="R837" s="168">
        <f>Gegenstände!S837</f>
        <v>0</v>
      </c>
      <c r="S837" s="168">
        <f>Gegenstände!T837</f>
        <v>0</v>
      </c>
      <c r="T837" s="783">
        <f>Gegenstände!AC837</f>
        <v>0</v>
      </c>
      <c r="U837" s="783">
        <f>Gegenstände!AE837</f>
        <v>0</v>
      </c>
      <c r="V837" s="783">
        <f>Gegenstände!AD837</f>
        <v>0</v>
      </c>
      <c r="W837" s="783">
        <f>Gegenstände!AF837</f>
        <v>0</v>
      </c>
      <c r="AB837" s="3">
        <f>Gegenstände!M837</f>
        <v>0</v>
      </c>
      <c r="AC837" s="3">
        <f>Gegenstände!AB837</f>
        <v>0</v>
      </c>
      <c r="AD837" s="3">
        <f>Gegenstände!F837</f>
        <v>2622</v>
      </c>
    </row>
    <row r="838" spans="1:30" x14ac:dyDescent="0.2">
      <c r="A838" s="3">
        <f>Gegenstände!A838</f>
        <v>3623</v>
      </c>
      <c r="B838" s="3" t="str">
        <f>Gegenstände!B838</f>
        <v>Perlmutt-Erdenstab (Plan)</v>
      </c>
      <c r="D838" s="3">
        <f>Gegenstände!K838</f>
        <v>1000</v>
      </c>
      <c r="E838" s="3">
        <f>Gegenstände!I838</f>
        <v>35</v>
      </c>
      <c r="F838" s="3">
        <f>VLOOKUP(Gegenstände!E838,Berechnungen!$E$87:$F$115,2,FALSE)</f>
        <v>35</v>
      </c>
      <c r="G838" s="3">
        <f>Gegenstände!H838</f>
        <v>2</v>
      </c>
      <c r="H838" s="3">
        <f>Gegenstände!G838</f>
        <v>63</v>
      </c>
      <c r="I838" s="3">
        <f>Gegenstände!D838</f>
        <v>13</v>
      </c>
      <c r="J838" s="168">
        <f>ROUND(Gegenstände!N838,0)</f>
        <v>22300</v>
      </c>
      <c r="K838" s="3">
        <f>Gegenstände!J838</f>
        <v>100</v>
      </c>
      <c r="L838" s="3">
        <f>Gegenstände!L838</f>
        <v>1</v>
      </c>
      <c r="M838" s="3">
        <f>Gegenstände!Z838</f>
        <v>0</v>
      </c>
      <c r="N838" s="783">
        <f>(Gegenstände!Y838*10)</f>
        <v>0</v>
      </c>
      <c r="O838" s="783">
        <f>(Gegenstände!W838*10)</f>
        <v>0</v>
      </c>
      <c r="P838" s="783">
        <f>Gegenstände!AA838*10</f>
        <v>0</v>
      </c>
      <c r="Q838" s="783">
        <f>Gegenstände!O838</f>
        <v>0</v>
      </c>
      <c r="R838" s="168">
        <f>Gegenstände!S838</f>
        <v>0</v>
      </c>
      <c r="S838" s="168">
        <f>Gegenstände!T838</f>
        <v>0</v>
      </c>
      <c r="T838" s="783">
        <f>Gegenstände!AC838</f>
        <v>0</v>
      </c>
      <c r="U838" s="783">
        <f>Gegenstände!AE838</f>
        <v>0</v>
      </c>
      <c r="V838" s="783">
        <f>Gegenstände!AD838</f>
        <v>0</v>
      </c>
      <c r="W838" s="783">
        <f>Gegenstände!AF838</f>
        <v>0</v>
      </c>
      <c r="AB838" s="3">
        <f>Gegenstände!M838</f>
        <v>0</v>
      </c>
      <c r="AC838" s="3">
        <f>Gegenstände!AB838</f>
        <v>0</v>
      </c>
      <c r="AD838" s="3">
        <f>Gegenstände!F838</f>
        <v>2623</v>
      </c>
    </row>
    <row r="839" spans="1:30" x14ac:dyDescent="0.2">
      <c r="A839" s="3">
        <f>Gegenstände!A839</f>
        <v>3624</v>
      </c>
      <c r="B839" s="3" t="str">
        <f>Gegenstände!B839</f>
        <v>Jade-Erdenstab (Plan)</v>
      </c>
      <c r="D839" s="3">
        <f>Gegenstände!K839</f>
        <v>1000</v>
      </c>
      <c r="E839" s="3">
        <f>Gegenstände!I839</f>
        <v>35</v>
      </c>
      <c r="F839" s="3">
        <f>VLOOKUP(Gegenstände!E839,Berechnungen!$E$87:$F$115,2,FALSE)</f>
        <v>35</v>
      </c>
      <c r="G839" s="3">
        <f>Gegenstände!H839</f>
        <v>2</v>
      </c>
      <c r="H839" s="3">
        <f>Gegenstände!G839</f>
        <v>63</v>
      </c>
      <c r="I839" s="3">
        <f>Gegenstände!D839</f>
        <v>18</v>
      </c>
      <c r="J839" s="168">
        <f>ROUND(Gegenstände!N839,0)</f>
        <v>42300</v>
      </c>
      <c r="K839" s="3">
        <f>Gegenstände!J839</f>
        <v>100</v>
      </c>
      <c r="L839" s="3">
        <f>Gegenstände!L839</f>
        <v>1</v>
      </c>
      <c r="M839" s="3">
        <f>Gegenstände!Z839</f>
        <v>0</v>
      </c>
      <c r="N839" s="783">
        <f>(Gegenstände!Y839*10)</f>
        <v>0</v>
      </c>
      <c r="O839" s="783">
        <f>(Gegenstände!W839*10)</f>
        <v>0</v>
      </c>
      <c r="P839" s="783">
        <f>Gegenstände!AA839*10</f>
        <v>0</v>
      </c>
      <c r="Q839" s="783">
        <f>Gegenstände!O839</f>
        <v>0</v>
      </c>
      <c r="R839" s="168">
        <f>Gegenstände!S839</f>
        <v>0</v>
      </c>
      <c r="S839" s="168">
        <f>Gegenstände!T839</f>
        <v>0</v>
      </c>
      <c r="T839" s="783">
        <f>Gegenstände!AC839</f>
        <v>0</v>
      </c>
      <c r="U839" s="783">
        <f>Gegenstände!AE839</f>
        <v>0</v>
      </c>
      <c r="V839" s="783">
        <f>Gegenstände!AD839</f>
        <v>0</v>
      </c>
      <c r="W839" s="783">
        <f>Gegenstände!AF839</f>
        <v>0</v>
      </c>
      <c r="AB839" s="3">
        <f>Gegenstände!M839</f>
        <v>0</v>
      </c>
      <c r="AC839" s="3">
        <f>Gegenstände!AB839</f>
        <v>0</v>
      </c>
      <c r="AD839" s="3">
        <f>Gegenstände!F839</f>
        <v>2624</v>
      </c>
    </row>
    <row r="840" spans="1:30" x14ac:dyDescent="0.2">
      <c r="A840" s="3">
        <f>Gegenstände!A840</f>
        <v>3625</v>
      </c>
      <c r="B840" s="3" t="str">
        <f>Gegenstände!B840</f>
        <v>Onyx-Erdenstab (Plan)</v>
      </c>
      <c r="D840" s="3">
        <f>Gegenstände!K840</f>
        <v>1000</v>
      </c>
      <c r="E840" s="3">
        <f>Gegenstände!I840</f>
        <v>35</v>
      </c>
      <c r="F840" s="3">
        <f>VLOOKUP(Gegenstände!E840,Berechnungen!$E$87:$F$115,2,FALSE)</f>
        <v>35</v>
      </c>
      <c r="G840" s="3">
        <f>Gegenstände!H840</f>
        <v>2</v>
      </c>
      <c r="H840" s="3">
        <f>Gegenstände!G840</f>
        <v>63</v>
      </c>
      <c r="I840" s="3">
        <f>Gegenstände!D840</f>
        <v>24</v>
      </c>
      <c r="J840" s="168">
        <f>ROUND(Gegenstände!N840,0)</f>
        <v>82300</v>
      </c>
      <c r="K840" s="3">
        <f>Gegenstände!J840</f>
        <v>100</v>
      </c>
      <c r="L840" s="3">
        <f>Gegenstände!L840</f>
        <v>1</v>
      </c>
      <c r="M840" s="3">
        <f>Gegenstände!Z840</f>
        <v>0</v>
      </c>
      <c r="N840" s="783">
        <f>(Gegenstände!Y840*10)</f>
        <v>0</v>
      </c>
      <c r="O840" s="783">
        <f>(Gegenstände!W840*10)</f>
        <v>0</v>
      </c>
      <c r="P840" s="783">
        <f>Gegenstände!AA840*10</f>
        <v>0</v>
      </c>
      <c r="Q840" s="783">
        <f>Gegenstände!O840</f>
        <v>0</v>
      </c>
      <c r="R840" s="168">
        <f>Gegenstände!S840</f>
        <v>0</v>
      </c>
      <c r="S840" s="168">
        <f>Gegenstände!T840</f>
        <v>0</v>
      </c>
      <c r="T840" s="783">
        <f>Gegenstände!AC840</f>
        <v>0</v>
      </c>
      <c r="U840" s="783">
        <f>Gegenstände!AE840</f>
        <v>0</v>
      </c>
      <c r="V840" s="783">
        <f>Gegenstände!AD840</f>
        <v>0</v>
      </c>
      <c r="W840" s="783">
        <f>Gegenstände!AF840</f>
        <v>0</v>
      </c>
      <c r="AB840" s="3">
        <f>Gegenstände!M840</f>
        <v>0</v>
      </c>
      <c r="AC840" s="3">
        <f>Gegenstände!AB840</f>
        <v>0</v>
      </c>
      <c r="AD840" s="3">
        <f>Gegenstände!F840</f>
        <v>2625</v>
      </c>
    </row>
    <row r="841" spans="1:30" x14ac:dyDescent="0.2">
      <c r="A841" s="3">
        <f>Gegenstände!A841</f>
        <v>0</v>
      </c>
      <c r="B841" s="3">
        <f>Gegenstände!B841</f>
        <v>0</v>
      </c>
      <c r="D841" s="3">
        <f>Gegenstände!K841</f>
        <v>0</v>
      </c>
      <c r="E841" s="3">
        <f>Gegenstände!I841</f>
        <v>0</v>
      </c>
      <c r="F841" s="3" t="e">
        <f>VLOOKUP(Gegenstände!E841,Berechnungen!$E$87:$F$115,2,FALSE)</f>
        <v>#N/A</v>
      </c>
      <c r="G841" s="3">
        <f>Gegenstände!H841</f>
        <v>0</v>
      </c>
      <c r="H841" s="3">
        <f>Gegenstände!G841</f>
        <v>0</v>
      </c>
      <c r="I841" s="3">
        <f>Gegenstände!D841</f>
        <v>0</v>
      </c>
      <c r="J841" s="168">
        <f>ROUND(Gegenstände!N841,0)</f>
        <v>0</v>
      </c>
      <c r="K841" s="3">
        <f>Gegenstände!J841</f>
        <v>0</v>
      </c>
      <c r="L841" s="3">
        <f>Gegenstände!L841</f>
        <v>0</v>
      </c>
      <c r="M841" s="3">
        <f>Gegenstände!Z841</f>
        <v>0</v>
      </c>
      <c r="N841" s="783">
        <f>(Gegenstände!Y841*10)</f>
        <v>0</v>
      </c>
      <c r="O841" s="783">
        <f>(Gegenstände!W841*10)</f>
        <v>0</v>
      </c>
      <c r="P841" s="783">
        <f>Gegenstände!AA841*10</f>
        <v>0</v>
      </c>
      <c r="Q841" s="783">
        <f>Gegenstände!O841</f>
        <v>0</v>
      </c>
      <c r="R841" s="168">
        <f>Gegenstände!S841</f>
        <v>0</v>
      </c>
      <c r="S841" s="168">
        <f>Gegenstände!T841</f>
        <v>0</v>
      </c>
      <c r="T841" s="783">
        <f>Gegenstände!AC841</f>
        <v>0</v>
      </c>
      <c r="U841" s="783">
        <f>Gegenstände!AE841</f>
        <v>0</v>
      </c>
      <c r="V841" s="783">
        <f>Gegenstände!AD841</f>
        <v>0</v>
      </c>
      <c r="W841" s="783">
        <f>Gegenstände!AF841</f>
        <v>0</v>
      </c>
      <c r="AB841" s="3">
        <f>Gegenstände!M841</f>
        <v>0</v>
      </c>
      <c r="AC841" s="3">
        <f>Gegenstände!AB841</f>
        <v>0</v>
      </c>
      <c r="AD841" s="3">
        <f>Gegenstände!F841</f>
        <v>0</v>
      </c>
    </row>
    <row r="842" spans="1:30" x14ac:dyDescent="0.2">
      <c r="A842" s="3">
        <f>Gegenstände!A842</f>
        <v>3631</v>
      </c>
      <c r="B842" s="3" t="str">
        <f>Gegenstände!B842</f>
        <v>Pyrit-Luftstab (Plan)</v>
      </c>
      <c r="D842" s="3">
        <f>Gegenstände!K842</f>
        <v>1000</v>
      </c>
      <c r="E842" s="3">
        <f>Gegenstände!I842</f>
        <v>35</v>
      </c>
      <c r="F842" s="3">
        <f>VLOOKUP(Gegenstände!E842,Berechnungen!$E$87:$F$115,2,FALSE)</f>
        <v>35</v>
      </c>
      <c r="G842" s="3">
        <f>Gegenstände!H842</f>
        <v>2</v>
      </c>
      <c r="H842" s="3">
        <f>Gegenstände!G842</f>
        <v>63</v>
      </c>
      <c r="I842" s="3">
        <f>Gegenstände!D842</f>
        <v>3</v>
      </c>
      <c r="J842" s="168">
        <f>ROUND(Gegenstände!N842,0)</f>
        <v>5500</v>
      </c>
      <c r="K842" s="3">
        <f>Gegenstände!J842</f>
        <v>100</v>
      </c>
      <c r="L842" s="3">
        <f>Gegenstände!L842</f>
        <v>1</v>
      </c>
      <c r="M842" s="3">
        <f>Gegenstände!Z842</f>
        <v>0</v>
      </c>
      <c r="N842" s="783">
        <f>(Gegenstände!Y842*10)</f>
        <v>0</v>
      </c>
      <c r="O842" s="783">
        <f>(Gegenstände!W842*10)</f>
        <v>0</v>
      </c>
      <c r="P842" s="783">
        <f>Gegenstände!AA842*10</f>
        <v>0</v>
      </c>
      <c r="Q842" s="783">
        <f>Gegenstände!O842</f>
        <v>0</v>
      </c>
      <c r="R842" s="168">
        <f>Gegenstände!S842</f>
        <v>0</v>
      </c>
      <c r="S842" s="168">
        <f>Gegenstände!T842</f>
        <v>0</v>
      </c>
      <c r="T842" s="783">
        <f>Gegenstände!AC842</f>
        <v>0</v>
      </c>
      <c r="U842" s="783">
        <f>Gegenstände!AE842</f>
        <v>0</v>
      </c>
      <c r="V842" s="783">
        <f>Gegenstände!AD842</f>
        <v>0</v>
      </c>
      <c r="W842" s="783">
        <f>Gegenstände!AF842</f>
        <v>0</v>
      </c>
      <c r="AB842" s="3">
        <f>Gegenstände!M842</f>
        <v>0</v>
      </c>
      <c r="AC842" s="3">
        <f>Gegenstände!AB842</f>
        <v>0</v>
      </c>
      <c r="AD842" s="3">
        <f>Gegenstände!F842</f>
        <v>2631</v>
      </c>
    </row>
    <row r="843" spans="1:30" x14ac:dyDescent="0.2">
      <c r="A843" s="3">
        <f>Gegenstände!A843</f>
        <v>3632</v>
      </c>
      <c r="B843" s="3" t="str">
        <f>Gegenstände!B843</f>
        <v>Jaspis-Luftstab (Plan)</v>
      </c>
      <c r="D843" s="3">
        <f>Gegenstände!K843</f>
        <v>1000</v>
      </c>
      <c r="E843" s="3">
        <f>Gegenstände!I843</f>
        <v>35</v>
      </c>
      <c r="F843" s="3">
        <f>VLOOKUP(Gegenstände!E843,Berechnungen!$E$87:$F$115,2,FALSE)</f>
        <v>35</v>
      </c>
      <c r="G843" s="3">
        <f>Gegenstände!H843</f>
        <v>2</v>
      </c>
      <c r="H843" s="3">
        <f>Gegenstände!G843</f>
        <v>63</v>
      </c>
      <c r="I843" s="3">
        <f>Gegenstände!D843</f>
        <v>8</v>
      </c>
      <c r="J843" s="168">
        <f>ROUND(Gegenstände!N843,0)</f>
        <v>11100</v>
      </c>
      <c r="K843" s="3">
        <f>Gegenstände!J843</f>
        <v>100</v>
      </c>
      <c r="L843" s="3">
        <f>Gegenstände!L843</f>
        <v>1</v>
      </c>
      <c r="M843" s="3">
        <f>Gegenstände!Z843</f>
        <v>0</v>
      </c>
      <c r="N843" s="783">
        <f>(Gegenstände!Y843*10)</f>
        <v>0</v>
      </c>
      <c r="O843" s="783">
        <f>(Gegenstände!W843*10)</f>
        <v>0</v>
      </c>
      <c r="P843" s="783">
        <f>Gegenstände!AA843*10</f>
        <v>0</v>
      </c>
      <c r="Q843" s="783">
        <f>Gegenstände!O843</f>
        <v>0</v>
      </c>
      <c r="R843" s="168">
        <f>Gegenstände!S843</f>
        <v>0</v>
      </c>
      <c r="S843" s="168">
        <f>Gegenstände!T843</f>
        <v>0</v>
      </c>
      <c r="T843" s="783">
        <f>Gegenstände!AC843</f>
        <v>0</v>
      </c>
      <c r="U843" s="783">
        <f>Gegenstände!AE843</f>
        <v>0</v>
      </c>
      <c r="V843" s="783">
        <f>Gegenstände!AD843</f>
        <v>0</v>
      </c>
      <c r="W843" s="783">
        <f>Gegenstände!AF843</f>
        <v>0</v>
      </c>
      <c r="AB843" s="3">
        <f>Gegenstände!M843</f>
        <v>0</v>
      </c>
      <c r="AC843" s="3">
        <f>Gegenstände!AB843</f>
        <v>0</v>
      </c>
      <c r="AD843" s="3">
        <f>Gegenstände!F843</f>
        <v>2632</v>
      </c>
    </row>
    <row r="844" spans="1:30" x14ac:dyDescent="0.2">
      <c r="A844" s="3">
        <f>Gegenstände!A844</f>
        <v>3633</v>
      </c>
      <c r="B844" s="3" t="str">
        <f>Gegenstände!B844</f>
        <v>Perlmutt-Luftstab (Plan)</v>
      </c>
      <c r="D844" s="3">
        <f>Gegenstände!K844</f>
        <v>1000</v>
      </c>
      <c r="E844" s="3">
        <f>Gegenstände!I844</f>
        <v>35</v>
      </c>
      <c r="F844" s="3">
        <f>VLOOKUP(Gegenstände!E844,Berechnungen!$E$87:$F$115,2,FALSE)</f>
        <v>35</v>
      </c>
      <c r="G844" s="3">
        <f>Gegenstände!H844</f>
        <v>2</v>
      </c>
      <c r="H844" s="3">
        <f>Gegenstände!G844</f>
        <v>63</v>
      </c>
      <c r="I844" s="3">
        <f>Gegenstände!D844</f>
        <v>13</v>
      </c>
      <c r="J844" s="168">
        <f>ROUND(Gegenstände!N844,0)</f>
        <v>22300</v>
      </c>
      <c r="K844" s="3">
        <f>Gegenstände!J844</f>
        <v>100</v>
      </c>
      <c r="L844" s="3">
        <f>Gegenstände!L844</f>
        <v>1</v>
      </c>
      <c r="M844" s="3">
        <f>Gegenstände!Z844</f>
        <v>0</v>
      </c>
      <c r="N844" s="783">
        <f>(Gegenstände!Y844*10)</f>
        <v>0</v>
      </c>
      <c r="O844" s="783">
        <f>(Gegenstände!W844*10)</f>
        <v>0</v>
      </c>
      <c r="P844" s="783">
        <f>Gegenstände!AA844*10</f>
        <v>0</v>
      </c>
      <c r="Q844" s="783">
        <f>Gegenstände!O844</f>
        <v>0</v>
      </c>
      <c r="R844" s="168">
        <f>Gegenstände!S844</f>
        <v>0</v>
      </c>
      <c r="S844" s="168">
        <f>Gegenstände!T844</f>
        <v>0</v>
      </c>
      <c r="T844" s="783">
        <f>Gegenstände!AC844</f>
        <v>0</v>
      </c>
      <c r="U844" s="783">
        <f>Gegenstände!AE844</f>
        <v>0</v>
      </c>
      <c r="V844" s="783">
        <f>Gegenstände!AD844</f>
        <v>0</v>
      </c>
      <c r="W844" s="783">
        <f>Gegenstände!AF844</f>
        <v>0</v>
      </c>
      <c r="AB844" s="3">
        <f>Gegenstände!M844</f>
        <v>0</v>
      </c>
      <c r="AC844" s="3">
        <f>Gegenstände!AB844</f>
        <v>0</v>
      </c>
      <c r="AD844" s="3">
        <f>Gegenstände!F844</f>
        <v>2633</v>
      </c>
    </row>
    <row r="845" spans="1:30" x14ac:dyDescent="0.2">
      <c r="A845" s="3">
        <f>Gegenstände!A845</f>
        <v>3634</v>
      </c>
      <c r="B845" s="3" t="str">
        <f>Gegenstände!B845</f>
        <v>Jade-Luftstab (Plan)</v>
      </c>
      <c r="D845" s="3">
        <f>Gegenstände!K845</f>
        <v>1000</v>
      </c>
      <c r="E845" s="3">
        <f>Gegenstände!I845</f>
        <v>35</v>
      </c>
      <c r="F845" s="3">
        <f>VLOOKUP(Gegenstände!E845,Berechnungen!$E$87:$F$115,2,FALSE)</f>
        <v>35</v>
      </c>
      <c r="G845" s="3">
        <f>Gegenstände!H845</f>
        <v>2</v>
      </c>
      <c r="H845" s="3">
        <f>Gegenstände!G845</f>
        <v>63</v>
      </c>
      <c r="I845" s="3">
        <f>Gegenstände!D845</f>
        <v>18</v>
      </c>
      <c r="J845" s="168">
        <f>ROUND(Gegenstände!N845,0)</f>
        <v>42300</v>
      </c>
      <c r="K845" s="3">
        <f>Gegenstände!J845</f>
        <v>100</v>
      </c>
      <c r="L845" s="3">
        <f>Gegenstände!L845</f>
        <v>1</v>
      </c>
      <c r="M845" s="3">
        <f>Gegenstände!Z845</f>
        <v>0</v>
      </c>
      <c r="N845" s="783">
        <f>(Gegenstände!Y845*10)</f>
        <v>0</v>
      </c>
      <c r="O845" s="783">
        <f>(Gegenstände!W845*10)</f>
        <v>0</v>
      </c>
      <c r="P845" s="783">
        <f>Gegenstände!AA845*10</f>
        <v>0</v>
      </c>
      <c r="Q845" s="783">
        <f>Gegenstände!O845</f>
        <v>0</v>
      </c>
      <c r="R845" s="168">
        <f>Gegenstände!S845</f>
        <v>0</v>
      </c>
      <c r="S845" s="168">
        <f>Gegenstände!T845</f>
        <v>0</v>
      </c>
      <c r="T845" s="783">
        <f>Gegenstände!AC845</f>
        <v>0</v>
      </c>
      <c r="U845" s="783">
        <f>Gegenstände!AE845</f>
        <v>0</v>
      </c>
      <c r="V845" s="783">
        <f>Gegenstände!AD845</f>
        <v>0</v>
      </c>
      <c r="W845" s="783">
        <f>Gegenstände!AF845</f>
        <v>0</v>
      </c>
      <c r="AB845" s="3">
        <f>Gegenstände!M845</f>
        <v>0</v>
      </c>
      <c r="AC845" s="3">
        <f>Gegenstände!AB845</f>
        <v>0</v>
      </c>
      <c r="AD845" s="3">
        <f>Gegenstände!F845</f>
        <v>2634</v>
      </c>
    </row>
    <row r="846" spans="1:30" x14ac:dyDescent="0.2">
      <c r="A846" s="3">
        <f>Gegenstände!A846</f>
        <v>3635</v>
      </c>
      <c r="B846" s="3" t="str">
        <f>Gegenstände!B846</f>
        <v>Onyx-Luftstab (Plan)</v>
      </c>
      <c r="D846" s="3">
        <f>Gegenstände!K846</f>
        <v>1000</v>
      </c>
      <c r="E846" s="3">
        <f>Gegenstände!I846</f>
        <v>35</v>
      </c>
      <c r="F846" s="3">
        <f>VLOOKUP(Gegenstände!E846,Berechnungen!$E$87:$F$115,2,FALSE)</f>
        <v>35</v>
      </c>
      <c r="G846" s="3">
        <f>Gegenstände!H846</f>
        <v>2</v>
      </c>
      <c r="H846" s="3">
        <f>Gegenstände!G846</f>
        <v>63</v>
      </c>
      <c r="I846" s="3">
        <f>Gegenstände!D846</f>
        <v>24</v>
      </c>
      <c r="J846" s="168">
        <f>ROUND(Gegenstände!N846,0)</f>
        <v>82300</v>
      </c>
      <c r="K846" s="3">
        <f>Gegenstände!J846</f>
        <v>100</v>
      </c>
      <c r="L846" s="3">
        <f>Gegenstände!L846</f>
        <v>1</v>
      </c>
      <c r="M846" s="3">
        <f>Gegenstände!Z846</f>
        <v>0</v>
      </c>
      <c r="N846" s="783">
        <f>(Gegenstände!Y846*10)</f>
        <v>0</v>
      </c>
      <c r="O846" s="783">
        <f>(Gegenstände!W846*10)</f>
        <v>0</v>
      </c>
      <c r="P846" s="783">
        <f>Gegenstände!AA846*10</f>
        <v>0</v>
      </c>
      <c r="Q846" s="783">
        <f>Gegenstände!O846</f>
        <v>0</v>
      </c>
      <c r="R846" s="168">
        <f>Gegenstände!S846</f>
        <v>0</v>
      </c>
      <c r="S846" s="168">
        <f>Gegenstände!T846</f>
        <v>0</v>
      </c>
      <c r="T846" s="783">
        <f>Gegenstände!AC846</f>
        <v>0</v>
      </c>
      <c r="U846" s="783">
        <f>Gegenstände!AE846</f>
        <v>0</v>
      </c>
      <c r="V846" s="783">
        <f>Gegenstände!AD846</f>
        <v>0</v>
      </c>
      <c r="W846" s="783">
        <f>Gegenstände!AF846</f>
        <v>0</v>
      </c>
      <c r="AB846" s="3">
        <f>Gegenstände!M846</f>
        <v>0</v>
      </c>
      <c r="AC846" s="3">
        <f>Gegenstände!AB846</f>
        <v>0</v>
      </c>
      <c r="AD846" s="3">
        <f>Gegenstände!F846</f>
        <v>2635</v>
      </c>
    </row>
    <row r="847" spans="1:30" x14ac:dyDescent="0.2">
      <c r="A847" s="3">
        <f>Gegenstände!A847</f>
        <v>0</v>
      </c>
      <c r="B847" s="3" t="str">
        <f>Gegenstände!B847</f>
        <v>Event</v>
      </c>
      <c r="D847" s="3">
        <f>Gegenstände!K847</f>
        <v>0</v>
      </c>
      <c r="E847" s="3">
        <f>Gegenstände!I847</f>
        <v>0</v>
      </c>
      <c r="F847" s="3" t="e">
        <f>VLOOKUP(Gegenstände!E847,Berechnungen!$E$87:$F$115,2,FALSE)</f>
        <v>#N/A</v>
      </c>
      <c r="G847" s="3">
        <f>Gegenstände!H847</f>
        <v>0</v>
      </c>
      <c r="H847" s="3">
        <f>Gegenstände!G847</f>
        <v>0</v>
      </c>
      <c r="I847" s="3">
        <f>Gegenstände!D847</f>
        <v>0</v>
      </c>
      <c r="J847" s="168">
        <f>ROUND(Gegenstände!N847,0)</f>
        <v>0</v>
      </c>
      <c r="K847" s="3">
        <f>Gegenstände!J847</f>
        <v>0</v>
      </c>
      <c r="L847" s="3">
        <f>Gegenstände!L847</f>
        <v>0</v>
      </c>
      <c r="M847" s="3">
        <f>Gegenstände!Z847</f>
        <v>0</v>
      </c>
      <c r="N847" s="783">
        <f>(Gegenstände!Y847*10)</f>
        <v>0</v>
      </c>
      <c r="O847" s="783">
        <f>(Gegenstände!W847*10)</f>
        <v>0</v>
      </c>
      <c r="P847" s="783">
        <f>Gegenstände!AA847*10</f>
        <v>0</v>
      </c>
      <c r="Q847" s="783">
        <f>Gegenstände!O847</f>
        <v>0</v>
      </c>
      <c r="R847" s="168">
        <f>Gegenstände!S847</f>
        <v>0</v>
      </c>
      <c r="S847" s="168">
        <f>Gegenstände!T847</f>
        <v>0</v>
      </c>
      <c r="T847" s="783">
        <f>Gegenstände!AC847</f>
        <v>0</v>
      </c>
      <c r="U847" s="783">
        <f>Gegenstände!AE847</f>
        <v>0</v>
      </c>
      <c r="V847" s="783">
        <f>Gegenstände!AD847</f>
        <v>0</v>
      </c>
      <c r="W847" s="783">
        <f>Gegenstände!AF847</f>
        <v>0</v>
      </c>
      <c r="AB847" s="3">
        <f>Gegenstände!M847</f>
        <v>0</v>
      </c>
      <c r="AC847" s="3">
        <f>Gegenstände!AB847</f>
        <v>0</v>
      </c>
      <c r="AD847" s="3">
        <f>Gegenstände!F847</f>
        <v>0</v>
      </c>
    </row>
    <row r="848" spans="1:30" x14ac:dyDescent="0.2">
      <c r="A848" s="3">
        <f>Gegenstände!A848</f>
        <v>4001</v>
      </c>
      <c r="B848" s="3" t="str">
        <f>Gegenstände!B848</f>
        <v>Kürbis</v>
      </c>
      <c r="D848" s="3">
        <f>Gegenstände!K848</f>
        <v>0</v>
      </c>
      <c r="E848" s="3">
        <f>Gegenstände!I848</f>
        <v>0</v>
      </c>
      <c r="F848" s="3" t="e">
        <f>VLOOKUP(Gegenstände!E848,Berechnungen!$E$87:$F$115,2,FALSE)</f>
        <v>#N/A</v>
      </c>
      <c r="G848" s="3">
        <f>Gegenstände!H848</f>
        <v>0</v>
      </c>
      <c r="H848" s="3">
        <f>Gegenstände!G848</f>
        <v>0</v>
      </c>
      <c r="I848" s="3">
        <f>Gegenstände!D848</f>
        <v>0</v>
      </c>
      <c r="J848" s="168">
        <f>ROUND(Gegenstände!N848,0)</f>
        <v>0</v>
      </c>
      <c r="K848" s="3">
        <f>Gegenstände!J848</f>
        <v>0</v>
      </c>
      <c r="L848" s="3">
        <f>Gegenstände!L848</f>
        <v>1</v>
      </c>
      <c r="M848" s="3">
        <f>Gegenstände!Z848</f>
        <v>0</v>
      </c>
      <c r="N848" s="783">
        <f>(Gegenstände!Y848*10)</f>
        <v>0</v>
      </c>
      <c r="O848" s="783">
        <f>(Gegenstände!W848*10)</f>
        <v>0</v>
      </c>
      <c r="P848" s="783">
        <f>Gegenstände!AA848*10</f>
        <v>0</v>
      </c>
      <c r="Q848" s="783">
        <f>Gegenstände!O848</f>
        <v>0</v>
      </c>
      <c r="R848" s="168">
        <f>Gegenstände!S848</f>
        <v>0</v>
      </c>
      <c r="S848" s="168">
        <f>Gegenstände!T848</f>
        <v>0</v>
      </c>
      <c r="T848" s="783">
        <f>Gegenstände!AC848</f>
        <v>0</v>
      </c>
      <c r="U848" s="783">
        <f>Gegenstände!AE848</f>
        <v>0</v>
      </c>
      <c r="V848" s="783">
        <f>Gegenstände!AD848</f>
        <v>0</v>
      </c>
      <c r="W848" s="783">
        <f>Gegenstände!AF848</f>
        <v>0</v>
      </c>
      <c r="AB848" s="3">
        <f>Gegenstände!M848</f>
        <v>0</v>
      </c>
      <c r="AC848" s="3">
        <f>Gegenstände!AB848</f>
        <v>0</v>
      </c>
      <c r="AD848" s="3">
        <f>Gegenstände!F848</f>
        <v>0</v>
      </c>
    </row>
    <row r="849" spans="1:30" x14ac:dyDescent="0.2">
      <c r="A849" s="3">
        <f>Gegenstände!A849</f>
        <v>0</v>
      </c>
      <c r="B849" s="3" t="str">
        <f>Gegenstände!B849</f>
        <v>Event-Waffen-Rüstungen</v>
      </c>
      <c r="D849" s="3">
        <f>Gegenstände!K849</f>
        <v>0</v>
      </c>
      <c r="E849" s="3">
        <f>Gegenstände!I849</f>
        <v>0</v>
      </c>
      <c r="F849" s="3" t="e">
        <f>VLOOKUP(Gegenstände!E849,Berechnungen!$E$87:$F$115,2,FALSE)</f>
        <v>#N/A</v>
      </c>
      <c r="G849" s="3">
        <f>Gegenstände!H849</f>
        <v>0</v>
      </c>
      <c r="H849" s="3">
        <f>Gegenstände!G849</f>
        <v>0</v>
      </c>
      <c r="I849" s="3">
        <f>Gegenstände!D849</f>
        <v>0</v>
      </c>
      <c r="J849" s="168">
        <f>ROUND(Gegenstände!N849,0)</f>
        <v>0</v>
      </c>
      <c r="K849" s="3">
        <f>Gegenstände!J849</f>
        <v>0</v>
      </c>
      <c r="L849" s="3">
        <f>Gegenstände!L849</f>
        <v>0</v>
      </c>
      <c r="M849" s="3">
        <f>Gegenstände!Z849</f>
        <v>0</v>
      </c>
      <c r="N849" s="783">
        <f>(Gegenstände!Y849*10)</f>
        <v>0</v>
      </c>
      <c r="O849" s="783">
        <f>(Gegenstände!W849*10)</f>
        <v>0</v>
      </c>
      <c r="P849" s="783">
        <f>Gegenstände!AA849*10</f>
        <v>0</v>
      </c>
      <c r="Q849" s="783">
        <f>Gegenstände!O849</f>
        <v>0</v>
      </c>
      <c r="R849" s="168">
        <f>Gegenstände!S849</f>
        <v>0</v>
      </c>
      <c r="S849" s="168">
        <f>Gegenstände!T849</f>
        <v>0</v>
      </c>
      <c r="T849" s="783">
        <f>Gegenstände!AC849</f>
        <v>0</v>
      </c>
      <c r="U849" s="783">
        <f>Gegenstände!AE849</f>
        <v>0</v>
      </c>
      <c r="V849" s="783">
        <f>Gegenstände!AD849</f>
        <v>0</v>
      </c>
      <c r="W849" s="783">
        <f>Gegenstände!AF849</f>
        <v>0</v>
      </c>
      <c r="AB849" s="3">
        <f>Gegenstände!M849</f>
        <v>0</v>
      </c>
      <c r="AC849" s="3">
        <f>Gegenstände!AB849</f>
        <v>0</v>
      </c>
      <c r="AD849" s="3">
        <f>Gegenstände!F849</f>
        <v>0</v>
      </c>
    </row>
    <row r="850" spans="1:30" x14ac:dyDescent="0.2">
      <c r="A850" s="3">
        <f>Gegenstände!A850</f>
        <v>4101</v>
      </c>
      <c r="B850" s="3" t="str">
        <f>Gegenstände!B850</f>
        <v>Kürbis</v>
      </c>
      <c r="D850" s="3">
        <f>Gegenstände!K850</f>
        <v>1000</v>
      </c>
      <c r="E850" s="3">
        <f>Gegenstände!I850</f>
        <v>11</v>
      </c>
      <c r="F850" s="3">
        <f>VLOOKUP(Gegenstände!E850,Berechnungen!$E$87:$F$115,2,FALSE)</f>
        <v>21</v>
      </c>
      <c r="G850" s="3">
        <f>Gegenstände!H850</f>
        <v>1</v>
      </c>
      <c r="H850" s="3">
        <f>Gegenstände!G850</f>
        <v>0</v>
      </c>
      <c r="I850" s="3">
        <f>Gegenstände!D850</f>
        <v>0</v>
      </c>
      <c r="J850" s="168">
        <f>ROUND(Gegenstände!N850,0)</f>
        <v>0</v>
      </c>
      <c r="K850" s="3">
        <f>Gegenstände!J850</f>
        <v>100</v>
      </c>
      <c r="L850" s="3">
        <f>Gegenstände!L850</f>
        <v>0</v>
      </c>
      <c r="M850" s="3">
        <f>Gegenstände!Z850</f>
        <v>0</v>
      </c>
      <c r="N850" s="783">
        <f>(Gegenstände!Y850*10)</f>
        <v>0</v>
      </c>
      <c r="O850" s="783">
        <f>(Gegenstände!W850*10)</f>
        <v>0</v>
      </c>
      <c r="P850" s="783">
        <f>Gegenstände!AA850*10</f>
        <v>0</v>
      </c>
      <c r="Q850" s="783">
        <f>Gegenstände!O850</f>
        <v>0</v>
      </c>
      <c r="R850" s="168">
        <f>Gegenstände!S850</f>
        <v>0</v>
      </c>
      <c r="S850" s="168">
        <f>Gegenstände!T850</f>
        <v>0</v>
      </c>
      <c r="T850" s="783">
        <f>Gegenstände!AC850</f>
        <v>0</v>
      </c>
      <c r="U850" s="783">
        <f>Gegenstände!AE850</f>
        <v>0</v>
      </c>
      <c r="V850" s="783">
        <f>Gegenstände!AD850</f>
        <v>0</v>
      </c>
      <c r="W850" s="783">
        <f>Gegenstände!AF850</f>
        <v>0</v>
      </c>
      <c r="AB850" s="3">
        <f>Gegenstände!M850</f>
        <v>0</v>
      </c>
      <c r="AC850" s="3">
        <f>Gegenstände!AB850</f>
        <v>0</v>
      </c>
      <c r="AD850" s="3">
        <f>Gegenstände!F850</f>
        <v>0</v>
      </c>
    </row>
    <row r="851" spans="1:30" x14ac:dyDescent="0.2">
      <c r="A851" s="3">
        <f>Gegenstände!A851</f>
        <v>4102</v>
      </c>
      <c r="B851" s="3" t="str">
        <f>Gegenstände!B851</f>
        <v>Kürbiskrone</v>
      </c>
      <c r="D851" s="3">
        <f>Gegenstände!K851</f>
        <v>1000</v>
      </c>
      <c r="E851" s="3">
        <f>Gegenstände!I851</f>
        <v>11</v>
      </c>
      <c r="F851" s="3">
        <f>VLOOKUP(Gegenstände!E851,Berechnungen!$E$87:$F$115,2,FALSE)</f>
        <v>21</v>
      </c>
      <c r="G851" s="3">
        <f>Gegenstände!H851</f>
        <v>1</v>
      </c>
      <c r="H851" s="3">
        <f>Gegenstände!G851</f>
        <v>0</v>
      </c>
      <c r="I851" s="3">
        <f>Gegenstände!D851</f>
        <v>0</v>
      </c>
      <c r="J851" s="168">
        <f>ROUND(Gegenstände!N851,0)</f>
        <v>0</v>
      </c>
      <c r="K851" s="3">
        <f>Gegenstände!J851</f>
        <v>100</v>
      </c>
      <c r="L851" s="3">
        <f>Gegenstände!L851</f>
        <v>0</v>
      </c>
      <c r="M851" s="3">
        <f>Gegenstände!Z851</f>
        <v>0</v>
      </c>
      <c r="N851" s="783">
        <f>(Gegenstände!Y851*10)</f>
        <v>0</v>
      </c>
      <c r="O851" s="783">
        <f>(Gegenstände!W851*10)</f>
        <v>0</v>
      </c>
      <c r="P851" s="783">
        <f>Gegenstände!AA851*10</f>
        <v>0</v>
      </c>
      <c r="Q851" s="783">
        <f>Gegenstände!O851</f>
        <v>0</v>
      </c>
      <c r="R851" s="168">
        <f>Gegenstände!S851</f>
        <v>0</v>
      </c>
      <c r="S851" s="168">
        <f>Gegenstände!T851</f>
        <v>0</v>
      </c>
      <c r="T851" s="783">
        <f>Gegenstände!AC851</f>
        <v>0</v>
      </c>
      <c r="U851" s="783">
        <f>Gegenstände!AE851</f>
        <v>0</v>
      </c>
      <c r="V851" s="783">
        <f>Gegenstände!AD851</f>
        <v>0</v>
      </c>
      <c r="W851" s="783">
        <f>Gegenstände!AF851</f>
        <v>0</v>
      </c>
      <c r="AB851" s="3">
        <f>Gegenstände!M851</f>
        <v>0</v>
      </c>
      <c r="AC851" s="3">
        <f>Gegenstände!AB851</f>
        <v>0</v>
      </c>
      <c r="AD851" s="3">
        <f>Gegenstände!F851</f>
        <v>0</v>
      </c>
    </row>
    <row r="852" spans="1:30" x14ac:dyDescent="0.2">
      <c r="A852" s="3">
        <f>Gegenstände!A852</f>
        <v>4103</v>
      </c>
      <c r="B852" s="3" t="str">
        <f>Gegenstände!B852</f>
        <v>Heroldsflügel</v>
      </c>
      <c r="D852" s="3">
        <f>Gegenstände!K852</f>
        <v>1000</v>
      </c>
      <c r="E852" s="3">
        <f>Gegenstände!I852</f>
        <v>11</v>
      </c>
      <c r="F852" s="3">
        <f>VLOOKUP(Gegenstände!E852,Berechnungen!$E$87:$F$115,2,FALSE)</f>
        <v>21</v>
      </c>
      <c r="G852" s="3">
        <f>Gegenstände!H852</f>
        <v>1</v>
      </c>
      <c r="H852" s="3">
        <f>Gegenstände!G852</f>
        <v>0</v>
      </c>
      <c r="I852" s="3">
        <f>Gegenstände!D852</f>
        <v>0</v>
      </c>
      <c r="J852" s="168">
        <f>ROUND(Gegenstände!N852,0)</f>
        <v>0</v>
      </c>
      <c r="K852" s="3">
        <f>Gegenstände!J852</f>
        <v>100</v>
      </c>
      <c r="L852" s="3">
        <f>Gegenstände!L852</f>
        <v>0</v>
      </c>
      <c r="M852" s="3">
        <f>Gegenstände!Z852</f>
        <v>0</v>
      </c>
      <c r="N852" s="783">
        <f>(Gegenstände!Y852*10)</f>
        <v>0</v>
      </c>
      <c r="O852" s="783">
        <f>(Gegenstände!W852*10)</f>
        <v>0</v>
      </c>
      <c r="P852" s="783">
        <f>Gegenstände!AA852*10</f>
        <v>0</v>
      </c>
      <c r="Q852" s="783">
        <f>Gegenstände!O852</f>
        <v>0</v>
      </c>
      <c r="R852" s="168">
        <f>Gegenstände!S852</f>
        <v>0</v>
      </c>
      <c r="S852" s="168">
        <f>Gegenstände!T852</f>
        <v>0</v>
      </c>
      <c r="T852" s="783">
        <f>Gegenstände!AC852</f>
        <v>0</v>
      </c>
      <c r="U852" s="783">
        <f>Gegenstände!AE852</f>
        <v>0</v>
      </c>
      <c r="V852" s="783">
        <f>Gegenstände!AD852</f>
        <v>0</v>
      </c>
      <c r="W852" s="783">
        <f>Gegenstände!AF852</f>
        <v>0</v>
      </c>
      <c r="AB852" s="3">
        <f>Gegenstände!M852</f>
        <v>0</v>
      </c>
      <c r="AC852" s="3">
        <f>Gegenstände!AB852</f>
        <v>0</v>
      </c>
      <c r="AD852" s="3">
        <f>Gegenstände!F852</f>
        <v>0</v>
      </c>
    </row>
    <row r="853" spans="1:30" x14ac:dyDescent="0.2">
      <c r="A853" s="3">
        <f>Gegenstände!A853</f>
        <v>4104</v>
      </c>
      <c r="B853" s="3" t="str">
        <f>Gegenstände!B853</f>
        <v>Melone</v>
      </c>
      <c r="D853" s="3">
        <f>Gegenstände!K853</f>
        <v>1000</v>
      </c>
      <c r="E853" s="3">
        <f>Gegenstände!I853</f>
        <v>11</v>
      </c>
      <c r="F853" s="3">
        <f>VLOOKUP(Gegenstände!E853,Berechnungen!$E$87:$F$115,2,FALSE)</f>
        <v>21</v>
      </c>
      <c r="G853" s="3">
        <f>Gegenstände!H853</f>
        <v>1</v>
      </c>
      <c r="H853" s="3">
        <f>Gegenstände!G853</f>
        <v>0</v>
      </c>
      <c r="I853" s="3">
        <f>Gegenstände!D853</f>
        <v>0</v>
      </c>
      <c r="J853" s="168">
        <f>ROUND(Gegenstände!N853,0)</f>
        <v>0</v>
      </c>
      <c r="K853" s="3">
        <f>Gegenstände!J853</f>
        <v>100</v>
      </c>
      <c r="L853" s="3">
        <f>Gegenstände!L853</f>
        <v>0</v>
      </c>
      <c r="M853" s="3">
        <f>Gegenstände!Z853</f>
        <v>0</v>
      </c>
      <c r="N853" s="783">
        <f>(Gegenstände!Y853*10)</f>
        <v>0</v>
      </c>
      <c r="O853" s="783">
        <f>(Gegenstände!W853*10)</f>
        <v>0</v>
      </c>
      <c r="P853" s="783">
        <f>Gegenstände!AA853*10</f>
        <v>0</v>
      </c>
      <c r="Q853" s="783">
        <f>Gegenstände!O853</f>
        <v>0</v>
      </c>
      <c r="R853" s="168">
        <f>Gegenstände!S853</f>
        <v>0</v>
      </c>
      <c r="S853" s="168">
        <f>Gegenstände!T853</f>
        <v>0</v>
      </c>
      <c r="T853" s="783">
        <f>Gegenstände!AC853</f>
        <v>0</v>
      </c>
      <c r="U853" s="783">
        <f>Gegenstände!AE853</f>
        <v>0</v>
      </c>
      <c r="V853" s="783">
        <f>Gegenstände!AD853</f>
        <v>0</v>
      </c>
      <c r="W853" s="783">
        <f>Gegenstände!AF853</f>
        <v>0</v>
      </c>
      <c r="AB853" s="3">
        <f>Gegenstände!M853</f>
        <v>0</v>
      </c>
      <c r="AC853" s="3">
        <f>Gegenstände!AB853</f>
        <v>0</v>
      </c>
      <c r="AD853" s="3">
        <f>Gegenstände!F853</f>
        <v>0</v>
      </c>
    </row>
    <row r="854" spans="1:30" x14ac:dyDescent="0.2">
      <c r="A854" s="3">
        <f>Gegenstände!A854</f>
        <v>4105</v>
      </c>
      <c r="B854" s="3" t="str">
        <f>Gegenstände!B854</f>
        <v>Flammenkrone</v>
      </c>
      <c r="D854" s="3">
        <f>Gegenstände!K854</f>
        <v>1000</v>
      </c>
      <c r="E854" s="3">
        <f>Gegenstände!I854</f>
        <v>11</v>
      </c>
      <c r="F854" s="3">
        <f>VLOOKUP(Gegenstände!E854,Berechnungen!$E$87:$F$115,2,FALSE)</f>
        <v>21</v>
      </c>
      <c r="G854" s="3">
        <f>Gegenstände!H854</f>
        <v>1</v>
      </c>
      <c r="H854" s="3">
        <f>Gegenstände!G854</f>
        <v>0</v>
      </c>
      <c r="I854" s="3">
        <f>Gegenstände!D854</f>
        <v>0</v>
      </c>
      <c r="J854" s="168">
        <f>ROUND(Gegenstände!N854,0)</f>
        <v>0</v>
      </c>
      <c r="K854" s="3">
        <f>Gegenstände!J854</f>
        <v>100</v>
      </c>
      <c r="L854" s="3">
        <f>Gegenstände!L854</f>
        <v>0</v>
      </c>
      <c r="M854" s="3">
        <f>Gegenstände!Z854</f>
        <v>0</v>
      </c>
      <c r="N854" s="783">
        <f>(Gegenstände!Y854*10)</f>
        <v>0</v>
      </c>
      <c r="O854" s="783">
        <f>(Gegenstände!W854*10)</f>
        <v>0</v>
      </c>
      <c r="P854" s="783">
        <f>Gegenstände!AA854*10</f>
        <v>0</v>
      </c>
      <c r="Q854" s="783">
        <f>Gegenstände!O854</f>
        <v>0</v>
      </c>
      <c r="R854" s="168">
        <f>Gegenstände!S854</f>
        <v>0</v>
      </c>
      <c r="S854" s="168">
        <f>Gegenstände!T854</f>
        <v>0</v>
      </c>
      <c r="T854" s="783">
        <f>Gegenstände!AC854</f>
        <v>0</v>
      </c>
      <c r="U854" s="783">
        <f>Gegenstände!AE854</f>
        <v>0</v>
      </c>
      <c r="V854" s="783">
        <f>Gegenstände!AD854</f>
        <v>0</v>
      </c>
      <c r="W854" s="783">
        <f>Gegenstände!AF854</f>
        <v>0</v>
      </c>
      <c r="AB854" s="3">
        <f>Gegenstände!M854</f>
        <v>0</v>
      </c>
      <c r="AC854" s="3">
        <f>Gegenstände!AB854</f>
        <v>0</v>
      </c>
      <c r="AD854" s="3">
        <f>Gegenstände!F854</f>
        <v>0</v>
      </c>
    </row>
    <row r="855" spans="1:30" x14ac:dyDescent="0.2">
      <c r="A855" s="3">
        <f>Gegenstände!A855</f>
        <v>4106</v>
      </c>
      <c r="B855" s="3" t="str">
        <f>Gegenstände!B855</f>
        <v>Henkermaske</v>
      </c>
      <c r="D855" s="3">
        <f>Gegenstände!K855</f>
        <v>1000</v>
      </c>
      <c r="E855" s="3">
        <f>Gegenstände!I855</f>
        <v>11</v>
      </c>
      <c r="F855" s="3">
        <f>VLOOKUP(Gegenstände!E855,Berechnungen!$E$87:$F$115,2,FALSE)</f>
        <v>21</v>
      </c>
      <c r="G855" s="3">
        <f>Gegenstände!H855</f>
        <v>1</v>
      </c>
      <c r="H855" s="3">
        <f>Gegenstände!G855</f>
        <v>0</v>
      </c>
      <c r="I855" s="3">
        <f>Gegenstände!D855</f>
        <v>0</v>
      </c>
      <c r="J855" s="168">
        <f>ROUND(Gegenstände!N855,0)</f>
        <v>0</v>
      </c>
      <c r="K855" s="3">
        <f>Gegenstände!J855</f>
        <v>100</v>
      </c>
      <c r="L855" s="3">
        <f>Gegenstände!L855</f>
        <v>0</v>
      </c>
      <c r="M855" s="3">
        <f>Gegenstände!Z855</f>
        <v>0</v>
      </c>
      <c r="N855" s="783">
        <f>(Gegenstände!Y855*10)</f>
        <v>0</v>
      </c>
      <c r="O855" s="783">
        <f>(Gegenstände!W855*10)</f>
        <v>0</v>
      </c>
      <c r="P855" s="783">
        <f>Gegenstände!AA855*10</f>
        <v>0</v>
      </c>
      <c r="Q855" s="783">
        <f>Gegenstände!O855</f>
        <v>0</v>
      </c>
      <c r="R855" s="168">
        <f>Gegenstände!S855</f>
        <v>0</v>
      </c>
      <c r="S855" s="168">
        <f>Gegenstände!T855</f>
        <v>0</v>
      </c>
      <c r="T855" s="783">
        <f>Gegenstände!AC855</f>
        <v>0</v>
      </c>
      <c r="U855" s="783">
        <f>Gegenstände!AE855</f>
        <v>0</v>
      </c>
      <c r="V855" s="783">
        <f>Gegenstände!AD855</f>
        <v>0</v>
      </c>
      <c r="W855" s="783">
        <f>Gegenstände!AF855</f>
        <v>0</v>
      </c>
      <c r="AB855" s="3">
        <f>Gegenstände!M855</f>
        <v>0</v>
      </c>
      <c r="AC855" s="3">
        <f>Gegenstände!AB855</f>
        <v>0</v>
      </c>
      <c r="AD855" s="3">
        <f>Gegenstände!F855</f>
        <v>0</v>
      </c>
    </row>
    <row r="856" spans="1:30" x14ac:dyDescent="0.2">
      <c r="A856" s="3">
        <f>Gegenstände!A856</f>
        <v>4107</v>
      </c>
      <c r="B856" s="3" t="str">
        <f>Gegenstände!B856</f>
        <v>Umhang</v>
      </c>
      <c r="D856" s="3">
        <f>Gegenstände!K856</f>
        <v>1000</v>
      </c>
      <c r="E856" s="3">
        <f>Gegenstände!I856</f>
        <v>12</v>
      </c>
      <c r="F856" s="3">
        <f>VLOOKUP(Gegenstände!E856,Berechnungen!$E$87:$F$115,2,FALSE)</f>
        <v>21</v>
      </c>
      <c r="G856" s="3">
        <f>Gegenstände!H856</f>
        <v>1</v>
      </c>
      <c r="H856" s="3">
        <f>Gegenstände!G856</f>
        <v>0</v>
      </c>
      <c r="I856" s="3">
        <f>Gegenstände!D856</f>
        <v>0</v>
      </c>
      <c r="J856" s="168">
        <f>ROUND(Gegenstände!N856,0)</f>
        <v>0</v>
      </c>
      <c r="K856" s="3">
        <f>Gegenstände!J856</f>
        <v>100</v>
      </c>
      <c r="L856" s="3">
        <f>Gegenstände!L856</f>
        <v>0</v>
      </c>
      <c r="M856" s="3">
        <f>Gegenstände!Z856</f>
        <v>0</v>
      </c>
      <c r="N856" s="783">
        <f>(Gegenstände!Y856*10)</f>
        <v>0</v>
      </c>
      <c r="O856" s="783">
        <f>(Gegenstände!W856*10)</f>
        <v>0</v>
      </c>
      <c r="P856" s="783">
        <f>Gegenstände!AA856*10</f>
        <v>0</v>
      </c>
      <c r="Q856" s="783">
        <f>Gegenstände!O856</f>
        <v>0</v>
      </c>
      <c r="R856" s="168">
        <f>Gegenstände!S856</f>
        <v>0</v>
      </c>
      <c r="S856" s="168">
        <f>Gegenstände!T856</f>
        <v>0</v>
      </c>
      <c r="T856" s="783">
        <f>Gegenstände!AC856</f>
        <v>0</v>
      </c>
      <c r="U856" s="783">
        <f>Gegenstände!AE856</f>
        <v>0</v>
      </c>
      <c r="V856" s="783">
        <f>Gegenstände!AD856</f>
        <v>0</v>
      </c>
      <c r="W856" s="783">
        <f>Gegenstände!AF856</f>
        <v>0</v>
      </c>
      <c r="AB856" s="3">
        <f>Gegenstände!M856</f>
        <v>0</v>
      </c>
      <c r="AC856" s="3">
        <f>Gegenstände!AB856</f>
        <v>0</v>
      </c>
      <c r="AD856" s="3">
        <f>Gegenstände!F856</f>
        <v>0</v>
      </c>
    </row>
    <row r="857" spans="1:30" x14ac:dyDescent="0.2">
      <c r="A857" s="3">
        <f>Gegenstände!A857</f>
        <v>4108</v>
      </c>
      <c r="B857" s="3" t="str">
        <f>Gegenstände!B857</f>
        <v>Greifenwams</v>
      </c>
      <c r="D857" s="3">
        <f>Gegenstände!K857</f>
        <v>1000</v>
      </c>
      <c r="E857" s="3">
        <f>Gegenstände!I857</f>
        <v>12</v>
      </c>
      <c r="F857" s="3">
        <f>VLOOKUP(Gegenstände!E857,Berechnungen!$E$87:$F$115,2,FALSE)</f>
        <v>21</v>
      </c>
      <c r="G857" s="3">
        <f>Gegenstände!H857</f>
        <v>1</v>
      </c>
      <c r="H857" s="3">
        <f>Gegenstände!G857</f>
        <v>0</v>
      </c>
      <c r="I857" s="3">
        <f>Gegenstände!D857</f>
        <v>0</v>
      </c>
      <c r="J857" s="168">
        <f>ROUND(Gegenstände!N857,0)</f>
        <v>0</v>
      </c>
      <c r="K857" s="3">
        <f>Gegenstände!J857</f>
        <v>100</v>
      </c>
      <c r="L857" s="3">
        <f>Gegenstände!L857</f>
        <v>0</v>
      </c>
      <c r="M857" s="3">
        <f>Gegenstände!Z857</f>
        <v>0</v>
      </c>
      <c r="N857" s="783">
        <f>(Gegenstände!Y857*10)</f>
        <v>0</v>
      </c>
      <c r="O857" s="783">
        <f>(Gegenstände!W857*10)</f>
        <v>0</v>
      </c>
      <c r="P857" s="783">
        <f>Gegenstände!AA857*10</f>
        <v>0</v>
      </c>
      <c r="Q857" s="783">
        <f>Gegenstände!O857</f>
        <v>0</v>
      </c>
      <c r="R857" s="168">
        <f>Gegenstände!S857</f>
        <v>0</v>
      </c>
      <c r="S857" s="168">
        <f>Gegenstände!T857</f>
        <v>0</v>
      </c>
      <c r="T857" s="783">
        <f>Gegenstände!AC857</f>
        <v>0</v>
      </c>
      <c r="U857" s="783">
        <f>Gegenstände!AE857</f>
        <v>0</v>
      </c>
      <c r="V857" s="783">
        <f>Gegenstände!AD857</f>
        <v>0</v>
      </c>
      <c r="W857" s="783">
        <f>Gegenstände!AF857</f>
        <v>0</v>
      </c>
      <c r="AB857" s="3">
        <f>Gegenstände!M857</f>
        <v>0</v>
      </c>
      <c r="AC857" s="3">
        <f>Gegenstände!AB857</f>
        <v>0</v>
      </c>
      <c r="AD857" s="3">
        <f>Gegenstände!F857</f>
        <v>0</v>
      </c>
    </row>
    <row r="858" spans="1:30" x14ac:dyDescent="0.2">
      <c r="A858" s="3">
        <f>Gegenstände!A858</f>
        <v>4109</v>
      </c>
      <c r="B858" s="3" t="str">
        <f>Gegenstände!B858</f>
        <v>Ledermantel</v>
      </c>
      <c r="D858" s="3">
        <f>Gegenstände!K858</f>
        <v>1000</v>
      </c>
      <c r="E858" s="3">
        <f>Gegenstände!I858</f>
        <v>12</v>
      </c>
      <c r="F858" s="3">
        <f>VLOOKUP(Gegenstände!E858,Berechnungen!$E$87:$F$115,2,FALSE)</f>
        <v>21</v>
      </c>
      <c r="G858" s="3">
        <f>Gegenstände!H858</f>
        <v>1</v>
      </c>
      <c r="H858" s="3">
        <f>Gegenstände!G858</f>
        <v>0</v>
      </c>
      <c r="I858" s="3">
        <f>Gegenstände!D858</f>
        <v>0</v>
      </c>
      <c r="J858" s="168">
        <f>ROUND(Gegenstände!N858,0)</f>
        <v>0</v>
      </c>
      <c r="K858" s="3">
        <f>Gegenstände!J858</f>
        <v>100</v>
      </c>
      <c r="L858" s="3">
        <f>Gegenstände!L858</f>
        <v>0</v>
      </c>
      <c r="M858" s="3">
        <f>Gegenstände!Z858</f>
        <v>0</v>
      </c>
      <c r="N858" s="783">
        <f>(Gegenstände!Y858*10)</f>
        <v>0</v>
      </c>
      <c r="O858" s="783">
        <f>(Gegenstände!W858*10)</f>
        <v>0</v>
      </c>
      <c r="P858" s="783">
        <f>Gegenstände!AA858*10</f>
        <v>0</v>
      </c>
      <c r="Q858" s="783">
        <f>Gegenstände!O858</f>
        <v>0</v>
      </c>
      <c r="R858" s="168">
        <f>Gegenstände!S858</f>
        <v>0</v>
      </c>
      <c r="S858" s="168">
        <f>Gegenstände!T858</f>
        <v>0</v>
      </c>
      <c r="T858" s="783">
        <f>Gegenstände!AC858</f>
        <v>0</v>
      </c>
      <c r="U858" s="783">
        <f>Gegenstände!AE858</f>
        <v>0</v>
      </c>
      <c r="V858" s="783">
        <f>Gegenstände!AD858</f>
        <v>0</v>
      </c>
      <c r="W858" s="783">
        <f>Gegenstände!AF858</f>
        <v>0</v>
      </c>
      <c r="AB858" s="3">
        <f>Gegenstände!M858</f>
        <v>0</v>
      </c>
      <c r="AC858" s="3">
        <f>Gegenstände!AB858</f>
        <v>0</v>
      </c>
      <c r="AD858" s="3">
        <f>Gegenstände!F858</f>
        <v>0</v>
      </c>
    </row>
    <row r="859" spans="1:30" x14ac:dyDescent="0.2">
      <c r="A859" s="3">
        <f>Gegenstände!A859</f>
        <v>4110</v>
      </c>
      <c r="B859" s="3" t="str">
        <f>Gegenstände!B859</f>
        <v>Erzmagierrobe</v>
      </c>
      <c r="D859" s="3">
        <f>Gegenstände!K859</f>
        <v>1000</v>
      </c>
      <c r="E859" s="3">
        <f>Gegenstände!I859</f>
        <v>12</v>
      </c>
      <c r="F859" s="3">
        <f>VLOOKUP(Gegenstände!E859,Berechnungen!$E$87:$F$115,2,FALSE)</f>
        <v>21</v>
      </c>
      <c r="G859" s="3">
        <f>Gegenstände!H859</f>
        <v>1</v>
      </c>
      <c r="H859" s="3">
        <f>Gegenstände!G859</f>
        <v>0</v>
      </c>
      <c r="I859" s="3">
        <f>Gegenstände!D859</f>
        <v>0</v>
      </c>
      <c r="J859" s="168">
        <f>ROUND(Gegenstände!N859,0)</f>
        <v>0</v>
      </c>
      <c r="K859" s="3">
        <f>Gegenstände!J859</f>
        <v>100</v>
      </c>
      <c r="L859" s="3">
        <f>Gegenstände!L859</f>
        <v>0</v>
      </c>
      <c r="M859" s="3">
        <f>Gegenstände!Z859</f>
        <v>0</v>
      </c>
      <c r="N859" s="783">
        <f>(Gegenstände!Y859*10)</f>
        <v>0</v>
      </c>
      <c r="O859" s="783">
        <f>(Gegenstände!W859*10)</f>
        <v>0</v>
      </c>
      <c r="P859" s="783">
        <f>Gegenstände!AA859*10</f>
        <v>0</v>
      </c>
      <c r="Q859" s="783">
        <f>Gegenstände!O859</f>
        <v>0</v>
      </c>
      <c r="R859" s="168">
        <f>Gegenstände!S859</f>
        <v>0</v>
      </c>
      <c r="S859" s="168">
        <f>Gegenstände!T859</f>
        <v>0</v>
      </c>
      <c r="T859" s="783">
        <f>Gegenstände!AC859</f>
        <v>0</v>
      </c>
      <c r="U859" s="783">
        <f>Gegenstände!AE859</f>
        <v>0</v>
      </c>
      <c r="V859" s="783">
        <f>Gegenstände!AD859</f>
        <v>0</v>
      </c>
      <c r="W859" s="783">
        <f>Gegenstände!AF859</f>
        <v>0</v>
      </c>
      <c r="AB859" s="3">
        <f>Gegenstände!M859</f>
        <v>0</v>
      </c>
      <c r="AC859" s="3">
        <f>Gegenstände!AB859</f>
        <v>0</v>
      </c>
      <c r="AD859" s="3">
        <f>Gegenstände!F859</f>
        <v>0</v>
      </c>
    </row>
    <row r="860" spans="1:30" x14ac:dyDescent="0.2">
      <c r="A860" s="3">
        <f>Gegenstände!A860</f>
        <v>4111</v>
      </c>
      <c r="B860" s="3" t="str">
        <f>Gegenstände!B860</f>
        <v>Brokatwams</v>
      </c>
      <c r="D860" s="3">
        <f>Gegenstände!K860</f>
        <v>1000</v>
      </c>
      <c r="E860" s="3">
        <f>Gegenstände!I860</f>
        <v>12</v>
      </c>
      <c r="F860" s="3">
        <f>VLOOKUP(Gegenstände!E860,Berechnungen!$E$87:$F$115,2,FALSE)</f>
        <v>21</v>
      </c>
      <c r="G860" s="3">
        <f>Gegenstände!H860</f>
        <v>1</v>
      </c>
      <c r="H860" s="3">
        <f>Gegenstände!G860</f>
        <v>0</v>
      </c>
      <c r="I860" s="3">
        <f>Gegenstände!D860</f>
        <v>0</v>
      </c>
      <c r="J860" s="168">
        <f>ROUND(Gegenstände!N860,0)</f>
        <v>0</v>
      </c>
      <c r="K860" s="3">
        <f>Gegenstände!J860</f>
        <v>100</v>
      </c>
      <c r="L860" s="3">
        <f>Gegenstände!L860</f>
        <v>0</v>
      </c>
      <c r="M860" s="3">
        <f>Gegenstände!Z860</f>
        <v>0</v>
      </c>
      <c r="N860" s="783">
        <f>(Gegenstände!Y860*10)</f>
        <v>0</v>
      </c>
      <c r="O860" s="783">
        <f>(Gegenstände!W860*10)</f>
        <v>0</v>
      </c>
      <c r="P860" s="783">
        <f>Gegenstände!AA860*10</f>
        <v>0</v>
      </c>
      <c r="Q860" s="783">
        <f>Gegenstände!O860</f>
        <v>0</v>
      </c>
      <c r="R860" s="168">
        <f>Gegenstände!S860</f>
        <v>0</v>
      </c>
      <c r="S860" s="168">
        <f>Gegenstände!T860</f>
        <v>0</v>
      </c>
      <c r="T860" s="783">
        <f>Gegenstände!AC860</f>
        <v>0</v>
      </c>
      <c r="U860" s="783">
        <f>Gegenstände!AE860</f>
        <v>0</v>
      </c>
      <c r="V860" s="783">
        <f>Gegenstände!AD860</f>
        <v>0</v>
      </c>
      <c r="W860" s="783">
        <f>Gegenstände!AF860</f>
        <v>0</v>
      </c>
      <c r="AB860" s="3">
        <f>Gegenstände!M860</f>
        <v>0</v>
      </c>
      <c r="AC860" s="3">
        <f>Gegenstände!AB860</f>
        <v>0</v>
      </c>
      <c r="AD860" s="3">
        <f>Gegenstände!F860</f>
        <v>0</v>
      </c>
    </row>
    <row r="861" spans="1:30" x14ac:dyDescent="0.2">
      <c r="A861" s="3">
        <f>Gegenstände!A861</f>
        <v>4112</v>
      </c>
      <c r="B861" s="3" t="str">
        <f>Gegenstände!B861</f>
        <v>Klauen</v>
      </c>
      <c r="D861" s="3">
        <f>Gegenstände!K861</f>
        <v>1000</v>
      </c>
      <c r="E861" s="3">
        <f>Gegenstände!I861</f>
        <v>13</v>
      </c>
      <c r="F861" s="3">
        <f>VLOOKUP(Gegenstände!E861,Berechnungen!$E$87:$F$115,2,FALSE)</f>
        <v>21</v>
      </c>
      <c r="G861" s="3">
        <f>Gegenstände!H861</f>
        <v>1</v>
      </c>
      <c r="H861" s="3">
        <f>Gegenstände!G861</f>
        <v>0</v>
      </c>
      <c r="I861" s="3">
        <f>Gegenstände!D861</f>
        <v>0</v>
      </c>
      <c r="J861" s="168">
        <f>ROUND(Gegenstände!N861,0)</f>
        <v>0</v>
      </c>
      <c r="K861" s="3">
        <f>Gegenstände!J861</f>
        <v>100</v>
      </c>
      <c r="L861" s="3">
        <f>Gegenstände!L861</f>
        <v>0</v>
      </c>
      <c r="M861" s="3">
        <f>Gegenstände!Z861</f>
        <v>0</v>
      </c>
      <c r="N861" s="783">
        <f>(Gegenstände!Y861*10)</f>
        <v>0</v>
      </c>
      <c r="O861" s="783">
        <f>(Gegenstände!W861*10)</f>
        <v>0</v>
      </c>
      <c r="P861" s="783">
        <f>Gegenstände!AA861*10</f>
        <v>0</v>
      </c>
      <c r="Q861" s="783">
        <f>Gegenstände!O861</f>
        <v>0</v>
      </c>
      <c r="R861" s="168">
        <f>Gegenstände!S861</f>
        <v>0</v>
      </c>
      <c r="S861" s="168">
        <f>Gegenstände!T861</f>
        <v>0</v>
      </c>
      <c r="T861" s="783">
        <f>Gegenstände!AC861</f>
        <v>0</v>
      </c>
      <c r="U861" s="783">
        <f>Gegenstände!AE861</f>
        <v>0</v>
      </c>
      <c r="V861" s="783">
        <f>Gegenstände!AD861</f>
        <v>0</v>
      </c>
      <c r="W861" s="783">
        <f>Gegenstände!AF861</f>
        <v>0</v>
      </c>
      <c r="AB861" s="3">
        <f>Gegenstände!M861</f>
        <v>0</v>
      </c>
      <c r="AC861" s="3">
        <f>Gegenstände!AB861</f>
        <v>0</v>
      </c>
      <c r="AD861" s="3">
        <f>Gegenstände!F861</f>
        <v>0</v>
      </c>
    </row>
    <row r="862" spans="1:30" x14ac:dyDescent="0.2">
      <c r="A862" s="3">
        <f>Gegenstände!A862</f>
        <v>4113</v>
      </c>
      <c r="B862" s="3" t="str">
        <f>Gegenstände!B862</f>
        <v>Siegelring</v>
      </c>
      <c r="D862" s="3">
        <f>Gegenstände!K862</f>
        <v>1000</v>
      </c>
      <c r="E862" s="3">
        <f>Gegenstände!I862</f>
        <v>13</v>
      </c>
      <c r="F862" s="3">
        <f>VLOOKUP(Gegenstände!E862,Berechnungen!$E$87:$F$115,2,FALSE)</f>
        <v>21</v>
      </c>
      <c r="G862" s="3">
        <f>Gegenstände!H862</f>
        <v>1</v>
      </c>
      <c r="H862" s="3">
        <f>Gegenstände!G862</f>
        <v>0</v>
      </c>
      <c r="I862" s="3">
        <f>Gegenstände!D862</f>
        <v>0</v>
      </c>
      <c r="J862" s="168">
        <f>ROUND(Gegenstände!N862,0)</f>
        <v>0</v>
      </c>
      <c r="K862" s="3">
        <f>Gegenstände!J862</f>
        <v>100</v>
      </c>
      <c r="L862" s="3">
        <f>Gegenstände!L862</f>
        <v>0</v>
      </c>
      <c r="M862" s="3">
        <f>Gegenstände!Z862</f>
        <v>0</v>
      </c>
      <c r="N862" s="783">
        <f>(Gegenstände!Y862*10)</f>
        <v>0</v>
      </c>
      <c r="O862" s="783">
        <f>(Gegenstände!W862*10)</f>
        <v>0</v>
      </c>
      <c r="P862" s="783">
        <f>Gegenstände!AA862*10</f>
        <v>0</v>
      </c>
      <c r="Q862" s="783">
        <f>Gegenstände!O862</f>
        <v>0</v>
      </c>
      <c r="R862" s="168">
        <f>Gegenstände!S862</f>
        <v>0</v>
      </c>
      <c r="S862" s="168">
        <f>Gegenstände!T862</f>
        <v>0</v>
      </c>
      <c r="T862" s="783">
        <f>Gegenstände!AC862</f>
        <v>0</v>
      </c>
      <c r="U862" s="783">
        <f>Gegenstände!AE862</f>
        <v>0</v>
      </c>
      <c r="V862" s="783">
        <f>Gegenstände!AD862</f>
        <v>0</v>
      </c>
      <c r="W862" s="783">
        <f>Gegenstände!AF862</f>
        <v>0</v>
      </c>
      <c r="AB862" s="3">
        <f>Gegenstände!M862</f>
        <v>0</v>
      </c>
      <c r="AC862" s="3">
        <f>Gegenstände!AB862</f>
        <v>0</v>
      </c>
      <c r="AD862" s="3">
        <f>Gegenstände!F862</f>
        <v>0</v>
      </c>
    </row>
    <row r="863" spans="1:30" x14ac:dyDescent="0.2">
      <c r="A863" s="3">
        <f>Gegenstände!A863</f>
        <v>4114</v>
      </c>
      <c r="B863" s="3" t="str">
        <f>Gegenstände!B863</f>
        <v>Samthandschuhe</v>
      </c>
      <c r="D863" s="3">
        <f>Gegenstände!K863</f>
        <v>1000</v>
      </c>
      <c r="E863" s="3">
        <f>Gegenstände!I863</f>
        <v>13</v>
      </c>
      <c r="F863" s="3">
        <f>VLOOKUP(Gegenstände!E863,Berechnungen!$E$87:$F$115,2,FALSE)</f>
        <v>21</v>
      </c>
      <c r="G863" s="3">
        <f>Gegenstände!H863</f>
        <v>1</v>
      </c>
      <c r="H863" s="3">
        <f>Gegenstände!G863</f>
        <v>0</v>
      </c>
      <c r="I863" s="3">
        <f>Gegenstände!D863</f>
        <v>0</v>
      </c>
      <c r="J863" s="168">
        <f>ROUND(Gegenstände!N863,0)</f>
        <v>0</v>
      </c>
      <c r="K863" s="3">
        <f>Gegenstände!J863</f>
        <v>100</v>
      </c>
      <c r="L863" s="3">
        <f>Gegenstände!L863</f>
        <v>0</v>
      </c>
      <c r="M863" s="3">
        <f>Gegenstände!Z863</f>
        <v>0</v>
      </c>
      <c r="N863" s="783">
        <f>(Gegenstände!Y863*10)</f>
        <v>0</v>
      </c>
      <c r="O863" s="783">
        <f>(Gegenstände!W863*10)</f>
        <v>0</v>
      </c>
      <c r="P863" s="783">
        <f>Gegenstände!AA863*10</f>
        <v>0</v>
      </c>
      <c r="Q863" s="783">
        <f>Gegenstände!O863</f>
        <v>0</v>
      </c>
      <c r="R863" s="168">
        <f>Gegenstände!S863</f>
        <v>0</v>
      </c>
      <c r="S863" s="168">
        <f>Gegenstände!T863</f>
        <v>0</v>
      </c>
      <c r="T863" s="783">
        <f>Gegenstände!AC863</f>
        <v>0</v>
      </c>
      <c r="U863" s="783">
        <f>Gegenstände!AE863</f>
        <v>0</v>
      </c>
      <c r="V863" s="783">
        <f>Gegenstände!AD863</f>
        <v>0</v>
      </c>
      <c r="W863" s="783">
        <f>Gegenstände!AF863</f>
        <v>0</v>
      </c>
      <c r="AB863" s="3">
        <f>Gegenstände!M863</f>
        <v>0</v>
      </c>
      <c r="AC863" s="3">
        <f>Gegenstände!AB863</f>
        <v>0</v>
      </c>
      <c r="AD863" s="3">
        <f>Gegenstände!F863</f>
        <v>0</v>
      </c>
    </row>
    <row r="864" spans="1:30" x14ac:dyDescent="0.2">
      <c r="A864" s="3">
        <f>Gegenstände!A864</f>
        <v>4115</v>
      </c>
      <c r="B864" s="3" t="str">
        <f>Gegenstände!B864</f>
        <v>Knochenring</v>
      </c>
      <c r="D864" s="3">
        <f>Gegenstände!K864</f>
        <v>1000</v>
      </c>
      <c r="E864" s="3">
        <f>Gegenstände!I864</f>
        <v>13</v>
      </c>
      <c r="F864" s="3">
        <f>VLOOKUP(Gegenstände!E864,Berechnungen!$E$87:$F$115,2,FALSE)</f>
        <v>21</v>
      </c>
      <c r="G864" s="3">
        <f>Gegenstände!H864</f>
        <v>1</v>
      </c>
      <c r="H864" s="3">
        <f>Gegenstände!G864</f>
        <v>0</v>
      </c>
      <c r="I864" s="3">
        <f>Gegenstände!D864</f>
        <v>0</v>
      </c>
      <c r="J864" s="168">
        <f>ROUND(Gegenstände!N864,0)</f>
        <v>0</v>
      </c>
      <c r="K864" s="3">
        <f>Gegenstände!J864</f>
        <v>100</v>
      </c>
      <c r="L864" s="3">
        <f>Gegenstände!L864</f>
        <v>0</v>
      </c>
      <c r="M864" s="3">
        <f>Gegenstände!Z864</f>
        <v>0</v>
      </c>
      <c r="N864" s="783">
        <f>(Gegenstände!Y864*10)</f>
        <v>0</v>
      </c>
      <c r="O864" s="783">
        <f>(Gegenstände!W864*10)</f>
        <v>0</v>
      </c>
      <c r="P864" s="783">
        <f>Gegenstände!AA864*10</f>
        <v>0</v>
      </c>
      <c r="Q864" s="783">
        <f>Gegenstände!O864</f>
        <v>0</v>
      </c>
      <c r="R864" s="168">
        <f>Gegenstände!S864</f>
        <v>0</v>
      </c>
      <c r="S864" s="168">
        <f>Gegenstände!T864</f>
        <v>0</v>
      </c>
      <c r="T864" s="783">
        <f>Gegenstände!AC864</f>
        <v>0</v>
      </c>
      <c r="U864" s="783">
        <f>Gegenstände!AE864</f>
        <v>0</v>
      </c>
      <c r="V864" s="783">
        <f>Gegenstände!AD864</f>
        <v>0</v>
      </c>
      <c r="W864" s="783">
        <f>Gegenstände!AF864</f>
        <v>0</v>
      </c>
      <c r="AB864" s="3">
        <f>Gegenstände!M864</f>
        <v>0</v>
      </c>
      <c r="AC864" s="3">
        <f>Gegenstände!AB864</f>
        <v>0</v>
      </c>
      <c r="AD864" s="3">
        <f>Gegenstände!F864</f>
        <v>0</v>
      </c>
    </row>
    <row r="865" spans="1:30" x14ac:dyDescent="0.2">
      <c r="A865" s="3">
        <f>Gegenstände!A865</f>
        <v>4116</v>
      </c>
      <c r="B865" s="3" t="str">
        <f>Gegenstände!B865</f>
        <v>Metzgerhandschuhe</v>
      </c>
      <c r="D865" s="3">
        <f>Gegenstände!K865</f>
        <v>1000</v>
      </c>
      <c r="E865" s="3">
        <f>Gegenstände!I865</f>
        <v>13</v>
      </c>
      <c r="F865" s="3">
        <f>VLOOKUP(Gegenstände!E865,Berechnungen!$E$87:$F$115,2,FALSE)</f>
        <v>21</v>
      </c>
      <c r="G865" s="3">
        <f>Gegenstände!H865</f>
        <v>1</v>
      </c>
      <c r="H865" s="3">
        <f>Gegenstände!G865</f>
        <v>0</v>
      </c>
      <c r="I865" s="3">
        <f>Gegenstände!D865</f>
        <v>0</v>
      </c>
      <c r="J865" s="168">
        <f>ROUND(Gegenstände!N865,0)</f>
        <v>0</v>
      </c>
      <c r="K865" s="3">
        <f>Gegenstände!J865</f>
        <v>100</v>
      </c>
      <c r="L865" s="3">
        <f>Gegenstände!L865</f>
        <v>0</v>
      </c>
      <c r="M865" s="3">
        <f>Gegenstände!Z865</f>
        <v>0</v>
      </c>
      <c r="N865" s="783">
        <f>(Gegenstände!Y865*10)</f>
        <v>0</v>
      </c>
      <c r="O865" s="783">
        <f>(Gegenstände!W865*10)</f>
        <v>0</v>
      </c>
      <c r="P865" s="783">
        <f>Gegenstände!AA865*10</f>
        <v>0</v>
      </c>
      <c r="Q865" s="783">
        <f>Gegenstände!O865</f>
        <v>0</v>
      </c>
      <c r="R865" s="168">
        <f>Gegenstände!S865</f>
        <v>0</v>
      </c>
      <c r="S865" s="168">
        <f>Gegenstände!T865</f>
        <v>0</v>
      </c>
      <c r="T865" s="783">
        <f>Gegenstände!AC865</f>
        <v>0</v>
      </c>
      <c r="U865" s="783">
        <f>Gegenstände!AE865</f>
        <v>0</v>
      </c>
      <c r="V865" s="783">
        <f>Gegenstände!AD865</f>
        <v>0</v>
      </c>
      <c r="W865" s="783">
        <f>Gegenstände!AF865</f>
        <v>0</v>
      </c>
      <c r="AB865" s="3">
        <f>Gegenstände!M865</f>
        <v>0</v>
      </c>
      <c r="AC865" s="3">
        <f>Gegenstände!AB865</f>
        <v>0</v>
      </c>
      <c r="AD865" s="3">
        <f>Gegenstände!F865</f>
        <v>0</v>
      </c>
    </row>
    <row r="866" spans="1:30" x14ac:dyDescent="0.2">
      <c r="A866" s="3">
        <f>Gegenstände!A866</f>
        <v>4117</v>
      </c>
      <c r="B866" s="3" t="str">
        <f>Gegenstände!B866</f>
        <v>Greifenrock</v>
      </c>
      <c r="D866" s="3">
        <f>Gegenstände!K866</f>
        <v>1000</v>
      </c>
      <c r="E866" s="3">
        <f>Gegenstände!I866</f>
        <v>14</v>
      </c>
      <c r="F866" s="3">
        <f>VLOOKUP(Gegenstände!E866,Berechnungen!$E$87:$F$115,2,FALSE)</f>
        <v>21</v>
      </c>
      <c r="G866" s="3">
        <f>Gegenstände!H866</f>
        <v>1</v>
      </c>
      <c r="H866" s="3">
        <f>Gegenstände!G866</f>
        <v>0</v>
      </c>
      <c r="I866" s="3">
        <f>Gegenstände!D866</f>
        <v>0</v>
      </c>
      <c r="J866" s="168">
        <f>ROUND(Gegenstände!N866,0)</f>
        <v>0</v>
      </c>
      <c r="K866" s="3">
        <f>Gegenstände!J866</f>
        <v>100</v>
      </c>
      <c r="L866" s="3">
        <f>Gegenstände!L866</f>
        <v>0</v>
      </c>
      <c r="M866" s="3">
        <f>Gegenstände!Z866</f>
        <v>0</v>
      </c>
      <c r="N866" s="783">
        <f>(Gegenstände!Y866*10)</f>
        <v>0</v>
      </c>
      <c r="O866" s="783">
        <f>(Gegenstände!W866*10)</f>
        <v>0</v>
      </c>
      <c r="P866" s="783">
        <f>Gegenstände!AA866*10</f>
        <v>0</v>
      </c>
      <c r="Q866" s="783">
        <f>Gegenstände!O866</f>
        <v>0</v>
      </c>
      <c r="R866" s="168">
        <f>Gegenstände!S866</f>
        <v>0</v>
      </c>
      <c r="S866" s="168">
        <f>Gegenstände!T866</f>
        <v>0</v>
      </c>
      <c r="T866" s="783">
        <f>Gegenstände!AC866</f>
        <v>0</v>
      </c>
      <c r="U866" s="783">
        <f>Gegenstände!AE866</f>
        <v>0</v>
      </c>
      <c r="V866" s="783">
        <f>Gegenstände!AD866</f>
        <v>0</v>
      </c>
      <c r="W866" s="783">
        <f>Gegenstände!AF866</f>
        <v>0</v>
      </c>
      <c r="AB866" s="3">
        <f>Gegenstände!M866</f>
        <v>0</v>
      </c>
      <c r="AC866" s="3">
        <f>Gegenstände!AB866</f>
        <v>0</v>
      </c>
      <c r="AD866" s="3">
        <f>Gegenstände!F866</f>
        <v>0</v>
      </c>
    </row>
    <row r="867" spans="1:30" x14ac:dyDescent="0.2">
      <c r="A867" s="3">
        <f>Gegenstände!A867</f>
        <v>4118</v>
      </c>
      <c r="B867" s="3" t="str">
        <f>Gegenstände!B867</f>
        <v>Tuchhose</v>
      </c>
      <c r="D867" s="3">
        <f>Gegenstände!K867</f>
        <v>1000</v>
      </c>
      <c r="E867" s="3">
        <f>Gegenstände!I867</f>
        <v>14</v>
      </c>
      <c r="F867" s="3">
        <f>VLOOKUP(Gegenstände!E867,Berechnungen!$E$87:$F$115,2,FALSE)</f>
        <v>21</v>
      </c>
      <c r="G867" s="3">
        <f>Gegenstände!H867</f>
        <v>1</v>
      </c>
      <c r="H867" s="3">
        <f>Gegenstände!G867</f>
        <v>0</v>
      </c>
      <c r="I867" s="3">
        <f>Gegenstände!D867</f>
        <v>0</v>
      </c>
      <c r="J867" s="168">
        <f>ROUND(Gegenstände!N867,0)</f>
        <v>0</v>
      </c>
      <c r="K867" s="3">
        <f>Gegenstände!J867</f>
        <v>100</v>
      </c>
      <c r="L867" s="3">
        <f>Gegenstände!L867</f>
        <v>0</v>
      </c>
      <c r="M867" s="3">
        <f>Gegenstände!Z867</f>
        <v>0</v>
      </c>
      <c r="N867" s="783">
        <f>(Gegenstände!Y867*10)</f>
        <v>0</v>
      </c>
      <c r="O867" s="783">
        <f>(Gegenstände!W867*10)</f>
        <v>0</v>
      </c>
      <c r="P867" s="783">
        <f>Gegenstände!AA867*10</f>
        <v>0</v>
      </c>
      <c r="Q867" s="783">
        <f>Gegenstände!O867</f>
        <v>0</v>
      </c>
      <c r="R867" s="168">
        <f>Gegenstände!S867</f>
        <v>0</v>
      </c>
      <c r="S867" s="168">
        <f>Gegenstände!T867</f>
        <v>0</v>
      </c>
      <c r="T867" s="783">
        <f>Gegenstände!AC867</f>
        <v>0</v>
      </c>
      <c r="U867" s="783">
        <f>Gegenstände!AE867</f>
        <v>0</v>
      </c>
      <c r="V867" s="783">
        <f>Gegenstände!AD867</f>
        <v>0</v>
      </c>
      <c r="W867" s="783">
        <f>Gegenstände!AF867</f>
        <v>0</v>
      </c>
      <c r="AB867" s="3">
        <f>Gegenstände!M867</f>
        <v>0</v>
      </c>
      <c r="AC867" s="3">
        <f>Gegenstände!AB867</f>
        <v>0</v>
      </c>
      <c r="AD867" s="3">
        <f>Gegenstände!F867</f>
        <v>0</v>
      </c>
    </row>
    <row r="868" spans="1:30" x14ac:dyDescent="0.2">
      <c r="A868" s="3">
        <f>Gegenstände!A868</f>
        <v>4119</v>
      </c>
      <c r="B868" s="3" t="str">
        <f>Gegenstände!B868</f>
        <v>Zwergenrock</v>
      </c>
      <c r="D868" s="3">
        <f>Gegenstände!K868</f>
        <v>1000</v>
      </c>
      <c r="E868" s="3">
        <f>Gegenstände!I868</f>
        <v>14</v>
      </c>
      <c r="F868" s="3">
        <f>VLOOKUP(Gegenstände!E868,Berechnungen!$E$87:$F$115,2,FALSE)</f>
        <v>21</v>
      </c>
      <c r="G868" s="3">
        <f>Gegenstände!H868</f>
        <v>1</v>
      </c>
      <c r="H868" s="3">
        <f>Gegenstände!G868</f>
        <v>0</v>
      </c>
      <c r="I868" s="3">
        <f>Gegenstände!D868</f>
        <v>0</v>
      </c>
      <c r="J868" s="168">
        <f>ROUND(Gegenstände!N868,0)</f>
        <v>0</v>
      </c>
      <c r="K868" s="3">
        <f>Gegenstände!J868</f>
        <v>100</v>
      </c>
      <c r="L868" s="3">
        <f>Gegenstände!L868</f>
        <v>0</v>
      </c>
      <c r="M868" s="3">
        <f>Gegenstände!Z868</f>
        <v>0</v>
      </c>
      <c r="N868" s="783">
        <f>(Gegenstände!Y868*10)</f>
        <v>0</v>
      </c>
      <c r="O868" s="783">
        <f>(Gegenstände!W868*10)</f>
        <v>0</v>
      </c>
      <c r="P868" s="783">
        <f>Gegenstände!AA868*10</f>
        <v>0</v>
      </c>
      <c r="Q868" s="783">
        <f>Gegenstände!O868</f>
        <v>0</v>
      </c>
      <c r="R868" s="168">
        <f>Gegenstände!S868</f>
        <v>0</v>
      </c>
      <c r="S868" s="168">
        <f>Gegenstände!T868</f>
        <v>0</v>
      </c>
      <c r="T868" s="783">
        <f>Gegenstände!AC868</f>
        <v>0</v>
      </c>
      <c r="U868" s="783">
        <f>Gegenstände!AE868</f>
        <v>0</v>
      </c>
      <c r="V868" s="783">
        <f>Gegenstände!AD868</f>
        <v>0</v>
      </c>
      <c r="W868" s="783">
        <f>Gegenstände!AF868</f>
        <v>0</v>
      </c>
      <c r="AB868" s="3">
        <f>Gegenstände!M868</f>
        <v>0</v>
      </c>
      <c r="AC868" s="3">
        <f>Gegenstände!AB868</f>
        <v>0</v>
      </c>
      <c r="AD868" s="3">
        <f>Gegenstände!F868</f>
        <v>0</v>
      </c>
    </row>
    <row r="869" spans="1:30" x14ac:dyDescent="0.2">
      <c r="A869" s="3">
        <f>Gegenstände!A869</f>
        <v>4120</v>
      </c>
      <c r="B869" s="3" t="str">
        <f>Gegenstände!B869</f>
        <v>Braguettebeinlinge</v>
      </c>
      <c r="D869" s="3">
        <f>Gegenstände!K869</f>
        <v>1000</v>
      </c>
      <c r="E869" s="3">
        <f>Gegenstände!I869</f>
        <v>14</v>
      </c>
      <c r="F869" s="3">
        <f>VLOOKUP(Gegenstände!E869,Berechnungen!$E$87:$F$115,2,FALSE)</f>
        <v>21</v>
      </c>
      <c r="G869" s="3">
        <f>Gegenstände!H869</f>
        <v>1</v>
      </c>
      <c r="H869" s="3">
        <f>Gegenstände!G869</f>
        <v>0</v>
      </c>
      <c r="I869" s="3">
        <f>Gegenstände!D869</f>
        <v>0</v>
      </c>
      <c r="J869" s="168">
        <f>ROUND(Gegenstände!N869,0)</f>
        <v>0</v>
      </c>
      <c r="K869" s="3">
        <f>Gegenstände!J869</f>
        <v>100</v>
      </c>
      <c r="L869" s="3">
        <f>Gegenstände!L869</f>
        <v>0</v>
      </c>
      <c r="M869" s="3">
        <f>Gegenstände!Z869</f>
        <v>0</v>
      </c>
      <c r="N869" s="783">
        <f>(Gegenstände!Y869*10)</f>
        <v>0</v>
      </c>
      <c r="O869" s="783">
        <f>(Gegenstände!W869*10)</f>
        <v>0</v>
      </c>
      <c r="P869" s="783">
        <f>Gegenstände!AA869*10</f>
        <v>0</v>
      </c>
      <c r="Q869" s="783">
        <f>Gegenstände!O869</f>
        <v>0</v>
      </c>
      <c r="R869" s="168">
        <f>Gegenstände!S869</f>
        <v>0</v>
      </c>
      <c r="S869" s="168">
        <f>Gegenstände!T869</f>
        <v>0</v>
      </c>
      <c r="T869" s="783">
        <f>Gegenstände!AC869</f>
        <v>0</v>
      </c>
      <c r="U869" s="783">
        <f>Gegenstände!AE869</f>
        <v>0</v>
      </c>
      <c r="V869" s="783">
        <f>Gegenstände!AD869</f>
        <v>0</v>
      </c>
      <c r="W869" s="783">
        <f>Gegenstände!AF869</f>
        <v>0</v>
      </c>
      <c r="AB869" s="3">
        <f>Gegenstände!M869</f>
        <v>0</v>
      </c>
      <c r="AC869" s="3">
        <f>Gegenstände!AB869</f>
        <v>0</v>
      </c>
      <c r="AD869" s="3">
        <f>Gegenstände!F869</f>
        <v>0</v>
      </c>
    </row>
    <row r="870" spans="1:30" x14ac:dyDescent="0.2">
      <c r="A870" s="3">
        <f>Gegenstände!A870</f>
        <v>4121</v>
      </c>
      <c r="B870" s="3" t="str">
        <f>Gegenstände!B870</f>
        <v>Lindwurmledersandalen</v>
      </c>
      <c r="D870" s="3">
        <f>Gegenstände!K870</f>
        <v>1000</v>
      </c>
      <c r="E870" s="3">
        <f>Gegenstände!I870</f>
        <v>15</v>
      </c>
      <c r="F870" s="3">
        <f>VLOOKUP(Gegenstände!E870,Berechnungen!$E$87:$F$115,2,FALSE)</f>
        <v>21</v>
      </c>
      <c r="G870" s="3">
        <f>Gegenstände!H870</f>
        <v>1</v>
      </c>
      <c r="H870" s="3">
        <f>Gegenstände!G870</f>
        <v>0</v>
      </c>
      <c r="I870" s="3">
        <f>Gegenstände!D870</f>
        <v>0</v>
      </c>
      <c r="J870" s="168">
        <f>ROUND(Gegenstände!N870,0)</f>
        <v>0</v>
      </c>
      <c r="K870" s="3">
        <f>Gegenstände!J870</f>
        <v>100</v>
      </c>
      <c r="L870" s="3">
        <f>Gegenstände!L870</f>
        <v>0</v>
      </c>
      <c r="M870" s="3">
        <f>Gegenstände!Z870</f>
        <v>0</v>
      </c>
      <c r="N870" s="783">
        <f>(Gegenstände!Y870*10)</f>
        <v>0</v>
      </c>
      <c r="O870" s="783">
        <f>(Gegenstände!W870*10)</f>
        <v>0</v>
      </c>
      <c r="P870" s="783">
        <f>Gegenstände!AA870*10</f>
        <v>0</v>
      </c>
      <c r="Q870" s="783">
        <f>Gegenstände!O870</f>
        <v>0</v>
      </c>
      <c r="R870" s="168">
        <f>Gegenstände!S870</f>
        <v>0</v>
      </c>
      <c r="S870" s="168">
        <f>Gegenstände!T870</f>
        <v>0</v>
      </c>
      <c r="T870" s="783">
        <f>Gegenstände!AC870</f>
        <v>0</v>
      </c>
      <c r="U870" s="783">
        <f>Gegenstände!AE870</f>
        <v>0</v>
      </c>
      <c r="V870" s="783">
        <f>Gegenstände!AD870</f>
        <v>0</v>
      </c>
      <c r="W870" s="783">
        <f>Gegenstände!AF870</f>
        <v>0</v>
      </c>
      <c r="AB870" s="3">
        <f>Gegenstände!M870</f>
        <v>0</v>
      </c>
      <c r="AC870" s="3">
        <f>Gegenstände!AB870</f>
        <v>0</v>
      </c>
      <c r="AD870" s="3">
        <f>Gegenstände!F870</f>
        <v>0</v>
      </c>
    </row>
    <row r="871" spans="1:30" x14ac:dyDescent="0.2">
      <c r="A871" s="3">
        <f>Gegenstände!A871</f>
        <v>4122</v>
      </c>
      <c r="B871" s="3" t="str">
        <f>Gegenstände!B871</f>
        <v>Greifenreiterstiefel</v>
      </c>
      <c r="D871" s="3">
        <f>Gegenstände!K871</f>
        <v>1000</v>
      </c>
      <c r="E871" s="3">
        <f>Gegenstände!I871</f>
        <v>15</v>
      </c>
      <c r="F871" s="3">
        <f>VLOOKUP(Gegenstände!E871,Berechnungen!$E$87:$F$115,2,FALSE)</f>
        <v>21</v>
      </c>
      <c r="G871" s="3">
        <f>Gegenstände!H871</f>
        <v>1</v>
      </c>
      <c r="H871" s="3">
        <f>Gegenstände!G871</f>
        <v>0</v>
      </c>
      <c r="I871" s="3">
        <f>Gegenstände!D871</f>
        <v>0</v>
      </c>
      <c r="J871" s="168">
        <f>ROUND(Gegenstände!N871,0)</f>
        <v>0</v>
      </c>
      <c r="K871" s="3">
        <f>Gegenstände!J871</f>
        <v>100</v>
      </c>
      <c r="L871" s="3">
        <f>Gegenstände!L871</f>
        <v>0</v>
      </c>
      <c r="M871" s="3">
        <f>Gegenstände!Z871</f>
        <v>0</v>
      </c>
      <c r="N871" s="783">
        <f>(Gegenstände!Y871*10)</f>
        <v>0</v>
      </c>
      <c r="O871" s="783">
        <f>(Gegenstände!W871*10)</f>
        <v>0</v>
      </c>
      <c r="P871" s="783">
        <f>Gegenstände!AA871*10</f>
        <v>0</v>
      </c>
      <c r="Q871" s="783">
        <f>Gegenstände!O871</f>
        <v>0</v>
      </c>
      <c r="R871" s="168">
        <f>Gegenstände!S871</f>
        <v>0</v>
      </c>
      <c r="S871" s="168">
        <f>Gegenstände!T871</f>
        <v>0</v>
      </c>
      <c r="T871" s="783">
        <f>Gegenstände!AC871</f>
        <v>0</v>
      </c>
      <c r="U871" s="783">
        <f>Gegenstände!AE871</f>
        <v>0</v>
      </c>
      <c r="V871" s="783">
        <f>Gegenstände!AD871</f>
        <v>0</v>
      </c>
      <c r="W871" s="783">
        <f>Gegenstände!AF871</f>
        <v>0</v>
      </c>
      <c r="AB871" s="3">
        <f>Gegenstände!M871</f>
        <v>0</v>
      </c>
      <c r="AC871" s="3">
        <f>Gegenstände!AB871</f>
        <v>0</v>
      </c>
      <c r="AD871" s="3">
        <f>Gegenstände!F871</f>
        <v>0</v>
      </c>
    </row>
    <row r="872" spans="1:30" x14ac:dyDescent="0.2">
      <c r="A872" s="3">
        <f>Gegenstände!A872</f>
        <v>4123</v>
      </c>
      <c r="B872" s="3" t="str">
        <f>Gegenstände!B872</f>
        <v>Reitstiefel</v>
      </c>
      <c r="D872" s="3">
        <f>Gegenstände!K872</f>
        <v>1000</v>
      </c>
      <c r="E872" s="3">
        <f>Gegenstände!I872</f>
        <v>15</v>
      </c>
      <c r="F872" s="3">
        <f>VLOOKUP(Gegenstände!E872,Berechnungen!$E$87:$F$115,2,FALSE)</f>
        <v>21</v>
      </c>
      <c r="G872" s="3">
        <f>Gegenstände!H872</f>
        <v>1</v>
      </c>
      <c r="H872" s="3">
        <f>Gegenstände!G872</f>
        <v>0</v>
      </c>
      <c r="I872" s="3">
        <f>Gegenstände!D872</f>
        <v>0</v>
      </c>
      <c r="J872" s="168">
        <f>ROUND(Gegenstände!N872,0)</f>
        <v>0</v>
      </c>
      <c r="K872" s="3">
        <f>Gegenstände!J872</f>
        <v>100</v>
      </c>
      <c r="L872" s="3">
        <f>Gegenstände!L872</f>
        <v>0</v>
      </c>
      <c r="M872" s="3">
        <f>Gegenstände!Z872</f>
        <v>0</v>
      </c>
      <c r="N872" s="783">
        <f>(Gegenstände!Y872*10)</f>
        <v>0</v>
      </c>
      <c r="O872" s="783">
        <f>(Gegenstände!W872*10)</f>
        <v>0</v>
      </c>
      <c r="P872" s="783">
        <f>Gegenstände!AA872*10</f>
        <v>0</v>
      </c>
      <c r="Q872" s="783">
        <f>Gegenstände!O872</f>
        <v>0</v>
      </c>
      <c r="R872" s="168">
        <f>Gegenstände!S872</f>
        <v>0</v>
      </c>
      <c r="S872" s="168">
        <f>Gegenstände!T872</f>
        <v>0</v>
      </c>
      <c r="T872" s="783">
        <f>Gegenstände!AC872</f>
        <v>0</v>
      </c>
      <c r="U872" s="783">
        <f>Gegenstände!AE872</f>
        <v>0</v>
      </c>
      <c r="V872" s="783">
        <f>Gegenstände!AD872</f>
        <v>0</v>
      </c>
      <c r="W872" s="783">
        <f>Gegenstände!AF872</f>
        <v>0</v>
      </c>
      <c r="AB872" s="3">
        <f>Gegenstände!M872</f>
        <v>0</v>
      </c>
      <c r="AC872" s="3">
        <f>Gegenstände!AB872</f>
        <v>0</v>
      </c>
      <c r="AD872" s="3">
        <f>Gegenstände!F872</f>
        <v>0</v>
      </c>
    </row>
    <row r="873" spans="1:30" x14ac:dyDescent="0.2">
      <c r="A873" s="3">
        <f>Gegenstände!A873</f>
        <v>4124</v>
      </c>
      <c r="B873" s="3" t="str">
        <f>Gegenstände!B873</f>
        <v>Schwarzfederstiefel</v>
      </c>
      <c r="D873" s="3">
        <f>Gegenstände!K873</f>
        <v>1000</v>
      </c>
      <c r="E873" s="3">
        <f>Gegenstände!I873</f>
        <v>15</v>
      </c>
      <c r="F873" s="3">
        <f>VLOOKUP(Gegenstände!E873,Berechnungen!$E$87:$F$115,2,FALSE)</f>
        <v>21</v>
      </c>
      <c r="G873" s="3">
        <f>Gegenstände!H873</f>
        <v>1</v>
      </c>
      <c r="H873" s="3">
        <f>Gegenstände!G873</f>
        <v>0</v>
      </c>
      <c r="I873" s="3">
        <f>Gegenstände!D873</f>
        <v>0</v>
      </c>
      <c r="J873" s="168">
        <f>ROUND(Gegenstände!N873,0)</f>
        <v>0</v>
      </c>
      <c r="K873" s="3">
        <f>Gegenstände!J873</f>
        <v>100</v>
      </c>
      <c r="L873" s="3">
        <f>Gegenstände!L873</f>
        <v>0</v>
      </c>
      <c r="M873" s="3">
        <f>Gegenstände!Z873</f>
        <v>0</v>
      </c>
      <c r="N873" s="783">
        <f>(Gegenstände!Y873*10)</f>
        <v>0</v>
      </c>
      <c r="O873" s="783">
        <f>(Gegenstände!W873*10)</f>
        <v>0</v>
      </c>
      <c r="P873" s="783">
        <f>Gegenstände!AA873*10</f>
        <v>0</v>
      </c>
      <c r="Q873" s="783">
        <f>Gegenstände!O873</f>
        <v>0</v>
      </c>
      <c r="R873" s="168">
        <f>Gegenstände!S873</f>
        <v>0</v>
      </c>
      <c r="S873" s="168">
        <f>Gegenstände!T873</f>
        <v>0</v>
      </c>
      <c r="T873" s="783">
        <f>Gegenstände!AC873</f>
        <v>0</v>
      </c>
      <c r="U873" s="783">
        <f>Gegenstände!AE873</f>
        <v>0</v>
      </c>
      <c r="V873" s="783">
        <f>Gegenstände!AD873</f>
        <v>0</v>
      </c>
      <c r="W873" s="783">
        <f>Gegenstände!AF873</f>
        <v>0</v>
      </c>
      <c r="AB873" s="3">
        <f>Gegenstände!M873</f>
        <v>0</v>
      </c>
      <c r="AC873" s="3">
        <f>Gegenstände!AB873</f>
        <v>0</v>
      </c>
      <c r="AD873" s="3">
        <f>Gegenstände!F873</f>
        <v>0</v>
      </c>
    </row>
    <row r="874" spans="1:30" x14ac:dyDescent="0.2">
      <c r="A874" s="3">
        <f>Gegenstände!A874</f>
        <v>4125</v>
      </c>
      <c r="B874" s="3" t="str">
        <f>Gegenstände!B874</f>
        <v>Schnabelschuhe</v>
      </c>
      <c r="D874" s="3">
        <f>Gegenstände!K874</f>
        <v>1000</v>
      </c>
      <c r="E874" s="3">
        <f>Gegenstände!I874</f>
        <v>15</v>
      </c>
      <c r="F874" s="3">
        <f>VLOOKUP(Gegenstände!E874,Berechnungen!$E$87:$F$115,2,FALSE)</f>
        <v>21</v>
      </c>
      <c r="G874" s="3">
        <f>Gegenstände!H874</f>
        <v>1</v>
      </c>
      <c r="H874" s="3">
        <f>Gegenstände!G874</f>
        <v>0</v>
      </c>
      <c r="I874" s="3">
        <f>Gegenstände!D874</f>
        <v>0</v>
      </c>
      <c r="J874" s="168">
        <f>ROUND(Gegenstände!N874,0)</f>
        <v>0</v>
      </c>
      <c r="K874" s="3">
        <f>Gegenstände!J874</f>
        <v>100</v>
      </c>
      <c r="L874" s="3">
        <f>Gegenstände!L874</f>
        <v>0</v>
      </c>
      <c r="M874" s="3">
        <f>Gegenstände!Z874</f>
        <v>0</v>
      </c>
      <c r="N874" s="783">
        <f>(Gegenstände!Y874*10)</f>
        <v>0</v>
      </c>
      <c r="O874" s="783">
        <f>(Gegenstände!W874*10)</f>
        <v>0</v>
      </c>
      <c r="P874" s="783">
        <f>Gegenstände!AA874*10</f>
        <v>0</v>
      </c>
      <c r="Q874" s="783">
        <f>Gegenstände!O874</f>
        <v>0</v>
      </c>
      <c r="R874" s="168">
        <f>Gegenstände!S874</f>
        <v>0</v>
      </c>
      <c r="S874" s="168">
        <f>Gegenstände!T874</f>
        <v>0</v>
      </c>
      <c r="T874" s="783">
        <f>Gegenstände!AC874</f>
        <v>0</v>
      </c>
      <c r="U874" s="783">
        <f>Gegenstände!AE874</f>
        <v>0</v>
      </c>
      <c r="V874" s="783">
        <f>Gegenstände!AD874</f>
        <v>0</v>
      </c>
      <c r="W874" s="783">
        <f>Gegenstände!AF874</f>
        <v>0</v>
      </c>
      <c r="AB874" s="3">
        <f>Gegenstände!M874</f>
        <v>0</v>
      </c>
      <c r="AC874" s="3">
        <f>Gegenstände!AB874</f>
        <v>0</v>
      </c>
      <c r="AD874" s="3">
        <f>Gegenstände!F874</f>
        <v>0</v>
      </c>
    </row>
    <row r="875" spans="1:30" x14ac:dyDescent="0.2">
      <c r="A875" s="3">
        <f>Gegenstände!A875</f>
        <v>4126</v>
      </c>
      <c r="B875" s="3" t="str">
        <f>Gegenstände!B875</f>
        <v>Weinflasche</v>
      </c>
      <c r="D875" s="3">
        <f>Gegenstände!K875</f>
        <v>1000</v>
      </c>
      <c r="E875" s="3">
        <f>Gegenstände!I875</f>
        <v>1</v>
      </c>
      <c r="F875" s="3">
        <f>VLOOKUP(Gegenstände!E875,Berechnungen!$E$87:$F$115,2,FALSE)</f>
        <v>3</v>
      </c>
      <c r="G875" s="3">
        <f>Gegenstände!H875</f>
        <v>1</v>
      </c>
      <c r="H875" s="3">
        <f>Gegenstände!G875</f>
        <v>0</v>
      </c>
      <c r="I875" s="3">
        <f>Gegenstände!D875</f>
        <v>0</v>
      </c>
      <c r="J875" s="168">
        <f>ROUND(Gegenstände!N875,0)</f>
        <v>0</v>
      </c>
      <c r="K875" s="3">
        <f>Gegenstände!J875</f>
        <v>100</v>
      </c>
      <c r="L875" s="3">
        <f>Gegenstände!L875</f>
        <v>0</v>
      </c>
      <c r="M875" s="3">
        <f>Gegenstände!Z875</f>
        <v>0</v>
      </c>
      <c r="N875" s="783">
        <f>(Gegenstände!Y875*10)</f>
        <v>0</v>
      </c>
      <c r="O875" s="783">
        <f>(Gegenstände!W875*10)</f>
        <v>0</v>
      </c>
      <c r="P875" s="783">
        <f>Gegenstände!AA875*10</f>
        <v>0</v>
      </c>
      <c r="Q875" s="783">
        <f>Gegenstände!O875</f>
        <v>3</v>
      </c>
      <c r="R875" s="168">
        <f>Gegenstände!S875</f>
        <v>10</v>
      </c>
      <c r="S875" s="168">
        <f>Gegenstände!T875</f>
        <v>15</v>
      </c>
      <c r="T875" s="783">
        <f>Gegenstände!AC875</f>
        <v>0</v>
      </c>
      <c r="U875" s="783">
        <f>Gegenstände!AE875</f>
        <v>0</v>
      </c>
      <c r="V875" s="783">
        <f>Gegenstände!AD875</f>
        <v>0</v>
      </c>
      <c r="W875" s="783">
        <f>Gegenstände!AF875</f>
        <v>0</v>
      </c>
      <c r="AB875" s="3">
        <f>Gegenstände!M875</f>
        <v>0</v>
      </c>
      <c r="AC875" s="3">
        <f>Gegenstände!AB875</f>
        <v>0</v>
      </c>
      <c r="AD875" s="3">
        <f>Gegenstände!F875</f>
        <v>0</v>
      </c>
    </row>
    <row r="876" spans="1:30" x14ac:dyDescent="0.2">
      <c r="A876" s="3">
        <f>Gegenstände!A876</f>
        <v>4127</v>
      </c>
      <c r="B876" s="3" t="str">
        <f>Gegenstände!B876</f>
        <v>Flagge</v>
      </c>
      <c r="D876" s="3">
        <f>Gegenstände!K876</f>
        <v>1000</v>
      </c>
      <c r="E876" s="3">
        <f>Gegenstände!I876</f>
        <v>1</v>
      </c>
      <c r="F876" s="3">
        <f>VLOOKUP(Gegenstände!E876,Berechnungen!$E$87:$F$115,2,FALSE)</f>
        <v>8</v>
      </c>
      <c r="G876" s="3">
        <f>Gegenstände!H876</f>
        <v>1</v>
      </c>
      <c r="H876" s="3">
        <f>Gegenstände!G876</f>
        <v>0</v>
      </c>
      <c r="I876" s="3">
        <f>Gegenstände!D876</f>
        <v>0</v>
      </c>
      <c r="J876" s="168">
        <f>ROUND(Gegenstände!N876,0)</f>
        <v>0</v>
      </c>
      <c r="K876" s="3">
        <f>Gegenstände!J876</f>
        <v>100</v>
      </c>
      <c r="L876" s="3">
        <f>Gegenstände!L876</f>
        <v>0</v>
      </c>
      <c r="M876" s="3">
        <f>Gegenstände!Z876</f>
        <v>0</v>
      </c>
      <c r="N876" s="783">
        <f>(Gegenstände!Y876*10)</f>
        <v>0</v>
      </c>
      <c r="O876" s="783">
        <f>(Gegenstände!W876*10)</f>
        <v>0</v>
      </c>
      <c r="P876" s="783">
        <f>Gegenstände!AA876*10</f>
        <v>0</v>
      </c>
      <c r="Q876" s="783">
        <f>Gegenstände!O876</f>
        <v>2</v>
      </c>
      <c r="R876" s="168">
        <f>Gegenstände!S876</f>
        <v>21</v>
      </c>
      <c r="S876" s="168">
        <f>Gegenstände!T876</f>
        <v>32</v>
      </c>
      <c r="T876" s="783">
        <f>Gegenstände!AC876</f>
        <v>0</v>
      </c>
      <c r="U876" s="783">
        <f>Gegenstände!AE876</f>
        <v>0</v>
      </c>
      <c r="V876" s="783">
        <f>Gegenstände!AD876</f>
        <v>0</v>
      </c>
      <c r="W876" s="783">
        <f>Gegenstände!AF876</f>
        <v>0</v>
      </c>
      <c r="AB876" s="3">
        <f>Gegenstände!M876</f>
        <v>0</v>
      </c>
      <c r="AC876" s="3">
        <f>Gegenstände!AB876</f>
        <v>0</v>
      </c>
      <c r="AD876" s="3">
        <f>Gegenstände!F876</f>
        <v>0</v>
      </c>
    </row>
    <row r="877" spans="1:30" x14ac:dyDescent="0.2">
      <c r="A877" s="3">
        <f>Gegenstände!A877</f>
        <v>4128</v>
      </c>
      <c r="B877" s="3" t="str">
        <f>Gegenstände!B877</f>
        <v>Drachenzahn</v>
      </c>
      <c r="D877" s="3">
        <f>Gegenstände!K877</f>
        <v>1000</v>
      </c>
      <c r="E877" s="3">
        <f>Gegenstände!I877</f>
        <v>1</v>
      </c>
      <c r="F877" s="3">
        <f>VLOOKUP(Gegenstände!E877,Berechnungen!$E$87:$F$115,2,FALSE)</f>
        <v>3</v>
      </c>
      <c r="G877" s="3">
        <f>Gegenstände!H877</f>
        <v>1</v>
      </c>
      <c r="H877" s="3">
        <f>Gegenstände!G877</f>
        <v>0</v>
      </c>
      <c r="I877" s="3">
        <f>Gegenstände!D877</f>
        <v>0</v>
      </c>
      <c r="J877" s="168">
        <f>ROUND(Gegenstände!N877,0)</f>
        <v>0</v>
      </c>
      <c r="K877" s="3">
        <f>Gegenstände!J877</f>
        <v>100</v>
      </c>
      <c r="L877" s="3">
        <f>Gegenstände!L877</f>
        <v>0</v>
      </c>
      <c r="M877" s="3">
        <f>Gegenstände!Z877</f>
        <v>0</v>
      </c>
      <c r="N877" s="783">
        <f>(Gegenstände!Y877*10)</f>
        <v>0</v>
      </c>
      <c r="O877" s="783">
        <f>(Gegenstände!W877*10)</f>
        <v>0</v>
      </c>
      <c r="P877" s="783">
        <f>Gegenstände!AA877*10</f>
        <v>0</v>
      </c>
      <c r="Q877" s="783">
        <f>Gegenstände!O877</f>
        <v>3</v>
      </c>
      <c r="R877" s="168">
        <f>Gegenstände!S877</f>
        <v>10</v>
      </c>
      <c r="S877" s="168">
        <f>Gegenstände!T877</f>
        <v>15</v>
      </c>
      <c r="T877" s="783">
        <f>Gegenstände!AC877</f>
        <v>0</v>
      </c>
      <c r="U877" s="783">
        <f>Gegenstände!AE877</f>
        <v>0</v>
      </c>
      <c r="V877" s="783">
        <f>Gegenstände!AD877</f>
        <v>0</v>
      </c>
      <c r="W877" s="783">
        <f>Gegenstände!AF877</f>
        <v>0</v>
      </c>
      <c r="AB877" s="3">
        <f>Gegenstände!M877</f>
        <v>0</v>
      </c>
      <c r="AC877" s="3">
        <f>Gegenstände!AB877</f>
        <v>0</v>
      </c>
      <c r="AD877" s="3">
        <f>Gegenstände!F877</f>
        <v>0</v>
      </c>
    </row>
    <row r="878" spans="1:30" x14ac:dyDescent="0.2">
      <c r="A878" s="3">
        <f>Gegenstände!A878</f>
        <v>4129</v>
      </c>
      <c r="B878" s="3" t="str">
        <f>Gegenstände!B878</f>
        <v>Bratpfanne</v>
      </c>
      <c r="D878" s="3">
        <f>Gegenstände!K878</f>
        <v>1000</v>
      </c>
      <c r="E878" s="3">
        <f>Gegenstände!I878</f>
        <v>1</v>
      </c>
      <c r="F878" s="3">
        <f>VLOOKUP(Gegenstände!E878,Berechnungen!$E$87:$F$115,2,FALSE)</f>
        <v>6</v>
      </c>
      <c r="G878" s="3">
        <f>Gegenstände!H878</f>
        <v>1</v>
      </c>
      <c r="H878" s="3">
        <f>Gegenstände!G878</f>
        <v>0</v>
      </c>
      <c r="I878" s="3">
        <f>Gegenstände!D878</f>
        <v>0</v>
      </c>
      <c r="J878" s="168">
        <f>ROUND(Gegenstände!N878,0)</f>
        <v>0</v>
      </c>
      <c r="K878" s="3">
        <f>Gegenstände!J878</f>
        <v>100</v>
      </c>
      <c r="L878" s="3">
        <f>Gegenstände!L878</f>
        <v>0</v>
      </c>
      <c r="M878" s="3">
        <f>Gegenstände!Z878</f>
        <v>0</v>
      </c>
      <c r="N878" s="783">
        <f>(Gegenstände!Y878*10)</f>
        <v>0</v>
      </c>
      <c r="O878" s="783">
        <f>(Gegenstände!W878*10)</f>
        <v>0</v>
      </c>
      <c r="P878" s="783">
        <f>Gegenstände!AA878*10</f>
        <v>0</v>
      </c>
      <c r="Q878" s="783">
        <f>Gegenstände!O878</f>
        <v>3</v>
      </c>
      <c r="R878" s="168">
        <f>Gegenstände!S878</f>
        <v>10</v>
      </c>
      <c r="S878" s="168">
        <f>Gegenstände!T878</f>
        <v>15</v>
      </c>
      <c r="T878" s="783">
        <f>Gegenstände!AC878</f>
        <v>0</v>
      </c>
      <c r="U878" s="783">
        <f>Gegenstände!AE878</f>
        <v>0</v>
      </c>
      <c r="V878" s="783">
        <f>Gegenstände!AD878</f>
        <v>0</v>
      </c>
      <c r="W878" s="783">
        <f>Gegenstände!AF878</f>
        <v>0</v>
      </c>
      <c r="AB878" s="3">
        <f>Gegenstände!M878</f>
        <v>0</v>
      </c>
      <c r="AC878" s="3">
        <f>Gegenstände!AB878</f>
        <v>0</v>
      </c>
      <c r="AD878" s="3">
        <f>Gegenstände!F878</f>
        <v>0</v>
      </c>
    </row>
    <row r="879" spans="1:30" x14ac:dyDescent="0.2">
      <c r="A879" s="3">
        <f>Gegenstände!A879</f>
        <v>4130</v>
      </c>
      <c r="B879" s="3" t="str">
        <f>Gegenstände!B879</f>
        <v>Trinkhorn</v>
      </c>
      <c r="D879" s="3">
        <f>Gegenstände!K879</f>
        <v>1000</v>
      </c>
      <c r="E879" s="3">
        <f>Gegenstände!I879</f>
        <v>4</v>
      </c>
      <c r="F879" s="3">
        <f>VLOOKUP(Gegenstände!E879,Berechnungen!$E$87:$F$115,2,FALSE)</f>
        <v>11</v>
      </c>
      <c r="G879" s="3">
        <f>Gegenstände!H879</f>
        <v>1</v>
      </c>
      <c r="H879" s="3">
        <f>Gegenstände!G879</f>
        <v>0</v>
      </c>
      <c r="I879" s="3">
        <f>Gegenstände!D879</f>
        <v>0</v>
      </c>
      <c r="J879" s="168">
        <f>ROUND(Gegenstände!N879,0)</f>
        <v>0</v>
      </c>
      <c r="K879" s="3">
        <f>Gegenstände!J879</f>
        <v>100</v>
      </c>
      <c r="L879" s="3">
        <f>Gegenstände!L879</f>
        <v>0</v>
      </c>
      <c r="M879" s="3">
        <f>Gegenstände!Z879</f>
        <v>0</v>
      </c>
      <c r="N879" s="783">
        <f>(Gegenstände!Y879*10)</f>
        <v>0</v>
      </c>
      <c r="O879" s="783">
        <f>(Gegenstände!W879*10)</f>
        <v>0</v>
      </c>
      <c r="P879" s="783">
        <f>Gegenstände!AA879*10</f>
        <v>0</v>
      </c>
      <c r="Q879" s="783">
        <f>Gegenstände!O879</f>
        <v>3</v>
      </c>
      <c r="R879" s="168">
        <f>Gegenstände!S879</f>
        <v>10</v>
      </c>
      <c r="S879" s="168">
        <f>Gegenstände!T879</f>
        <v>15</v>
      </c>
      <c r="T879" s="783">
        <f>Gegenstände!AC879</f>
        <v>0</v>
      </c>
      <c r="U879" s="783">
        <f>Gegenstände!AE879</f>
        <v>0</v>
      </c>
      <c r="V879" s="783">
        <f>Gegenstände!AD879</f>
        <v>0</v>
      </c>
      <c r="W879" s="783">
        <f>Gegenstände!AF879</f>
        <v>0</v>
      </c>
      <c r="AB879" s="3">
        <f>Gegenstände!M879</f>
        <v>0</v>
      </c>
      <c r="AC879" s="3">
        <f>Gegenstände!AB879</f>
        <v>0</v>
      </c>
      <c r="AD879" s="3">
        <f>Gegenstände!F879</f>
        <v>0</v>
      </c>
    </row>
    <row r="880" spans="1:30" x14ac:dyDescent="0.2">
      <c r="A880" s="3">
        <f>Gegenstände!A880</f>
        <v>4131</v>
      </c>
      <c r="B880" s="3" t="str">
        <f>Gegenstände!B880</f>
        <v>Kantholz</v>
      </c>
      <c r="D880" s="3">
        <f>Gegenstände!K880</f>
        <v>1000</v>
      </c>
      <c r="E880" s="3">
        <f>Gegenstände!I880</f>
        <v>2</v>
      </c>
      <c r="F880" s="3">
        <f>VLOOKUP(Gegenstände!E880,Berechnungen!$E$87:$F$115,2,FALSE)</f>
        <v>7</v>
      </c>
      <c r="G880" s="3">
        <f>Gegenstände!H880</f>
        <v>1</v>
      </c>
      <c r="H880" s="3">
        <f>Gegenstände!G880</f>
        <v>0</v>
      </c>
      <c r="I880" s="3">
        <f>Gegenstände!D880</f>
        <v>0</v>
      </c>
      <c r="J880" s="168">
        <f>ROUND(Gegenstände!N880,0)</f>
        <v>0</v>
      </c>
      <c r="K880" s="3">
        <f>Gegenstände!J880</f>
        <v>100</v>
      </c>
      <c r="L880" s="3">
        <f>Gegenstände!L880</f>
        <v>0</v>
      </c>
      <c r="M880" s="3">
        <f>Gegenstände!Z880</f>
        <v>0</v>
      </c>
      <c r="N880" s="783">
        <f>(Gegenstände!Y880*10)</f>
        <v>0</v>
      </c>
      <c r="O880" s="783">
        <f>(Gegenstände!W880*10)</f>
        <v>0</v>
      </c>
      <c r="P880" s="783">
        <f>Gegenstände!AA880*10</f>
        <v>0</v>
      </c>
      <c r="Q880" s="783">
        <f>Gegenstände!O880</f>
        <v>2</v>
      </c>
      <c r="R880" s="168">
        <f>Gegenstände!S880</f>
        <v>21</v>
      </c>
      <c r="S880" s="168">
        <f>Gegenstände!T880</f>
        <v>32</v>
      </c>
      <c r="T880" s="783">
        <f>Gegenstände!AC880</f>
        <v>0</v>
      </c>
      <c r="U880" s="783">
        <f>Gegenstände!AE880</f>
        <v>0</v>
      </c>
      <c r="V880" s="783">
        <f>Gegenstände!AD880</f>
        <v>0</v>
      </c>
      <c r="W880" s="783">
        <f>Gegenstände!AF880</f>
        <v>0</v>
      </c>
      <c r="AB880" s="3">
        <f>Gegenstände!M880</f>
        <v>0</v>
      </c>
      <c r="AC880" s="3">
        <f>Gegenstände!AB880</f>
        <v>0</v>
      </c>
      <c r="AD880" s="3">
        <f>Gegenstände!F880</f>
        <v>0</v>
      </c>
    </row>
    <row r="881" spans="1:30" x14ac:dyDescent="0.2">
      <c r="A881" s="3">
        <f>Gegenstände!A881</f>
        <v>4132</v>
      </c>
      <c r="B881" s="3" t="str">
        <f>Gegenstände!B881</f>
        <v>Todessichel</v>
      </c>
      <c r="D881" s="3">
        <f>Gegenstände!K881</f>
        <v>1000</v>
      </c>
      <c r="E881" s="3">
        <f>Gegenstände!I881</f>
        <v>1</v>
      </c>
      <c r="F881" s="3">
        <f>VLOOKUP(Gegenstände!E881,Berechnungen!$E$87:$F$115,2,FALSE)</f>
        <v>3</v>
      </c>
      <c r="G881" s="3">
        <f>Gegenstände!H881</f>
        <v>1</v>
      </c>
      <c r="H881" s="3">
        <f>Gegenstände!G881</f>
        <v>0</v>
      </c>
      <c r="I881" s="3">
        <f>Gegenstände!D881</f>
        <v>0</v>
      </c>
      <c r="J881" s="168">
        <f>ROUND(Gegenstände!N881,0)</f>
        <v>0</v>
      </c>
      <c r="K881" s="3">
        <f>Gegenstände!J881</f>
        <v>100</v>
      </c>
      <c r="L881" s="3">
        <f>Gegenstände!L881</f>
        <v>0</v>
      </c>
      <c r="M881" s="3">
        <f>Gegenstände!Z881</f>
        <v>0</v>
      </c>
      <c r="N881" s="783">
        <f>(Gegenstände!Y881*10)</f>
        <v>0</v>
      </c>
      <c r="O881" s="783">
        <f>(Gegenstände!W881*10)</f>
        <v>0</v>
      </c>
      <c r="P881" s="783">
        <f>Gegenstände!AA881*10</f>
        <v>0</v>
      </c>
      <c r="Q881" s="783">
        <f>Gegenstände!O881</f>
        <v>3</v>
      </c>
      <c r="R881" s="168">
        <f>Gegenstände!S881</f>
        <v>10</v>
      </c>
      <c r="S881" s="168">
        <f>Gegenstände!T881</f>
        <v>15</v>
      </c>
      <c r="T881" s="783">
        <f>Gegenstände!AC881</f>
        <v>0</v>
      </c>
      <c r="U881" s="783">
        <f>Gegenstände!AE881</f>
        <v>0</v>
      </c>
      <c r="V881" s="783">
        <f>Gegenstände!AD881</f>
        <v>0</v>
      </c>
      <c r="W881" s="783">
        <f>Gegenstände!AF881</f>
        <v>0</v>
      </c>
      <c r="AB881" s="3">
        <f>Gegenstände!M881</f>
        <v>0</v>
      </c>
      <c r="AC881" s="3">
        <f>Gegenstände!AB881</f>
        <v>0</v>
      </c>
      <c r="AD881" s="3">
        <f>Gegenstände!F881</f>
        <v>0</v>
      </c>
    </row>
    <row r="882" spans="1:30" x14ac:dyDescent="0.2">
      <c r="A882" s="3">
        <f>Gegenstände!A882</f>
        <v>4133</v>
      </c>
      <c r="B882" s="3" t="str">
        <f>Gegenstände!B882</f>
        <v>Orkschlächter</v>
      </c>
      <c r="D882" s="3">
        <f>Gegenstände!K882</f>
        <v>1000</v>
      </c>
      <c r="E882" s="3">
        <f>Gegenstände!I882</f>
        <v>2</v>
      </c>
      <c r="F882" s="3">
        <f>VLOOKUP(Gegenstände!E882,Berechnungen!$E$87:$F$115,2,FALSE)</f>
        <v>5</v>
      </c>
      <c r="G882" s="3">
        <f>Gegenstände!H882</f>
        <v>1</v>
      </c>
      <c r="H882" s="3">
        <f>Gegenstände!G882</f>
        <v>0</v>
      </c>
      <c r="I882" s="3">
        <f>Gegenstände!D882</f>
        <v>0</v>
      </c>
      <c r="J882" s="168">
        <f>ROUND(Gegenstände!N882,0)</f>
        <v>0</v>
      </c>
      <c r="K882" s="3">
        <f>Gegenstände!J882</f>
        <v>100</v>
      </c>
      <c r="L882" s="3">
        <f>Gegenstände!L882</f>
        <v>0</v>
      </c>
      <c r="M882" s="3">
        <f>Gegenstände!Z882</f>
        <v>0</v>
      </c>
      <c r="N882" s="783">
        <f>(Gegenstände!Y882*10)</f>
        <v>0</v>
      </c>
      <c r="O882" s="783">
        <f>(Gegenstände!W882*10)</f>
        <v>0</v>
      </c>
      <c r="P882" s="783">
        <f>Gegenstände!AA882*10</f>
        <v>0</v>
      </c>
      <c r="Q882" s="783">
        <f>Gegenstände!O882</f>
        <v>2</v>
      </c>
      <c r="R882" s="168">
        <f>Gegenstände!S882</f>
        <v>21</v>
      </c>
      <c r="S882" s="168">
        <f>Gegenstände!T882</f>
        <v>32</v>
      </c>
      <c r="T882" s="783">
        <f>Gegenstände!AC882</f>
        <v>0</v>
      </c>
      <c r="U882" s="783">
        <f>Gegenstände!AE882</f>
        <v>0</v>
      </c>
      <c r="V882" s="783">
        <f>Gegenstände!AD882</f>
        <v>0</v>
      </c>
      <c r="W882" s="783">
        <f>Gegenstände!AF882</f>
        <v>0</v>
      </c>
      <c r="AB882" s="3">
        <f>Gegenstände!M882</f>
        <v>0</v>
      </c>
      <c r="AC882" s="3">
        <f>Gegenstände!AB882</f>
        <v>0</v>
      </c>
      <c r="AD882" s="3">
        <f>Gegenstände!F882</f>
        <v>0</v>
      </c>
    </row>
    <row r="883" spans="1:30" x14ac:dyDescent="0.2">
      <c r="A883" s="3">
        <f>Gegenstände!A883</f>
        <v>4134</v>
      </c>
      <c r="B883" s="3" t="str">
        <f>Gegenstände!B883</f>
        <v>Schmiedehammer</v>
      </c>
      <c r="D883" s="3">
        <f>Gegenstände!K883</f>
        <v>1000</v>
      </c>
      <c r="E883" s="3">
        <f>Gegenstände!I883</f>
        <v>4</v>
      </c>
      <c r="F883" s="3">
        <f>VLOOKUP(Gegenstände!E883,Berechnungen!$E$87:$F$115,2,FALSE)</f>
        <v>7</v>
      </c>
      <c r="G883" s="3">
        <f>Gegenstände!H883</f>
        <v>1</v>
      </c>
      <c r="H883" s="3">
        <f>Gegenstände!G883</f>
        <v>0</v>
      </c>
      <c r="I883" s="3">
        <f>Gegenstände!D883</f>
        <v>0</v>
      </c>
      <c r="J883" s="168">
        <f>ROUND(Gegenstände!N883,0)</f>
        <v>0</v>
      </c>
      <c r="K883" s="3">
        <f>Gegenstände!J883</f>
        <v>100</v>
      </c>
      <c r="L883" s="3">
        <f>Gegenstände!L883</f>
        <v>0</v>
      </c>
      <c r="M883" s="3">
        <f>Gegenstände!Z883</f>
        <v>0</v>
      </c>
      <c r="N883" s="783">
        <f>(Gegenstände!Y883*10)</f>
        <v>0</v>
      </c>
      <c r="O883" s="783">
        <f>(Gegenstände!W883*10)</f>
        <v>0</v>
      </c>
      <c r="P883" s="783">
        <f>Gegenstände!AA883*10</f>
        <v>0</v>
      </c>
      <c r="Q883" s="783">
        <f>Gegenstände!O883</f>
        <v>2</v>
      </c>
      <c r="R883" s="168">
        <f>Gegenstände!S883</f>
        <v>21</v>
      </c>
      <c r="S883" s="168">
        <f>Gegenstände!T883</f>
        <v>32</v>
      </c>
      <c r="T883" s="783">
        <f>Gegenstände!AC883</f>
        <v>0</v>
      </c>
      <c r="U883" s="783">
        <f>Gegenstände!AE883</f>
        <v>0</v>
      </c>
      <c r="V883" s="783">
        <f>Gegenstände!AD883</f>
        <v>0</v>
      </c>
      <c r="W883" s="783">
        <f>Gegenstände!AF883</f>
        <v>0</v>
      </c>
      <c r="AB883" s="3">
        <f>Gegenstände!M883</f>
        <v>0</v>
      </c>
      <c r="AC883" s="3">
        <f>Gegenstände!AB883</f>
        <v>0</v>
      </c>
      <c r="AD883" s="3">
        <f>Gegenstände!F883</f>
        <v>0</v>
      </c>
    </row>
    <row r="884" spans="1:30" x14ac:dyDescent="0.2">
      <c r="A884" s="3">
        <f>Gegenstände!A884</f>
        <v>4135</v>
      </c>
      <c r="B884" s="3" t="str">
        <f>Gegenstände!B884</f>
        <v>Ausbeinermesser</v>
      </c>
      <c r="D884" s="3">
        <f>Gegenstände!K884</f>
        <v>1000</v>
      </c>
      <c r="E884" s="3">
        <f>Gegenstände!I884</f>
        <v>1</v>
      </c>
      <c r="F884" s="3">
        <f>VLOOKUP(Gegenstände!E884,Berechnungen!$E$87:$F$115,2,FALSE)</f>
        <v>1</v>
      </c>
      <c r="G884" s="3">
        <f>Gegenstände!H884</f>
        <v>1</v>
      </c>
      <c r="H884" s="3">
        <f>Gegenstände!G884</f>
        <v>0</v>
      </c>
      <c r="I884" s="3">
        <f>Gegenstände!D884</f>
        <v>0</v>
      </c>
      <c r="J884" s="168">
        <f>ROUND(Gegenstände!N884,0)</f>
        <v>0</v>
      </c>
      <c r="K884" s="3">
        <f>Gegenstände!J884</f>
        <v>100</v>
      </c>
      <c r="L884" s="3">
        <f>Gegenstände!L884</f>
        <v>0</v>
      </c>
      <c r="M884" s="3">
        <f>Gegenstände!Z884</f>
        <v>0</v>
      </c>
      <c r="N884" s="783">
        <f>(Gegenstände!Y884*10)</f>
        <v>0</v>
      </c>
      <c r="O884" s="783">
        <f>(Gegenstände!W884*10)</f>
        <v>0</v>
      </c>
      <c r="P884" s="783">
        <f>Gegenstände!AA884*10</f>
        <v>0</v>
      </c>
      <c r="Q884" s="783">
        <f>Gegenstände!O884</f>
        <v>3</v>
      </c>
      <c r="R884" s="168">
        <f>Gegenstände!S884</f>
        <v>10</v>
      </c>
      <c r="S884" s="168">
        <f>Gegenstände!T884</f>
        <v>15</v>
      </c>
      <c r="T884" s="783">
        <f>Gegenstände!AC884</f>
        <v>0</v>
      </c>
      <c r="U884" s="783">
        <f>Gegenstände!AE884</f>
        <v>0</v>
      </c>
      <c r="V884" s="783">
        <f>Gegenstände!AD884</f>
        <v>0</v>
      </c>
      <c r="W884" s="783">
        <f>Gegenstände!AF884</f>
        <v>0</v>
      </c>
      <c r="AB884" s="3">
        <f>Gegenstände!M884</f>
        <v>0</v>
      </c>
      <c r="AC884" s="3">
        <f>Gegenstände!AB884</f>
        <v>0</v>
      </c>
      <c r="AD884" s="3">
        <f>Gegenstände!F884</f>
        <v>0</v>
      </c>
    </row>
    <row r="885" spans="1:30" x14ac:dyDescent="0.2">
      <c r="A885" s="3">
        <f>Gegenstände!A885</f>
        <v>4136</v>
      </c>
      <c r="B885" s="3" t="str">
        <f>Gegenstände!B885</f>
        <v>Engelsklinge des Kürbisschlächters</v>
      </c>
      <c r="D885" s="3">
        <f>Gegenstände!K885</f>
        <v>3500</v>
      </c>
      <c r="E885" s="3">
        <f>Gegenstände!I885</f>
        <v>2</v>
      </c>
      <c r="F885" s="3">
        <f>VLOOKUP(Gegenstände!E885,Berechnungen!$E$87:$F$115,2,FALSE)</f>
        <v>2</v>
      </c>
      <c r="G885" s="3">
        <f>Gegenstände!H885</f>
        <v>1</v>
      </c>
      <c r="H885" s="3">
        <f>Gegenstände!G885</f>
        <v>1</v>
      </c>
      <c r="I885" s="3">
        <f>Gegenstände!D885</f>
        <v>25</v>
      </c>
      <c r="J885" s="168">
        <f>ROUND(Gegenstände!N885,0)</f>
        <v>0</v>
      </c>
      <c r="K885" s="3">
        <f>Gegenstände!J885</f>
        <v>100</v>
      </c>
      <c r="L885" s="3">
        <f>Gegenstände!L885</f>
        <v>0</v>
      </c>
      <c r="M885" s="3">
        <f>Gegenstände!Z885</f>
        <v>0</v>
      </c>
      <c r="N885" s="783">
        <f>(Gegenstände!Y885*10)</f>
        <v>0</v>
      </c>
      <c r="O885" s="783">
        <f>(Gegenstände!W885*10)</f>
        <v>0</v>
      </c>
      <c r="P885" s="783">
        <f>Gegenstände!AA885*10</f>
        <v>0</v>
      </c>
      <c r="Q885" s="783">
        <f>Gegenstände!O885</f>
        <v>3</v>
      </c>
      <c r="R885" s="168">
        <f>Gegenstände!S885</f>
        <v>86</v>
      </c>
      <c r="S885" s="168">
        <f>Gegenstände!T885</f>
        <v>128</v>
      </c>
      <c r="T885" s="783">
        <f>Gegenstände!AC885</f>
        <v>0</v>
      </c>
      <c r="U885" s="783">
        <f>Gegenstände!AE885</f>
        <v>0</v>
      </c>
      <c r="V885" s="783">
        <f>Gegenstände!AD885</f>
        <v>0</v>
      </c>
      <c r="W885" s="783">
        <f>Gegenstände!AF885</f>
        <v>0</v>
      </c>
      <c r="AB885" s="3">
        <f>Gegenstände!M885</f>
        <v>0</v>
      </c>
      <c r="AC885" s="3">
        <f>Gegenstände!AB885</f>
        <v>0</v>
      </c>
      <c r="AD885" s="3">
        <f>Gegenstände!F885</f>
        <v>0</v>
      </c>
    </row>
    <row r="886" spans="1:30" x14ac:dyDescent="0.2">
      <c r="A886" s="3">
        <f>Gegenstände!A886</f>
        <v>4137</v>
      </c>
      <c r="B886" s="3" t="str">
        <f>Gegenstände!B886</f>
        <v>Wolfszepter</v>
      </c>
      <c r="D886" s="3">
        <f>Gegenstände!K886</f>
        <v>1000</v>
      </c>
      <c r="E886" s="3">
        <f>Gegenstände!I886</f>
        <v>4</v>
      </c>
      <c r="F886" s="3">
        <f>VLOOKUP(Gegenstände!E886,Berechnungen!$E$87:$F$115,2,FALSE)</f>
        <v>16</v>
      </c>
      <c r="G886" s="3">
        <f>Gegenstände!H886</f>
        <v>1</v>
      </c>
      <c r="H886" s="3">
        <f>Gegenstände!G886</f>
        <v>0</v>
      </c>
      <c r="I886" s="3">
        <f>Gegenstände!D886</f>
        <v>0</v>
      </c>
      <c r="J886" s="168">
        <f>ROUND(Gegenstände!N886,0)</f>
        <v>0</v>
      </c>
      <c r="K886" s="3">
        <f>Gegenstände!J886</f>
        <v>100</v>
      </c>
      <c r="L886" s="3">
        <f>Gegenstände!L886</f>
        <v>0</v>
      </c>
      <c r="M886" s="3">
        <f>Gegenstände!Z886</f>
        <v>0</v>
      </c>
      <c r="N886" s="783">
        <f>(Gegenstände!Y886*10)</f>
        <v>0</v>
      </c>
      <c r="O886" s="783">
        <f>(Gegenstände!W886*10)</f>
        <v>0</v>
      </c>
      <c r="P886" s="783">
        <f>Gegenstände!AA886*10</f>
        <v>0</v>
      </c>
      <c r="Q886" s="783">
        <f>Gegenstände!O886</f>
        <v>0</v>
      </c>
      <c r="R886" s="168">
        <f>Gegenstände!S886</f>
        <v>0</v>
      </c>
      <c r="S886" s="168">
        <f>Gegenstände!T886</f>
        <v>0</v>
      </c>
      <c r="T886" s="783">
        <f>Gegenstände!AC886</f>
        <v>0</v>
      </c>
      <c r="U886" s="783">
        <f>Gegenstände!AE886</f>
        <v>0</v>
      </c>
      <c r="V886" s="783">
        <f>Gegenstände!AD886</f>
        <v>0</v>
      </c>
      <c r="W886" s="783">
        <f>Gegenstände!AF886</f>
        <v>0</v>
      </c>
      <c r="AB886" s="3">
        <f>Gegenstände!M886</f>
        <v>0</v>
      </c>
      <c r="AC886" s="3">
        <f>Gegenstände!AB886</f>
        <v>0</v>
      </c>
      <c r="AD886" s="3">
        <f>Gegenstände!F886</f>
        <v>0</v>
      </c>
    </row>
    <row r="887" spans="1:30" x14ac:dyDescent="0.2">
      <c r="A887" s="3">
        <f>Gegenstände!A887</f>
        <v>4138</v>
      </c>
      <c r="B887" s="3" t="str">
        <f>Gegenstände!B887</f>
        <v>Magierhut</v>
      </c>
      <c r="D887" s="3">
        <f>Gegenstände!K887</f>
        <v>1000</v>
      </c>
      <c r="E887" s="3">
        <f>Gegenstände!I887</f>
        <v>11</v>
      </c>
      <c r="F887" s="3">
        <f>VLOOKUP(Gegenstände!E887,Berechnungen!$E$87:$F$115,2,FALSE)</f>
        <v>21</v>
      </c>
      <c r="G887" s="3">
        <f>Gegenstände!H887</f>
        <v>1</v>
      </c>
      <c r="H887" s="3">
        <f>Gegenstände!G887</f>
        <v>0</v>
      </c>
      <c r="I887" s="3">
        <f>Gegenstände!D887</f>
        <v>0</v>
      </c>
      <c r="J887" s="168">
        <f>ROUND(Gegenstände!N887,0)</f>
        <v>0</v>
      </c>
      <c r="K887" s="3">
        <f>Gegenstände!J887</f>
        <v>100</v>
      </c>
      <c r="L887" s="3">
        <f>Gegenstände!L887</f>
        <v>0</v>
      </c>
      <c r="M887" s="3">
        <f>Gegenstände!Z887</f>
        <v>0</v>
      </c>
      <c r="N887" s="783">
        <f>(Gegenstände!Y887*10)</f>
        <v>0</v>
      </c>
      <c r="O887" s="783">
        <f>(Gegenstände!W887*10)</f>
        <v>0</v>
      </c>
      <c r="P887" s="783">
        <f>Gegenstände!AA887*10</f>
        <v>0</v>
      </c>
      <c r="Q887" s="783">
        <f>Gegenstände!O887</f>
        <v>0</v>
      </c>
      <c r="R887" s="168">
        <f>Gegenstände!S887</f>
        <v>0</v>
      </c>
      <c r="S887" s="168">
        <f>Gegenstände!T887</f>
        <v>0</v>
      </c>
      <c r="T887" s="783">
        <f>Gegenstände!AC887</f>
        <v>0</v>
      </c>
      <c r="U887" s="783">
        <f>Gegenstände!AE887</f>
        <v>0</v>
      </c>
      <c r="V887" s="783">
        <f>Gegenstände!AD887</f>
        <v>0</v>
      </c>
      <c r="W887" s="783">
        <f>Gegenstände!AF887</f>
        <v>0</v>
      </c>
      <c r="AB887" s="3">
        <f>Gegenstände!M887</f>
        <v>0</v>
      </c>
      <c r="AC887" s="3">
        <f>Gegenstände!AB887</f>
        <v>0</v>
      </c>
      <c r="AD887" s="3">
        <f>Gegenstände!F887</f>
        <v>0</v>
      </c>
    </row>
    <row r="888" spans="1:30" x14ac:dyDescent="0.2">
      <c r="A888" s="3">
        <f>Gegenstände!A888</f>
        <v>4139</v>
      </c>
      <c r="B888" s="3" t="str">
        <f>Gegenstände!B888</f>
        <v>Seidenumhang</v>
      </c>
      <c r="D888" s="3">
        <f>Gegenstände!K888</f>
        <v>1000</v>
      </c>
      <c r="E888" s="3">
        <f>Gegenstände!I888</f>
        <v>12</v>
      </c>
      <c r="F888" s="3">
        <f>VLOOKUP(Gegenstände!E888,Berechnungen!$E$87:$F$115,2,FALSE)</f>
        <v>21</v>
      </c>
      <c r="G888" s="3">
        <f>Gegenstände!H888</f>
        <v>1</v>
      </c>
      <c r="H888" s="3">
        <f>Gegenstände!G888</f>
        <v>0</v>
      </c>
      <c r="I888" s="3">
        <f>Gegenstände!D888</f>
        <v>0</v>
      </c>
      <c r="J888" s="168">
        <f>ROUND(Gegenstände!N888,0)</f>
        <v>0</v>
      </c>
      <c r="K888" s="3">
        <f>Gegenstände!J888</f>
        <v>100</v>
      </c>
      <c r="L888" s="3">
        <f>Gegenstände!L888</f>
        <v>0</v>
      </c>
      <c r="M888" s="3">
        <f>Gegenstände!Z888</f>
        <v>0</v>
      </c>
      <c r="N888" s="783">
        <f>(Gegenstände!Y888*10)</f>
        <v>0</v>
      </c>
      <c r="O888" s="783">
        <f>(Gegenstände!W888*10)</f>
        <v>0</v>
      </c>
      <c r="P888" s="783">
        <f>Gegenstände!AA888*10</f>
        <v>0</v>
      </c>
      <c r="Q888" s="783">
        <f>Gegenstände!O888</f>
        <v>0</v>
      </c>
      <c r="R888" s="168">
        <f>Gegenstände!S888</f>
        <v>0</v>
      </c>
      <c r="S888" s="168">
        <f>Gegenstände!T888</f>
        <v>0</v>
      </c>
      <c r="T888" s="783">
        <f>Gegenstände!AC888</f>
        <v>0</v>
      </c>
      <c r="U888" s="783">
        <f>Gegenstände!AE888</f>
        <v>0</v>
      </c>
      <c r="V888" s="783">
        <f>Gegenstände!AD888</f>
        <v>0</v>
      </c>
      <c r="W888" s="783">
        <f>Gegenstände!AF888</f>
        <v>0</v>
      </c>
      <c r="AB888" s="3">
        <f>Gegenstände!M888</f>
        <v>0</v>
      </c>
      <c r="AC888" s="3">
        <f>Gegenstände!AB888</f>
        <v>0</v>
      </c>
      <c r="AD888" s="3">
        <f>Gegenstände!F888</f>
        <v>0</v>
      </c>
    </row>
    <row r="889" spans="1:30" x14ac:dyDescent="0.2">
      <c r="A889" s="3">
        <f>Gegenstände!A889</f>
        <v>4140</v>
      </c>
      <c r="B889" s="3" t="str">
        <f>Gegenstände!B889</f>
        <v>Spitzschuhe</v>
      </c>
      <c r="D889" s="3">
        <f>Gegenstände!K889</f>
        <v>1000</v>
      </c>
      <c r="E889" s="3">
        <f>Gegenstände!I889</f>
        <v>15</v>
      </c>
      <c r="F889" s="3">
        <f>VLOOKUP(Gegenstände!E889,Berechnungen!$E$87:$F$115,2,FALSE)</f>
        <v>21</v>
      </c>
      <c r="G889" s="3">
        <f>Gegenstände!H889</f>
        <v>1</v>
      </c>
      <c r="H889" s="3">
        <f>Gegenstände!G889</f>
        <v>0</v>
      </c>
      <c r="I889" s="3">
        <f>Gegenstände!D889</f>
        <v>0</v>
      </c>
      <c r="J889" s="168">
        <f>ROUND(Gegenstände!N889,0)</f>
        <v>0</v>
      </c>
      <c r="K889" s="3">
        <f>Gegenstände!J889</f>
        <v>100</v>
      </c>
      <c r="L889" s="3">
        <f>Gegenstände!L889</f>
        <v>0</v>
      </c>
      <c r="M889" s="3">
        <f>Gegenstände!Z889</f>
        <v>0</v>
      </c>
      <c r="N889" s="783">
        <f>(Gegenstände!Y889*10)</f>
        <v>0</v>
      </c>
      <c r="O889" s="783">
        <f>(Gegenstände!W889*10)</f>
        <v>0</v>
      </c>
      <c r="P889" s="783">
        <f>Gegenstände!AA889*10</f>
        <v>0</v>
      </c>
      <c r="Q889" s="783">
        <f>Gegenstände!O889</f>
        <v>0</v>
      </c>
      <c r="R889" s="168">
        <f>Gegenstände!S889</f>
        <v>0</v>
      </c>
      <c r="S889" s="168">
        <f>Gegenstände!T889</f>
        <v>0</v>
      </c>
      <c r="T889" s="783">
        <f>Gegenstände!AC889</f>
        <v>0</v>
      </c>
      <c r="U889" s="783">
        <f>Gegenstände!AE889</f>
        <v>0</v>
      </c>
      <c r="V889" s="783">
        <f>Gegenstände!AD889</f>
        <v>0</v>
      </c>
      <c r="W889" s="783">
        <f>Gegenstände!AF889</f>
        <v>0</v>
      </c>
      <c r="AB889" s="3">
        <f>Gegenstände!M889</f>
        <v>0</v>
      </c>
      <c r="AC889" s="3">
        <f>Gegenstände!AB889</f>
        <v>0</v>
      </c>
      <c r="AD889" s="3">
        <f>Gegenstände!F889</f>
        <v>0</v>
      </c>
    </row>
    <row r="890" spans="1:30" x14ac:dyDescent="0.2">
      <c r="J890" s="168"/>
      <c r="R890" s="168"/>
      <c r="S890" s="168"/>
    </row>
    <row r="891" spans="1:30" x14ac:dyDescent="0.2">
      <c r="J891" s="168"/>
      <c r="R891" s="168"/>
      <c r="S891" s="168"/>
    </row>
    <row r="892" spans="1:30" x14ac:dyDescent="0.2">
      <c r="J892" s="168"/>
      <c r="R892" s="168"/>
      <c r="S892" s="168"/>
    </row>
    <row r="893" spans="1:30" x14ac:dyDescent="0.2">
      <c r="J893" s="168"/>
      <c r="R893" s="168"/>
      <c r="S893" s="168"/>
    </row>
    <row r="894" spans="1:30" x14ac:dyDescent="0.2">
      <c r="J894" s="168"/>
      <c r="R894" s="168"/>
      <c r="S894" s="168"/>
    </row>
    <row r="895" spans="1:30" x14ac:dyDescent="0.2">
      <c r="J895" s="168"/>
      <c r="R895" s="168"/>
      <c r="S895" s="168"/>
    </row>
    <row r="896" spans="1:30" x14ac:dyDescent="0.2">
      <c r="J896" s="168"/>
      <c r="R896" s="168"/>
      <c r="S896" s="168"/>
    </row>
    <row r="897" spans="10:19" x14ac:dyDescent="0.2">
      <c r="J897" s="168"/>
      <c r="R897" s="168"/>
      <c r="S897" s="168"/>
    </row>
  </sheetData>
  <pageMargins left="0.78749999999999998" right="0.78749999999999998" top="0.78749999999999998" bottom="0.78749999999999998" header="0.51180555555555551" footer="0.51180555555555551"/>
  <pageSetup firstPageNumber="0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T579"/>
  <sheetViews>
    <sheetView topLeftCell="A40" zoomScale="75" zoomScaleNormal="75" workbookViewId="0">
      <selection activeCell="J61" sqref="J61"/>
    </sheetView>
  </sheetViews>
  <sheetFormatPr baseColWidth="10" defaultColWidth="9" defaultRowHeight="12.75" x14ac:dyDescent="0.2"/>
  <cols>
    <col min="1" max="1" width="9" style="3"/>
    <col min="2" max="2" width="25.85546875" style="3" customWidth="1"/>
    <col min="3" max="3" width="9" style="3"/>
    <col min="4" max="4" width="7.7109375" style="3" customWidth="1"/>
    <col min="5" max="5" width="7.5703125" style="3" customWidth="1"/>
    <col min="6" max="8" width="9.7109375" style="3" customWidth="1"/>
    <col min="9" max="9" width="8.7109375" style="3" customWidth="1"/>
    <col min="10" max="10" width="9.85546875" style="3" customWidth="1"/>
    <col min="11" max="11" width="7.42578125" style="3" customWidth="1"/>
    <col min="12" max="12" width="12.140625" style="3" customWidth="1"/>
    <col min="13" max="13" width="7.42578125" style="3" customWidth="1"/>
    <col min="14" max="14" width="12.140625" style="3" customWidth="1"/>
    <col min="15" max="15" width="7.42578125" style="3" customWidth="1"/>
    <col min="16" max="16" width="12.140625" style="3" customWidth="1"/>
    <col min="17" max="17" width="6.85546875" style="3" customWidth="1"/>
    <col min="18" max="18" width="11.5703125" style="3" customWidth="1"/>
    <col min="19" max="19" width="6.85546875" style="3" customWidth="1"/>
    <col min="20" max="20" width="11.5703125" style="3" customWidth="1"/>
    <col min="21" max="16384" width="9" style="3"/>
  </cols>
  <sheetData>
    <row r="1" spans="1:20" x14ac:dyDescent="0.2">
      <c r="A1" s="784" t="s">
        <v>1225</v>
      </c>
      <c r="B1" s="784" t="s">
        <v>1198</v>
      </c>
      <c r="C1" s="784" t="s">
        <v>1197</v>
      </c>
      <c r="D1" s="784" t="s">
        <v>1226</v>
      </c>
      <c r="E1" s="784" t="s">
        <v>1227</v>
      </c>
      <c r="F1" s="784" t="s">
        <v>1228</v>
      </c>
      <c r="G1" s="784" t="s">
        <v>1229</v>
      </c>
      <c r="H1" s="784" t="s">
        <v>1230</v>
      </c>
      <c r="I1" s="784" t="s">
        <v>1231</v>
      </c>
      <c r="J1" s="784" t="s">
        <v>1223</v>
      </c>
      <c r="K1" s="784" t="s">
        <v>1232</v>
      </c>
      <c r="L1" s="784" t="s">
        <v>1233</v>
      </c>
      <c r="M1" s="784" t="s">
        <v>1234</v>
      </c>
      <c r="N1" s="784" t="s">
        <v>1235</v>
      </c>
      <c r="O1" s="784" t="s">
        <v>1236</v>
      </c>
      <c r="P1" s="784" t="s">
        <v>1237</v>
      </c>
      <c r="Q1" s="784" t="s">
        <v>1238</v>
      </c>
      <c r="R1" s="784" t="s">
        <v>1239</v>
      </c>
      <c r="S1" s="784" t="s">
        <v>1240</v>
      </c>
      <c r="T1" s="784" t="s">
        <v>1241</v>
      </c>
    </row>
    <row r="2" spans="1:20" x14ac:dyDescent="0.2">
      <c r="A2" s="3">
        <f>Baupläne!A2</f>
        <v>0</v>
      </c>
      <c r="B2" s="3">
        <f>Baupläne!C2</f>
        <v>0</v>
      </c>
      <c r="C2" s="3">
        <f>Baupläne!B2</f>
        <v>0</v>
      </c>
      <c r="D2" s="3">
        <f>Baupläne!J2</f>
        <v>0</v>
      </c>
      <c r="E2" s="3">
        <f>Baupläne!H2</f>
        <v>0</v>
      </c>
      <c r="F2" s="3">
        <f>Baupläne!I2</f>
        <v>0</v>
      </c>
      <c r="G2" s="3">
        <f>Baupläne!E2</f>
        <v>0</v>
      </c>
      <c r="H2" s="3">
        <f>Baupläne!F2</f>
        <v>0</v>
      </c>
      <c r="I2" s="3">
        <f>0.5*Baupläne!Y2</f>
        <v>0</v>
      </c>
      <c r="J2" s="3">
        <f>Baupläne!G2</f>
        <v>0</v>
      </c>
      <c r="K2" s="3">
        <f>IF(L2&gt;0,INDEX(data_item!$A$1:$A$1994,MATCH(Baupläne!L2,data_item!$B$1:$B$1994,0),1),0)</f>
        <v>0</v>
      </c>
      <c r="L2" s="3">
        <f>Baupläne!K2</f>
        <v>0</v>
      </c>
      <c r="M2" s="3">
        <f>IF(N2&gt;0,INDEX(data_item!$A$1:$A$1994,MATCH(Baupläne!N2,data_item!$B$1:$B$994,0),1),0)</f>
        <v>0</v>
      </c>
      <c r="N2" s="3">
        <f>Baupläne!M2</f>
        <v>0</v>
      </c>
      <c r="O2" s="3">
        <f>IF(P2&gt;0,INDEX(data_item!$A$1:$A$1994,MATCH(Baupläne!P2,data_item!$B$1:$B$1994,0),1),0)</f>
        <v>0</v>
      </c>
      <c r="P2" s="3">
        <f>Baupläne!O2</f>
        <v>0</v>
      </c>
      <c r="Q2" s="3">
        <f>IF(R2&gt;0,INDEX(data_item!$A$1:$A$1994,MATCH(Baupläne!R2,data_item!$B$1:$B$1994,0),1),0)</f>
        <v>0</v>
      </c>
      <c r="R2" s="3">
        <f>Baupläne!Q2</f>
        <v>0</v>
      </c>
      <c r="S2" s="3">
        <f>IF(T2&gt;0,INDEX(data_item!$A$1:$A$1994,MATCH(Baupläne!T2,data_item!$B$1:$B$1994,0),1),0)</f>
        <v>0</v>
      </c>
      <c r="T2" s="3">
        <f>Baupläne!S2</f>
        <v>0</v>
      </c>
    </row>
    <row r="3" spans="1:20" x14ac:dyDescent="0.2">
      <c r="A3" s="3">
        <f>Baupläne!A3</f>
        <v>6</v>
      </c>
      <c r="B3" s="3" t="str">
        <f>Baupläne!C3</f>
        <v>Kupferbarren</v>
      </c>
      <c r="C3" s="3">
        <f>Baupläne!B3</f>
        <v>6</v>
      </c>
      <c r="D3" s="3">
        <f>Baupläne!J3</f>
        <v>5</v>
      </c>
      <c r="E3" s="3">
        <f>Baupläne!H3</f>
        <v>53</v>
      </c>
      <c r="F3" s="3">
        <f>Baupläne!I3</f>
        <v>0</v>
      </c>
      <c r="G3" s="3">
        <f>Baupläne!E3</f>
        <v>22</v>
      </c>
      <c r="H3" s="3">
        <f>Baupläne!F3</f>
        <v>60</v>
      </c>
      <c r="I3" s="3">
        <f>0.5*Baupläne!Y3</f>
        <v>150</v>
      </c>
      <c r="J3" s="3">
        <f>Baupläne!G3</f>
        <v>1</v>
      </c>
      <c r="K3" s="3">
        <f>IF(L3&gt;0,INDEX(data_item!$A$1:$A$1994,MATCH(Baupläne!L3,data_item!$B$1:$B$1994,0),1),0)</f>
        <v>1</v>
      </c>
      <c r="L3" s="3">
        <f>Baupläne!K3</f>
        <v>5</v>
      </c>
      <c r="M3" s="3">
        <f>IF(N3&gt;0,INDEX(data_item!$A$1:$A$1994,MATCH(Baupläne!N3,data_item!$B$1:$B$994,0),1),0)</f>
        <v>112</v>
      </c>
      <c r="N3" s="3">
        <f>Baupläne!M3</f>
        <v>1</v>
      </c>
      <c r="O3" s="3">
        <f>IF(P3&gt;0,INDEX(data_item!$A$1:$A$1994,MATCH(Baupläne!P3,data_item!$B$1:$B$1994,0),1),0)</f>
        <v>0</v>
      </c>
      <c r="P3" s="3">
        <f>Baupläne!O3</f>
        <v>0</v>
      </c>
      <c r="Q3" s="3">
        <f>IF(R3&gt;0,INDEX(data_item!$A$1:$A$1994,MATCH(Baupläne!R3,data_item!$B$1:$B$1994,0),1),0)</f>
        <v>0</v>
      </c>
      <c r="R3" s="3">
        <f>Baupläne!Q3</f>
        <v>0</v>
      </c>
      <c r="S3" s="3">
        <f>IF(T3&gt;0,INDEX(data_item!$A$1:$A$1994,MATCH(Baupläne!T3,data_item!$B$1:$B$1994,0),1),0)</f>
        <v>0</v>
      </c>
      <c r="T3" s="3">
        <f>Baupläne!S3</f>
        <v>0</v>
      </c>
    </row>
    <row r="4" spans="1:20" x14ac:dyDescent="0.2">
      <c r="A4" s="3">
        <f>Baupläne!A4</f>
        <v>7</v>
      </c>
      <c r="B4" s="3" t="str">
        <f>Baupläne!C4</f>
        <v>Eisenbarren</v>
      </c>
      <c r="C4" s="3">
        <f>Baupläne!B4</f>
        <v>7</v>
      </c>
      <c r="D4" s="3">
        <f>Baupläne!J4</f>
        <v>5</v>
      </c>
      <c r="E4" s="3">
        <f>Baupläne!H4</f>
        <v>53</v>
      </c>
      <c r="F4" s="3">
        <f>Baupläne!I4</f>
        <v>5</v>
      </c>
      <c r="G4" s="3">
        <f>Baupläne!E4</f>
        <v>22</v>
      </c>
      <c r="H4" s="3">
        <f>Baupläne!F4</f>
        <v>60</v>
      </c>
      <c r="I4" s="3">
        <f>0.5*Baupläne!Y4</f>
        <v>300</v>
      </c>
      <c r="J4" s="3">
        <f>Baupläne!G4</f>
        <v>2</v>
      </c>
      <c r="K4" s="3">
        <f>IF(L4&gt;0,INDEX(data_item!$A$1:$A$1994,MATCH(Baupläne!L4,data_item!$B$1:$B$1994,0),1),0)</f>
        <v>2</v>
      </c>
      <c r="L4" s="3">
        <f>Baupläne!K4</f>
        <v>5</v>
      </c>
      <c r="M4" s="3">
        <f>IF(N4&gt;0,INDEX(data_item!$A$1:$A$1994,MATCH(Baupläne!N4,data_item!$B$1:$B$994,0),1),0)</f>
        <v>112</v>
      </c>
      <c r="N4" s="3">
        <f>Baupläne!M4</f>
        <v>2</v>
      </c>
      <c r="O4" s="3">
        <f>IF(P4&gt;0,INDEX(data_item!$A$1:$A$1994,MATCH(Baupläne!P4,data_item!$B$1:$B$1994,0),1),0)</f>
        <v>0</v>
      </c>
      <c r="P4" s="3">
        <f>Baupläne!O4</f>
        <v>0</v>
      </c>
      <c r="Q4" s="3">
        <f>IF(R4&gt;0,INDEX(data_item!$A$1:$A$1994,MATCH(Baupläne!R4,data_item!$B$1:$B$1994,0),1),0)</f>
        <v>0</v>
      </c>
      <c r="R4" s="3">
        <f>Baupläne!Q4</f>
        <v>0</v>
      </c>
      <c r="S4" s="3">
        <f>IF(T4&gt;0,INDEX(data_item!$A$1:$A$1994,MATCH(Baupläne!T4,data_item!$B$1:$B$1994,0),1),0)</f>
        <v>0</v>
      </c>
      <c r="T4" s="3">
        <f>Baupläne!S4</f>
        <v>0</v>
      </c>
    </row>
    <row r="5" spans="1:20" x14ac:dyDescent="0.2">
      <c r="A5" s="3">
        <f>Baupläne!A5</f>
        <v>8</v>
      </c>
      <c r="B5" s="3" t="str">
        <f>Baupläne!C5</f>
        <v>Sorandilbarren</v>
      </c>
      <c r="C5" s="3">
        <f>Baupläne!B5</f>
        <v>8</v>
      </c>
      <c r="D5" s="3">
        <f>Baupläne!J5</f>
        <v>5</v>
      </c>
      <c r="E5" s="3">
        <f>Baupläne!H5</f>
        <v>53</v>
      </c>
      <c r="F5" s="3">
        <f>Baupläne!I5</f>
        <v>10</v>
      </c>
      <c r="G5" s="3">
        <f>Baupläne!E5</f>
        <v>22</v>
      </c>
      <c r="H5" s="3">
        <f>Baupläne!F5</f>
        <v>60</v>
      </c>
      <c r="I5" s="3">
        <f>0.5*Baupläne!Y5</f>
        <v>450</v>
      </c>
      <c r="J5" s="3">
        <f>Baupläne!G5</f>
        <v>3</v>
      </c>
      <c r="K5" s="3">
        <f>IF(L5&gt;0,INDEX(data_item!$A$1:$A$1994,MATCH(Baupläne!L5,data_item!$B$1:$B$1994,0),1),0)</f>
        <v>3</v>
      </c>
      <c r="L5" s="3">
        <f>Baupläne!K5</f>
        <v>5</v>
      </c>
      <c r="M5" s="3">
        <f>IF(N5&gt;0,INDEX(data_item!$A$1:$A$1994,MATCH(Baupläne!N5,data_item!$B$1:$B$994,0),1),0)</f>
        <v>113</v>
      </c>
      <c r="N5" s="3">
        <f>Baupläne!M5</f>
        <v>2</v>
      </c>
      <c r="O5" s="3">
        <f>IF(P5&gt;0,INDEX(data_item!$A$1:$A$1994,MATCH(Baupläne!P5,data_item!$B$1:$B$1994,0),1),0)</f>
        <v>0</v>
      </c>
      <c r="P5" s="3">
        <f>Baupläne!O5</f>
        <v>0</v>
      </c>
      <c r="Q5" s="3">
        <f>IF(R5&gt;0,INDEX(data_item!$A$1:$A$1994,MATCH(Baupläne!R5,data_item!$B$1:$B$1994,0),1),0)</f>
        <v>0</v>
      </c>
      <c r="R5" s="3">
        <f>Baupläne!Q5</f>
        <v>0</v>
      </c>
      <c r="S5" s="3">
        <f>IF(T5&gt;0,INDEX(data_item!$A$1:$A$1994,MATCH(Baupläne!T5,data_item!$B$1:$B$1994,0),1),0)</f>
        <v>0</v>
      </c>
      <c r="T5" s="3">
        <f>Baupläne!S5</f>
        <v>0</v>
      </c>
    </row>
    <row r="6" spans="1:20" x14ac:dyDescent="0.2">
      <c r="A6" s="3">
        <f>Baupläne!A6</f>
        <v>9</v>
      </c>
      <c r="B6" s="3" t="str">
        <f>Baupläne!C6</f>
        <v>Adamantbarren</v>
      </c>
      <c r="C6" s="3">
        <f>Baupläne!B6</f>
        <v>9</v>
      </c>
      <c r="D6" s="3">
        <f>Baupläne!J6</f>
        <v>5</v>
      </c>
      <c r="E6" s="3">
        <f>Baupläne!H6</f>
        <v>53</v>
      </c>
      <c r="F6" s="3">
        <f>Baupläne!I6</f>
        <v>15</v>
      </c>
      <c r="G6" s="3">
        <f>Baupläne!E6</f>
        <v>22</v>
      </c>
      <c r="H6" s="3">
        <f>Baupläne!F6</f>
        <v>60</v>
      </c>
      <c r="I6" s="3">
        <f>0.5*Baupläne!Y6</f>
        <v>675</v>
      </c>
      <c r="J6" s="3">
        <f>Baupläne!G6</f>
        <v>4</v>
      </c>
      <c r="K6" s="3">
        <f>IF(L6&gt;0,INDEX(data_item!$A$1:$A$1994,MATCH(Baupläne!L6,data_item!$B$1:$B$1994,0),1),0)</f>
        <v>4</v>
      </c>
      <c r="L6" s="3">
        <f>Baupläne!K6</f>
        <v>5</v>
      </c>
      <c r="M6" s="3">
        <f>IF(N6&gt;0,INDEX(data_item!$A$1:$A$1994,MATCH(Baupläne!N6,data_item!$B$1:$B$994,0),1),0)</f>
        <v>113</v>
      </c>
      <c r="N6" s="3">
        <f>Baupläne!M6</f>
        <v>3</v>
      </c>
      <c r="O6" s="3">
        <f>IF(P6&gt;0,INDEX(data_item!$A$1:$A$1994,MATCH(Baupläne!P6,data_item!$B$1:$B$1994,0),1),0)</f>
        <v>0</v>
      </c>
      <c r="P6" s="3">
        <f>Baupläne!O6</f>
        <v>0</v>
      </c>
      <c r="Q6" s="3">
        <f>IF(R6&gt;0,INDEX(data_item!$A$1:$A$1994,MATCH(Baupläne!R6,data_item!$B$1:$B$1994,0),1),0)</f>
        <v>0</v>
      </c>
      <c r="R6" s="3">
        <f>Baupläne!Q6</f>
        <v>0</v>
      </c>
      <c r="S6" s="3">
        <f>IF(T6&gt;0,INDEX(data_item!$A$1:$A$1994,MATCH(Baupläne!T6,data_item!$B$1:$B$1994,0),1),0)</f>
        <v>0</v>
      </c>
      <c r="T6" s="3">
        <f>Baupläne!S6</f>
        <v>0</v>
      </c>
    </row>
    <row r="7" spans="1:20" x14ac:dyDescent="0.2">
      <c r="A7" s="3">
        <f>Baupläne!A7</f>
        <v>10</v>
      </c>
      <c r="B7" s="3" t="str">
        <f>Baupläne!C7</f>
        <v>Mithrilbarren</v>
      </c>
      <c r="C7" s="3">
        <f>Baupläne!B7</f>
        <v>10</v>
      </c>
      <c r="D7" s="3">
        <f>Baupläne!J7</f>
        <v>5</v>
      </c>
      <c r="E7" s="3">
        <f>Baupläne!H7</f>
        <v>53</v>
      </c>
      <c r="F7" s="3">
        <f>Baupläne!I7</f>
        <v>20</v>
      </c>
      <c r="G7" s="3">
        <f>Baupläne!E7</f>
        <v>22</v>
      </c>
      <c r="H7" s="3">
        <f>Baupläne!F7</f>
        <v>60</v>
      </c>
      <c r="I7" s="3">
        <f>0.5*Baupläne!Y7</f>
        <v>900</v>
      </c>
      <c r="J7" s="3">
        <f>Baupläne!G7</f>
        <v>5</v>
      </c>
      <c r="K7" s="3">
        <f>IF(L7&gt;0,INDEX(data_item!$A$1:$A$1994,MATCH(Baupläne!L7,data_item!$B$1:$B$1994,0),1),0)</f>
        <v>5</v>
      </c>
      <c r="L7" s="3">
        <f>Baupläne!K7</f>
        <v>5</v>
      </c>
      <c r="M7" s="3">
        <f>IF(N7&gt;0,INDEX(data_item!$A$1:$A$1994,MATCH(Baupläne!N7,data_item!$B$1:$B$994,0),1),0)</f>
        <v>113</v>
      </c>
      <c r="N7" s="3">
        <f>Baupläne!M7</f>
        <v>4</v>
      </c>
      <c r="O7" s="3">
        <f>IF(P7&gt;0,INDEX(data_item!$A$1:$A$1994,MATCH(Baupläne!P7,data_item!$B$1:$B$1994,0),1),0)</f>
        <v>0</v>
      </c>
      <c r="P7" s="3">
        <f>Baupläne!O7</f>
        <v>0</v>
      </c>
      <c r="Q7" s="3">
        <f>IF(R7&gt;0,INDEX(data_item!$A$1:$A$1994,MATCH(Baupläne!R7,data_item!$B$1:$B$1994,0),1),0)</f>
        <v>0</v>
      </c>
      <c r="R7" s="3">
        <f>Baupläne!Q7</f>
        <v>0</v>
      </c>
      <c r="S7" s="3">
        <f>IF(T7&gt;0,INDEX(data_item!$A$1:$A$1994,MATCH(Baupläne!T7,data_item!$B$1:$B$1994,0),1),0)</f>
        <v>0</v>
      </c>
      <c r="T7" s="3">
        <f>Baupläne!S7</f>
        <v>0</v>
      </c>
    </row>
    <row r="8" spans="1:20" x14ac:dyDescent="0.2">
      <c r="A8" s="3">
        <f>Baupläne!A8</f>
        <v>0</v>
      </c>
      <c r="B8" s="3">
        <f>Baupläne!C8</f>
        <v>0</v>
      </c>
      <c r="C8" s="3">
        <f>Baupläne!B8</f>
        <v>0</v>
      </c>
      <c r="D8" s="3">
        <f>Baupläne!J8</f>
        <v>0</v>
      </c>
      <c r="E8" s="3">
        <f>Baupläne!H8</f>
        <v>0</v>
      </c>
      <c r="F8" s="3">
        <f>Baupläne!I8</f>
        <v>0</v>
      </c>
      <c r="G8" s="3">
        <f>Baupläne!E8</f>
        <v>0</v>
      </c>
      <c r="H8" s="3">
        <f>Baupläne!F8</f>
        <v>0</v>
      </c>
      <c r="I8" s="3">
        <f>0.5*Baupläne!Y8</f>
        <v>0</v>
      </c>
      <c r="J8" s="3">
        <f>Baupläne!G8</f>
        <v>0</v>
      </c>
      <c r="K8" s="3">
        <f>IF(L8&gt;0,INDEX(data_item!$A$1:$A$1994,MATCH(Baupläne!L8,data_item!$B$1:$B$1994,0),1),0)</f>
        <v>0</v>
      </c>
      <c r="L8" s="3">
        <f>Baupläne!K8</f>
        <v>0</v>
      </c>
      <c r="M8" s="3">
        <f>IF(N8&gt;0,INDEX(data_item!$A$1:$A$1994,MATCH(Baupläne!N8,data_item!$B$1:$B$994,0),1),0)</f>
        <v>0</v>
      </c>
      <c r="N8" s="3">
        <f>Baupläne!M8</f>
        <v>0</v>
      </c>
      <c r="O8" s="3">
        <f>IF(P8&gt;0,INDEX(data_item!$A$1:$A$1994,MATCH(Baupläne!P8,data_item!$B$1:$B$1994,0),1),0)</f>
        <v>0</v>
      </c>
      <c r="P8" s="3">
        <f>Baupläne!O8</f>
        <v>0</v>
      </c>
      <c r="Q8" s="3">
        <f>IF(R8&gt;0,INDEX(data_item!$A$1:$A$1994,MATCH(Baupläne!R8,data_item!$B$1:$B$1994,0),1),0)</f>
        <v>0</v>
      </c>
      <c r="R8" s="3">
        <f>Baupläne!Q8</f>
        <v>0</v>
      </c>
      <c r="S8" s="3">
        <f>IF(T8&gt;0,INDEX(data_item!$A$1:$A$1994,MATCH(Baupläne!T8,data_item!$B$1:$B$1994,0),1),0)</f>
        <v>0</v>
      </c>
      <c r="T8" s="3">
        <f>Baupläne!S8</f>
        <v>0</v>
      </c>
    </row>
    <row r="9" spans="1:20" x14ac:dyDescent="0.2">
      <c r="A9" s="3">
        <f>Baupläne!A9</f>
        <v>16</v>
      </c>
      <c r="B9" s="3" t="str">
        <f>Baupläne!C9</f>
        <v>Kalkziegel</v>
      </c>
      <c r="C9" s="3">
        <f>Baupläne!B9</f>
        <v>16</v>
      </c>
      <c r="D9" s="3">
        <f>Baupläne!J9</f>
        <v>5</v>
      </c>
      <c r="E9" s="3">
        <f>Baupläne!H9</f>
        <v>52</v>
      </c>
      <c r="F9" s="3">
        <f>Baupläne!I9</f>
        <v>0</v>
      </c>
      <c r="G9" s="3">
        <f>Baupläne!E9</f>
        <v>21</v>
      </c>
      <c r="H9" s="3">
        <f>Baupläne!F9</f>
        <v>60</v>
      </c>
      <c r="I9" s="3">
        <f>0.5*Baupläne!Y9</f>
        <v>150</v>
      </c>
      <c r="J9" s="3">
        <f>Baupläne!G9</f>
        <v>1</v>
      </c>
      <c r="K9" s="3">
        <f>IF(L9&gt;0,INDEX(data_item!$A$1:$A$1994,MATCH(Baupläne!L9,data_item!$B$1:$B$1994,0),1),0)</f>
        <v>11</v>
      </c>
      <c r="L9" s="3">
        <f>Baupläne!K9</f>
        <v>5</v>
      </c>
      <c r="M9" s="3">
        <f>IF(N9&gt;0,INDEX(data_item!$A$1:$A$1994,MATCH(Baupläne!N9,data_item!$B$1:$B$994,0),1),0)</f>
        <v>112</v>
      </c>
      <c r="N9" s="3">
        <f>Baupläne!M9</f>
        <v>1</v>
      </c>
      <c r="O9" s="3">
        <f>IF(P9&gt;0,INDEX(data_item!$A$1:$A$1994,MATCH(Baupläne!P9,data_item!$B$1:$B$1994,0),1),0)</f>
        <v>0</v>
      </c>
      <c r="P9" s="3">
        <f>Baupläne!O9</f>
        <v>0</v>
      </c>
      <c r="Q9" s="3">
        <f>IF(R9&gt;0,INDEX(data_item!$A$1:$A$1994,MATCH(Baupläne!R9,data_item!$B$1:$B$1994,0),1),0)</f>
        <v>0</v>
      </c>
      <c r="R9" s="3">
        <f>Baupläne!Q9</f>
        <v>0</v>
      </c>
      <c r="S9" s="3">
        <f>IF(T9&gt;0,INDEX(data_item!$A$1:$A$1994,MATCH(Baupläne!T9,data_item!$B$1:$B$1994,0),1),0)</f>
        <v>0</v>
      </c>
      <c r="T9" s="3">
        <f>Baupläne!S9</f>
        <v>0</v>
      </c>
    </row>
    <row r="10" spans="1:20" x14ac:dyDescent="0.2">
      <c r="A10" s="3">
        <f>Baupläne!A10</f>
        <v>17</v>
      </c>
      <c r="B10" s="3" t="str">
        <f>Baupläne!C10</f>
        <v>Sandziegel</v>
      </c>
      <c r="C10" s="3">
        <f>Baupläne!B10</f>
        <v>17</v>
      </c>
      <c r="D10" s="3">
        <f>Baupläne!J10</f>
        <v>5</v>
      </c>
      <c r="E10" s="3">
        <f>Baupläne!H10</f>
        <v>52</v>
      </c>
      <c r="F10" s="3">
        <f>Baupläne!I10</f>
        <v>5</v>
      </c>
      <c r="G10" s="3">
        <f>Baupläne!E10</f>
        <v>21</v>
      </c>
      <c r="H10" s="3">
        <f>Baupläne!F10</f>
        <v>60</v>
      </c>
      <c r="I10" s="3">
        <f>0.5*Baupläne!Y10</f>
        <v>300</v>
      </c>
      <c r="J10" s="3">
        <f>Baupläne!G10</f>
        <v>2</v>
      </c>
      <c r="K10" s="3">
        <f>IF(L10&gt;0,INDEX(data_item!$A$1:$A$1994,MATCH(Baupläne!L10,data_item!$B$1:$B$1994,0),1),0)</f>
        <v>12</v>
      </c>
      <c r="L10" s="3">
        <f>Baupläne!K10</f>
        <v>5</v>
      </c>
      <c r="M10" s="3">
        <f>IF(N10&gt;0,INDEX(data_item!$A$1:$A$1994,MATCH(Baupläne!N10,data_item!$B$1:$B$994,0),1),0)</f>
        <v>112</v>
      </c>
      <c r="N10" s="3">
        <f>Baupläne!M10</f>
        <v>2</v>
      </c>
      <c r="O10" s="3">
        <f>IF(P10&gt;0,INDEX(data_item!$A$1:$A$1994,MATCH(Baupläne!P10,data_item!$B$1:$B$1994,0),1),0)</f>
        <v>0</v>
      </c>
      <c r="P10" s="3">
        <f>Baupläne!O10</f>
        <v>0</v>
      </c>
      <c r="Q10" s="3">
        <f>IF(R10&gt;0,INDEX(data_item!$A$1:$A$1994,MATCH(Baupläne!R10,data_item!$B$1:$B$1994,0),1),0)</f>
        <v>0</v>
      </c>
      <c r="R10" s="3">
        <f>Baupläne!Q10</f>
        <v>0</v>
      </c>
      <c r="S10" s="3">
        <f>IF(T10&gt;0,INDEX(data_item!$A$1:$A$1994,MATCH(Baupläne!T10,data_item!$B$1:$B$1994,0),1),0)</f>
        <v>0</v>
      </c>
      <c r="T10" s="3">
        <f>Baupläne!S10</f>
        <v>0</v>
      </c>
    </row>
    <row r="11" spans="1:20" x14ac:dyDescent="0.2">
      <c r="A11" s="3">
        <f>Baupläne!A11</f>
        <v>18</v>
      </c>
      <c r="B11" s="3" t="str">
        <f>Baupläne!C11</f>
        <v>Schieferziegel</v>
      </c>
      <c r="C11" s="3">
        <f>Baupläne!B11</f>
        <v>18</v>
      </c>
      <c r="D11" s="3">
        <f>Baupläne!J11</f>
        <v>5</v>
      </c>
      <c r="E11" s="3">
        <f>Baupläne!H11</f>
        <v>52</v>
      </c>
      <c r="F11" s="3">
        <f>Baupläne!I11</f>
        <v>10</v>
      </c>
      <c r="G11" s="3">
        <f>Baupläne!E11</f>
        <v>21</v>
      </c>
      <c r="H11" s="3">
        <f>Baupläne!F11</f>
        <v>60</v>
      </c>
      <c r="I11" s="3">
        <f>0.5*Baupläne!Y11</f>
        <v>450</v>
      </c>
      <c r="J11" s="3">
        <f>Baupläne!G11</f>
        <v>3</v>
      </c>
      <c r="K11" s="3">
        <f>IF(L11&gt;0,INDEX(data_item!$A$1:$A$1994,MATCH(Baupläne!L11,data_item!$B$1:$B$1994,0),1),0)</f>
        <v>13</v>
      </c>
      <c r="L11" s="3">
        <f>Baupläne!K11</f>
        <v>5</v>
      </c>
      <c r="M11" s="3">
        <f>IF(N11&gt;0,INDEX(data_item!$A$1:$A$1994,MATCH(Baupläne!N11,data_item!$B$1:$B$994,0),1),0)</f>
        <v>113</v>
      </c>
      <c r="N11" s="3">
        <f>Baupläne!M11</f>
        <v>2</v>
      </c>
      <c r="O11" s="3">
        <f>IF(P11&gt;0,INDEX(data_item!$A$1:$A$1994,MATCH(Baupläne!P11,data_item!$B$1:$B$1994,0),1),0)</f>
        <v>0</v>
      </c>
      <c r="P11" s="3">
        <f>Baupläne!O11</f>
        <v>0</v>
      </c>
      <c r="Q11" s="3">
        <f>IF(R11&gt;0,INDEX(data_item!$A$1:$A$1994,MATCH(Baupläne!R11,data_item!$B$1:$B$1994,0),1),0)</f>
        <v>0</v>
      </c>
      <c r="R11" s="3">
        <f>Baupläne!Q11</f>
        <v>0</v>
      </c>
      <c r="S11" s="3">
        <f>IF(T11&gt;0,INDEX(data_item!$A$1:$A$1994,MATCH(Baupläne!T11,data_item!$B$1:$B$1994,0),1),0)</f>
        <v>0</v>
      </c>
      <c r="T11" s="3">
        <f>Baupläne!S11</f>
        <v>0</v>
      </c>
    </row>
    <row r="12" spans="1:20" x14ac:dyDescent="0.2">
      <c r="A12" s="3">
        <f>Baupläne!A12</f>
        <v>19</v>
      </c>
      <c r="B12" s="3" t="str">
        <f>Baupläne!C12</f>
        <v>Granitziegel</v>
      </c>
      <c r="C12" s="3">
        <f>Baupläne!B12</f>
        <v>19</v>
      </c>
      <c r="D12" s="3">
        <f>Baupläne!J12</f>
        <v>5</v>
      </c>
      <c r="E12" s="3">
        <f>Baupläne!H12</f>
        <v>52</v>
      </c>
      <c r="F12" s="3">
        <f>Baupläne!I12</f>
        <v>15</v>
      </c>
      <c r="G12" s="3">
        <f>Baupläne!E12</f>
        <v>21</v>
      </c>
      <c r="H12" s="3">
        <f>Baupläne!F12</f>
        <v>60</v>
      </c>
      <c r="I12" s="3">
        <f>0.5*Baupläne!Y12</f>
        <v>675</v>
      </c>
      <c r="J12" s="3">
        <f>Baupläne!G12</f>
        <v>4</v>
      </c>
      <c r="K12" s="3">
        <f>IF(L12&gt;0,INDEX(data_item!$A$1:$A$1994,MATCH(Baupläne!L12,data_item!$B$1:$B$1994,0),1),0)</f>
        <v>14</v>
      </c>
      <c r="L12" s="3">
        <f>Baupläne!K12</f>
        <v>5</v>
      </c>
      <c r="M12" s="3">
        <f>IF(N12&gt;0,INDEX(data_item!$A$1:$A$1994,MATCH(Baupläne!N12,data_item!$B$1:$B$994,0),1),0)</f>
        <v>113</v>
      </c>
      <c r="N12" s="3">
        <f>Baupläne!M12</f>
        <v>3</v>
      </c>
      <c r="O12" s="3">
        <f>IF(P12&gt;0,INDEX(data_item!$A$1:$A$1994,MATCH(Baupläne!P12,data_item!$B$1:$B$1994,0),1),0)</f>
        <v>0</v>
      </c>
      <c r="P12" s="3">
        <f>Baupläne!O12</f>
        <v>0</v>
      </c>
      <c r="Q12" s="3">
        <f>IF(R12&gt;0,INDEX(data_item!$A$1:$A$1994,MATCH(Baupläne!R12,data_item!$B$1:$B$1994,0),1),0)</f>
        <v>0</v>
      </c>
      <c r="R12" s="3">
        <f>Baupläne!Q12</f>
        <v>0</v>
      </c>
      <c r="S12" s="3">
        <f>IF(T12&gt;0,INDEX(data_item!$A$1:$A$1994,MATCH(Baupläne!T12,data_item!$B$1:$B$1994,0),1),0)</f>
        <v>0</v>
      </c>
      <c r="T12" s="3">
        <f>Baupläne!S12</f>
        <v>0</v>
      </c>
    </row>
    <row r="13" spans="1:20" x14ac:dyDescent="0.2">
      <c r="A13" s="3">
        <f>Baupläne!A13</f>
        <v>20</v>
      </c>
      <c r="B13" s="3" t="str">
        <f>Baupläne!C13</f>
        <v>Marmorziegel</v>
      </c>
      <c r="C13" s="3">
        <f>Baupläne!B13</f>
        <v>20</v>
      </c>
      <c r="D13" s="3">
        <f>Baupläne!J13</f>
        <v>5</v>
      </c>
      <c r="E13" s="3">
        <f>Baupläne!H13</f>
        <v>52</v>
      </c>
      <c r="F13" s="3">
        <f>Baupläne!I13</f>
        <v>20</v>
      </c>
      <c r="G13" s="3">
        <f>Baupläne!E13</f>
        <v>21</v>
      </c>
      <c r="H13" s="3">
        <f>Baupläne!F13</f>
        <v>60</v>
      </c>
      <c r="I13" s="3">
        <f>0.5*Baupläne!Y13</f>
        <v>900</v>
      </c>
      <c r="J13" s="3">
        <f>Baupläne!G13</f>
        <v>5</v>
      </c>
      <c r="K13" s="3">
        <f>IF(L13&gt;0,INDEX(data_item!$A$1:$A$1994,MATCH(Baupläne!L13,data_item!$B$1:$B$1994,0),1),0)</f>
        <v>15</v>
      </c>
      <c r="L13" s="3">
        <f>Baupläne!K13</f>
        <v>5</v>
      </c>
      <c r="M13" s="3">
        <f>IF(N13&gt;0,INDEX(data_item!$A$1:$A$1994,MATCH(Baupläne!N13,data_item!$B$1:$B$994,0),1),0)</f>
        <v>113</v>
      </c>
      <c r="N13" s="3">
        <f>Baupläne!M13</f>
        <v>4</v>
      </c>
      <c r="O13" s="3">
        <f>IF(P13&gt;0,INDEX(data_item!$A$1:$A$1994,MATCH(Baupläne!P13,data_item!$B$1:$B$1994,0),1),0)</f>
        <v>0</v>
      </c>
      <c r="P13" s="3">
        <f>Baupläne!O13</f>
        <v>0</v>
      </c>
      <c r="Q13" s="3">
        <f>IF(R13&gt;0,INDEX(data_item!$A$1:$A$1994,MATCH(Baupläne!R13,data_item!$B$1:$B$1994,0),1),0)</f>
        <v>0</v>
      </c>
      <c r="R13" s="3">
        <f>Baupläne!Q13</f>
        <v>0</v>
      </c>
      <c r="S13" s="3">
        <f>IF(T13&gt;0,INDEX(data_item!$A$1:$A$1994,MATCH(Baupläne!T13,data_item!$B$1:$B$1994,0),1),0)</f>
        <v>0</v>
      </c>
      <c r="T13" s="3">
        <f>Baupläne!S13</f>
        <v>0</v>
      </c>
    </row>
    <row r="14" spans="1:20" x14ac:dyDescent="0.2">
      <c r="A14" s="3">
        <f>Baupläne!A14</f>
        <v>0</v>
      </c>
      <c r="B14" s="3">
        <f>Baupläne!C14</f>
        <v>0</v>
      </c>
      <c r="C14" s="3">
        <f>Baupläne!B14</f>
        <v>0</v>
      </c>
      <c r="D14" s="3">
        <f>Baupläne!J14</f>
        <v>0</v>
      </c>
      <c r="E14" s="3">
        <f>Baupläne!H14</f>
        <v>0</v>
      </c>
      <c r="F14" s="3">
        <f>Baupläne!I14</f>
        <v>0</v>
      </c>
      <c r="G14" s="3">
        <f>Baupläne!E14</f>
        <v>0</v>
      </c>
      <c r="H14" s="3">
        <f>Baupläne!F14</f>
        <v>0</v>
      </c>
      <c r="I14" s="3">
        <f>0.5*Baupläne!Y14</f>
        <v>0</v>
      </c>
      <c r="J14" s="3">
        <f>Baupläne!G14</f>
        <v>0</v>
      </c>
      <c r="K14" s="3">
        <f>IF(L14&gt;0,INDEX(data_item!$A$1:$A$1994,MATCH(Baupläne!L14,data_item!$B$1:$B$1994,0),1),0)</f>
        <v>0</v>
      </c>
      <c r="L14" s="3">
        <f>Baupläne!K14</f>
        <v>0</v>
      </c>
      <c r="M14" s="3">
        <f>IF(N14&gt;0,INDEX(data_item!$A$1:$A$1994,MATCH(Baupläne!N14,data_item!$B$1:$B$994,0),1),0)</f>
        <v>0</v>
      </c>
      <c r="N14" s="3">
        <f>Baupläne!M14</f>
        <v>0</v>
      </c>
      <c r="O14" s="3">
        <f>IF(P14&gt;0,INDEX(data_item!$A$1:$A$1994,MATCH(Baupläne!P14,data_item!$B$1:$B$1994,0),1),0)</f>
        <v>0</v>
      </c>
      <c r="P14" s="3">
        <f>Baupläne!O14</f>
        <v>0</v>
      </c>
      <c r="Q14" s="3">
        <f>IF(R14&gt;0,INDEX(data_item!$A$1:$A$1994,MATCH(Baupläne!R14,data_item!$B$1:$B$1994,0),1),0)</f>
        <v>0</v>
      </c>
      <c r="R14" s="3">
        <f>Baupläne!Q14</f>
        <v>0</v>
      </c>
      <c r="S14" s="3">
        <f>IF(T14&gt;0,INDEX(data_item!$A$1:$A$1994,MATCH(Baupläne!T14,data_item!$B$1:$B$1994,0),1),0)</f>
        <v>0</v>
      </c>
      <c r="T14" s="3">
        <f>Baupläne!S14</f>
        <v>0</v>
      </c>
    </row>
    <row r="15" spans="1:20" x14ac:dyDescent="0.2">
      <c r="A15" s="3">
        <f>Baupläne!A15</f>
        <v>26</v>
      </c>
      <c r="B15" s="3" t="str">
        <f>Baupläne!C15</f>
        <v>Buchenbretter</v>
      </c>
      <c r="C15" s="3">
        <f>Baupläne!B15</f>
        <v>26</v>
      </c>
      <c r="D15" s="3">
        <f>Baupläne!J15</f>
        <v>5</v>
      </c>
      <c r="E15" s="3">
        <f>Baupläne!H15</f>
        <v>51</v>
      </c>
      <c r="F15" s="3">
        <f>Baupläne!I15</f>
        <v>0</v>
      </c>
      <c r="G15" s="3">
        <f>Baupläne!E15</f>
        <v>20</v>
      </c>
      <c r="H15" s="3">
        <f>Baupläne!F15</f>
        <v>60</v>
      </c>
      <c r="I15" s="3">
        <f>0.5*Baupläne!Y15</f>
        <v>150</v>
      </c>
      <c r="J15" s="3">
        <f>Baupläne!G15</f>
        <v>1</v>
      </c>
      <c r="K15" s="3">
        <f>IF(L15&gt;0,INDEX(data_item!$A$1:$A$1994,MATCH(Baupläne!L15,data_item!$B$1:$B$1994,0),1),0)</f>
        <v>21</v>
      </c>
      <c r="L15" s="3">
        <f>Baupläne!K15</f>
        <v>5</v>
      </c>
      <c r="M15" s="3">
        <f>IF(N15&gt;0,INDEX(data_item!$A$1:$A$1994,MATCH(Baupläne!N15,data_item!$B$1:$B$994,0),1),0)</f>
        <v>108</v>
      </c>
      <c r="N15" s="3">
        <f>Baupläne!M15</f>
        <v>1</v>
      </c>
      <c r="O15" s="3">
        <f>IF(P15&gt;0,INDEX(data_item!$A$1:$A$1994,MATCH(Baupläne!P15,data_item!$B$1:$B$1994,0),1),0)</f>
        <v>0</v>
      </c>
      <c r="P15" s="3">
        <f>Baupläne!O15</f>
        <v>0</v>
      </c>
      <c r="Q15" s="3">
        <f>IF(R15&gt;0,INDEX(data_item!$A$1:$A$1994,MATCH(Baupläne!R15,data_item!$B$1:$B$1994,0),1),0)</f>
        <v>0</v>
      </c>
      <c r="R15" s="3">
        <f>Baupläne!Q15</f>
        <v>0</v>
      </c>
      <c r="S15" s="3">
        <f>IF(T15&gt;0,INDEX(data_item!$A$1:$A$1994,MATCH(Baupläne!T15,data_item!$B$1:$B$1994,0),1),0)</f>
        <v>0</v>
      </c>
      <c r="T15" s="3">
        <f>Baupläne!S15</f>
        <v>0</v>
      </c>
    </row>
    <row r="16" spans="1:20" x14ac:dyDescent="0.2">
      <c r="A16" s="3">
        <f>Baupläne!A16</f>
        <v>27</v>
      </c>
      <c r="B16" s="3" t="str">
        <f>Baupläne!C16</f>
        <v>Birkenbretter</v>
      </c>
      <c r="C16" s="3">
        <f>Baupläne!B16</f>
        <v>27</v>
      </c>
      <c r="D16" s="3">
        <f>Baupläne!J16</f>
        <v>5</v>
      </c>
      <c r="E16" s="3">
        <f>Baupläne!H16</f>
        <v>51</v>
      </c>
      <c r="F16" s="3">
        <f>Baupläne!I16</f>
        <v>5</v>
      </c>
      <c r="G16" s="3">
        <f>Baupläne!E16</f>
        <v>20</v>
      </c>
      <c r="H16" s="3">
        <f>Baupläne!F16</f>
        <v>60</v>
      </c>
      <c r="I16" s="3">
        <f>0.5*Baupläne!Y16</f>
        <v>300</v>
      </c>
      <c r="J16" s="3">
        <f>Baupläne!G16</f>
        <v>2</v>
      </c>
      <c r="K16" s="3">
        <f>IF(L16&gt;0,INDEX(data_item!$A$1:$A$1994,MATCH(Baupläne!L16,data_item!$B$1:$B$1994,0),1),0)</f>
        <v>22</v>
      </c>
      <c r="L16" s="3">
        <f>Baupläne!K16</f>
        <v>5</v>
      </c>
      <c r="M16" s="3">
        <f>IF(N16&gt;0,INDEX(data_item!$A$1:$A$1994,MATCH(Baupläne!N16,data_item!$B$1:$B$994,0),1),0)</f>
        <v>108</v>
      </c>
      <c r="N16" s="3">
        <f>Baupläne!M16</f>
        <v>2</v>
      </c>
      <c r="O16" s="3">
        <f>IF(P16&gt;0,INDEX(data_item!$A$1:$A$1994,MATCH(Baupläne!P16,data_item!$B$1:$B$1994,0),1),0)</f>
        <v>0</v>
      </c>
      <c r="P16" s="3">
        <f>Baupläne!O16</f>
        <v>0</v>
      </c>
      <c r="Q16" s="3">
        <f>IF(R16&gt;0,INDEX(data_item!$A$1:$A$1994,MATCH(Baupläne!R16,data_item!$B$1:$B$1994,0),1),0)</f>
        <v>0</v>
      </c>
      <c r="R16" s="3">
        <f>Baupläne!Q16</f>
        <v>0</v>
      </c>
      <c r="S16" s="3">
        <f>IF(T16&gt;0,INDEX(data_item!$A$1:$A$1994,MATCH(Baupläne!T16,data_item!$B$1:$B$1994,0),1),0)</f>
        <v>0</v>
      </c>
      <c r="T16" s="3">
        <f>Baupläne!S16</f>
        <v>0</v>
      </c>
    </row>
    <row r="17" spans="1:20" x14ac:dyDescent="0.2">
      <c r="A17" s="3">
        <f>Baupläne!A17</f>
        <v>28</v>
      </c>
      <c r="B17" s="3" t="str">
        <f>Baupläne!C17</f>
        <v>Eichenbretter</v>
      </c>
      <c r="C17" s="3">
        <f>Baupläne!B17</f>
        <v>28</v>
      </c>
      <c r="D17" s="3">
        <f>Baupläne!J17</f>
        <v>5</v>
      </c>
      <c r="E17" s="3">
        <f>Baupläne!H17</f>
        <v>51</v>
      </c>
      <c r="F17" s="3">
        <f>Baupläne!I17</f>
        <v>10</v>
      </c>
      <c r="G17" s="3">
        <f>Baupläne!E17</f>
        <v>20</v>
      </c>
      <c r="H17" s="3">
        <f>Baupläne!F17</f>
        <v>60</v>
      </c>
      <c r="I17" s="3">
        <f>0.5*Baupläne!Y17</f>
        <v>450</v>
      </c>
      <c r="J17" s="3">
        <f>Baupläne!G17</f>
        <v>3</v>
      </c>
      <c r="K17" s="3">
        <f>IF(L17&gt;0,INDEX(data_item!$A$1:$A$1994,MATCH(Baupläne!L17,data_item!$B$1:$B$1994,0),1),0)</f>
        <v>23</v>
      </c>
      <c r="L17" s="3">
        <f>Baupläne!K17</f>
        <v>5</v>
      </c>
      <c r="M17" s="3">
        <f>IF(N17&gt;0,INDEX(data_item!$A$1:$A$1994,MATCH(Baupläne!N17,data_item!$B$1:$B$994,0),1),0)</f>
        <v>109</v>
      </c>
      <c r="N17" s="3">
        <f>Baupläne!M17</f>
        <v>2</v>
      </c>
      <c r="O17" s="3">
        <f>IF(P17&gt;0,INDEX(data_item!$A$1:$A$1994,MATCH(Baupläne!P17,data_item!$B$1:$B$1994,0),1),0)</f>
        <v>0</v>
      </c>
      <c r="P17" s="3">
        <f>Baupläne!O17</f>
        <v>0</v>
      </c>
      <c r="Q17" s="3">
        <f>IF(R17&gt;0,INDEX(data_item!$A$1:$A$1994,MATCH(Baupläne!R17,data_item!$B$1:$B$1994,0),1),0)</f>
        <v>0</v>
      </c>
      <c r="R17" s="3">
        <f>Baupläne!Q17</f>
        <v>0</v>
      </c>
      <c r="S17" s="3">
        <f>IF(T17&gt;0,INDEX(data_item!$A$1:$A$1994,MATCH(Baupläne!T17,data_item!$B$1:$B$1994,0),1),0)</f>
        <v>0</v>
      </c>
      <c r="T17" s="3">
        <f>Baupläne!S17</f>
        <v>0</v>
      </c>
    </row>
    <row r="18" spans="1:20" x14ac:dyDescent="0.2">
      <c r="A18" s="3">
        <f>Baupläne!A18</f>
        <v>29</v>
      </c>
      <c r="B18" s="3" t="str">
        <f>Baupläne!C18</f>
        <v>Eschenbretter</v>
      </c>
      <c r="C18" s="3">
        <f>Baupläne!B18</f>
        <v>29</v>
      </c>
      <c r="D18" s="3">
        <f>Baupläne!J18</f>
        <v>5</v>
      </c>
      <c r="E18" s="3">
        <f>Baupläne!H18</f>
        <v>51</v>
      </c>
      <c r="F18" s="3">
        <f>Baupläne!I18</f>
        <v>15</v>
      </c>
      <c r="G18" s="3">
        <f>Baupläne!E18</f>
        <v>20</v>
      </c>
      <c r="H18" s="3">
        <f>Baupläne!F18</f>
        <v>60</v>
      </c>
      <c r="I18" s="3">
        <f>0.5*Baupläne!Y18</f>
        <v>675</v>
      </c>
      <c r="J18" s="3">
        <f>Baupläne!G18</f>
        <v>4</v>
      </c>
      <c r="K18" s="3">
        <f>IF(L18&gt;0,INDEX(data_item!$A$1:$A$1994,MATCH(Baupläne!L18,data_item!$B$1:$B$1994,0),1),0)</f>
        <v>24</v>
      </c>
      <c r="L18" s="3">
        <f>Baupläne!K18</f>
        <v>5</v>
      </c>
      <c r="M18" s="3">
        <f>IF(N18&gt;0,INDEX(data_item!$A$1:$A$1994,MATCH(Baupläne!N18,data_item!$B$1:$B$994,0),1),0)</f>
        <v>109</v>
      </c>
      <c r="N18" s="3">
        <f>Baupläne!M18</f>
        <v>3</v>
      </c>
      <c r="O18" s="3">
        <f>IF(P18&gt;0,INDEX(data_item!$A$1:$A$1994,MATCH(Baupläne!P18,data_item!$B$1:$B$1994,0),1),0)</f>
        <v>0</v>
      </c>
      <c r="P18" s="3">
        <f>Baupläne!O18</f>
        <v>0</v>
      </c>
      <c r="Q18" s="3">
        <f>IF(R18&gt;0,INDEX(data_item!$A$1:$A$1994,MATCH(Baupläne!R18,data_item!$B$1:$B$1994,0),1),0)</f>
        <v>0</v>
      </c>
      <c r="R18" s="3">
        <f>Baupläne!Q18</f>
        <v>0</v>
      </c>
      <c r="S18" s="3">
        <f>IF(T18&gt;0,INDEX(data_item!$A$1:$A$1994,MATCH(Baupläne!T18,data_item!$B$1:$B$1994,0),1),0)</f>
        <v>0</v>
      </c>
      <c r="T18" s="3">
        <f>Baupläne!S18</f>
        <v>0</v>
      </c>
    </row>
    <row r="19" spans="1:20" x14ac:dyDescent="0.2">
      <c r="A19" s="3">
        <f>Baupläne!A19</f>
        <v>30</v>
      </c>
      <c r="B19" s="3" t="str">
        <f>Baupläne!C19</f>
        <v>Eibenbretter</v>
      </c>
      <c r="C19" s="3">
        <f>Baupläne!B19</f>
        <v>30</v>
      </c>
      <c r="D19" s="3">
        <f>Baupläne!J19</f>
        <v>5</v>
      </c>
      <c r="E19" s="3">
        <f>Baupläne!H19</f>
        <v>51</v>
      </c>
      <c r="F19" s="3">
        <f>Baupläne!I19</f>
        <v>20</v>
      </c>
      <c r="G19" s="3">
        <f>Baupläne!E19</f>
        <v>20</v>
      </c>
      <c r="H19" s="3">
        <f>Baupläne!F19</f>
        <v>60</v>
      </c>
      <c r="I19" s="3">
        <f>0.5*Baupläne!Y19</f>
        <v>900</v>
      </c>
      <c r="J19" s="3">
        <f>Baupläne!G19</f>
        <v>5</v>
      </c>
      <c r="K19" s="3">
        <f>IF(L19&gt;0,INDEX(data_item!$A$1:$A$1994,MATCH(Baupläne!L19,data_item!$B$1:$B$1994,0),1),0)</f>
        <v>25</v>
      </c>
      <c r="L19" s="3">
        <f>Baupläne!K19</f>
        <v>5</v>
      </c>
      <c r="M19" s="3">
        <f>IF(N19&gt;0,INDEX(data_item!$A$1:$A$1994,MATCH(Baupläne!N19,data_item!$B$1:$B$994,0),1),0)</f>
        <v>109</v>
      </c>
      <c r="N19" s="3">
        <f>Baupläne!M19</f>
        <v>4</v>
      </c>
      <c r="O19" s="3">
        <f>IF(P19&gt;0,INDEX(data_item!$A$1:$A$1994,MATCH(Baupläne!P19,data_item!$B$1:$B$1994,0),1),0)</f>
        <v>0</v>
      </c>
      <c r="P19" s="3">
        <f>Baupläne!O19</f>
        <v>0</v>
      </c>
      <c r="Q19" s="3">
        <f>IF(R19&gt;0,INDEX(data_item!$A$1:$A$1994,MATCH(Baupläne!R19,data_item!$B$1:$B$1994,0),1),0)</f>
        <v>0</v>
      </c>
      <c r="R19" s="3">
        <f>Baupläne!Q19</f>
        <v>0</v>
      </c>
      <c r="S19" s="3">
        <f>IF(T19&gt;0,INDEX(data_item!$A$1:$A$1994,MATCH(Baupläne!T19,data_item!$B$1:$B$1994,0),1),0)</f>
        <v>0</v>
      </c>
      <c r="T19" s="3">
        <f>Baupläne!S19</f>
        <v>0</v>
      </c>
    </row>
    <row r="20" spans="1:20" x14ac:dyDescent="0.2">
      <c r="A20" s="3">
        <f>Baupläne!A20</f>
        <v>0</v>
      </c>
      <c r="B20" s="3">
        <f>Baupläne!C20</f>
        <v>0</v>
      </c>
      <c r="C20" s="3">
        <f>Baupläne!B20</f>
        <v>0</v>
      </c>
      <c r="D20" s="3">
        <f>Baupläne!J20</f>
        <v>0</v>
      </c>
      <c r="E20" s="3">
        <f>Baupläne!H20</f>
        <v>0</v>
      </c>
      <c r="F20" s="3">
        <f>Baupläne!I20</f>
        <v>0</v>
      </c>
      <c r="G20" s="3">
        <f>Baupläne!E20</f>
        <v>0</v>
      </c>
      <c r="H20" s="3">
        <f>Baupläne!F20</f>
        <v>0</v>
      </c>
      <c r="I20" s="3">
        <f>0.5*Baupläne!Y20</f>
        <v>0</v>
      </c>
      <c r="J20" s="3">
        <f>Baupläne!G20</f>
        <v>0</v>
      </c>
      <c r="K20" s="3">
        <f>IF(L20&gt;0,INDEX(data_item!$A$1:$A$1994,MATCH(Baupläne!L20,data_item!$B$1:$B$1994,0),1),0)</f>
        <v>0</v>
      </c>
      <c r="L20" s="3">
        <f>Baupläne!K20</f>
        <v>0</v>
      </c>
      <c r="M20" s="3">
        <f>IF(N20&gt;0,INDEX(data_item!$A$1:$A$1994,MATCH(Baupläne!N20,data_item!$B$1:$B$994,0),1),0)</f>
        <v>0</v>
      </c>
      <c r="N20" s="3">
        <f>Baupläne!M20</f>
        <v>0</v>
      </c>
      <c r="O20" s="3">
        <f>IF(P20&gt;0,INDEX(data_item!$A$1:$A$1994,MATCH(Baupläne!P20,data_item!$B$1:$B$1994,0),1),0)</f>
        <v>0</v>
      </c>
      <c r="P20" s="3">
        <f>Baupläne!O20</f>
        <v>0</v>
      </c>
      <c r="Q20" s="3">
        <f>IF(R20&gt;0,INDEX(data_item!$A$1:$A$1994,MATCH(Baupläne!R20,data_item!$B$1:$B$1994,0),1),0)</f>
        <v>0</v>
      </c>
      <c r="R20" s="3">
        <f>Baupläne!Q20</f>
        <v>0</v>
      </c>
      <c r="S20" s="3">
        <f>IF(T20&gt;0,INDEX(data_item!$A$1:$A$1994,MATCH(Baupläne!T20,data_item!$B$1:$B$1994,0),1),0)</f>
        <v>0</v>
      </c>
      <c r="T20" s="3">
        <f>Baupläne!S20</f>
        <v>0</v>
      </c>
    </row>
    <row r="21" spans="1:20" x14ac:dyDescent="0.2">
      <c r="A21" s="3">
        <f>Baupläne!A21</f>
        <v>36</v>
      </c>
      <c r="B21" s="3" t="str">
        <f>Baupläne!C21</f>
        <v>Leinentuch</v>
      </c>
      <c r="C21" s="3">
        <f>Baupläne!B21</f>
        <v>36</v>
      </c>
      <c r="D21" s="3">
        <f>Baupläne!J21</f>
        <v>5</v>
      </c>
      <c r="E21" s="3">
        <f>Baupläne!H21</f>
        <v>54</v>
      </c>
      <c r="F21" s="3">
        <f>Baupläne!I21</f>
        <v>0</v>
      </c>
      <c r="G21" s="3">
        <f>Baupläne!E21</f>
        <v>24</v>
      </c>
      <c r="H21" s="3">
        <f>Baupläne!F21</f>
        <v>60</v>
      </c>
      <c r="I21" s="3">
        <f>0.5*Baupläne!Y21</f>
        <v>150</v>
      </c>
      <c r="J21" s="3">
        <f>Baupläne!G21</f>
        <v>1</v>
      </c>
      <c r="K21" s="3">
        <f>IF(L21&gt;0,INDEX(data_item!$A$1:$A$1994,MATCH(Baupläne!L21,data_item!$B$1:$B$1994,0),1),0)</f>
        <v>31</v>
      </c>
      <c r="L21" s="3">
        <f>Baupläne!K21</f>
        <v>5</v>
      </c>
      <c r="M21" s="3">
        <f>IF(N21&gt;0,INDEX(data_item!$A$1:$A$1994,MATCH(Baupläne!N21,data_item!$B$1:$B$994,0),1),0)</f>
        <v>110</v>
      </c>
      <c r="N21" s="3">
        <f>Baupläne!M21</f>
        <v>1</v>
      </c>
      <c r="O21" s="3">
        <f>IF(P21&gt;0,INDEX(data_item!$A$1:$A$1994,MATCH(Baupläne!P21,data_item!$B$1:$B$1994,0),1),0)</f>
        <v>0</v>
      </c>
      <c r="P21" s="3">
        <f>Baupläne!O21</f>
        <v>0</v>
      </c>
      <c r="Q21" s="3">
        <f>IF(R21&gt;0,INDEX(data_item!$A$1:$A$1994,MATCH(Baupläne!R21,data_item!$B$1:$B$1994,0),1),0)</f>
        <v>0</v>
      </c>
      <c r="R21" s="3">
        <f>Baupläne!Q21</f>
        <v>0</v>
      </c>
      <c r="S21" s="3">
        <f>IF(T21&gt;0,INDEX(data_item!$A$1:$A$1994,MATCH(Baupläne!T21,data_item!$B$1:$B$1994,0),1),0)</f>
        <v>0</v>
      </c>
      <c r="T21" s="3">
        <f>Baupläne!S21</f>
        <v>0</v>
      </c>
    </row>
    <row r="22" spans="1:20" x14ac:dyDescent="0.2">
      <c r="A22" s="3">
        <f>Baupläne!A22</f>
        <v>37</v>
      </c>
      <c r="B22" s="3" t="str">
        <f>Baupläne!C22</f>
        <v>Wolltuch</v>
      </c>
      <c r="C22" s="3">
        <f>Baupläne!B22</f>
        <v>37</v>
      </c>
      <c r="D22" s="3">
        <f>Baupläne!J22</f>
        <v>5</v>
      </c>
      <c r="E22" s="3">
        <f>Baupläne!H22</f>
        <v>54</v>
      </c>
      <c r="F22" s="3">
        <f>Baupläne!I22</f>
        <v>5</v>
      </c>
      <c r="G22" s="3">
        <f>Baupläne!E22</f>
        <v>24</v>
      </c>
      <c r="H22" s="3">
        <f>Baupläne!F22</f>
        <v>60</v>
      </c>
      <c r="I22" s="3">
        <f>0.5*Baupläne!Y22</f>
        <v>300</v>
      </c>
      <c r="J22" s="3">
        <f>Baupläne!G22</f>
        <v>2</v>
      </c>
      <c r="K22" s="3">
        <f>IF(L22&gt;0,INDEX(data_item!$A$1:$A$1994,MATCH(Baupläne!L22,data_item!$B$1:$B$1994,0),1),0)</f>
        <v>32</v>
      </c>
      <c r="L22" s="3">
        <f>Baupläne!K22</f>
        <v>5</v>
      </c>
      <c r="M22" s="3">
        <f>IF(N22&gt;0,INDEX(data_item!$A$1:$A$1994,MATCH(Baupläne!N22,data_item!$B$1:$B$994,0),1),0)</f>
        <v>110</v>
      </c>
      <c r="N22" s="3">
        <f>Baupläne!M22</f>
        <v>2</v>
      </c>
      <c r="O22" s="3">
        <f>IF(P22&gt;0,INDEX(data_item!$A$1:$A$1994,MATCH(Baupläne!P22,data_item!$B$1:$B$1994,0),1),0)</f>
        <v>0</v>
      </c>
      <c r="P22" s="3">
        <f>Baupläne!O22</f>
        <v>0</v>
      </c>
      <c r="Q22" s="3">
        <f>IF(R22&gt;0,INDEX(data_item!$A$1:$A$1994,MATCH(Baupläne!R22,data_item!$B$1:$B$1994,0),1),0)</f>
        <v>0</v>
      </c>
      <c r="R22" s="3">
        <f>Baupläne!Q22</f>
        <v>0</v>
      </c>
      <c r="S22" s="3">
        <f>IF(T22&gt;0,INDEX(data_item!$A$1:$A$1994,MATCH(Baupläne!T22,data_item!$B$1:$B$1994,0),1),0)</f>
        <v>0</v>
      </c>
      <c r="T22" s="3">
        <f>Baupläne!S22</f>
        <v>0</v>
      </c>
    </row>
    <row r="23" spans="1:20" x14ac:dyDescent="0.2">
      <c r="A23" s="3">
        <f>Baupläne!A23</f>
        <v>38</v>
      </c>
      <c r="B23" s="3" t="str">
        <f>Baupläne!C23</f>
        <v>Baumwolltuch</v>
      </c>
      <c r="C23" s="3">
        <f>Baupläne!B23</f>
        <v>38</v>
      </c>
      <c r="D23" s="3">
        <f>Baupläne!J23</f>
        <v>5</v>
      </c>
      <c r="E23" s="3">
        <f>Baupläne!H23</f>
        <v>54</v>
      </c>
      <c r="F23" s="3">
        <f>Baupläne!I23</f>
        <v>10</v>
      </c>
      <c r="G23" s="3">
        <f>Baupläne!E23</f>
        <v>24</v>
      </c>
      <c r="H23" s="3">
        <f>Baupläne!F23</f>
        <v>60</v>
      </c>
      <c r="I23" s="3">
        <f>0.5*Baupläne!Y23</f>
        <v>450</v>
      </c>
      <c r="J23" s="3">
        <f>Baupläne!G23</f>
        <v>3</v>
      </c>
      <c r="K23" s="3">
        <f>IF(L23&gt;0,INDEX(data_item!$A$1:$A$1994,MATCH(Baupläne!L23,data_item!$B$1:$B$1994,0),1),0)</f>
        <v>33</v>
      </c>
      <c r="L23" s="3">
        <f>Baupläne!K23</f>
        <v>5</v>
      </c>
      <c r="M23" s="3">
        <f>IF(N23&gt;0,INDEX(data_item!$A$1:$A$1994,MATCH(Baupläne!N23,data_item!$B$1:$B$994,0),1),0)</f>
        <v>111</v>
      </c>
      <c r="N23" s="3">
        <f>Baupläne!M23</f>
        <v>2</v>
      </c>
      <c r="O23" s="3">
        <f>IF(P23&gt;0,INDEX(data_item!$A$1:$A$1994,MATCH(Baupläne!P23,data_item!$B$1:$B$1994,0),1),0)</f>
        <v>0</v>
      </c>
      <c r="P23" s="3">
        <f>Baupläne!O23</f>
        <v>0</v>
      </c>
      <c r="Q23" s="3">
        <f>IF(R23&gt;0,INDEX(data_item!$A$1:$A$1994,MATCH(Baupläne!R23,data_item!$B$1:$B$1994,0),1),0)</f>
        <v>0</v>
      </c>
      <c r="R23" s="3">
        <f>Baupläne!Q23</f>
        <v>0</v>
      </c>
      <c r="S23" s="3">
        <f>IF(T23&gt;0,INDEX(data_item!$A$1:$A$1994,MATCH(Baupläne!T23,data_item!$B$1:$B$1994,0),1),0)</f>
        <v>0</v>
      </c>
      <c r="T23" s="3">
        <f>Baupläne!S23</f>
        <v>0</v>
      </c>
    </row>
    <row r="24" spans="1:20" x14ac:dyDescent="0.2">
      <c r="A24" s="3">
        <f>Baupläne!A24</f>
        <v>39</v>
      </c>
      <c r="B24" s="3" t="str">
        <f>Baupläne!C24</f>
        <v>Seidentuch</v>
      </c>
      <c r="C24" s="3">
        <f>Baupläne!B24</f>
        <v>39</v>
      </c>
      <c r="D24" s="3">
        <f>Baupläne!J24</f>
        <v>5</v>
      </c>
      <c r="E24" s="3">
        <f>Baupläne!H24</f>
        <v>54</v>
      </c>
      <c r="F24" s="3">
        <f>Baupläne!I24</f>
        <v>15</v>
      </c>
      <c r="G24" s="3">
        <f>Baupläne!E24</f>
        <v>24</v>
      </c>
      <c r="H24" s="3">
        <f>Baupläne!F24</f>
        <v>60</v>
      </c>
      <c r="I24" s="3">
        <f>0.5*Baupläne!Y24</f>
        <v>675</v>
      </c>
      <c r="J24" s="3">
        <f>Baupläne!G24</f>
        <v>4</v>
      </c>
      <c r="K24" s="3">
        <f>IF(L24&gt;0,INDEX(data_item!$A$1:$A$1994,MATCH(Baupläne!L24,data_item!$B$1:$B$1994,0),1),0)</f>
        <v>34</v>
      </c>
      <c r="L24" s="3">
        <f>Baupläne!K24</f>
        <v>5</v>
      </c>
      <c r="M24" s="3">
        <f>IF(N24&gt;0,INDEX(data_item!$A$1:$A$1994,MATCH(Baupläne!N24,data_item!$B$1:$B$994,0),1),0)</f>
        <v>111</v>
      </c>
      <c r="N24" s="3">
        <f>Baupläne!M24</f>
        <v>3</v>
      </c>
      <c r="O24" s="3">
        <f>IF(P24&gt;0,INDEX(data_item!$A$1:$A$1994,MATCH(Baupläne!P24,data_item!$B$1:$B$1994,0),1),0)</f>
        <v>0</v>
      </c>
      <c r="P24" s="3">
        <f>Baupläne!O24</f>
        <v>0</v>
      </c>
      <c r="Q24" s="3">
        <f>IF(R24&gt;0,INDEX(data_item!$A$1:$A$1994,MATCH(Baupläne!R24,data_item!$B$1:$B$1994,0),1),0)</f>
        <v>0</v>
      </c>
      <c r="R24" s="3">
        <f>Baupläne!Q24</f>
        <v>0</v>
      </c>
      <c r="S24" s="3">
        <f>IF(T24&gt;0,INDEX(data_item!$A$1:$A$1994,MATCH(Baupläne!T24,data_item!$B$1:$B$1994,0),1),0)</f>
        <v>0</v>
      </c>
      <c r="T24" s="3">
        <f>Baupläne!S24</f>
        <v>0</v>
      </c>
    </row>
    <row r="25" spans="1:20" x14ac:dyDescent="0.2">
      <c r="A25" s="3">
        <f>Baupläne!A25</f>
        <v>40</v>
      </c>
      <c r="B25" s="3" t="str">
        <f>Baupläne!C25</f>
        <v>Äthertuch</v>
      </c>
      <c r="C25" s="3">
        <f>Baupläne!B25</f>
        <v>40</v>
      </c>
      <c r="D25" s="3">
        <f>Baupläne!J25</f>
        <v>5</v>
      </c>
      <c r="E25" s="3">
        <f>Baupläne!H25</f>
        <v>54</v>
      </c>
      <c r="F25" s="3">
        <f>Baupläne!I25</f>
        <v>20</v>
      </c>
      <c r="G25" s="3">
        <f>Baupläne!E25</f>
        <v>24</v>
      </c>
      <c r="H25" s="3">
        <f>Baupläne!F25</f>
        <v>60</v>
      </c>
      <c r="I25" s="3">
        <f>0.5*Baupläne!Y25</f>
        <v>900</v>
      </c>
      <c r="J25" s="3">
        <f>Baupläne!G25</f>
        <v>5</v>
      </c>
      <c r="K25" s="3">
        <f>IF(L25&gt;0,INDEX(data_item!$A$1:$A$1994,MATCH(Baupläne!L25,data_item!$B$1:$B$1994,0),1),0)</f>
        <v>35</v>
      </c>
      <c r="L25" s="3">
        <f>Baupläne!K25</f>
        <v>5</v>
      </c>
      <c r="M25" s="3">
        <f>IF(N25&gt;0,INDEX(data_item!$A$1:$A$1994,MATCH(Baupläne!N25,data_item!$B$1:$B$994,0),1),0)</f>
        <v>111</v>
      </c>
      <c r="N25" s="3">
        <f>Baupläne!M25</f>
        <v>4</v>
      </c>
      <c r="O25" s="3">
        <f>IF(P25&gt;0,INDEX(data_item!$A$1:$A$1994,MATCH(Baupläne!P25,data_item!$B$1:$B$1994,0),1),0)</f>
        <v>0</v>
      </c>
      <c r="P25" s="3">
        <f>Baupläne!O25</f>
        <v>0</v>
      </c>
      <c r="Q25" s="3">
        <f>IF(R25&gt;0,INDEX(data_item!$A$1:$A$1994,MATCH(Baupläne!R25,data_item!$B$1:$B$1994,0),1),0)</f>
        <v>0</v>
      </c>
      <c r="R25" s="3">
        <f>Baupläne!Q25</f>
        <v>0</v>
      </c>
      <c r="S25" s="3">
        <f>IF(T25&gt;0,INDEX(data_item!$A$1:$A$1994,MATCH(Baupläne!T25,data_item!$B$1:$B$1994,0),1),0)</f>
        <v>0</v>
      </c>
      <c r="T25" s="3">
        <f>Baupläne!S25</f>
        <v>0</v>
      </c>
    </row>
    <row r="26" spans="1:20" x14ac:dyDescent="0.2">
      <c r="A26" s="3">
        <f>Baupläne!A26</f>
        <v>0</v>
      </c>
      <c r="B26" s="3">
        <f>Baupläne!C26</f>
        <v>0</v>
      </c>
      <c r="C26" s="3">
        <f>Baupläne!B26</f>
        <v>0</v>
      </c>
      <c r="D26" s="3">
        <f>Baupläne!J26</f>
        <v>0</v>
      </c>
      <c r="E26" s="3">
        <f>Baupläne!H26</f>
        <v>0</v>
      </c>
      <c r="F26" s="3">
        <f>Baupläne!I26</f>
        <v>0</v>
      </c>
      <c r="G26" s="3">
        <f>Baupläne!E26</f>
        <v>0</v>
      </c>
      <c r="H26" s="3">
        <f>Baupläne!F26</f>
        <v>0</v>
      </c>
      <c r="I26" s="3">
        <f>0.5*Baupläne!Y26</f>
        <v>0</v>
      </c>
      <c r="J26" s="3">
        <f>Baupläne!G26</f>
        <v>0</v>
      </c>
      <c r="K26" s="3">
        <f>IF(L26&gt;0,INDEX(data_item!$A$1:$A$1994,MATCH(Baupläne!L26,data_item!$B$1:$B$1994,0),1),0)</f>
        <v>0</v>
      </c>
      <c r="L26" s="3">
        <f>Baupläne!K26</f>
        <v>0</v>
      </c>
      <c r="M26" s="3">
        <f>IF(N26&gt;0,INDEX(data_item!$A$1:$A$1994,MATCH(Baupläne!N26,data_item!$B$1:$B$994,0),1),0)</f>
        <v>0</v>
      </c>
      <c r="N26" s="3">
        <f>Baupläne!M26</f>
        <v>0</v>
      </c>
      <c r="O26" s="3">
        <f>IF(P26&gt;0,INDEX(data_item!$A$1:$A$1994,MATCH(Baupläne!P26,data_item!$B$1:$B$1994,0),1),0)</f>
        <v>0</v>
      </c>
      <c r="P26" s="3">
        <f>Baupläne!O26</f>
        <v>0</v>
      </c>
      <c r="Q26" s="3">
        <f>IF(R26&gt;0,INDEX(data_item!$A$1:$A$1994,MATCH(Baupläne!R26,data_item!$B$1:$B$1994,0),1),0)</f>
        <v>0</v>
      </c>
      <c r="R26" s="3">
        <f>Baupläne!Q26</f>
        <v>0</v>
      </c>
      <c r="S26" s="3">
        <f>IF(T26&gt;0,INDEX(data_item!$A$1:$A$1994,MATCH(Baupläne!T26,data_item!$B$1:$B$1994,0),1),0)</f>
        <v>0</v>
      </c>
      <c r="T26" s="3">
        <f>Baupläne!S26</f>
        <v>0</v>
      </c>
    </row>
    <row r="27" spans="1:20" x14ac:dyDescent="0.2">
      <c r="A27" s="3">
        <f>Baupläne!A27</f>
        <v>46</v>
      </c>
      <c r="B27" s="3" t="str">
        <f>Baupläne!C27</f>
        <v>Weichleder</v>
      </c>
      <c r="C27" s="3">
        <f>Baupläne!B27</f>
        <v>46</v>
      </c>
      <c r="D27" s="3">
        <f>Baupläne!J27</f>
        <v>5</v>
      </c>
      <c r="E27" s="3">
        <f>Baupläne!H27</f>
        <v>54</v>
      </c>
      <c r="F27" s="3">
        <f>Baupläne!I27</f>
        <v>0</v>
      </c>
      <c r="G27" s="3">
        <f>Baupläne!E27</f>
        <v>23</v>
      </c>
      <c r="H27" s="3">
        <f>Baupläne!F27</f>
        <v>60</v>
      </c>
      <c r="I27" s="3">
        <f>0.5*Baupläne!Y27</f>
        <v>150</v>
      </c>
      <c r="J27" s="3">
        <f>Baupläne!G27</f>
        <v>1</v>
      </c>
      <c r="K27" s="3">
        <f>IF(L27&gt;0,INDEX(data_item!$A$1:$A$1994,MATCH(Baupläne!L27,data_item!$B$1:$B$1994,0),1),0)</f>
        <v>41</v>
      </c>
      <c r="L27" s="3">
        <f>Baupläne!K27</f>
        <v>5</v>
      </c>
      <c r="M27" s="3">
        <f>IF(N27&gt;0,INDEX(data_item!$A$1:$A$1994,MATCH(Baupläne!N27,data_item!$B$1:$B$994,0),1),0)</f>
        <v>126</v>
      </c>
      <c r="N27" s="3">
        <f>Baupläne!M27</f>
        <v>1</v>
      </c>
      <c r="O27" s="3">
        <f>IF(P27&gt;0,INDEX(data_item!$A$1:$A$1994,MATCH(Baupläne!P27,data_item!$B$1:$B$1994,0),1),0)</f>
        <v>0</v>
      </c>
      <c r="P27" s="3">
        <f>Baupläne!O27</f>
        <v>0</v>
      </c>
      <c r="Q27" s="3">
        <f>IF(R27&gt;0,INDEX(data_item!$A$1:$A$1994,MATCH(Baupläne!R27,data_item!$B$1:$B$1994,0),1),0)</f>
        <v>0</v>
      </c>
      <c r="R27" s="3">
        <f>Baupläne!Q27</f>
        <v>0</v>
      </c>
      <c r="S27" s="3">
        <f>IF(T27&gt;0,INDEX(data_item!$A$1:$A$1994,MATCH(Baupläne!T27,data_item!$B$1:$B$1994,0),1),0)</f>
        <v>0</v>
      </c>
      <c r="T27" s="3">
        <f>Baupläne!S27</f>
        <v>0</v>
      </c>
    </row>
    <row r="28" spans="1:20" x14ac:dyDescent="0.2">
      <c r="A28" s="3">
        <f>Baupläne!A28</f>
        <v>47</v>
      </c>
      <c r="B28" s="3" t="str">
        <f>Baupläne!C28</f>
        <v>Leder</v>
      </c>
      <c r="C28" s="3">
        <f>Baupläne!B28</f>
        <v>47</v>
      </c>
      <c r="D28" s="3">
        <f>Baupläne!J28</f>
        <v>5</v>
      </c>
      <c r="E28" s="3">
        <f>Baupläne!H28</f>
        <v>54</v>
      </c>
      <c r="F28" s="3">
        <f>Baupläne!I28</f>
        <v>5</v>
      </c>
      <c r="G28" s="3">
        <f>Baupläne!E28</f>
        <v>23</v>
      </c>
      <c r="H28" s="3">
        <f>Baupläne!F28</f>
        <v>60</v>
      </c>
      <c r="I28" s="3">
        <f>0.5*Baupläne!Y28</f>
        <v>300</v>
      </c>
      <c r="J28" s="3">
        <f>Baupläne!G28</f>
        <v>2</v>
      </c>
      <c r="K28" s="3">
        <f>IF(L28&gt;0,INDEX(data_item!$A$1:$A$1994,MATCH(Baupläne!L28,data_item!$B$1:$B$1994,0),1),0)</f>
        <v>42</v>
      </c>
      <c r="L28" s="3">
        <f>Baupläne!K28</f>
        <v>5</v>
      </c>
      <c r="M28" s="3">
        <f>IF(N28&gt;0,INDEX(data_item!$A$1:$A$1994,MATCH(Baupläne!N28,data_item!$B$1:$B$994,0),1),0)</f>
        <v>126</v>
      </c>
      <c r="N28" s="3">
        <f>Baupläne!M28</f>
        <v>2</v>
      </c>
      <c r="O28" s="3">
        <f>IF(P28&gt;0,INDEX(data_item!$A$1:$A$1994,MATCH(Baupläne!P28,data_item!$B$1:$B$1994,0),1),0)</f>
        <v>0</v>
      </c>
      <c r="P28" s="3">
        <f>Baupläne!O28</f>
        <v>0</v>
      </c>
      <c r="Q28" s="3">
        <f>IF(R28&gt;0,INDEX(data_item!$A$1:$A$1994,MATCH(Baupläne!R28,data_item!$B$1:$B$1994,0),1),0)</f>
        <v>0</v>
      </c>
      <c r="R28" s="3">
        <f>Baupläne!Q28</f>
        <v>0</v>
      </c>
      <c r="S28" s="3">
        <f>IF(T28&gt;0,INDEX(data_item!$A$1:$A$1994,MATCH(Baupläne!T28,data_item!$B$1:$B$1994,0),1),0)</f>
        <v>0</v>
      </c>
      <c r="T28" s="3">
        <f>Baupläne!S28</f>
        <v>0</v>
      </c>
    </row>
    <row r="29" spans="1:20" x14ac:dyDescent="0.2">
      <c r="A29" s="3">
        <f>Baupläne!A29</f>
        <v>48</v>
      </c>
      <c r="B29" s="3" t="str">
        <f>Baupläne!C29</f>
        <v>Hartleder</v>
      </c>
      <c r="C29" s="3">
        <f>Baupläne!B29</f>
        <v>48</v>
      </c>
      <c r="D29" s="3">
        <f>Baupläne!J29</f>
        <v>5</v>
      </c>
      <c r="E29" s="3">
        <f>Baupläne!H29</f>
        <v>54</v>
      </c>
      <c r="F29" s="3">
        <f>Baupläne!I29</f>
        <v>10</v>
      </c>
      <c r="G29" s="3">
        <f>Baupläne!E29</f>
        <v>23</v>
      </c>
      <c r="H29" s="3">
        <f>Baupläne!F29</f>
        <v>60</v>
      </c>
      <c r="I29" s="3">
        <f>0.5*Baupläne!Y29</f>
        <v>450</v>
      </c>
      <c r="J29" s="3">
        <f>Baupläne!G29</f>
        <v>3</v>
      </c>
      <c r="K29" s="3">
        <f>IF(L29&gt;0,INDEX(data_item!$A$1:$A$1994,MATCH(Baupläne!L29,data_item!$B$1:$B$1994,0),1),0)</f>
        <v>43</v>
      </c>
      <c r="L29" s="3">
        <f>Baupläne!K29</f>
        <v>5</v>
      </c>
      <c r="M29" s="3">
        <f>IF(N29&gt;0,INDEX(data_item!$A$1:$A$1994,MATCH(Baupläne!N29,data_item!$B$1:$B$994,0),1),0)</f>
        <v>127</v>
      </c>
      <c r="N29" s="3">
        <f>Baupläne!M29</f>
        <v>2</v>
      </c>
      <c r="O29" s="3">
        <f>IF(P29&gt;0,INDEX(data_item!$A$1:$A$1994,MATCH(Baupläne!P29,data_item!$B$1:$B$1994,0),1),0)</f>
        <v>0</v>
      </c>
      <c r="P29" s="3">
        <f>Baupläne!O29</f>
        <v>0</v>
      </c>
      <c r="Q29" s="3">
        <f>IF(R29&gt;0,INDEX(data_item!$A$1:$A$1994,MATCH(Baupläne!R29,data_item!$B$1:$B$1994,0),1),0)</f>
        <v>0</v>
      </c>
      <c r="R29" s="3">
        <f>Baupläne!Q29</f>
        <v>0</v>
      </c>
      <c r="S29" s="3">
        <f>IF(T29&gt;0,INDEX(data_item!$A$1:$A$1994,MATCH(Baupläne!T29,data_item!$B$1:$B$1994,0),1),0)</f>
        <v>0</v>
      </c>
      <c r="T29" s="3">
        <f>Baupläne!S29</f>
        <v>0</v>
      </c>
    </row>
    <row r="30" spans="1:20" x14ac:dyDescent="0.2">
      <c r="A30" s="3">
        <f>Baupläne!A30</f>
        <v>49</v>
      </c>
      <c r="B30" s="3" t="str">
        <f>Baupläne!C30</f>
        <v>Riesenleder</v>
      </c>
      <c r="C30" s="3">
        <f>Baupläne!B30</f>
        <v>49</v>
      </c>
      <c r="D30" s="3">
        <f>Baupläne!J30</f>
        <v>5</v>
      </c>
      <c r="E30" s="3">
        <f>Baupläne!H30</f>
        <v>54</v>
      </c>
      <c r="F30" s="3">
        <f>Baupläne!I30</f>
        <v>15</v>
      </c>
      <c r="G30" s="3">
        <f>Baupläne!E30</f>
        <v>23</v>
      </c>
      <c r="H30" s="3">
        <f>Baupläne!F30</f>
        <v>60</v>
      </c>
      <c r="I30" s="3">
        <f>0.5*Baupläne!Y30</f>
        <v>675</v>
      </c>
      <c r="J30" s="3">
        <f>Baupläne!G30</f>
        <v>4</v>
      </c>
      <c r="K30" s="3">
        <f>IF(L30&gt;0,INDEX(data_item!$A$1:$A$1994,MATCH(Baupläne!L30,data_item!$B$1:$B$1994,0),1),0)</f>
        <v>44</v>
      </c>
      <c r="L30" s="3">
        <f>Baupläne!K30</f>
        <v>5</v>
      </c>
      <c r="M30" s="3">
        <f>IF(N30&gt;0,INDEX(data_item!$A$1:$A$1994,MATCH(Baupläne!N30,data_item!$B$1:$B$994,0),1),0)</f>
        <v>127</v>
      </c>
      <c r="N30" s="3">
        <f>Baupläne!M30</f>
        <v>3</v>
      </c>
      <c r="O30" s="3">
        <f>IF(P30&gt;0,INDEX(data_item!$A$1:$A$1994,MATCH(Baupläne!P30,data_item!$B$1:$B$1994,0),1),0)</f>
        <v>0</v>
      </c>
      <c r="P30" s="3">
        <f>Baupläne!O30</f>
        <v>0</v>
      </c>
      <c r="Q30" s="3">
        <f>IF(R30&gt;0,INDEX(data_item!$A$1:$A$1994,MATCH(Baupläne!R30,data_item!$B$1:$B$1994,0),1),0)</f>
        <v>0</v>
      </c>
      <c r="R30" s="3">
        <f>Baupläne!Q30</f>
        <v>0</v>
      </c>
      <c r="S30" s="3">
        <f>IF(T30&gt;0,INDEX(data_item!$A$1:$A$1994,MATCH(Baupläne!T30,data_item!$B$1:$B$1994,0),1),0)</f>
        <v>0</v>
      </c>
      <c r="T30" s="3">
        <f>Baupläne!S30</f>
        <v>0</v>
      </c>
    </row>
    <row r="31" spans="1:20" x14ac:dyDescent="0.2">
      <c r="A31" s="3">
        <f>Baupläne!A31</f>
        <v>50</v>
      </c>
      <c r="B31" s="3" t="str">
        <f>Baupläne!C31</f>
        <v>Drachenleder</v>
      </c>
      <c r="C31" s="3">
        <f>Baupläne!B31</f>
        <v>50</v>
      </c>
      <c r="D31" s="3">
        <f>Baupläne!J31</f>
        <v>5</v>
      </c>
      <c r="E31" s="3">
        <f>Baupläne!H31</f>
        <v>54</v>
      </c>
      <c r="F31" s="3">
        <f>Baupläne!I31</f>
        <v>20</v>
      </c>
      <c r="G31" s="3">
        <f>Baupläne!E31</f>
        <v>23</v>
      </c>
      <c r="H31" s="3">
        <f>Baupläne!F31</f>
        <v>60</v>
      </c>
      <c r="I31" s="3">
        <f>0.5*Baupläne!Y31</f>
        <v>900</v>
      </c>
      <c r="J31" s="3">
        <f>Baupläne!G31</f>
        <v>5</v>
      </c>
      <c r="K31" s="3">
        <f>IF(L31&gt;0,INDEX(data_item!$A$1:$A$1994,MATCH(Baupläne!L31,data_item!$B$1:$B$1994,0),1),0)</f>
        <v>45</v>
      </c>
      <c r="L31" s="3">
        <f>Baupläne!K31</f>
        <v>5</v>
      </c>
      <c r="M31" s="3">
        <f>IF(N31&gt;0,INDEX(data_item!$A$1:$A$1994,MATCH(Baupläne!N31,data_item!$B$1:$B$994,0),1),0)</f>
        <v>127</v>
      </c>
      <c r="N31" s="3">
        <f>Baupläne!M31</f>
        <v>4</v>
      </c>
      <c r="O31" s="3">
        <f>IF(P31&gt;0,INDEX(data_item!$A$1:$A$1994,MATCH(Baupläne!P31,data_item!$B$1:$B$1994,0),1),0)</f>
        <v>0</v>
      </c>
      <c r="P31" s="3">
        <f>Baupläne!O31</f>
        <v>0</v>
      </c>
      <c r="Q31" s="3">
        <f>IF(R31&gt;0,INDEX(data_item!$A$1:$A$1994,MATCH(Baupläne!R31,data_item!$B$1:$B$1994,0),1),0)</f>
        <v>0</v>
      </c>
      <c r="R31" s="3">
        <f>Baupläne!Q31</f>
        <v>0</v>
      </c>
      <c r="S31" s="3">
        <f>IF(T31&gt;0,INDEX(data_item!$A$1:$A$1994,MATCH(Baupläne!T31,data_item!$B$1:$B$1994,0),1),0)</f>
        <v>0</v>
      </c>
      <c r="T31" s="3">
        <f>Baupläne!S31</f>
        <v>0</v>
      </c>
    </row>
    <row r="32" spans="1:20" x14ac:dyDescent="0.2">
      <c r="A32" s="3">
        <f>Baupläne!A32</f>
        <v>0</v>
      </c>
      <c r="B32" s="3">
        <f>Baupläne!C32</f>
        <v>0</v>
      </c>
      <c r="C32" s="3">
        <f>Baupläne!B32</f>
        <v>0</v>
      </c>
      <c r="D32" s="3">
        <f>Baupläne!J32</f>
        <v>0</v>
      </c>
      <c r="E32" s="3">
        <f>Baupläne!H32</f>
        <v>0</v>
      </c>
      <c r="F32" s="3">
        <f>Baupläne!I32</f>
        <v>0</v>
      </c>
      <c r="G32" s="3">
        <f>Baupläne!E32</f>
        <v>0</v>
      </c>
      <c r="H32" s="3">
        <f>Baupläne!F32</f>
        <v>0</v>
      </c>
      <c r="I32" s="3">
        <f>0.5*Baupläne!Y32</f>
        <v>0</v>
      </c>
      <c r="J32" s="3">
        <f>Baupläne!G32</f>
        <v>0</v>
      </c>
      <c r="K32" s="3">
        <f>IF(L32&gt;0,INDEX(data_item!$A$1:$A$1994,MATCH(Baupläne!L32,data_item!$B$1:$B$1994,0),1),0)</f>
        <v>0</v>
      </c>
      <c r="L32" s="3">
        <f>Baupläne!K32</f>
        <v>0</v>
      </c>
      <c r="M32" s="3">
        <f>IF(N32&gt;0,INDEX(data_item!$A$1:$A$1994,MATCH(Baupläne!N32,data_item!$B$1:$B$994,0),1),0)</f>
        <v>0</v>
      </c>
      <c r="N32" s="3">
        <f>Baupläne!M32</f>
        <v>0</v>
      </c>
      <c r="O32" s="3">
        <f>IF(P32&gt;0,INDEX(data_item!$A$1:$A$1994,MATCH(Baupläne!P32,data_item!$B$1:$B$1994,0),1),0)</f>
        <v>0</v>
      </c>
      <c r="P32" s="3">
        <f>Baupläne!O32</f>
        <v>0</v>
      </c>
      <c r="Q32" s="3">
        <f>IF(R32&gt;0,INDEX(data_item!$A$1:$A$1994,MATCH(Baupläne!R32,data_item!$B$1:$B$1994,0),1),0)</f>
        <v>0</v>
      </c>
      <c r="R32" s="3">
        <f>Baupläne!Q32</f>
        <v>0</v>
      </c>
      <c r="S32" s="3">
        <f>IF(T32&gt;0,INDEX(data_item!$A$1:$A$1994,MATCH(Baupläne!T32,data_item!$B$1:$B$1994,0),1),0)</f>
        <v>0</v>
      </c>
      <c r="T32" s="3">
        <f>Baupläne!S32</f>
        <v>0</v>
      </c>
    </row>
    <row r="33" spans="1:20" x14ac:dyDescent="0.2">
      <c r="A33" s="3">
        <f>Baupläne!A33</f>
        <v>201</v>
      </c>
      <c r="B33" s="3" t="str">
        <f>Baupläne!C33</f>
        <v>Kalk-Mauerstück</v>
      </c>
      <c r="C33" s="3">
        <f>Baupläne!B33</f>
        <v>201</v>
      </c>
      <c r="D33" s="3">
        <f>Baupläne!J33</f>
        <v>1</v>
      </c>
      <c r="E33" s="3">
        <f>Baupläne!H33</f>
        <v>55</v>
      </c>
      <c r="F33" s="3">
        <f>Baupläne!I33</f>
        <v>0</v>
      </c>
      <c r="G33" s="3">
        <f>Baupläne!E33</f>
        <v>35</v>
      </c>
      <c r="H33" s="3">
        <f>Baupläne!F33</f>
        <v>180</v>
      </c>
      <c r="I33" s="3">
        <f>0.5*Baupläne!Y33</f>
        <v>1300</v>
      </c>
      <c r="J33" s="3">
        <f>Baupläne!G33</f>
        <v>1</v>
      </c>
      <c r="K33" s="3">
        <f>IF(L33&gt;0,INDEX(data_item!$A$1:$A$1994,MATCH(Baupläne!L33,data_item!$B$1:$B$1994,0),1),0)</f>
        <v>16</v>
      </c>
      <c r="L33" s="3">
        <f>Baupläne!K33</f>
        <v>8</v>
      </c>
      <c r="M33" s="3">
        <f>IF(N33&gt;0,INDEX(data_item!$A$1:$A$1994,MATCH(Baupläne!N33,data_item!$B$1:$B$994,0),1),0)</f>
        <v>26</v>
      </c>
      <c r="N33" s="3">
        <f>Baupläne!M33</f>
        <v>6</v>
      </c>
      <c r="O33" s="3">
        <f>IF(P33&gt;0,INDEX(data_item!$A$1:$A$1994,MATCH(Baupläne!P33,data_item!$B$1:$B$1994,0),1),0)</f>
        <v>128</v>
      </c>
      <c r="P33" s="3">
        <f>Baupläne!O33</f>
        <v>11</v>
      </c>
      <c r="Q33" s="3">
        <f>IF(R33&gt;0,INDEX(data_item!$A$1:$A$1994,MATCH(Baupläne!R33,data_item!$B$1:$B$1994,0),1),0)</f>
        <v>0</v>
      </c>
      <c r="R33" s="3">
        <f>Baupläne!Q33</f>
        <v>0</v>
      </c>
      <c r="S33" s="3">
        <f>IF(T33&gt;0,INDEX(data_item!$A$1:$A$1994,MATCH(Baupläne!T33,data_item!$B$1:$B$1994,0),1),0)</f>
        <v>0</v>
      </c>
      <c r="T33" s="3">
        <f>Baupläne!S33</f>
        <v>0</v>
      </c>
    </row>
    <row r="34" spans="1:20" x14ac:dyDescent="0.2">
      <c r="A34" s="3">
        <f>Baupläne!A34</f>
        <v>202</v>
      </c>
      <c r="B34" s="3" t="str">
        <f>Baupläne!C34</f>
        <v>Kalk-Bodenplatte</v>
      </c>
      <c r="C34" s="3">
        <f>Baupläne!B34</f>
        <v>202</v>
      </c>
      <c r="D34" s="3">
        <f>Baupläne!J34</f>
        <v>1</v>
      </c>
      <c r="E34" s="3">
        <f>Baupläne!H34</f>
        <v>55</v>
      </c>
      <c r="F34" s="3">
        <f>Baupläne!I34</f>
        <v>0</v>
      </c>
      <c r="G34" s="3">
        <f>Baupläne!E34</f>
        <v>35</v>
      </c>
      <c r="H34" s="3">
        <f>Baupläne!F34</f>
        <v>150</v>
      </c>
      <c r="I34" s="3">
        <f>0.5*Baupläne!Y34</f>
        <v>1100</v>
      </c>
      <c r="J34" s="3">
        <f>Baupläne!G34</f>
        <v>1</v>
      </c>
      <c r="K34" s="3">
        <f>IF(L34&gt;0,INDEX(data_item!$A$1:$A$1994,MATCH(Baupläne!L34,data_item!$B$1:$B$1994,0),1),0)</f>
        <v>16</v>
      </c>
      <c r="L34" s="3">
        <f>Baupläne!K34</f>
        <v>12</v>
      </c>
      <c r="M34" s="3">
        <f>IF(N34&gt;0,INDEX(data_item!$A$1:$A$1994,MATCH(Baupläne!N34,data_item!$B$1:$B$994,0),1),0)</f>
        <v>0</v>
      </c>
      <c r="N34" s="3">
        <f>Baupläne!M34</f>
        <v>0</v>
      </c>
      <c r="O34" s="3">
        <f>IF(P34&gt;0,INDEX(data_item!$A$1:$A$1994,MATCH(Baupläne!P34,data_item!$B$1:$B$1994,0),1),0)</f>
        <v>128</v>
      </c>
      <c r="P34" s="3">
        <f>Baupläne!O34</f>
        <v>9</v>
      </c>
      <c r="Q34" s="3">
        <f>IF(R34&gt;0,INDEX(data_item!$A$1:$A$1994,MATCH(Baupläne!R34,data_item!$B$1:$B$1994,0),1),0)</f>
        <v>0</v>
      </c>
      <c r="R34" s="3">
        <f>Baupläne!Q34</f>
        <v>0</v>
      </c>
      <c r="S34" s="3">
        <f>IF(T34&gt;0,INDEX(data_item!$A$1:$A$1994,MATCH(Baupläne!T34,data_item!$B$1:$B$1994,0),1),0)</f>
        <v>0</v>
      </c>
      <c r="T34" s="3">
        <f>Baupläne!S34</f>
        <v>0</v>
      </c>
    </row>
    <row r="35" spans="1:20" x14ac:dyDescent="0.2">
      <c r="A35" s="3">
        <f>Baupläne!A35</f>
        <v>203</v>
      </c>
      <c r="B35" s="3" t="str">
        <f>Baupläne!C35</f>
        <v>Buchen-Dachkonstrukt</v>
      </c>
      <c r="C35" s="3">
        <f>Baupläne!B35</f>
        <v>203</v>
      </c>
      <c r="D35" s="3">
        <f>Baupläne!J35</f>
        <v>1</v>
      </c>
      <c r="E35" s="3">
        <f>Baupläne!H35</f>
        <v>55</v>
      </c>
      <c r="F35" s="3">
        <f>Baupläne!I35</f>
        <v>0</v>
      </c>
      <c r="G35" s="3">
        <f>Baupläne!E35</f>
        <v>35</v>
      </c>
      <c r="H35" s="3">
        <f>Baupläne!F35</f>
        <v>210</v>
      </c>
      <c r="I35" s="3">
        <f>0.5*Baupläne!Y35</f>
        <v>1600</v>
      </c>
      <c r="J35" s="3">
        <f>Baupläne!G35</f>
        <v>1</v>
      </c>
      <c r="K35" s="3">
        <f>IF(L35&gt;0,INDEX(data_item!$A$1:$A$1994,MATCH(Baupläne!L35,data_item!$B$1:$B$1994,0),1),0)</f>
        <v>16</v>
      </c>
      <c r="L35" s="3">
        <f>Baupläne!K35</f>
        <v>4</v>
      </c>
      <c r="M35" s="3">
        <f>IF(N35&gt;0,INDEX(data_item!$A$1:$A$1994,MATCH(Baupläne!N35,data_item!$B$1:$B$994,0),1),0)</f>
        <v>26</v>
      </c>
      <c r="N35" s="3">
        <f>Baupläne!M35</f>
        <v>14</v>
      </c>
      <c r="O35" s="3">
        <f>IF(P35&gt;0,INDEX(data_item!$A$1:$A$1994,MATCH(Baupläne!P35,data_item!$B$1:$B$1994,0),1),0)</f>
        <v>108</v>
      </c>
      <c r="P35" s="3">
        <f>Baupläne!O35</f>
        <v>11</v>
      </c>
      <c r="Q35" s="3">
        <f>IF(R35&gt;0,INDEX(data_item!$A$1:$A$1994,MATCH(Baupläne!R35,data_item!$B$1:$B$1994,0),1),0)</f>
        <v>0</v>
      </c>
      <c r="R35" s="3">
        <f>Baupläne!Q35</f>
        <v>0</v>
      </c>
      <c r="S35" s="3">
        <f>IF(T35&gt;0,INDEX(data_item!$A$1:$A$1994,MATCH(Baupläne!T35,data_item!$B$1:$B$1994,0),1),0)</f>
        <v>0</v>
      </c>
      <c r="T35" s="3">
        <f>Baupläne!S35</f>
        <v>0</v>
      </c>
    </row>
    <row r="36" spans="1:20" x14ac:dyDescent="0.2">
      <c r="A36" s="3">
        <f>Baupläne!A36</f>
        <v>204</v>
      </c>
      <c r="B36" s="3" t="str">
        <f>Baupläne!C36</f>
        <v>Buchen-Stützbalken</v>
      </c>
      <c r="C36" s="3">
        <f>Baupläne!B36</f>
        <v>204</v>
      </c>
      <c r="D36" s="3">
        <f>Baupläne!J36</f>
        <v>1</v>
      </c>
      <c r="E36" s="3">
        <f>Baupläne!H36</f>
        <v>55</v>
      </c>
      <c r="F36" s="3">
        <f>Baupläne!I36</f>
        <v>0</v>
      </c>
      <c r="G36" s="3">
        <f>Baupläne!E36</f>
        <v>35</v>
      </c>
      <c r="H36" s="3">
        <f>Baupläne!F36</f>
        <v>210</v>
      </c>
      <c r="I36" s="3">
        <f>0.5*Baupläne!Y36</f>
        <v>900</v>
      </c>
      <c r="J36" s="3">
        <f>Baupläne!G36</f>
        <v>1</v>
      </c>
      <c r="K36" s="3">
        <f>IF(L36&gt;0,INDEX(data_item!$A$1:$A$1994,MATCH(Baupläne!L36,data_item!$B$1:$B$1994,0),1),0)</f>
        <v>0</v>
      </c>
      <c r="L36" s="3">
        <f>Baupläne!K36</f>
        <v>0</v>
      </c>
      <c r="M36" s="3">
        <f>IF(N36&gt;0,INDEX(data_item!$A$1:$A$1994,MATCH(Baupläne!N36,data_item!$B$1:$B$994,0),1),0)</f>
        <v>26</v>
      </c>
      <c r="N36" s="3">
        <f>Baupläne!M36</f>
        <v>10</v>
      </c>
      <c r="O36" s="3">
        <f>IF(P36&gt;0,INDEX(data_item!$A$1:$A$1994,MATCH(Baupläne!P36,data_item!$B$1:$B$1994,0),1),0)</f>
        <v>108</v>
      </c>
      <c r="P36" s="3">
        <f>Baupläne!O36</f>
        <v>6</v>
      </c>
      <c r="Q36" s="3">
        <f>IF(R36&gt;0,INDEX(data_item!$A$1:$A$1994,MATCH(Baupläne!R36,data_item!$B$1:$B$1994,0),1),0)</f>
        <v>0</v>
      </c>
      <c r="R36" s="3">
        <f>Baupläne!Q36</f>
        <v>0</v>
      </c>
      <c r="S36" s="3">
        <f>IF(T36&gt;0,INDEX(data_item!$A$1:$A$1994,MATCH(Baupläne!T36,data_item!$B$1:$B$1994,0),1),0)</f>
        <v>0</v>
      </c>
      <c r="T36" s="3">
        <f>Baupläne!S36</f>
        <v>0</v>
      </c>
    </row>
    <row r="37" spans="1:20" x14ac:dyDescent="0.2">
      <c r="A37" s="3">
        <f>Baupläne!A37</f>
        <v>0</v>
      </c>
      <c r="B37" s="3">
        <f>Baupläne!C37</f>
        <v>0</v>
      </c>
      <c r="C37" s="3">
        <f>Baupläne!B37</f>
        <v>0</v>
      </c>
      <c r="D37" s="3">
        <f>Baupläne!J37</f>
        <v>0</v>
      </c>
      <c r="E37" s="3">
        <f>Baupläne!H37</f>
        <v>0</v>
      </c>
      <c r="F37" s="3">
        <f>Baupläne!I37</f>
        <v>0</v>
      </c>
      <c r="G37" s="3">
        <f>Baupläne!E37</f>
        <v>0</v>
      </c>
      <c r="H37" s="3">
        <f>Baupläne!F37</f>
        <v>0</v>
      </c>
      <c r="I37" s="3">
        <f>0.5*Baupläne!Y37</f>
        <v>0</v>
      </c>
      <c r="J37" s="3">
        <f>Baupläne!G37</f>
        <v>0</v>
      </c>
      <c r="K37" s="3">
        <f>IF(L37&gt;0,INDEX(data_item!$A$1:$A$1994,MATCH(Baupläne!L37,data_item!$B$1:$B$1994,0),1),0)</f>
        <v>0</v>
      </c>
      <c r="L37" s="3">
        <f>Baupläne!K37</f>
        <v>0</v>
      </c>
      <c r="M37" s="3">
        <f>IF(N37&gt;0,INDEX(data_item!$A$1:$A$1994,MATCH(Baupläne!N37,data_item!$B$1:$B$994,0),1),0)</f>
        <v>0</v>
      </c>
      <c r="N37" s="3">
        <f>Baupläne!M37</f>
        <v>0</v>
      </c>
      <c r="O37" s="3">
        <f>IF(P37&gt;0,INDEX(data_item!$A$1:$A$1994,MATCH(Baupläne!P37,data_item!$B$1:$B$1994,0),1),0)</f>
        <v>0</v>
      </c>
      <c r="P37" s="3">
        <f>Baupläne!O37</f>
        <v>0</v>
      </c>
      <c r="Q37" s="3">
        <f>IF(R37&gt;0,INDEX(data_item!$A$1:$A$1994,MATCH(Baupläne!R37,data_item!$B$1:$B$1994,0),1),0)</f>
        <v>0</v>
      </c>
      <c r="R37" s="3">
        <f>Baupläne!Q37</f>
        <v>0</v>
      </c>
      <c r="S37" s="3">
        <f>IF(T37&gt;0,INDEX(data_item!$A$1:$A$1994,MATCH(Baupläne!T37,data_item!$B$1:$B$1994,0),1),0)</f>
        <v>0</v>
      </c>
      <c r="T37" s="3">
        <f>Baupläne!S37</f>
        <v>0</v>
      </c>
    </row>
    <row r="38" spans="1:20" x14ac:dyDescent="0.2">
      <c r="A38" s="3">
        <f>Baupläne!A38</f>
        <v>211</v>
      </c>
      <c r="B38" s="3" t="str">
        <f>Baupläne!C38</f>
        <v>Sand-Mauerstück</v>
      </c>
      <c r="C38" s="3">
        <f>Baupläne!B38</f>
        <v>211</v>
      </c>
      <c r="D38" s="3">
        <f>Baupläne!J38</f>
        <v>1</v>
      </c>
      <c r="E38" s="3">
        <f>Baupläne!H38</f>
        <v>55</v>
      </c>
      <c r="F38" s="3">
        <f>Baupläne!I38</f>
        <v>5</v>
      </c>
      <c r="G38" s="3">
        <f>Baupläne!E38</f>
        <v>35</v>
      </c>
      <c r="H38" s="3">
        <f>Baupläne!F38</f>
        <v>180</v>
      </c>
      <c r="I38" s="3">
        <f>0.5*Baupläne!Y38</f>
        <v>2600</v>
      </c>
      <c r="J38" s="3">
        <f>Baupläne!G38</f>
        <v>2</v>
      </c>
      <c r="K38" s="3">
        <f>IF(L38&gt;0,INDEX(data_item!$A$1:$A$1994,MATCH(Baupläne!L38,data_item!$B$1:$B$1994,0),1),0)</f>
        <v>17</v>
      </c>
      <c r="L38" s="3">
        <f>Baupläne!K38</f>
        <v>8</v>
      </c>
      <c r="M38" s="3">
        <f>IF(N38&gt;0,INDEX(data_item!$A$1:$A$1994,MATCH(Baupläne!N38,data_item!$B$1:$B$994,0),1),0)</f>
        <v>27</v>
      </c>
      <c r="N38" s="3">
        <f>Baupläne!M38</f>
        <v>6</v>
      </c>
      <c r="O38" s="3">
        <f>IF(P38&gt;0,INDEX(data_item!$A$1:$A$1994,MATCH(Baupläne!P38,data_item!$B$1:$B$1994,0),1),0)</f>
        <v>128</v>
      </c>
      <c r="P38" s="3">
        <f>Baupläne!O38</f>
        <v>22</v>
      </c>
      <c r="Q38" s="3">
        <f>IF(R38&gt;0,INDEX(data_item!$A$1:$A$1994,MATCH(Baupläne!R38,data_item!$B$1:$B$1994,0),1),0)</f>
        <v>0</v>
      </c>
      <c r="R38" s="3">
        <f>Baupläne!Q38</f>
        <v>0</v>
      </c>
      <c r="S38" s="3">
        <f>IF(T38&gt;0,INDEX(data_item!$A$1:$A$1994,MATCH(Baupläne!T38,data_item!$B$1:$B$1994,0),1),0)</f>
        <v>0</v>
      </c>
      <c r="T38" s="3">
        <f>Baupläne!S38</f>
        <v>0</v>
      </c>
    </row>
    <row r="39" spans="1:20" x14ac:dyDescent="0.2">
      <c r="A39" s="3">
        <f>Baupläne!A39</f>
        <v>212</v>
      </c>
      <c r="B39" s="3" t="str">
        <f>Baupläne!C39</f>
        <v>Sand-Bodenplatte</v>
      </c>
      <c r="C39" s="3">
        <f>Baupläne!B39</f>
        <v>212</v>
      </c>
      <c r="D39" s="3">
        <f>Baupläne!J39</f>
        <v>1</v>
      </c>
      <c r="E39" s="3">
        <f>Baupläne!H39</f>
        <v>55</v>
      </c>
      <c r="F39" s="3">
        <f>Baupläne!I39</f>
        <v>5</v>
      </c>
      <c r="G39" s="3">
        <f>Baupläne!E39</f>
        <v>35</v>
      </c>
      <c r="H39" s="3">
        <f>Baupläne!F39</f>
        <v>150</v>
      </c>
      <c r="I39" s="3">
        <f>0.5*Baupläne!Y39</f>
        <v>2200</v>
      </c>
      <c r="J39" s="3">
        <f>Baupläne!G39</f>
        <v>2</v>
      </c>
      <c r="K39" s="3">
        <f>IF(L39&gt;0,INDEX(data_item!$A$1:$A$1994,MATCH(Baupläne!L39,data_item!$B$1:$B$1994,0),1),0)</f>
        <v>17</v>
      </c>
      <c r="L39" s="3">
        <f>Baupläne!K39</f>
        <v>12</v>
      </c>
      <c r="M39" s="3">
        <f>IF(N39&gt;0,INDEX(data_item!$A$1:$A$1994,MATCH(Baupläne!N39,data_item!$B$1:$B$994,0),1),0)</f>
        <v>0</v>
      </c>
      <c r="N39" s="3">
        <f>Baupläne!M39</f>
        <v>0</v>
      </c>
      <c r="O39" s="3">
        <f>IF(P39&gt;0,INDEX(data_item!$A$1:$A$1994,MATCH(Baupläne!P39,data_item!$B$1:$B$1994,0),1),0)</f>
        <v>128</v>
      </c>
      <c r="P39" s="3">
        <f>Baupläne!O39</f>
        <v>18</v>
      </c>
      <c r="Q39" s="3">
        <f>IF(R39&gt;0,INDEX(data_item!$A$1:$A$1994,MATCH(Baupläne!R39,data_item!$B$1:$B$1994,0),1),0)</f>
        <v>0</v>
      </c>
      <c r="R39" s="3">
        <f>Baupläne!Q39</f>
        <v>0</v>
      </c>
      <c r="S39" s="3">
        <f>IF(T39&gt;0,INDEX(data_item!$A$1:$A$1994,MATCH(Baupläne!T39,data_item!$B$1:$B$1994,0),1),0)</f>
        <v>0</v>
      </c>
      <c r="T39" s="3">
        <f>Baupläne!S39</f>
        <v>0</v>
      </c>
    </row>
    <row r="40" spans="1:20" x14ac:dyDescent="0.2">
      <c r="A40" s="3">
        <f>Baupläne!A40</f>
        <v>213</v>
      </c>
      <c r="B40" s="3" t="str">
        <f>Baupläne!C40</f>
        <v>Birken-Dachkonstrukt</v>
      </c>
      <c r="C40" s="3">
        <f>Baupläne!B40</f>
        <v>213</v>
      </c>
      <c r="D40" s="3">
        <f>Baupläne!J40</f>
        <v>1</v>
      </c>
      <c r="E40" s="3">
        <f>Baupläne!H40</f>
        <v>55</v>
      </c>
      <c r="F40" s="3">
        <f>Baupläne!I40</f>
        <v>5</v>
      </c>
      <c r="G40" s="3">
        <f>Baupläne!E40</f>
        <v>35</v>
      </c>
      <c r="H40" s="3">
        <f>Baupläne!F40</f>
        <v>210</v>
      </c>
      <c r="I40" s="3">
        <f>0.5*Baupläne!Y40</f>
        <v>3200</v>
      </c>
      <c r="J40" s="3">
        <f>Baupläne!G40</f>
        <v>2</v>
      </c>
      <c r="K40" s="3">
        <f>IF(L40&gt;0,INDEX(data_item!$A$1:$A$1994,MATCH(Baupläne!L40,data_item!$B$1:$B$1994,0),1),0)</f>
        <v>17</v>
      </c>
      <c r="L40" s="3">
        <f>Baupläne!K40</f>
        <v>4</v>
      </c>
      <c r="M40" s="3">
        <f>IF(N40&gt;0,INDEX(data_item!$A$1:$A$1994,MATCH(Baupläne!N40,data_item!$B$1:$B$994,0),1),0)</f>
        <v>27</v>
      </c>
      <c r="N40" s="3">
        <f>Baupläne!M40</f>
        <v>14</v>
      </c>
      <c r="O40" s="3">
        <f>IF(P40&gt;0,INDEX(data_item!$A$1:$A$1994,MATCH(Baupläne!P40,data_item!$B$1:$B$1994,0),1),0)</f>
        <v>108</v>
      </c>
      <c r="P40" s="3">
        <f>Baupläne!O40</f>
        <v>22</v>
      </c>
      <c r="Q40" s="3">
        <f>IF(R40&gt;0,INDEX(data_item!$A$1:$A$1994,MATCH(Baupläne!R40,data_item!$B$1:$B$1994,0),1),0)</f>
        <v>0</v>
      </c>
      <c r="R40" s="3">
        <f>Baupläne!Q40</f>
        <v>0</v>
      </c>
      <c r="S40" s="3">
        <f>IF(T40&gt;0,INDEX(data_item!$A$1:$A$1994,MATCH(Baupläne!T40,data_item!$B$1:$B$1994,0),1),0)</f>
        <v>0</v>
      </c>
      <c r="T40" s="3">
        <f>Baupläne!S40</f>
        <v>0</v>
      </c>
    </row>
    <row r="41" spans="1:20" x14ac:dyDescent="0.2">
      <c r="A41" s="3">
        <f>Baupläne!A41</f>
        <v>214</v>
      </c>
      <c r="B41" s="3" t="str">
        <f>Baupläne!C41</f>
        <v>Birken-Stützbalken</v>
      </c>
      <c r="C41" s="3">
        <f>Baupläne!B41</f>
        <v>214</v>
      </c>
      <c r="D41" s="3">
        <f>Baupläne!J41</f>
        <v>1</v>
      </c>
      <c r="E41" s="3">
        <f>Baupläne!H41</f>
        <v>55</v>
      </c>
      <c r="F41" s="3">
        <f>Baupläne!I41</f>
        <v>5</v>
      </c>
      <c r="G41" s="3">
        <f>Baupläne!E41</f>
        <v>35</v>
      </c>
      <c r="H41" s="3">
        <f>Baupläne!F41</f>
        <v>210</v>
      </c>
      <c r="I41" s="3">
        <f>0.5*Baupläne!Y41</f>
        <v>1800</v>
      </c>
      <c r="J41" s="3">
        <f>Baupläne!G41</f>
        <v>2</v>
      </c>
      <c r="K41" s="3">
        <f>IF(L41&gt;0,INDEX(data_item!$A$1:$A$1994,MATCH(Baupläne!L41,data_item!$B$1:$B$1994,0),1),0)</f>
        <v>0</v>
      </c>
      <c r="L41" s="3">
        <f>Baupläne!K41</f>
        <v>0</v>
      </c>
      <c r="M41" s="3">
        <f>IF(N41&gt;0,INDEX(data_item!$A$1:$A$1994,MATCH(Baupläne!N41,data_item!$B$1:$B$994,0),1),0)</f>
        <v>27</v>
      </c>
      <c r="N41" s="3">
        <f>Baupläne!M41</f>
        <v>10</v>
      </c>
      <c r="O41" s="3">
        <f>IF(P41&gt;0,INDEX(data_item!$A$1:$A$1994,MATCH(Baupläne!P41,data_item!$B$1:$B$1994,0),1),0)</f>
        <v>108</v>
      </c>
      <c r="P41" s="3">
        <f>Baupläne!O41</f>
        <v>12</v>
      </c>
      <c r="Q41" s="3">
        <f>IF(R41&gt;0,INDEX(data_item!$A$1:$A$1994,MATCH(Baupläne!R41,data_item!$B$1:$B$1994,0),1),0)</f>
        <v>0</v>
      </c>
      <c r="R41" s="3">
        <f>Baupläne!Q41</f>
        <v>0</v>
      </c>
      <c r="S41" s="3">
        <f>IF(T41&gt;0,INDEX(data_item!$A$1:$A$1994,MATCH(Baupläne!T41,data_item!$B$1:$B$1994,0),1),0)</f>
        <v>0</v>
      </c>
      <c r="T41" s="3">
        <f>Baupläne!S41</f>
        <v>0</v>
      </c>
    </row>
    <row r="42" spans="1:20" x14ac:dyDescent="0.2">
      <c r="A42" s="3">
        <f>Baupläne!A42</f>
        <v>0</v>
      </c>
      <c r="B42" s="3">
        <f>Baupläne!C42</f>
        <v>0</v>
      </c>
      <c r="C42" s="3">
        <f>Baupläne!B42</f>
        <v>0</v>
      </c>
      <c r="D42" s="3">
        <f>Baupläne!J42</f>
        <v>0</v>
      </c>
      <c r="E42" s="3">
        <f>Baupläne!H42</f>
        <v>0</v>
      </c>
      <c r="F42" s="3">
        <f>Baupläne!I42</f>
        <v>0</v>
      </c>
      <c r="G42" s="3">
        <f>Baupläne!E42</f>
        <v>0</v>
      </c>
      <c r="H42" s="3">
        <f>Baupläne!F42</f>
        <v>0</v>
      </c>
      <c r="I42" s="3">
        <f>0.5*Baupläne!Y42</f>
        <v>0</v>
      </c>
      <c r="J42" s="3">
        <f>Baupläne!G42</f>
        <v>0</v>
      </c>
      <c r="K42" s="3">
        <f>IF(L42&gt;0,INDEX(data_item!$A$1:$A$1994,MATCH(Baupläne!L42,data_item!$B$1:$B$1994,0),1),0)</f>
        <v>0</v>
      </c>
      <c r="L42" s="3">
        <f>Baupläne!K42</f>
        <v>0</v>
      </c>
      <c r="M42" s="3">
        <f>IF(N42&gt;0,INDEX(data_item!$A$1:$A$1994,MATCH(Baupläne!N42,data_item!$B$1:$B$994,0),1),0)</f>
        <v>0</v>
      </c>
      <c r="N42" s="3">
        <f>Baupläne!M42</f>
        <v>0</v>
      </c>
      <c r="O42" s="3">
        <f>IF(P42&gt;0,INDEX(data_item!$A$1:$A$1994,MATCH(Baupläne!P42,data_item!$B$1:$B$1994,0),1),0)</f>
        <v>0</v>
      </c>
      <c r="P42" s="3">
        <f>Baupläne!O42</f>
        <v>0</v>
      </c>
      <c r="Q42" s="3">
        <f>IF(R42&gt;0,INDEX(data_item!$A$1:$A$1994,MATCH(Baupläne!R42,data_item!$B$1:$B$1994,0),1),0)</f>
        <v>0</v>
      </c>
      <c r="R42" s="3">
        <f>Baupläne!Q42</f>
        <v>0</v>
      </c>
      <c r="S42" s="3">
        <f>IF(T42&gt;0,INDEX(data_item!$A$1:$A$1994,MATCH(Baupläne!T42,data_item!$B$1:$B$1994,0),1),0)</f>
        <v>0</v>
      </c>
      <c r="T42" s="3">
        <f>Baupläne!S42</f>
        <v>0</v>
      </c>
    </row>
    <row r="43" spans="1:20" x14ac:dyDescent="0.2">
      <c r="A43" s="3">
        <f>Baupläne!A43</f>
        <v>221</v>
      </c>
      <c r="B43" s="3" t="str">
        <f>Baupläne!C43</f>
        <v>Schiefer-Mauerstück</v>
      </c>
      <c r="C43" s="3">
        <f>Baupläne!B43</f>
        <v>221</v>
      </c>
      <c r="D43" s="3">
        <f>Baupläne!J43</f>
        <v>1</v>
      </c>
      <c r="E43" s="3">
        <f>Baupläne!H43</f>
        <v>55</v>
      </c>
      <c r="F43" s="3">
        <f>Baupläne!I43</f>
        <v>10</v>
      </c>
      <c r="G43" s="3">
        <f>Baupläne!E43</f>
        <v>35</v>
      </c>
      <c r="H43" s="3">
        <f>Baupläne!F43</f>
        <v>180</v>
      </c>
      <c r="I43" s="3">
        <f>0.5*Baupläne!Y43</f>
        <v>5200</v>
      </c>
      <c r="J43" s="3">
        <f>Baupläne!G43</f>
        <v>3</v>
      </c>
      <c r="K43" s="3">
        <f>IF(L43&gt;0,INDEX(data_item!$A$1:$A$1994,MATCH(Baupläne!L43,data_item!$B$1:$B$1994,0),1),0)</f>
        <v>18</v>
      </c>
      <c r="L43" s="3">
        <f>Baupläne!K43</f>
        <v>12</v>
      </c>
      <c r="M43" s="3">
        <f>IF(N43&gt;0,INDEX(data_item!$A$1:$A$1994,MATCH(Baupläne!N43,data_item!$B$1:$B$994,0),1),0)</f>
        <v>28</v>
      </c>
      <c r="N43" s="3">
        <f>Baupläne!M43</f>
        <v>7</v>
      </c>
      <c r="O43" s="3">
        <f>IF(P43&gt;0,INDEX(data_item!$A$1:$A$1994,MATCH(Baupläne!P43,data_item!$B$1:$B$1994,0),1),0)</f>
        <v>129</v>
      </c>
      <c r="P43" s="3">
        <f>Baupläne!O43</f>
        <v>19</v>
      </c>
      <c r="Q43" s="3">
        <f>IF(R43&gt;0,INDEX(data_item!$A$1:$A$1994,MATCH(Baupläne!R43,data_item!$B$1:$B$1994,0),1),0)</f>
        <v>0</v>
      </c>
      <c r="R43" s="3">
        <f>Baupläne!Q43</f>
        <v>0</v>
      </c>
      <c r="S43" s="3">
        <f>IF(T43&gt;0,INDEX(data_item!$A$1:$A$1994,MATCH(Baupläne!T43,data_item!$B$1:$B$1994,0),1),0)</f>
        <v>0</v>
      </c>
      <c r="T43" s="3">
        <f>Baupläne!S43</f>
        <v>0</v>
      </c>
    </row>
    <row r="44" spans="1:20" x14ac:dyDescent="0.2">
      <c r="A44" s="3">
        <f>Baupläne!A44</f>
        <v>222</v>
      </c>
      <c r="B44" s="3" t="str">
        <f>Baupläne!C44</f>
        <v>Schiefer-Bodenplatte</v>
      </c>
      <c r="C44" s="3">
        <f>Baupläne!B44</f>
        <v>222</v>
      </c>
      <c r="D44" s="3">
        <f>Baupläne!J44</f>
        <v>1</v>
      </c>
      <c r="E44" s="3">
        <f>Baupläne!H44</f>
        <v>55</v>
      </c>
      <c r="F44" s="3">
        <f>Baupläne!I44</f>
        <v>10</v>
      </c>
      <c r="G44" s="3">
        <f>Baupläne!E44</f>
        <v>35</v>
      </c>
      <c r="H44" s="3">
        <f>Baupläne!F44</f>
        <v>150</v>
      </c>
      <c r="I44" s="3">
        <f>0.5*Baupläne!Y44</f>
        <v>4400</v>
      </c>
      <c r="J44" s="3">
        <f>Baupläne!G44</f>
        <v>3</v>
      </c>
      <c r="K44" s="3">
        <f>IF(L44&gt;0,INDEX(data_item!$A$1:$A$1994,MATCH(Baupläne!L44,data_item!$B$1:$B$1994,0),1),0)</f>
        <v>18</v>
      </c>
      <c r="L44" s="3">
        <f>Baupläne!K44</f>
        <v>16</v>
      </c>
      <c r="M44" s="3">
        <f>IF(N44&gt;0,INDEX(data_item!$A$1:$A$1994,MATCH(Baupläne!N44,data_item!$B$1:$B$994,0),1),0)</f>
        <v>0</v>
      </c>
      <c r="N44" s="3">
        <f>Baupläne!M44</f>
        <v>0</v>
      </c>
      <c r="O44" s="3">
        <f>IF(P44&gt;0,INDEX(data_item!$A$1:$A$1994,MATCH(Baupläne!P44,data_item!$B$1:$B$1994,0),1),0)</f>
        <v>129</v>
      </c>
      <c r="P44" s="3">
        <f>Baupläne!O44</f>
        <v>16</v>
      </c>
      <c r="Q44" s="3">
        <f>IF(R44&gt;0,INDEX(data_item!$A$1:$A$1994,MATCH(Baupläne!R44,data_item!$B$1:$B$1994,0),1),0)</f>
        <v>0</v>
      </c>
      <c r="R44" s="3">
        <f>Baupläne!Q44</f>
        <v>0</v>
      </c>
      <c r="S44" s="3">
        <f>IF(T44&gt;0,INDEX(data_item!$A$1:$A$1994,MATCH(Baupläne!T44,data_item!$B$1:$B$1994,0),1),0)</f>
        <v>0</v>
      </c>
      <c r="T44" s="3">
        <f>Baupläne!S44</f>
        <v>0</v>
      </c>
    </row>
    <row r="45" spans="1:20" x14ac:dyDescent="0.2">
      <c r="A45" s="3">
        <f>Baupläne!A45</f>
        <v>223</v>
      </c>
      <c r="B45" s="3" t="str">
        <f>Baupläne!C45</f>
        <v>Eichen-Dachkonstrukt</v>
      </c>
      <c r="C45" s="3">
        <f>Baupläne!B45</f>
        <v>223</v>
      </c>
      <c r="D45" s="3">
        <f>Baupläne!J45</f>
        <v>1</v>
      </c>
      <c r="E45" s="3">
        <f>Baupläne!H45</f>
        <v>55</v>
      </c>
      <c r="F45" s="3">
        <f>Baupläne!I45</f>
        <v>10</v>
      </c>
      <c r="G45" s="3">
        <f>Baupläne!E45</f>
        <v>35</v>
      </c>
      <c r="H45" s="3">
        <f>Baupläne!F45</f>
        <v>210</v>
      </c>
      <c r="I45" s="3">
        <f>0.5*Baupläne!Y45</f>
        <v>6400</v>
      </c>
      <c r="J45" s="3">
        <f>Baupläne!G45</f>
        <v>3</v>
      </c>
      <c r="K45" s="3">
        <f>IF(L45&gt;0,INDEX(data_item!$A$1:$A$1994,MATCH(Baupläne!L45,data_item!$B$1:$B$1994,0),1),0)</f>
        <v>18</v>
      </c>
      <c r="L45" s="3">
        <f>Baupläne!K45</f>
        <v>6</v>
      </c>
      <c r="M45" s="3">
        <f>IF(N45&gt;0,INDEX(data_item!$A$1:$A$1994,MATCH(Baupläne!N45,data_item!$B$1:$B$994,0),1),0)</f>
        <v>28</v>
      </c>
      <c r="N45" s="3">
        <f>Baupläne!M45</f>
        <v>17</v>
      </c>
      <c r="O45" s="3">
        <f>IF(P45&gt;0,INDEX(data_item!$A$1:$A$1994,MATCH(Baupläne!P45,data_item!$B$1:$B$1994,0),1),0)</f>
        <v>109</v>
      </c>
      <c r="P45" s="3">
        <f>Baupläne!O45</f>
        <v>28</v>
      </c>
      <c r="Q45" s="3">
        <f>IF(R45&gt;0,INDEX(data_item!$A$1:$A$1994,MATCH(Baupläne!R45,data_item!$B$1:$B$1994,0),1),0)</f>
        <v>0</v>
      </c>
      <c r="R45" s="3">
        <f>Baupläne!Q45</f>
        <v>0</v>
      </c>
      <c r="S45" s="3">
        <f>IF(T45&gt;0,INDEX(data_item!$A$1:$A$1994,MATCH(Baupläne!T45,data_item!$B$1:$B$1994,0),1),0)</f>
        <v>0</v>
      </c>
      <c r="T45" s="3">
        <f>Baupläne!S45</f>
        <v>0</v>
      </c>
    </row>
    <row r="46" spans="1:20" x14ac:dyDescent="0.2">
      <c r="A46" s="3">
        <f>Baupläne!A46</f>
        <v>224</v>
      </c>
      <c r="B46" s="3" t="str">
        <f>Baupläne!C46</f>
        <v>Eichen-Stützbalken</v>
      </c>
      <c r="C46" s="3">
        <f>Baupläne!B46</f>
        <v>224</v>
      </c>
      <c r="D46" s="3">
        <f>Baupläne!J46</f>
        <v>1</v>
      </c>
      <c r="E46" s="3">
        <f>Baupläne!H46</f>
        <v>55</v>
      </c>
      <c r="F46" s="3">
        <f>Baupläne!I46</f>
        <v>10</v>
      </c>
      <c r="G46" s="3">
        <f>Baupläne!E46</f>
        <v>35</v>
      </c>
      <c r="H46" s="3">
        <f>Baupläne!F46</f>
        <v>210</v>
      </c>
      <c r="I46" s="3">
        <f>0.5*Baupläne!Y46</f>
        <v>3600</v>
      </c>
      <c r="J46" s="3">
        <f>Baupläne!G46</f>
        <v>3</v>
      </c>
      <c r="K46" s="3">
        <f>IF(L46&gt;0,INDEX(data_item!$A$1:$A$1994,MATCH(Baupläne!L46,data_item!$B$1:$B$1994,0),1),0)</f>
        <v>0</v>
      </c>
      <c r="L46" s="3">
        <f>Baupläne!K46</f>
        <v>0</v>
      </c>
      <c r="M46" s="3">
        <f>IF(N46&gt;0,INDEX(data_item!$A$1:$A$1994,MATCH(Baupläne!N46,data_item!$B$1:$B$994,0),1),0)</f>
        <v>28</v>
      </c>
      <c r="N46" s="3">
        <f>Baupläne!M46</f>
        <v>13</v>
      </c>
      <c r="O46" s="3">
        <f>IF(P46&gt;0,INDEX(data_item!$A$1:$A$1994,MATCH(Baupläne!P46,data_item!$B$1:$B$1994,0),1),0)</f>
        <v>109</v>
      </c>
      <c r="P46" s="3">
        <f>Baupläne!O46</f>
        <v>16</v>
      </c>
      <c r="Q46" s="3">
        <f>IF(R46&gt;0,INDEX(data_item!$A$1:$A$1994,MATCH(Baupläne!R46,data_item!$B$1:$B$1994,0),1),0)</f>
        <v>0</v>
      </c>
      <c r="R46" s="3">
        <f>Baupläne!Q46</f>
        <v>0</v>
      </c>
      <c r="S46" s="3">
        <f>IF(T46&gt;0,INDEX(data_item!$A$1:$A$1994,MATCH(Baupläne!T46,data_item!$B$1:$B$1994,0),1),0)</f>
        <v>0</v>
      </c>
      <c r="T46" s="3">
        <f>Baupläne!S46</f>
        <v>0</v>
      </c>
    </row>
    <row r="47" spans="1:20" x14ac:dyDescent="0.2">
      <c r="A47" s="3">
        <f>Baupläne!A47</f>
        <v>0</v>
      </c>
      <c r="B47" s="3">
        <f>Baupläne!C47</f>
        <v>0</v>
      </c>
      <c r="C47" s="3">
        <f>Baupläne!B47</f>
        <v>0</v>
      </c>
      <c r="D47" s="3">
        <f>Baupläne!J47</f>
        <v>0</v>
      </c>
      <c r="E47" s="3">
        <f>Baupläne!H47</f>
        <v>0</v>
      </c>
      <c r="F47" s="3">
        <f>Baupläne!I47</f>
        <v>0</v>
      </c>
      <c r="G47" s="3">
        <f>Baupläne!E47</f>
        <v>0</v>
      </c>
      <c r="H47" s="3">
        <f>Baupläne!F47</f>
        <v>0</v>
      </c>
      <c r="I47" s="3">
        <f>0.5*Baupläne!Y47</f>
        <v>0</v>
      </c>
      <c r="J47" s="3">
        <f>Baupläne!G47</f>
        <v>0</v>
      </c>
      <c r="K47" s="3">
        <f>IF(L47&gt;0,INDEX(data_item!$A$1:$A$1994,MATCH(Baupläne!L47,data_item!$B$1:$B$1994,0),1),0)</f>
        <v>0</v>
      </c>
      <c r="L47" s="3">
        <f>Baupläne!K47</f>
        <v>0</v>
      </c>
      <c r="M47" s="3">
        <f>IF(N47&gt;0,INDEX(data_item!$A$1:$A$1994,MATCH(Baupläne!N47,data_item!$B$1:$B$994,0),1),0)</f>
        <v>0</v>
      </c>
      <c r="N47" s="3">
        <f>Baupläne!M47</f>
        <v>0</v>
      </c>
      <c r="O47" s="3">
        <f>IF(P47&gt;0,INDEX(data_item!$A$1:$A$1994,MATCH(Baupläne!P47,data_item!$B$1:$B$1994,0),1),0)</f>
        <v>0</v>
      </c>
      <c r="P47" s="3">
        <f>Baupläne!O47</f>
        <v>0</v>
      </c>
      <c r="Q47" s="3">
        <f>IF(R47&gt;0,INDEX(data_item!$A$1:$A$1994,MATCH(Baupläne!R47,data_item!$B$1:$B$1994,0),1),0)</f>
        <v>0</v>
      </c>
      <c r="R47" s="3">
        <f>Baupläne!Q47</f>
        <v>0</v>
      </c>
      <c r="S47" s="3">
        <f>IF(T47&gt;0,INDEX(data_item!$A$1:$A$1994,MATCH(Baupläne!T47,data_item!$B$1:$B$1994,0),1),0)</f>
        <v>0</v>
      </c>
      <c r="T47" s="3">
        <f>Baupläne!S47</f>
        <v>0</v>
      </c>
    </row>
    <row r="48" spans="1:20" x14ac:dyDescent="0.2">
      <c r="A48" s="3">
        <f>Baupläne!A48</f>
        <v>231</v>
      </c>
      <c r="B48" s="3" t="str">
        <f>Baupläne!C48</f>
        <v>Granit-Mauerstück</v>
      </c>
      <c r="C48" s="3">
        <f>Baupläne!B48</f>
        <v>231</v>
      </c>
      <c r="D48" s="3">
        <f>Baupläne!J48</f>
        <v>1</v>
      </c>
      <c r="E48" s="3">
        <f>Baupläne!H48</f>
        <v>55</v>
      </c>
      <c r="F48" s="3">
        <f>Baupläne!I48</f>
        <v>15</v>
      </c>
      <c r="G48" s="3">
        <f>Baupläne!E48</f>
        <v>35</v>
      </c>
      <c r="H48" s="3">
        <f>Baupläne!F48</f>
        <v>180</v>
      </c>
      <c r="I48" s="3">
        <f>0.5*Baupläne!Y48</f>
        <v>10400</v>
      </c>
      <c r="J48" s="3">
        <f>Baupläne!G48</f>
        <v>4</v>
      </c>
      <c r="K48" s="3">
        <f>IF(L48&gt;0,INDEX(data_item!$A$1:$A$1994,MATCH(Baupläne!L48,data_item!$B$1:$B$1994,0),1),0)</f>
        <v>19</v>
      </c>
      <c r="L48" s="3">
        <f>Baupläne!K48</f>
        <v>15</v>
      </c>
      <c r="M48" s="3">
        <f>IF(N48&gt;0,INDEX(data_item!$A$1:$A$1994,MATCH(Baupläne!N48,data_item!$B$1:$B$994,0),1),0)</f>
        <v>29</v>
      </c>
      <c r="N48" s="3">
        <f>Baupläne!M48</f>
        <v>10</v>
      </c>
      <c r="O48" s="3">
        <f>IF(P48&gt;0,INDEX(data_item!$A$1:$A$1994,MATCH(Baupläne!P48,data_item!$B$1:$B$1994,0),1),0)</f>
        <v>129</v>
      </c>
      <c r="P48" s="3">
        <f>Baupläne!O48</f>
        <v>38</v>
      </c>
      <c r="Q48" s="3">
        <f>IF(R48&gt;0,INDEX(data_item!$A$1:$A$1994,MATCH(Baupläne!R48,data_item!$B$1:$B$1994,0),1),0)</f>
        <v>0</v>
      </c>
      <c r="R48" s="3">
        <f>Baupläne!Q48</f>
        <v>0</v>
      </c>
      <c r="S48" s="3">
        <f>IF(T48&gt;0,INDEX(data_item!$A$1:$A$1994,MATCH(Baupläne!T48,data_item!$B$1:$B$1994,0),1),0)</f>
        <v>0</v>
      </c>
      <c r="T48" s="3">
        <f>Baupläne!S48</f>
        <v>0</v>
      </c>
    </row>
    <row r="49" spans="1:20" x14ac:dyDescent="0.2">
      <c r="A49" s="3">
        <f>Baupläne!A49</f>
        <v>232</v>
      </c>
      <c r="B49" s="3" t="str">
        <f>Baupläne!C49</f>
        <v>Granit-Bodenplatte</v>
      </c>
      <c r="C49" s="3">
        <f>Baupläne!B49</f>
        <v>232</v>
      </c>
      <c r="D49" s="3">
        <f>Baupläne!J49</f>
        <v>1</v>
      </c>
      <c r="E49" s="3">
        <f>Baupläne!H49</f>
        <v>55</v>
      </c>
      <c r="F49" s="3">
        <f>Baupläne!I49</f>
        <v>15</v>
      </c>
      <c r="G49" s="3">
        <f>Baupläne!E49</f>
        <v>35</v>
      </c>
      <c r="H49" s="3">
        <f>Baupläne!F49</f>
        <v>150</v>
      </c>
      <c r="I49" s="3">
        <f>0.5*Baupläne!Y49</f>
        <v>8800</v>
      </c>
      <c r="J49" s="3">
        <f>Baupläne!G49</f>
        <v>4</v>
      </c>
      <c r="K49" s="3">
        <f>IF(L49&gt;0,INDEX(data_item!$A$1:$A$1994,MATCH(Baupläne!L49,data_item!$B$1:$B$1994,0),1),0)</f>
        <v>19</v>
      </c>
      <c r="L49" s="3">
        <f>Baupläne!K49</f>
        <v>21</v>
      </c>
      <c r="M49" s="3">
        <f>IF(N49&gt;0,INDEX(data_item!$A$1:$A$1994,MATCH(Baupläne!N49,data_item!$B$1:$B$994,0),1),0)</f>
        <v>0</v>
      </c>
      <c r="N49" s="3">
        <f>Baupläne!M49</f>
        <v>0</v>
      </c>
      <c r="O49" s="3">
        <f>IF(P49&gt;0,INDEX(data_item!$A$1:$A$1994,MATCH(Baupläne!P49,data_item!$B$1:$B$1994,0),1),0)</f>
        <v>129</v>
      </c>
      <c r="P49" s="3">
        <f>Baupläne!O49</f>
        <v>32</v>
      </c>
      <c r="Q49" s="3">
        <f>IF(R49&gt;0,INDEX(data_item!$A$1:$A$1994,MATCH(Baupläne!R49,data_item!$B$1:$B$1994,0),1),0)</f>
        <v>0</v>
      </c>
      <c r="R49" s="3">
        <f>Baupläne!Q49</f>
        <v>0</v>
      </c>
      <c r="S49" s="3">
        <f>IF(T49&gt;0,INDEX(data_item!$A$1:$A$1994,MATCH(Baupläne!T49,data_item!$B$1:$B$1994,0),1),0)</f>
        <v>0</v>
      </c>
      <c r="T49" s="3">
        <f>Baupläne!S49</f>
        <v>0</v>
      </c>
    </row>
    <row r="50" spans="1:20" x14ac:dyDescent="0.2">
      <c r="A50" s="3">
        <f>Baupläne!A50</f>
        <v>233</v>
      </c>
      <c r="B50" s="3" t="str">
        <f>Baupläne!C50</f>
        <v>Eschen-Dachkonstrukt</v>
      </c>
      <c r="C50" s="3">
        <f>Baupläne!B50</f>
        <v>233</v>
      </c>
      <c r="D50" s="3">
        <f>Baupläne!J50</f>
        <v>1</v>
      </c>
      <c r="E50" s="3">
        <f>Baupläne!H50</f>
        <v>55</v>
      </c>
      <c r="F50" s="3">
        <f>Baupläne!I50</f>
        <v>15</v>
      </c>
      <c r="G50" s="3">
        <f>Baupläne!E50</f>
        <v>35</v>
      </c>
      <c r="H50" s="3">
        <f>Baupläne!F50</f>
        <v>210</v>
      </c>
      <c r="I50" s="3">
        <f>0.5*Baupläne!Y50</f>
        <v>12800</v>
      </c>
      <c r="J50" s="3">
        <f>Baupläne!G50</f>
        <v>4</v>
      </c>
      <c r="K50" s="3">
        <f>IF(L50&gt;0,INDEX(data_item!$A$1:$A$1994,MATCH(Baupläne!L50,data_item!$B$1:$B$1994,0),1),0)</f>
        <v>19</v>
      </c>
      <c r="L50" s="3">
        <f>Baupläne!K50</f>
        <v>8</v>
      </c>
      <c r="M50" s="3">
        <f>IF(N50&gt;0,INDEX(data_item!$A$1:$A$1994,MATCH(Baupläne!N50,data_item!$B$1:$B$994,0),1),0)</f>
        <v>29</v>
      </c>
      <c r="N50" s="3">
        <f>Baupläne!M50</f>
        <v>22</v>
      </c>
      <c r="O50" s="3">
        <f>IF(P50&gt;0,INDEX(data_item!$A$1:$A$1994,MATCH(Baupläne!P50,data_item!$B$1:$B$1994,0),1),0)</f>
        <v>109</v>
      </c>
      <c r="P50" s="3">
        <f>Baupläne!O50</f>
        <v>56</v>
      </c>
      <c r="Q50" s="3">
        <f>IF(R50&gt;0,INDEX(data_item!$A$1:$A$1994,MATCH(Baupläne!R50,data_item!$B$1:$B$1994,0),1),0)</f>
        <v>0</v>
      </c>
      <c r="R50" s="3">
        <f>Baupläne!Q50</f>
        <v>0</v>
      </c>
      <c r="S50" s="3">
        <f>IF(T50&gt;0,INDEX(data_item!$A$1:$A$1994,MATCH(Baupläne!T50,data_item!$B$1:$B$1994,0),1),0)</f>
        <v>0</v>
      </c>
      <c r="T50" s="3">
        <f>Baupläne!S50</f>
        <v>0</v>
      </c>
    </row>
    <row r="51" spans="1:20" x14ac:dyDescent="0.2">
      <c r="A51" s="3">
        <f>Baupläne!A51</f>
        <v>234</v>
      </c>
      <c r="B51" s="3" t="str">
        <f>Baupläne!C51</f>
        <v>Eschen-Stützbalken</v>
      </c>
      <c r="C51" s="3">
        <f>Baupläne!B51</f>
        <v>234</v>
      </c>
      <c r="D51" s="3">
        <f>Baupläne!J51</f>
        <v>1</v>
      </c>
      <c r="E51" s="3">
        <f>Baupläne!H51</f>
        <v>55</v>
      </c>
      <c r="F51" s="3">
        <f>Baupläne!I51</f>
        <v>15</v>
      </c>
      <c r="G51" s="3">
        <f>Baupläne!E51</f>
        <v>35</v>
      </c>
      <c r="H51" s="3">
        <f>Baupläne!F51</f>
        <v>210</v>
      </c>
      <c r="I51" s="3">
        <f>0.5*Baupläne!Y51</f>
        <v>7200</v>
      </c>
      <c r="J51" s="3">
        <f>Baupläne!G51</f>
        <v>4</v>
      </c>
      <c r="K51" s="3">
        <f>IF(L51&gt;0,INDEX(data_item!$A$1:$A$1994,MATCH(Baupläne!L51,data_item!$B$1:$B$1994,0),1),0)</f>
        <v>0</v>
      </c>
      <c r="L51" s="3">
        <f>Baupläne!K51</f>
        <v>0</v>
      </c>
      <c r="M51" s="3">
        <f>IF(N51&gt;0,INDEX(data_item!$A$1:$A$1994,MATCH(Baupläne!N51,data_item!$B$1:$B$994,0),1),0)</f>
        <v>29</v>
      </c>
      <c r="N51" s="3">
        <f>Baupläne!M51</f>
        <v>17</v>
      </c>
      <c r="O51" s="3">
        <f>IF(P51&gt;0,INDEX(data_item!$A$1:$A$1994,MATCH(Baupläne!P51,data_item!$B$1:$B$1994,0),1),0)</f>
        <v>109</v>
      </c>
      <c r="P51" s="3">
        <f>Baupläne!O51</f>
        <v>32</v>
      </c>
      <c r="Q51" s="3">
        <f>IF(R51&gt;0,INDEX(data_item!$A$1:$A$1994,MATCH(Baupläne!R51,data_item!$B$1:$B$1994,0),1),0)</f>
        <v>0</v>
      </c>
      <c r="R51" s="3">
        <f>Baupläne!Q51</f>
        <v>0</v>
      </c>
      <c r="S51" s="3">
        <f>IF(T51&gt;0,INDEX(data_item!$A$1:$A$1994,MATCH(Baupläne!T51,data_item!$B$1:$B$1994,0),1),0)</f>
        <v>0</v>
      </c>
      <c r="T51" s="3">
        <f>Baupläne!S51</f>
        <v>0</v>
      </c>
    </row>
    <row r="52" spans="1:20" x14ac:dyDescent="0.2">
      <c r="A52" s="3">
        <f>Baupläne!A52</f>
        <v>0</v>
      </c>
      <c r="B52" s="3">
        <f>Baupläne!C52</f>
        <v>0</v>
      </c>
      <c r="C52" s="3">
        <f>Baupläne!B52</f>
        <v>0</v>
      </c>
      <c r="D52" s="3">
        <f>Baupläne!J52</f>
        <v>0</v>
      </c>
      <c r="E52" s="3">
        <f>Baupläne!H52</f>
        <v>0</v>
      </c>
      <c r="F52" s="3">
        <f>Baupläne!I52</f>
        <v>0</v>
      </c>
      <c r="G52" s="3">
        <f>Baupläne!E52</f>
        <v>0</v>
      </c>
      <c r="H52" s="3">
        <f>Baupläne!F52</f>
        <v>0</v>
      </c>
      <c r="I52" s="3">
        <f>0.5*Baupläne!Y52</f>
        <v>0</v>
      </c>
      <c r="J52" s="3">
        <f>Baupläne!G52</f>
        <v>0</v>
      </c>
      <c r="K52" s="3">
        <f>IF(L52&gt;0,INDEX(data_item!$A$1:$A$1994,MATCH(Baupläne!L52,data_item!$B$1:$B$1994,0),1),0)</f>
        <v>0</v>
      </c>
      <c r="L52" s="3">
        <f>Baupläne!K52</f>
        <v>0</v>
      </c>
      <c r="M52" s="3">
        <f>IF(N52&gt;0,INDEX(data_item!$A$1:$A$1994,MATCH(Baupläne!N52,data_item!$B$1:$B$994,0),1),0)</f>
        <v>0</v>
      </c>
      <c r="N52" s="3">
        <f>Baupläne!M52</f>
        <v>0</v>
      </c>
      <c r="O52" s="3">
        <f>IF(P52&gt;0,INDEX(data_item!$A$1:$A$1994,MATCH(Baupläne!P52,data_item!$B$1:$B$1994,0),1),0)</f>
        <v>0</v>
      </c>
      <c r="P52" s="3">
        <f>Baupläne!O52</f>
        <v>0</v>
      </c>
      <c r="Q52" s="3">
        <f>IF(R52&gt;0,INDEX(data_item!$A$1:$A$1994,MATCH(Baupläne!R52,data_item!$B$1:$B$1994,0),1),0)</f>
        <v>0</v>
      </c>
      <c r="R52" s="3">
        <f>Baupläne!Q52</f>
        <v>0</v>
      </c>
      <c r="S52" s="3">
        <f>IF(T52&gt;0,INDEX(data_item!$A$1:$A$1994,MATCH(Baupläne!T52,data_item!$B$1:$B$1994,0),1),0)</f>
        <v>0</v>
      </c>
      <c r="T52" s="3">
        <f>Baupläne!S52</f>
        <v>0</v>
      </c>
    </row>
    <row r="53" spans="1:20" x14ac:dyDescent="0.2">
      <c r="A53" s="3">
        <f>Baupläne!A53</f>
        <v>241</v>
      </c>
      <c r="B53" s="3" t="str">
        <f>Baupläne!C53</f>
        <v>Marmor-Mauerstück</v>
      </c>
      <c r="C53" s="3">
        <f>Baupläne!B53</f>
        <v>241</v>
      </c>
      <c r="D53" s="3">
        <f>Baupläne!J53</f>
        <v>1</v>
      </c>
      <c r="E53" s="3">
        <f>Baupläne!H53</f>
        <v>55</v>
      </c>
      <c r="F53" s="3">
        <f>Baupläne!I53</f>
        <v>20</v>
      </c>
      <c r="G53" s="3">
        <f>Baupläne!E53</f>
        <v>35</v>
      </c>
      <c r="H53" s="3">
        <f>Baupläne!F53</f>
        <v>180</v>
      </c>
      <c r="I53" s="3">
        <f>0.5*Baupläne!Y53</f>
        <v>20800</v>
      </c>
      <c r="J53" s="3">
        <f>Baupläne!G53</f>
        <v>5</v>
      </c>
      <c r="K53" s="3">
        <f>IF(L53&gt;0,INDEX(data_item!$A$1:$A$1994,MATCH(Baupläne!L53,data_item!$B$1:$B$1994,0),1),0)</f>
        <v>20</v>
      </c>
      <c r="L53" s="3">
        <f>Baupläne!K53</f>
        <v>25</v>
      </c>
      <c r="M53" s="3">
        <f>IF(N53&gt;0,INDEX(data_item!$A$1:$A$1994,MATCH(Baupläne!N53,data_item!$B$1:$B$994,0),1),0)</f>
        <v>30</v>
      </c>
      <c r="N53" s="3">
        <f>Baupläne!M53</f>
        <v>12</v>
      </c>
      <c r="O53" s="3">
        <f>IF(P53&gt;0,INDEX(data_item!$A$1:$A$1994,MATCH(Baupläne!P53,data_item!$B$1:$B$1994,0),1),0)</f>
        <v>129</v>
      </c>
      <c r="P53" s="3">
        <f>Baupläne!O53</f>
        <v>75</v>
      </c>
      <c r="Q53" s="3">
        <f>IF(R53&gt;0,INDEX(data_item!$A$1:$A$1994,MATCH(Baupläne!R53,data_item!$B$1:$B$1994,0),1),0)</f>
        <v>0</v>
      </c>
      <c r="R53" s="3">
        <f>Baupläne!Q53</f>
        <v>0</v>
      </c>
      <c r="S53" s="3">
        <f>IF(T53&gt;0,INDEX(data_item!$A$1:$A$1994,MATCH(Baupläne!T53,data_item!$B$1:$B$1994,0),1),0)</f>
        <v>0</v>
      </c>
      <c r="T53" s="3">
        <f>Baupläne!S53</f>
        <v>0</v>
      </c>
    </row>
    <row r="54" spans="1:20" x14ac:dyDescent="0.2">
      <c r="A54" s="3">
        <f>Baupläne!A54</f>
        <v>242</v>
      </c>
      <c r="B54" s="3" t="str">
        <f>Baupläne!C54</f>
        <v>Marmor-Bodenplatte</v>
      </c>
      <c r="C54" s="3">
        <f>Baupläne!B54</f>
        <v>242</v>
      </c>
      <c r="D54" s="3">
        <f>Baupläne!J54</f>
        <v>1</v>
      </c>
      <c r="E54" s="3">
        <f>Baupläne!H54</f>
        <v>55</v>
      </c>
      <c r="F54" s="3">
        <f>Baupläne!I54</f>
        <v>20</v>
      </c>
      <c r="G54" s="3">
        <f>Baupläne!E54</f>
        <v>35</v>
      </c>
      <c r="H54" s="3">
        <f>Baupläne!F54</f>
        <v>150</v>
      </c>
      <c r="I54" s="3">
        <f>0.5*Baupläne!Y54</f>
        <v>17600</v>
      </c>
      <c r="J54" s="3">
        <f>Baupläne!G54</f>
        <v>5</v>
      </c>
      <c r="K54" s="3">
        <f>IF(L54&gt;0,INDEX(data_item!$A$1:$A$1994,MATCH(Baupläne!L54,data_item!$B$1:$B$1994,0),1),0)</f>
        <v>20</v>
      </c>
      <c r="L54" s="3">
        <f>Baupläne!K54</f>
        <v>32</v>
      </c>
      <c r="M54" s="3">
        <f>IF(N54&gt;0,INDEX(data_item!$A$1:$A$1994,MATCH(Baupläne!N54,data_item!$B$1:$B$994,0),1),0)</f>
        <v>0</v>
      </c>
      <c r="N54" s="3">
        <f>Baupläne!M54</f>
        <v>0</v>
      </c>
      <c r="O54" s="3">
        <f>IF(P54&gt;0,INDEX(data_item!$A$1:$A$1994,MATCH(Baupläne!P54,data_item!$B$1:$B$1994,0),1),0)</f>
        <v>129</v>
      </c>
      <c r="P54" s="3">
        <f>Baupläne!O54</f>
        <v>65</v>
      </c>
      <c r="Q54" s="3">
        <f>IF(R54&gt;0,INDEX(data_item!$A$1:$A$1994,MATCH(Baupläne!R54,data_item!$B$1:$B$1994,0),1),0)</f>
        <v>0</v>
      </c>
      <c r="R54" s="3">
        <f>Baupläne!Q54</f>
        <v>0</v>
      </c>
      <c r="S54" s="3">
        <f>IF(T54&gt;0,INDEX(data_item!$A$1:$A$1994,MATCH(Baupläne!T54,data_item!$B$1:$B$1994,0),1),0)</f>
        <v>0</v>
      </c>
      <c r="T54" s="3">
        <f>Baupläne!S54</f>
        <v>0</v>
      </c>
    </row>
    <row r="55" spans="1:20" x14ac:dyDescent="0.2">
      <c r="A55" s="3">
        <f>Baupläne!A55</f>
        <v>243</v>
      </c>
      <c r="B55" s="3" t="str">
        <f>Baupläne!C55</f>
        <v>Eiben-Dachkonstrukt</v>
      </c>
      <c r="C55" s="3">
        <f>Baupläne!B55</f>
        <v>243</v>
      </c>
      <c r="D55" s="3">
        <f>Baupläne!J55</f>
        <v>1</v>
      </c>
      <c r="E55" s="3">
        <f>Baupläne!H55</f>
        <v>55</v>
      </c>
      <c r="F55" s="3">
        <f>Baupläne!I55</f>
        <v>20</v>
      </c>
      <c r="G55" s="3">
        <f>Baupläne!E55</f>
        <v>35</v>
      </c>
      <c r="H55" s="3">
        <f>Baupläne!F55</f>
        <v>210</v>
      </c>
      <c r="I55" s="3">
        <f>0.5*Baupläne!Y55</f>
        <v>25600</v>
      </c>
      <c r="J55" s="3">
        <f>Baupläne!G55</f>
        <v>5</v>
      </c>
      <c r="K55" s="3">
        <f>IF(L55&gt;0,INDEX(data_item!$A$1:$A$1994,MATCH(Baupläne!L55,data_item!$B$1:$B$1994,0),1),0)</f>
        <v>20</v>
      </c>
      <c r="L55" s="3">
        <f>Baupläne!K55</f>
        <v>12</v>
      </c>
      <c r="M55" s="3">
        <f>IF(N55&gt;0,INDEX(data_item!$A$1:$A$1994,MATCH(Baupläne!N55,data_item!$B$1:$B$994,0),1),0)</f>
        <v>30</v>
      </c>
      <c r="N55" s="3">
        <f>Baupläne!M55</f>
        <v>34</v>
      </c>
      <c r="O55" s="3">
        <f>IF(P55&gt;0,INDEX(data_item!$A$1:$A$1994,MATCH(Baupläne!P55,data_item!$B$1:$B$1994,0),1),0)</f>
        <v>109</v>
      </c>
      <c r="P55" s="3">
        <f>Baupläne!O55</f>
        <v>110</v>
      </c>
      <c r="Q55" s="3">
        <f>IF(R55&gt;0,INDEX(data_item!$A$1:$A$1994,MATCH(Baupläne!R55,data_item!$B$1:$B$1994,0),1),0)</f>
        <v>0</v>
      </c>
      <c r="R55" s="3">
        <f>Baupläne!Q55</f>
        <v>0</v>
      </c>
      <c r="S55" s="3">
        <f>IF(T55&gt;0,INDEX(data_item!$A$1:$A$1994,MATCH(Baupläne!T55,data_item!$B$1:$B$1994,0),1),0)</f>
        <v>0</v>
      </c>
      <c r="T55" s="3">
        <f>Baupläne!S55</f>
        <v>0</v>
      </c>
    </row>
    <row r="56" spans="1:20" x14ac:dyDescent="0.2">
      <c r="A56" s="3">
        <f>Baupläne!A56</f>
        <v>244</v>
      </c>
      <c r="B56" s="3" t="str">
        <f>Baupläne!C56</f>
        <v>Eiben-Stützbalken</v>
      </c>
      <c r="C56" s="3">
        <f>Baupläne!B56</f>
        <v>244</v>
      </c>
      <c r="D56" s="3">
        <f>Baupläne!J56</f>
        <v>1</v>
      </c>
      <c r="E56" s="3">
        <f>Baupläne!H56</f>
        <v>55</v>
      </c>
      <c r="F56" s="3">
        <f>Baupläne!I56</f>
        <v>20</v>
      </c>
      <c r="G56" s="3">
        <f>Baupläne!E56</f>
        <v>35</v>
      </c>
      <c r="H56" s="3">
        <f>Baupläne!F56</f>
        <v>210</v>
      </c>
      <c r="I56" s="3">
        <f>0.5*Baupläne!Y56</f>
        <v>14400</v>
      </c>
      <c r="J56" s="3">
        <f>Baupläne!G56</f>
        <v>5</v>
      </c>
      <c r="K56" s="3">
        <f>IF(L56&gt;0,INDEX(data_item!$A$1:$A$1994,MATCH(Baupläne!L56,data_item!$B$1:$B$1994,0),1),0)</f>
        <v>0</v>
      </c>
      <c r="L56" s="3">
        <f>Baupläne!K56</f>
        <v>0</v>
      </c>
      <c r="M56" s="3">
        <f>IF(N56&gt;0,INDEX(data_item!$A$1:$A$1994,MATCH(Baupläne!N56,data_item!$B$1:$B$994,0),1),0)</f>
        <v>30</v>
      </c>
      <c r="N56" s="3">
        <f>Baupläne!M56</f>
        <v>26</v>
      </c>
      <c r="O56" s="3">
        <f>IF(P56&gt;0,INDEX(data_item!$A$1:$A$1994,MATCH(Baupläne!P56,data_item!$B$1:$B$1994,0),1),0)</f>
        <v>109</v>
      </c>
      <c r="P56" s="3">
        <f>Baupläne!O56</f>
        <v>62</v>
      </c>
      <c r="Q56" s="3">
        <f>IF(R56&gt;0,INDEX(data_item!$A$1:$A$1994,MATCH(Baupläne!R56,data_item!$B$1:$B$1994,0),1),0)</f>
        <v>0</v>
      </c>
      <c r="R56" s="3">
        <f>Baupläne!Q56</f>
        <v>0</v>
      </c>
      <c r="S56" s="3">
        <f>IF(T56&gt;0,INDEX(data_item!$A$1:$A$1994,MATCH(Baupläne!T56,data_item!$B$1:$B$1994,0),1),0)</f>
        <v>0</v>
      </c>
      <c r="T56" s="3">
        <f>Baupläne!S56</f>
        <v>0</v>
      </c>
    </row>
    <row r="57" spans="1:20" x14ac:dyDescent="0.2">
      <c r="A57" s="3">
        <f>Baupläne!A57</f>
        <v>0</v>
      </c>
      <c r="B57" s="3">
        <f>Baupläne!C57</f>
        <v>0</v>
      </c>
      <c r="C57" s="3">
        <f>Baupläne!B57</f>
        <v>0</v>
      </c>
      <c r="D57" s="3">
        <f>Baupläne!J57</f>
        <v>0</v>
      </c>
      <c r="E57" s="3">
        <f>Baupläne!H57</f>
        <v>0</v>
      </c>
      <c r="F57" s="3">
        <f>Baupläne!I57</f>
        <v>0</v>
      </c>
      <c r="G57" s="3">
        <f>Baupläne!E57</f>
        <v>0</v>
      </c>
      <c r="H57" s="3">
        <f>Baupläne!F57</f>
        <v>0</v>
      </c>
      <c r="I57" s="3">
        <f>0.5*Baupläne!Y57</f>
        <v>0</v>
      </c>
      <c r="J57" s="3">
        <f>Baupläne!G57</f>
        <v>0</v>
      </c>
      <c r="K57" s="3">
        <f>IF(L57&gt;0,INDEX(data_item!$A$1:$A$1994,MATCH(Baupläne!L57,data_item!$B$1:$B$1994,0),1),0)</f>
        <v>0</v>
      </c>
      <c r="L57" s="3">
        <f>Baupläne!K57</f>
        <v>0</v>
      </c>
      <c r="M57" s="3">
        <f>IF(N57&gt;0,INDEX(data_item!$A$1:$A$1994,MATCH(Baupläne!N57,data_item!$B$1:$B$994,0),1),0)</f>
        <v>0</v>
      </c>
      <c r="N57" s="3">
        <f>Baupläne!M57</f>
        <v>0</v>
      </c>
      <c r="O57" s="3">
        <f>IF(P57&gt;0,INDEX(data_item!$A$1:$A$1994,MATCH(Baupläne!P57,data_item!$B$1:$B$1994,0),1),0)</f>
        <v>0</v>
      </c>
      <c r="P57" s="3">
        <f>Baupläne!O57</f>
        <v>0</v>
      </c>
      <c r="Q57" s="3">
        <f>IF(R57&gt;0,INDEX(data_item!$A$1:$A$1994,MATCH(Baupläne!R57,data_item!$B$1:$B$1994,0),1),0)</f>
        <v>0</v>
      </c>
      <c r="R57" s="3">
        <f>Baupläne!Q57</f>
        <v>0</v>
      </c>
      <c r="S57" s="3">
        <f>IF(T57&gt;0,INDEX(data_item!$A$1:$A$1994,MATCH(Baupläne!T57,data_item!$B$1:$B$1994,0),1),0)</f>
        <v>0</v>
      </c>
      <c r="T57" s="3">
        <f>Baupläne!S57</f>
        <v>0</v>
      </c>
    </row>
    <row r="58" spans="1:20" x14ac:dyDescent="0.2">
      <c r="A58" s="3">
        <f>Baupläne!A58</f>
        <v>401</v>
      </c>
      <c r="B58" s="3" t="str">
        <f>Baupläne!C58</f>
        <v>Sprengstoff I</v>
      </c>
      <c r="C58" s="3">
        <f>Baupläne!B58</f>
        <v>401</v>
      </c>
      <c r="D58" s="3">
        <f>Baupläne!J58</f>
        <v>1</v>
      </c>
      <c r="E58" s="3">
        <f>Baupläne!H58</f>
        <v>16</v>
      </c>
      <c r="F58" s="3">
        <f>Baupläne!I58</f>
        <v>0</v>
      </c>
      <c r="G58" s="3">
        <f>Baupläne!E58</f>
        <v>34</v>
      </c>
      <c r="H58" s="3">
        <f>Baupläne!F58</f>
        <v>300</v>
      </c>
      <c r="I58" s="3">
        <f>0.5*Baupläne!Y58</f>
        <v>1000</v>
      </c>
      <c r="J58" s="3">
        <f>Baupläne!G58</f>
        <v>0</v>
      </c>
      <c r="K58" s="3">
        <f>IF(L58&gt;0,INDEX(data_item!$A$1:$A$1994,MATCH(Baupläne!L58,data_item!$B$1:$B$1994,0),1),0)</f>
        <v>51</v>
      </c>
      <c r="L58" s="3">
        <f>Baupläne!K58</f>
        <v>32</v>
      </c>
      <c r="M58" s="3">
        <f>IF(N58&gt;0,INDEX(data_item!$A$1:$A$1994,MATCH(Baupläne!N58,data_item!$B$1:$B$994,0),1),0)</f>
        <v>112</v>
      </c>
      <c r="N58" s="3">
        <f>Baupläne!M58</f>
        <v>6</v>
      </c>
      <c r="O58" s="3">
        <f>IF(P58&gt;0,INDEX(data_item!$A$1:$A$1994,MATCH(Baupläne!P58,data_item!$B$1:$B$1994,0),1),0)</f>
        <v>0</v>
      </c>
      <c r="P58" s="3">
        <f>Baupläne!O58</f>
        <v>0</v>
      </c>
      <c r="Q58" s="3">
        <f>IF(R58&gt;0,INDEX(data_item!$A$1:$A$1994,MATCH(Baupläne!R58,data_item!$B$1:$B$1994,0),1),0)</f>
        <v>0</v>
      </c>
      <c r="R58" s="3">
        <f>Baupläne!Q58</f>
        <v>0</v>
      </c>
      <c r="S58" s="3">
        <f>IF(T58&gt;0,INDEX(data_item!$A$1:$A$1994,MATCH(Baupläne!T58,data_item!$B$1:$B$1994,0),1),0)</f>
        <v>0</v>
      </c>
      <c r="T58" s="3">
        <f>Baupläne!S58</f>
        <v>0</v>
      </c>
    </row>
    <row r="59" spans="1:20" x14ac:dyDescent="0.2">
      <c r="A59" s="3">
        <f>Baupläne!A59</f>
        <v>402</v>
      </c>
      <c r="B59" s="3" t="str">
        <f>Baupläne!C59</f>
        <v>Sprengstoff II</v>
      </c>
      <c r="C59" s="3">
        <f>Baupläne!B59</f>
        <v>402</v>
      </c>
      <c r="D59" s="3">
        <f>Baupläne!J59</f>
        <v>1</v>
      </c>
      <c r="E59" s="3">
        <f>Baupläne!H59</f>
        <v>16</v>
      </c>
      <c r="F59" s="3">
        <f>Baupläne!I59</f>
        <v>5</v>
      </c>
      <c r="G59" s="3">
        <f>Baupläne!E59</f>
        <v>34</v>
      </c>
      <c r="H59" s="3">
        <f>Baupläne!F59</f>
        <v>300</v>
      </c>
      <c r="I59" s="3">
        <f>0.5*Baupläne!Y59</f>
        <v>2500</v>
      </c>
      <c r="J59" s="3">
        <f>Baupläne!G59</f>
        <v>0</v>
      </c>
      <c r="K59" s="3">
        <f>IF(L59&gt;0,INDEX(data_item!$A$1:$A$1994,MATCH(Baupläne!L59,data_item!$B$1:$B$1994,0),1),0)</f>
        <v>52</v>
      </c>
      <c r="L59" s="3">
        <f>Baupläne!K59</f>
        <v>40</v>
      </c>
      <c r="M59" s="3">
        <f>IF(N59&gt;0,INDEX(data_item!$A$1:$A$1994,MATCH(Baupläne!N59,data_item!$B$1:$B$994,0),1),0)</f>
        <v>112</v>
      </c>
      <c r="N59" s="3">
        <f>Baupläne!M59</f>
        <v>16</v>
      </c>
      <c r="O59" s="3">
        <f>IF(P59&gt;0,INDEX(data_item!$A$1:$A$1994,MATCH(Baupläne!P59,data_item!$B$1:$B$1994,0),1),0)</f>
        <v>0</v>
      </c>
      <c r="P59" s="3">
        <f>Baupläne!O59</f>
        <v>0</v>
      </c>
      <c r="Q59" s="3">
        <f>IF(R59&gt;0,INDEX(data_item!$A$1:$A$1994,MATCH(Baupläne!R59,data_item!$B$1:$B$1994,0),1),0)</f>
        <v>0</v>
      </c>
      <c r="R59" s="3">
        <f>Baupläne!Q59</f>
        <v>0</v>
      </c>
      <c r="S59" s="3">
        <f>IF(T59&gt;0,INDEX(data_item!$A$1:$A$1994,MATCH(Baupläne!T59,data_item!$B$1:$B$1994,0),1),0)</f>
        <v>0</v>
      </c>
      <c r="T59" s="3">
        <f>Baupläne!S59</f>
        <v>0</v>
      </c>
    </row>
    <row r="60" spans="1:20" x14ac:dyDescent="0.2">
      <c r="A60" s="3">
        <f>Baupläne!A60</f>
        <v>403</v>
      </c>
      <c r="B60" s="3" t="str">
        <f>Baupläne!C60</f>
        <v>Sprengstoff III</v>
      </c>
      <c r="C60" s="3">
        <f>Baupläne!B60</f>
        <v>403</v>
      </c>
      <c r="D60" s="3">
        <f>Baupläne!J60</f>
        <v>1</v>
      </c>
      <c r="E60" s="3">
        <f>Baupläne!H60</f>
        <v>16</v>
      </c>
      <c r="F60" s="3">
        <f>Baupläne!I60</f>
        <v>10</v>
      </c>
      <c r="G60" s="3">
        <f>Baupläne!E60</f>
        <v>34</v>
      </c>
      <c r="H60" s="3">
        <f>Baupläne!F60</f>
        <v>300</v>
      </c>
      <c r="I60" s="3">
        <f>0.5*Baupläne!Y60</f>
        <v>5000</v>
      </c>
      <c r="J60" s="3">
        <f>Baupläne!G60</f>
        <v>0</v>
      </c>
      <c r="K60" s="3">
        <f>IF(L60&gt;0,INDEX(data_item!$A$1:$A$1994,MATCH(Baupläne!L60,data_item!$B$1:$B$1994,0),1),0)</f>
        <v>53</v>
      </c>
      <c r="L60" s="3">
        <f>Baupläne!K60</f>
        <v>55</v>
      </c>
      <c r="M60" s="3">
        <f>IF(N60&gt;0,INDEX(data_item!$A$1:$A$1994,MATCH(Baupläne!N60,data_item!$B$1:$B$994,0),1),0)</f>
        <v>112</v>
      </c>
      <c r="N60" s="3">
        <f>Baupläne!M60</f>
        <v>25</v>
      </c>
      <c r="O60" s="3">
        <f>IF(P60&gt;0,INDEX(data_item!$A$1:$A$1994,MATCH(Baupläne!P60,data_item!$B$1:$B$1994,0),1),0)</f>
        <v>121</v>
      </c>
      <c r="P60" s="3">
        <f>Baupläne!O60</f>
        <v>4</v>
      </c>
      <c r="Q60" s="3">
        <f>IF(R60&gt;0,INDEX(data_item!$A$1:$A$1994,MATCH(Baupläne!R60,data_item!$B$1:$B$1994,0),1),0)</f>
        <v>0</v>
      </c>
      <c r="R60" s="3">
        <f>Baupläne!Q60</f>
        <v>0</v>
      </c>
      <c r="S60" s="3">
        <f>IF(T60&gt;0,INDEX(data_item!$A$1:$A$1994,MATCH(Baupläne!T60,data_item!$B$1:$B$1994,0),1),0)</f>
        <v>0</v>
      </c>
      <c r="T60" s="3">
        <f>Baupläne!S60</f>
        <v>0</v>
      </c>
    </row>
    <row r="61" spans="1:20" x14ac:dyDescent="0.2">
      <c r="A61" s="3">
        <f>Baupläne!A61</f>
        <v>404</v>
      </c>
      <c r="B61" s="3" t="str">
        <f>Baupläne!C61</f>
        <v>Sprengstoff IV</v>
      </c>
      <c r="C61" s="3">
        <f>Baupläne!B61</f>
        <v>404</v>
      </c>
      <c r="D61" s="3">
        <f>Baupläne!J61</f>
        <v>1</v>
      </c>
      <c r="E61" s="3">
        <f>Baupläne!H61</f>
        <v>16</v>
      </c>
      <c r="F61" s="3">
        <f>Baupläne!I61</f>
        <v>15</v>
      </c>
      <c r="G61" s="3">
        <f>Baupläne!E61</f>
        <v>34</v>
      </c>
      <c r="H61" s="3">
        <f>Baupläne!F61</f>
        <v>300</v>
      </c>
      <c r="I61" s="3">
        <f>0.5*Baupläne!Y61</f>
        <v>12500</v>
      </c>
      <c r="J61" s="3">
        <f>Baupläne!G61</f>
        <v>0</v>
      </c>
      <c r="K61" s="3">
        <f>IF(L61&gt;0,INDEX(data_item!$A$1:$A$1994,MATCH(Baupläne!L61,data_item!$B$1:$B$1994,0),1),0)</f>
        <v>54</v>
      </c>
      <c r="L61" s="3">
        <f>Baupläne!K61</f>
        <v>92</v>
      </c>
      <c r="M61" s="3">
        <f>IF(N61&gt;0,INDEX(data_item!$A$1:$A$1994,MATCH(Baupläne!N61,data_item!$B$1:$B$994,0),1),0)</f>
        <v>112</v>
      </c>
      <c r="N61" s="3">
        <f>Baupläne!M61</f>
        <v>52</v>
      </c>
      <c r="O61" s="3">
        <f>IF(P61&gt;0,INDEX(data_item!$A$1:$A$1994,MATCH(Baupläne!P61,data_item!$B$1:$B$1994,0),1),0)</f>
        <v>121</v>
      </c>
      <c r="P61" s="3">
        <f>Baupläne!O61</f>
        <v>15</v>
      </c>
      <c r="Q61" s="3">
        <f>IF(R61&gt;0,INDEX(data_item!$A$1:$A$1994,MATCH(Baupläne!R61,data_item!$B$1:$B$1994,0),1),0)</f>
        <v>0</v>
      </c>
      <c r="R61" s="3">
        <f>Baupläne!Q61</f>
        <v>0</v>
      </c>
      <c r="S61" s="3">
        <f>IF(T61&gt;0,INDEX(data_item!$A$1:$A$1994,MATCH(Baupläne!T61,data_item!$B$1:$B$1994,0),1),0)</f>
        <v>0</v>
      </c>
      <c r="T61" s="3">
        <f>Baupläne!S61</f>
        <v>0</v>
      </c>
    </row>
    <row r="62" spans="1:20" x14ac:dyDescent="0.2">
      <c r="A62" s="3">
        <f>Baupläne!A62</f>
        <v>405</v>
      </c>
      <c r="B62" s="3" t="str">
        <f>Baupläne!C62</f>
        <v>Sprengstoff V</v>
      </c>
      <c r="C62" s="3">
        <f>Baupläne!B62</f>
        <v>405</v>
      </c>
      <c r="D62" s="3">
        <f>Baupläne!J62</f>
        <v>1</v>
      </c>
      <c r="E62" s="3">
        <f>Baupläne!H62</f>
        <v>16</v>
      </c>
      <c r="F62" s="3">
        <f>Baupläne!I62</f>
        <v>20</v>
      </c>
      <c r="G62" s="3">
        <f>Baupläne!E62</f>
        <v>34</v>
      </c>
      <c r="H62" s="3">
        <f>Baupläne!F62</f>
        <v>300</v>
      </c>
      <c r="I62" s="3">
        <f>0.5*Baupläne!Y62</f>
        <v>25000</v>
      </c>
      <c r="J62" s="3">
        <f>Baupläne!G62</f>
        <v>0</v>
      </c>
      <c r="K62" s="3">
        <f>IF(L62&gt;0,INDEX(data_item!$A$1:$A$1994,MATCH(Baupläne!L62,data_item!$B$1:$B$1994,0),1),0)</f>
        <v>55</v>
      </c>
      <c r="L62" s="3">
        <f>Baupläne!K62</f>
        <v>136</v>
      </c>
      <c r="M62" s="3">
        <f>IF(N62&gt;0,INDEX(data_item!$A$1:$A$1994,MATCH(Baupläne!N62,data_item!$B$1:$B$994,0),1),0)</f>
        <v>112</v>
      </c>
      <c r="N62" s="3">
        <f>Baupläne!M62</f>
        <v>72</v>
      </c>
      <c r="O62" s="3">
        <f>IF(P62&gt;0,INDEX(data_item!$A$1:$A$1994,MATCH(Baupläne!P62,data_item!$B$1:$B$1994,0),1),0)</f>
        <v>121</v>
      </c>
      <c r="P62" s="3">
        <f>Baupläne!O62</f>
        <v>21</v>
      </c>
      <c r="Q62" s="3">
        <f>IF(R62&gt;0,INDEX(data_item!$A$1:$A$1994,MATCH(Baupläne!R62,data_item!$B$1:$B$1994,0),1),0)</f>
        <v>122</v>
      </c>
      <c r="R62" s="3">
        <f>Baupläne!Q62</f>
        <v>10</v>
      </c>
      <c r="S62" s="3">
        <f>IF(T62&gt;0,INDEX(data_item!$A$1:$A$1994,MATCH(Baupläne!T62,data_item!$B$1:$B$1994,0),1),0)</f>
        <v>0</v>
      </c>
      <c r="T62" s="3">
        <f>Baupläne!S62</f>
        <v>0</v>
      </c>
    </row>
    <row r="63" spans="1:20" x14ac:dyDescent="0.2">
      <c r="A63" s="3">
        <f>Baupläne!A63</f>
        <v>411</v>
      </c>
      <c r="B63" s="3" t="str">
        <f>Baupläne!C63</f>
        <v>Dietrich I</v>
      </c>
      <c r="C63" s="3">
        <f>Baupläne!B63</f>
        <v>411</v>
      </c>
      <c r="D63" s="3">
        <f>Baupläne!J63</f>
        <v>1</v>
      </c>
      <c r="E63" s="3">
        <f>Baupläne!H63</f>
        <v>15</v>
      </c>
      <c r="F63" s="3">
        <f>Baupläne!I63</f>
        <v>0</v>
      </c>
      <c r="G63" s="3">
        <f>Baupläne!E63</f>
        <v>32</v>
      </c>
      <c r="H63" s="3">
        <f>Baupläne!F63</f>
        <v>300</v>
      </c>
      <c r="I63" s="3">
        <f>0.5*Baupläne!Y63</f>
        <v>1000</v>
      </c>
      <c r="J63" s="3">
        <f>Baupläne!G63</f>
        <v>0</v>
      </c>
      <c r="K63" s="3">
        <f>IF(L63&gt;0,INDEX(data_item!$A$1:$A$1994,MATCH(Baupläne!L63,data_item!$B$1:$B$1994,0),1),0)</f>
        <v>6</v>
      </c>
      <c r="L63" s="3">
        <f>Baupläne!K63</f>
        <v>11</v>
      </c>
      <c r="M63" s="3">
        <f>IF(N63&gt;0,INDEX(data_item!$A$1:$A$1994,MATCH(Baupläne!N63,data_item!$B$1:$B$994,0),1),0)</f>
        <v>101</v>
      </c>
      <c r="N63" s="3">
        <f>Baupläne!M63</f>
        <v>8</v>
      </c>
      <c r="O63" s="3">
        <f>IF(P63&gt;0,INDEX(data_item!$A$1:$A$1994,MATCH(Baupläne!P63,data_item!$B$1:$B$1994,0),1),0)</f>
        <v>0</v>
      </c>
      <c r="P63" s="3">
        <f>Baupläne!O63</f>
        <v>0</v>
      </c>
      <c r="Q63" s="3">
        <f>IF(R63&gt;0,INDEX(data_item!$A$1:$A$1994,MATCH(Baupläne!R63,data_item!$B$1:$B$1994,0),1),0)</f>
        <v>0</v>
      </c>
      <c r="R63" s="3">
        <f>Baupläne!Q63</f>
        <v>0</v>
      </c>
      <c r="S63" s="3">
        <f>IF(T63&gt;0,INDEX(data_item!$A$1:$A$1994,MATCH(Baupläne!T63,data_item!$B$1:$B$1994,0),1),0)</f>
        <v>0</v>
      </c>
      <c r="T63" s="3">
        <f>Baupläne!S63</f>
        <v>0</v>
      </c>
    </row>
    <row r="64" spans="1:20" x14ac:dyDescent="0.2">
      <c r="A64" s="3">
        <f>Baupläne!A64</f>
        <v>412</v>
      </c>
      <c r="B64" s="3" t="str">
        <f>Baupläne!C64</f>
        <v>Dietrich II</v>
      </c>
      <c r="C64" s="3">
        <f>Baupläne!B64</f>
        <v>412</v>
      </c>
      <c r="D64" s="3">
        <f>Baupläne!J64</f>
        <v>1</v>
      </c>
      <c r="E64" s="3">
        <f>Baupläne!H64</f>
        <v>15</v>
      </c>
      <c r="F64" s="3">
        <f>Baupläne!I64</f>
        <v>5</v>
      </c>
      <c r="G64" s="3">
        <f>Baupläne!E64</f>
        <v>32</v>
      </c>
      <c r="H64" s="3">
        <f>Baupläne!F64</f>
        <v>300</v>
      </c>
      <c r="I64" s="3">
        <f>0.5*Baupläne!Y64</f>
        <v>2500</v>
      </c>
      <c r="J64" s="3">
        <f>Baupläne!G64</f>
        <v>0</v>
      </c>
      <c r="K64" s="3">
        <f>IF(L64&gt;0,INDEX(data_item!$A$1:$A$1994,MATCH(Baupläne!L64,data_item!$B$1:$B$1994,0),1),0)</f>
        <v>7</v>
      </c>
      <c r="L64" s="3">
        <f>Baupläne!K64</f>
        <v>14</v>
      </c>
      <c r="M64" s="3">
        <f>IF(N64&gt;0,INDEX(data_item!$A$1:$A$1994,MATCH(Baupläne!N64,data_item!$B$1:$B$994,0),1),0)</f>
        <v>101</v>
      </c>
      <c r="N64" s="3">
        <f>Baupläne!M64</f>
        <v>20</v>
      </c>
      <c r="O64" s="3">
        <f>IF(P64&gt;0,INDEX(data_item!$A$1:$A$1994,MATCH(Baupläne!P64,data_item!$B$1:$B$1994,0),1),0)</f>
        <v>0</v>
      </c>
      <c r="P64" s="3">
        <f>Baupläne!O64</f>
        <v>0</v>
      </c>
      <c r="Q64" s="3">
        <f>IF(R64&gt;0,INDEX(data_item!$A$1:$A$1994,MATCH(Baupläne!R64,data_item!$B$1:$B$1994,0),1),0)</f>
        <v>0</v>
      </c>
      <c r="R64" s="3">
        <f>Baupläne!Q64</f>
        <v>0</v>
      </c>
      <c r="S64" s="3">
        <f>IF(T64&gt;0,INDEX(data_item!$A$1:$A$1994,MATCH(Baupläne!T64,data_item!$B$1:$B$1994,0),1),0)</f>
        <v>0</v>
      </c>
      <c r="T64" s="3">
        <f>Baupläne!S64</f>
        <v>0</v>
      </c>
    </row>
    <row r="65" spans="1:20" x14ac:dyDescent="0.2">
      <c r="A65" s="3">
        <f>Baupläne!A65</f>
        <v>413</v>
      </c>
      <c r="B65" s="3" t="str">
        <f>Baupläne!C65</f>
        <v>Dietrich III</v>
      </c>
      <c r="C65" s="3">
        <f>Baupläne!B65</f>
        <v>413</v>
      </c>
      <c r="D65" s="3">
        <f>Baupläne!J65</f>
        <v>1</v>
      </c>
      <c r="E65" s="3">
        <f>Baupläne!H65</f>
        <v>15</v>
      </c>
      <c r="F65" s="3">
        <f>Baupläne!I65</f>
        <v>10</v>
      </c>
      <c r="G65" s="3">
        <f>Baupläne!E65</f>
        <v>32</v>
      </c>
      <c r="H65" s="3">
        <f>Baupläne!F65</f>
        <v>300</v>
      </c>
      <c r="I65" s="3">
        <f>0.5*Baupläne!Y65</f>
        <v>5000</v>
      </c>
      <c r="J65" s="3">
        <f>Baupläne!G65</f>
        <v>0</v>
      </c>
      <c r="K65" s="3">
        <f>IF(L65&gt;0,INDEX(data_item!$A$1:$A$1994,MATCH(Baupläne!L65,data_item!$B$1:$B$1994,0),1),0)</f>
        <v>8</v>
      </c>
      <c r="L65" s="3">
        <f>Baupläne!K65</f>
        <v>18</v>
      </c>
      <c r="M65" s="3">
        <f>IF(N65&gt;0,INDEX(data_item!$A$1:$A$1994,MATCH(Baupläne!N65,data_item!$B$1:$B$994,0),1),0)</f>
        <v>101</v>
      </c>
      <c r="N65" s="3">
        <f>Baupläne!M65</f>
        <v>30</v>
      </c>
      <c r="O65" s="3">
        <f>IF(P65&gt;0,INDEX(data_item!$A$1:$A$1994,MATCH(Baupläne!P65,data_item!$B$1:$B$1994,0),1),0)</f>
        <v>102</v>
      </c>
      <c r="P65" s="3">
        <f>Baupläne!O65</f>
        <v>5</v>
      </c>
      <c r="Q65" s="3">
        <f>IF(R65&gt;0,INDEX(data_item!$A$1:$A$1994,MATCH(Baupläne!R65,data_item!$B$1:$B$1994,0),1),0)</f>
        <v>0</v>
      </c>
      <c r="R65" s="3">
        <f>Baupläne!Q65</f>
        <v>0</v>
      </c>
      <c r="S65" s="3">
        <f>IF(T65&gt;0,INDEX(data_item!$A$1:$A$1994,MATCH(Baupläne!T65,data_item!$B$1:$B$1994,0),1),0)</f>
        <v>0</v>
      </c>
      <c r="T65" s="3">
        <f>Baupläne!S65</f>
        <v>0</v>
      </c>
    </row>
    <row r="66" spans="1:20" x14ac:dyDescent="0.2">
      <c r="A66" s="3">
        <f>Baupläne!A66</f>
        <v>414</v>
      </c>
      <c r="B66" s="3" t="str">
        <f>Baupläne!C66</f>
        <v>Dietrich IV</v>
      </c>
      <c r="C66" s="3">
        <f>Baupläne!B66</f>
        <v>414</v>
      </c>
      <c r="D66" s="3">
        <f>Baupläne!J66</f>
        <v>1</v>
      </c>
      <c r="E66" s="3">
        <f>Baupläne!H66</f>
        <v>15</v>
      </c>
      <c r="F66" s="3">
        <f>Baupläne!I66</f>
        <v>15</v>
      </c>
      <c r="G66" s="3">
        <f>Baupläne!E66</f>
        <v>32</v>
      </c>
      <c r="H66" s="3">
        <f>Baupläne!F66</f>
        <v>300</v>
      </c>
      <c r="I66" s="3">
        <f>0.5*Baupläne!Y66</f>
        <v>12500</v>
      </c>
      <c r="J66" s="3">
        <f>Baupläne!G66</f>
        <v>0</v>
      </c>
      <c r="K66" s="3">
        <f>IF(L66&gt;0,INDEX(data_item!$A$1:$A$1994,MATCH(Baupläne!L66,data_item!$B$1:$B$1994,0),1),0)</f>
        <v>9</v>
      </c>
      <c r="L66" s="3">
        <f>Baupläne!K66</f>
        <v>31</v>
      </c>
      <c r="M66" s="3">
        <f>IF(N66&gt;0,INDEX(data_item!$A$1:$A$1994,MATCH(Baupläne!N66,data_item!$B$1:$B$994,0),1),0)</f>
        <v>101</v>
      </c>
      <c r="N66" s="3">
        <f>Baupläne!M66</f>
        <v>62</v>
      </c>
      <c r="O66" s="3">
        <f>IF(P66&gt;0,INDEX(data_item!$A$1:$A$1994,MATCH(Baupläne!P66,data_item!$B$1:$B$1994,0),1),0)</f>
        <v>102</v>
      </c>
      <c r="P66" s="3">
        <f>Baupläne!O66</f>
        <v>16</v>
      </c>
      <c r="Q66" s="3">
        <f>IF(R66&gt;0,INDEX(data_item!$A$1:$A$1994,MATCH(Baupläne!R66,data_item!$B$1:$B$1994,0),1),0)</f>
        <v>0</v>
      </c>
      <c r="R66" s="3">
        <f>Baupläne!Q66</f>
        <v>0</v>
      </c>
      <c r="S66" s="3">
        <f>IF(T66&gt;0,INDEX(data_item!$A$1:$A$1994,MATCH(Baupläne!T66,data_item!$B$1:$B$1994,0),1),0)</f>
        <v>0</v>
      </c>
      <c r="T66" s="3">
        <f>Baupläne!S66</f>
        <v>0</v>
      </c>
    </row>
    <row r="67" spans="1:20" x14ac:dyDescent="0.2">
      <c r="A67" s="3">
        <f>Baupläne!A67</f>
        <v>415</v>
      </c>
      <c r="B67" s="3" t="str">
        <f>Baupläne!C67</f>
        <v>Dietrich V</v>
      </c>
      <c r="C67" s="3">
        <f>Baupläne!B67</f>
        <v>415</v>
      </c>
      <c r="D67" s="3">
        <f>Baupläne!J67</f>
        <v>1</v>
      </c>
      <c r="E67" s="3">
        <f>Baupläne!H67</f>
        <v>15</v>
      </c>
      <c r="F67" s="3">
        <f>Baupläne!I67</f>
        <v>20</v>
      </c>
      <c r="G67" s="3">
        <f>Baupläne!E67</f>
        <v>32</v>
      </c>
      <c r="H67" s="3">
        <f>Baupläne!F67</f>
        <v>300</v>
      </c>
      <c r="I67" s="3">
        <f>0.5*Baupläne!Y67</f>
        <v>25000</v>
      </c>
      <c r="J67" s="3">
        <f>Baupläne!G67</f>
        <v>0</v>
      </c>
      <c r="K67" s="3">
        <f>IF(L67&gt;0,INDEX(data_item!$A$1:$A$1994,MATCH(Baupläne!L67,data_item!$B$1:$B$1994,0),1),0)</f>
        <v>10</v>
      </c>
      <c r="L67" s="3">
        <f>Baupläne!K67</f>
        <v>46</v>
      </c>
      <c r="M67" s="3">
        <f>IF(N67&gt;0,INDEX(data_item!$A$1:$A$1994,MATCH(Baupläne!N67,data_item!$B$1:$B$994,0),1),0)</f>
        <v>101</v>
      </c>
      <c r="N67" s="3">
        <f>Baupläne!M67</f>
        <v>72</v>
      </c>
      <c r="O67" s="3">
        <f>IF(P67&gt;0,INDEX(data_item!$A$1:$A$1994,MATCH(Baupläne!P67,data_item!$B$1:$B$1994,0),1),0)</f>
        <v>102</v>
      </c>
      <c r="P67" s="3">
        <f>Baupläne!O67</f>
        <v>24</v>
      </c>
      <c r="Q67" s="3">
        <f>IF(R67&gt;0,INDEX(data_item!$A$1:$A$1994,MATCH(Baupläne!R67,data_item!$B$1:$B$1994,0),1),0)</f>
        <v>103</v>
      </c>
      <c r="R67" s="3">
        <f>Baupläne!Q67</f>
        <v>12</v>
      </c>
      <c r="S67" s="3">
        <f>IF(T67&gt;0,INDEX(data_item!$A$1:$A$1994,MATCH(Baupläne!T67,data_item!$B$1:$B$1994,0),1),0)</f>
        <v>0</v>
      </c>
      <c r="T67" s="3">
        <f>Baupläne!S67</f>
        <v>0</v>
      </c>
    </row>
    <row r="68" spans="1:20" x14ac:dyDescent="0.2">
      <c r="A68" s="3">
        <f>Baupläne!A68</f>
        <v>0</v>
      </c>
      <c r="B68" s="3">
        <f>Baupläne!C68</f>
        <v>0</v>
      </c>
      <c r="C68" s="3">
        <f>Baupläne!B68</f>
        <v>0</v>
      </c>
      <c r="D68" s="3">
        <f>Baupläne!J68</f>
        <v>0</v>
      </c>
      <c r="E68" s="3">
        <f>Baupläne!H68</f>
        <v>0</v>
      </c>
      <c r="F68" s="3">
        <f>Baupläne!I68</f>
        <v>0</v>
      </c>
      <c r="G68" s="3">
        <f>Baupläne!E68</f>
        <v>0</v>
      </c>
      <c r="H68" s="3">
        <f>Baupläne!F68</f>
        <v>0</v>
      </c>
      <c r="I68" s="3">
        <f>0.5*Baupläne!Y68</f>
        <v>0</v>
      </c>
      <c r="J68" s="3">
        <f>Baupläne!G68</f>
        <v>0</v>
      </c>
      <c r="K68" s="3">
        <f>IF(L68&gt;0,INDEX(data_item!$A$1:$A$1994,MATCH(Baupläne!L68,data_item!$B$1:$B$1994,0),1),0)</f>
        <v>0</v>
      </c>
      <c r="L68" s="3">
        <f>Baupläne!K68</f>
        <v>0</v>
      </c>
      <c r="M68" s="3">
        <f>IF(N68&gt;0,INDEX(data_item!$A$1:$A$1994,MATCH(Baupläne!N68,data_item!$B$1:$B$994,0),1),0)</f>
        <v>0</v>
      </c>
      <c r="N68" s="3">
        <f>Baupläne!M68</f>
        <v>0</v>
      </c>
      <c r="O68" s="3">
        <f>IF(P68&gt;0,INDEX(data_item!$A$1:$A$1994,MATCH(Baupläne!P68,data_item!$B$1:$B$1994,0),1),0)</f>
        <v>0</v>
      </c>
      <c r="P68" s="3">
        <f>Baupläne!O68</f>
        <v>0</v>
      </c>
      <c r="Q68" s="3">
        <f>IF(R68&gt;0,INDEX(data_item!$A$1:$A$1994,MATCH(Baupläne!R68,data_item!$B$1:$B$1994,0),1),0)</f>
        <v>0</v>
      </c>
      <c r="R68" s="3">
        <f>Baupläne!Q68</f>
        <v>0</v>
      </c>
      <c r="S68" s="3">
        <f>IF(T68&gt;0,INDEX(data_item!$A$1:$A$1994,MATCH(Baupläne!T68,data_item!$B$1:$B$1994,0),1),0)</f>
        <v>0</v>
      </c>
      <c r="T68" s="3">
        <f>Baupläne!S68</f>
        <v>0</v>
      </c>
    </row>
    <row r="69" spans="1:20" x14ac:dyDescent="0.2">
      <c r="A69" s="3">
        <f>Baupläne!A69</f>
        <v>1001</v>
      </c>
      <c r="B69" s="3" t="str">
        <f>Baupläne!C69</f>
        <v>Pfeile</v>
      </c>
      <c r="C69" s="3">
        <f>Baupläne!B69</f>
        <v>1001</v>
      </c>
      <c r="D69" s="3">
        <f>Baupläne!J69</f>
        <v>135</v>
      </c>
      <c r="E69" s="3">
        <f>Baupläne!H69</f>
        <v>64</v>
      </c>
      <c r="F69" s="3">
        <f>Baupläne!I69</f>
        <v>0</v>
      </c>
      <c r="G69" s="3">
        <f>Baupläne!E69</f>
        <v>32</v>
      </c>
      <c r="H69" s="3">
        <f>Baupläne!F69</f>
        <v>120</v>
      </c>
      <c r="I69" s="3">
        <f>0.5*Baupläne!Y69</f>
        <v>202.5</v>
      </c>
      <c r="J69" s="3">
        <f>Baupläne!G69</f>
        <v>1</v>
      </c>
      <c r="K69" s="3">
        <f>IF(L69&gt;0,INDEX(data_item!$A$1:$A$1994,MATCH(Baupläne!L69,data_item!$B$1:$B$1994,0),1),0)</f>
        <v>21</v>
      </c>
      <c r="L69" s="3">
        <f>Baupläne!K69</f>
        <v>6</v>
      </c>
      <c r="M69" s="3">
        <f>IF(N69&gt;0,INDEX(data_item!$A$1:$A$1994,MATCH(Baupläne!N69,data_item!$B$1:$B$994,0),1),0)</f>
        <v>123</v>
      </c>
      <c r="N69" s="3">
        <f>Baupläne!M69</f>
        <v>5</v>
      </c>
      <c r="O69" s="3">
        <f>IF(P69&gt;0,INDEX(data_item!$A$1:$A$1994,MATCH(Baupläne!P69,data_item!$B$1:$B$1994,0),1),0)</f>
        <v>0</v>
      </c>
      <c r="P69" s="3">
        <f>Baupläne!O69</f>
        <v>0</v>
      </c>
      <c r="Q69" s="3">
        <f>IF(R69&gt;0,INDEX(data_item!$A$1:$A$1994,MATCH(Baupläne!R69,data_item!$B$1:$B$1994,0),1),0)</f>
        <v>0</v>
      </c>
      <c r="R69" s="3">
        <f>Baupläne!Q69</f>
        <v>0</v>
      </c>
      <c r="S69" s="3">
        <f>IF(T69&gt;0,INDEX(data_item!$A$1:$A$1994,MATCH(Baupläne!T69,data_item!$B$1:$B$1994,0),1),0)</f>
        <v>0</v>
      </c>
      <c r="T69" s="3">
        <f>Baupläne!S69</f>
        <v>0</v>
      </c>
    </row>
    <row r="70" spans="1:20" x14ac:dyDescent="0.2">
      <c r="A70" s="3">
        <f>Baupläne!A70</f>
        <v>1002</v>
      </c>
      <c r="B70" s="3" t="str">
        <f>Baupläne!C70</f>
        <v>Jagdpfeile</v>
      </c>
      <c r="C70" s="3">
        <f>Baupläne!B70</f>
        <v>1002</v>
      </c>
      <c r="D70" s="3">
        <f>Baupläne!J70</f>
        <v>135</v>
      </c>
      <c r="E70" s="3">
        <f>Baupläne!H70</f>
        <v>64</v>
      </c>
      <c r="F70" s="3">
        <f>Baupläne!I70</f>
        <v>5</v>
      </c>
      <c r="G70" s="3">
        <f>Baupläne!E70</f>
        <v>32</v>
      </c>
      <c r="H70" s="3">
        <f>Baupläne!F70</f>
        <v>120</v>
      </c>
      <c r="I70" s="3">
        <f>0.5*Baupläne!Y70</f>
        <v>405</v>
      </c>
      <c r="J70" s="3">
        <f>Baupläne!G70</f>
        <v>2</v>
      </c>
      <c r="K70" s="3">
        <f>IF(L70&gt;0,INDEX(data_item!$A$1:$A$1994,MATCH(Baupläne!L70,data_item!$B$1:$B$1994,0),1),0)</f>
        <v>22</v>
      </c>
      <c r="L70" s="3">
        <f>Baupläne!K70</f>
        <v>6</v>
      </c>
      <c r="M70" s="3">
        <f>IF(N70&gt;0,INDEX(data_item!$A$1:$A$1994,MATCH(Baupläne!N70,data_item!$B$1:$B$994,0),1),0)</f>
        <v>123</v>
      </c>
      <c r="N70" s="3">
        <f>Baupläne!M70</f>
        <v>10</v>
      </c>
      <c r="O70" s="3">
        <f>IF(P70&gt;0,INDEX(data_item!$A$1:$A$1994,MATCH(Baupläne!P70,data_item!$B$1:$B$1994,0),1),0)</f>
        <v>0</v>
      </c>
      <c r="P70" s="3">
        <f>Baupläne!O70</f>
        <v>0</v>
      </c>
      <c r="Q70" s="3">
        <f>IF(R70&gt;0,INDEX(data_item!$A$1:$A$1994,MATCH(Baupläne!R70,data_item!$B$1:$B$1994,0),1),0)</f>
        <v>0</v>
      </c>
      <c r="R70" s="3">
        <f>Baupläne!Q70</f>
        <v>0</v>
      </c>
      <c r="S70" s="3">
        <f>IF(T70&gt;0,INDEX(data_item!$A$1:$A$1994,MATCH(Baupläne!T70,data_item!$B$1:$B$1994,0),1),0)</f>
        <v>0</v>
      </c>
      <c r="T70" s="3">
        <f>Baupläne!S70</f>
        <v>0</v>
      </c>
    </row>
    <row r="71" spans="1:20" x14ac:dyDescent="0.2">
      <c r="A71" s="3">
        <f>Baupläne!A71</f>
        <v>1003</v>
      </c>
      <c r="B71" s="3" t="str">
        <f>Baupläne!C71</f>
        <v>Kriegspfeile</v>
      </c>
      <c r="C71" s="3">
        <f>Baupläne!B71</f>
        <v>1003</v>
      </c>
      <c r="D71" s="3">
        <f>Baupläne!J71</f>
        <v>135</v>
      </c>
      <c r="E71" s="3">
        <f>Baupläne!H71</f>
        <v>64</v>
      </c>
      <c r="F71" s="3">
        <f>Baupläne!I71</f>
        <v>10</v>
      </c>
      <c r="G71" s="3">
        <f>Baupläne!E71</f>
        <v>32</v>
      </c>
      <c r="H71" s="3">
        <f>Baupläne!F71</f>
        <v>120</v>
      </c>
      <c r="I71" s="3">
        <f>0.5*Baupläne!Y71</f>
        <v>810</v>
      </c>
      <c r="J71" s="3">
        <f>Baupläne!G71</f>
        <v>3</v>
      </c>
      <c r="K71" s="3">
        <f>IF(L71&gt;0,INDEX(data_item!$A$1:$A$1994,MATCH(Baupläne!L71,data_item!$B$1:$B$1994,0),1),0)</f>
        <v>23</v>
      </c>
      <c r="L71" s="3">
        <f>Baupläne!K71</f>
        <v>8</v>
      </c>
      <c r="M71" s="3">
        <f>IF(N71&gt;0,INDEX(data_item!$A$1:$A$1994,MATCH(Baupläne!N71,data_item!$B$1:$B$994,0),1),0)</f>
        <v>123</v>
      </c>
      <c r="N71" s="3">
        <f>Baupläne!M71</f>
        <v>7</v>
      </c>
      <c r="O71" s="3">
        <f>IF(P71&gt;0,INDEX(data_item!$A$1:$A$1994,MATCH(Baupläne!P71,data_item!$B$1:$B$1994,0),1),0)</f>
        <v>124</v>
      </c>
      <c r="P71" s="3">
        <f>Baupläne!O71</f>
        <v>2</v>
      </c>
      <c r="Q71" s="3">
        <f>IF(R71&gt;0,INDEX(data_item!$A$1:$A$1994,MATCH(Baupläne!R71,data_item!$B$1:$B$1994,0),1),0)</f>
        <v>0</v>
      </c>
      <c r="R71" s="3">
        <f>Baupläne!Q71</f>
        <v>0</v>
      </c>
      <c r="S71" s="3">
        <f>IF(T71&gt;0,INDEX(data_item!$A$1:$A$1994,MATCH(Baupläne!T71,data_item!$B$1:$B$1994,0),1),0)</f>
        <v>0</v>
      </c>
      <c r="T71" s="3">
        <f>Baupläne!S71</f>
        <v>0</v>
      </c>
    </row>
    <row r="72" spans="1:20" x14ac:dyDescent="0.2">
      <c r="A72" s="3">
        <f>Baupläne!A72</f>
        <v>1004</v>
      </c>
      <c r="B72" s="3" t="str">
        <f>Baupläne!C72</f>
        <v>Götterstich</v>
      </c>
      <c r="C72" s="3">
        <f>Baupläne!B72</f>
        <v>1004</v>
      </c>
      <c r="D72" s="3">
        <f>Baupläne!J72</f>
        <v>135</v>
      </c>
      <c r="E72" s="3">
        <f>Baupläne!H72</f>
        <v>64</v>
      </c>
      <c r="F72" s="3">
        <f>Baupläne!I72</f>
        <v>15</v>
      </c>
      <c r="G72" s="3">
        <f>Baupläne!E72</f>
        <v>32</v>
      </c>
      <c r="H72" s="3">
        <f>Baupläne!F72</f>
        <v>120</v>
      </c>
      <c r="I72" s="3">
        <f>0.5*Baupläne!Y72</f>
        <v>1620</v>
      </c>
      <c r="J72" s="3">
        <f>Baupläne!G72</f>
        <v>4</v>
      </c>
      <c r="K72" s="3">
        <f>IF(L72&gt;0,INDEX(data_item!$A$1:$A$1994,MATCH(Baupläne!L72,data_item!$B$1:$B$1994,0),1),0)</f>
        <v>24</v>
      </c>
      <c r="L72" s="3">
        <f>Baupläne!K72</f>
        <v>11</v>
      </c>
      <c r="M72" s="3">
        <f>IF(N72&gt;0,INDEX(data_item!$A$1:$A$1994,MATCH(Baupläne!N72,data_item!$B$1:$B$994,0),1),0)</f>
        <v>123</v>
      </c>
      <c r="N72" s="3">
        <f>Baupläne!M72</f>
        <v>10</v>
      </c>
      <c r="O72" s="3">
        <f>IF(P72&gt;0,INDEX(data_item!$A$1:$A$1994,MATCH(Baupläne!P72,data_item!$B$1:$B$1994,0),1),0)</f>
        <v>124</v>
      </c>
      <c r="P72" s="3">
        <f>Baupläne!O72</f>
        <v>5</v>
      </c>
      <c r="Q72" s="3">
        <f>IF(R72&gt;0,INDEX(data_item!$A$1:$A$1994,MATCH(Baupläne!R72,data_item!$B$1:$B$1994,0),1),0)</f>
        <v>0</v>
      </c>
      <c r="R72" s="3">
        <f>Baupläne!Q72</f>
        <v>0</v>
      </c>
      <c r="S72" s="3">
        <f>IF(T72&gt;0,INDEX(data_item!$A$1:$A$1994,MATCH(Baupläne!T72,data_item!$B$1:$B$1994,0),1),0)</f>
        <v>0</v>
      </c>
      <c r="T72" s="3">
        <f>Baupläne!S72</f>
        <v>0</v>
      </c>
    </row>
    <row r="73" spans="1:20" x14ac:dyDescent="0.2">
      <c r="A73" s="3">
        <f>Baupläne!A73</f>
        <v>1005</v>
      </c>
      <c r="B73" s="3" t="str">
        <f>Baupläne!C73</f>
        <v>Panzerbrecher</v>
      </c>
      <c r="C73" s="3">
        <f>Baupläne!B73</f>
        <v>1005</v>
      </c>
      <c r="D73" s="3">
        <f>Baupläne!J73</f>
        <v>135</v>
      </c>
      <c r="E73" s="3">
        <f>Baupläne!H73</f>
        <v>64</v>
      </c>
      <c r="F73" s="3">
        <f>Baupläne!I73</f>
        <v>20</v>
      </c>
      <c r="G73" s="3">
        <f>Baupläne!E73</f>
        <v>32</v>
      </c>
      <c r="H73" s="3">
        <f>Baupläne!F73</f>
        <v>120</v>
      </c>
      <c r="I73" s="3">
        <f>0.5*Baupläne!Y73</f>
        <v>3307.5</v>
      </c>
      <c r="J73" s="3">
        <f>Baupläne!G73</f>
        <v>5</v>
      </c>
      <c r="K73" s="3">
        <f>IF(L73&gt;0,INDEX(data_item!$A$1:$A$1994,MATCH(Baupläne!L73,data_item!$B$1:$B$1994,0),1),0)</f>
        <v>25</v>
      </c>
      <c r="L73" s="3">
        <f>Baupläne!K73</f>
        <v>16</v>
      </c>
      <c r="M73" s="3">
        <f>IF(N73&gt;0,INDEX(data_item!$A$1:$A$1994,MATCH(Baupläne!N73,data_item!$B$1:$B$994,0),1),0)</f>
        <v>123</v>
      </c>
      <c r="N73" s="3">
        <f>Baupläne!M73</f>
        <v>9</v>
      </c>
      <c r="O73" s="3">
        <f>IF(P73&gt;0,INDEX(data_item!$A$1:$A$1994,MATCH(Baupläne!P73,data_item!$B$1:$B$1994,0),1),0)</f>
        <v>124</v>
      </c>
      <c r="P73" s="3">
        <f>Baupläne!O73</f>
        <v>8</v>
      </c>
      <c r="Q73" s="3">
        <f>IF(R73&gt;0,INDEX(data_item!$A$1:$A$1994,MATCH(Baupläne!R73,data_item!$B$1:$B$1994,0),1),0)</f>
        <v>125</v>
      </c>
      <c r="R73" s="3">
        <f>Baupläne!Q73</f>
        <v>1</v>
      </c>
      <c r="S73" s="3">
        <f>IF(T73&gt;0,INDEX(data_item!$A$1:$A$1994,MATCH(Baupläne!T73,data_item!$B$1:$B$1994,0),1),0)</f>
        <v>0</v>
      </c>
      <c r="T73" s="3">
        <f>Baupläne!S73</f>
        <v>0</v>
      </c>
    </row>
    <row r="74" spans="1:20" x14ac:dyDescent="0.2">
      <c r="A74" s="3">
        <f>Baupläne!A74</f>
        <v>0</v>
      </c>
      <c r="B74" s="3">
        <f>Baupläne!C74</f>
        <v>0</v>
      </c>
      <c r="C74" s="3">
        <f>Baupläne!B74</f>
        <v>0</v>
      </c>
      <c r="D74" s="3">
        <f>Baupläne!J74</f>
        <v>0</v>
      </c>
      <c r="E74" s="3">
        <f>Baupläne!H74</f>
        <v>0</v>
      </c>
      <c r="F74" s="3">
        <f>Baupläne!I74</f>
        <v>0</v>
      </c>
      <c r="G74" s="3">
        <f>Baupläne!E74</f>
        <v>0</v>
      </c>
      <c r="H74" s="3">
        <f>Baupläne!F74</f>
        <v>0</v>
      </c>
      <c r="I74" s="3">
        <f>0.5*Baupläne!Y74</f>
        <v>0</v>
      </c>
      <c r="J74" s="3">
        <f>Baupläne!G74</f>
        <v>0</v>
      </c>
      <c r="K74" s="3">
        <f>IF(L74&gt;0,INDEX(data_item!$A$1:$A$1994,MATCH(Baupläne!L74,data_item!$B$1:$B$1994,0),1),0)</f>
        <v>0</v>
      </c>
      <c r="L74" s="3">
        <f>Baupläne!K74</f>
        <v>0</v>
      </c>
      <c r="M74" s="3">
        <f>IF(N74&gt;0,INDEX(data_item!$A$1:$A$1994,MATCH(Baupläne!N74,data_item!$B$1:$B$994,0),1),0)</f>
        <v>0</v>
      </c>
      <c r="N74" s="3">
        <f>Baupläne!M74</f>
        <v>0</v>
      </c>
      <c r="O74" s="3">
        <f>IF(P74&gt;0,INDEX(data_item!$A$1:$A$1994,MATCH(Baupläne!P74,data_item!$B$1:$B$1994,0),1),0)</f>
        <v>0</v>
      </c>
      <c r="P74" s="3">
        <f>Baupläne!O74</f>
        <v>0</v>
      </c>
      <c r="Q74" s="3">
        <f>IF(R74&gt;0,INDEX(data_item!$A$1:$A$1994,MATCH(Baupläne!R74,data_item!$B$1:$B$1994,0),1),0)</f>
        <v>0</v>
      </c>
      <c r="R74" s="3">
        <f>Baupläne!Q74</f>
        <v>0</v>
      </c>
      <c r="S74" s="3">
        <f>IF(T74&gt;0,INDEX(data_item!$A$1:$A$1994,MATCH(Baupläne!T74,data_item!$B$1:$B$1994,0),1),0)</f>
        <v>0</v>
      </c>
      <c r="T74" s="3">
        <f>Baupläne!S74</f>
        <v>0</v>
      </c>
    </row>
    <row r="75" spans="1:20" x14ac:dyDescent="0.2">
      <c r="A75" s="3">
        <f>Baupläne!A75</f>
        <v>1011</v>
      </c>
      <c r="B75" s="3" t="str">
        <f>Baupläne!C75</f>
        <v>Bolzen</v>
      </c>
      <c r="C75" s="3">
        <f>Baupläne!B75</f>
        <v>1011</v>
      </c>
      <c r="D75" s="3">
        <f>Baupläne!J75</f>
        <v>50</v>
      </c>
      <c r="E75" s="3">
        <f>Baupläne!H75</f>
        <v>65</v>
      </c>
      <c r="F75" s="3">
        <f>Baupläne!I75</f>
        <v>0</v>
      </c>
      <c r="G75" s="3">
        <f>Baupläne!E75</f>
        <v>32</v>
      </c>
      <c r="H75" s="3">
        <f>Baupläne!F75</f>
        <v>120</v>
      </c>
      <c r="I75" s="3">
        <f>0.5*Baupläne!Y75</f>
        <v>200</v>
      </c>
      <c r="J75" s="3">
        <f>Baupläne!G75</f>
        <v>1</v>
      </c>
      <c r="K75" s="3">
        <f>IF(L75&gt;0,INDEX(data_item!$A$1:$A$1994,MATCH(Baupläne!L75,data_item!$B$1:$B$1994,0),1),0)</f>
        <v>21</v>
      </c>
      <c r="L75" s="3">
        <f>Baupläne!K75</f>
        <v>6</v>
      </c>
      <c r="M75" s="3">
        <f>IF(N75&gt;0,INDEX(data_item!$A$1:$A$1994,MATCH(Baupläne!N75,data_item!$B$1:$B$994,0),1),0)</f>
        <v>123</v>
      </c>
      <c r="N75" s="3">
        <f>Baupläne!M75</f>
        <v>5</v>
      </c>
      <c r="O75" s="3">
        <f>IF(P75&gt;0,INDEX(data_item!$A$1:$A$1994,MATCH(Baupläne!P75,data_item!$B$1:$B$1994,0),1),0)</f>
        <v>0</v>
      </c>
      <c r="P75" s="3">
        <f>Baupläne!O75</f>
        <v>0</v>
      </c>
      <c r="Q75" s="3">
        <f>IF(R75&gt;0,INDEX(data_item!$A$1:$A$1994,MATCH(Baupläne!R75,data_item!$B$1:$B$1994,0),1),0)</f>
        <v>0</v>
      </c>
      <c r="R75" s="3">
        <f>Baupläne!Q75</f>
        <v>0</v>
      </c>
      <c r="S75" s="3">
        <f>IF(T75&gt;0,INDEX(data_item!$A$1:$A$1994,MATCH(Baupläne!T75,data_item!$B$1:$B$1994,0),1),0)</f>
        <v>0</v>
      </c>
      <c r="T75" s="3">
        <f>Baupläne!S75</f>
        <v>0</v>
      </c>
    </row>
    <row r="76" spans="1:20" x14ac:dyDescent="0.2">
      <c r="A76" s="3">
        <f>Baupläne!A76</f>
        <v>1012</v>
      </c>
      <c r="B76" s="3" t="str">
        <f>Baupläne!C76</f>
        <v>Jagdbolzen</v>
      </c>
      <c r="C76" s="3">
        <f>Baupläne!B76</f>
        <v>1012</v>
      </c>
      <c r="D76" s="3">
        <f>Baupläne!J76</f>
        <v>50</v>
      </c>
      <c r="E76" s="3">
        <f>Baupläne!H76</f>
        <v>65</v>
      </c>
      <c r="F76" s="3">
        <f>Baupläne!I76</f>
        <v>5</v>
      </c>
      <c r="G76" s="3">
        <f>Baupläne!E76</f>
        <v>32</v>
      </c>
      <c r="H76" s="3">
        <f>Baupläne!F76</f>
        <v>120</v>
      </c>
      <c r="I76" s="3">
        <f>0.5*Baupläne!Y76</f>
        <v>400</v>
      </c>
      <c r="J76" s="3">
        <f>Baupläne!G76</f>
        <v>2</v>
      </c>
      <c r="K76" s="3">
        <f>IF(L76&gt;0,INDEX(data_item!$A$1:$A$1994,MATCH(Baupläne!L76,data_item!$B$1:$B$1994,0),1),0)</f>
        <v>22</v>
      </c>
      <c r="L76" s="3">
        <f>Baupläne!K76</f>
        <v>6</v>
      </c>
      <c r="M76" s="3">
        <f>IF(N76&gt;0,INDEX(data_item!$A$1:$A$1994,MATCH(Baupläne!N76,data_item!$B$1:$B$994,0),1),0)</f>
        <v>123</v>
      </c>
      <c r="N76" s="3">
        <f>Baupläne!M76</f>
        <v>10</v>
      </c>
      <c r="O76" s="3">
        <f>IF(P76&gt;0,INDEX(data_item!$A$1:$A$1994,MATCH(Baupläne!P76,data_item!$B$1:$B$1994,0),1),0)</f>
        <v>0</v>
      </c>
      <c r="P76" s="3">
        <f>Baupläne!O76</f>
        <v>0</v>
      </c>
      <c r="Q76" s="3">
        <f>IF(R76&gt;0,INDEX(data_item!$A$1:$A$1994,MATCH(Baupläne!R76,data_item!$B$1:$B$1994,0),1),0)</f>
        <v>0</v>
      </c>
      <c r="R76" s="3">
        <f>Baupläne!Q76</f>
        <v>0</v>
      </c>
      <c r="S76" s="3">
        <f>IF(T76&gt;0,INDEX(data_item!$A$1:$A$1994,MATCH(Baupläne!T76,data_item!$B$1:$B$1994,0),1),0)</f>
        <v>0</v>
      </c>
      <c r="T76" s="3">
        <f>Baupläne!S76</f>
        <v>0</v>
      </c>
    </row>
    <row r="77" spans="1:20" x14ac:dyDescent="0.2">
      <c r="A77" s="3">
        <f>Baupläne!A77</f>
        <v>1013</v>
      </c>
      <c r="B77" s="3" t="str">
        <f>Baupläne!C77</f>
        <v>Kriegsbolzen</v>
      </c>
      <c r="C77" s="3">
        <f>Baupläne!B77</f>
        <v>1013</v>
      </c>
      <c r="D77" s="3">
        <f>Baupläne!J77</f>
        <v>50</v>
      </c>
      <c r="E77" s="3">
        <f>Baupläne!H77</f>
        <v>65</v>
      </c>
      <c r="F77" s="3">
        <f>Baupläne!I77</f>
        <v>10</v>
      </c>
      <c r="G77" s="3">
        <f>Baupläne!E77</f>
        <v>32</v>
      </c>
      <c r="H77" s="3">
        <f>Baupläne!F77</f>
        <v>120</v>
      </c>
      <c r="I77" s="3">
        <f>0.5*Baupläne!Y77</f>
        <v>800</v>
      </c>
      <c r="J77" s="3">
        <f>Baupläne!G77</f>
        <v>3</v>
      </c>
      <c r="K77" s="3">
        <f>IF(L77&gt;0,INDEX(data_item!$A$1:$A$1994,MATCH(Baupläne!L77,data_item!$B$1:$B$1994,0),1),0)</f>
        <v>23</v>
      </c>
      <c r="L77" s="3">
        <f>Baupläne!K77</f>
        <v>8</v>
      </c>
      <c r="M77" s="3">
        <f>IF(N77&gt;0,INDEX(data_item!$A$1:$A$1994,MATCH(Baupläne!N77,data_item!$B$1:$B$994,0),1),0)</f>
        <v>123</v>
      </c>
      <c r="N77" s="3">
        <f>Baupläne!M77</f>
        <v>7</v>
      </c>
      <c r="O77" s="3">
        <f>IF(P77&gt;0,INDEX(data_item!$A$1:$A$1994,MATCH(Baupläne!P77,data_item!$B$1:$B$1994,0),1),0)</f>
        <v>124</v>
      </c>
      <c r="P77" s="3">
        <f>Baupläne!O77</f>
        <v>2</v>
      </c>
      <c r="Q77" s="3">
        <f>IF(R77&gt;0,INDEX(data_item!$A$1:$A$1994,MATCH(Baupläne!R77,data_item!$B$1:$B$1994,0),1),0)</f>
        <v>0</v>
      </c>
      <c r="R77" s="3">
        <f>Baupläne!Q77</f>
        <v>0</v>
      </c>
      <c r="S77" s="3">
        <f>IF(T77&gt;0,INDEX(data_item!$A$1:$A$1994,MATCH(Baupläne!T77,data_item!$B$1:$B$1994,0),1),0)</f>
        <v>0</v>
      </c>
      <c r="T77" s="3">
        <f>Baupläne!S77</f>
        <v>0</v>
      </c>
    </row>
    <row r="78" spans="1:20" x14ac:dyDescent="0.2">
      <c r="A78" s="3">
        <f>Baupläne!A78</f>
        <v>1014</v>
      </c>
      <c r="B78" s="3" t="str">
        <f>Baupläne!C78</f>
        <v>Dämonendorn</v>
      </c>
      <c r="C78" s="3">
        <f>Baupläne!B78</f>
        <v>1014</v>
      </c>
      <c r="D78" s="3">
        <f>Baupläne!J78</f>
        <v>50</v>
      </c>
      <c r="E78" s="3">
        <f>Baupläne!H78</f>
        <v>65</v>
      </c>
      <c r="F78" s="3">
        <f>Baupläne!I78</f>
        <v>15</v>
      </c>
      <c r="G78" s="3">
        <f>Baupläne!E78</f>
        <v>32</v>
      </c>
      <c r="H78" s="3">
        <f>Baupläne!F78</f>
        <v>120</v>
      </c>
      <c r="I78" s="3">
        <f>0.5*Baupläne!Y78</f>
        <v>1625</v>
      </c>
      <c r="J78" s="3">
        <f>Baupläne!G78</f>
        <v>4</v>
      </c>
      <c r="K78" s="3">
        <f>IF(L78&gt;0,INDEX(data_item!$A$1:$A$1994,MATCH(Baupläne!L78,data_item!$B$1:$B$1994,0),1),0)</f>
        <v>24</v>
      </c>
      <c r="L78" s="3">
        <f>Baupläne!K78</f>
        <v>11</v>
      </c>
      <c r="M78" s="3">
        <f>IF(N78&gt;0,INDEX(data_item!$A$1:$A$1994,MATCH(Baupläne!N78,data_item!$B$1:$B$994,0),1),0)</f>
        <v>123</v>
      </c>
      <c r="N78" s="3">
        <f>Baupläne!M78</f>
        <v>10</v>
      </c>
      <c r="O78" s="3">
        <f>IF(P78&gt;0,INDEX(data_item!$A$1:$A$1994,MATCH(Baupläne!P78,data_item!$B$1:$B$1994,0),1),0)</f>
        <v>124</v>
      </c>
      <c r="P78" s="3">
        <f>Baupläne!O78</f>
        <v>5</v>
      </c>
      <c r="Q78" s="3">
        <f>IF(R78&gt;0,INDEX(data_item!$A$1:$A$1994,MATCH(Baupläne!R78,data_item!$B$1:$B$1994,0),1),0)</f>
        <v>0</v>
      </c>
      <c r="R78" s="3">
        <f>Baupläne!Q78</f>
        <v>0</v>
      </c>
      <c r="S78" s="3">
        <f>IF(T78&gt;0,INDEX(data_item!$A$1:$A$1994,MATCH(Baupläne!T78,data_item!$B$1:$B$1994,0),1),0)</f>
        <v>0</v>
      </c>
      <c r="T78" s="3">
        <f>Baupläne!S78</f>
        <v>0</v>
      </c>
    </row>
    <row r="79" spans="1:20" x14ac:dyDescent="0.2">
      <c r="A79" s="3">
        <f>Baupläne!A79</f>
        <v>1015</v>
      </c>
      <c r="B79" s="3" t="str">
        <f>Baupläne!C79</f>
        <v>Steinbrecher</v>
      </c>
      <c r="C79" s="3">
        <f>Baupläne!B79</f>
        <v>1015</v>
      </c>
      <c r="D79" s="3">
        <f>Baupläne!J79</f>
        <v>50</v>
      </c>
      <c r="E79" s="3">
        <f>Baupläne!H79</f>
        <v>65</v>
      </c>
      <c r="F79" s="3">
        <f>Baupläne!I79</f>
        <v>20</v>
      </c>
      <c r="G79" s="3">
        <f>Baupläne!E79</f>
        <v>32</v>
      </c>
      <c r="H79" s="3">
        <f>Baupläne!F79</f>
        <v>120</v>
      </c>
      <c r="I79" s="3">
        <f>0.5*Baupläne!Y79</f>
        <v>3275</v>
      </c>
      <c r="J79" s="3">
        <f>Baupläne!G79</f>
        <v>5</v>
      </c>
      <c r="K79" s="3">
        <f>IF(L79&gt;0,INDEX(data_item!$A$1:$A$1994,MATCH(Baupläne!L79,data_item!$B$1:$B$1994,0),1),0)</f>
        <v>25</v>
      </c>
      <c r="L79" s="3">
        <f>Baupläne!K79</f>
        <v>16</v>
      </c>
      <c r="M79" s="3">
        <f>IF(N79&gt;0,INDEX(data_item!$A$1:$A$1994,MATCH(Baupläne!N79,data_item!$B$1:$B$994,0),1),0)</f>
        <v>123</v>
      </c>
      <c r="N79" s="3">
        <f>Baupläne!M79</f>
        <v>9</v>
      </c>
      <c r="O79" s="3">
        <f>IF(P79&gt;0,INDEX(data_item!$A$1:$A$1994,MATCH(Baupläne!P79,data_item!$B$1:$B$1994,0),1),0)</f>
        <v>124</v>
      </c>
      <c r="P79" s="3">
        <f>Baupläne!O79</f>
        <v>8</v>
      </c>
      <c r="Q79" s="3">
        <f>IF(R79&gt;0,INDEX(data_item!$A$1:$A$1994,MATCH(Baupläne!R79,data_item!$B$1:$B$1994,0),1),0)</f>
        <v>125</v>
      </c>
      <c r="R79" s="3">
        <f>Baupläne!Q79</f>
        <v>1</v>
      </c>
      <c r="S79" s="3">
        <f>IF(T79&gt;0,INDEX(data_item!$A$1:$A$1994,MATCH(Baupläne!T79,data_item!$B$1:$B$1994,0),1),0)</f>
        <v>0</v>
      </c>
      <c r="T79" s="3">
        <f>Baupläne!S79</f>
        <v>0</v>
      </c>
    </row>
    <row r="80" spans="1:20" x14ac:dyDescent="0.2">
      <c r="A80" s="3">
        <f>Baupläne!A80</f>
        <v>0</v>
      </c>
      <c r="B80" s="3">
        <f>Baupläne!C80</f>
        <v>0</v>
      </c>
      <c r="C80" s="3">
        <f>Baupläne!B80</f>
        <v>0</v>
      </c>
      <c r="D80" s="3">
        <f>Baupläne!J80</f>
        <v>0</v>
      </c>
      <c r="E80" s="3">
        <f>Baupläne!H80</f>
        <v>0</v>
      </c>
      <c r="F80" s="3">
        <f>Baupläne!I80</f>
        <v>0</v>
      </c>
      <c r="G80" s="3">
        <f>Baupläne!E80</f>
        <v>0</v>
      </c>
      <c r="H80" s="3">
        <f>Baupläne!F80</f>
        <v>0</v>
      </c>
      <c r="I80" s="3">
        <f>0.5*Baupläne!Y80</f>
        <v>0</v>
      </c>
      <c r="J80" s="3">
        <f>Baupläne!G80</f>
        <v>0</v>
      </c>
      <c r="K80" s="3">
        <f>IF(L80&gt;0,INDEX(data_item!$A$1:$A$1994,MATCH(Baupläne!L80,data_item!$B$1:$B$1994,0),1),0)</f>
        <v>0</v>
      </c>
      <c r="L80" s="3">
        <f>Baupläne!K80</f>
        <v>0</v>
      </c>
      <c r="M80" s="3">
        <f>IF(N80&gt;0,INDEX(data_item!$A$1:$A$1994,MATCH(Baupläne!N80,data_item!$B$1:$B$994,0),1),0)</f>
        <v>0</v>
      </c>
      <c r="N80" s="3">
        <f>Baupläne!M80</f>
        <v>0</v>
      </c>
      <c r="O80" s="3">
        <f>IF(P80&gt;0,INDEX(data_item!$A$1:$A$1994,MATCH(Baupläne!P80,data_item!$B$1:$B$1994,0),1),0)</f>
        <v>0</v>
      </c>
      <c r="P80" s="3">
        <f>Baupläne!O80</f>
        <v>0</v>
      </c>
      <c r="Q80" s="3">
        <f>IF(R80&gt;0,INDEX(data_item!$A$1:$A$1994,MATCH(Baupläne!R80,data_item!$B$1:$B$1994,0),1),0)</f>
        <v>0</v>
      </c>
      <c r="R80" s="3">
        <f>Baupläne!Q80</f>
        <v>0</v>
      </c>
      <c r="S80" s="3">
        <f>IF(T80&gt;0,INDEX(data_item!$A$1:$A$1994,MATCH(Baupläne!T80,data_item!$B$1:$B$1994,0),1),0)</f>
        <v>0</v>
      </c>
      <c r="T80" s="3">
        <f>Baupläne!S80</f>
        <v>0</v>
      </c>
    </row>
    <row r="81" spans="1:20" x14ac:dyDescent="0.2">
      <c r="A81" s="3">
        <f>Baupläne!A81</f>
        <v>1021</v>
      </c>
      <c r="B81" s="3" t="str">
        <f>Baupläne!C81</f>
        <v>Magieessenz</v>
      </c>
      <c r="C81" s="3">
        <f>Baupläne!B81</f>
        <v>1021</v>
      </c>
      <c r="D81" s="3">
        <f>Baupläne!J81</f>
        <v>100</v>
      </c>
      <c r="E81" s="3">
        <f>Baupläne!H81</f>
        <v>67</v>
      </c>
      <c r="F81" s="3">
        <f>Baupläne!I81</f>
        <v>0</v>
      </c>
      <c r="G81" s="3">
        <f>Baupläne!E81</f>
        <v>34</v>
      </c>
      <c r="H81" s="3">
        <f>Baupläne!F81</f>
        <v>120</v>
      </c>
      <c r="I81" s="3">
        <f>0.5*Baupläne!Y81</f>
        <v>200</v>
      </c>
      <c r="J81" s="3">
        <f>Baupläne!G81</f>
        <v>1</v>
      </c>
      <c r="K81" s="3">
        <f>IF(L81&gt;0,INDEX(data_item!$A$1:$A$1994,MATCH(Baupläne!L81,data_item!$B$1:$B$1994,0),1),0)</f>
        <v>51</v>
      </c>
      <c r="L81" s="3">
        <f>Baupläne!K81</f>
        <v>6</v>
      </c>
      <c r="M81" s="3">
        <f>IF(N81&gt;0,INDEX(data_item!$A$1:$A$1994,MATCH(Baupläne!N81,data_item!$B$1:$B$994,0),1),0)</f>
        <v>120</v>
      </c>
      <c r="N81" s="3">
        <f>Baupläne!M81</f>
        <v>2</v>
      </c>
      <c r="O81" s="3">
        <f>IF(P81&gt;0,INDEX(data_item!$A$1:$A$1994,MATCH(Baupläne!P81,data_item!$B$1:$B$1994,0),1),0)</f>
        <v>0</v>
      </c>
      <c r="P81" s="3">
        <f>Baupläne!O81</f>
        <v>0</v>
      </c>
      <c r="Q81" s="3">
        <f>IF(R81&gt;0,INDEX(data_item!$A$1:$A$1994,MATCH(Baupläne!R81,data_item!$B$1:$B$1994,0),1),0)</f>
        <v>0</v>
      </c>
      <c r="R81" s="3">
        <f>Baupläne!Q81</f>
        <v>0</v>
      </c>
      <c r="S81" s="3">
        <f>IF(T81&gt;0,INDEX(data_item!$A$1:$A$1994,MATCH(Baupläne!T81,data_item!$B$1:$B$1994,0),1),0)</f>
        <v>0</v>
      </c>
      <c r="T81" s="3">
        <f>Baupläne!S81</f>
        <v>0</v>
      </c>
    </row>
    <row r="82" spans="1:20" x14ac:dyDescent="0.2">
      <c r="A82" s="3">
        <f>Baupläne!A82</f>
        <v>1022</v>
      </c>
      <c r="B82" s="3" t="str">
        <f>Baupläne!C82</f>
        <v>Todesessenz</v>
      </c>
      <c r="C82" s="3">
        <f>Baupläne!B82</f>
        <v>1022</v>
      </c>
      <c r="D82" s="3">
        <f>Baupläne!J82</f>
        <v>100</v>
      </c>
      <c r="E82" s="3">
        <f>Baupläne!H82</f>
        <v>67</v>
      </c>
      <c r="F82" s="3">
        <f>Baupläne!I82</f>
        <v>5</v>
      </c>
      <c r="G82" s="3">
        <f>Baupläne!E82</f>
        <v>34</v>
      </c>
      <c r="H82" s="3">
        <f>Baupläne!F82</f>
        <v>120</v>
      </c>
      <c r="I82" s="3">
        <f>0.5*Baupläne!Y82</f>
        <v>400</v>
      </c>
      <c r="J82" s="3">
        <f>Baupläne!G82</f>
        <v>2</v>
      </c>
      <c r="K82" s="3">
        <f>IF(L82&gt;0,INDEX(data_item!$A$1:$A$1994,MATCH(Baupläne!L82,data_item!$B$1:$B$1994,0),1),0)</f>
        <v>52</v>
      </c>
      <c r="L82" s="3">
        <f>Baupläne!K82</f>
        <v>6</v>
      </c>
      <c r="M82" s="3">
        <f>IF(N82&gt;0,INDEX(data_item!$A$1:$A$1994,MATCH(Baupläne!N82,data_item!$B$1:$B$994,0),1),0)</f>
        <v>120</v>
      </c>
      <c r="N82" s="3">
        <f>Baupläne!M82</f>
        <v>4</v>
      </c>
      <c r="O82" s="3">
        <f>IF(P82&gt;0,INDEX(data_item!$A$1:$A$1994,MATCH(Baupläne!P82,data_item!$B$1:$B$1994,0),1),0)</f>
        <v>0</v>
      </c>
      <c r="P82" s="3">
        <f>Baupläne!O82</f>
        <v>0</v>
      </c>
      <c r="Q82" s="3">
        <f>IF(R82&gt;0,INDEX(data_item!$A$1:$A$1994,MATCH(Baupläne!R82,data_item!$B$1:$B$1994,0),1),0)</f>
        <v>0</v>
      </c>
      <c r="R82" s="3">
        <f>Baupläne!Q82</f>
        <v>0</v>
      </c>
      <c r="S82" s="3">
        <f>IF(T82&gt;0,INDEX(data_item!$A$1:$A$1994,MATCH(Baupläne!T82,data_item!$B$1:$B$1994,0),1),0)</f>
        <v>0</v>
      </c>
      <c r="T82" s="3">
        <f>Baupläne!S82</f>
        <v>0</v>
      </c>
    </row>
    <row r="83" spans="1:20" x14ac:dyDescent="0.2">
      <c r="A83" s="3">
        <f>Baupläne!A83</f>
        <v>1023</v>
      </c>
      <c r="B83" s="3" t="str">
        <f>Baupläne!C83</f>
        <v>Schattenessenz</v>
      </c>
      <c r="C83" s="3">
        <f>Baupläne!B83</f>
        <v>1023</v>
      </c>
      <c r="D83" s="3">
        <f>Baupläne!J83</f>
        <v>100</v>
      </c>
      <c r="E83" s="3">
        <f>Baupläne!H83</f>
        <v>67</v>
      </c>
      <c r="F83" s="3">
        <f>Baupläne!I83</f>
        <v>10</v>
      </c>
      <c r="G83" s="3">
        <f>Baupläne!E83</f>
        <v>34</v>
      </c>
      <c r="H83" s="3">
        <f>Baupläne!F83</f>
        <v>120</v>
      </c>
      <c r="I83" s="3">
        <f>0.5*Baupläne!Y83</f>
        <v>800</v>
      </c>
      <c r="J83" s="3">
        <f>Baupläne!G83</f>
        <v>3</v>
      </c>
      <c r="K83" s="3">
        <f>IF(L83&gt;0,INDEX(data_item!$A$1:$A$1994,MATCH(Baupläne!L83,data_item!$B$1:$B$1994,0),1),0)</f>
        <v>53</v>
      </c>
      <c r="L83" s="3">
        <f>Baupläne!K83</f>
        <v>8</v>
      </c>
      <c r="M83" s="3">
        <f>IF(N83&gt;0,INDEX(data_item!$A$1:$A$1994,MATCH(Baupläne!N83,data_item!$B$1:$B$994,0),1),0)</f>
        <v>120</v>
      </c>
      <c r="N83" s="3">
        <f>Baupläne!M83</f>
        <v>5</v>
      </c>
      <c r="O83" s="3">
        <f>IF(P83&gt;0,INDEX(data_item!$A$1:$A$1994,MATCH(Baupläne!P83,data_item!$B$1:$B$1994,0),1),0)</f>
        <v>121</v>
      </c>
      <c r="P83" s="3">
        <f>Baupläne!O83</f>
        <v>1</v>
      </c>
      <c r="Q83" s="3">
        <f>IF(R83&gt;0,INDEX(data_item!$A$1:$A$1994,MATCH(Baupläne!R83,data_item!$B$1:$B$1994,0),1),0)</f>
        <v>0</v>
      </c>
      <c r="R83" s="3">
        <f>Baupläne!Q83</f>
        <v>0</v>
      </c>
      <c r="S83" s="3">
        <f>IF(T83&gt;0,INDEX(data_item!$A$1:$A$1994,MATCH(Baupläne!T83,data_item!$B$1:$B$1994,0),1),0)</f>
        <v>0</v>
      </c>
      <c r="T83" s="3">
        <f>Baupläne!S83</f>
        <v>0</v>
      </c>
    </row>
    <row r="84" spans="1:20" x14ac:dyDescent="0.2">
      <c r="A84" s="3">
        <f>Baupläne!A84</f>
        <v>1024</v>
      </c>
      <c r="B84" s="3" t="str">
        <f>Baupläne!C84</f>
        <v>Mondessenz</v>
      </c>
      <c r="C84" s="3">
        <f>Baupläne!B84</f>
        <v>1024</v>
      </c>
      <c r="D84" s="3">
        <f>Baupläne!J84</f>
        <v>100</v>
      </c>
      <c r="E84" s="3">
        <f>Baupläne!H84</f>
        <v>67</v>
      </c>
      <c r="F84" s="3">
        <f>Baupläne!I84</f>
        <v>15</v>
      </c>
      <c r="G84" s="3">
        <f>Baupläne!E84</f>
        <v>34</v>
      </c>
      <c r="H84" s="3">
        <f>Baupläne!F84</f>
        <v>120</v>
      </c>
      <c r="I84" s="3">
        <f>0.5*Baupläne!Y84</f>
        <v>1650</v>
      </c>
      <c r="J84" s="3">
        <f>Baupläne!G84</f>
        <v>4</v>
      </c>
      <c r="K84" s="3">
        <f>IF(L84&gt;0,INDEX(data_item!$A$1:$A$1994,MATCH(Baupläne!L84,data_item!$B$1:$B$1994,0),1),0)</f>
        <v>54</v>
      </c>
      <c r="L84" s="3">
        <f>Baupläne!K84</f>
        <v>11</v>
      </c>
      <c r="M84" s="3">
        <f>IF(N84&gt;0,INDEX(data_item!$A$1:$A$1994,MATCH(Baupläne!N84,data_item!$B$1:$B$994,0),1),0)</f>
        <v>120</v>
      </c>
      <c r="N84" s="3">
        <f>Baupläne!M84</f>
        <v>7</v>
      </c>
      <c r="O84" s="3">
        <f>IF(P84&gt;0,INDEX(data_item!$A$1:$A$1994,MATCH(Baupläne!P84,data_item!$B$1:$B$1994,0),1),0)</f>
        <v>121</v>
      </c>
      <c r="P84" s="3">
        <f>Baupläne!O84</f>
        <v>3</v>
      </c>
      <c r="Q84" s="3">
        <f>IF(R84&gt;0,INDEX(data_item!$A$1:$A$1994,MATCH(Baupläne!R84,data_item!$B$1:$B$1994,0),1),0)</f>
        <v>0</v>
      </c>
      <c r="R84" s="3">
        <f>Baupläne!Q84</f>
        <v>0</v>
      </c>
      <c r="S84" s="3">
        <f>IF(T84&gt;0,INDEX(data_item!$A$1:$A$1994,MATCH(Baupläne!T84,data_item!$B$1:$B$1994,0),1),0)</f>
        <v>0</v>
      </c>
      <c r="T84" s="3">
        <f>Baupläne!S84</f>
        <v>0</v>
      </c>
    </row>
    <row r="85" spans="1:20" x14ac:dyDescent="0.2">
      <c r="A85" s="3">
        <f>Baupläne!A85</f>
        <v>1025</v>
      </c>
      <c r="B85" s="3" t="str">
        <f>Baupläne!C85</f>
        <v>Sternenessenz</v>
      </c>
      <c r="C85" s="3">
        <f>Baupläne!B85</f>
        <v>1025</v>
      </c>
      <c r="D85" s="3">
        <f>Baupläne!J85</f>
        <v>100</v>
      </c>
      <c r="E85" s="3">
        <f>Baupläne!H85</f>
        <v>67</v>
      </c>
      <c r="F85" s="3">
        <f>Baupläne!I85</f>
        <v>20</v>
      </c>
      <c r="G85" s="3">
        <f>Baupläne!E85</f>
        <v>34</v>
      </c>
      <c r="H85" s="3">
        <f>Baupläne!F85</f>
        <v>120</v>
      </c>
      <c r="I85" s="3">
        <f>0.5*Baupläne!Y85</f>
        <v>3250</v>
      </c>
      <c r="J85" s="3">
        <f>Baupläne!G85</f>
        <v>5</v>
      </c>
      <c r="K85" s="3">
        <f>IF(L85&gt;0,INDEX(data_item!$A$1:$A$1994,MATCH(Baupläne!L85,data_item!$B$1:$B$1994,0),1),0)</f>
        <v>55</v>
      </c>
      <c r="L85" s="3">
        <f>Baupläne!K85</f>
        <v>16</v>
      </c>
      <c r="M85" s="3">
        <f>IF(N85&gt;0,INDEX(data_item!$A$1:$A$1994,MATCH(Baupläne!N85,data_item!$B$1:$B$994,0),1),0)</f>
        <v>120</v>
      </c>
      <c r="N85" s="3">
        <f>Baupläne!M85</f>
        <v>8</v>
      </c>
      <c r="O85" s="3">
        <f>IF(P85&gt;0,INDEX(data_item!$A$1:$A$1994,MATCH(Baupläne!P85,data_item!$B$1:$B$1994,0),1),0)</f>
        <v>121</v>
      </c>
      <c r="P85" s="3">
        <f>Baupläne!O85</f>
        <v>5</v>
      </c>
      <c r="Q85" s="3">
        <f>IF(R85&gt;0,INDEX(data_item!$A$1:$A$1994,MATCH(Baupläne!R85,data_item!$B$1:$B$1994,0),1),0)</f>
        <v>122</v>
      </c>
      <c r="R85" s="3">
        <f>Baupläne!Q85</f>
        <v>1</v>
      </c>
      <c r="S85" s="3">
        <f>IF(T85&gt;0,INDEX(data_item!$A$1:$A$1994,MATCH(Baupläne!T85,data_item!$B$1:$B$1994,0),1),0)</f>
        <v>0</v>
      </c>
      <c r="T85" s="3">
        <f>Baupläne!S85</f>
        <v>0</v>
      </c>
    </row>
    <row r="86" spans="1:20" x14ac:dyDescent="0.2">
      <c r="A86" s="3">
        <f>Baupläne!A86</f>
        <v>0</v>
      </c>
      <c r="B86" s="3">
        <f>Baupläne!C86</f>
        <v>0</v>
      </c>
      <c r="C86" s="3">
        <f>Baupläne!B86</f>
        <v>0</v>
      </c>
      <c r="D86" s="3">
        <f>Baupläne!J86</f>
        <v>0</v>
      </c>
      <c r="E86" s="3">
        <f>Baupläne!H86</f>
        <v>0</v>
      </c>
      <c r="F86" s="3">
        <f>Baupläne!I86</f>
        <v>0</v>
      </c>
      <c r="G86" s="3">
        <f>Baupläne!E86</f>
        <v>0</v>
      </c>
      <c r="H86" s="3">
        <f>Baupläne!F86</f>
        <v>0</v>
      </c>
      <c r="I86" s="3">
        <f>0.5*Baupläne!Y86</f>
        <v>0</v>
      </c>
      <c r="J86" s="3">
        <f>Baupläne!G86</f>
        <v>0</v>
      </c>
      <c r="K86" s="3">
        <f>IF(L86&gt;0,INDEX(data_item!$A$1:$A$1994,MATCH(Baupläne!L86,data_item!$B$1:$B$1994,0),1),0)</f>
        <v>0</v>
      </c>
      <c r="L86" s="3">
        <f>Baupläne!K86</f>
        <v>0</v>
      </c>
      <c r="M86" s="3">
        <f>IF(N86&gt;0,INDEX(data_item!$A$1:$A$1994,MATCH(Baupläne!N86,data_item!$B$1:$B$994,0),1),0)</f>
        <v>0</v>
      </c>
      <c r="N86" s="3">
        <f>Baupläne!M86</f>
        <v>0</v>
      </c>
      <c r="O86" s="3">
        <f>IF(P86&gt;0,INDEX(data_item!$A$1:$A$1994,MATCH(Baupläne!P86,data_item!$B$1:$B$1994,0),1),0)</f>
        <v>0</v>
      </c>
      <c r="P86" s="3">
        <f>Baupläne!O86</f>
        <v>0</v>
      </c>
      <c r="Q86" s="3">
        <f>IF(R86&gt;0,INDEX(data_item!$A$1:$A$1994,MATCH(Baupläne!R86,data_item!$B$1:$B$1994,0),1),0)</f>
        <v>0</v>
      </c>
      <c r="R86" s="3">
        <f>Baupläne!Q86</f>
        <v>0</v>
      </c>
      <c r="S86" s="3">
        <f>IF(T86&gt;0,INDEX(data_item!$A$1:$A$1994,MATCH(Baupläne!T86,data_item!$B$1:$B$1994,0),1),0)</f>
        <v>0</v>
      </c>
      <c r="T86" s="3">
        <f>Baupläne!S86</f>
        <v>0</v>
      </c>
    </row>
    <row r="87" spans="1:20" x14ac:dyDescent="0.2">
      <c r="A87" s="3">
        <f>Baupläne!A87</f>
        <v>1101</v>
      </c>
      <c r="B87" s="3" t="str">
        <f>Baupläne!C87</f>
        <v>Kurzschwert</v>
      </c>
      <c r="C87" s="3">
        <f>Baupläne!B87</f>
        <v>1101</v>
      </c>
      <c r="D87" s="3">
        <f>Baupläne!J87</f>
        <v>0</v>
      </c>
      <c r="E87" s="3">
        <f>Baupläne!H87</f>
        <v>56</v>
      </c>
      <c r="F87" s="3">
        <f>Baupläne!I87</f>
        <v>0</v>
      </c>
      <c r="G87" s="3">
        <f>Baupläne!E87</f>
        <v>30</v>
      </c>
      <c r="H87" s="3">
        <f>Baupläne!F87</f>
        <v>420</v>
      </c>
      <c r="I87" s="3">
        <f>0.5*Baupläne!Y87</f>
        <v>600</v>
      </c>
      <c r="J87" s="3">
        <f>Baupläne!G87</f>
        <v>1</v>
      </c>
      <c r="K87" s="3">
        <f>IF(L87&gt;0,INDEX(data_item!$A$1:$A$1994,MATCH(Baupläne!L87,data_item!$B$1:$B$1994,0),1),0)</f>
        <v>6</v>
      </c>
      <c r="L87" s="3">
        <f>Baupläne!K87</f>
        <v>7</v>
      </c>
      <c r="M87" s="3">
        <f>IF(N87&gt;0,INDEX(data_item!$A$1:$A$1994,MATCH(Baupläne!N87,data_item!$B$1:$B$994,0),1),0)</f>
        <v>101</v>
      </c>
      <c r="N87" s="3">
        <f>Baupläne!M87</f>
        <v>5</v>
      </c>
      <c r="O87" s="3">
        <f>IF(P87&gt;0,INDEX(data_item!$A$1:$A$1994,MATCH(Baupläne!P87,data_item!$B$1:$B$1994,0),1),0)</f>
        <v>0</v>
      </c>
      <c r="P87" s="3">
        <f>Baupläne!O87</f>
        <v>0</v>
      </c>
      <c r="Q87" s="3">
        <f>IF(R87&gt;0,INDEX(data_item!$A$1:$A$1994,MATCH(Baupläne!R87,data_item!$B$1:$B$1994,0),1),0)</f>
        <v>0</v>
      </c>
      <c r="R87" s="3">
        <f>Baupläne!Q87</f>
        <v>0</v>
      </c>
      <c r="S87" s="3">
        <f>IF(T87&gt;0,INDEX(data_item!$A$1:$A$1994,MATCH(Baupläne!T87,data_item!$B$1:$B$1994,0),1),0)</f>
        <v>0</v>
      </c>
      <c r="T87" s="3">
        <f>Baupläne!S87</f>
        <v>0</v>
      </c>
    </row>
    <row r="88" spans="1:20" x14ac:dyDescent="0.2">
      <c r="A88" s="3">
        <f>Baupläne!A88</f>
        <v>1102</v>
      </c>
      <c r="B88" s="3" t="str">
        <f>Baupläne!C88</f>
        <v>Schwert</v>
      </c>
      <c r="C88" s="3">
        <f>Baupläne!B88</f>
        <v>1102</v>
      </c>
      <c r="D88" s="3">
        <f>Baupläne!J88</f>
        <v>0</v>
      </c>
      <c r="E88" s="3">
        <f>Baupläne!H88</f>
        <v>56</v>
      </c>
      <c r="F88" s="3">
        <f>Baupläne!I88</f>
        <v>3</v>
      </c>
      <c r="G88" s="3">
        <f>Baupläne!E88</f>
        <v>30</v>
      </c>
      <c r="H88" s="3">
        <f>Baupläne!F88</f>
        <v>420</v>
      </c>
      <c r="I88" s="3">
        <f>0.5*Baupläne!Y88</f>
        <v>900</v>
      </c>
      <c r="J88" s="3">
        <f>Baupläne!G88</f>
        <v>1</v>
      </c>
      <c r="K88" s="3">
        <f>IF(L88&gt;0,INDEX(data_item!$A$1:$A$1994,MATCH(Baupläne!L88,data_item!$B$1:$B$1994,0),1),0)</f>
        <v>6</v>
      </c>
      <c r="L88" s="3">
        <f>Baupläne!K88</f>
        <v>10</v>
      </c>
      <c r="M88" s="3">
        <f>IF(N88&gt;0,INDEX(data_item!$A$1:$A$1994,MATCH(Baupläne!N88,data_item!$B$1:$B$994,0),1),0)</f>
        <v>101</v>
      </c>
      <c r="N88" s="3">
        <f>Baupläne!M88</f>
        <v>7</v>
      </c>
      <c r="O88" s="3">
        <f>IF(P88&gt;0,INDEX(data_item!$A$1:$A$1994,MATCH(Baupläne!P88,data_item!$B$1:$B$1994,0),1),0)</f>
        <v>0</v>
      </c>
      <c r="P88" s="3">
        <f>Baupläne!O88</f>
        <v>0</v>
      </c>
      <c r="Q88" s="3">
        <f>IF(R88&gt;0,INDEX(data_item!$A$1:$A$1994,MATCH(Baupläne!R88,data_item!$B$1:$B$1994,0),1),0)</f>
        <v>0</v>
      </c>
      <c r="R88" s="3">
        <f>Baupläne!Q88</f>
        <v>0</v>
      </c>
      <c r="S88" s="3">
        <f>IF(T88&gt;0,INDEX(data_item!$A$1:$A$1994,MATCH(Baupläne!T88,data_item!$B$1:$B$1994,0),1),0)</f>
        <v>0</v>
      </c>
      <c r="T88" s="3">
        <f>Baupläne!S88</f>
        <v>0</v>
      </c>
    </row>
    <row r="89" spans="1:20" x14ac:dyDescent="0.2">
      <c r="A89" s="3">
        <f>Baupläne!A89</f>
        <v>1103</v>
      </c>
      <c r="B89" s="3" t="str">
        <f>Baupläne!C89</f>
        <v>Breitschwert</v>
      </c>
      <c r="C89" s="3">
        <f>Baupläne!B89</f>
        <v>1103</v>
      </c>
      <c r="D89" s="3">
        <f>Baupläne!J89</f>
        <v>0</v>
      </c>
      <c r="E89" s="3">
        <f>Baupläne!H89</f>
        <v>56</v>
      </c>
      <c r="F89" s="3">
        <f>Baupläne!I89</f>
        <v>5</v>
      </c>
      <c r="G89" s="3">
        <f>Baupläne!E89</f>
        <v>30</v>
      </c>
      <c r="H89" s="3">
        <f>Baupläne!F89</f>
        <v>420</v>
      </c>
      <c r="I89" s="3">
        <f>0.5*Baupläne!Y89</f>
        <v>1200</v>
      </c>
      <c r="J89" s="3">
        <f>Baupläne!G89</f>
        <v>2</v>
      </c>
      <c r="K89" s="3">
        <f>IF(L89&gt;0,INDEX(data_item!$A$1:$A$1994,MATCH(Baupläne!L89,data_item!$B$1:$B$1994,0),1),0)</f>
        <v>7</v>
      </c>
      <c r="L89" s="3">
        <f>Baupläne!K89</f>
        <v>7</v>
      </c>
      <c r="M89" s="3">
        <f>IF(N89&gt;0,INDEX(data_item!$A$1:$A$1994,MATCH(Baupläne!N89,data_item!$B$1:$B$994,0),1),0)</f>
        <v>101</v>
      </c>
      <c r="N89" s="3">
        <f>Baupläne!M89</f>
        <v>10</v>
      </c>
      <c r="O89" s="3">
        <f>IF(P89&gt;0,INDEX(data_item!$A$1:$A$1994,MATCH(Baupläne!P89,data_item!$B$1:$B$1994,0),1),0)</f>
        <v>0</v>
      </c>
      <c r="P89" s="3">
        <f>Baupläne!O89</f>
        <v>0</v>
      </c>
      <c r="Q89" s="3">
        <f>IF(R89&gt;0,INDEX(data_item!$A$1:$A$1994,MATCH(Baupläne!R89,data_item!$B$1:$B$1994,0),1),0)</f>
        <v>0</v>
      </c>
      <c r="R89" s="3">
        <f>Baupläne!Q89</f>
        <v>0</v>
      </c>
      <c r="S89" s="3">
        <f>IF(T89&gt;0,INDEX(data_item!$A$1:$A$1994,MATCH(Baupläne!T89,data_item!$B$1:$B$1994,0),1),0)</f>
        <v>0</v>
      </c>
      <c r="T89" s="3">
        <f>Baupläne!S89</f>
        <v>0</v>
      </c>
    </row>
    <row r="90" spans="1:20" x14ac:dyDescent="0.2">
      <c r="A90" s="3">
        <f>Baupläne!A90</f>
        <v>1104</v>
      </c>
      <c r="B90" s="3" t="str">
        <f>Baupläne!C90</f>
        <v>Säbel</v>
      </c>
      <c r="C90" s="3">
        <f>Baupläne!B90</f>
        <v>1104</v>
      </c>
      <c r="D90" s="3">
        <f>Baupläne!J90</f>
        <v>0</v>
      </c>
      <c r="E90" s="3">
        <f>Baupläne!H90</f>
        <v>56</v>
      </c>
      <c r="F90" s="3">
        <f>Baupläne!I90</f>
        <v>8</v>
      </c>
      <c r="G90" s="3">
        <f>Baupläne!E90</f>
        <v>30</v>
      </c>
      <c r="H90" s="3">
        <f>Baupläne!F90</f>
        <v>420</v>
      </c>
      <c r="I90" s="3">
        <f>0.5*Baupläne!Y90</f>
        <v>1850</v>
      </c>
      <c r="J90" s="3">
        <f>Baupläne!G90</f>
        <v>2</v>
      </c>
      <c r="K90" s="3">
        <f>IF(L90&gt;0,INDEX(data_item!$A$1:$A$1994,MATCH(Baupläne!L90,data_item!$B$1:$B$1994,0),1),0)</f>
        <v>7</v>
      </c>
      <c r="L90" s="3">
        <f>Baupläne!K90</f>
        <v>10</v>
      </c>
      <c r="M90" s="3">
        <f>IF(N90&gt;0,INDEX(data_item!$A$1:$A$1994,MATCH(Baupläne!N90,data_item!$B$1:$B$994,0),1),0)</f>
        <v>101</v>
      </c>
      <c r="N90" s="3">
        <f>Baupläne!M90</f>
        <v>15</v>
      </c>
      <c r="O90" s="3">
        <f>IF(P90&gt;0,INDEX(data_item!$A$1:$A$1994,MATCH(Baupläne!P90,data_item!$B$1:$B$1994,0),1),0)</f>
        <v>0</v>
      </c>
      <c r="P90" s="3">
        <f>Baupläne!O90</f>
        <v>0</v>
      </c>
      <c r="Q90" s="3">
        <f>IF(R90&gt;0,INDEX(data_item!$A$1:$A$1994,MATCH(Baupläne!R90,data_item!$B$1:$B$1994,0),1),0)</f>
        <v>0</v>
      </c>
      <c r="R90" s="3">
        <f>Baupläne!Q90</f>
        <v>0</v>
      </c>
      <c r="S90" s="3">
        <f>IF(T90&gt;0,INDEX(data_item!$A$1:$A$1994,MATCH(Baupläne!T90,data_item!$B$1:$B$1994,0),1),0)</f>
        <v>0</v>
      </c>
      <c r="T90" s="3">
        <f>Baupläne!S90</f>
        <v>0</v>
      </c>
    </row>
    <row r="91" spans="1:20" x14ac:dyDescent="0.2">
      <c r="A91" s="3">
        <f>Baupläne!A91</f>
        <v>1105</v>
      </c>
      <c r="B91" s="3" t="str">
        <f>Baupläne!C91</f>
        <v>Krummsäbel</v>
      </c>
      <c r="C91" s="3">
        <f>Baupläne!B91</f>
        <v>1105</v>
      </c>
      <c r="D91" s="3">
        <f>Baupläne!J91</f>
        <v>0</v>
      </c>
      <c r="E91" s="3">
        <f>Baupläne!H91</f>
        <v>56</v>
      </c>
      <c r="F91" s="3">
        <f>Baupläne!I91</f>
        <v>10</v>
      </c>
      <c r="G91" s="3">
        <f>Baupläne!E91</f>
        <v>30</v>
      </c>
      <c r="H91" s="3">
        <f>Baupläne!F91</f>
        <v>420</v>
      </c>
      <c r="I91" s="3">
        <f>0.5*Baupläne!Y91</f>
        <v>2450</v>
      </c>
      <c r="J91" s="3">
        <f>Baupläne!G91</f>
        <v>3</v>
      </c>
      <c r="K91" s="3">
        <f>IF(L91&gt;0,INDEX(data_item!$A$1:$A$1994,MATCH(Baupläne!L91,data_item!$B$1:$B$1994,0),1),0)</f>
        <v>8</v>
      </c>
      <c r="L91" s="3">
        <f>Baupläne!K91</f>
        <v>9</v>
      </c>
      <c r="M91" s="3">
        <f>IF(N91&gt;0,INDEX(data_item!$A$1:$A$1994,MATCH(Baupläne!N91,data_item!$B$1:$B$994,0),1),0)</f>
        <v>101</v>
      </c>
      <c r="N91" s="3">
        <f>Baupläne!M91</f>
        <v>5</v>
      </c>
      <c r="O91" s="3">
        <f>IF(P91&gt;0,INDEX(data_item!$A$1:$A$1994,MATCH(Baupläne!P91,data_item!$B$1:$B$1994,0),1),0)</f>
        <v>102</v>
      </c>
      <c r="P91" s="3">
        <f>Baupläne!O91</f>
        <v>6</v>
      </c>
      <c r="Q91" s="3">
        <f>IF(R91&gt;0,INDEX(data_item!$A$1:$A$1994,MATCH(Baupläne!R91,data_item!$B$1:$B$1994,0),1),0)</f>
        <v>0</v>
      </c>
      <c r="R91" s="3">
        <f>Baupläne!Q91</f>
        <v>0</v>
      </c>
      <c r="S91" s="3">
        <f>IF(T91&gt;0,INDEX(data_item!$A$1:$A$1994,MATCH(Baupläne!T91,data_item!$B$1:$B$1994,0),1),0)</f>
        <v>0</v>
      </c>
      <c r="T91" s="3">
        <f>Baupläne!S91</f>
        <v>0</v>
      </c>
    </row>
    <row r="92" spans="1:20" x14ac:dyDescent="0.2">
      <c r="A92" s="3">
        <f>Baupläne!A92</f>
        <v>1106</v>
      </c>
      <c r="B92" s="3" t="str">
        <f>Baupläne!C92</f>
        <v>Langschwert</v>
      </c>
      <c r="C92" s="3">
        <f>Baupläne!B92</f>
        <v>1106</v>
      </c>
      <c r="D92" s="3">
        <f>Baupläne!J92</f>
        <v>0</v>
      </c>
      <c r="E92" s="3">
        <f>Baupläne!H92</f>
        <v>56</v>
      </c>
      <c r="F92" s="3">
        <f>Baupläne!I92</f>
        <v>13</v>
      </c>
      <c r="G92" s="3">
        <f>Baupläne!E92</f>
        <v>30</v>
      </c>
      <c r="H92" s="3">
        <f>Baupläne!F92</f>
        <v>420</v>
      </c>
      <c r="I92" s="3">
        <f>0.5*Baupläne!Y92</f>
        <v>3700</v>
      </c>
      <c r="J92" s="3">
        <f>Baupläne!G92</f>
        <v>3</v>
      </c>
      <c r="K92" s="3">
        <f>IF(L92&gt;0,INDEX(data_item!$A$1:$A$1994,MATCH(Baupläne!L92,data_item!$B$1:$B$1994,0),1),0)</f>
        <v>8</v>
      </c>
      <c r="L92" s="3">
        <f>Baupläne!K92</f>
        <v>14</v>
      </c>
      <c r="M92" s="3">
        <f>IF(N92&gt;0,INDEX(data_item!$A$1:$A$1994,MATCH(Baupläne!N92,data_item!$B$1:$B$994,0),1),0)</f>
        <v>101</v>
      </c>
      <c r="N92" s="3">
        <f>Baupläne!M92</f>
        <v>3</v>
      </c>
      <c r="O92" s="3">
        <f>IF(P92&gt;0,INDEX(data_item!$A$1:$A$1994,MATCH(Baupläne!P92,data_item!$B$1:$B$1994,0),1),0)</f>
        <v>102</v>
      </c>
      <c r="P92" s="3">
        <f>Baupläne!O92</f>
        <v>11</v>
      </c>
      <c r="Q92" s="3">
        <f>IF(R92&gt;0,INDEX(data_item!$A$1:$A$1994,MATCH(Baupläne!R92,data_item!$B$1:$B$1994,0),1),0)</f>
        <v>0</v>
      </c>
      <c r="R92" s="3">
        <f>Baupläne!Q92</f>
        <v>0</v>
      </c>
      <c r="S92" s="3">
        <f>IF(T92&gt;0,INDEX(data_item!$A$1:$A$1994,MATCH(Baupläne!T92,data_item!$B$1:$B$1994,0),1),0)</f>
        <v>0</v>
      </c>
      <c r="T92" s="3">
        <f>Baupläne!S92</f>
        <v>0</v>
      </c>
    </row>
    <row r="93" spans="1:20" x14ac:dyDescent="0.2">
      <c r="A93" s="3">
        <f>Baupläne!A93</f>
        <v>1107</v>
      </c>
      <c r="B93" s="3" t="str">
        <f>Baupläne!C93</f>
        <v>Krummschwert</v>
      </c>
      <c r="C93" s="3">
        <f>Baupläne!B93</f>
        <v>1107</v>
      </c>
      <c r="D93" s="3">
        <f>Baupläne!J93</f>
        <v>0</v>
      </c>
      <c r="E93" s="3">
        <f>Baupläne!H93</f>
        <v>56</v>
      </c>
      <c r="F93" s="3">
        <f>Baupläne!I93</f>
        <v>15</v>
      </c>
      <c r="G93" s="3">
        <f>Baupläne!E93</f>
        <v>30</v>
      </c>
      <c r="H93" s="3">
        <f>Baupläne!F93</f>
        <v>420</v>
      </c>
      <c r="I93" s="3">
        <f>0.5*Baupläne!Y93</f>
        <v>4900</v>
      </c>
      <c r="J93" s="3">
        <f>Baupläne!G93</f>
        <v>4</v>
      </c>
      <c r="K93" s="3">
        <f>IF(L93&gt;0,INDEX(data_item!$A$1:$A$1994,MATCH(Baupläne!L93,data_item!$B$1:$B$1994,0),1),0)</f>
        <v>9</v>
      </c>
      <c r="L93" s="3">
        <f>Baupläne!K93</f>
        <v>12</v>
      </c>
      <c r="M93" s="3">
        <f>IF(N93&gt;0,INDEX(data_item!$A$1:$A$1994,MATCH(Baupläne!N93,data_item!$B$1:$B$994,0),1),0)</f>
        <v>101</v>
      </c>
      <c r="N93" s="3">
        <f>Baupläne!M93</f>
        <v>5</v>
      </c>
      <c r="O93" s="3">
        <f>IF(P93&gt;0,INDEX(data_item!$A$1:$A$1994,MATCH(Baupläne!P93,data_item!$B$1:$B$1994,0),1),0)</f>
        <v>102</v>
      </c>
      <c r="P93" s="3">
        <f>Baupläne!O93</f>
        <v>14</v>
      </c>
      <c r="Q93" s="3">
        <f>IF(R93&gt;0,INDEX(data_item!$A$1:$A$1994,MATCH(Baupläne!R93,data_item!$B$1:$B$1994,0),1),0)</f>
        <v>0</v>
      </c>
      <c r="R93" s="3">
        <f>Baupläne!Q93</f>
        <v>0</v>
      </c>
      <c r="S93" s="3">
        <f>IF(T93&gt;0,INDEX(data_item!$A$1:$A$1994,MATCH(Baupläne!T93,data_item!$B$1:$B$1994,0),1),0)</f>
        <v>0</v>
      </c>
      <c r="T93" s="3">
        <f>Baupläne!S93</f>
        <v>0</v>
      </c>
    </row>
    <row r="94" spans="1:20" x14ac:dyDescent="0.2">
      <c r="A94" s="3">
        <f>Baupläne!A94</f>
        <v>1108</v>
      </c>
      <c r="B94" s="3" t="str">
        <f>Baupläne!C94</f>
        <v>Gladius</v>
      </c>
      <c r="C94" s="3">
        <f>Baupläne!B94</f>
        <v>1108</v>
      </c>
      <c r="D94" s="3">
        <f>Baupläne!J94</f>
        <v>0</v>
      </c>
      <c r="E94" s="3">
        <f>Baupläne!H94</f>
        <v>56</v>
      </c>
      <c r="F94" s="3">
        <f>Baupläne!I94</f>
        <v>18</v>
      </c>
      <c r="G94" s="3">
        <f>Baupläne!E94</f>
        <v>30</v>
      </c>
      <c r="H94" s="3">
        <f>Baupläne!F94</f>
        <v>420</v>
      </c>
      <c r="I94" s="3">
        <f>0.5*Baupläne!Y94</f>
        <v>7450</v>
      </c>
      <c r="J94" s="3">
        <f>Baupläne!G94</f>
        <v>4</v>
      </c>
      <c r="K94" s="3">
        <f>IF(L94&gt;0,INDEX(data_item!$A$1:$A$1994,MATCH(Baupläne!L94,data_item!$B$1:$B$1994,0),1),0)</f>
        <v>9</v>
      </c>
      <c r="L94" s="3">
        <f>Baupläne!K94</f>
        <v>18</v>
      </c>
      <c r="M94" s="3">
        <f>IF(N94&gt;0,INDEX(data_item!$A$1:$A$1994,MATCH(Baupläne!N94,data_item!$B$1:$B$994,0),1),0)</f>
        <v>101</v>
      </c>
      <c r="N94" s="3">
        <f>Baupläne!M94</f>
        <v>6</v>
      </c>
      <c r="O94" s="3">
        <f>IF(P94&gt;0,INDEX(data_item!$A$1:$A$1994,MATCH(Baupläne!P94,data_item!$B$1:$B$1994,0),1),0)</f>
        <v>102</v>
      </c>
      <c r="P94" s="3">
        <f>Baupläne!O94</f>
        <v>22</v>
      </c>
      <c r="Q94" s="3">
        <f>IF(R94&gt;0,INDEX(data_item!$A$1:$A$1994,MATCH(Baupläne!R94,data_item!$B$1:$B$1994,0),1),0)</f>
        <v>0</v>
      </c>
      <c r="R94" s="3">
        <f>Baupläne!Q94</f>
        <v>0</v>
      </c>
      <c r="S94" s="3">
        <f>IF(T94&gt;0,INDEX(data_item!$A$1:$A$1994,MATCH(Baupläne!T94,data_item!$B$1:$B$1994,0),1),0)</f>
        <v>0</v>
      </c>
      <c r="T94" s="3">
        <f>Baupläne!S94</f>
        <v>0</v>
      </c>
    </row>
    <row r="95" spans="1:20" x14ac:dyDescent="0.2">
      <c r="A95" s="3">
        <f>Baupläne!A95</f>
        <v>1109</v>
      </c>
      <c r="B95" s="3" t="str">
        <f>Baupläne!C95</f>
        <v>Schimmerklinge</v>
      </c>
      <c r="C95" s="3">
        <f>Baupläne!B95</f>
        <v>1109</v>
      </c>
      <c r="D95" s="3">
        <f>Baupläne!J95</f>
        <v>0</v>
      </c>
      <c r="E95" s="3">
        <f>Baupläne!H95</f>
        <v>56</v>
      </c>
      <c r="F95" s="3">
        <f>Baupläne!I95</f>
        <v>21</v>
      </c>
      <c r="G95" s="3">
        <f>Baupläne!E95</f>
        <v>30</v>
      </c>
      <c r="H95" s="3">
        <f>Baupläne!F95</f>
        <v>420</v>
      </c>
      <c r="I95" s="3">
        <f>0.5*Baupläne!Y95</f>
        <v>11300</v>
      </c>
      <c r="J95" s="3">
        <f>Baupläne!G95</f>
        <v>5</v>
      </c>
      <c r="K95" s="3">
        <f>IF(L95&gt;0,INDEX(data_item!$A$1:$A$1994,MATCH(Baupläne!L95,data_item!$B$1:$B$1994,0),1),0)</f>
        <v>10</v>
      </c>
      <c r="L95" s="3">
        <f>Baupläne!K95</f>
        <v>21</v>
      </c>
      <c r="M95" s="3">
        <f>IF(N95&gt;0,INDEX(data_item!$A$1:$A$1994,MATCH(Baupläne!N95,data_item!$B$1:$B$994,0),1),0)</f>
        <v>101</v>
      </c>
      <c r="N95" s="3">
        <f>Baupläne!M95</f>
        <v>5</v>
      </c>
      <c r="O95" s="3">
        <f>IF(P95&gt;0,INDEX(data_item!$A$1:$A$1994,MATCH(Baupläne!P95,data_item!$B$1:$B$1994,0),1),0)</f>
        <v>102</v>
      </c>
      <c r="P95" s="3">
        <f>Baupläne!O95</f>
        <v>10</v>
      </c>
      <c r="Q95" s="3">
        <f>IF(R95&gt;0,INDEX(data_item!$A$1:$A$1994,MATCH(Baupläne!R95,data_item!$B$1:$B$1994,0),1),0)</f>
        <v>103</v>
      </c>
      <c r="R95" s="3">
        <f>Baupläne!Q95</f>
        <v>10</v>
      </c>
      <c r="S95" s="3">
        <f>IF(T95&gt;0,INDEX(data_item!$A$1:$A$1994,MATCH(Baupläne!T95,data_item!$B$1:$B$1994,0),1),0)</f>
        <v>0</v>
      </c>
      <c r="T95" s="3">
        <f>Baupläne!S95</f>
        <v>0</v>
      </c>
    </row>
    <row r="96" spans="1:20" x14ac:dyDescent="0.2">
      <c r="A96" s="3">
        <f>Baupläne!A96</f>
        <v>1110</v>
      </c>
      <c r="B96" s="3" t="str">
        <f>Baupläne!C96</f>
        <v>Lilienklinge</v>
      </c>
      <c r="C96" s="3">
        <f>Baupläne!B96</f>
        <v>1110</v>
      </c>
      <c r="D96" s="3">
        <f>Baupläne!J96</f>
        <v>0</v>
      </c>
      <c r="E96" s="3">
        <f>Baupläne!H96</f>
        <v>56</v>
      </c>
      <c r="F96" s="3">
        <f>Baupläne!I96</f>
        <v>24</v>
      </c>
      <c r="G96" s="3">
        <f>Baupläne!E96</f>
        <v>30</v>
      </c>
      <c r="H96" s="3">
        <f>Baupläne!F96</f>
        <v>420</v>
      </c>
      <c r="I96" s="3">
        <f>0.5*Baupläne!Y96</f>
        <v>17200</v>
      </c>
      <c r="J96" s="3">
        <f>Baupläne!G96</f>
        <v>5</v>
      </c>
      <c r="K96" s="3">
        <f>IF(L96&gt;0,INDEX(data_item!$A$1:$A$1994,MATCH(Baupläne!L96,data_item!$B$1:$B$1994,0),1),0)</f>
        <v>10</v>
      </c>
      <c r="L96" s="3">
        <f>Baupläne!K96</f>
        <v>32</v>
      </c>
      <c r="M96" s="3">
        <f>IF(N96&gt;0,INDEX(data_item!$A$1:$A$1994,MATCH(Baupläne!N96,data_item!$B$1:$B$994,0),1),0)</f>
        <v>101</v>
      </c>
      <c r="N96" s="3">
        <f>Baupläne!M96</f>
        <v>6</v>
      </c>
      <c r="O96" s="3">
        <f>IF(P96&gt;0,INDEX(data_item!$A$1:$A$1994,MATCH(Baupläne!P96,data_item!$B$1:$B$1994,0),1),0)</f>
        <v>102</v>
      </c>
      <c r="P96" s="3">
        <f>Baupläne!O96</f>
        <v>14</v>
      </c>
      <c r="Q96" s="3">
        <f>IF(R96&gt;0,INDEX(data_item!$A$1:$A$1994,MATCH(Baupläne!R96,data_item!$B$1:$B$1994,0),1),0)</f>
        <v>103</v>
      </c>
      <c r="R96" s="3">
        <f>Baupläne!Q96</f>
        <v>16</v>
      </c>
      <c r="S96" s="3">
        <f>IF(T96&gt;0,INDEX(data_item!$A$1:$A$1994,MATCH(Baupläne!T96,data_item!$B$1:$B$1994,0),1),0)</f>
        <v>0</v>
      </c>
      <c r="T96" s="3">
        <f>Baupläne!S96</f>
        <v>0</v>
      </c>
    </row>
    <row r="97" spans="1:20" x14ac:dyDescent="0.2">
      <c r="A97" s="3">
        <f>Baupläne!A97</f>
        <v>0</v>
      </c>
      <c r="B97" s="3">
        <f>Baupläne!C97</f>
        <v>0</v>
      </c>
      <c r="C97" s="3">
        <f>Baupläne!B97</f>
        <v>0</v>
      </c>
      <c r="D97" s="3">
        <f>Baupläne!J97</f>
        <v>0</v>
      </c>
      <c r="E97" s="3">
        <f>Baupläne!H97</f>
        <v>0</v>
      </c>
      <c r="F97" s="3">
        <f>Baupläne!I97</f>
        <v>0</v>
      </c>
      <c r="G97" s="3">
        <f>Baupläne!E97</f>
        <v>0</v>
      </c>
      <c r="H97" s="3">
        <f>Baupläne!F97</f>
        <v>0</v>
      </c>
      <c r="I97" s="3">
        <f>0.5*Baupläne!Y97</f>
        <v>0</v>
      </c>
      <c r="J97" s="3">
        <f>Baupläne!G97</f>
        <v>0</v>
      </c>
      <c r="K97" s="3">
        <f>IF(L97&gt;0,INDEX(data_item!$A$1:$A$1994,MATCH(Baupläne!L97,data_item!$B$1:$B$1994,0),1),0)</f>
        <v>0</v>
      </c>
      <c r="L97" s="3">
        <f>Baupläne!K97</f>
        <v>0</v>
      </c>
      <c r="M97" s="3">
        <f>IF(N97&gt;0,INDEX(data_item!$A$1:$A$1994,MATCH(Baupläne!N97,data_item!$B$1:$B$994,0),1),0)</f>
        <v>0</v>
      </c>
      <c r="N97" s="3">
        <f>Baupläne!M97</f>
        <v>0</v>
      </c>
      <c r="O97" s="3">
        <f>IF(P97&gt;0,INDEX(data_item!$A$1:$A$1994,MATCH(Baupläne!P97,data_item!$B$1:$B$1994,0),1),0)</f>
        <v>0</v>
      </c>
      <c r="P97" s="3">
        <f>Baupläne!O97</f>
        <v>0</v>
      </c>
      <c r="Q97" s="3">
        <f>IF(R97&gt;0,INDEX(data_item!$A$1:$A$1994,MATCH(Baupläne!R97,data_item!$B$1:$B$1994,0),1),0)</f>
        <v>0</v>
      </c>
      <c r="R97" s="3">
        <f>Baupläne!Q97</f>
        <v>0</v>
      </c>
      <c r="S97" s="3">
        <f>IF(T97&gt;0,INDEX(data_item!$A$1:$A$1994,MATCH(Baupläne!T97,data_item!$B$1:$B$1994,0),1),0)</f>
        <v>0</v>
      </c>
      <c r="T97" s="3">
        <f>Baupläne!S97</f>
        <v>0</v>
      </c>
    </row>
    <row r="98" spans="1:20" x14ac:dyDescent="0.2">
      <c r="A98" s="3">
        <f>Baupläne!A98</f>
        <v>1111</v>
      </c>
      <c r="B98" s="3" t="str">
        <f>Baupläne!C98</f>
        <v>Bastardschwert</v>
      </c>
      <c r="C98" s="3">
        <f>Baupläne!B98</f>
        <v>1111</v>
      </c>
      <c r="D98" s="3">
        <f>Baupläne!J98</f>
        <v>0</v>
      </c>
      <c r="E98" s="3">
        <f>Baupläne!H98</f>
        <v>56</v>
      </c>
      <c r="F98" s="3">
        <f>Baupläne!I98</f>
        <v>6</v>
      </c>
      <c r="G98" s="3">
        <f>Baupläne!E98</f>
        <v>30</v>
      </c>
      <c r="H98" s="3">
        <f>Baupläne!F98</f>
        <v>540</v>
      </c>
      <c r="I98" s="3">
        <f>0.5*Baupläne!Y98</f>
        <v>2300</v>
      </c>
      <c r="J98" s="3">
        <f>Baupläne!G98</f>
        <v>2</v>
      </c>
      <c r="K98" s="3">
        <f>IF(L98&gt;0,INDEX(data_item!$A$1:$A$1994,MATCH(Baupläne!L98,data_item!$B$1:$B$1994,0),1),0)</f>
        <v>7</v>
      </c>
      <c r="L98" s="3">
        <f>Baupläne!K98</f>
        <v>13</v>
      </c>
      <c r="M98" s="3">
        <f>IF(N98&gt;0,INDEX(data_item!$A$1:$A$1994,MATCH(Baupläne!N98,data_item!$B$1:$B$994,0),1),0)</f>
        <v>101</v>
      </c>
      <c r="N98" s="3">
        <f>Baupläne!M98</f>
        <v>19</v>
      </c>
      <c r="O98" s="3">
        <f>IF(P98&gt;0,INDEX(data_item!$A$1:$A$1994,MATCH(Baupläne!P98,data_item!$B$1:$B$1994,0),1),0)</f>
        <v>0</v>
      </c>
      <c r="P98" s="3">
        <f>Baupläne!O98</f>
        <v>0</v>
      </c>
      <c r="Q98" s="3">
        <f>IF(R98&gt;0,INDEX(data_item!$A$1:$A$1994,MATCH(Baupläne!R98,data_item!$B$1:$B$1994,0),1),0)</f>
        <v>0</v>
      </c>
      <c r="R98" s="3">
        <f>Baupläne!Q98</f>
        <v>0</v>
      </c>
      <c r="S98" s="3">
        <f>IF(T98&gt;0,INDEX(data_item!$A$1:$A$1994,MATCH(Baupläne!T98,data_item!$B$1:$B$1994,0),1),0)</f>
        <v>0</v>
      </c>
      <c r="T98" s="3">
        <f>Baupläne!S98</f>
        <v>0</v>
      </c>
    </row>
    <row r="99" spans="1:20" x14ac:dyDescent="0.2">
      <c r="A99" s="3">
        <f>Baupläne!A99</f>
        <v>1112</v>
      </c>
      <c r="B99" s="3" t="str">
        <f>Baupläne!C99</f>
        <v>Bidenhänder</v>
      </c>
      <c r="C99" s="3">
        <f>Baupläne!B99</f>
        <v>1112</v>
      </c>
      <c r="D99" s="3">
        <f>Baupläne!J99</f>
        <v>0</v>
      </c>
      <c r="E99" s="3">
        <f>Baupläne!H99</f>
        <v>56</v>
      </c>
      <c r="F99" s="3">
        <f>Baupläne!I99</f>
        <v>9</v>
      </c>
      <c r="G99" s="3">
        <f>Baupläne!E99</f>
        <v>30</v>
      </c>
      <c r="H99" s="3">
        <f>Baupläne!F99</f>
        <v>540</v>
      </c>
      <c r="I99" s="3">
        <f>0.5*Baupläne!Y99</f>
        <v>3500</v>
      </c>
      <c r="J99" s="3">
        <f>Baupläne!G99</f>
        <v>2</v>
      </c>
      <c r="K99" s="3">
        <f>IF(L99&gt;0,INDEX(data_item!$A$1:$A$1994,MATCH(Baupläne!L99,data_item!$B$1:$B$1994,0),1),0)</f>
        <v>7</v>
      </c>
      <c r="L99" s="3">
        <f>Baupläne!K99</f>
        <v>19</v>
      </c>
      <c r="M99" s="3">
        <f>IF(N99&gt;0,INDEX(data_item!$A$1:$A$1994,MATCH(Baupläne!N99,data_item!$B$1:$B$994,0),1),0)</f>
        <v>101</v>
      </c>
      <c r="N99" s="3">
        <f>Baupläne!M99</f>
        <v>29</v>
      </c>
      <c r="O99" s="3">
        <f>IF(P99&gt;0,INDEX(data_item!$A$1:$A$1994,MATCH(Baupläne!P99,data_item!$B$1:$B$1994,0),1),0)</f>
        <v>0</v>
      </c>
      <c r="P99" s="3">
        <f>Baupläne!O99</f>
        <v>0</v>
      </c>
      <c r="Q99" s="3">
        <f>IF(R99&gt;0,INDEX(data_item!$A$1:$A$1994,MATCH(Baupläne!R99,data_item!$B$1:$B$1994,0),1),0)</f>
        <v>0</v>
      </c>
      <c r="R99" s="3">
        <f>Baupläne!Q99</f>
        <v>0</v>
      </c>
      <c r="S99" s="3">
        <f>IF(T99&gt;0,INDEX(data_item!$A$1:$A$1994,MATCH(Baupläne!T99,data_item!$B$1:$B$1994,0),1),0)</f>
        <v>0</v>
      </c>
      <c r="T99" s="3">
        <f>Baupläne!S99</f>
        <v>0</v>
      </c>
    </row>
    <row r="100" spans="1:20" x14ac:dyDescent="0.2">
      <c r="A100" s="3">
        <f>Baupläne!A100</f>
        <v>1113</v>
      </c>
      <c r="B100" s="3" t="str">
        <f>Baupläne!C100</f>
        <v>Schottenschwert</v>
      </c>
      <c r="C100" s="3">
        <f>Baupläne!B100</f>
        <v>1113</v>
      </c>
      <c r="D100" s="3">
        <f>Baupläne!J100</f>
        <v>0</v>
      </c>
      <c r="E100" s="3">
        <f>Baupläne!H100</f>
        <v>56</v>
      </c>
      <c r="F100" s="3">
        <f>Baupläne!I100</f>
        <v>11</v>
      </c>
      <c r="G100" s="3">
        <f>Baupläne!E100</f>
        <v>30</v>
      </c>
      <c r="H100" s="3">
        <f>Baupläne!F100</f>
        <v>540</v>
      </c>
      <c r="I100" s="3">
        <f>0.5*Baupläne!Y100</f>
        <v>4650</v>
      </c>
      <c r="J100" s="3">
        <f>Baupläne!G100</f>
        <v>3</v>
      </c>
      <c r="K100" s="3">
        <f>IF(L100&gt;0,INDEX(data_item!$A$1:$A$1994,MATCH(Baupläne!L100,data_item!$B$1:$B$1994,0),1),0)</f>
        <v>8</v>
      </c>
      <c r="L100" s="3">
        <f>Baupläne!K100</f>
        <v>17</v>
      </c>
      <c r="M100" s="3">
        <f>IF(N100&gt;0,INDEX(data_item!$A$1:$A$1994,MATCH(Baupläne!N100,data_item!$B$1:$B$994,0),1),0)</f>
        <v>101</v>
      </c>
      <c r="N100" s="3">
        <f>Baupläne!M100</f>
        <v>3</v>
      </c>
      <c r="O100" s="3">
        <f>IF(P100&gt;0,INDEX(data_item!$A$1:$A$1994,MATCH(Baupläne!P100,data_item!$B$1:$B$1994,0),1),0)</f>
        <v>102</v>
      </c>
      <c r="P100" s="3">
        <f>Baupläne!O100</f>
        <v>14</v>
      </c>
      <c r="Q100" s="3">
        <f>IF(R100&gt;0,INDEX(data_item!$A$1:$A$1994,MATCH(Baupläne!R100,data_item!$B$1:$B$1994,0),1),0)</f>
        <v>0</v>
      </c>
      <c r="R100" s="3">
        <f>Baupläne!Q100</f>
        <v>0</v>
      </c>
      <c r="S100" s="3">
        <f>IF(T100&gt;0,INDEX(data_item!$A$1:$A$1994,MATCH(Baupläne!T100,data_item!$B$1:$B$1994,0),1),0)</f>
        <v>0</v>
      </c>
      <c r="T100" s="3">
        <f>Baupläne!S100</f>
        <v>0</v>
      </c>
    </row>
    <row r="101" spans="1:20" x14ac:dyDescent="0.2">
      <c r="A101" s="3">
        <f>Baupläne!A101</f>
        <v>1114</v>
      </c>
      <c r="B101" s="3" t="str">
        <f>Baupläne!C101</f>
        <v>Flamberge</v>
      </c>
      <c r="C101" s="3">
        <f>Baupläne!B101</f>
        <v>1114</v>
      </c>
      <c r="D101" s="3">
        <f>Baupläne!J101</f>
        <v>0</v>
      </c>
      <c r="E101" s="3">
        <f>Baupläne!H101</f>
        <v>56</v>
      </c>
      <c r="F101" s="3">
        <f>Baupläne!I101</f>
        <v>14</v>
      </c>
      <c r="G101" s="3">
        <f>Baupläne!E101</f>
        <v>30</v>
      </c>
      <c r="H101" s="3">
        <f>Baupläne!F101</f>
        <v>540</v>
      </c>
      <c r="I101" s="3">
        <f>0.5*Baupläne!Y101</f>
        <v>7100</v>
      </c>
      <c r="J101" s="3">
        <f>Baupläne!G101</f>
        <v>3</v>
      </c>
      <c r="K101" s="3">
        <f>IF(L101&gt;0,INDEX(data_item!$A$1:$A$1994,MATCH(Baupläne!L101,data_item!$B$1:$B$1994,0),1),0)</f>
        <v>8</v>
      </c>
      <c r="L101" s="3">
        <f>Baupläne!K101</f>
        <v>26</v>
      </c>
      <c r="M101" s="3">
        <f>IF(N101&gt;0,INDEX(data_item!$A$1:$A$1994,MATCH(Baupläne!N101,data_item!$B$1:$B$994,0),1),0)</f>
        <v>101</v>
      </c>
      <c r="N101" s="3">
        <f>Baupläne!M101</f>
        <v>6</v>
      </c>
      <c r="O101" s="3">
        <f>IF(P101&gt;0,INDEX(data_item!$A$1:$A$1994,MATCH(Baupläne!P101,data_item!$B$1:$B$1994,0),1),0)</f>
        <v>102</v>
      </c>
      <c r="P101" s="3">
        <f>Baupläne!O101</f>
        <v>21</v>
      </c>
      <c r="Q101" s="3">
        <f>IF(R101&gt;0,INDEX(data_item!$A$1:$A$1994,MATCH(Baupläne!R101,data_item!$B$1:$B$1994,0),1),0)</f>
        <v>0</v>
      </c>
      <c r="R101" s="3">
        <f>Baupläne!Q101</f>
        <v>0</v>
      </c>
      <c r="S101" s="3">
        <f>IF(T101&gt;0,INDEX(data_item!$A$1:$A$1994,MATCH(Baupläne!T101,data_item!$B$1:$B$1994,0),1),0)</f>
        <v>0</v>
      </c>
      <c r="T101" s="3">
        <f>Baupläne!S101</f>
        <v>0</v>
      </c>
    </row>
    <row r="102" spans="1:20" x14ac:dyDescent="0.2">
      <c r="A102" s="3">
        <f>Baupläne!A102</f>
        <v>1115</v>
      </c>
      <c r="B102" s="3" t="str">
        <f>Baupläne!C102</f>
        <v>Prunkschwert</v>
      </c>
      <c r="C102" s="3">
        <f>Baupläne!B102</f>
        <v>1115</v>
      </c>
      <c r="D102" s="3">
        <f>Baupläne!J102</f>
        <v>0</v>
      </c>
      <c r="E102" s="3">
        <f>Baupläne!H102</f>
        <v>56</v>
      </c>
      <c r="F102" s="3">
        <f>Baupläne!I102</f>
        <v>16</v>
      </c>
      <c r="G102" s="3">
        <f>Baupläne!E102</f>
        <v>30</v>
      </c>
      <c r="H102" s="3">
        <f>Baupläne!F102</f>
        <v>540</v>
      </c>
      <c r="I102" s="3">
        <f>0.5*Baupläne!Y102</f>
        <v>9350</v>
      </c>
      <c r="J102" s="3">
        <f>Baupläne!G102</f>
        <v>4</v>
      </c>
      <c r="K102" s="3">
        <f>IF(L102&gt;0,INDEX(data_item!$A$1:$A$1994,MATCH(Baupläne!L102,data_item!$B$1:$B$1994,0),1),0)</f>
        <v>9</v>
      </c>
      <c r="L102" s="3">
        <f>Baupläne!K102</f>
        <v>23</v>
      </c>
      <c r="M102" s="3">
        <f>IF(N102&gt;0,INDEX(data_item!$A$1:$A$1994,MATCH(Baupläne!N102,data_item!$B$1:$B$994,0),1),0)</f>
        <v>101</v>
      </c>
      <c r="N102" s="3">
        <f>Baupläne!M102</f>
        <v>8</v>
      </c>
      <c r="O102" s="3">
        <f>IF(P102&gt;0,INDEX(data_item!$A$1:$A$1994,MATCH(Baupläne!P102,data_item!$B$1:$B$1994,0),1),0)</f>
        <v>102</v>
      </c>
      <c r="P102" s="3">
        <f>Baupläne!O102</f>
        <v>28</v>
      </c>
      <c r="Q102" s="3">
        <f>IF(R102&gt;0,INDEX(data_item!$A$1:$A$1994,MATCH(Baupläne!R102,data_item!$B$1:$B$1994,0),1),0)</f>
        <v>0</v>
      </c>
      <c r="R102" s="3">
        <f>Baupläne!Q102</f>
        <v>0</v>
      </c>
      <c r="S102" s="3">
        <f>IF(T102&gt;0,INDEX(data_item!$A$1:$A$1994,MATCH(Baupläne!T102,data_item!$B$1:$B$1994,0),1),0)</f>
        <v>0</v>
      </c>
      <c r="T102" s="3">
        <f>Baupläne!S102</f>
        <v>0</v>
      </c>
    </row>
    <row r="103" spans="1:20" x14ac:dyDescent="0.2">
      <c r="A103" s="3">
        <f>Baupläne!A103</f>
        <v>1116</v>
      </c>
      <c r="B103" s="3" t="str">
        <f>Baupläne!C103</f>
        <v>Elbenbann</v>
      </c>
      <c r="C103" s="3">
        <f>Baupläne!B103</f>
        <v>1116</v>
      </c>
      <c r="D103" s="3">
        <f>Baupläne!J103</f>
        <v>0</v>
      </c>
      <c r="E103" s="3">
        <f>Baupläne!H103</f>
        <v>56</v>
      </c>
      <c r="F103" s="3">
        <f>Baupläne!I103</f>
        <v>19</v>
      </c>
      <c r="G103" s="3">
        <f>Baupläne!E103</f>
        <v>30</v>
      </c>
      <c r="H103" s="3">
        <f>Baupläne!F103</f>
        <v>540</v>
      </c>
      <c r="I103" s="3">
        <f>0.5*Baupläne!Y103</f>
        <v>14250</v>
      </c>
      <c r="J103" s="3">
        <f>Baupläne!G103</f>
        <v>4</v>
      </c>
      <c r="K103" s="3">
        <f>IF(L103&gt;0,INDEX(data_item!$A$1:$A$1994,MATCH(Baupläne!L103,data_item!$B$1:$B$1994,0),1),0)</f>
        <v>9</v>
      </c>
      <c r="L103" s="3">
        <f>Baupläne!K103</f>
        <v>35</v>
      </c>
      <c r="M103" s="3">
        <f>IF(N103&gt;0,INDEX(data_item!$A$1:$A$1994,MATCH(Baupläne!N103,data_item!$B$1:$B$994,0),1),0)</f>
        <v>101</v>
      </c>
      <c r="N103" s="3">
        <f>Baupläne!M103</f>
        <v>16</v>
      </c>
      <c r="O103" s="3">
        <f>IF(P103&gt;0,INDEX(data_item!$A$1:$A$1994,MATCH(Baupläne!P103,data_item!$B$1:$B$1994,0),1),0)</f>
        <v>102</v>
      </c>
      <c r="P103" s="3">
        <f>Baupläne!O103</f>
        <v>40</v>
      </c>
      <c r="Q103" s="3">
        <f>IF(R103&gt;0,INDEX(data_item!$A$1:$A$1994,MATCH(Baupläne!R103,data_item!$B$1:$B$1994,0),1),0)</f>
        <v>0</v>
      </c>
      <c r="R103" s="3">
        <f>Baupläne!Q103</f>
        <v>0</v>
      </c>
      <c r="S103" s="3">
        <f>IF(T103&gt;0,INDEX(data_item!$A$1:$A$1994,MATCH(Baupläne!T103,data_item!$B$1:$B$1994,0),1),0)</f>
        <v>0</v>
      </c>
      <c r="T103" s="3">
        <f>Baupläne!S103</f>
        <v>0</v>
      </c>
    </row>
    <row r="104" spans="1:20" x14ac:dyDescent="0.2">
      <c r="A104" s="3">
        <f>Baupläne!A104</f>
        <v>1117</v>
      </c>
      <c r="B104" s="3" t="str">
        <f>Baupläne!C104</f>
        <v>Mondklinge</v>
      </c>
      <c r="C104" s="3">
        <f>Baupläne!B104</f>
        <v>1117</v>
      </c>
      <c r="D104" s="3">
        <f>Baupläne!J104</f>
        <v>0</v>
      </c>
      <c r="E104" s="3">
        <f>Baupläne!H104</f>
        <v>56</v>
      </c>
      <c r="F104" s="3">
        <f>Baupläne!I104</f>
        <v>21</v>
      </c>
      <c r="G104" s="3">
        <f>Baupläne!E104</f>
        <v>30</v>
      </c>
      <c r="H104" s="3">
        <f>Baupläne!F104</f>
        <v>540</v>
      </c>
      <c r="I104" s="3">
        <f>0.5*Baupläne!Y104</f>
        <v>18800</v>
      </c>
      <c r="J104" s="3">
        <f>Baupläne!G104</f>
        <v>5</v>
      </c>
      <c r="K104" s="3">
        <f>IF(L104&gt;0,INDEX(data_item!$A$1:$A$1994,MATCH(Baupläne!L104,data_item!$B$1:$B$1994,0),1),0)</f>
        <v>10</v>
      </c>
      <c r="L104" s="3">
        <f>Baupläne!K104</f>
        <v>34</v>
      </c>
      <c r="M104" s="3">
        <f>IF(N104&gt;0,INDEX(data_item!$A$1:$A$1994,MATCH(Baupläne!N104,data_item!$B$1:$B$994,0),1),0)</f>
        <v>101</v>
      </c>
      <c r="N104" s="3">
        <f>Baupläne!M104</f>
        <v>5</v>
      </c>
      <c r="O104" s="3">
        <f>IF(P104&gt;0,INDEX(data_item!$A$1:$A$1994,MATCH(Baupläne!P104,data_item!$B$1:$B$1994,0),1),0)</f>
        <v>102</v>
      </c>
      <c r="P104" s="3">
        <f>Baupläne!O104</f>
        <v>10</v>
      </c>
      <c r="Q104" s="3">
        <f>IF(R104&gt;0,INDEX(data_item!$A$1:$A$1994,MATCH(Baupläne!R104,data_item!$B$1:$B$1994,0),1),0)</f>
        <v>103</v>
      </c>
      <c r="R104" s="3">
        <f>Baupläne!Q104</f>
        <v>20</v>
      </c>
      <c r="S104" s="3">
        <f>IF(T104&gt;0,INDEX(data_item!$A$1:$A$1994,MATCH(Baupläne!T104,data_item!$B$1:$B$1994,0),1),0)</f>
        <v>0</v>
      </c>
      <c r="T104" s="3">
        <f>Baupläne!S104</f>
        <v>0</v>
      </c>
    </row>
    <row r="105" spans="1:20" x14ac:dyDescent="0.2">
      <c r="A105" s="3">
        <f>Baupläne!A105</f>
        <v>1118</v>
      </c>
      <c r="B105" s="3" t="str">
        <f>Baupläne!C105</f>
        <v>Engelsklinge</v>
      </c>
      <c r="C105" s="3">
        <f>Baupläne!B105</f>
        <v>1118</v>
      </c>
      <c r="D105" s="3">
        <f>Baupläne!J105</f>
        <v>0</v>
      </c>
      <c r="E105" s="3">
        <f>Baupläne!H105</f>
        <v>56</v>
      </c>
      <c r="F105" s="3">
        <f>Baupläne!I105</f>
        <v>24</v>
      </c>
      <c r="G105" s="3">
        <f>Baupläne!E105</f>
        <v>30</v>
      </c>
      <c r="H105" s="3">
        <f>Baupläne!F105</f>
        <v>540</v>
      </c>
      <c r="I105" s="3">
        <f>0.5*Baupläne!Y105</f>
        <v>28650</v>
      </c>
      <c r="J105" s="3">
        <f>Baupläne!G105</f>
        <v>5</v>
      </c>
      <c r="K105" s="3">
        <f>IF(L105&gt;0,INDEX(data_item!$A$1:$A$1994,MATCH(Baupläne!L105,data_item!$B$1:$B$1994,0),1),0)</f>
        <v>10</v>
      </c>
      <c r="L105" s="3">
        <f>Baupläne!K105</f>
        <v>52</v>
      </c>
      <c r="M105" s="3">
        <f>IF(N105&gt;0,INDEX(data_item!$A$1:$A$1994,MATCH(Baupläne!N105,data_item!$B$1:$B$994,0),1),0)</f>
        <v>101</v>
      </c>
      <c r="N105" s="3">
        <f>Baupläne!M105</f>
        <v>6</v>
      </c>
      <c r="O105" s="3">
        <f>IF(P105&gt;0,INDEX(data_item!$A$1:$A$1994,MATCH(Baupläne!P105,data_item!$B$1:$B$1994,0),1),0)</f>
        <v>102</v>
      </c>
      <c r="P105" s="3">
        <f>Baupläne!O105</f>
        <v>8</v>
      </c>
      <c r="Q105" s="3">
        <f>IF(R105&gt;0,INDEX(data_item!$A$1:$A$1994,MATCH(Baupläne!R105,data_item!$B$1:$B$1994,0),1),0)</f>
        <v>103</v>
      </c>
      <c r="R105" s="3">
        <f>Baupläne!Q105</f>
        <v>34</v>
      </c>
      <c r="S105" s="3">
        <f>IF(T105&gt;0,INDEX(data_item!$A$1:$A$1994,MATCH(Baupläne!T105,data_item!$B$1:$B$1994,0),1),0)</f>
        <v>0</v>
      </c>
      <c r="T105" s="3">
        <f>Baupläne!S105</f>
        <v>0</v>
      </c>
    </row>
    <row r="106" spans="1:20" x14ac:dyDescent="0.2">
      <c r="A106" s="3">
        <f>Baupläne!A106</f>
        <v>0</v>
      </c>
      <c r="B106" s="3">
        <f>Baupläne!C106</f>
        <v>0</v>
      </c>
      <c r="C106" s="3">
        <f>Baupläne!B106</f>
        <v>0</v>
      </c>
      <c r="D106" s="3">
        <f>Baupläne!J106</f>
        <v>0</v>
      </c>
      <c r="E106" s="3">
        <f>Baupläne!H106</f>
        <v>0</v>
      </c>
      <c r="F106" s="3">
        <f>Baupläne!I106</f>
        <v>0</v>
      </c>
      <c r="G106" s="3">
        <f>Baupläne!E106</f>
        <v>0</v>
      </c>
      <c r="H106" s="3">
        <f>Baupläne!F106</f>
        <v>0</v>
      </c>
      <c r="I106" s="3">
        <f>0.5*Baupläne!Y106</f>
        <v>0</v>
      </c>
      <c r="J106" s="3">
        <f>Baupläne!G106</f>
        <v>0</v>
      </c>
      <c r="K106" s="3">
        <f>IF(L106&gt;0,INDEX(data_item!$A$1:$A$1994,MATCH(Baupläne!L106,data_item!$B$1:$B$1994,0),1),0)</f>
        <v>0</v>
      </c>
      <c r="L106" s="3">
        <f>Baupläne!K106</f>
        <v>0</v>
      </c>
      <c r="M106" s="3">
        <f>IF(N106&gt;0,INDEX(data_item!$A$1:$A$1994,MATCH(Baupläne!N106,data_item!$B$1:$B$994,0),1),0)</f>
        <v>0</v>
      </c>
      <c r="N106" s="3">
        <f>Baupläne!M106</f>
        <v>0</v>
      </c>
      <c r="O106" s="3">
        <f>IF(P106&gt;0,INDEX(data_item!$A$1:$A$1994,MATCH(Baupläne!P106,data_item!$B$1:$B$1994,0),1),0)</f>
        <v>0</v>
      </c>
      <c r="P106" s="3">
        <f>Baupläne!O106</f>
        <v>0</v>
      </c>
      <c r="Q106" s="3">
        <f>IF(R106&gt;0,INDEX(data_item!$A$1:$A$1994,MATCH(Baupläne!R106,data_item!$B$1:$B$1994,0),1),0)</f>
        <v>0</v>
      </c>
      <c r="R106" s="3">
        <f>Baupläne!Q106</f>
        <v>0</v>
      </c>
      <c r="S106" s="3">
        <f>IF(T106&gt;0,INDEX(data_item!$A$1:$A$1994,MATCH(Baupläne!T106,data_item!$B$1:$B$1994,0),1),0)</f>
        <v>0</v>
      </c>
      <c r="T106" s="3">
        <f>Baupläne!S106</f>
        <v>0</v>
      </c>
    </row>
    <row r="107" spans="1:20" x14ac:dyDescent="0.2">
      <c r="A107" s="3">
        <f>Baupläne!A107</f>
        <v>1121</v>
      </c>
      <c r="B107" s="3" t="str">
        <f>Baupläne!C107</f>
        <v>Messer</v>
      </c>
      <c r="C107" s="3">
        <f>Baupläne!B107</f>
        <v>1121</v>
      </c>
      <c r="D107" s="3">
        <f>Baupläne!J107</f>
        <v>0</v>
      </c>
      <c r="E107" s="3">
        <f>Baupläne!H107</f>
        <v>57</v>
      </c>
      <c r="F107" s="3">
        <f>Baupläne!I107</f>
        <v>0</v>
      </c>
      <c r="G107" s="3">
        <f>Baupläne!E107</f>
        <v>30</v>
      </c>
      <c r="H107" s="3">
        <f>Baupläne!F107</f>
        <v>420</v>
      </c>
      <c r="I107" s="3">
        <f>0.5*Baupläne!Y107</f>
        <v>600</v>
      </c>
      <c r="J107" s="3">
        <f>Baupläne!G107</f>
        <v>1</v>
      </c>
      <c r="K107" s="3">
        <f>IF(L107&gt;0,INDEX(data_item!$A$1:$A$1994,MATCH(Baupläne!L107,data_item!$B$1:$B$1994,0),1),0)</f>
        <v>6</v>
      </c>
      <c r="L107" s="3">
        <f>Baupläne!K107</f>
        <v>7</v>
      </c>
      <c r="M107" s="3">
        <f>IF(N107&gt;0,INDEX(data_item!$A$1:$A$1994,MATCH(Baupläne!N107,data_item!$B$1:$B$994,0),1),0)</f>
        <v>101</v>
      </c>
      <c r="N107" s="3">
        <f>Baupläne!M107</f>
        <v>5</v>
      </c>
      <c r="O107" s="3">
        <f>IF(P107&gt;0,INDEX(data_item!$A$1:$A$1994,MATCH(Baupläne!P107,data_item!$B$1:$B$1994,0),1),0)</f>
        <v>0</v>
      </c>
      <c r="P107" s="3">
        <f>Baupläne!O107</f>
        <v>0</v>
      </c>
      <c r="Q107" s="3">
        <f>IF(R107&gt;0,INDEX(data_item!$A$1:$A$1994,MATCH(Baupläne!R107,data_item!$B$1:$B$1994,0),1),0)</f>
        <v>0</v>
      </c>
      <c r="R107" s="3">
        <f>Baupläne!Q107</f>
        <v>0</v>
      </c>
      <c r="S107" s="3">
        <f>IF(T107&gt;0,INDEX(data_item!$A$1:$A$1994,MATCH(Baupläne!T107,data_item!$B$1:$B$1994,0),1),0)</f>
        <v>0</v>
      </c>
      <c r="T107" s="3">
        <f>Baupläne!S107</f>
        <v>0</v>
      </c>
    </row>
    <row r="108" spans="1:20" x14ac:dyDescent="0.2">
      <c r="A108" s="3">
        <f>Baupläne!A108</f>
        <v>1122</v>
      </c>
      <c r="B108" s="3" t="str">
        <f>Baupläne!C108</f>
        <v>Dolch</v>
      </c>
      <c r="C108" s="3">
        <f>Baupläne!B108</f>
        <v>1122</v>
      </c>
      <c r="D108" s="3">
        <f>Baupläne!J108</f>
        <v>0</v>
      </c>
      <c r="E108" s="3">
        <f>Baupläne!H108</f>
        <v>57</v>
      </c>
      <c r="F108" s="3">
        <f>Baupläne!I108</f>
        <v>3</v>
      </c>
      <c r="G108" s="3">
        <f>Baupläne!E108</f>
        <v>30</v>
      </c>
      <c r="H108" s="3">
        <f>Baupläne!F108</f>
        <v>420</v>
      </c>
      <c r="I108" s="3">
        <f>0.5*Baupläne!Y108</f>
        <v>900</v>
      </c>
      <c r="J108" s="3">
        <f>Baupläne!G108</f>
        <v>1</v>
      </c>
      <c r="K108" s="3">
        <f>IF(L108&gt;0,INDEX(data_item!$A$1:$A$1994,MATCH(Baupläne!L108,data_item!$B$1:$B$1994,0),1),0)</f>
        <v>6</v>
      </c>
      <c r="L108" s="3">
        <f>Baupläne!K108</f>
        <v>10</v>
      </c>
      <c r="M108" s="3">
        <f>IF(N108&gt;0,INDEX(data_item!$A$1:$A$1994,MATCH(Baupläne!N108,data_item!$B$1:$B$994,0),1),0)</f>
        <v>101</v>
      </c>
      <c r="N108" s="3">
        <f>Baupläne!M108</f>
        <v>7</v>
      </c>
      <c r="O108" s="3">
        <f>IF(P108&gt;0,INDEX(data_item!$A$1:$A$1994,MATCH(Baupläne!P108,data_item!$B$1:$B$1994,0),1),0)</f>
        <v>0</v>
      </c>
      <c r="P108" s="3">
        <f>Baupläne!O108</f>
        <v>0</v>
      </c>
      <c r="Q108" s="3">
        <f>IF(R108&gt;0,INDEX(data_item!$A$1:$A$1994,MATCH(Baupläne!R108,data_item!$B$1:$B$1994,0),1),0)</f>
        <v>0</v>
      </c>
      <c r="R108" s="3">
        <f>Baupläne!Q108</f>
        <v>0</v>
      </c>
      <c r="S108" s="3">
        <f>IF(T108&gt;0,INDEX(data_item!$A$1:$A$1994,MATCH(Baupläne!T108,data_item!$B$1:$B$1994,0),1),0)</f>
        <v>0</v>
      </c>
      <c r="T108" s="3">
        <f>Baupläne!S108</f>
        <v>0</v>
      </c>
    </row>
    <row r="109" spans="1:20" x14ac:dyDescent="0.2">
      <c r="A109" s="3">
        <f>Baupläne!A109</f>
        <v>1123</v>
      </c>
      <c r="B109" s="3" t="str">
        <f>Baupläne!C109</f>
        <v>Stilett</v>
      </c>
      <c r="C109" s="3">
        <f>Baupläne!B109</f>
        <v>1123</v>
      </c>
      <c r="D109" s="3">
        <f>Baupläne!J109</f>
        <v>0</v>
      </c>
      <c r="E109" s="3">
        <f>Baupläne!H109</f>
        <v>57</v>
      </c>
      <c r="F109" s="3">
        <f>Baupläne!I109</f>
        <v>5</v>
      </c>
      <c r="G109" s="3">
        <f>Baupläne!E109</f>
        <v>30</v>
      </c>
      <c r="H109" s="3">
        <f>Baupläne!F109</f>
        <v>420</v>
      </c>
      <c r="I109" s="3">
        <f>0.5*Baupläne!Y109</f>
        <v>1200</v>
      </c>
      <c r="J109" s="3">
        <f>Baupläne!G109</f>
        <v>2</v>
      </c>
      <c r="K109" s="3">
        <f>IF(L109&gt;0,INDEX(data_item!$A$1:$A$1994,MATCH(Baupläne!L109,data_item!$B$1:$B$1994,0),1),0)</f>
        <v>7</v>
      </c>
      <c r="L109" s="3">
        <f>Baupläne!K109</f>
        <v>7</v>
      </c>
      <c r="M109" s="3">
        <f>IF(N109&gt;0,INDEX(data_item!$A$1:$A$1994,MATCH(Baupläne!N109,data_item!$B$1:$B$994,0),1),0)</f>
        <v>101</v>
      </c>
      <c r="N109" s="3">
        <f>Baupläne!M109</f>
        <v>10</v>
      </c>
      <c r="O109" s="3">
        <f>IF(P109&gt;0,INDEX(data_item!$A$1:$A$1994,MATCH(Baupläne!P109,data_item!$B$1:$B$1994,0),1),0)</f>
        <v>0</v>
      </c>
      <c r="P109" s="3">
        <f>Baupläne!O109</f>
        <v>0</v>
      </c>
      <c r="Q109" s="3">
        <f>IF(R109&gt;0,INDEX(data_item!$A$1:$A$1994,MATCH(Baupläne!R109,data_item!$B$1:$B$1994,0),1),0)</f>
        <v>0</v>
      </c>
      <c r="R109" s="3">
        <f>Baupläne!Q109</f>
        <v>0</v>
      </c>
      <c r="S109" s="3">
        <f>IF(T109&gt;0,INDEX(data_item!$A$1:$A$1994,MATCH(Baupläne!T109,data_item!$B$1:$B$1994,0),1),0)</f>
        <v>0</v>
      </c>
      <c r="T109" s="3">
        <f>Baupläne!S109</f>
        <v>0</v>
      </c>
    </row>
    <row r="110" spans="1:20" x14ac:dyDescent="0.2">
      <c r="A110" s="3">
        <f>Baupläne!A110</f>
        <v>1124</v>
      </c>
      <c r="B110" s="3" t="str">
        <f>Baupläne!C110</f>
        <v>Ochsenzunge</v>
      </c>
      <c r="C110" s="3">
        <f>Baupläne!B110</f>
        <v>1124</v>
      </c>
      <c r="D110" s="3">
        <f>Baupläne!J110</f>
        <v>0</v>
      </c>
      <c r="E110" s="3">
        <f>Baupläne!H110</f>
        <v>57</v>
      </c>
      <c r="F110" s="3">
        <f>Baupläne!I110</f>
        <v>8</v>
      </c>
      <c r="G110" s="3">
        <f>Baupläne!E110</f>
        <v>30</v>
      </c>
      <c r="H110" s="3">
        <f>Baupläne!F110</f>
        <v>420</v>
      </c>
      <c r="I110" s="3">
        <f>0.5*Baupläne!Y110</f>
        <v>1850</v>
      </c>
      <c r="J110" s="3">
        <f>Baupläne!G110</f>
        <v>2</v>
      </c>
      <c r="K110" s="3">
        <f>IF(L110&gt;0,INDEX(data_item!$A$1:$A$1994,MATCH(Baupläne!L110,data_item!$B$1:$B$1994,0),1),0)</f>
        <v>7</v>
      </c>
      <c r="L110" s="3">
        <f>Baupläne!K110</f>
        <v>10</v>
      </c>
      <c r="M110" s="3">
        <f>IF(N110&gt;0,INDEX(data_item!$A$1:$A$1994,MATCH(Baupläne!N110,data_item!$B$1:$B$994,0),1),0)</f>
        <v>101</v>
      </c>
      <c r="N110" s="3">
        <f>Baupläne!M110</f>
        <v>15</v>
      </c>
      <c r="O110" s="3">
        <f>IF(P110&gt;0,INDEX(data_item!$A$1:$A$1994,MATCH(Baupläne!P110,data_item!$B$1:$B$1994,0),1),0)</f>
        <v>0</v>
      </c>
      <c r="P110" s="3">
        <f>Baupläne!O110</f>
        <v>0</v>
      </c>
      <c r="Q110" s="3">
        <f>IF(R110&gt;0,INDEX(data_item!$A$1:$A$1994,MATCH(Baupläne!R110,data_item!$B$1:$B$1994,0),1),0)</f>
        <v>0</v>
      </c>
      <c r="R110" s="3">
        <f>Baupläne!Q110</f>
        <v>0</v>
      </c>
      <c r="S110" s="3">
        <f>IF(T110&gt;0,INDEX(data_item!$A$1:$A$1994,MATCH(Baupläne!T110,data_item!$B$1:$B$1994,0),1),0)</f>
        <v>0</v>
      </c>
      <c r="T110" s="3">
        <f>Baupläne!S110</f>
        <v>0</v>
      </c>
    </row>
    <row r="111" spans="1:20" x14ac:dyDescent="0.2">
      <c r="A111" s="3">
        <f>Baupläne!A111</f>
        <v>1125</v>
      </c>
      <c r="B111" s="3" t="str">
        <f>Baupläne!C111</f>
        <v>Entermesser</v>
      </c>
      <c r="C111" s="3">
        <f>Baupläne!B111</f>
        <v>1125</v>
      </c>
      <c r="D111" s="3">
        <f>Baupläne!J111</f>
        <v>0</v>
      </c>
      <c r="E111" s="3">
        <f>Baupläne!H111</f>
        <v>57</v>
      </c>
      <c r="F111" s="3">
        <f>Baupläne!I111</f>
        <v>10</v>
      </c>
      <c r="G111" s="3">
        <f>Baupläne!E111</f>
        <v>30</v>
      </c>
      <c r="H111" s="3">
        <f>Baupläne!F111</f>
        <v>420</v>
      </c>
      <c r="I111" s="3">
        <f>0.5*Baupläne!Y111</f>
        <v>2450</v>
      </c>
      <c r="J111" s="3">
        <f>Baupläne!G111</f>
        <v>3</v>
      </c>
      <c r="K111" s="3">
        <f>IF(L111&gt;0,INDEX(data_item!$A$1:$A$1994,MATCH(Baupläne!L111,data_item!$B$1:$B$1994,0),1),0)</f>
        <v>8</v>
      </c>
      <c r="L111" s="3">
        <f>Baupläne!K111</f>
        <v>9</v>
      </c>
      <c r="M111" s="3">
        <f>IF(N111&gt;0,INDEX(data_item!$A$1:$A$1994,MATCH(Baupläne!N111,data_item!$B$1:$B$994,0),1),0)</f>
        <v>101</v>
      </c>
      <c r="N111" s="3">
        <f>Baupläne!M111</f>
        <v>5</v>
      </c>
      <c r="O111" s="3">
        <f>IF(P111&gt;0,INDEX(data_item!$A$1:$A$1994,MATCH(Baupläne!P111,data_item!$B$1:$B$1994,0),1),0)</f>
        <v>102</v>
      </c>
      <c r="P111" s="3">
        <f>Baupläne!O111</f>
        <v>6</v>
      </c>
      <c r="Q111" s="3">
        <f>IF(R111&gt;0,INDEX(data_item!$A$1:$A$1994,MATCH(Baupläne!R111,data_item!$B$1:$B$1994,0),1),0)</f>
        <v>0</v>
      </c>
      <c r="R111" s="3">
        <f>Baupläne!Q111</f>
        <v>0</v>
      </c>
      <c r="S111" s="3">
        <f>IF(T111&gt;0,INDEX(data_item!$A$1:$A$1994,MATCH(Baupläne!T111,data_item!$B$1:$B$1994,0),1),0)</f>
        <v>0</v>
      </c>
      <c r="T111" s="3">
        <f>Baupläne!S111</f>
        <v>0</v>
      </c>
    </row>
    <row r="112" spans="1:20" x14ac:dyDescent="0.2">
      <c r="A112" s="3">
        <f>Baupläne!A112</f>
        <v>1126</v>
      </c>
      <c r="B112" s="3" t="str">
        <f>Baupläne!C112</f>
        <v>Stoßdolch</v>
      </c>
      <c r="C112" s="3">
        <f>Baupläne!B112</f>
        <v>1126</v>
      </c>
      <c r="D112" s="3">
        <f>Baupläne!J112</f>
        <v>0</v>
      </c>
      <c r="E112" s="3">
        <f>Baupläne!H112</f>
        <v>57</v>
      </c>
      <c r="F112" s="3">
        <f>Baupläne!I112</f>
        <v>13</v>
      </c>
      <c r="G112" s="3">
        <f>Baupläne!E112</f>
        <v>30</v>
      </c>
      <c r="H112" s="3">
        <f>Baupläne!F112</f>
        <v>420</v>
      </c>
      <c r="I112" s="3">
        <f>0.5*Baupläne!Y112</f>
        <v>3700</v>
      </c>
      <c r="J112" s="3">
        <f>Baupläne!G112</f>
        <v>3</v>
      </c>
      <c r="K112" s="3">
        <f>IF(L112&gt;0,INDEX(data_item!$A$1:$A$1994,MATCH(Baupläne!L112,data_item!$B$1:$B$1994,0),1),0)</f>
        <v>8</v>
      </c>
      <c r="L112" s="3">
        <f>Baupläne!K112</f>
        <v>14</v>
      </c>
      <c r="M112" s="3">
        <f>IF(N112&gt;0,INDEX(data_item!$A$1:$A$1994,MATCH(Baupläne!N112,data_item!$B$1:$B$994,0),1),0)</f>
        <v>101</v>
      </c>
      <c r="N112" s="3">
        <f>Baupläne!M112</f>
        <v>3</v>
      </c>
      <c r="O112" s="3">
        <f>IF(P112&gt;0,INDEX(data_item!$A$1:$A$1994,MATCH(Baupläne!P112,data_item!$B$1:$B$1994,0),1),0)</f>
        <v>102</v>
      </c>
      <c r="P112" s="3">
        <f>Baupläne!O112</f>
        <v>11</v>
      </c>
      <c r="Q112" s="3">
        <f>IF(R112&gt;0,INDEX(data_item!$A$1:$A$1994,MATCH(Baupläne!R112,data_item!$B$1:$B$1994,0),1),0)</f>
        <v>0</v>
      </c>
      <c r="R112" s="3">
        <f>Baupläne!Q112</f>
        <v>0</v>
      </c>
      <c r="S112" s="3">
        <f>IF(T112&gt;0,INDEX(data_item!$A$1:$A$1994,MATCH(Baupläne!T112,data_item!$B$1:$B$1994,0),1),0)</f>
        <v>0</v>
      </c>
      <c r="T112" s="3">
        <f>Baupläne!S112</f>
        <v>0</v>
      </c>
    </row>
    <row r="113" spans="1:20" x14ac:dyDescent="0.2">
      <c r="A113" s="3">
        <f>Baupläne!A113</f>
        <v>1127</v>
      </c>
      <c r="B113" s="3" t="str">
        <f>Baupläne!C113</f>
        <v>Schlangendolch</v>
      </c>
      <c r="C113" s="3">
        <f>Baupläne!B113</f>
        <v>1127</v>
      </c>
      <c r="D113" s="3">
        <f>Baupläne!J113</f>
        <v>0</v>
      </c>
      <c r="E113" s="3">
        <f>Baupläne!H113</f>
        <v>57</v>
      </c>
      <c r="F113" s="3">
        <f>Baupläne!I113</f>
        <v>15</v>
      </c>
      <c r="G113" s="3">
        <f>Baupläne!E113</f>
        <v>30</v>
      </c>
      <c r="H113" s="3">
        <f>Baupläne!F113</f>
        <v>420</v>
      </c>
      <c r="I113" s="3">
        <f>0.5*Baupläne!Y113</f>
        <v>4900</v>
      </c>
      <c r="J113" s="3">
        <f>Baupläne!G113</f>
        <v>4</v>
      </c>
      <c r="K113" s="3">
        <f>IF(L113&gt;0,INDEX(data_item!$A$1:$A$1994,MATCH(Baupläne!L113,data_item!$B$1:$B$1994,0),1),0)</f>
        <v>9</v>
      </c>
      <c r="L113" s="3">
        <f>Baupläne!K113</f>
        <v>12</v>
      </c>
      <c r="M113" s="3">
        <f>IF(N113&gt;0,INDEX(data_item!$A$1:$A$1994,MATCH(Baupläne!N113,data_item!$B$1:$B$994,0),1),0)</f>
        <v>101</v>
      </c>
      <c r="N113" s="3">
        <f>Baupläne!M113</f>
        <v>5</v>
      </c>
      <c r="O113" s="3">
        <f>IF(P113&gt;0,INDEX(data_item!$A$1:$A$1994,MATCH(Baupläne!P113,data_item!$B$1:$B$1994,0),1),0)</f>
        <v>102</v>
      </c>
      <c r="P113" s="3">
        <f>Baupläne!O113</f>
        <v>14</v>
      </c>
      <c r="Q113" s="3">
        <f>IF(R113&gt;0,INDEX(data_item!$A$1:$A$1994,MATCH(Baupläne!R113,data_item!$B$1:$B$1994,0),1),0)</f>
        <v>0</v>
      </c>
      <c r="R113" s="3">
        <f>Baupläne!Q113</f>
        <v>0</v>
      </c>
      <c r="S113" s="3">
        <f>IF(T113&gt;0,INDEX(data_item!$A$1:$A$1994,MATCH(Baupläne!T113,data_item!$B$1:$B$1994,0),1),0)</f>
        <v>0</v>
      </c>
      <c r="T113" s="3">
        <f>Baupläne!S113</f>
        <v>0</v>
      </c>
    </row>
    <row r="114" spans="1:20" x14ac:dyDescent="0.2">
      <c r="A114" s="3">
        <f>Baupläne!A114</f>
        <v>1128</v>
      </c>
      <c r="B114" s="3" t="str">
        <f>Baupläne!C114</f>
        <v>Assassinenklinge</v>
      </c>
      <c r="C114" s="3">
        <f>Baupläne!B114</f>
        <v>1128</v>
      </c>
      <c r="D114" s="3">
        <f>Baupläne!J114</f>
        <v>0</v>
      </c>
      <c r="E114" s="3">
        <f>Baupläne!H114</f>
        <v>57</v>
      </c>
      <c r="F114" s="3">
        <f>Baupläne!I114</f>
        <v>18</v>
      </c>
      <c r="G114" s="3">
        <f>Baupläne!E114</f>
        <v>30</v>
      </c>
      <c r="H114" s="3">
        <f>Baupläne!F114</f>
        <v>420</v>
      </c>
      <c r="I114" s="3">
        <f>0.5*Baupläne!Y114</f>
        <v>7450</v>
      </c>
      <c r="J114" s="3">
        <f>Baupläne!G114</f>
        <v>4</v>
      </c>
      <c r="K114" s="3">
        <f>IF(L114&gt;0,INDEX(data_item!$A$1:$A$1994,MATCH(Baupläne!L114,data_item!$B$1:$B$1994,0),1),0)</f>
        <v>9</v>
      </c>
      <c r="L114" s="3">
        <f>Baupläne!K114</f>
        <v>18</v>
      </c>
      <c r="M114" s="3">
        <f>IF(N114&gt;0,INDEX(data_item!$A$1:$A$1994,MATCH(Baupläne!N114,data_item!$B$1:$B$994,0),1),0)</f>
        <v>101</v>
      </c>
      <c r="N114" s="3">
        <f>Baupläne!M114</f>
        <v>6</v>
      </c>
      <c r="O114" s="3">
        <f>IF(P114&gt;0,INDEX(data_item!$A$1:$A$1994,MATCH(Baupläne!P114,data_item!$B$1:$B$1994,0),1),0)</f>
        <v>102</v>
      </c>
      <c r="P114" s="3">
        <f>Baupläne!O114</f>
        <v>22</v>
      </c>
      <c r="Q114" s="3">
        <f>IF(R114&gt;0,INDEX(data_item!$A$1:$A$1994,MATCH(Baupläne!R114,data_item!$B$1:$B$1994,0),1),0)</f>
        <v>0</v>
      </c>
      <c r="R114" s="3">
        <f>Baupläne!Q114</f>
        <v>0</v>
      </c>
      <c r="S114" s="3">
        <f>IF(T114&gt;0,INDEX(data_item!$A$1:$A$1994,MATCH(Baupläne!T114,data_item!$B$1:$B$1994,0),1),0)</f>
        <v>0</v>
      </c>
      <c r="T114" s="3">
        <f>Baupläne!S114</f>
        <v>0</v>
      </c>
    </row>
    <row r="115" spans="1:20" x14ac:dyDescent="0.2">
      <c r="A115" s="3">
        <f>Baupläne!A115</f>
        <v>1129</v>
      </c>
      <c r="B115" s="3" t="str">
        <f>Baupläne!C115</f>
        <v>Spitzdolch</v>
      </c>
      <c r="C115" s="3">
        <f>Baupläne!B115</f>
        <v>1129</v>
      </c>
      <c r="D115" s="3">
        <f>Baupläne!J115</f>
        <v>0</v>
      </c>
      <c r="E115" s="3">
        <f>Baupläne!H115</f>
        <v>57</v>
      </c>
      <c r="F115" s="3">
        <f>Baupläne!I115</f>
        <v>21</v>
      </c>
      <c r="G115" s="3">
        <f>Baupläne!E115</f>
        <v>30</v>
      </c>
      <c r="H115" s="3">
        <f>Baupläne!F115</f>
        <v>420</v>
      </c>
      <c r="I115" s="3">
        <f>0.5*Baupläne!Y115</f>
        <v>11300</v>
      </c>
      <c r="J115" s="3">
        <f>Baupläne!G115</f>
        <v>5</v>
      </c>
      <c r="K115" s="3">
        <f>IF(L115&gt;0,INDEX(data_item!$A$1:$A$1994,MATCH(Baupläne!L115,data_item!$B$1:$B$1994,0),1),0)</f>
        <v>10</v>
      </c>
      <c r="L115" s="3">
        <f>Baupläne!K115</f>
        <v>21</v>
      </c>
      <c r="M115" s="3">
        <f>IF(N115&gt;0,INDEX(data_item!$A$1:$A$1994,MATCH(Baupläne!N115,data_item!$B$1:$B$994,0),1),0)</f>
        <v>101</v>
      </c>
      <c r="N115" s="3">
        <f>Baupläne!M115</f>
        <v>5</v>
      </c>
      <c r="O115" s="3">
        <f>IF(P115&gt;0,INDEX(data_item!$A$1:$A$1994,MATCH(Baupläne!P115,data_item!$B$1:$B$1994,0),1),0)</f>
        <v>102</v>
      </c>
      <c r="P115" s="3">
        <f>Baupläne!O115</f>
        <v>10</v>
      </c>
      <c r="Q115" s="3">
        <f>IF(R115&gt;0,INDEX(data_item!$A$1:$A$1994,MATCH(Baupläne!R115,data_item!$B$1:$B$1994,0),1),0)</f>
        <v>103</v>
      </c>
      <c r="R115" s="3">
        <f>Baupläne!Q115</f>
        <v>10</v>
      </c>
      <c r="S115" s="3">
        <f>IF(T115&gt;0,INDEX(data_item!$A$1:$A$1994,MATCH(Baupläne!T115,data_item!$B$1:$B$1994,0),1),0)</f>
        <v>0</v>
      </c>
      <c r="T115" s="3">
        <f>Baupläne!S115</f>
        <v>0</v>
      </c>
    </row>
    <row r="116" spans="1:20" x14ac:dyDescent="0.2">
      <c r="A116" s="3">
        <f>Baupläne!A116</f>
        <v>1130</v>
      </c>
      <c r="B116" s="3" t="str">
        <f>Baupläne!C116</f>
        <v>Nebeldolch</v>
      </c>
      <c r="C116" s="3">
        <f>Baupläne!B116</f>
        <v>1130</v>
      </c>
      <c r="D116" s="3">
        <f>Baupläne!J116</f>
        <v>0</v>
      </c>
      <c r="E116" s="3">
        <f>Baupläne!H116</f>
        <v>57</v>
      </c>
      <c r="F116" s="3">
        <f>Baupläne!I116</f>
        <v>24</v>
      </c>
      <c r="G116" s="3">
        <f>Baupläne!E116</f>
        <v>30</v>
      </c>
      <c r="H116" s="3">
        <f>Baupläne!F116</f>
        <v>420</v>
      </c>
      <c r="I116" s="3">
        <f>0.5*Baupläne!Y116</f>
        <v>17200</v>
      </c>
      <c r="J116" s="3">
        <f>Baupläne!G116</f>
        <v>5</v>
      </c>
      <c r="K116" s="3">
        <f>IF(L116&gt;0,INDEX(data_item!$A$1:$A$1994,MATCH(Baupläne!L116,data_item!$B$1:$B$1994,0),1),0)</f>
        <v>10</v>
      </c>
      <c r="L116" s="3">
        <f>Baupläne!K116</f>
        <v>32</v>
      </c>
      <c r="M116" s="3">
        <f>IF(N116&gt;0,INDEX(data_item!$A$1:$A$1994,MATCH(Baupläne!N116,data_item!$B$1:$B$994,0),1),0)</f>
        <v>101</v>
      </c>
      <c r="N116" s="3">
        <f>Baupläne!M116</f>
        <v>6</v>
      </c>
      <c r="O116" s="3">
        <f>IF(P116&gt;0,INDEX(data_item!$A$1:$A$1994,MATCH(Baupläne!P116,data_item!$B$1:$B$1994,0),1),0)</f>
        <v>102</v>
      </c>
      <c r="P116" s="3">
        <f>Baupläne!O116</f>
        <v>14</v>
      </c>
      <c r="Q116" s="3">
        <f>IF(R116&gt;0,INDEX(data_item!$A$1:$A$1994,MATCH(Baupläne!R116,data_item!$B$1:$B$1994,0),1),0)</f>
        <v>103</v>
      </c>
      <c r="R116" s="3">
        <f>Baupläne!Q116</f>
        <v>16</v>
      </c>
      <c r="S116" s="3">
        <f>IF(T116&gt;0,INDEX(data_item!$A$1:$A$1994,MATCH(Baupläne!T116,data_item!$B$1:$B$1994,0),1),0)</f>
        <v>0</v>
      </c>
      <c r="T116" s="3">
        <f>Baupläne!S116</f>
        <v>0</v>
      </c>
    </row>
    <row r="117" spans="1:20" x14ac:dyDescent="0.2">
      <c r="A117" s="3">
        <f>Baupläne!A117</f>
        <v>0</v>
      </c>
      <c r="B117" s="3">
        <f>Baupläne!C117</f>
        <v>0</v>
      </c>
      <c r="C117" s="3">
        <f>Baupläne!B117</f>
        <v>0</v>
      </c>
      <c r="D117" s="3">
        <f>Baupläne!J117</f>
        <v>0</v>
      </c>
      <c r="E117" s="3">
        <f>Baupläne!H117</f>
        <v>0</v>
      </c>
      <c r="F117" s="3">
        <f>Baupläne!I117</f>
        <v>0</v>
      </c>
      <c r="G117" s="3">
        <f>Baupläne!E117</f>
        <v>0</v>
      </c>
      <c r="H117" s="3">
        <f>Baupläne!F117</f>
        <v>0</v>
      </c>
      <c r="I117" s="3">
        <f>0.5*Baupläne!Y117</f>
        <v>0</v>
      </c>
      <c r="J117" s="3">
        <f>Baupläne!G117</f>
        <v>0</v>
      </c>
      <c r="K117" s="3">
        <f>IF(L117&gt;0,INDEX(data_item!$A$1:$A$1994,MATCH(Baupläne!L117,data_item!$B$1:$B$1994,0),1),0)</f>
        <v>0</v>
      </c>
      <c r="L117" s="3">
        <f>Baupläne!K117</f>
        <v>0</v>
      </c>
      <c r="M117" s="3">
        <f>IF(N117&gt;0,INDEX(data_item!$A$1:$A$1994,MATCH(Baupläne!N117,data_item!$B$1:$B$994,0),1),0)</f>
        <v>0</v>
      </c>
      <c r="N117" s="3">
        <f>Baupläne!M117</f>
        <v>0</v>
      </c>
      <c r="O117" s="3">
        <f>IF(P117&gt;0,INDEX(data_item!$A$1:$A$1994,MATCH(Baupläne!P117,data_item!$B$1:$B$1994,0),1),0)</f>
        <v>0</v>
      </c>
      <c r="P117" s="3">
        <f>Baupläne!O117</f>
        <v>0</v>
      </c>
      <c r="Q117" s="3">
        <f>IF(R117&gt;0,INDEX(data_item!$A$1:$A$1994,MATCH(Baupläne!R117,data_item!$B$1:$B$1994,0),1),0)</f>
        <v>0</v>
      </c>
      <c r="R117" s="3">
        <f>Baupläne!Q117</f>
        <v>0</v>
      </c>
      <c r="S117" s="3">
        <f>IF(T117&gt;0,INDEX(data_item!$A$1:$A$1994,MATCH(Baupläne!T117,data_item!$B$1:$B$1994,0),1),0)</f>
        <v>0</v>
      </c>
      <c r="T117" s="3">
        <f>Baupläne!S117</f>
        <v>0</v>
      </c>
    </row>
    <row r="118" spans="1:20" x14ac:dyDescent="0.2">
      <c r="A118" s="3">
        <f>Baupläne!A118</f>
        <v>1131</v>
      </c>
      <c r="B118" s="3" t="str">
        <f>Baupläne!C118</f>
        <v>Axt</v>
      </c>
      <c r="C118" s="3">
        <f>Baupläne!B118</f>
        <v>1131</v>
      </c>
      <c r="D118" s="3">
        <f>Baupläne!J118</f>
        <v>0</v>
      </c>
      <c r="E118" s="3">
        <f>Baupläne!H118</f>
        <v>58</v>
      </c>
      <c r="F118" s="3">
        <f>Baupläne!I118</f>
        <v>0</v>
      </c>
      <c r="G118" s="3">
        <f>Baupläne!E118</f>
        <v>30</v>
      </c>
      <c r="H118" s="3">
        <f>Baupläne!F118</f>
        <v>420</v>
      </c>
      <c r="I118" s="3">
        <f>0.5*Baupläne!Y118</f>
        <v>600</v>
      </c>
      <c r="J118" s="3">
        <f>Baupläne!G118</f>
        <v>1</v>
      </c>
      <c r="K118" s="3">
        <f>IF(L118&gt;0,INDEX(data_item!$A$1:$A$1994,MATCH(Baupläne!L118,data_item!$B$1:$B$1994,0),1),0)</f>
        <v>6</v>
      </c>
      <c r="L118" s="3">
        <f>Baupläne!K118</f>
        <v>7</v>
      </c>
      <c r="M118" s="3">
        <f>IF(N118&gt;0,INDEX(data_item!$A$1:$A$1994,MATCH(Baupläne!N118,data_item!$B$1:$B$994,0),1),0)</f>
        <v>101</v>
      </c>
      <c r="N118" s="3">
        <f>Baupläne!M118</f>
        <v>5</v>
      </c>
      <c r="O118" s="3">
        <f>IF(P118&gt;0,INDEX(data_item!$A$1:$A$1994,MATCH(Baupläne!P118,data_item!$B$1:$B$1994,0),1),0)</f>
        <v>0</v>
      </c>
      <c r="P118" s="3">
        <f>Baupläne!O118</f>
        <v>0</v>
      </c>
      <c r="Q118" s="3">
        <f>IF(R118&gt;0,INDEX(data_item!$A$1:$A$1994,MATCH(Baupläne!R118,data_item!$B$1:$B$1994,0),1),0)</f>
        <v>0</v>
      </c>
      <c r="R118" s="3">
        <f>Baupläne!Q118</f>
        <v>0</v>
      </c>
      <c r="S118" s="3">
        <f>IF(T118&gt;0,INDEX(data_item!$A$1:$A$1994,MATCH(Baupläne!T118,data_item!$B$1:$B$1994,0),1),0)</f>
        <v>0</v>
      </c>
      <c r="T118" s="3">
        <f>Baupläne!S118</f>
        <v>0</v>
      </c>
    </row>
    <row r="119" spans="1:20" x14ac:dyDescent="0.2">
      <c r="A119" s="3">
        <f>Baupläne!A119</f>
        <v>1132</v>
      </c>
      <c r="B119" s="3" t="str">
        <f>Baupläne!C119</f>
        <v>Streitaxt</v>
      </c>
      <c r="C119" s="3">
        <f>Baupläne!B119</f>
        <v>1132</v>
      </c>
      <c r="D119" s="3">
        <f>Baupläne!J119</f>
        <v>0</v>
      </c>
      <c r="E119" s="3">
        <f>Baupläne!H119</f>
        <v>58</v>
      </c>
      <c r="F119" s="3">
        <f>Baupläne!I119</f>
        <v>3</v>
      </c>
      <c r="G119" s="3">
        <f>Baupläne!E119</f>
        <v>30</v>
      </c>
      <c r="H119" s="3">
        <f>Baupläne!F119</f>
        <v>420</v>
      </c>
      <c r="I119" s="3">
        <f>0.5*Baupläne!Y119</f>
        <v>900</v>
      </c>
      <c r="J119" s="3">
        <f>Baupläne!G119</f>
        <v>1</v>
      </c>
      <c r="K119" s="3">
        <f>IF(L119&gt;0,INDEX(data_item!$A$1:$A$1994,MATCH(Baupläne!L119,data_item!$B$1:$B$1994,0),1),0)</f>
        <v>6</v>
      </c>
      <c r="L119" s="3">
        <f>Baupläne!K119</f>
        <v>10</v>
      </c>
      <c r="M119" s="3">
        <f>IF(N119&gt;0,INDEX(data_item!$A$1:$A$1994,MATCH(Baupläne!N119,data_item!$B$1:$B$994,0),1),0)</f>
        <v>101</v>
      </c>
      <c r="N119" s="3">
        <f>Baupläne!M119</f>
        <v>7</v>
      </c>
      <c r="O119" s="3">
        <f>IF(P119&gt;0,INDEX(data_item!$A$1:$A$1994,MATCH(Baupläne!P119,data_item!$B$1:$B$1994,0),1),0)</f>
        <v>0</v>
      </c>
      <c r="P119" s="3">
        <f>Baupläne!O119</f>
        <v>0</v>
      </c>
      <c r="Q119" s="3">
        <f>IF(R119&gt;0,INDEX(data_item!$A$1:$A$1994,MATCH(Baupläne!R119,data_item!$B$1:$B$1994,0),1),0)</f>
        <v>0</v>
      </c>
      <c r="R119" s="3">
        <f>Baupläne!Q119</f>
        <v>0</v>
      </c>
      <c r="S119" s="3">
        <f>IF(T119&gt;0,INDEX(data_item!$A$1:$A$1994,MATCH(Baupläne!T119,data_item!$B$1:$B$1994,0),1),0)</f>
        <v>0</v>
      </c>
      <c r="T119" s="3">
        <f>Baupläne!S119</f>
        <v>0</v>
      </c>
    </row>
    <row r="120" spans="1:20" x14ac:dyDescent="0.2">
      <c r="A120" s="3">
        <f>Baupläne!A120</f>
        <v>1133</v>
      </c>
      <c r="B120" s="3" t="str">
        <f>Baupläne!C120</f>
        <v>Holzfälleraxt</v>
      </c>
      <c r="C120" s="3">
        <f>Baupläne!B120</f>
        <v>1133</v>
      </c>
      <c r="D120" s="3">
        <f>Baupläne!J120</f>
        <v>0</v>
      </c>
      <c r="E120" s="3">
        <f>Baupläne!H120</f>
        <v>58</v>
      </c>
      <c r="F120" s="3">
        <f>Baupläne!I120</f>
        <v>5</v>
      </c>
      <c r="G120" s="3">
        <f>Baupläne!E120</f>
        <v>30</v>
      </c>
      <c r="H120" s="3">
        <f>Baupläne!F120</f>
        <v>420</v>
      </c>
      <c r="I120" s="3">
        <f>0.5*Baupläne!Y120</f>
        <v>1200</v>
      </c>
      <c r="J120" s="3">
        <f>Baupläne!G120</f>
        <v>2</v>
      </c>
      <c r="K120" s="3">
        <f>IF(L120&gt;0,INDEX(data_item!$A$1:$A$1994,MATCH(Baupläne!L120,data_item!$B$1:$B$1994,0),1),0)</f>
        <v>7</v>
      </c>
      <c r="L120" s="3">
        <f>Baupläne!K120</f>
        <v>7</v>
      </c>
      <c r="M120" s="3">
        <f>IF(N120&gt;0,INDEX(data_item!$A$1:$A$1994,MATCH(Baupläne!N120,data_item!$B$1:$B$994,0),1),0)</f>
        <v>101</v>
      </c>
      <c r="N120" s="3">
        <f>Baupläne!M120</f>
        <v>10</v>
      </c>
      <c r="O120" s="3">
        <f>IF(P120&gt;0,INDEX(data_item!$A$1:$A$1994,MATCH(Baupläne!P120,data_item!$B$1:$B$1994,0),1),0)</f>
        <v>0</v>
      </c>
      <c r="P120" s="3">
        <f>Baupläne!O120</f>
        <v>0</v>
      </c>
      <c r="Q120" s="3">
        <f>IF(R120&gt;0,INDEX(data_item!$A$1:$A$1994,MATCH(Baupläne!R120,data_item!$B$1:$B$1994,0),1),0)</f>
        <v>0</v>
      </c>
      <c r="R120" s="3">
        <f>Baupläne!Q120</f>
        <v>0</v>
      </c>
      <c r="S120" s="3">
        <f>IF(T120&gt;0,INDEX(data_item!$A$1:$A$1994,MATCH(Baupläne!T120,data_item!$B$1:$B$1994,0),1),0)</f>
        <v>0</v>
      </c>
      <c r="T120" s="3">
        <f>Baupläne!S120</f>
        <v>0</v>
      </c>
    </row>
    <row r="121" spans="1:20" x14ac:dyDescent="0.2">
      <c r="A121" s="3">
        <f>Baupläne!A121</f>
        <v>1134</v>
      </c>
      <c r="B121" s="3" t="str">
        <f>Baupläne!C121</f>
        <v>Breitaxt</v>
      </c>
      <c r="C121" s="3">
        <f>Baupläne!B121</f>
        <v>1134</v>
      </c>
      <c r="D121" s="3">
        <f>Baupläne!J121</f>
        <v>0</v>
      </c>
      <c r="E121" s="3">
        <f>Baupläne!H121</f>
        <v>58</v>
      </c>
      <c r="F121" s="3">
        <f>Baupläne!I121</f>
        <v>8</v>
      </c>
      <c r="G121" s="3">
        <f>Baupläne!E121</f>
        <v>30</v>
      </c>
      <c r="H121" s="3">
        <f>Baupläne!F121</f>
        <v>420</v>
      </c>
      <c r="I121" s="3">
        <f>0.5*Baupläne!Y121</f>
        <v>1850</v>
      </c>
      <c r="J121" s="3">
        <f>Baupläne!G121</f>
        <v>2</v>
      </c>
      <c r="K121" s="3">
        <f>IF(L121&gt;0,INDEX(data_item!$A$1:$A$1994,MATCH(Baupläne!L121,data_item!$B$1:$B$1994,0),1),0)</f>
        <v>7</v>
      </c>
      <c r="L121" s="3">
        <f>Baupläne!K121</f>
        <v>10</v>
      </c>
      <c r="M121" s="3">
        <f>IF(N121&gt;0,INDEX(data_item!$A$1:$A$1994,MATCH(Baupläne!N121,data_item!$B$1:$B$994,0),1),0)</f>
        <v>101</v>
      </c>
      <c r="N121" s="3">
        <f>Baupläne!M121</f>
        <v>15</v>
      </c>
      <c r="O121" s="3">
        <f>IF(P121&gt;0,INDEX(data_item!$A$1:$A$1994,MATCH(Baupläne!P121,data_item!$B$1:$B$1994,0),1),0)</f>
        <v>0</v>
      </c>
      <c r="P121" s="3">
        <f>Baupläne!O121</f>
        <v>0</v>
      </c>
      <c r="Q121" s="3">
        <f>IF(R121&gt;0,INDEX(data_item!$A$1:$A$1994,MATCH(Baupläne!R121,data_item!$B$1:$B$1994,0),1),0)</f>
        <v>0</v>
      </c>
      <c r="R121" s="3">
        <f>Baupläne!Q121</f>
        <v>0</v>
      </c>
      <c r="S121" s="3">
        <f>IF(T121&gt;0,INDEX(data_item!$A$1:$A$1994,MATCH(Baupläne!T121,data_item!$B$1:$B$1994,0),1),0)</f>
        <v>0</v>
      </c>
      <c r="T121" s="3">
        <f>Baupläne!S121</f>
        <v>0</v>
      </c>
    </row>
    <row r="122" spans="1:20" x14ac:dyDescent="0.2">
      <c r="A122" s="3">
        <f>Baupläne!A122</f>
        <v>1135</v>
      </c>
      <c r="B122" s="3" t="str">
        <f>Baupläne!C122</f>
        <v>Barbarenaxt</v>
      </c>
      <c r="C122" s="3">
        <f>Baupläne!B122</f>
        <v>1135</v>
      </c>
      <c r="D122" s="3">
        <f>Baupläne!J122</f>
        <v>0</v>
      </c>
      <c r="E122" s="3">
        <f>Baupläne!H122</f>
        <v>58</v>
      </c>
      <c r="F122" s="3">
        <f>Baupläne!I122</f>
        <v>10</v>
      </c>
      <c r="G122" s="3">
        <f>Baupläne!E122</f>
        <v>30</v>
      </c>
      <c r="H122" s="3">
        <f>Baupläne!F122</f>
        <v>420</v>
      </c>
      <c r="I122" s="3">
        <f>0.5*Baupläne!Y122</f>
        <v>2450</v>
      </c>
      <c r="J122" s="3">
        <f>Baupläne!G122</f>
        <v>3</v>
      </c>
      <c r="K122" s="3">
        <f>IF(L122&gt;0,INDEX(data_item!$A$1:$A$1994,MATCH(Baupläne!L122,data_item!$B$1:$B$1994,0),1),0)</f>
        <v>8</v>
      </c>
      <c r="L122" s="3">
        <f>Baupläne!K122</f>
        <v>9</v>
      </c>
      <c r="M122" s="3">
        <f>IF(N122&gt;0,INDEX(data_item!$A$1:$A$1994,MATCH(Baupläne!N122,data_item!$B$1:$B$994,0),1),0)</f>
        <v>101</v>
      </c>
      <c r="N122" s="3">
        <f>Baupläne!M122</f>
        <v>5</v>
      </c>
      <c r="O122" s="3">
        <f>IF(P122&gt;0,INDEX(data_item!$A$1:$A$1994,MATCH(Baupläne!P122,data_item!$B$1:$B$1994,0),1),0)</f>
        <v>102</v>
      </c>
      <c r="P122" s="3">
        <f>Baupläne!O122</f>
        <v>6</v>
      </c>
      <c r="Q122" s="3">
        <f>IF(R122&gt;0,INDEX(data_item!$A$1:$A$1994,MATCH(Baupläne!R122,data_item!$B$1:$B$1994,0),1),0)</f>
        <v>0</v>
      </c>
      <c r="R122" s="3">
        <f>Baupläne!Q122</f>
        <v>0</v>
      </c>
      <c r="S122" s="3">
        <f>IF(T122&gt;0,INDEX(data_item!$A$1:$A$1994,MATCH(Baupläne!T122,data_item!$B$1:$B$1994,0),1),0)</f>
        <v>0</v>
      </c>
      <c r="T122" s="3">
        <f>Baupläne!S122</f>
        <v>0</v>
      </c>
    </row>
    <row r="123" spans="1:20" x14ac:dyDescent="0.2">
      <c r="A123" s="3">
        <f>Baupläne!A123</f>
        <v>1136</v>
      </c>
      <c r="B123" s="3" t="str">
        <f>Baupläne!C123</f>
        <v>Militärpicke</v>
      </c>
      <c r="C123" s="3">
        <f>Baupläne!B123</f>
        <v>1136</v>
      </c>
      <c r="D123" s="3">
        <f>Baupläne!J123</f>
        <v>0</v>
      </c>
      <c r="E123" s="3">
        <f>Baupläne!H123</f>
        <v>58</v>
      </c>
      <c r="F123" s="3">
        <f>Baupläne!I123</f>
        <v>13</v>
      </c>
      <c r="G123" s="3">
        <f>Baupläne!E123</f>
        <v>30</v>
      </c>
      <c r="H123" s="3">
        <f>Baupläne!F123</f>
        <v>420</v>
      </c>
      <c r="I123" s="3">
        <f>0.5*Baupläne!Y123</f>
        <v>3700</v>
      </c>
      <c r="J123" s="3">
        <f>Baupläne!G123</f>
        <v>3</v>
      </c>
      <c r="K123" s="3">
        <f>IF(L123&gt;0,INDEX(data_item!$A$1:$A$1994,MATCH(Baupläne!L123,data_item!$B$1:$B$1994,0),1),0)</f>
        <v>8</v>
      </c>
      <c r="L123" s="3">
        <f>Baupläne!K123</f>
        <v>14</v>
      </c>
      <c r="M123" s="3">
        <f>IF(N123&gt;0,INDEX(data_item!$A$1:$A$1994,MATCH(Baupläne!N123,data_item!$B$1:$B$994,0),1),0)</f>
        <v>101</v>
      </c>
      <c r="N123" s="3">
        <f>Baupläne!M123</f>
        <v>3</v>
      </c>
      <c r="O123" s="3">
        <f>IF(P123&gt;0,INDEX(data_item!$A$1:$A$1994,MATCH(Baupläne!P123,data_item!$B$1:$B$1994,0),1),0)</f>
        <v>102</v>
      </c>
      <c r="P123" s="3">
        <f>Baupläne!O123</f>
        <v>11</v>
      </c>
      <c r="Q123" s="3">
        <f>IF(R123&gt;0,INDEX(data_item!$A$1:$A$1994,MATCH(Baupläne!R123,data_item!$B$1:$B$1994,0),1),0)</f>
        <v>0</v>
      </c>
      <c r="R123" s="3">
        <f>Baupläne!Q123</f>
        <v>0</v>
      </c>
      <c r="S123" s="3">
        <f>IF(T123&gt;0,INDEX(data_item!$A$1:$A$1994,MATCH(Baupläne!T123,data_item!$B$1:$B$1994,0),1),0)</f>
        <v>0</v>
      </c>
      <c r="T123" s="3">
        <f>Baupläne!S123</f>
        <v>0</v>
      </c>
    </row>
    <row r="124" spans="1:20" x14ac:dyDescent="0.2">
      <c r="A124" s="3">
        <f>Baupläne!A124</f>
        <v>1137</v>
      </c>
      <c r="B124" s="3" t="str">
        <f>Baupläne!C124</f>
        <v>Zwillingsaxt</v>
      </c>
      <c r="C124" s="3">
        <f>Baupläne!B124</f>
        <v>1137</v>
      </c>
      <c r="D124" s="3">
        <f>Baupläne!J124</f>
        <v>0</v>
      </c>
      <c r="E124" s="3">
        <f>Baupläne!H124</f>
        <v>58</v>
      </c>
      <c r="F124" s="3">
        <f>Baupläne!I124</f>
        <v>15</v>
      </c>
      <c r="G124" s="3">
        <f>Baupläne!E124</f>
        <v>30</v>
      </c>
      <c r="H124" s="3">
        <f>Baupläne!F124</f>
        <v>420</v>
      </c>
      <c r="I124" s="3">
        <f>0.5*Baupläne!Y124</f>
        <v>4900</v>
      </c>
      <c r="J124" s="3">
        <f>Baupläne!G124</f>
        <v>4</v>
      </c>
      <c r="K124" s="3">
        <f>IF(L124&gt;0,INDEX(data_item!$A$1:$A$1994,MATCH(Baupläne!L124,data_item!$B$1:$B$1994,0),1),0)</f>
        <v>9</v>
      </c>
      <c r="L124" s="3">
        <f>Baupläne!K124</f>
        <v>12</v>
      </c>
      <c r="M124" s="3">
        <f>IF(N124&gt;0,INDEX(data_item!$A$1:$A$1994,MATCH(Baupläne!N124,data_item!$B$1:$B$994,0),1),0)</f>
        <v>101</v>
      </c>
      <c r="N124" s="3">
        <f>Baupläne!M124</f>
        <v>5</v>
      </c>
      <c r="O124" s="3">
        <f>IF(P124&gt;0,INDEX(data_item!$A$1:$A$1994,MATCH(Baupläne!P124,data_item!$B$1:$B$1994,0),1),0)</f>
        <v>102</v>
      </c>
      <c r="P124" s="3">
        <f>Baupläne!O124</f>
        <v>14</v>
      </c>
      <c r="Q124" s="3">
        <f>IF(R124&gt;0,INDEX(data_item!$A$1:$A$1994,MATCH(Baupläne!R124,data_item!$B$1:$B$1994,0),1),0)</f>
        <v>0</v>
      </c>
      <c r="R124" s="3">
        <f>Baupläne!Q124</f>
        <v>0</v>
      </c>
      <c r="S124" s="3">
        <f>IF(T124&gt;0,INDEX(data_item!$A$1:$A$1994,MATCH(Baupläne!T124,data_item!$B$1:$B$1994,0),1),0)</f>
        <v>0</v>
      </c>
      <c r="T124" s="3">
        <f>Baupläne!S124</f>
        <v>0</v>
      </c>
    </row>
    <row r="125" spans="1:20" x14ac:dyDescent="0.2">
      <c r="A125" s="3">
        <f>Baupläne!A125</f>
        <v>1138</v>
      </c>
      <c r="B125" s="3" t="str">
        <f>Baupläne!C125</f>
        <v>Kriegsbeil</v>
      </c>
      <c r="C125" s="3">
        <f>Baupläne!B125</f>
        <v>1138</v>
      </c>
      <c r="D125" s="3">
        <f>Baupläne!J125</f>
        <v>0</v>
      </c>
      <c r="E125" s="3">
        <f>Baupläne!H125</f>
        <v>58</v>
      </c>
      <c r="F125" s="3">
        <f>Baupläne!I125</f>
        <v>18</v>
      </c>
      <c r="G125" s="3">
        <f>Baupläne!E125</f>
        <v>30</v>
      </c>
      <c r="H125" s="3">
        <f>Baupläne!F125</f>
        <v>420</v>
      </c>
      <c r="I125" s="3">
        <f>0.5*Baupläne!Y125</f>
        <v>7450</v>
      </c>
      <c r="J125" s="3">
        <f>Baupläne!G125</f>
        <v>4</v>
      </c>
      <c r="K125" s="3">
        <f>IF(L125&gt;0,INDEX(data_item!$A$1:$A$1994,MATCH(Baupläne!L125,data_item!$B$1:$B$1994,0),1),0)</f>
        <v>9</v>
      </c>
      <c r="L125" s="3">
        <f>Baupläne!K125</f>
        <v>18</v>
      </c>
      <c r="M125" s="3">
        <f>IF(N125&gt;0,INDEX(data_item!$A$1:$A$1994,MATCH(Baupläne!N125,data_item!$B$1:$B$994,0),1),0)</f>
        <v>101</v>
      </c>
      <c r="N125" s="3">
        <f>Baupläne!M125</f>
        <v>6</v>
      </c>
      <c r="O125" s="3">
        <f>IF(P125&gt;0,INDEX(data_item!$A$1:$A$1994,MATCH(Baupläne!P125,data_item!$B$1:$B$1994,0),1),0)</f>
        <v>102</v>
      </c>
      <c r="P125" s="3">
        <f>Baupläne!O125</f>
        <v>22</v>
      </c>
      <c r="Q125" s="3">
        <f>IF(R125&gt;0,INDEX(data_item!$A$1:$A$1994,MATCH(Baupläne!R125,data_item!$B$1:$B$1994,0),1),0)</f>
        <v>0</v>
      </c>
      <c r="R125" s="3">
        <f>Baupläne!Q125</f>
        <v>0</v>
      </c>
      <c r="S125" s="3">
        <f>IF(T125&gt;0,INDEX(data_item!$A$1:$A$1994,MATCH(Baupläne!T125,data_item!$B$1:$B$1994,0),1),0)</f>
        <v>0</v>
      </c>
      <c r="T125" s="3">
        <f>Baupläne!S125</f>
        <v>0</v>
      </c>
    </row>
    <row r="126" spans="1:20" x14ac:dyDescent="0.2">
      <c r="A126" s="3">
        <f>Baupläne!A126</f>
        <v>1139</v>
      </c>
      <c r="B126" s="3" t="str">
        <f>Baupläne!C126</f>
        <v>Tomahawk</v>
      </c>
      <c r="C126" s="3">
        <f>Baupläne!B126</f>
        <v>1139</v>
      </c>
      <c r="D126" s="3">
        <f>Baupläne!J126</f>
        <v>0</v>
      </c>
      <c r="E126" s="3">
        <f>Baupläne!H126</f>
        <v>58</v>
      </c>
      <c r="F126" s="3">
        <f>Baupläne!I126</f>
        <v>21</v>
      </c>
      <c r="G126" s="3">
        <f>Baupläne!E126</f>
        <v>30</v>
      </c>
      <c r="H126" s="3">
        <f>Baupläne!F126</f>
        <v>420</v>
      </c>
      <c r="I126" s="3">
        <f>0.5*Baupläne!Y126</f>
        <v>11300</v>
      </c>
      <c r="J126" s="3">
        <f>Baupläne!G126</f>
        <v>5</v>
      </c>
      <c r="K126" s="3">
        <f>IF(L126&gt;0,INDEX(data_item!$A$1:$A$1994,MATCH(Baupläne!L126,data_item!$B$1:$B$1994,0),1),0)</f>
        <v>10</v>
      </c>
      <c r="L126" s="3">
        <f>Baupläne!K126</f>
        <v>21</v>
      </c>
      <c r="M126" s="3">
        <f>IF(N126&gt;0,INDEX(data_item!$A$1:$A$1994,MATCH(Baupläne!N126,data_item!$B$1:$B$994,0),1),0)</f>
        <v>101</v>
      </c>
      <c r="N126" s="3">
        <f>Baupläne!M126</f>
        <v>5</v>
      </c>
      <c r="O126" s="3">
        <f>IF(P126&gt;0,INDEX(data_item!$A$1:$A$1994,MATCH(Baupläne!P126,data_item!$B$1:$B$1994,0),1),0)</f>
        <v>102</v>
      </c>
      <c r="P126" s="3">
        <f>Baupläne!O126</f>
        <v>10</v>
      </c>
      <c r="Q126" s="3">
        <f>IF(R126&gt;0,INDEX(data_item!$A$1:$A$1994,MATCH(Baupläne!R126,data_item!$B$1:$B$1994,0),1),0)</f>
        <v>103</v>
      </c>
      <c r="R126" s="3">
        <f>Baupläne!Q126</f>
        <v>10</v>
      </c>
      <c r="S126" s="3">
        <f>IF(T126&gt;0,INDEX(data_item!$A$1:$A$1994,MATCH(Baupläne!T126,data_item!$B$1:$B$1994,0),1),0)</f>
        <v>0</v>
      </c>
      <c r="T126" s="3">
        <f>Baupläne!S126</f>
        <v>0</v>
      </c>
    </row>
    <row r="127" spans="1:20" x14ac:dyDescent="0.2">
      <c r="A127" s="3">
        <f>Baupläne!A127</f>
        <v>1140</v>
      </c>
      <c r="B127" s="3" t="str">
        <f>Baupläne!C127</f>
        <v>Franziska</v>
      </c>
      <c r="C127" s="3">
        <f>Baupläne!B127</f>
        <v>1140</v>
      </c>
      <c r="D127" s="3">
        <f>Baupläne!J127</f>
        <v>0</v>
      </c>
      <c r="E127" s="3">
        <f>Baupläne!H127</f>
        <v>58</v>
      </c>
      <c r="F127" s="3">
        <f>Baupläne!I127</f>
        <v>24</v>
      </c>
      <c r="G127" s="3">
        <f>Baupläne!E127</f>
        <v>30</v>
      </c>
      <c r="H127" s="3">
        <f>Baupläne!F127</f>
        <v>420</v>
      </c>
      <c r="I127" s="3">
        <f>0.5*Baupläne!Y127</f>
        <v>17200</v>
      </c>
      <c r="J127" s="3">
        <f>Baupläne!G127</f>
        <v>5</v>
      </c>
      <c r="K127" s="3">
        <f>IF(L127&gt;0,INDEX(data_item!$A$1:$A$1994,MATCH(Baupläne!L127,data_item!$B$1:$B$1994,0),1),0)</f>
        <v>10</v>
      </c>
      <c r="L127" s="3">
        <f>Baupläne!K127</f>
        <v>32</v>
      </c>
      <c r="M127" s="3">
        <f>IF(N127&gt;0,INDEX(data_item!$A$1:$A$1994,MATCH(Baupläne!N127,data_item!$B$1:$B$994,0),1),0)</f>
        <v>101</v>
      </c>
      <c r="N127" s="3">
        <f>Baupläne!M127</f>
        <v>6</v>
      </c>
      <c r="O127" s="3">
        <f>IF(P127&gt;0,INDEX(data_item!$A$1:$A$1994,MATCH(Baupläne!P127,data_item!$B$1:$B$1994,0),1),0)</f>
        <v>102</v>
      </c>
      <c r="P127" s="3">
        <f>Baupläne!O127</f>
        <v>14</v>
      </c>
      <c r="Q127" s="3">
        <f>IF(R127&gt;0,INDEX(data_item!$A$1:$A$1994,MATCH(Baupläne!R127,data_item!$B$1:$B$1994,0),1),0)</f>
        <v>103</v>
      </c>
      <c r="R127" s="3">
        <f>Baupläne!Q127</f>
        <v>16</v>
      </c>
      <c r="S127" s="3">
        <f>IF(T127&gt;0,INDEX(data_item!$A$1:$A$1994,MATCH(Baupläne!T127,data_item!$B$1:$B$1994,0),1),0)</f>
        <v>0</v>
      </c>
      <c r="T127" s="3">
        <f>Baupläne!S127</f>
        <v>0</v>
      </c>
    </row>
    <row r="128" spans="1:20" x14ac:dyDescent="0.2">
      <c r="A128" s="3">
        <f>Baupläne!A128</f>
        <v>0</v>
      </c>
      <c r="B128" s="3">
        <f>Baupläne!C128</f>
        <v>0</v>
      </c>
      <c r="C128" s="3">
        <f>Baupläne!B128</f>
        <v>0</v>
      </c>
      <c r="D128" s="3">
        <f>Baupläne!J128</f>
        <v>0</v>
      </c>
      <c r="E128" s="3">
        <f>Baupläne!H128</f>
        <v>0</v>
      </c>
      <c r="F128" s="3">
        <f>Baupläne!I128</f>
        <v>0</v>
      </c>
      <c r="G128" s="3">
        <f>Baupläne!E128</f>
        <v>0</v>
      </c>
      <c r="H128" s="3">
        <f>Baupläne!F128</f>
        <v>0</v>
      </c>
      <c r="I128" s="3">
        <f>0.5*Baupläne!Y128</f>
        <v>0</v>
      </c>
      <c r="J128" s="3">
        <f>Baupläne!G128</f>
        <v>0</v>
      </c>
      <c r="K128" s="3">
        <f>IF(L128&gt;0,INDEX(data_item!$A$1:$A$1994,MATCH(Baupläne!L128,data_item!$B$1:$B$1994,0),1),0)</f>
        <v>0</v>
      </c>
      <c r="L128" s="3">
        <f>Baupläne!K128</f>
        <v>0</v>
      </c>
      <c r="M128" s="3">
        <f>IF(N128&gt;0,INDEX(data_item!$A$1:$A$1994,MATCH(Baupläne!N128,data_item!$B$1:$B$994,0),1),0)</f>
        <v>0</v>
      </c>
      <c r="N128" s="3">
        <f>Baupläne!M128</f>
        <v>0</v>
      </c>
      <c r="O128" s="3">
        <f>IF(P128&gt;0,INDEX(data_item!$A$1:$A$1994,MATCH(Baupläne!P128,data_item!$B$1:$B$1994,0),1),0)</f>
        <v>0</v>
      </c>
      <c r="P128" s="3">
        <f>Baupläne!O128</f>
        <v>0</v>
      </c>
      <c r="Q128" s="3">
        <f>IF(R128&gt;0,INDEX(data_item!$A$1:$A$1994,MATCH(Baupläne!R128,data_item!$B$1:$B$1994,0),1),0)</f>
        <v>0</v>
      </c>
      <c r="R128" s="3">
        <f>Baupläne!Q128</f>
        <v>0</v>
      </c>
      <c r="S128" s="3">
        <f>IF(T128&gt;0,INDEX(data_item!$A$1:$A$1994,MATCH(Baupläne!T128,data_item!$B$1:$B$1994,0),1),0)</f>
        <v>0</v>
      </c>
      <c r="T128" s="3">
        <f>Baupläne!S128</f>
        <v>0</v>
      </c>
    </row>
    <row r="129" spans="1:20" x14ac:dyDescent="0.2">
      <c r="A129" s="3">
        <f>Baupläne!A129</f>
        <v>1141</v>
      </c>
      <c r="B129" s="3" t="str">
        <f>Baupläne!C129</f>
        <v>Bidenaxt</v>
      </c>
      <c r="C129" s="3">
        <f>Baupläne!B129</f>
        <v>1141</v>
      </c>
      <c r="D129" s="3">
        <f>Baupläne!J129</f>
        <v>0</v>
      </c>
      <c r="E129" s="3">
        <f>Baupläne!H129</f>
        <v>58</v>
      </c>
      <c r="F129" s="3">
        <f>Baupläne!I129</f>
        <v>6</v>
      </c>
      <c r="G129" s="3">
        <f>Baupläne!E129</f>
        <v>30</v>
      </c>
      <c r="H129" s="3">
        <f>Baupläne!F129</f>
        <v>540</v>
      </c>
      <c r="I129" s="3">
        <f>0.5*Baupläne!Y129</f>
        <v>2300</v>
      </c>
      <c r="J129" s="3">
        <f>Baupläne!G129</f>
        <v>2</v>
      </c>
      <c r="K129" s="3">
        <f>IF(L129&gt;0,INDEX(data_item!$A$1:$A$1994,MATCH(Baupläne!L129,data_item!$B$1:$B$1994,0),1),0)</f>
        <v>7</v>
      </c>
      <c r="L129" s="3">
        <f>Baupläne!K129</f>
        <v>13</v>
      </c>
      <c r="M129" s="3">
        <f>IF(N129&gt;0,INDEX(data_item!$A$1:$A$1994,MATCH(Baupläne!N129,data_item!$B$1:$B$994,0),1),0)</f>
        <v>101</v>
      </c>
      <c r="N129" s="3">
        <f>Baupläne!M129</f>
        <v>19</v>
      </c>
      <c r="O129" s="3">
        <f>IF(P129&gt;0,INDEX(data_item!$A$1:$A$1994,MATCH(Baupläne!P129,data_item!$B$1:$B$1994,0),1),0)</f>
        <v>0</v>
      </c>
      <c r="P129" s="3">
        <f>Baupläne!O129</f>
        <v>0</v>
      </c>
      <c r="Q129" s="3">
        <f>IF(R129&gt;0,INDEX(data_item!$A$1:$A$1994,MATCH(Baupläne!R129,data_item!$B$1:$B$1994,0),1),0)</f>
        <v>0</v>
      </c>
      <c r="R129" s="3">
        <f>Baupläne!Q129</f>
        <v>0</v>
      </c>
      <c r="S129" s="3">
        <f>IF(T129&gt;0,INDEX(data_item!$A$1:$A$1994,MATCH(Baupläne!T129,data_item!$B$1:$B$1994,0),1),0)</f>
        <v>0</v>
      </c>
      <c r="T129" s="3">
        <f>Baupläne!S129</f>
        <v>0</v>
      </c>
    </row>
    <row r="130" spans="1:20" x14ac:dyDescent="0.2">
      <c r="A130" s="3">
        <f>Baupläne!A130</f>
        <v>1142</v>
      </c>
      <c r="B130" s="3" t="str">
        <f>Baupläne!C130</f>
        <v>Felsenspalter</v>
      </c>
      <c r="C130" s="3">
        <f>Baupläne!B130</f>
        <v>1142</v>
      </c>
      <c r="D130" s="3">
        <f>Baupläne!J130</f>
        <v>0</v>
      </c>
      <c r="E130" s="3">
        <f>Baupläne!H130</f>
        <v>58</v>
      </c>
      <c r="F130" s="3">
        <f>Baupläne!I130</f>
        <v>9</v>
      </c>
      <c r="G130" s="3">
        <f>Baupläne!E130</f>
        <v>30</v>
      </c>
      <c r="H130" s="3">
        <f>Baupläne!F130</f>
        <v>540</v>
      </c>
      <c r="I130" s="3">
        <f>0.5*Baupläne!Y130</f>
        <v>3500</v>
      </c>
      <c r="J130" s="3">
        <f>Baupläne!G130</f>
        <v>2</v>
      </c>
      <c r="K130" s="3">
        <f>IF(L130&gt;0,INDEX(data_item!$A$1:$A$1994,MATCH(Baupläne!L130,data_item!$B$1:$B$1994,0),1),0)</f>
        <v>7</v>
      </c>
      <c r="L130" s="3">
        <f>Baupläne!K130</f>
        <v>19</v>
      </c>
      <c r="M130" s="3">
        <f>IF(N130&gt;0,INDEX(data_item!$A$1:$A$1994,MATCH(Baupläne!N130,data_item!$B$1:$B$994,0),1),0)</f>
        <v>101</v>
      </c>
      <c r="N130" s="3">
        <f>Baupläne!M130</f>
        <v>29</v>
      </c>
      <c r="O130" s="3">
        <f>IF(P130&gt;0,INDEX(data_item!$A$1:$A$1994,MATCH(Baupläne!P130,data_item!$B$1:$B$1994,0),1),0)</f>
        <v>0</v>
      </c>
      <c r="P130" s="3">
        <f>Baupläne!O130</f>
        <v>0</v>
      </c>
      <c r="Q130" s="3">
        <f>IF(R130&gt;0,INDEX(data_item!$A$1:$A$1994,MATCH(Baupläne!R130,data_item!$B$1:$B$1994,0),1),0)</f>
        <v>0</v>
      </c>
      <c r="R130" s="3">
        <f>Baupläne!Q130</f>
        <v>0</v>
      </c>
      <c r="S130" s="3">
        <f>IF(T130&gt;0,INDEX(data_item!$A$1:$A$1994,MATCH(Baupläne!T130,data_item!$B$1:$B$1994,0),1),0)</f>
        <v>0</v>
      </c>
      <c r="T130" s="3">
        <f>Baupläne!S130</f>
        <v>0</v>
      </c>
    </row>
    <row r="131" spans="1:20" x14ac:dyDescent="0.2">
      <c r="A131" s="3">
        <f>Baupläne!A131</f>
        <v>1143</v>
      </c>
      <c r="B131" s="3" t="str">
        <f>Baupläne!C131</f>
        <v>Prunkaxt</v>
      </c>
      <c r="C131" s="3">
        <f>Baupläne!B131</f>
        <v>1143</v>
      </c>
      <c r="D131" s="3">
        <f>Baupläne!J131</f>
        <v>0</v>
      </c>
      <c r="E131" s="3">
        <f>Baupläne!H131</f>
        <v>58</v>
      </c>
      <c r="F131" s="3">
        <f>Baupläne!I131</f>
        <v>11</v>
      </c>
      <c r="G131" s="3">
        <f>Baupläne!E131</f>
        <v>30</v>
      </c>
      <c r="H131" s="3">
        <f>Baupläne!F131</f>
        <v>540</v>
      </c>
      <c r="I131" s="3">
        <f>0.5*Baupläne!Y131</f>
        <v>4650</v>
      </c>
      <c r="J131" s="3">
        <f>Baupläne!G131</f>
        <v>3</v>
      </c>
      <c r="K131" s="3">
        <f>IF(L131&gt;0,INDEX(data_item!$A$1:$A$1994,MATCH(Baupläne!L131,data_item!$B$1:$B$1994,0),1),0)</f>
        <v>8</v>
      </c>
      <c r="L131" s="3">
        <f>Baupläne!K131</f>
        <v>17</v>
      </c>
      <c r="M131" s="3">
        <f>IF(N131&gt;0,INDEX(data_item!$A$1:$A$1994,MATCH(Baupläne!N131,data_item!$B$1:$B$994,0),1),0)</f>
        <v>101</v>
      </c>
      <c r="N131" s="3">
        <f>Baupläne!M131</f>
        <v>3</v>
      </c>
      <c r="O131" s="3">
        <f>IF(P131&gt;0,INDEX(data_item!$A$1:$A$1994,MATCH(Baupläne!P131,data_item!$B$1:$B$1994,0),1),0)</f>
        <v>102</v>
      </c>
      <c r="P131" s="3">
        <f>Baupläne!O131</f>
        <v>14</v>
      </c>
      <c r="Q131" s="3">
        <f>IF(R131&gt;0,INDEX(data_item!$A$1:$A$1994,MATCH(Baupläne!R131,data_item!$B$1:$B$1994,0),1),0)</f>
        <v>0</v>
      </c>
      <c r="R131" s="3">
        <f>Baupläne!Q131</f>
        <v>0</v>
      </c>
      <c r="S131" s="3">
        <f>IF(T131&gt;0,INDEX(data_item!$A$1:$A$1994,MATCH(Baupläne!T131,data_item!$B$1:$B$1994,0),1),0)</f>
        <v>0</v>
      </c>
      <c r="T131" s="3">
        <f>Baupläne!S131</f>
        <v>0</v>
      </c>
    </row>
    <row r="132" spans="1:20" x14ac:dyDescent="0.2">
      <c r="A132" s="3">
        <f>Baupläne!A132</f>
        <v>1144</v>
      </c>
      <c r="B132" s="3" t="str">
        <f>Baupläne!C132</f>
        <v>Heldenaxt</v>
      </c>
      <c r="C132" s="3">
        <f>Baupläne!B132</f>
        <v>1144</v>
      </c>
      <c r="D132" s="3">
        <f>Baupläne!J132</f>
        <v>0</v>
      </c>
      <c r="E132" s="3">
        <f>Baupläne!H132</f>
        <v>58</v>
      </c>
      <c r="F132" s="3">
        <f>Baupläne!I132</f>
        <v>14</v>
      </c>
      <c r="G132" s="3">
        <f>Baupläne!E132</f>
        <v>30</v>
      </c>
      <c r="H132" s="3">
        <f>Baupläne!F132</f>
        <v>540</v>
      </c>
      <c r="I132" s="3">
        <f>0.5*Baupläne!Y132</f>
        <v>7100</v>
      </c>
      <c r="J132" s="3">
        <f>Baupläne!G132</f>
        <v>3</v>
      </c>
      <c r="K132" s="3">
        <f>IF(L132&gt;0,INDEX(data_item!$A$1:$A$1994,MATCH(Baupläne!L132,data_item!$B$1:$B$1994,0),1),0)</f>
        <v>8</v>
      </c>
      <c r="L132" s="3">
        <f>Baupläne!K132</f>
        <v>26</v>
      </c>
      <c r="M132" s="3">
        <f>IF(N132&gt;0,INDEX(data_item!$A$1:$A$1994,MATCH(Baupläne!N132,data_item!$B$1:$B$994,0),1),0)</f>
        <v>101</v>
      </c>
      <c r="N132" s="3">
        <f>Baupläne!M132</f>
        <v>6</v>
      </c>
      <c r="O132" s="3">
        <f>IF(P132&gt;0,INDEX(data_item!$A$1:$A$1994,MATCH(Baupläne!P132,data_item!$B$1:$B$1994,0),1),0)</f>
        <v>102</v>
      </c>
      <c r="P132" s="3">
        <f>Baupläne!O132</f>
        <v>21</v>
      </c>
      <c r="Q132" s="3">
        <f>IF(R132&gt;0,INDEX(data_item!$A$1:$A$1994,MATCH(Baupläne!R132,data_item!$B$1:$B$1994,0),1),0)</f>
        <v>0</v>
      </c>
      <c r="R132" s="3">
        <f>Baupläne!Q132</f>
        <v>0</v>
      </c>
      <c r="S132" s="3">
        <f>IF(T132&gt;0,INDEX(data_item!$A$1:$A$1994,MATCH(Baupläne!T132,data_item!$B$1:$B$1994,0),1),0)</f>
        <v>0</v>
      </c>
      <c r="T132" s="3">
        <f>Baupläne!S132</f>
        <v>0</v>
      </c>
    </row>
    <row r="133" spans="1:20" x14ac:dyDescent="0.2">
      <c r="A133" s="3">
        <f>Baupläne!A133</f>
        <v>1145</v>
      </c>
      <c r="B133" s="3" t="str">
        <f>Baupläne!C133</f>
        <v>Sonnensichel</v>
      </c>
      <c r="C133" s="3">
        <f>Baupläne!B133</f>
        <v>1145</v>
      </c>
      <c r="D133" s="3">
        <f>Baupläne!J133</f>
        <v>0</v>
      </c>
      <c r="E133" s="3">
        <f>Baupläne!H133</f>
        <v>58</v>
      </c>
      <c r="F133" s="3">
        <f>Baupläne!I133</f>
        <v>16</v>
      </c>
      <c r="G133" s="3">
        <f>Baupläne!E133</f>
        <v>30</v>
      </c>
      <c r="H133" s="3">
        <f>Baupläne!F133</f>
        <v>540</v>
      </c>
      <c r="I133" s="3">
        <f>0.5*Baupläne!Y133</f>
        <v>9350</v>
      </c>
      <c r="J133" s="3">
        <f>Baupläne!G133</f>
        <v>4</v>
      </c>
      <c r="K133" s="3">
        <f>IF(L133&gt;0,INDEX(data_item!$A$1:$A$1994,MATCH(Baupläne!L133,data_item!$B$1:$B$1994,0),1),0)</f>
        <v>9</v>
      </c>
      <c r="L133" s="3">
        <f>Baupläne!K133</f>
        <v>23</v>
      </c>
      <c r="M133" s="3">
        <f>IF(N133&gt;0,INDEX(data_item!$A$1:$A$1994,MATCH(Baupläne!N133,data_item!$B$1:$B$994,0),1),0)</f>
        <v>101</v>
      </c>
      <c r="N133" s="3">
        <f>Baupläne!M133</f>
        <v>8</v>
      </c>
      <c r="O133" s="3">
        <f>IF(P133&gt;0,INDEX(data_item!$A$1:$A$1994,MATCH(Baupläne!P133,data_item!$B$1:$B$1994,0),1),0)</f>
        <v>102</v>
      </c>
      <c r="P133" s="3">
        <f>Baupläne!O133</f>
        <v>28</v>
      </c>
      <c r="Q133" s="3">
        <f>IF(R133&gt;0,INDEX(data_item!$A$1:$A$1994,MATCH(Baupläne!R133,data_item!$B$1:$B$1994,0),1),0)</f>
        <v>0</v>
      </c>
      <c r="R133" s="3">
        <f>Baupläne!Q133</f>
        <v>0</v>
      </c>
      <c r="S133" s="3">
        <f>IF(T133&gt;0,INDEX(data_item!$A$1:$A$1994,MATCH(Baupläne!T133,data_item!$B$1:$B$1994,0),1),0)</f>
        <v>0</v>
      </c>
      <c r="T133" s="3">
        <f>Baupläne!S133</f>
        <v>0</v>
      </c>
    </row>
    <row r="134" spans="1:20" x14ac:dyDescent="0.2">
      <c r="A134" s="3">
        <f>Baupläne!A134</f>
        <v>1146</v>
      </c>
      <c r="B134" s="3" t="str">
        <f>Baupläne!C134</f>
        <v>Kampfschnitter</v>
      </c>
      <c r="C134" s="3">
        <f>Baupläne!B134</f>
        <v>1146</v>
      </c>
      <c r="D134" s="3">
        <f>Baupläne!J134</f>
        <v>0</v>
      </c>
      <c r="E134" s="3">
        <f>Baupläne!H134</f>
        <v>58</v>
      </c>
      <c r="F134" s="3">
        <f>Baupläne!I134</f>
        <v>19</v>
      </c>
      <c r="G134" s="3">
        <f>Baupläne!E134</f>
        <v>30</v>
      </c>
      <c r="H134" s="3">
        <f>Baupläne!F134</f>
        <v>540</v>
      </c>
      <c r="I134" s="3">
        <f>0.5*Baupläne!Y134</f>
        <v>14250</v>
      </c>
      <c r="J134" s="3">
        <f>Baupläne!G134</f>
        <v>4</v>
      </c>
      <c r="K134" s="3">
        <f>IF(L134&gt;0,INDEX(data_item!$A$1:$A$1994,MATCH(Baupläne!L134,data_item!$B$1:$B$1994,0),1),0)</f>
        <v>9</v>
      </c>
      <c r="L134" s="3">
        <f>Baupläne!K134</f>
        <v>35</v>
      </c>
      <c r="M134" s="3">
        <f>IF(N134&gt;0,INDEX(data_item!$A$1:$A$1994,MATCH(Baupläne!N134,data_item!$B$1:$B$994,0),1),0)</f>
        <v>101</v>
      </c>
      <c r="N134" s="3">
        <f>Baupläne!M134</f>
        <v>16</v>
      </c>
      <c r="O134" s="3">
        <f>IF(P134&gt;0,INDEX(data_item!$A$1:$A$1994,MATCH(Baupläne!P134,data_item!$B$1:$B$1994,0),1),0)</f>
        <v>102</v>
      </c>
      <c r="P134" s="3">
        <f>Baupläne!O134</f>
        <v>40</v>
      </c>
      <c r="Q134" s="3">
        <f>IF(R134&gt;0,INDEX(data_item!$A$1:$A$1994,MATCH(Baupläne!R134,data_item!$B$1:$B$1994,0),1),0)</f>
        <v>0</v>
      </c>
      <c r="R134" s="3">
        <f>Baupläne!Q134</f>
        <v>0</v>
      </c>
      <c r="S134" s="3">
        <f>IF(T134&gt;0,INDEX(data_item!$A$1:$A$1994,MATCH(Baupläne!T134,data_item!$B$1:$B$1994,0),1),0)</f>
        <v>0</v>
      </c>
      <c r="T134" s="3">
        <f>Baupläne!S134</f>
        <v>0</v>
      </c>
    </row>
    <row r="135" spans="1:20" x14ac:dyDescent="0.2">
      <c r="A135" s="3">
        <f>Baupläne!A135</f>
        <v>1147</v>
      </c>
      <c r="B135" s="3" t="str">
        <f>Baupläne!C135</f>
        <v>Berserkeraxt</v>
      </c>
      <c r="C135" s="3">
        <f>Baupläne!B135</f>
        <v>1147</v>
      </c>
      <c r="D135" s="3">
        <f>Baupläne!J135</f>
        <v>0</v>
      </c>
      <c r="E135" s="3">
        <f>Baupläne!H135</f>
        <v>58</v>
      </c>
      <c r="F135" s="3">
        <f>Baupläne!I135</f>
        <v>21</v>
      </c>
      <c r="G135" s="3">
        <f>Baupläne!E135</f>
        <v>30</v>
      </c>
      <c r="H135" s="3">
        <f>Baupläne!F135</f>
        <v>540</v>
      </c>
      <c r="I135" s="3">
        <f>0.5*Baupläne!Y135</f>
        <v>18800</v>
      </c>
      <c r="J135" s="3">
        <f>Baupläne!G135</f>
        <v>5</v>
      </c>
      <c r="K135" s="3">
        <f>IF(L135&gt;0,INDEX(data_item!$A$1:$A$1994,MATCH(Baupläne!L135,data_item!$B$1:$B$1994,0),1),0)</f>
        <v>10</v>
      </c>
      <c r="L135" s="3">
        <f>Baupläne!K135</f>
        <v>34</v>
      </c>
      <c r="M135" s="3">
        <f>IF(N135&gt;0,INDEX(data_item!$A$1:$A$1994,MATCH(Baupläne!N135,data_item!$B$1:$B$994,0),1),0)</f>
        <v>101</v>
      </c>
      <c r="N135" s="3">
        <f>Baupläne!M135</f>
        <v>5</v>
      </c>
      <c r="O135" s="3">
        <f>IF(P135&gt;0,INDEX(data_item!$A$1:$A$1994,MATCH(Baupläne!P135,data_item!$B$1:$B$1994,0),1),0)</f>
        <v>102</v>
      </c>
      <c r="P135" s="3">
        <f>Baupläne!O135</f>
        <v>10</v>
      </c>
      <c r="Q135" s="3">
        <f>IF(R135&gt;0,INDEX(data_item!$A$1:$A$1994,MATCH(Baupläne!R135,data_item!$B$1:$B$1994,0),1),0)</f>
        <v>103</v>
      </c>
      <c r="R135" s="3">
        <f>Baupläne!Q135</f>
        <v>20</v>
      </c>
      <c r="S135" s="3">
        <f>IF(T135&gt;0,INDEX(data_item!$A$1:$A$1994,MATCH(Baupläne!T135,data_item!$B$1:$B$1994,0),1),0)</f>
        <v>0</v>
      </c>
      <c r="T135" s="3">
        <f>Baupläne!S135</f>
        <v>0</v>
      </c>
    </row>
    <row r="136" spans="1:20" x14ac:dyDescent="0.2">
      <c r="A136" s="3">
        <f>Baupläne!A136</f>
        <v>1148</v>
      </c>
      <c r="B136" s="3" t="str">
        <f>Baupläne!C136</f>
        <v>Tyrannenaxt</v>
      </c>
      <c r="C136" s="3">
        <f>Baupläne!B136</f>
        <v>1148</v>
      </c>
      <c r="D136" s="3">
        <f>Baupläne!J136</f>
        <v>0</v>
      </c>
      <c r="E136" s="3">
        <f>Baupläne!H136</f>
        <v>58</v>
      </c>
      <c r="F136" s="3">
        <f>Baupläne!I136</f>
        <v>24</v>
      </c>
      <c r="G136" s="3">
        <f>Baupläne!E136</f>
        <v>30</v>
      </c>
      <c r="H136" s="3">
        <f>Baupläne!F136</f>
        <v>540</v>
      </c>
      <c r="I136" s="3">
        <f>0.5*Baupläne!Y136</f>
        <v>28650</v>
      </c>
      <c r="J136" s="3">
        <f>Baupläne!G136</f>
        <v>5</v>
      </c>
      <c r="K136" s="3">
        <f>IF(L136&gt;0,INDEX(data_item!$A$1:$A$1994,MATCH(Baupläne!L136,data_item!$B$1:$B$1994,0),1),0)</f>
        <v>10</v>
      </c>
      <c r="L136" s="3">
        <f>Baupläne!K136</f>
        <v>52</v>
      </c>
      <c r="M136" s="3">
        <f>IF(N136&gt;0,INDEX(data_item!$A$1:$A$1994,MATCH(Baupläne!N136,data_item!$B$1:$B$994,0),1),0)</f>
        <v>101</v>
      </c>
      <c r="N136" s="3">
        <f>Baupläne!M136</f>
        <v>6</v>
      </c>
      <c r="O136" s="3">
        <f>IF(P136&gt;0,INDEX(data_item!$A$1:$A$1994,MATCH(Baupläne!P136,data_item!$B$1:$B$1994,0),1),0)</f>
        <v>102</v>
      </c>
      <c r="P136" s="3">
        <f>Baupläne!O136</f>
        <v>8</v>
      </c>
      <c r="Q136" s="3">
        <f>IF(R136&gt;0,INDEX(data_item!$A$1:$A$1994,MATCH(Baupläne!R136,data_item!$B$1:$B$1994,0),1),0)</f>
        <v>103</v>
      </c>
      <c r="R136" s="3">
        <f>Baupläne!Q136</f>
        <v>34</v>
      </c>
      <c r="S136" s="3">
        <f>IF(T136&gt;0,INDEX(data_item!$A$1:$A$1994,MATCH(Baupläne!T136,data_item!$B$1:$B$1994,0),1),0)</f>
        <v>0</v>
      </c>
      <c r="T136" s="3">
        <f>Baupläne!S136</f>
        <v>0</v>
      </c>
    </row>
    <row r="137" spans="1:20" x14ac:dyDescent="0.2">
      <c r="A137" s="3">
        <f>Baupläne!A137</f>
        <v>0</v>
      </c>
      <c r="B137" s="3">
        <f>Baupläne!C137</f>
        <v>0</v>
      </c>
      <c r="C137" s="3">
        <f>Baupläne!B137</f>
        <v>0</v>
      </c>
      <c r="D137" s="3">
        <f>Baupläne!J137</f>
        <v>0</v>
      </c>
      <c r="E137" s="3">
        <f>Baupläne!H137</f>
        <v>0</v>
      </c>
      <c r="F137" s="3">
        <f>Baupläne!I137</f>
        <v>0</v>
      </c>
      <c r="G137" s="3">
        <f>Baupläne!E137</f>
        <v>0</v>
      </c>
      <c r="H137" s="3">
        <f>Baupläne!F137</f>
        <v>0</v>
      </c>
      <c r="I137" s="3">
        <f>0.5*Baupläne!Y137</f>
        <v>0</v>
      </c>
      <c r="J137" s="3">
        <f>Baupläne!G137</f>
        <v>0</v>
      </c>
      <c r="K137" s="3">
        <f>IF(L137&gt;0,INDEX(data_item!$A$1:$A$1994,MATCH(Baupläne!L137,data_item!$B$1:$B$1994,0),1),0)</f>
        <v>0</v>
      </c>
      <c r="L137" s="3">
        <f>Baupläne!K137</f>
        <v>0</v>
      </c>
      <c r="M137" s="3">
        <f>IF(N137&gt;0,INDEX(data_item!$A$1:$A$1994,MATCH(Baupläne!N137,data_item!$B$1:$B$994,0),1),0)</f>
        <v>0</v>
      </c>
      <c r="N137" s="3">
        <f>Baupläne!M137</f>
        <v>0</v>
      </c>
      <c r="O137" s="3">
        <f>IF(P137&gt;0,INDEX(data_item!$A$1:$A$1994,MATCH(Baupläne!P137,data_item!$B$1:$B$1994,0),1),0)</f>
        <v>0</v>
      </c>
      <c r="P137" s="3">
        <f>Baupläne!O137</f>
        <v>0</v>
      </c>
      <c r="Q137" s="3">
        <f>IF(R137&gt;0,INDEX(data_item!$A$1:$A$1994,MATCH(Baupläne!R137,data_item!$B$1:$B$1994,0),1),0)</f>
        <v>0</v>
      </c>
      <c r="R137" s="3">
        <f>Baupläne!Q137</f>
        <v>0</v>
      </c>
      <c r="S137" s="3">
        <f>IF(T137&gt;0,INDEX(data_item!$A$1:$A$1994,MATCH(Baupläne!T137,data_item!$B$1:$B$1994,0),1),0)</f>
        <v>0</v>
      </c>
      <c r="T137" s="3">
        <f>Baupläne!S137</f>
        <v>0</v>
      </c>
    </row>
    <row r="138" spans="1:20" x14ac:dyDescent="0.2">
      <c r="A138" s="3">
        <f>Baupläne!A138</f>
        <v>1151</v>
      </c>
      <c r="B138" s="3" t="str">
        <f>Baupläne!C138</f>
        <v>Knüppel</v>
      </c>
      <c r="C138" s="3">
        <f>Baupläne!B138</f>
        <v>1151</v>
      </c>
      <c r="D138" s="3">
        <f>Baupläne!J138</f>
        <v>0</v>
      </c>
      <c r="E138" s="3">
        <f>Baupläne!H138</f>
        <v>59</v>
      </c>
      <c r="F138" s="3">
        <f>Baupläne!I138</f>
        <v>0</v>
      </c>
      <c r="G138" s="3">
        <f>Baupläne!E138</f>
        <v>30</v>
      </c>
      <c r="H138" s="3">
        <f>Baupläne!F138</f>
        <v>420</v>
      </c>
      <c r="I138" s="3">
        <f>0.5*Baupläne!Y138</f>
        <v>600</v>
      </c>
      <c r="J138" s="3">
        <f>Baupläne!G138</f>
        <v>1</v>
      </c>
      <c r="K138" s="3">
        <f>IF(L138&gt;0,INDEX(data_item!$A$1:$A$1994,MATCH(Baupläne!L138,data_item!$B$1:$B$1994,0),1),0)</f>
        <v>6</v>
      </c>
      <c r="L138" s="3">
        <f>Baupläne!K138</f>
        <v>7</v>
      </c>
      <c r="M138" s="3">
        <f>IF(N138&gt;0,INDEX(data_item!$A$1:$A$1994,MATCH(Baupläne!N138,data_item!$B$1:$B$994,0),1),0)</f>
        <v>101</v>
      </c>
      <c r="N138" s="3">
        <f>Baupläne!M138</f>
        <v>5</v>
      </c>
      <c r="O138" s="3">
        <f>IF(P138&gt;0,INDEX(data_item!$A$1:$A$1994,MATCH(Baupläne!P138,data_item!$B$1:$B$1994,0),1),0)</f>
        <v>0</v>
      </c>
      <c r="P138" s="3">
        <f>Baupläne!O138</f>
        <v>0</v>
      </c>
      <c r="Q138" s="3">
        <f>IF(R138&gt;0,INDEX(data_item!$A$1:$A$1994,MATCH(Baupläne!R138,data_item!$B$1:$B$1994,0),1),0)</f>
        <v>0</v>
      </c>
      <c r="R138" s="3">
        <f>Baupläne!Q138</f>
        <v>0</v>
      </c>
      <c r="S138" s="3">
        <f>IF(T138&gt;0,INDEX(data_item!$A$1:$A$1994,MATCH(Baupläne!T138,data_item!$B$1:$B$1994,0),1),0)</f>
        <v>0</v>
      </c>
      <c r="T138" s="3">
        <f>Baupläne!S138</f>
        <v>0</v>
      </c>
    </row>
    <row r="139" spans="1:20" x14ac:dyDescent="0.2">
      <c r="A139" s="3">
        <f>Baupläne!A139</f>
        <v>1152</v>
      </c>
      <c r="B139" s="3" t="str">
        <f>Baupläne!C139</f>
        <v>Hammer</v>
      </c>
      <c r="C139" s="3">
        <f>Baupläne!B139</f>
        <v>1152</v>
      </c>
      <c r="D139" s="3">
        <f>Baupläne!J139</f>
        <v>0</v>
      </c>
      <c r="E139" s="3">
        <f>Baupläne!H139</f>
        <v>59</v>
      </c>
      <c r="F139" s="3">
        <f>Baupläne!I139</f>
        <v>3</v>
      </c>
      <c r="G139" s="3">
        <f>Baupläne!E139</f>
        <v>30</v>
      </c>
      <c r="H139" s="3">
        <f>Baupläne!F139</f>
        <v>420</v>
      </c>
      <c r="I139" s="3">
        <f>0.5*Baupläne!Y139</f>
        <v>900</v>
      </c>
      <c r="J139" s="3">
        <f>Baupläne!G139</f>
        <v>1</v>
      </c>
      <c r="K139" s="3">
        <f>IF(L139&gt;0,INDEX(data_item!$A$1:$A$1994,MATCH(Baupläne!L139,data_item!$B$1:$B$1994,0),1),0)</f>
        <v>6</v>
      </c>
      <c r="L139" s="3">
        <f>Baupläne!K139</f>
        <v>10</v>
      </c>
      <c r="M139" s="3">
        <f>IF(N139&gt;0,INDEX(data_item!$A$1:$A$1994,MATCH(Baupläne!N139,data_item!$B$1:$B$994,0),1),0)</f>
        <v>101</v>
      </c>
      <c r="N139" s="3">
        <f>Baupläne!M139</f>
        <v>7</v>
      </c>
      <c r="O139" s="3">
        <f>IF(P139&gt;0,INDEX(data_item!$A$1:$A$1994,MATCH(Baupläne!P139,data_item!$B$1:$B$1994,0),1),0)</f>
        <v>0</v>
      </c>
      <c r="P139" s="3">
        <f>Baupläne!O139</f>
        <v>0</v>
      </c>
      <c r="Q139" s="3">
        <f>IF(R139&gt;0,INDEX(data_item!$A$1:$A$1994,MATCH(Baupläne!R139,data_item!$B$1:$B$1994,0),1),0)</f>
        <v>0</v>
      </c>
      <c r="R139" s="3">
        <f>Baupläne!Q139</f>
        <v>0</v>
      </c>
      <c r="S139" s="3">
        <f>IF(T139&gt;0,INDEX(data_item!$A$1:$A$1994,MATCH(Baupläne!T139,data_item!$B$1:$B$1994,0),1),0)</f>
        <v>0</v>
      </c>
      <c r="T139" s="3">
        <f>Baupläne!S139</f>
        <v>0</v>
      </c>
    </row>
    <row r="140" spans="1:20" x14ac:dyDescent="0.2">
      <c r="A140" s="3">
        <f>Baupläne!A140</f>
        <v>1153</v>
      </c>
      <c r="B140" s="3" t="str">
        <f>Baupläne!C140</f>
        <v>Streitkolben</v>
      </c>
      <c r="C140" s="3">
        <f>Baupläne!B140</f>
        <v>1153</v>
      </c>
      <c r="D140" s="3">
        <f>Baupläne!J140</f>
        <v>0</v>
      </c>
      <c r="E140" s="3">
        <f>Baupläne!H140</f>
        <v>59</v>
      </c>
      <c r="F140" s="3">
        <f>Baupläne!I140</f>
        <v>5</v>
      </c>
      <c r="G140" s="3">
        <f>Baupläne!E140</f>
        <v>30</v>
      </c>
      <c r="H140" s="3">
        <f>Baupläne!F140</f>
        <v>420</v>
      </c>
      <c r="I140" s="3">
        <f>0.5*Baupläne!Y140</f>
        <v>1200</v>
      </c>
      <c r="J140" s="3">
        <f>Baupläne!G140</f>
        <v>2</v>
      </c>
      <c r="K140" s="3">
        <f>IF(L140&gt;0,INDEX(data_item!$A$1:$A$1994,MATCH(Baupläne!L140,data_item!$B$1:$B$1994,0),1),0)</f>
        <v>7</v>
      </c>
      <c r="L140" s="3">
        <f>Baupläne!K140</f>
        <v>7</v>
      </c>
      <c r="M140" s="3">
        <f>IF(N140&gt;0,INDEX(data_item!$A$1:$A$1994,MATCH(Baupläne!N140,data_item!$B$1:$B$994,0),1),0)</f>
        <v>101</v>
      </c>
      <c r="N140" s="3">
        <f>Baupläne!M140</f>
        <v>10</v>
      </c>
      <c r="O140" s="3">
        <f>IF(P140&gt;0,INDEX(data_item!$A$1:$A$1994,MATCH(Baupläne!P140,data_item!$B$1:$B$1994,0),1),0)</f>
        <v>0</v>
      </c>
      <c r="P140" s="3">
        <f>Baupläne!O140</f>
        <v>0</v>
      </c>
      <c r="Q140" s="3">
        <f>IF(R140&gt;0,INDEX(data_item!$A$1:$A$1994,MATCH(Baupläne!R140,data_item!$B$1:$B$1994,0),1),0)</f>
        <v>0</v>
      </c>
      <c r="R140" s="3">
        <f>Baupläne!Q140</f>
        <v>0</v>
      </c>
      <c r="S140" s="3">
        <f>IF(T140&gt;0,INDEX(data_item!$A$1:$A$1994,MATCH(Baupläne!T140,data_item!$B$1:$B$1994,0),1),0)</f>
        <v>0</v>
      </c>
      <c r="T140" s="3">
        <f>Baupläne!S140</f>
        <v>0</v>
      </c>
    </row>
    <row r="141" spans="1:20" x14ac:dyDescent="0.2">
      <c r="A141" s="3">
        <f>Baupläne!A141</f>
        <v>1154</v>
      </c>
      <c r="B141" s="3" t="str">
        <f>Baupläne!C141</f>
        <v>Flegel</v>
      </c>
      <c r="C141" s="3">
        <f>Baupläne!B141</f>
        <v>1154</v>
      </c>
      <c r="D141" s="3">
        <f>Baupläne!J141</f>
        <v>0</v>
      </c>
      <c r="E141" s="3">
        <f>Baupläne!H141</f>
        <v>59</v>
      </c>
      <c r="F141" s="3">
        <f>Baupläne!I141</f>
        <v>8</v>
      </c>
      <c r="G141" s="3">
        <f>Baupläne!E141</f>
        <v>30</v>
      </c>
      <c r="H141" s="3">
        <f>Baupläne!F141</f>
        <v>420</v>
      </c>
      <c r="I141" s="3">
        <f>0.5*Baupläne!Y141</f>
        <v>1850</v>
      </c>
      <c r="J141" s="3">
        <f>Baupläne!G141</f>
        <v>2</v>
      </c>
      <c r="K141" s="3">
        <f>IF(L141&gt;0,INDEX(data_item!$A$1:$A$1994,MATCH(Baupläne!L141,data_item!$B$1:$B$1994,0),1),0)</f>
        <v>7</v>
      </c>
      <c r="L141" s="3">
        <f>Baupläne!K141</f>
        <v>10</v>
      </c>
      <c r="M141" s="3">
        <f>IF(N141&gt;0,INDEX(data_item!$A$1:$A$1994,MATCH(Baupläne!N141,data_item!$B$1:$B$994,0),1),0)</f>
        <v>101</v>
      </c>
      <c r="N141" s="3">
        <f>Baupläne!M141</f>
        <v>15</v>
      </c>
      <c r="O141" s="3">
        <f>IF(P141&gt;0,INDEX(data_item!$A$1:$A$1994,MATCH(Baupläne!P141,data_item!$B$1:$B$1994,0),1),0)</f>
        <v>0</v>
      </c>
      <c r="P141" s="3">
        <f>Baupläne!O141</f>
        <v>0</v>
      </c>
      <c r="Q141" s="3">
        <f>IF(R141&gt;0,INDEX(data_item!$A$1:$A$1994,MATCH(Baupläne!R141,data_item!$B$1:$B$1994,0),1),0)</f>
        <v>0</v>
      </c>
      <c r="R141" s="3">
        <f>Baupläne!Q141</f>
        <v>0</v>
      </c>
      <c r="S141" s="3">
        <f>IF(T141&gt;0,INDEX(data_item!$A$1:$A$1994,MATCH(Baupläne!T141,data_item!$B$1:$B$1994,0),1),0)</f>
        <v>0</v>
      </c>
      <c r="T141" s="3">
        <f>Baupläne!S141</f>
        <v>0</v>
      </c>
    </row>
    <row r="142" spans="1:20" x14ac:dyDescent="0.2">
      <c r="A142" s="3">
        <f>Baupläne!A142</f>
        <v>1155</v>
      </c>
      <c r="B142" s="3" t="str">
        <f>Baupläne!C142</f>
        <v>Morgenstern</v>
      </c>
      <c r="C142" s="3">
        <f>Baupläne!B142</f>
        <v>1155</v>
      </c>
      <c r="D142" s="3">
        <f>Baupläne!J142</f>
        <v>0</v>
      </c>
      <c r="E142" s="3">
        <f>Baupläne!H142</f>
        <v>59</v>
      </c>
      <c r="F142" s="3">
        <f>Baupläne!I142</f>
        <v>10</v>
      </c>
      <c r="G142" s="3">
        <f>Baupläne!E142</f>
        <v>30</v>
      </c>
      <c r="H142" s="3">
        <f>Baupläne!F142</f>
        <v>420</v>
      </c>
      <c r="I142" s="3">
        <f>0.5*Baupläne!Y142</f>
        <v>2450</v>
      </c>
      <c r="J142" s="3">
        <f>Baupläne!G142</f>
        <v>3</v>
      </c>
      <c r="K142" s="3">
        <f>IF(L142&gt;0,INDEX(data_item!$A$1:$A$1994,MATCH(Baupläne!L142,data_item!$B$1:$B$1994,0),1),0)</f>
        <v>8</v>
      </c>
      <c r="L142" s="3">
        <f>Baupläne!K142</f>
        <v>9</v>
      </c>
      <c r="M142" s="3">
        <f>IF(N142&gt;0,INDEX(data_item!$A$1:$A$1994,MATCH(Baupläne!N142,data_item!$B$1:$B$994,0),1),0)</f>
        <v>101</v>
      </c>
      <c r="N142" s="3">
        <f>Baupläne!M142</f>
        <v>5</v>
      </c>
      <c r="O142" s="3">
        <f>IF(P142&gt;0,INDEX(data_item!$A$1:$A$1994,MATCH(Baupläne!P142,data_item!$B$1:$B$1994,0),1),0)</f>
        <v>102</v>
      </c>
      <c r="P142" s="3">
        <f>Baupläne!O142</f>
        <v>6</v>
      </c>
      <c r="Q142" s="3">
        <f>IF(R142&gt;0,INDEX(data_item!$A$1:$A$1994,MATCH(Baupläne!R142,data_item!$B$1:$B$1994,0),1),0)</f>
        <v>0</v>
      </c>
      <c r="R142" s="3">
        <f>Baupläne!Q142</f>
        <v>0</v>
      </c>
      <c r="S142" s="3">
        <f>IF(T142&gt;0,INDEX(data_item!$A$1:$A$1994,MATCH(Baupläne!T142,data_item!$B$1:$B$1994,0),1),0)</f>
        <v>0</v>
      </c>
      <c r="T142" s="3">
        <f>Baupläne!S142</f>
        <v>0</v>
      </c>
    </row>
    <row r="143" spans="1:20" x14ac:dyDescent="0.2">
      <c r="A143" s="3">
        <f>Baupläne!A143</f>
        <v>1156</v>
      </c>
      <c r="B143" s="3" t="str">
        <f>Baupläne!C143</f>
        <v>Kriegskolben</v>
      </c>
      <c r="C143" s="3">
        <f>Baupläne!B143</f>
        <v>1156</v>
      </c>
      <c r="D143" s="3">
        <f>Baupläne!J143</f>
        <v>0</v>
      </c>
      <c r="E143" s="3">
        <f>Baupläne!H143</f>
        <v>59</v>
      </c>
      <c r="F143" s="3">
        <f>Baupläne!I143</f>
        <v>13</v>
      </c>
      <c r="G143" s="3">
        <f>Baupläne!E143</f>
        <v>30</v>
      </c>
      <c r="H143" s="3">
        <f>Baupläne!F143</f>
        <v>420</v>
      </c>
      <c r="I143" s="3">
        <f>0.5*Baupläne!Y143</f>
        <v>3700</v>
      </c>
      <c r="J143" s="3">
        <f>Baupläne!G143</f>
        <v>3</v>
      </c>
      <c r="K143" s="3">
        <f>IF(L143&gt;0,INDEX(data_item!$A$1:$A$1994,MATCH(Baupläne!L143,data_item!$B$1:$B$1994,0),1),0)</f>
        <v>8</v>
      </c>
      <c r="L143" s="3">
        <f>Baupläne!K143</f>
        <v>14</v>
      </c>
      <c r="M143" s="3">
        <f>IF(N143&gt;0,INDEX(data_item!$A$1:$A$1994,MATCH(Baupläne!N143,data_item!$B$1:$B$994,0),1),0)</f>
        <v>101</v>
      </c>
      <c r="N143" s="3">
        <f>Baupläne!M143</f>
        <v>3</v>
      </c>
      <c r="O143" s="3">
        <f>IF(P143&gt;0,INDEX(data_item!$A$1:$A$1994,MATCH(Baupläne!P143,data_item!$B$1:$B$1994,0),1),0)</f>
        <v>102</v>
      </c>
      <c r="P143" s="3">
        <f>Baupläne!O143</f>
        <v>11</v>
      </c>
      <c r="Q143" s="3">
        <f>IF(R143&gt;0,INDEX(data_item!$A$1:$A$1994,MATCH(Baupläne!R143,data_item!$B$1:$B$1994,0),1),0)</f>
        <v>0</v>
      </c>
      <c r="R143" s="3">
        <f>Baupläne!Q143</f>
        <v>0</v>
      </c>
      <c r="S143" s="3">
        <f>IF(T143&gt;0,INDEX(data_item!$A$1:$A$1994,MATCH(Baupläne!T143,data_item!$B$1:$B$1994,0),1),0)</f>
        <v>0</v>
      </c>
      <c r="T143" s="3">
        <f>Baupläne!S143</f>
        <v>0</v>
      </c>
    </row>
    <row r="144" spans="1:20" x14ac:dyDescent="0.2">
      <c r="A144" s="3">
        <f>Baupläne!A144</f>
        <v>1157</v>
      </c>
      <c r="B144" s="3" t="str">
        <f>Baupläne!C144</f>
        <v>Ogerherde</v>
      </c>
      <c r="C144" s="3">
        <f>Baupläne!B144</f>
        <v>1157</v>
      </c>
      <c r="D144" s="3">
        <f>Baupläne!J144</f>
        <v>0</v>
      </c>
      <c r="E144" s="3">
        <f>Baupläne!H144</f>
        <v>59</v>
      </c>
      <c r="F144" s="3">
        <f>Baupläne!I144</f>
        <v>15</v>
      </c>
      <c r="G144" s="3">
        <f>Baupläne!E144</f>
        <v>30</v>
      </c>
      <c r="H144" s="3">
        <f>Baupläne!F144</f>
        <v>420</v>
      </c>
      <c r="I144" s="3">
        <f>0.5*Baupläne!Y144</f>
        <v>4900</v>
      </c>
      <c r="J144" s="3">
        <f>Baupläne!G144</f>
        <v>4</v>
      </c>
      <c r="K144" s="3">
        <f>IF(L144&gt;0,INDEX(data_item!$A$1:$A$1994,MATCH(Baupläne!L144,data_item!$B$1:$B$1994,0),1),0)</f>
        <v>9</v>
      </c>
      <c r="L144" s="3">
        <f>Baupläne!K144</f>
        <v>12</v>
      </c>
      <c r="M144" s="3">
        <f>IF(N144&gt;0,INDEX(data_item!$A$1:$A$1994,MATCH(Baupläne!N144,data_item!$B$1:$B$994,0),1),0)</f>
        <v>101</v>
      </c>
      <c r="N144" s="3">
        <f>Baupläne!M144</f>
        <v>5</v>
      </c>
      <c r="O144" s="3">
        <f>IF(P144&gt;0,INDEX(data_item!$A$1:$A$1994,MATCH(Baupläne!P144,data_item!$B$1:$B$1994,0),1),0)</f>
        <v>102</v>
      </c>
      <c r="P144" s="3">
        <f>Baupläne!O144</f>
        <v>14</v>
      </c>
      <c r="Q144" s="3">
        <f>IF(R144&gt;0,INDEX(data_item!$A$1:$A$1994,MATCH(Baupläne!R144,data_item!$B$1:$B$1994,0),1),0)</f>
        <v>0</v>
      </c>
      <c r="R144" s="3">
        <f>Baupläne!Q144</f>
        <v>0</v>
      </c>
      <c r="S144" s="3">
        <f>IF(T144&gt;0,INDEX(data_item!$A$1:$A$1994,MATCH(Baupläne!T144,data_item!$B$1:$B$1994,0),1),0)</f>
        <v>0</v>
      </c>
      <c r="T144" s="3">
        <f>Baupläne!S144</f>
        <v>0</v>
      </c>
    </row>
    <row r="145" spans="1:20" x14ac:dyDescent="0.2">
      <c r="A145" s="3">
        <f>Baupläne!A145</f>
        <v>1158</v>
      </c>
      <c r="B145" s="3" t="str">
        <f>Baupläne!C145</f>
        <v>Kriegsknüppel</v>
      </c>
      <c r="C145" s="3">
        <f>Baupläne!B145</f>
        <v>1158</v>
      </c>
      <c r="D145" s="3">
        <f>Baupläne!J145</f>
        <v>0</v>
      </c>
      <c r="E145" s="3">
        <f>Baupläne!H145</f>
        <v>59</v>
      </c>
      <c r="F145" s="3">
        <f>Baupläne!I145</f>
        <v>18</v>
      </c>
      <c r="G145" s="3">
        <f>Baupläne!E145</f>
        <v>30</v>
      </c>
      <c r="H145" s="3">
        <f>Baupläne!F145</f>
        <v>420</v>
      </c>
      <c r="I145" s="3">
        <f>0.5*Baupläne!Y145</f>
        <v>7450</v>
      </c>
      <c r="J145" s="3">
        <f>Baupläne!G145</f>
        <v>4</v>
      </c>
      <c r="K145" s="3">
        <f>IF(L145&gt;0,INDEX(data_item!$A$1:$A$1994,MATCH(Baupläne!L145,data_item!$B$1:$B$1994,0),1),0)</f>
        <v>9</v>
      </c>
      <c r="L145" s="3">
        <f>Baupläne!K145</f>
        <v>18</v>
      </c>
      <c r="M145" s="3">
        <f>IF(N145&gt;0,INDEX(data_item!$A$1:$A$1994,MATCH(Baupläne!N145,data_item!$B$1:$B$994,0),1),0)</f>
        <v>101</v>
      </c>
      <c r="N145" s="3">
        <f>Baupläne!M145</f>
        <v>6</v>
      </c>
      <c r="O145" s="3">
        <f>IF(P145&gt;0,INDEX(data_item!$A$1:$A$1994,MATCH(Baupläne!P145,data_item!$B$1:$B$1994,0),1),0)</f>
        <v>102</v>
      </c>
      <c r="P145" s="3">
        <f>Baupläne!O145</f>
        <v>22</v>
      </c>
      <c r="Q145" s="3">
        <f>IF(R145&gt;0,INDEX(data_item!$A$1:$A$1994,MATCH(Baupläne!R145,data_item!$B$1:$B$1994,0),1),0)</f>
        <v>0</v>
      </c>
      <c r="R145" s="3">
        <f>Baupläne!Q145</f>
        <v>0</v>
      </c>
      <c r="S145" s="3">
        <f>IF(T145&gt;0,INDEX(data_item!$A$1:$A$1994,MATCH(Baupläne!T145,data_item!$B$1:$B$1994,0),1),0)</f>
        <v>0</v>
      </c>
      <c r="T145" s="3">
        <f>Baupläne!S145</f>
        <v>0</v>
      </c>
    </row>
    <row r="146" spans="1:20" x14ac:dyDescent="0.2">
      <c r="A146" s="3">
        <f>Baupläne!A146</f>
        <v>1159</v>
      </c>
      <c r="B146" s="3" t="str">
        <f>Baupläne!C146</f>
        <v>Kriegszepter</v>
      </c>
      <c r="C146" s="3">
        <f>Baupläne!B146</f>
        <v>1159</v>
      </c>
      <c r="D146" s="3">
        <f>Baupläne!J146</f>
        <v>0</v>
      </c>
      <c r="E146" s="3">
        <f>Baupläne!H146</f>
        <v>59</v>
      </c>
      <c r="F146" s="3">
        <f>Baupläne!I146</f>
        <v>21</v>
      </c>
      <c r="G146" s="3">
        <f>Baupläne!E146</f>
        <v>30</v>
      </c>
      <c r="H146" s="3">
        <f>Baupläne!F146</f>
        <v>420</v>
      </c>
      <c r="I146" s="3">
        <f>0.5*Baupläne!Y146</f>
        <v>11300</v>
      </c>
      <c r="J146" s="3">
        <f>Baupläne!G146</f>
        <v>5</v>
      </c>
      <c r="K146" s="3">
        <f>IF(L146&gt;0,INDEX(data_item!$A$1:$A$1994,MATCH(Baupläne!L146,data_item!$B$1:$B$1994,0),1),0)</f>
        <v>10</v>
      </c>
      <c r="L146" s="3">
        <f>Baupläne!K146</f>
        <v>21</v>
      </c>
      <c r="M146" s="3">
        <f>IF(N146&gt;0,INDEX(data_item!$A$1:$A$1994,MATCH(Baupläne!N146,data_item!$B$1:$B$994,0),1),0)</f>
        <v>101</v>
      </c>
      <c r="N146" s="3">
        <f>Baupläne!M146</f>
        <v>5</v>
      </c>
      <c r="O146" s="3">
        <f>IF(P146&gt;0,INDEX(data_item!$A$1:$A$1994,MATCH(Baupläne!P146,data_item!$B$1:$B$1994,0),1),0)</f>
        <v>102</v>
      </c>
      <c r="P146" s="3">
        <f>Baupläne!O146</f>
        <v>10</v>
      </c>
      <c r="Q146" s="3">
        <f>IF(R146&gt;0,INDEX(data_item!$A$1:$A$1994,MATCH(Baupläne!R146,data_item!$B$1:$B$1994,0),1),0)</f>
        <v>103</v>
      </c>
      <c r="R146" s="3">
        <f>Baupläne!Q146</f>
        <v>10</v>
      </c>
      <c r="S146" s="3">
        <f>IF(T146&gt;0,INDEX(data_item!$A$1:$A$1994,MATCH(Baupläne!T146,data_item!$B$1:$B$1994,0),1),0)</f>
        <v>0</v>
      </c>
      <c r="T146" s="3">
        <f>Baupläne!S146</f>
        <v>0</v>
      </c>
    </row>
    <row r="147" spans="1:20" x14ac:dyDescent="0.2">
      <c r="A147" s="3">
        <f>Baupläne!A147</f>
        <v>1160</v>
      </c>
      <c r="B147" s="3" t="str">
        <f>Baupläne!C147</f>
        <v>Zackenstern</v>
      </c>
      <c r="C147" s="3">
        <f>Baupläne!B147</f>
        <v>1160</v>
      </c>
      <c r="D147" s="3">
        <f>Baupläne!J147</f>
        <v>0</v>
      </c>
      <c r="E147" s="3">
        <f>Baupläne!H147</f>
        <v>59</v>
      </c>
      <c r="F147" s="3">
        <f>Baupläne!I147</f>
        <v>24</v>
      </c>
      <c r="G147" s="3">
        <f>Baupläne!E147</f>
        <v>30</v>
      </c>
      <c r="H147" s="3">
        <f>Baupläne!F147</f>
        <v>420</v>
      </c>
      <c r="I147" s="3">
        <f>0.5*Baupläne!Y147</f>
        <v>17200</v>
      </c>
      <c r="J147" s="3">
        <f>Baupläne!G147</f>
        <v>5</v>
      </c>
      <c r="K147" s="3">
        <f>IF(L147&gt;0,INDEX(data_item!$A$1:$A$1994,MATCH(Baupläne!L147,data_item!$B$1:$B$1994,0),1),0)</f>
        <v>10</v>
      </c>
      <c r="L147" s="3">
        <f>Baupläne!K147</f>
        <v>32</v>
      </c>
      <c r="M147" s="3">
        <f>IF(N147&gt;0,INDEX(data_item!$A$1:$A$1994,MATCH(Baupläne!N147,data_item!$B$1:$B$994,0),1),0)</f>
        <v>101</v>
      </c>
      <c r="N147" s="3">
        <f>Baupläne!M147</f>
        <v>6</v>
      </c>
      <c r="O147" s="3">
        <f>IF(P147&gt;0,INDEX(data_item!$A$1:$A$1994,MATCH(Baupläne!P147,data_item!$B$1:$B$1994,0),1),0)</f>
        <v>102</v>
      </c>
      <c r="P147" s="3">
        <f>Baupläne!O147</f>
        <v>14</v>
      </c>
      <c r="Q147" s="3">
        <f>IF(R147&gt;0,INDEX(data_item!$A$1:$A$1994,MATCH(Baupläne!R147,data_item!$B$1:$B$1994,0),1),0)</f>
        <v>103</v>
      </c>
      <c r="R147" s="3">
        <f>Baupläne!Q147</f>
        <v>16</v>
      </c>
      <c r="S147" s="3">
        <f>IF(T147&gt;0,INDEX(data_item!$A$1:$A$1994,MATCH(Baupläne!T147,data_item!$B$1:$B$1994,0),1),0)</f>
        <v>0</v>
      </c>
      <c r="T147" s="3">
        <f>Baupläne!S147</f>
        <v>0</v>
      </c>
    </row>
    <row r="148" spans="1:20" x14ac:dyDescent="0.2">
      <c r="A148" s="3">
        <f>Baupläne!A148</f>
        <v>0</v>
      </c>
      <c r="B148" s="3">
        <f>Baupläne!C148</f>
        <v>0</v>
      </c>
      <c r="C148" s="3">
        <f>Baupläne!B148</f>
        <v>0</v>
      </c>
      <c r="D148" s="3">
        <f>Baupläne!J148</f>
        <v>0</v>
      </c>
      <c r="E148" s="3">
        <f>Baupläne!H148</f>
        <v>0</v>
      </c>
      <c r="F148" s="3">
        <f>Baupläne!I148</f>
        <v>0</v>
      </c>
      <c r="G148" s="3">
        <f>Baupläne!E148</f>
        <v>0</v>
      </c>
      <c r="H148" s="3">
        <f>Baupläne!F148</f>
        <v>0</v>
      </c>
      <c r="I148" s="3">
        <f>0.5*Baupläne!Y148</f>
        <v>0</v>
      </c>
      <c r="J148" s="3">
        <f>Baupläne!G148</f>
        <v>0</v>
      </c>
      <c r="K148" s="3">
        <f>IF(L148&gt;0,INDEX(data_item!$A$1:$A$1994,MATCH(Baupläne!L148,data_item!$B$1:$B$1994,0),1),0)</f>
        <v>0</v>
      </c>
      <c r="L148" s="3">
        <f>Baupläne!K148</f>
        <v>0</v>
      </c>
      <c r="M148" s="3">
        <f>IF(N148&gt;0,INDEX(data_item!$A$1:$A$1994,MATCH(Baupläne!N148,data_item!$B$1:$B$994,0),1),0)</f>
        <v>0</v>
      </c>
      <c r="N148" s="3">
        <f>Baupläne!M148</f>
        <v>0</v>
      </c>
      <c r="O148" s="3">
        <f>IF(P148&gt;0,INDEX(data_item!$A$1:$A$1994,MATCH(Baupläne!P148,data_item!$B$1:$B$1994,0),1),0)</f>
        <v>0</v>
      </c>
      <c r="P148" s="3">
        <f>Baupläne!O148</f>
        <v>0</v>
      </c>
      <c r="Q148" s="3">
        <f>IF(R148&gt;0,INDEX(data_item!$A$1:$A$1994,MATCH(Baupläne!R148,data_item!$B$1:$B$1994,0),1),0)</f>
        <v>0</v>
      </c>
      <c r="R148" s="3">
        <f>Baupläne!Q148</f>
        <v>0</v>
      </c>
      <c r="S148" s="3">
        <f>IF(T148&gt;0,INDEX(data_item!$A$1:$A$1994,MATCH(Baupläne!T148,data_item!$B$1:$B$1994,0),1),0)</f>
        <v>0</v>
      </c>
      <c r="T148" s="3">
        <f>Baupläne!S148</f>
        <v>0</v>
      </c>
    </row>
    <row r="149" spans="1:20" x14ac:dyDescent="0.2">
      <c r="A149" s="3">
        <f>Baupläne!A149</f>
        <v>1161</v>
      </c>
      <c r="B149" s="3" t="str">
        <f>Baupläne!C149</f>
        <v>Vorschlaghammer</v>
      </c>
      <c r="C149" s="3">
        <f>Baupläne!B149</f>
        <v>1161</v>
      </c>
      <c r="D149" s="3">
        <f>Baupläne!J149</f>
        <v>0</v>
      </c>
      <c r="E149" s="3">
        <f>Baupläne!H149</f>
        <v>59</v>
      </c>
      <c r="F149" s="3">
        <f>Baupläne!I149</f>
        <v>6</v>
      </c>
      <c r="G149" s="3">
        <f>Baupläne!E149</f>
        <v>30</v>
      </c>
      <c r="H149" s="3">
        <f>Baupläne!F149</f>
        <v>540</v>
      </c>
      <c r="I149" s="3">
        <f>0.5*Baupläne!Y149</f>
        <v>2300</v>
      </c>
      <c r="J149" s="3">
        <f>Baupläne!G149</f>
        <v>2</v>
      </c>
      <c r="K149" s="3">
        <f>IF(L149&gt;0,INDEX(data_item!$A$1:$A$1994,MATCH(Baupläne!L149,data_item!$B$1:$B$1994,0),1),0)</f>
        <v>7</v>
      </c>
      <c r="L149" s="3">
        <f>Baupläne!K149</f>
        <v>13</v>
      </c>
      <c r="M149" s="3">
        <f>IF(N149&gt;0,INDEX(data_item!$A$1:$A$1994,MATCH(Baupläne!N149,data_item!$B$1:$B$994,0),1),0)</f>
        <v>101</v>
      </c>
      <c r="N149" s="3">
        <f>Baupläne!M149</f>
        <v>19</v>
      </c>
      <c r="O149" s="3">
        <f>IF(P149&gt;0,INDEX(data_item!$A$1:$A$1994,MATCH(Baupläne!P149,data_item!$B$1:$B$1994,0),1),0)</f>
        <v>0</v>
      </c>
      <c r="P149" s="3">
        <f>Baupläne!O149</f>
        <v>0</v>
      </c>
      <c r="Q149" s="3">
        <f>IF(R149&gt;0,INDEX(data_item!$A$1:$A$1994,MATCH(Baupläne!R149,data_item!$B$1:$B$1994,0),1),0)</f>
        <v>0</v>
      </c>
      <c r="R149" s="3">
        <f>Baupläne!Q149</f>
        <v>0</v>
      </c>
      <c r="S149" s="3">
        <f>IF(T149&gt;0,INDEX(data_item!$A$1:$A$1994,MATCH(Baupläne!T149,data_item!$B$1:$B$1994,0),1),0)</f>
        <v>0</v>
      </c>
      <c r="T149" s="3">
        <f>Baupläne!S149</f>
        <v>0</v>
      </c>
    </row>
    <row r="150" spans="1:20" x14ac:dyDescent="0.2">
      <c r="A150" s="3">
        <f>Baupläne!A150</f>
        <v>1162</v>
      </c>
      <c r="B150" s="3" t="str">
        <f>Baupläne!C150</f>
        <v>Eisenkeule</v>
      </c>
      <c r="C150" s="3">
        <f>Baupläne!B150</f>
        <v>1162</v>
      </c>
      <c r="D150" s="3">
        <f>Baupläne!J150</f>
        <v>0</v>
      </c>
      <c r="E150" s="3">
        <f>Baupläne!H150</f>
        <v>59</v>
      </c>
      <c r="F150" s="3">
        <f>Baupläne!I150</f>
        <v>9</v>
      </c>
      <c r="G150" s="3">
        <f>Baupläne!E150</f>
        <v>30</v>
      </c>
      <c r="H150" s="3">
        <f>Baupläne!F150</f>
        <v>540</v>
      </c>
      <c r="I150" s="3">
        <f>0.5*Baupläne!Y150</f>
        <v>3500</v>
      </c>
      <c r="J150" s="3">
        <f>Baupläne!G150</f>
        <v>2</v>
      </c>
      <c r="K150" s="3">
        <f>IF(L150&gt;0,INDEX(data_item!$A$1:$A$1994,MATCH(Baupläne!L150,data_item!$B$1:$B$1994,0),1),0)</f>
        <v>7</v>
      </c>
      <c r="L150" s="3">
        <f>Baupläne!K150</f>
        <v>19</v>
      </c>
      <c r="M150" s="3">
        <f>IF(N150&gt;0,INDEX(data_item!$A$1:$A$1994,MATCH(Baupläne!N150,data_item!$B$1:$B$994,0),1),0)</f>
        <v>101</v>
      </c>
      <c r="N150" s="3">
        <f>Baupläne!M150</f>
        <v>29</v>
      </c>
      <c r="O150" s="3">
        <f>IF(P150&gt;0,INDEX(data_item!$A$1:$A$1994,MATCH(Baupläne!P150,data_item!$B$1:$B$1994,0),1),0)</f>
        <v>0</v>
      </c>
      <c r="P150" s="3">
        <f>Baupläne!O150</f>
        <v>0</v>
      </c>
      <c r="Q150" s="3">
        <f>IF(R150&gt;0,INDEX(data_item!$A$1:$A$1994,MATCH(Baupläne!R150,data_item!$B$1:$B$1994,0),1),0)</f>
        <v>0</v>
      </c>
      <c r="R150" s="3">
        <f>Baupläne!Q150</f>
        <v>0</v>
      </c>
      <c r="S150" s="3">
        <f>IF(T150&gt;0,INDEX(data_item!$A$1:$A$1994,MATCH(Baupläne!T150,data_item!$B$1:$B$1994,0),1),0)</f>
        <v>0</v>
      </c>
      <c r="T150" s="3">
        <f>Baupläne!S150</f>
        <v>0</v>
      </c>
    </row>
    <row r="151" spans="1:20" x14ac:dyDescent="0.2">
      <c r="A151" s="3">
        <f>Baupläne!A151</f>
        <v>1163</v>
      </c>
      <c r="B151" s="3" t="str">
        <f>Baupläne!C151</f>
        <v>Stachelkeule</v>
      </c>
      <c r="C151" s="3">
        <f>Baupläne!B151</f>
        <v>1163</v>
      </c>
      <c r="D151" s="3">
        <f>Baupläne!J151</f>
        <v>0</v>
      </c>
      <c r="E151" s="3">
        <f>Baupläne!H151</f>
        <v>59</v>
      </c>
      <c r="F151" s="3">
        <f>Baupläne!I151</f>
        <v>11</v>
      </c>
      <c r="G151" s="3">
        <f>Baupläne!E151</f>
        <v>30</v>
      </c>
      <c r="H151" s="3">
        <f>Baupläne!F151</f>
        <v>540</v>
      </c>
      <c r="I151" s="3">
        <f>0.5*Baupläne!Y151</f>
        <v>4650</v>
      </c>
      <c r="J151" s="3">
        <f>Baupläne!G151</f>
        <v>3</v>
      </c>
      <c r="K151" s="3">
        <f>IF(L151&gt;0,INDEX(data_item!$A$1:$A$1994,MATCH(Baupläne!L151,data_item!$B$1:$B$1994,0),1),0)</f>
        <v>8</v>
      </c>
      <c r="L151" s="3">
        <f>Baupläne!K151</f>
        <v>17</v>
      </c>
      <c r="M151" s="3">
        <f>IF(N151&gt;0,INDEX(data_item!$A$1:$A$1994,MATCH(Baupläne!N151,data_item!$B$1:$B$994,0),1),0)</f>
        <v>101</v>
      </c>
      <c r="N151" s="3">
        <f>Baupläne!M151</f>
        <v>3</v>
      </c>
      <c r="O151" s="3">
        <f>IF(P151&gt;0,INDEX(data_item!$A$1:$A$1994,MATCH(Baupläne!P151,data_item!$B$1:$B$1994,0),1),0)</f>
        <v>102</v>
      </c>
      <c r="P151" s="3">
        <f>Baupläne!O151</f>
        <v>14</v>
      </c>
      <c r="Q151" s="3">
        <f>IF(R151&gt;0,INDEX(data_item!$A$1:$A$1994,MATCH(Baupläne!R151,data_item!$B$1:$B$1994,0),1),0)</f>
        <v>0</v>
      </c>
      <c r="R151" s="3">
        <f>Baupläne!Q151</f>
        <v>0</v>
      </c>
      <c r="S151" s="3">
        <f>IF(T151&gt;0,INDEX(data_item!$A$1:$A$1994,MATCH(Baupläne!T151,data_item!$B$1:$B$1994,0),1),0)</f>
        <v>0</v>
      </c>
      <c r="T151" s="3">
        <f>Baupläne!S151</f>
        <v>0</v>
      </c>
    </row>
    <row r="152" spans="1:20" x14ac:dyDescent="0.2">
      <c r="A152" s="3">
        <f>Baupläne!A152</f>
        <v>1164</v>
      </c>
      <c r="B152" s="3" t="str">
        <f>Baupläne!C152</f>
        <v>Kriegshammer</v>
      </c>
      <c r="C152" s="3">
        <f>Baupläne!B152</f>
        <v>1164</v>
      </c>
      <c r="D152" s="3">
        <f>Baupläne!J152</f>
        <v>0</v>
      </c>
      <c r="E152" s="3">
        <f>Baupläne!H152</f>
        <v>59</v>
      </c>
      <c r="F152" s="3">
        <f>Baupläne!I152</f>
        <v>14</v>
      </c>
      <c r="G152" s="3">
        <f>Baupläne!E152</f>
        <v>30</v>
      </c>
      <c r="H152" s="3">
        <f>Baupläne!F152</f>
        <v>540</v>
      </c>
      <c r="I152" s="3">
        <f>0.5*Baupläne!Y152</f>
        <v>7100</v>
      </c>
      <c r="J152" s="3">
        <f>Baupläne!G152</f>
        <v>3</v>
      </c>
      <c r="K152" s="3">
        <f>IF(L152&gt;0,INDEX(data_item!$A$1:$A$1994,MATCH(Baupläne!L152,data_item!$B$1:$B$1994,0),1),0)</f>
        <v>8</v>
      </c>
      <c r="L152" s="3">
        <f>Baupläne!K152</f>
        <v>26</v>
      </c>
      <c r="M152" s="3">
        <f>IF(N152&gt;0,INDEX(data_item!$A$1:$A$1994,MATCH(Baupläne!N152,data_item!$B$1:$B$994,0),1),0)</f>
        <v>101</v>
      </c>
      <c r="N152" s="3">
        <f>Baupläne!M152</f>
        <v>6</v>
      </c>
      <c r="O152" s="3">
        <f>IF(P152&gt;0,INDEX(data_item!$A$1:$A$1994,MATCH(Baupläne!P152,data_item!$B$1:$B$1994,0),1),0)</f>
        <v>102</v>
      </c>
      <c r="P152" s="3">
        <f>Baupläne!O152</f>
        <v>21</v>
      </c>
      <c r="Q152" s="3">
        <f>IF(R152&gt;0,INDEX(data_item!$A$1:$A$1994,MATCH(Baupläne!R152,data_item!$B$1:$B$1994,0),1),0)</f>
        <v>0</v>
      </c>
      <c r="R152" s="3">
        <f>Baupläne!Q152</f>
        <v>0</v>
      </c>
      <c r="S152" s="3">
        <f>IF(T152&gt;0,INDEX(data_item!$A$1:$A$1994,MATCH(Baupläne!T152,data_item!$B$1:$B$1994,0),1),0)</f>
        <v>0</v>
      </c>
      <c r="T152" s="3">
        <f>Baupläne!S152</f>
        <v>0</v>
      </c>
    </row>
    <row r="153" spans="1:20" x14ac:dyDescent="0.2">
      <c r="A153" s="3">
        <f>Baupläne!A153</f>
        <v>1165</v>
      </c>
      <c r="B153" s="3" t="str">
        <f>Baupläne!C153</f>
        <v>Knochenbrecher</v>
      </c>
      <c r="C153" s="3">
        <f>Baupläne!B153</f>
        <v>1165</v>
      </c>
      <c r="D153" s="3">
        <f>Baupläne!J153</f>
        <v>0</v>
      </c>
      <c r="E153" s="3">
        <f>Baupläne!H153</f>
        <v>59</v>
      </c>
      <c r="F153" s="3">
        <f>Baupläne!I153</f>
        <v>16</v>
      </c>
      <c r="G153" s="3">
        <f>Baupläne!E153</f>
        <v>30</v>
      </c>
      <c r="H153" s="3">
        <f>Baupläne!F153</f>
        <v>540</v>
      </c>
      <c r="I153" s="3">
        <f>0.5*Baupläne!Y153</f>
        <v>9350</v>
      </c>
      <c r="J153" s="3">
        <f>Baupläne!G153</f>
        <v>4</v>
      </c>
      <c r="K153" s="3">
        <f>IF(L153&gt;0,INDEX(data_item!$A$1:$A$1994,MATCH(Baupläne!L153,data_item!$B$1:$B$1994,0),1),0)</f>
        <v>9</v>
      </c>
      <c r="L153" s="3">
        <f>Baupläne!K153</f>
        <v>23</v>
      </c>
      <c r="M153" s="3">
        <f>IF(N153&gt;0,INDEX(data_item!$A$1:$A$1994,MATCH(Baupläne!N153,data_item!$B$1:$B$994,0),1),0)</f>
        <v>101</v>
      </c>
      <c r="N153" s="3">
        <f>Baupläne!M153</f>
        <v>8</v>
      </c>
      <c r="O153" s="3">
        <f>IF(P153&gt;0,INDEX(data_item!$A$1:$A$1994,MATCH(Baupläne!P153,data_item!$B$1:$B$1994,0),1),0)</f>
        <v>102</v>
      </c>
      <c r="P153" s="3">
        <f>Baupläne!O153</f>
        <v>28</v>
      </c>
      <c r="Q153" s="3">
        <f>IF(R153&gt;0,INDEX(data_item!$A$1:$A$1994,MATCH(Baupläne!R153,data_item!$B$1:$B$1994,0),1),0)</f>
        <v>0</v>
      </c>
      <c r="R153" s="3">
        <f>Baupläne!Q153</f>
        <v>0</v>
      </c>
      <c r="S153" s="3">
        <f>IF(T153&gt;0,INDEX(data_item!$A$1:$A$1994,MATCH(Baupläne!T153,data_item!$B$1:$B$1994,0),1),0)</f>
        <v>0</v>
      </c>
      <c r="T153" s="3">
        <f>Baupläne!S153</f>
        <v>0</v>
      </c>
    </row>
    <row r="154" spans="1:20" x14ac:dyDescent="0.2">
      <c r="A154" s="3">
        <f>Baupläne!A154</f>
        <v>1166</v>
      </c>
      <c r="B154" s="3" t="str">
        <f>Baupläne!C154</f>
        <v>Kriegskeule</v>
      </c>
      <c r="C154" s="3">
        <f>Baupläne!B154</f>
        <v>1166</v>
      </c>
      <c r="D154" s="3">
        <f>Baupläne!J154</f>
        <v>0</v>
      </c>
      <c r="E154" s="3">
        <f>Baupläne!H154</f>
        <v>59</v>
      </c>
      <c r="F154" s="3">
        <f>Baupläne!I154</f>
        <v>19</v>
      </c>
      <c r="G154" s="3">
        <f>Baupläne!E154</f>
        <v>30</v>
      </c>
      <c r="H154" s="3">
        <f>Baupläne!F154</f>
        <v>540</v>
      </c>
      <c r="I154" s="3">
        <f>0.5*Baupläne!Y154</f>
        <v>14250</v>
      </c>
      <c r="J154" s="3">
        <f>Baupläne!G154</f>
        <v>4</v>
      </c>
      <c r="K154" s="3">
        <f>IF(L154&gt;0,INDEX(data_item!$A$1:$A$1994,MATCH(Baupläne!L154,data_item!$B$1:$B$1994,0),1),0)</f>
        <v>9</v>
      </c>
      <c r="L154" s="3">
        <f>Baupläne!K154</f>
        <v>35</v>
      </c>
      <c r="M154" s="3">
        <f>IF(N154&gt;0,INDEX(data_item!$A$1:$A$1994,MATCH(Baupläne!N154,data_item!$B$1:$B$994,0),1),0)</f>
        <v>101</v>
      </c>
      <c r="N154" s="3">
        <f>Baupläne!M154</f>
        <v>16</v>
      </c>
      <c r="O154" s="3">
        <f>IF(P154&gt;0,INDEX(data_item!$A$1:$A$1994,MATCH(Baupläne!P154,data_item!$B$1:$B$1994,0),1),0)</f>
        <v>102</v>
      </c>
      <c r="P154" s="3">
        <f>Baupläne!O154</f>
        <v>40</v>
      </c>
      <c r="Q154" s="3">
        <f>IF(R154&gt;0,INDEX(data_item!$A$1:$A$1994,MATCH(Baupläne!R154,data_item!$B$1:$B$1994,0),1),0)</f>
        <v>0</v>
      </c>
      <c r="R154" s="3">
        <f>Baupläne!Q154</f>
        <v>0</v>
      </c>
      <c r="S154" s="3">
        <f>IF(T154&gt;0,INDEX(data_item!$A$1:$A$1994,MATCH(Baupläne!T154,data_item!$B$1:$B$1994,0),1),0)</f>
        <v>0</v>
      </c>
      <c r="T154" s="3">
        <f>Baupläne!S154</f>
        <v>0</v>
      </c>
    </row>
    <row r="155" spans="1:20" x14ac:dyDescent="0.2">
      <c r="A155" s="3">
        <f>Baupläne!A155</f>
        <v>1167</v>
      </c>
      <c r="B155" s="3" t="str">
        <f>Baupläne!C155</f>
        <v>Stabzepter</v>
      </c>
      <c r="C155" s="3">
        <f>Baupläne!B155</f>
        <v>1167</v>
      </c>
      <c r="D155" s="3">
        <f>Baupläne!J155</f>
        <v>0</v>
      </c>
      <c r="E155" s="3">
        <f>Baupläne!H155</f>
        <v>59</v>
      </c>
      <c r="F155" s="3">
        <f>Baupläne!I155</f>
        <v>21</v>
      </c>
      <c r="G155" s="3">
        <f>Baupläne!E155</f>
        <v>30</v>
      </c>
      <c r="H155" s="3">
        <f>Baupläne!F155</f>
        <v>540</v>
      </c>
      <c r="I155" s="3">
        <f>0.5*Baupläne!Y155</f>
        <v>18800</v>
      </c>
      <c r="J155" s="3">
        <f>Baupläne!G155</f>
        <v>5</v>
      </c>
      <c r="K155" s="3">
        <f>IF(L155&gt;0,INDEX(data_item!$A$1:$A$1994,MATCH(Baupläne!L155,data_item!$B$1:$B$1994,0),1),0)</f>
        <v>10</v>
      </c>
      <c r="L155" s="3">
        <f>Baupläne!K155</f>
        <v>34</v>
      </c>
      <c r="M155" s="3">
        <f>IF(N155&gt;0,INDEX(data_item!$A$1:$A$1994,MATCH(Baupläne!N155,data_item!$B$1:$B$994,0),1),0)</f>
        <v>101</v>
      </c>
      <c r="N155" s="3">
        <f>Baupläne!M155</f>
        <v>5</v>
      </c>
      <c r="O155" s="3">
        <f>IF(P155&gt;0,INDEX(data_item!$A$1:$A$1994,MATCH(Baupläne!P155,data_item!$B$1:$B$1994,0),1),0)</f>
        <v>102</v>
      </c>
      <c r="P155" s="3">
        <f>Baupläne!O155</f>
        <v>10</v>
      </c>
      <c r="Q155" s="3">
        <f>IF(R155&gt;0,INDEX(data_item!$A$1:$A$1994,MATCH(Baupläne!R155,data_item!$B$1:$B$1994,0),1),0)</f>
        <v>103</v>
      </c>
      <c r="R155" s="3">
        <f>Baupläne!Q155</f>
        <v>20</v>
      </c>
      <c r="S155" s="3">
        <f>IF(T155&gt;0,INDEX(data_item!$A$1:$A$1994,MATCH(Baupläne!T155,data_item!$B$1:$B$1994,0),1),0)</f>
        <v>0</v>
      </c>
      <c r="T155" s="3">
        <f>Baupläne!S155</f>
        <v>0</v>
      </c>
    </row>
    <row r="156" spans="1:20" x14ac:dyDescent="0.2">
      <c r="A156" s="3">
        <f>Baupläne!A156</f>
        <v>1168</v>
      </c>
      <c r="B156" s="3" t="str">
        <f>Baupläne!C156</f>
        <v>Donnerhammer</v>
      </c>
      <c r="C156" s="3">
        <f>Baupläne!B156</f>
        <v>1168</v>
      </c>
      <c r="D156" s="3">
        <f>Baupläne!J156</f>
        <v>0</v>
      </c>
      <c r="E156" s="3">
        <f>Baupläne!H156</f>
        <v>59</v>
      </c>
      <c r="F156" s="3">
        <f>Baupläne!I156</f>
        <v>24</v>
      </c>
      <c r="G156" s="3">
        <f>Baupläne!E156</f>
        <v>30</v>
      </c>
      <c r="H156" s="3">
        <f>Baupläne!F156</f>
        <v>540</v>
      </c>
      <c r="I156" s="3">
        <f>0.5*Baupläne!Y156</f>
        <v>28650</v>
      </c>
      <c r="J156" s="3">
        <f>Baupläne!G156</f>
        <v>5</v>
      </c>
      <c r="K156" s="3">
        <f>IF(L156&gt;0,INDEX(data_item!$A$1:$A$1994,MATCH(Baupläne!L156,data_item!$B$1:$B$1994,0),1),0)</f>
        <v>10</v>
      </c>
      <c r="L156" s="3">
        <f>Baupläne!K156</f>
        <v>52</v>
      </c>
      <c r="M156" s="3">
        <f>IF(N156&gt;0,INDEX(data_item!$A$1:$A$1994,MATCH(Baupläne!N156,data_item!$B$1:$B$994,0),1),0)</f>
        <v>101</v>
      </c>
      <c r="N156" s="3">
        <f>Baupläne!M156</f>
        <v>6</v>
      </c>
      <c r="O156" s="3">
        <f>IF(P156&gt;0,INDEX(data_item!$A$1:$A$1994,MATCH(Baupläne!P156,data_item!$B$1:$B$1994,0),1),0)</f>
        <v>102</v>
      </c>
      <c r="P156" s="3">
        <f>Baupläne!O156</f>
        <v>8</v>
      </c>
      <c r="Q156" s="3">
        <f>IF(R156&gt;0,INDEX(data_item!$A$1:$A$1994,MATCH(Baupläne!R156,data_item!$B$1:$B$1994,0),1),0)</f>
        <v>103</v>
      </c>
      <c r="R156" s="3">
        <f>Baupläne!Q156</f>
        <v>34</v>
      </c>
      <c r="S156" s="3">
        <f>IF(T156&gt;0,INDEX(data_item!$A$1:$A$1994,MATCH(Baupläne!T156,data_item!$B$1:$B$1994,0),1),0)</f>
        <v>0</v>
      </c>
      <c r="T156" s="3">
        <f>Baupläne!S156</f>
        <v>0</v>
      </c>
    </row>
    <row r="157" spans="1:20" x14ac:dyDescent="0.2">
      <c r="A157" s="3">
        <f>Baupläne!A157</f>
        <v>0</v>
      </c>
      <c r="B157" s="3">
        <f>Baupläne!C157</f>
        <v>0</v>
      </c>
      <c r="C157" s="3">
        <f>Baupläne!B157</f>
        <v>0</v>
      </c>
      <c r="D157" s="3">
        <f>Baupläne!J157</f>
        <v>0</v>
      </c>
      <c r="E157" s="3">
        <f>Baupläne!H157</f>
        <v>0</v>
      </c>
      <c r="F157" s="3">
        <f>Baupläne!I157</f>
        <v>0</v>
      </c>
      <c r="G157" s="3">
        <f>Baupläne!E157</f>
        <v>0</v>
      </c>
      <c r="H157" s="3">
        <f>Baupläne!F157</f>
        <v>0</v>
      </c>
      <c r="I157" s="3">
        <f>0.5*Baupläne!Y157</f>
        <v>0</v>
      </c>
      <c r="J157" s="3">
        <f>Baupläne!G157</f>
        <v>0</v>
      </c>
      <c r="K157" s="3">
        <f>IF(L157&gt;0,INDEX(data_item!$A$1:$A$1994,MATCH(Baupläne!L157,data_item!$B$1:$B$1994,0),1),0)</f>
        <v>0</v>
      </c>
      <c r="L157" s="3">
        <f>Baupläne!K157</f>
        <v>0</v>
      </c>
      <c r="M157" s="3">
        <f>IF(N157&gt;0,INDEX(data_item!$A$1:$A$1994,MATCH(Baupläne!N157,data_item!$B$1:$B$994,0),1),0)</f>
        <v>0</v>
      </c>
      <c r="N157" s="3">
        <f>Baupläne!M157</f>
        <v>0</v>
      </c>
      <c r="O157" s="3">
        <f>IF(P157&gt;0,INDEX(data_item!$A$1:$A$1994,MATCH(Baupläne!P157,data_item!$B$1:$B$1994,0),1),0)</f>
        <v>0</v>
      </c>
      <c r="P157" s="3">
        <f>Baupläne!O157</f>
        <v>0</v>
      </c>
      <c r="Q157" s="3">
        <f>IF(R157&gt;0,INDEX(data_item!$A$1:$A$1994,MATCH(Baupläne!R157,data_item!$B$1:$B$1994,0),1),0)</f>
        <v>0</v>
      </c>
      <c r="R157" s="3">
        <f>Baupläne!Q157</f>
        <v>0</v>
      </c>
      <c r="S157" s="3">
        <f>IF(T157&gt;0,INDEX(data_item!$A$1:$A$1994,MATCH(Baupläne!T157,data_item!$B$1:$B$1994,0),1),0)</f>
        <v>0</v>
      </c>
      <c r="T157" s="3">
        <f>Baupläne!S157</f>
        <v>0</v>
      </c>
    </row>
    <row r="158" spans="1:20" x14ac:dyDescent="0.2">
      <c r="A158" s="3">
        <f>Baupläne!A158</f>
        <v>1171</v>
      </c>
      <c r="B158" s="3" t="str">
        <f>Baupläne!C158</f>
        <v>Speer</v>
      </c>
      <c r="C158" s="3">
        <f>Baupläne!B158</f>
        <v>1171</v>
      </c>
      <c r="D158" s="3">
        <f>Baupläne!J158</f>
        <v>0</v>
      </c>
      <c r="E158" s="3">
        <f>Baupläne!H158</f>
        <v>60</v>
      </c>
      <c r="F158" s="3">
        <f>Baupläne!I158</f>
        <v>0</v>
      </c>
      <c r="G158" s="3">
        <f>Baupläne!E158</f>
        <v>30</v>
      </c>
      <c r="H158" s="3">
        <f>Baupläne!F158</f>
        <v>540</v>
      </c>
      <c r="I158" s="3">
        <f>0.5*Baupläne!Y158</f>
        <v>1000</v>
      </c>
      <c r="J158" s="3">
        <f>Baupläne!G158</f>
        <v>1</v>
      </c>
      <c r="K158" s="3">
        <f>IF(L158&gt;0,INDEX(data_item!$A$1:$A$1994,MATCH(Baupläne!L158,data_item!$B$1:$B$1994,0),1),0)</f>
        <v>6</v>
      </c>
      <c r="L158" s="3">
        <f>Baupläne!K158</f>
        <v>11</v>
      </c>
      <c r="M158" s="3">
        <f>IF(N158&gt;0,INDEX(data_item!$A$1:$A$1994,MATCH(Baupläne!N158,data_item!$B$1:$B$994,0),1),0)</f>
        <v>101</v>
      </c>
      <c r="N158" s="3">
        <f>Baupläne!M158</f>
        <v>8</v>
      </c>
      <c r="O158" s="3">
        <f>IF(P158&gt;0,INDEX(data_item!$A$1:$A$1994,MATCH(Baupläne!P158,data_item!$B$1:$B$1994,0),1),0)</f>
        <v>0</v>
      </c>
      <c r="P158" s="3">
        <f>Baupläne!O158</f>
        <v>0</v>
      </c>
      <c r="Q158" s="3">
        <f>IF(R158&gt;0,INDEX(data_item!$A$1:$A$1994,MATCH(Baupläne!R158,data_item!$B$1:$B$1994,0),1),0)</f>
        <v>0</v>
      </c>
      <c r="R158" s="3">
        <f>Baupläne!Q158</f>
        <v>0</v>
      </c>
      <c r="S158" s="3">
        <f>IF(T158&gt;0,INDEX(data_item!$A$1:$A$1994,MATCH(Baupläne!T158,data_item!$B$1:$B$1994,0),1),0)</f>
        <v>0</v>
      </c>
      <c r="T158" s="3">
        <f>Baupläne!S158</f>
        <v>0</v>
      </c>
    </row>
    <row r="159" spans="1:20" x14ac:dyDescent="0.2">
      <c r="A159" s="3">
        <f>Baupläne!A159</f>
        <v>1172</v>
      </c>
      <c r="B159" s="3" t="str">
        <f>Baupläne!C159</f>
        <v>Bauernsense</v>
      </c>
      <c r="C159" s="3">
        <f>Baupläne!B159</f>
        <v>1172</v>
      </c>
      <c r="D159" s="3">
        <f>Baupläne!J159</f>
        <v>0</v>
      </c>
      <c r="E159" s="3">
        <f>Baupläne!H159</f>
        <v>60</v>
      </c>
      <c r="F159" s="3">
        <f>Baupläne!I159</f>
        <v>3</v>
      </c>
      <c r="G159" s="3">
        <f>Baupläne!E159</f>
        <v>30</v>
      </c>
      <c r="H159" s="3">
        <f>Baupläne!F159</f>
        <v>540</v>
      </c>
      <c r="I159" s="3">
        <f>0.5*Baupläne!Y159</f>
        <v>1500</v>
      </c>
      <c r="J159" s="3">
        <f>Baupläne!G159</f>
        <v>1</v>
      </c>
      <c r="K159" s="3">
        <f>IF(L159&gt;0,INDEX(data_item!$A$1:$A$1994,MATCH(Baupläne!L159,data_item!$B$1:$B$1994,0),1),0)</f>
        <v>6</v>
      </c>
      <c r="L159" s="3">
        <f>Baupläne!K159</f>
        <v>16</v>
      </c>
      <c r="M159" s="3">
        <f>IF(N159&gt;0,INDEX(data_item!$A$1:$A$1994,MATCH(Baupläne!N159,data_item!$B$1:$B$994,0),1),0)</f>
        <v>101</v>
      </c>
      <c r="N159" s="3">
        <f>Baupläne!M159</f>
        <v>12</v>
      </c>
      <c r="O159" s="3">
        <f>IF(P159&gt;0,INDEX(data_item!$A$1:$A$1994,MATCH(Baupläne!P159,data_item!$B$1:$B$1994,0),1),0)</f>
        <v>0</v>
      </c>
      <c r="P159" s="3">
        <f>Baupläne!O159</f>
        <v>0</v>
      </c>
      <c r="Q159" s="3">
        <f>IF(R159&gt;0,INDEX(data_item!$A$1:$A$1994,MATCH(Baupläne!R159,data_item!$B$1:$B$1994,0),1),0)</f>
        <v>0</v>
      </c>
      <c r="R159" s="3">
        <f>Baupläne!Q159</f>
        <v>0</v>
      </c>
      <c r="S159" s="3">
        <f>IF(T159&gt;0,INDEX(data_item!$A$1:$A$1994,MATCH(Baupläne!T159,data_item!$B$1:$B$1994,0),1),0)</f>
        <v>0</v>
      </c>
      <c r="T159" s="3">
        <f>Baupläne!S159</f>
        <v>0</v>
      </c>
    </row>
    <row r="160" spans="1:20" x14ac:dyDescent="0.2">
      <c r="A160" s="3">
        <f>Baupläne!A160</f>
        <v>1173</v>
      </c>
      <c r="B160" s="3" t="str">
        <f>Baupläne!C160</f>
        <v>Jagdspeer</v>
      </c>
      <c r="C160" s="3">
        <f>Baupläne!B160</f>
        <v>1173</v>
      </c>
      <c r="D160" s="3">
        <f>Baupläne!J160</f>
        <v>0</v>
      </c>
      <c r="E160" s="3">
        <f>Baupläne!H160</f>
        <v>60</v>
      </c>
      <c r="F160" s="3">
        <f>Baupläne!I160</f>
        <v>5</v>
      </c>
      <c r="G160" s="3">
        <f>Baupläne!E160</f>
        <v>30</v>
      </c>
      <c r="H160" s="3">
        <f>Baupläne!F160</f>
        <v>540</v>
      </c>
      <c r="I160" s="3">
        <f>0.5*Baupläne!Y160</f>
        <v>2000</v>
      </c>
      <c r="J160" s="3">
        <f>Baupläne!G160</f>
        <v>2</v>
      </c>
      <c r="K160" s="3">
        <f>IF(L160&gt;0,INDEX(data_item!$A$1:$A$1994,MATCH(Baupläne!L160,data_item!$B$1:$B$1994,0),1),0)</f>
        <v>7</v>
      </c>
      <c r="L160" s="3">
        <f>Baupläne!K160</f>
        <v>11</v>
      </c>
      <c r="M160" s="3">
        <f>IF(N160&gt;0,INDEX(data_item!$A$1:$A$1994,MATCH(Baupläne!N160,data_item!$B$1:$B$994,0),1),0)</f>
        <v>101</v>
      </c>
      <c r="N160" s="3">
        <f>Baupläne!M160</f>
        <v>16</v>
      </c>
      <c r="O160" s="3">
        <f>IF(P160&gt;0,INDEX(data_item!$A$1:$A$1994,MATCH(Baupläne!P160,data_item!$B$1:$B$1994,0),1),0)</f>
        <v>0</v>
      </c>
      <c r="P160" s="3">
        <f>Baupläne!O160</f>
        <v>0</v>
      </c>
      <c r="Q160" s="3">
        <f>IF(R160&gt;0,INDEX(data_item!$A$1:$A$1994,MATCH(Baupläne!R160,data_item!$B$1:$B$1994,0),1),0)</f>
        <v>0</v>
      </c>
      <c r="R160" s="3">
        <f>Baupläne!Q160</f>
        <v>0</v>
      </c>
      <c r="S160" s="3">
        <f>IF(T160&gt;0,INDEX(data_item!$A$1:$A$1994,MATCH(Baupläne!T160,data_item!$B$1:$B$1994,0),1),0)</f>
        <v>0</v>
      </c>
      <c r="T160" s="3">
        <f>Baupläne!S160</f>
        <v>0</v>
      </c>
    </row>
    <row r="161" spans="1:20" x14ac:dyDescent="0.2">
      <c r="A161" s="3">
        <f>Baupläne!A161</f>
        <v>1174</v>
      </c>
      <c r="B161" s="3" t="str">
        <f>Baupläne!C161</f>
        <v>Sense</v>
      </c>
      <c r="C161" s="3">
        <f>Baupläne!B161</f>
        <v>1174</v>
      </c>
      <c r="D161" s="3">
        <f>Baupläne!J161</f>
        <v>0</v>
      </c>
      <c r="E161" s="3">
        <f>Baupläne!H161</f>
        <v>60</v>
      </c>
      <c r="F161" s="3">
        <f>Baupläne!I161</f>
        <v>8</v>
      </c>
      <c r="G161" s="3">
        <f>Baupläne!E161</f>
        <v>30</v>
      </c>
      <c r="H161" s="3">
        <f>Baupläne!F161</f>
        <v>540</v>
      </c>
      <c r="I161" s="3">
        <f>0.5*Baupläne!Y161</f>
        <v>3050</v>
      </c>
      <c r="J161" s="3">
        <f>Baupläne!G161</f>
        <v>2</v>
      </c>
      <c r="K161" s="3">
        <f>IF(L161&gt;0,INDEX(data_item!$A$1:$A$1994,MATCH(Baupläne!L161,data_item!$B$1:$B$1994,0),1),0)</f>
        <v>7</v>
      </c>
      <c r="L161" s="3">
        <f>Baupläne!K161</f>
        <v>16</v>
      </c>
      <c r="M161" s="3">
        <f>IF(N161&gt;0,INDEX(data_item!$A$1:$A$1994,MATCH(Baupläne!N161,data_item!$B$1:$B$994,0),1),0)</f>
        <v>101</v>
      </c>
      <c r="N161" s="3">
        <f>Baupläne!M161</f>
        <v>25</v>
      </c>
      <c r="O161" s="3">
        <f>IF(P161&gt;0,INDEX(data_item!$A$1:$A$1994,MATCH(Baupläne!P161,data_item!$B$1:$B$1994,0),1),0)</f>
        <v>0</v>
      </c>
      <c r="P161" s="3">
        <f>Baupläne!O161</f>
        <v>0</v>
      </c>
      <c r="Q161" s="3">
        <f>IF(R161&gt;0,INDEX(data_item!$A$1:$A$1994,MATCH(Baupläne!R161,data_item!$B$1:$B$1994,0),1),0)</f>
        <v>0</v>
      </c>
      <c r="R161" s="3">
        <f>Baupläne!Q161</f>
        <v>0</v>
      </c>
      <c r="S161" s="3">
        <f>IF(T161&gt;0,INDEX(data_item!$A$1:$A$1994,MATCH(Baupläne!T161,data_item!$B$1:$B$1994,0),1),0)</f>
        <v>0</v>
      </c>
      <c r="T161" s="3">
        <f>Baupläne!S161</f>
        <v>0</v>
      </c>
    </row>
    <row r="162" spans="1:20" x14ac:dyDescent="0.2">
      <c r="A162" s="3">
        <f>Baupläne!A162</f>
        <v>1175</v>
      </c>
      <c r="B162" s="3" t="str">
        <f>Baupläne!C162</f>
        <v>Pike</v>
      </c>
      <c r="C162" s="3">
        <f>Baupläne!B162</f>
        <v>1175</v>
      </c>
      <c r="D162" s="3">
        <f>Baupläne!J162</f>
        <v>0</v>
      </c>
      <c r="E162" s="3">
        <f>Baupläne!H162</f>
        <v>60</v>
      </c>
      <c r="F162" s="3">
        <f>Baupläne!I162</f>
        <v>10</v>
      </c>
      <c r="G162" s="3">
        <f>Baupläne!E162</f>
        <v>30</v>
      </c>
      <c r="H162" s="3">
        <f>Baupläne!F162</f>
        <v>540</v>
      </c>
      <c r="I162" s="3">
        <f>0.5*Baupläne!Y162</f>
        <v>4050</v>
      </c>
      <c r="J162" s="3">
        <f>Baupläne!G162</f>
        <v>3</v>
      </c>
      <c r="K162" s="3">
        <f>IF(L162&gt;0,INDEX(data_item!$A$1:$A$1994,MATCH(Baupläne!L162,data_item!$B$1:$B$1994,0),1),0)</f>
        <v>8</v>
      </c>
      <c r="L162" s="3">
        <f>Baupläne!K162</f>
        <v>15</v>
      </c>
      <c r="M162" s="3">
        <f>IF(N162&gt;0,INDEX(data_item!$A$1:$A$1994,MATCH(Baupläne!N162,data_item!$B$1:$B$994,0),1),0)</f>
        <v>101</v>
      </c>
      <c r="N162" s="3">
        <f>Baupläne!M162</f>
        <v>8</v>
      </c>
      <c r="O162" s="3">
        <f>IF(P162&gt;0,INDEX(data_item!$A$1:$A$1994,MATCH(Baupläne!P162,data_item!$B$1:$B$1994,0),1),0)</f>
        <v>102</v>
      </c>
      <c r="P162" s="3">
        <f>Baupläne!O162</f>
        <v>10</v>
      </c>
      <c r="Q162" s="3">
        <f>IF(R162&gt;0,INDEX(data_item!$A$1:$A$1994,MATCH(Baupläne!R162,data_item!$B$1:$B$1994,0),1),0)</f>
        <v>0</v>
      </c>
      <c r="R162" s="3">
        <f>Baupläne!Q162</f>
        <v>0</v>
      </c>
      <c r="S162" s="3">
        <f>IF(T162&gt;0,INDEX(data_item!$A$1:$A$1994,MATCH(Baupläne!T162,data_item!$B$1:$B$1994,0),1),0)</f>
        <v>0</v>
      </c>
      <c r="T162" s="3">
        <f>Baupläne!S162</f>
        <v>0</v>
      </c>
    </row>
    <row r="163" spans="1:20" x14ac:dyDescent="0.2">
      <c r="A163" s="3">
        <f>Baupläne!A163</f>
        <v>1176</v>
      </c>
      <c r="B163" s="3" t="str">
        <f>Baupläne!C163</f>
        <v>Lanze</v>
      </c>
      <c r="C163" s="3">
        <f>Baupläne!B163</f>
        <v>1176</v>
      </c>
      <c r="D163" s="3">
        <f>Baupläne!J163</f>
        <v>0</v>
      </c>
      <c r="E163" s="3">
        <f>Baupläne!H163</f>
        <v>60</v>
      </c>
      <c r="F163" s="3">
        <f>Baupläne!I163</f>
        <v>13</v>
      </c>
      <c r="G163" s="3">
        <f>Baupläne!E163</f>
        <v>30</v>
      </c>
      <c r="H163" s="3">
        <f>Baupläne!F163</f>
        <v>540</v>
      </c>
      <c r="I163" s="3">
        <f>0.5*Baupläne!Y163</f>
        <v>6150</v>
      </c>
      <c r="J163" s="3">
        <f>Baupläne!G163</f>
        <v>3</v>
      </c>
      <c r="K163" s="3">
        <f>IF(L163&gt;0,INDEX(data_item!$A$1:$A$1994,MATCH(Baupläne!L163,data_item!$B$1:$B$1994,0),1),0)</f>
        <v>8</v>
      </c>
      <c r="L163" s="3">
        <f>Baupläne!K163</f>
        <v>22</v>
      </c>
      <c r="M163" s="3">
        <f>IF(N163&gt;0,INDEX(data_item!$A$1:$A$1994,MATCH(Baupläne!N163,data_item!$B$1:$B$994,0),1),0)</f>
        <v>101</v>
      </c>
      <c r="N163" s="3">
        <f>Baupläne!M163</f>
        <v>10</v>
      </c>
      <c r="O163" s="3">
        <f>IF(P163&gt;0,INDEX(data_item!$A$1:$A$1994,MATCH(Baupläne!P163,data_item!$B$1:$B$1994,0),1),0)</f>
        <v>102</v>
      </c>
      <c r="P163" s="3">
        <f>Baupläne!O163</f>
        <v>16</v>
      </c>
      <c r="Q163" s="3">
        <f>IF(R163&gt;0,INDEX(data_item!$A$1:$A$1994,MATCH(Baupläne!R163,data_item!$B$1:$B$1994,0),1),0)</f>
        <v>0</v>
      </c>
      <c r="R163" s="3">
        <f>Baupläne!Q163</f>
        <v>0</v>
      </c>
      <c r="S163" s="3">
        <f>IF(T163&gt;0,INDEX(data_item!$A$1:$A$1994,MATCH(Baupläne!T163,data_item!$B$1:$B$1994,0),1),0)</f>
        <v>0</v>
      </c>
      <c r="T163" s="3">
        <f>Baupläne!S163</f>
        <v>0</v>
      </c>
    </row>
    <row r="164" spans="1:20" x14ac:dyDescent="0.2">
      <c r="A164" s="3">
        <f>Baupläne!A164</f>
        <v>1177</v>
      </c>
      <c r="B164" s="3" t="str">
        <f>Baupläne!C164</f>
        <v>Dreizack</v>
      </c>
      <c r="C164" s="3">
        <f>Baupläne!B164</f>
        <v>1177</v>
      </c>
      <c r="D164" s="3">
        <f>Baupläne!J164</f>
        <v>0</v>
      </c>
      <c r="E164" s="3">
        <f>Baupläne!H164</f>
        <v>60</v>
      </c>
      <c r="F164" s="3">
        <f>Baupläne!I164</f>
        <v>15</v>
      </c>
      <c r="G164" s="3">
        <f>Baupläne!E164</f>
        <v>30</v>
      </c>
      <c r="H164" s="3">
        <f>Baupläne!F164</f>
        <v>540</v>
      </c>
      <c r="I164" s="3">
        <f>0.5*Baupläne!Y164</f>
        <v>8150</v>
      </c>
      <c r="J164" s="3">
        <f>Baupläne!G164</f>
        <v>4</v>
      </c>
      <c r="K164" s="3">
        <f>IF(L164&gt;0,INDEX(data_item!$A$1:$A$1994,MATCH(Baupläne!L164,data_item!$B$1:$B$1994,0),1),0)</f>
        <v>9</v>
      </c>
      <c r="L164" s="3">
        <f>Baupläne!K164</f>
        <v>20</v>
      </c>
      <c r="M164" s="3">
        <f>IF(N164&gt;0,INDEX(data_item!$A$1:$A$1994,MATCH(Baupläne!N164,data_item!$B$1:$B$994,0),1),0)</f>
        <v>101</v>
      </c>
      <c r="N164" s="3">
        <f>Baupläne!M164</f>
        <v>12</v>
      </c>
      <c r="O164" s="3">
        <f>IF(P164&gt;0,INDEX(data_item!$A$1:$A$1994,MATCH(Baupläne!P164,data_item!$B$1:$B$1994,0),1),0)</f>
        <v>102</v>
      </c>
      <c r="P164" s="3">
        <f>Baupläne!O164</f>
        <v>22</v>
      </c>
      <c r="Q164" s="3">
        <f>IF(R164&gt;0,INDEX(data_item!$A$1:$A$1994,MATCH(Baupläne!R164,data_item!$B$1:$B$1994,0),1),0)</f>
        <v>0</v>
      </c>
      <c r="R164" s="3">
        <f>Baupläne!Q164</f>
        <v>0</v>
      </c>
      <c r="S164" s="3">
        <f>IF(T164&gt;0,INDEX(data_item!$A$1:$A$1994,MATCH(Baupläne!T164,data_item!$B$1:$B$1994,0),1),0)</f>
        <v>0</v>
      </c>
      <c r="T164" s="3">
        <f>Baupläne!S164</f>
        <v>0</v>
      </c>
    </row>
    <row r="165" spans="1:20" x14ac:dyDescent="0.2">
      <c r="A165" s="3">
        <f>Baupläne!A165</f>
        <v>1178</v>
      </c>
      <c r="B165" s="3" t="str">
        <f>Baupläne!C165</f>
        <v>Hellebarde</v>
      </c>
      <c r="C165" s="3">
        <f>Baupläne!B165</f>
        <v>1178</v>
      </c>
      <c r="D165" s="3">
        <f>Baupläne!J165</f>
        <v>0</v>
      </c>
      <c r="E165" s="3">
        <f>Baupläne!H165</f>
        <v>60</v>
      </c>
      <c r="F165" s="3">
        <f>Baupläne!I165</f>
        <v>18</v>
      </c>
      <c r="G165" s="3">
        <f>Baupläne!E165</f>
        <v>30</v>
      </c>
      <c r="H165" s="3">
        <f>Baupläne!F165</f>
        <v>540</v>
      </c>
      <c r="I165" s="3">
        <f>0.5*Baupläne!Y165</f>
        <v>12400</v>
      </c>
      <c r="J165" s="3">
        <f>Baupläne!G165</f>
        <v>4</v>
      </c>
      <c r="K165" s="3">
        <f>IF(L165&gt;0,INDEX(data_item!$A$1:$A$1994,MATCH(Baupläne!L165,data_item!$B$1:$B$1994,0),1),0)</f>
        <v>9</v>
      </c>
      <c r="L165" s="3">
        <f>Baupläne!K165</f>
        <v>30</v>
      </c>
      <c r="M165" s="3">
        <f>IF(N165&gt;0,INDEX(data_item!$A$1:$A$1994,MATCH(Baupläne!N165,data_item!$B$1:$B$994,0),1),0)</f>
        <v>101</v>
      </c>
      <c r="N165" s="3">
        <f>Baupläne!M165</f>
        <v>14</v>
      </c>
      <c r="O165" s="3">
        <f>IF(P165&gt;0,INDEX(data_item!$A$1:$A$1994,MATCH(Baupläne!P165,data_item!$B$1:$B$1994,0),1),0)</f>
        <v>102</v>
      </c>
      <c r="P165" s="3">
        <f>Baupläne!O165</f>
        <v>35</v>
      </c>
      <c r="Q165" s="3">
        <f>IF(R165&gt;0,INDEX(data_item!$A$1:$A$1994,MATCH(Baupläne!R165,data_item!$B$1:$B$1994,0),1),0)</f>
        <v>0</v>
      </c>
      <c r="R165" s="3">
        <f>Baupläne!Q165</f>
        <v>0</v>
      </c>
      <c r="S165" s="3">
        <f>IF(T165&gt;0,INDEX(data_item!$A$1:$A$1994,MATCH(Baupläne!T165,data_item!$B$1:$B$1994,0),1),0)</f>
        <v>0</v>
      </c>
      <c r="T165" s="3">
        <f>Baupläne!S165</f>
        <v>0</v>
      </c>
    </row>
    <row r="166" spans="1:20" x14ac:dyDescent="0.2">
      <c r="A166" s="3">
        <f>Baupläne!A166</f>
        <v>1179</v>
      </c>
      <c r="B166" s="3" t="str">
        <f>Baupläne!C166</f>
        <v>Drescher</v>
      </c>
      <c r="C166" s="3">
        <f>Baupläne!B166</f>
        <v>1179</v>
      </c>
      <c r="D166" s="3">
        <f>Baupläne!J166</f>
        <v>0</v>
      </c>
      <c r="E166" s="3">
        <f>Baupläne!H166</f>
        <v>60</v>
      </c>
      <c r="F166" s="3">
        <f>Baupläne!I166</f>
        <v>21</v>
      </c>
      <c r="G166" s="3">
        <f>Baupläne!E166</f>
        <v>30</v>
      </c>
      <c r="H166" s="3">
        <f>Baupläne!F166</f>
        <v>540</v>
      </c>
      <c r="I166" s="3">
        <f>0.5*Baupläne!Y166</f>
        <v>18800</v>
      </c>
      <c r="J166" s="3">
        <f>Baupläne!G166</f>
        <v>5</v>
      </c>
      <c r="K166" s="3">
        <f>IF(L166&gt;0,INDEX(data_item!$A$1:$A$1994,MATCH(Baupläne!L166,data_item!$B$1:$B$1994,0),1),0)</f>
        <v>10</v>
      </c>
      <c r="L166" s="3">
        <f>Baupläne!K166</f>
        <v>34</v>
      </c>
      <c r="M166" s="3">
        <f>IF(N166&gt;0,INDEX(data_item!$A$1:$A$1994,MATCH(Baupläne!N166,data_item!$B$1:$B$994,0),1),0)</f>
        <v>101</v>
      </c>
      <c r="N166" s="3">
        <f>Baupläne!M166</f>
        <v>4</v>
      </c>
      <c r="O166" s="3">
        <f>IF(P166&gt;0,INDEX(data_item!$A$1:$A$1994,MATCH(Baupläne!P166,data_item!$B$1:$B$1994,0),1),0)</f>
        <v>102</v>
      </c>
      <c r="P166" s="3">
        <f>Baupläne!O166</f>
        <v>8</v>
      </c>
      <c r="Q166" s="3">
        <f>IF(R166&gt;0,INDEX(data_item!$A$1:$A$1994,MATCH(Baupläne!R166,data_item!$B$1:$B$1994,0),1),0)</f>
        <v>103</v>
      </c>
      <c r="R166" s="3">
        <f>Baupläne!Q166</f>
        <v>21</v>
      </c>
      <c r="S166" s="3">
        <f>IF(T166&gt;0,INDEX(data_item!$A$1:$A$1994,MATCH(Baupläne!T166,data_item!$B$1:$B$1994,0),1),0)</f>
        <v>0</v>
      </c>
      <c r="T166" s="3">
        <f>Baupläne!S166</f>
        <v>0</v>
      </c>
    </row>
    <row r="167" spans="1:20" x14ac:dyDescent="0.2">
      <c r="A167" s="3">
        <f>Baupläne!A167</f>
        <v>1180</v>
      </c>
      <c r="B167" s="3" t="str">
        <f>Baupläne!C167</f>
        <v>Kriegspike</v>
      </c>
      <c r="C167" s="3">
        <f>Baupläne!B167</f>
        <v>1180</v>
      </c>
      <c r="D167" s="3">
        <f>Baupläne!J167</f>
        <v>0</v>
      </c>
      <c r="E167" s="3">
        <f>Baupläne!H167</f>
        <v>60</v>
      </c>
      <c r="F167" s="3">
        <f>Baupläne!I167</f>
        <v>24</v>
      </c>
      <c r="G167" s="3">
        <f>Baupläne!E167</f>
        <v>30</v>
      </c>
      <c r="H167" s="3">
        <f>Baupläne!F167</f>
        <v>540</v>
      </c>
      <c r="I167" s="3">
        <f>0.5*Baupläne!Y167</f>
        <v>28650</v>
      </c>
      <c r="J167" s="3">
        <f>Baupläne!G167</f>
        <v>5</v>
      </c>
      <c r="K167" s="3">
        <f>IF(L167&gt;0,INDEX(data_item!$A$1:$A$1994,MATCH(Baupläne!L167,data_item!$B$1:$B$1994,0),1),0)</f>
        <v>10</v>
      </c>
      <c r="L167" s="3">
        <f>Baupläne!K167</f>
        <v>52</v>
      </c>
      <c r="M167" s="3">
        <f>IF(N167&gt;0,INDEX(data_item!$A$1:$A$1994,MATCH(Baupläne!N167,data_item!$B$1:$B$994,0),1),0)</f>
        <v>101</v>
      </c>
      <c r="N167" s="3">
        <f>Baupläne!M167</f>
        <v>6</v>
      </c>
      <c r="O167" s="3">
        <f>IF(P167&gt;0,INDEX(data_item!$A$1:$A$1994,MATCH(Baupläne!P167,data_item!$B$1:$B$1994,0),1),0)</f>
        <v>102</v>
      </c>
      <c r="P167" s="3">
        <f>Baupläne!O167</f>
        <v>12</v>
      </c>
      <c r="Q167" s="3">
        <f>IF(R167&gt;0,INDEX(data_item!$A$1:$A$1994,MATCH(Baupläne!R167,data_item!$B$1:$B$1994,0),1),0)</f>
        <v>103</v>
      </c>
      <c r="R167" s="3">
        <f>Baupläne!Q167</f>
        <v>32</v>
      </c>
      <c r="S167" s="3">
        <f>IF(T167&gt;0,INDEX(data_item!$A$1:$A$1994,MATCH(Baupläne!T167,data_item!$B$1:$B$1994,0),1),0)</f>
        <v>0</v>
      </c>
      <c r="T167" s="3">
        <f>Baupläne!S167</f>
        <v>0</v>
      </c>
    </row>
    <row r="168" spans="1:20" x14ac:dyDescent="0.2">
      <c r="A168" s="3">
        <f>Baupläne!A168</f>
        <v>0</v>
      </c>
      <c r="B168" s="3">
        <f>Baupläne!C168</f>
        <v>0</v>
      </c>
      <c r="C168" s="3">
        <f>Baupläne!B168</f>
        <v>0</v>
      </c>
      <c r="D168" s="3">
        <f>Baupläne!J168</f>
        <v>0</v>
      </c>
      <c r="E168" s="3">
        <f>Baupläne!H168</f>
        <v>0</v>
      </c>
      <c r="F168" s="3">
        <f>Baupläne!I168</f>
        <v>0</v>
      </c>
      <c r="G168" s="3">
        <f>Baupläne!E168</f>
        <v>0</v>
      </c>
      <c r="H168" s="3">
        <f>Baupläne!F168</f>
        <v>0</v>
      </c>
      <c r="I168" s="3">
        <f>0.5*Baupläne!Y168</f>
        <v>0</v>
      </c>
      <c r="J168" s="3">
        <f>Baupläne!G168</f>
        <v>0</v>
      </c>
      <c r="K168" s="3">
        <f>IF(L168&gt;0,INDEX(data_item!$A$1:$A$1994,MATCH(Baupläne!L168,data_item!$B$1:$B$1994,0),1),0)</f>
        <v>0</v>
      </c>
      <c r="L168" s="3">
        <f>Baupläne!K168</f>
        <v>0</v>
      </c>
      <c r="M168" s="3">
        <f>IF(N168&gt;0,INDEX(data_item!$A$1:$A$1994,MATCH(Baupläne!N168,data_item!$B$1:$B$994,0),1),0)</f>
        <v>0</v>
      </c>
      <c r="N168" s="3">
        <f>Baupläne!M168</f>
        <v>0</v>
      </c>
      <c r="O168" s="3">
        <f>IF(P168&gt;0,INDEX(data_item!$A$1:$A$1994,MATCH(Baupläne!P168,data_item!$B$1:$B$1994,0),1),0)</f>
        <v>0</v>
      </c>
      <c r="P168" s="3">
        <f>Baupläne!O168</f>
        <v>0</v>
      </c>
      <c r="Q168" s="3">
        <f>IF(R168&gt;0,INDEX(data_item!$A$1:$A$1994,MATCH(Baupläne!R168,data_item!$B$1:$B$1994,0),1),0)</f>
        <v>0</v>
      </c>
      <c r="R168" s="3">
        <f>Baupläne!Q168</f>
        <v>0</v>
      </c>
      <c r="S168" s="3">
        <f>IF(T168&gt;0,INDEX(data_item!$A$1:$A$1994,MATCH(Baupläne!T168,data_item!$B$1:$B$1994,0),1),0)</f>
        <v>0</v>
      </c>
      <c r="T168" s="3">
        <f>Baupläne!S168</f>
        <v>0</v>
      </c>
    </row>
    <row r="169" spans="1:20" x14ac:dyDescent="0.2">
      <c r="A169" s="3">
        <f>Baupläne!A169</f>
        <v>1181</v>
      </c>
      <c r="B169" s="3" t="str">
        <f>Baupläne!C169</f>
        <v>Kurzbogen</v>
      </c>
      <c r="C169" s="3">
        <f>Baupläne!B169</f>
        <v>1181</v>
      </c>
      <c r="D169" s="3">
        <f>Baupläne!J169</f>
        <v>0</v>
      </c>
      <c r="E169" s="3">
        <f>Baupläne!H169</f>
        <v>64</v>
      </c>
      <c r="F169" s="3">
        <f>Baupläne!I169</f>
        <v>0</v>
      </c>
      <c r="G169" s="3">
        <f>Baupläne!E169</f>
        <v>32</v>
      </c>
      <c r="H169" s="3">
        <f>Baupläne!F169</f>
        <v>480</v>
      </c>
      <c r="I169" s="3">
        <f>0.5*Baupläne!Y169</f>
        <v>1000</v>
      </c>
      <c r="J169" s="3">
        <f>Baupläne!G169</f>
        <v>1</v>
      </c>
      <c r="K169" s="3">
        <f>IF(L169&gt;0,INDEX(data_item!$A$1:$A$1994,MATCH(Baupläne!L169,data_item!$B$1:$B$1994,0),1),0)</f>
        <v>26</v>
      </c>
      <c r="L169" s="3">
        <f>Baupläne!K169</f>
        <v>11</v>
      </c>
      <c r="M169" s="3">
        <f>IF(N169&gt;0,INDEX(data_item!$A$1:$A$1994,MATCH(Baupläne!N169,data_item!$B$1:$B$994,0),1),0)</f>
        <v>104</v>
      </c>
      <c r="N169" s="3">
        <f>Baupläne!M169</f>
        <v>8</v>
      </c>
      <c r="O169" s="3">
        <f>IF(P169&gt;0,INDEX(data_item!$A$1:$A$1994,MATCH(Baupläne!P169,data_item!$B$1:$B$1994,0),1),0)</f>
        <v>0</v>
      </c>
      <c r="P169" s="3">
        <f>Baupläne!O169</f>
        <v>0</v>
      </c>
      <c r="Q169" s="3">
        <f>IF(R169&gt;0,INDEX(data_item!$A$1:$A$1994,MATCH(Baupläne!R169,data_item!$B$1:$B$1994,0),1),0)</f>
        <v>0</v>
      </c>
      <c r="R169" s="3">
        <f>Baupläne!Q169</f>
        <v>0</v>
      </c>
      <c r="S169" s="3">
        <f>IF(T169&gt;0,INDEX(data_item!$A$1:$A$1994,MATCH(Baupläne!T169,data_item!$B$1:$B$1994,0),1),0)</f>
        <v>0</v>
      </c>
      <c r="T169" s="3">
        <f>Baupläne!S169</f>
        <v>0</v>
      </c>
    </row>
    <row r="170" spans="1:20" x14ac:dyDescent="0.2">
      <c r="A170" s="3">
        <f>Baupläne!A170</f>
        <v>1182</v>
      </c>
      <c r="B170" s="3" t="str">
        <f>Baupläne!C170</f>
        <v>Jagdbogen</v>
      </c>
      <c r="C170" s="3">
        <f>Baupläne!B170</f>
        <v>1182</v>
      </c>
      <c r="D170" s="3">
        <f>Baupläne!J170</f>
        <v>0</v>
      </c>
      <c r="E170" s="3">
        <f>Baupläne!H170</f>
        <v>64</v>
      </c>
      <c r="F170" s="3">
        <f>Baupläne!I170</f>
        <v>3</v>
      </c>
      <c r="G170" s="3">
        <f>Baupläne!E170</f>
        <v>32</v>
      </c>
      <c r="H170" s="3">
        <f>Baupläne!F170</f>
        <v>480</v>
      </c>
      <c r="I170" s="3">
        <f>0.5*Baupläne!Y170</f>
        <v>1500</v>
      </c>
      <c r="J170" s="3">
        <f>Baupläne!G170</f>
        <v>1</v>
      </c>
      <c r="K170" s="3">
        <f>IF(L170&gt;0,INDEX(data_item!$A$1:$A$1994,MATCH(Baupläne!L170,data_item!$B$1:$B$1994,0),1),0)</f>
        <v>26</v>
      </c>
      <c r="L170" s="3">
        <f>Baupläne!K170</f>
        <v>16</v>
      </c>
      <c r="M170" s="3">
        <f>IF(N170&gt;0,INDEX(data_item!$A$1:$A$1994,MATCH(Baupläne!N170,data_item!$B$1:$B$994,0),1),0)</f>
        <v>104</v>
      </c>
      <c r="N170" s="3">
        <f>Baupläne!M170</f>
        <v>12</v>
      </c>
      <c r="O170" s="3">
        <f>IF(P170&gt;0,INDEX(data_item!$A$1:$A$1994,MATCH(Baupläne!P170,data_item!$B$1:$B$1994,0),1),0)</f>
        <v>0</v>
      </c>
      <c r="P170" s="3">
        <f>Baupläne!O170</f>
        <v>0</v>
      </c>
      <c r="Q170" s="3">
        <f>IF(R170&gt;0,INDEX(data_item!$A$1:$A$1994,MATCH(Baupläne!R170,data_item!$B$1:$B$1994,0),1),0)</f>
        <v>0</v>
      </c>
      <c r="R170" s="3">
        <f>Baupläne!Q170</f>
        <v>0</v>
      </c>
      <c r="S170" s="3">
        <f>IF(T170&gt;0,INDEX(data_item!$A$1:$A$1994,MATCH(Baupläne!T170,data_item!$B$1:$B$1994,0),1),0)</f>
        <v>0</v>
      </c>
      <c r="T170" s="3">
        <f>Baupläne!S170</f>
        <v>0</v>
      </c>
    </row>
    <row r="171" spans="1:20" x14ac:dyDescent="0.2">
      <c r="A171" s="3">
        <f>Baupläne!A171</f>
        <v>1183</v>
      </c>
      <c r="B171" s="3" t="str">
        <f>Baupläne!C171</f>
        <v>Kompositbogen</v>
      </c>
      <c r="C171" s="3">
        <f>Baupläne!B171</f>
        <v>1183</v>
      </c>
      <c r="D171" s="3">
        <f>Baupläne!J171</f>
        <v>0</v>
      </c>
      <c r="E171" s="3">
        <f>Baupläne!H171</f>
        <v>64</v>
      </c>
      <c r="F171" s="3">
        <f>Baupläne!I171</f>
        <v>5</v>
      </c>
      <c r="G171" s="3">
        <f>Baupläne!E171</f>
        <v>32</v>
      </c>
      <c r="H171" s="3">
        <f>Baupläne!F171</f>
        <v>480</v>
      </c>
      <c r="I171" s="3">
        <f>0.5*Baupläne!Y171</f>
        <v>2000</v>
      </c>
      <c r="J171" s="3">
        <f>Baupläne!G171</f>
        <v>2</v>
      </c>
      <c r="K171" s="3">
        <f>IF(L171&gt;0,INDEX(data_item!$A$1:$A$1994,MATCH(Baupläne!L171,data_item!$B$1:$B$1994,0),1),0)</f>
        <v>27</v>
      </c>
      <c r="L171" s="3">
        <f>Baupläne!K171</f>
        <v>11</v>
      </c>
      <c r="M171" s="3">
        <f>IF(N171&gt;0,INDEX(data_item!$A$1:$A$1994,MATCH(Baupläne!N171,data_item!$B$1:$B$994,0),1),0)</f>
        <v>104</v>
      </c>
      <c r="N171" s="3">
        <f>Baupläne!M171</f>
        <v>16</v>
      </c>
      <c r="O171" s="3">
        <f>IF(P171&gt;0,INDEX(data_item!$A$1:$A$1994,MATCH(Baupläne!P171,data_item!$B$1:$B$1994,0),1),0)</f>
        <v>0</v>
      </c>
      <c r="P171" s="3">
        <f>Baupläne!O171</f>
        <v>0</v>
      </c>
      <c r="Q171" s="3">
        <f>IF(R171&gt;0,INDEX(data_item!$A$1:$A$1994,MATCH(Baupläne!R171,data_item!$B$1:$B$1994,0),1),0)</f>
        <v>0</v>
      </c>
      <c r="R171" s="3">
        <f>Baupläne!Q171</f>
        <v>0</v>
      </c>
      <c r="S171" s="3">
        <f>IF(T171&gt;0,INDEX(data_item!$A$1:$A$1994,MATCH(Baupläne!T171,data_item!$B$1:$B$1994,0),1),0)</f>
        <v>0</v>
      </c>
      <c r="T171" s="3">
        <f>Baupläne!S171</f>
        <v>0</v>
      </c>
    </row>
    <row r="172" spans="1:20" x14ac:dyDescent="0.2">
      <c r="A172" s="3">
        <f>Baupläne!A172</f>
        <v>1184</v>
      </c>
      <c r="B172" s="3" t="str">
        <f>Baupläne!C172</f>
        <v>Langbogen</v>
      </c>
      <c r="C172" s="3">
        <f>Baupläne!B172</f>
        <v>1184</v>
      </c>
      <c r="D172" s="3">
        <f>Baupläne!J172</f>
        <v>0</v>
      </c>
      <c r="E172" s="3">
        <f>Baupläne!H172</f>
        <v>64</v>
      </c>
      <c r="F172" s="3">
        <f>Baupläne!I172</f>
        <v>8</v>
      </c>
      <c r="G172" s="3">
        <f>Baupläne!E172</f>
        <v>32</v>
      </c>
      <c r="H172" s="3">
        <f>Baupläne!F172</f>
        <v>480</v>
      </c>
      <c r="I172" s="3">
        <f>0.5*Baupläne!Y172</f>
        <v>3050</v>
      </c>
      <c r="J172" s="3">
        <f>Baupläne!G172</f>
        <v>2</v>
      </c>
      <c r="K172" s="3">
        <f>IF(L172&gt;0,INDEX(data_item!$A$1:$A$1994,MATCH(Baupläne!L172,data_item!$B$1:$B$1994,0),1),0)</f>
        <v>27</v>
      </c>
      <c r="L172" s="3">
        <f>Baupläne!K172</f>
        <v>16</v>
      </c>
      <c r="M172" s="3">
        <f>IF(N172&gt;0,INDEX(data_item!$A$1:$A$1994,MATCH(Baupläne!N172,data_item!$B$1:$B$994,0),1),0)</f>
        <v>104</v>
      </c>
      <c r="N172" s="3">
        <f>Baupläne!M172</f>
        <v>25</v>
      </c>
      <c r="O172" s="3">
        <f>IF(P172&gt;0,INDEX(data_item!$A$1:$A$1994,MATCH(Baupläne!P172,data_item!$B$1:$B$1994,0),1),0)</f>
        <v>0</v>
      </c>
      <c r="P172" s="3">
        <f>Baupläne!O172</f>
        <v>0</v>
      </c>
      <c r="Q172" s="3">
        <f>IF(R172&gt;0,INDEX(data_item!$A$1:$A$1994,MATCH(Baupläne!R172,data_item!$B$1:$B$1994,0),1),0)</f>
        <v>0</v>
      </c>
      <c r="R172" s="3">
        <f>Baupläne!Q172</f>
        <v>0</v>
      </c>
      <c r="S172" s="3">
        <f>IF(T172&gt;0,INDEX(data_item!$A$1:$A$1994,MATCH(Baupläne!T172,data_item!$B$1:$B$1994,0),1),0)</f>
        <v>0</v>
      </c>
      <c r="T172" s="3">
        <f>Baupläne!S172</f>
        <v>0</v>
      </c>
    </row>
    <row r="173" spans="1:20" x14ac:dyDescent="0.2">
      <c r="A173" s="3">
        <f>Baupläne!A173</f>
        <v>1185</v>
      </c>
      <c r="B173" s="3" t="str">
        <f>Baupläne!C173</f>
        <v>Spinnenbogen</v>
      </c>
      <c r="C173" s="3">
        <f>Baupläne!B173</f>
        <v>1185</v>
      </c>
      <c r="D173" s="3">
        <f>Baupläne!J173</f>
        <v>0</v>
      </c>
      <c r="E173" s="3">
        <f>Baupläne!H173</f>
        <v>64</v>
      </c>
      <c r="F173" s="3">
        <f>Baupläne!I173</f>
        <v>10</v>
      </c>
      <c r="G173" s="3">
        <f>Baupläne!E173</f>
        <v>32</v>
      </c>
      <c r="H173" s="3">
        <f>Baupläne!F173</f>
        <v>480</v>
      </c>
      <c r="I173" s="3">
        <f>0.5*Baupläne!Y173</f>
        <v>4050</v>
      </c>
      <c r="J173" s="3">
        <f>Baupläne!G173</f>
        <v>3</v>
      </c>
      <c r="K173" s="3">
        <f>IF(L173&gt;0,INDEX(data_item!$A$1:$A$1994,MATCH(Baupläne!L173,data_item!$B$1:$B$1994,0),1),0)</f>
        <v>28</v>
      </c>
      <c r="L173" s="3">
        <f>Baupläne!K173</f>
        <v>15</v>
      </c>
      <c r="M173" s="3">
        <f>IF(N173&gt;0,INDEX(data_item!$A$1:$A$1994,MATCH(Baupläne!N173,data_item!$B$1:$B$994,0),1),0)</f>
        <v>104</v>
      </c>
      <c r="N173" s="3">
        <f>Baupläne!M173</f>
        <v>8</v>
      </c>
      <c r="O173" s="3">
        <f>IF(P173&gt;0,INDEX(data_item!$A$1:$A$1994,MATCH(Baupläne!P173,data_item!$B$1:$B$1994,0),1),0)</f>
        <v>105</v>
      </c>
      <c r="P173" s="3">
        <f>Baupläne!O173</f>
        <v>10</v>
      </c>
      <c r="Q173" s="3">
        <f>IF(R173&gt;0,INDEX(data_item!$A$1:$A$1994,MATCH(Baupläne!R173,data_item!$B$1:$B$1994,0),1),0)</f>
        <v>0</v>
      </c>
      <c r="R173" s="3">
        <f>Baupläne!Q173</f>
        <v>0</v>
      </c>
      <c r="S173" s="3">
        <f>IF(T173&gt;0,INDEX(data_item!$A$1:$A$1994,MATCH(Baupläne!T173,data_item!$B$1:$B$1994,0),1),0)</f>
        <v>0</v>
      </c>
      <c r="T173" s="3">
        <f>Baupläne!S173</f>
        <v>0</v>
      </c>
    </row>
    <row r="174" spans="1:20" x14ac:dyDescent="0.2">
      <c r="A174" s="3">
        <f>Baupläne!A174</f>
        <v>1186</v>
      </c>
      <c r="B174" s="3" t="str">
        <f>Baupläne!C174</f>
        <v>Kriegsbogen</v>
      </c>
      <c r="C174" s="3">
        <f>Baupläne!B174</f>
        <v>1186</v>
      </c>
      <c r="D174" s="3">
        <f>Baupläne!J174</f>
        <v>0</v>
      </c>
      <c r="E174" s="3">
        <f>Baupläne!H174</f>
        <v>64</v>
      </c>
      <c r="F174" s="3">
        <f>Baupläne!I174</f>
        <v>13</v>
      </c>
      <c r="G174" s="3">
        <f>Baupläne!E174</f>
        <v>32</v>
      </c>
      <c r="H174" s="3">
        <f>Baupläne!F174</f>
        <v>480</v>
      </c>
      <c r="I174" s="3">
        <f>0.5*Baupläne!Y174</f>
        <v>6150</v>
      </c>
      <c r="J174" s="3">
        <f>Baupläne!G174</f>
        <v>3</v>
      </c>
      <c r="K174" s="3">
        <f>IF(L174&gt;0,INDEX(data_item!$A$1:$A$1994,MATCH(Baupläne!L174,data_item!$B$1:$B$1994,0),1),0)</f>
        <v>28</v>
      </c>
      <c r="L174" s="3">
        <f>Baupläne!K174</f>
        <v>22</v>
      </c>
      <c r="M174" s="3">
        <f>IF(N174&gt;0,INDEX(data_item!$A$1:$A$1994,MATCH(Baupläne!N174,data_item!$B$1:$B$994,0),1),0)</f>
        <v>104</v>
      </c>
      <c r="N174" s="3">
        <f>Baupläne!M174</f>
        <v>10</v>
      </c>
      <c r="O174" s="3">
        <f>IF(P174&gt;0,INDEX(data_item!$A$1:$A$1994,MATCH(Baupläne!P174,data_item!$B$1:$B$1994,0),1),0)</f>
        <v>105</v>
      </c>
      <c r="P174" s="3">
        <f>Baupläne!O174</f>
        <v>16</v>
      </c>
      <c r="Q174" s="3">
        <f>IF(R174&gt;0,INDEX(data_item!$A$1:$A$1994,MATCH(Baupläne!R174,data_item!$B$1:$B$1994,0),1),0)</f>
        <v>0</v>
      </c>
      <c r="R174" s="3">
        <f>Baupläne!Q174</f>
        <v>0</v>
      </c>
      <c r="S174" s="3">
        <f>IF(T174&gt;0,INDEX(data_item!$A$1:$A$1994,MATCH(Baupläne!T174,data_item!$B$1:$B$1994,0),1),0)</f>
        <v>0</v>
      </c>
      <c r="T174" s="3">
        <f>Baupläne!S174</f>
        <v>0</v>
      </c>
    </row>
    <row r="175" spans="1:20" x14ac:dyDescent="0.2">
      <c r="A175" s="3">
        <f>Baupläne!A175</f>
        <v>1187</v>
      </c>
      <c r="B175" s="3" t="str">
        <f>Baupläne!C175</f>
        <v>Zedernbogen</v>
      </c>
      <c r="C175" s="3">
        <f>Baupläne!B175</f>
        <v>1187</v>
      </c>
      <c r="D175" s="3">
        <f>Baupläne!J175</f>
        <v>0</v>
      </c>
      <c r="E175" s="3">
        <f>Baupläne!H175</f>
        <v>64</v>
      </c>
      <c r="F175" s="3">
        <f>Baupläne!I175</f>
        <v>15</v>
      </c>
      <c r="G175" s="3">
        <f>Baupläne!E175</f>
        <v>32</v>
      </c>
      <c r="H175" s="3">
        <f>Baupläne!F175</f>
        <v>480</v>
      </c>
      <c r="I175" s="3">
        <f>0.5*Baupläne!Y175</f>
        <v>8150</v>
      </c>
      <c r="J175" s="3">
        <f>Baupläne!G175</f>
        <v>4</v>
      </c>
      <c r="K175" s="3">
        <f>IF(L175&gt;0,INDEX(data_item!$A$1:$A$1994,MATCH(Baupläne!L175,data_item!$B$1:$B$1994,0),1),0)</f>
        <v>29</v>
      </c>
      <c r="L175" s="3">
        <f>Baupläne!K175</f>
        <v>20</v>
      </c>
      <c r="M175" s="3">
        <f>IF(N175&gt;0,INDEX(data_item!$A$1:$A$1994,MATCH(Baupläne!N175,data_item!$B$1:$B$994,0),1),0)</f>
        <v>104</v>
      </c>
      <c r="N175" s="3">
        <f>Baupläne!M175</f>
        <v>12</v>
      </c>
      <c r="O175" s="3">
        <f>IF(P175&gt;0,INDEX(data_item!$A$1:$A$1994,MATCH(Baupläne!P175,data_item!$B$1:$B$1994,0),1),0)</f>
        <v>105</v>
      </c>
      <c r="P175" s="3">
        <f>Baupläne!O175</f>
        <v>22</v>
      </c>
      <c r="Q175" s="3">
        <f>IF(R175&gt;0,INDEX(data_item!$A$1:$A$1994,MATCH(Baupläne!R175,data_item!$B$1:$B$1994,0),1),0)</f>
        <v>0</v>
      </c>
      <c r="R175" s="3">
        <f>Baupläne!Q175</f>
        <v>0</v>
      </c>
      <c r="S175" s="3">
        <f>IF(T175&gt;0,INDEX(data_item!$A$1:$A$1994,MATCH(Baupläne!T175,data_item!$B$1:$B$1994,0),1),0)</f>
        <v>0</v>
      </c>
      <c r="T175" s="3">
        <f>Baupläne!S175</f>
        <v>0</v>
      </c>
    </row>
    <row r="176" spans="1:20" x14ac:dyDescent="0.2">
      <c r="A176" s="3">
        <f>Baupläne!A176</f>
        <v>1188</v>
      </c>
      <c r="B176" s="3" t="str">
        <f>Baupläne!C176</f>
        <v>Runenbogen</v>
      </c>
      <c r="C176" s="3">
        <f>Baupläne!B176</f>
        <v>1188</v>
      </c>
      <c r="D176" s="3">
        <f>Baupläne!J176</f>
        <v>0</v>
      </c>
      <c r="E176" s="3">
        <f>Baupläne!H176</f>
        <v>64</v>
      </c>
      <c r="F176" s="3">
        <f>Baupläne!I176</f>
        <v>18</v>
      </c>
      <c r="G176" s="3">
        <f>Baupläne!E176</f>
        <v>32</v>
      </c>
      <c r="H176" s="3">
        <f>Baupläne!F176</f>
        <v>480</v>
      </c>
      <c r="I176" s="3">
        <f>0.5*Baupläne!Y176</f>
        <v>12400</v>
      </c>
      <c r="J176" s="3">
        <f>Baupläne!G176</f>
        <v>4</v>
      </c>
      <c r="K176" s="3">
        <f>IF(L176&gt;0,INDEX(data_item!$A$1:$A$1994,MATCH(Baupläne!L176,data_item!$B$1:$B$1994,0),1),0)</f>
        <v>29</v>
      </c>
      <c r="L176" s="3">
        <f>Baupläne!K176</f>
        <v>30</v>
      </c>
      <c r="M176" s="3">
        <f>IF(N176&gt;0,INDEX(data_item!$A$1:$A$1994,MATCH(Baupläne!N176,data_item!$B$1:$B$994,0),1),0)</f>
        <v>104</v>
      </c>
      <c r="N176" s="3">
        <f>Baupläne!M176</f>
        <v>14</v>
      </c>
      <c r="O176" s="3">
        <f>IF(P176&gt;0,INDEX(data_item!$A$1:$A$1994,MATCH(Baupläne!P176,data_item!$B$1:$B$1994,0),1),0)</f>
        <v>105</v>
      </c>
      <c r="P176" s="3">
        <f>Baupläne!O176</f>
        <v>35</v>
      </c>
      <c r="Q176" s="3">
        <f>IF(R176&gt;0,INDEX(data_item!$A$1:$A$1994,MATCH(Baupläne!R176,data_item!$B$1:$B$1994,0),1),0)</f>
        <v>0</v>
      </c>
      <c r="R176" s="3">
        <f>Baupläne!Q176</f>
        <v>0</v>
      </c>
      <c r="S176" s="3">
        <f>IF(T176&gt;0,INDEX(data_item!$A$1:$A$1994,MATCH(Baupläne!T176,data_item!$B$1:$B$1994,0),1),0)</f>
        <v>0</v>
      </c>
      <c r="T176" s="3">
        <f>Baupläne!S176</f>
        <v>0</v>
      </c>
    </row>
    <row r="177" spans="1:20" x14ac:dyDescent="0.2">
      <c r="A177" s="3">
        <f>Baupläne!A177</f>
        <v>1189</v>
      </c>
      <c r="B177" s="3" t="str">
        <f>Baupläne!C177</f>
        <v>Klingenbogen</v>
      </c>
      <c r="C177" s="3">
        <f>Baupläne!B177</f>
        <v>1189</v>
      </c>
      <c r="D177" s="3">
        <f>Baupläne!J177</f>
        <v>0</v>
      </c>
      <c r="E177" s="3">
        <f>Baupläne!H177</f>
        <v>64</v>
      </c>
      <c r="F177" s="3">
        <f>Baupläne!I177</f>
        <v>21</v>
      </c>
      <c r="G177" s="3">
        <f>Baupläne!E177</f>
        <v>32</v>
      </c>
      <c r="H177" s="3">
        <f>Baupläne!F177</f>
        <v>480</v>
      </c>
      <c r="I177" s="3">
        <f>0.5*Baupläne!Y177</f>
        <v>18800</v>
      </c>
      <c r="J177" s="3">
        <f>Baupläne!G177</f>
        <v>5</v>
      </c>
      <c r="K177" s="3">
        <f>IF(L177&gt;0,INDEX(data_item!$A$1:$A$1994,MATCH(Baupläne!L177,data_item!$B$1:$B$1994,0),1),0)</f>
        <v>30</v>
      </c>
      <c r="L177" s="3">
        <f>Baupläne!K177</f>
        <v>34</v>
      </c>
      <c r="M177" s="3">
        <f>IF(N177&gt;0,INDEX(data_item!$A$1:$A$1994,MATCH(Baupläne!N177,data_item!$B$1:$B$994,0),1),0)</f>
        <v>104</v>
      </c>
      <c r="N177" s="3">
        <f>Baupläne!M177</f>
        <v>4</v>
      </c>
      <c r="O177" s="3">
        <f>IF(P177&gt;0,INDEX(data_item!$A$1:$A$1994,MATCH(Baupläne!P177,data_item!$B$1:$B$1994,0),1),0)</f>
        <v>105</v>
      </c>
      <c r="P177" s="3">
        <f>Baupläne!O177</f>
        <v>8</v>
      </c>
      <c r="Q177" s="3">
        <f>IF(R177&gt;0,INDEX(data_item!$A$1:$A$1994,MATCH(Baupläne!R177,data_item!$B$1:$B$1994,0),1),0)</f>
        <v>103</v>
      </c>
      <c r="R177" s="3">
        <f>Baupläne!Q177</f>
        <v>21</v>
      </c>
      <c r="S177" s="3">
        <f>IF(T177&gt;0,INDEX(data_item!$A$1:$A$1994,MATCH(Baupläne!T177,data_item!$B$1:$B$1994,0),1),0)</f>
        <v>0</v>
      </c>
      <c r="T177" s="3">
        <f>Baupläne!S177</f>
        <v>0</v>
      </c>
    </row>
    <row r="178" spans="1:20" x14ac:dyDescent="0.2">
      <c r="A178" s="3">
        <f>Baupläne!A178</f>
        <v>1190</v>
      </c>
      <c r="B178" s="3" t="str">
        <f>Baupläne!C178</f>
        <v>Prunkbogen</v>
      </c>
      <c r="C178" s="3">
        <f>Baupläne!B178</f>
        <v>1190</v>
      </c>
      <c r="D178" s="3">
        <f>Baupläne!J178</f>
        <v>0</v>
      </c>
      <c r="E178" s="3">
        <f>Baupläne!H178</f>
        <v>64</v>
      </c>
      <c r="F178" s="3">
        <f>Baupläne!I178</f>
        <v>24</v>
      </c>
      <c r="G178" s="3">
        <f>Baupläne!E178</f>
        <v>32</v>
      </c>
      <c r="H178" s="3">
        <f>Baupläne!F178</f>
        <v>480</v>
      </c>
      <c r="I178" s="3">
        <f>0.5*Baupläne!Y178</f>
        <v>28650</v>
      </c>
      <c r="J178" s="3">
        <f>Baupläne!G178</f>
        <v>5</v>
      </c>
      <c r="K178" s="3">
        <f>IF(L178&gt;0,INDEX(data_item!$A$1:$A$1994,MATCH(Baupläne!L178,data_item!$B$1:$B$1994,0),1),0)</f>
        <v>30</v>
      </c>
      <c r="L178" s="3">
        <f>Baupläne!K178</f>
        <v>52</v>
      </c>
      <c r="M178" s="3">
        <f>IF(N178&gt;0,INDEX(data_item!$A$1:$A$1994,MATCH(Baupläne!N178,data_item!$B$1:$B$994,0),1),0)</f>
        <v>104</v>
      </c>
      <c r="N178" s="3">
        <f>Baupläne!M178</f>
        <v>6</v>
      </c>
      <c r="O178" s="3">
        <f>IF(P178&gt;0,INDEX(data_item!$A$1:$A$1994,MATCH(Baupläne!P178,data_item!$B$1:$B$1994,0),1),0)</f>
        <v>105</v>
      </c>
      <c r="P178" s="3">
        <f>Baupläne!O178</f>
        <v>12</v>
      </c>
      <c r="Q178" s="3">
        <f>IF(R178&gt;0,INDEX(data_item!$A$1:$A$1994,MATCH(Baupläne!R178,data_item!$B$1:$B$1994,0),1),0)</f>
        <v>103</v>
      </c>
      <c r="R178" s="3">
        <f>Baupläne!Q178</f>
        <v>32</v>
      </c>
      <c r="S178" s="3">
        <f>IF(T178&gt;0,INDEX(data_item!$A$1:$A$1994,MATCH(Baupläne!T178,data_item!$B$1:$B$1994,0),1),0)</f>
        <v>0</v>
      </c>
      <c r="T178" s="3">
        <f>Baupläne!S178</f>
        <v>0</v>
      </c>
    </row>
    <row r="179" spans="1:20" x14ac:dyDescent="0.2">
      <c r="A179" s="3">
        <f>Baupläne!A179</f>
        <v>0</v>
      </c>
      <c r="B179" s="3">
        <f>Baupläne!C179</f>
        <v>0</v>
      </c>
      <c r="C179" s="3">
        <f>Baupläne!B179</f>
        <v>0</v>
      </c>
      <c r="D179" s="3">
        <f>Baupläne!J179</f>
        <v>0</v>
      </c>
      <c r="E179" s="3">
        <f>Baupläne!H179</f>
        <v>0</v>
      </c>
      <c r="F179" s="3">
        <f>Baupläne!I179</f>
        <v>0</v>
      </c>
      <c r="G179" s="3">
        <f>Baupläne!E179</f>
        <v>0</v>
      </c>
      <c r="H179" s="3">
        <f>Baupläne!F179</f>
        <v>0</v>
      </c>
      <c r="I179" s="3">
        <f>0.5*Baupläne!Y179</f>
        <v>0</v>
      </c>
      <c r="J179" s="3">
        <f>Baupläne!G179</f>
        <v>0</v>
      </c>
      <c r="K179" s="3">
        <f>IF(L179&gt;0,INDEX(data_item!$A$1:$A$1994,MATCH(Baupläne!L179,data_item!$B$1:$B$1994,0),1),0)</f>
        <v>0</v>
      </c>
      <c r="L179" s="3">
        <f>Baupläne!K179</f>
        <v>0</v>
      </c>
      <c r="M179" s="3">
        <f>IF(N179&gt;0,INDEX(data_item!$A$1:$A$1994,MATCH(Baupläne!N179,data_item!$B$1:$B$994,0),1),0)</f>
        <v>0</v>
      </c>
      <c r="N179" s="3">
        <f>Baupläne!M179</f>
        <v>0</v>
      </c>
      <c r="O179" s="3">
        <f>IF(P179&gt;0,INDEX(data_item!$A$1:$A$1994,MATCH(Baupläne!P179,data_item!$B$1:$B$1994,0),1),0)</f>
        <v>0</v>
      </c>
      <c r="P179" s="3">
        <f>Baupläne!O179</f>
        <v>0</v>
      </c>
      <c r="Q179" s="3">
        <f>IF(R179&gt;0,INDEX(data_item!$A$1:$A$1994,MATCH(Baupläne!R179,data_item!$B$1:$B$1994,0),1),0)</f>
        <v>0</v>
      </c>
      <c r="R179" s="3">
        <f>Baupläne!Q179</f>
        <v>0</v>
      </c>
      <c r="S179" s="3">
        <f>IF(T179&gt;0,INDEX(data_item!$A$1:$A$1994,MATCH(Baupläne!T179,data_item!$B$1:$B$1994,0),1),0)</f>
        <v>0</v>
      </c>
      <c r="T179" s="3">
        <f>Baupläne!S179</f>
        <v>0</v>
      </c>
    </row>
    <row r="180" spans="1:20" x14ac:dyDescent="0.2">
      <c r="A180" s="3">
        <f>Baupläne!A180</f>
        <v>1191</v>
      </c>
      <c r="B180" s="3" t="str">
        <f>Baupläne!C180</f>
        <v>Handarmbrust</v>
      </c>
      <c r="C180" s="3">
        <f>Baupläne!B180</f>
        <v>1191</v>
      </c>
      <c r="D180" s="3">
        <f>Baupläne!J180</f>
        <v>0</v>
      </c>
      <c r="E180" s="3">
        <f>Baupläne!H180</f>
        <v>65</v>
      </c>
      <c r="F180" s="3">
        <f>Baupläne!I180</f>
        <v>0</v>
      </c>
      <c r="G180" s="3">
        <f>Baupläne!E180</f>
        <v>32</v>
      </c>
      <c r="H180" s="3">
        <f>Baupläne!F180</f>
        <v>480</v>
      </c>
      <c r="I180" s="3">
        <f>0.5*Baupläne!Y180</f>
        <v>1000</v>
      </c>
      <c r="J180" s="3">
        <f>Baupläne!G180</f>
        <v>1</v>
      </c>
      <c r="K180" s="3">
        <f>IF(L180&gt;0,INDEX(data_item!$A$1:$A$1994,MATCH(Baupläne!L180,data_item!$B$1:$B$1994,0),1),0)</f>
        <v>26</v>
      </c>
      <c r="L180" s="3">
        <f>Baupläne!K180</f>
        <v>11</v>
      </c>
      <c r="M180" s="3">
        <f>IF(N180&gt;0,INDEX(data_item!$A$1:$A$1994,MATCH(Baupläne!N180,data_item!$B$1:$B$994,0),1),0)</f>
        <v>104</v>
      </c>
      <c r="N180" s="3">
        <f>Baupläne!M180</f>
        <v>8</v>
      </c>
      <c r="O180" s="3">
        <f>IF(P180&gt;0,INDEX(data_item!$A$1:$A$1994,MATCH(Baupläne!P180,data_item!$B$1:$B$1994,0),1),0)</f>
        <v>0</v>
      </c>
      <c r="P180" s="3">
        <f>Baupläne!O180</f>
        <v>0</v>
      </c>
      <c r="Q180" s="3">
        <f>IF(R180&gt;0,INDEX(data_item!$A$1:$A$1994,MATCH(Baupläne!R180,data_item!$B$1:$B$1994,0),1),0)</f>
        <v>0</v>
      </c>
      <c r="R180" s="3">
        <f>Baupläne!Q180</f>
        <v>0</v>
      </c>
      <c r="S180" s="3">
        <f>IF(T180&gt;0,INDEX(data_item!$A$1:$A$1994,MATCH(Baupläne!T180,data_item!$B$1:$B$1994,0),1),0)</f>
        <v>0</v>
      </c>
      <c r="T180" s="3">
        <f>Baupläne!S180</f>
        <v>0</v>
      </c>
    </row>
    <row r="181" spans="1:20" x14ac:dyDescent="0.2">
      <c r="A181" s="3">
        <f>Baupläne!A181</f>
        <v>1192</v>
      </c>
      <c r="B181" s="3" t="str">
        <f>Baupläne!C181</f>
        <v>Armbrust</v>
      </c>
      <c r="C181" s="3">
        <f>Baupläne!B181</f>
        <v>1192</v>
      </c>
      <c r="D181" s="3">
        <f>Baupläne!J181</f>
        <v>0</v>
      </c>
      <c r="E181" s="3">
        <f>Baupläne!H181</f>
        <v>65</v>
      </c>
      <c r="F181" s="3">
        <f>Baupläne!I181</f>
        <v>3</v>
      </c>
      <c r="G181" s="3">
        <f>Baupläne!E181</f>
        <v>32</v>
      </c>
      <c r="H181" s="3">
        <f>Baupläne!F181</f>
        <v>480</v>
      </c>
      <c r="I181" s="3">
        <f>0.5*Baupläne!Y181</f>
        <v>1500</v>
      </c>
      <c r="J181" s="3">
        <f>Baupläne!G181</f>
        <v>1</v>
      </c>
      <c r="K181" s="3">
        <f>IF(L181&gt;0,INDEX(data_item!$A$1:$A$1994,MATCH(Baupläne!L181,data_item!$B$1:$B$1994,0),1),0)</f>
        <v>26</v>
      </c>
      <c r="L181" s="3">
        <f>Baupläne!K181</f>
        <v>16</v>
      </c>
      <c r="M181" s="3">
        <f>IF(N181&gt;0,INDEX(data_item!$A$1:$A$1994,MATCH(Baupläne!N181,data_item!$B$1:$B$994,0),1),0)</f>
        <v>104</v>
      </c>
      <c r="N181" s="3">
        <f>Baupläne!M181</f>
        <v>12</v>
      </c>
      <c r="O181" s="3">
        <f>IF(P181&gt;0,INDEX(data_item!$A$1:$A$1994,MATCH(Baupläne!P181,data_item!$B$1:$B$1994,0),1),0)</f>
        <v>0</v>
      </c>
      <c r="P181" s="3">
        <f>Baupläne!O181</f>
        <v>0</v>
      </c>
      <c r="Q181" s="3">
        <f>IF(R181&gt;0,INDEX(data_item!$A$1:$A$1994,MATCH(Baupläne!R181,data_item!$B$1:$B$1994,0),1),0)</f>
        <v>0</v>
      </c>
      <c r="R181" s="3">
        <f>Baupläne!Q181</f>
        <v>0</v>
      </c>
      <c r="S181" s="3">
        <f>IF(T181&gt;0,INDEX(data_item!$A$1:$A$1994,MATCH(Baupläne!T181,data_item!$B$1:$B$1994,0),1),0)</f>
        <v>0</v>
      </c>
      <c r="T181" s="3">
        <f>Baupläne!S181</f>
        <v>0</v>
      </c>
    </row>
    <row r="182" spans="1:20" x14ac:dyDescent="0.2">
      <c r="A182" s="3">
        <f>Baupläne!A182</f>
        <v>1193</v>
      </c>
      <c r="B182" s="3" t="str">
        <f>Baupläne!C182</f>
        <v>Arbaleste</v>
      </c>
      <c r="C182" s="3">
        <f>Baupläne!B182</f>
        <v>1193</v>
      </c>
      <c r="D182" s="3">
        <f>Baupläne!J182</f>
        <v>0</v>
      </c>
      <c r="E182" s="3">
        <f>Baupläne!H182</f>
        <v>65</v>
      </c>
      <c r="F182" s="3">
        <f>Baupläne!I182</f>
        <v>5</v>
      </c>
      <c r="G182" s="3">
        <f>Baupläne!E182</f>
        <v>32</v>
      </c>
      <c r="H182" s="3">
        <f>Baupläne!F182</f>
        <v>480</v>
      </c>
      <c r="I182" s="3">
        <f>0.5*Baupläne!Y182</f>
        <v>2000</v>
      </c>
      <c r="J182" s="3">
        <f>Baupläne!G182</f>
        <v>2</v>
      </c>
      <c r="K182" s="3">
        <f>IF(L182&gt;0,INDEX(data_item!$A$1:$A$1994,MATCH(Baupläne!L182,data_item!$B$1:$B$1994,0),1),0)</f>
        <v>27</v>
      </c>
      <c r="L182" s="3">
        <f>Baupläne!K182</f>
        <v>11</v>
      </c>
      <c r="M182" s="3">
        <f>IF(N182&gt;0,INDEX(data_item!$A$1:$A$1994,MATCH(Baupläne!N182,data_item!$B$1:$B$994,0),1),0)</f>
        <v>104</v>
      </c>
      <c r="N182" s="3">
        <f>Baupläne!M182</f>
        <v>16</v>
      </c>
      <c r="O182" s="3">
        <f>IF(P182&gt;0,INDEX(data_item!$A$1:$A$1994,MATCH(Baupläne!P182,data_item!$B$1:$B$1994,0),1),0)</f>
        <v>0</v>
      </c>
      <c r="P182" s="3">
        <f>Baupläne!O182</f>
        <v>0</v>
      </c>
      <c r="Q182" s="3">
        <f>IF(R182&gt;0,INDEX(data_item!$A$1:$A$1994,MATCH(Baupläne!R182,data_item!$B$1:$B$1994,0),1),0)</f>
        <v>0</v>
      </c>
      <c r="R182" s="3">
        <f>Baupläne!Q182</f>
        <v>0</v>
      </c>
      <c r="S182" s="3">
        <f>IF(T182&gt;0,INDEX(data_item!$A$1:$A$1994,MATCH(Baupläne!T182,data_item!$B$1:$B$1994,0),1),0)</f>
        <v>0</v>
      </c>
      <c r="T182" s="3">
        <f>Baupläne!S182</f>
        <v>0</v>
      </c>
    </row>
    <row r="183" spans="1:20" x14ac:dyDescent="0.2">
      <c r="A183" s="3">
        <f>Baupläne!A183</f>
        <v>1194</v>
      </c>
      <c r="B183" s="3" t="str">
        <f>Baupläne!C183</f>
        <v>Ballista</v>
      </c>
      <c r="C183" s="3">
        <f>Baupläne!B183</f>
        <v>1194</v>
      </c>
      <c r="D183" s="3">
        <f>Baupläne!J183</f>
        <v>0</v>
      </c>
      <c r="E183" s="3">
        <f>Baupläne!H183</f>
        <v>65</v>
      </c>
      <c r="F183" s="3">
        <f>Baupläne!I183</f>
        <v>8</v>
      </c>
      <c r="G183" s="3">
        <f>Baupläne!E183</f>
        <v>32</v>
      </c>
      <c r="H183" s="3">
        <f>Baupläne!F183</f>
        <v>480</v>
      </c>
      <c r="I183" s="3">
        <f>0.5*Baupläne!Y183</f>
        <v>3050</v>
      </c>
      <c r="J183" s="3">
        <f>Baupläne!G183</f>
        <v>2</v>
      </c>
      <c r="K183" s="3">
        <f>IF(L183&gt;0,INDEX(data_item!$A$1:$A$1994,MATCH(Baupläne!L183,data_item!$B$1:$B$1994,0),1),0)</f>
        <v>27</v>
      </c>
      <c r="L183" s="3">
        <f>Baupläne!K183</f>
        <v>16</v>
      </c>
      <c r="M183" s="3">
        <f>IF(N183&gt;0,INDEX(data_item!$A$1:$A$1994,MATCH(Baupläne!N183,data_item!$B$1:$B$994,0),1),0)</f>
        <v>104</v>
      </c>
      <c r="N183" s="3">
        <f>Baupläne!M183</f>
        <v>25</v>
      </c>
      <c r="O183" s="3">
        <f>IF(P183&gt;0,INDEX(data_item!$A$1:$A$1994,MATCH(Baupläne!P183,data_item!$B$1:$B$1994,0),1),0)</f>
        <v>0</v>
      </c>
      <c r="P183" s="3">
        <f>Baupläne!O183</f>
        <v>0</v>
      </c>
      <c r="Q183" s="3">
        <f>IF(R183&gt;0,INDEX(data_item!$A$1:$A$1994,MATCH(Baupläne!R183,data_item!$B$1:$B$1994,0),1),0)</f>
        <v>0</v>
      </c>
      <c r="R183" s="3">
        <f>Baupläne!Q183</f>
        <v>0</v>
      </c>
      <c r="S183" s="3">
        <f>IF(T183&gt;0,INDEX(data_item!$A$1:$A$1994,MATCH(Baupläne!T183,data_item!$B$1:$B$1994,0),1),0)</f>
        <v>0</v>
      </c>
      <c r="T183" s="3">
        <f>Baupläne!S183</f>
        <v>0</v>
      </c>
    </row>
    <row r="184" spans="1:20" x14ac:dyDescent="0.2">
      <c r="A184" s="3">
        <f>Baupläne!A184</f>
        <v>1195</v>
      </c>
      <c r="B184" s="3" t="str">
        <f>Baupläne!C184</f>
        <v>Repetierarmbrust</v>
      </c>
      <c r="C184" s="3">
        <f>Baupläne!B184</f>
        <v>1195</v>
      </c>
      <c r="D184" s="3">
        <f>Baupläne!J184</f>
        <v>0</v>
      </c>
      <c r="E184" s="3">
        <f>Baupläne!H184</f>
        <v>65</v>
      </c>
      <c r="F184" s="3">
        <f>Baupläne!I184</f>
        <v>10</v>
      </c>
      <c r="G184" s="3">
        <f>Baupläne!E184</f>
        <v>32</v>
      </c>
      <c r="H184" s="3">
        <f>Baupläne!F184</f>
        <v>480</v>
      </c>
      <c r="I184" s="3">
        <f>0.5*Baupläne!Y184</f>
        <v>4050</v>
      </c>
      <c r="J184" s="3">
        <f>Baupläne!G184</f>
        <v>3</v>
      </c>
      <c r="K184" s="3">
        <f>IF(L184&gt;0,INDEX(data_item!$A$1:$A$1994,MATCH(Baupläne!L184,data_item!$B$1:$B$1994,0),1),0)</f>
        <v>28</v>
      </c>
      <c r="L184" s="3">
        <f>Baupläne!K184</f>
        <v>15</v>
      </c>
      <c r="M184" s="3">
        <f>IF(N184&gt;0,INDEX(data_item!$A$1:$A$1994,MATCH(Baupläne!N184,data_item!$B$1:$B$994,0),1),0)</f>
        <v>104</v>
      </c>
      <c r="N184" s="3">
        <f>Baupläne!M184</f>
        <v>8</v>
      </c>
      <c r="O184" s="3">
        <f>IF(P184&gt;0,INDEX(data_item!$A$1:$A$1994,MATCH(Baupläne!P184,data_item!$B$1:$B$1994,0),1),0)</f>
        <v>105</v>
      </c>
      <c r="P184" s="3">
        <f>Baupläne!O184</f>
        <v>10</v>
      </c>
      <c r="Q184" s="3">
        <f>IF(R184&gt;0,INDEX(data_item!$A$1:$A$1994,MATCH(Baupläne!R184,data_item!$B$1:$B$1994,0),1),0)</f>
        <v>0</v>
      </c>
      <c r="R184" s="3">
        <f>Baupläne!Q184</f>
        <v>0</v>
      </c>
      <c r="S184" s="3">
        <f>IF(T184&gt;0,INDEX(data_item!$A$1:$A$1994,MATCH(Baupläne!T184,data_item!$B$1:$B$1994,0),1),0)</f>
        <v>0</v>
      </c>
      <c r="T184" s="3">
        <f>Baupläne!S184</f>
        <v>0</v>
      </c>
    </row>
    <row r="185" spans="1:20" x14ac:dyDescent="0.2">
      <c r="A185" s="3">
        <f>Baupläne!A185</f>
        <v>1196</v>
      </c>
      <c r="B185" s="3" t="str">
        <f>Baupläne!C185</f>
        <v>Hornarmbrust</v>
      </c>
      <c r="C185" s="3">
        <f>Baupläne!B185</f>
        <v>1196</v>
      </c>
      <c r="D185" s="3">
        <f>Baupläne!J185</f>
        <v>0</v>
      </c>
      <c r="E185" s="3">
        <f>Baupläne!H185</f>
        <v>65</v>
      </c>
      <c r="F185" s="3">
        <f>Baupläne!I185</f>
        <v>13</v>
      </c>
      <c r="G185" s="3">
        <f>Baupläne!E185</f>
        <v>32</v>
      </c>
      <c r="H185" s="3">
        <f>Baupläne!F185</f>
        <v>480</v>
      </c>
      <c r="I185" s="3">
        <f>0.5*Baupläne!Y185</f>
        <v>6150</v>
      </c>
      <c r="J185" s="3">
        <f>Baupläne!G185</f>
        <v>3</v>
      </c>
      <c r="K185" s="3">
        <f>IF(L185&gt;0,INDEX(data_item!$A$1:$A$1994,MATCH(Baupläne!L185,data_item!$B$1:$B$1994,0),1),0)</f>
        <v>28</v>
      </c>
      <c r="L185" s="3">
        <f>Baupläne!K185</f>
        <v>22</v>
      </c>
      <c r="M185" s="3">
        <f>IF(N185&gt;0,INDEX(data_item!$A$1:$A$1994,MATCH(Baupläne!N185,data_item!$B$1:$B$994,0),1),0)</f>
        <v>104</v>
      </c>
      <c r="N185" s="3">
        <f>Baupläne!M185</f>
        <v>10</v>
      </c>
      <c r="O185" s="3">
        <f>IF(P185&gt;0,INDEX(data_item!$A$1:$A$1994,MATCH(Baupläne!P185,data_item!$B$1:$B$1994,0),1),0)</f>
        <v>105</v>
      </c>
      <c r="P185" s="3">
        <f>Baupläne!O185</f>
        <v>16</v>
      </c>
      <c r="Q185" s="3">
        <f>IF(R185&gt;0,INDEX(data_item!$A$1:$A$1994,MATCH(Baupläne!R185,data_item!$B$1:$B$1994,0),1),0)</f>
        <v>0</v>
      </c>
      <c r="R185" s="3">
        <f>Baupläne!Q185</f>
        <v>0</v>
      </c>
      <c r="S185" s="3">
        <f>IF(T185&gt;0,INDEX(data_item!$A$1:$A$1994,MATCH(Baupläne!T185,data_item!$B$1:$B$1994,0),1),0)</f>
        <v>0</v>
      </c>
      <c r="T185" s="3">
        <f>Baupläne!S185</f>
        <v>0</v>
      </c>
    </row>
    <row r="186" spans="1:20" x14ac:dyDescent="0.2">
      <c r="A186" s="3">
        <f>Baupläne!A186</f>
        <v>1197</v>
      </c>
      <c r="B186" s="3" t="str">
        <f>Baupläne!C186</f>
        <v>Belagerungsarmbrust</v>
      </c>
      <c r="C186" s="3">
        <f>Baupläne!B186</f>
        <v>1197</v>
      </c>
      <c r="D186" s="3">
        <f>Baupläne!J186</f>
        <v>0</v>
      </c>
      <c r="E186" s="3">
        <f>Baupläne!H186</f>
        <v>65</v>
      </c>
      <c r="F186" s="3">
        <f>Baupläne!I186</f>
        <v>15</v>
      </c>
      <c r="G186" s="3">
        <f>Baupläne!E186</f>
        <v>32</v>
      </c>
      <c r="H186" s="3">
        <f>Baupläne!F186</f>
        <v>480</v>
      </c>
      <c r="I186" s="3">
        <f>0.5*Baupläne!Y186</f>
        <v>8150</v>
      </c>
      <c r="J186" s="3">
        <f>Baupläne!G186</f>
        <v>4</v>
      </c>
      <c r="K186" s="3">
        <f>IF(L186&gt;0,INDEX(data_item!$A$1:$A$1994,MATCH(Baupläne!L186,data_item!$B$1:$B$1994,0),1),0)</f>
        <v>29</v>
      </c>
      <c r="L186" s="3">
        <f>Baupläne!K186</f>
        <v>20</v>
      </c>
      <c r="M186" s="3">
        <f>IF(N186&gt;0,INDEX(data_item!$A$1:$A$1994,MATCH(Baupläne!N186,data_item!$B$1:$B$994,0),1),0)</f>
        <v>104</v>
      </c>
      <c r="N186" s="3">
        <f>Baupläne!M186</f>
        <v>12</v>
      </c>
      <c r="O186" s="3">
        <f>IF(P186&gt;0,INDEX(data_item!$A$1:$A$1994,MATCH(Baupläne!P186,data_item!$B$1:$B$1994,0),1),0)</f>
        <v>105</v>
      </c>
      <c r="P186" s="3">
        <f>Baupläne!O186</f>
        <v>22</v>
      </c>
      <c r="Q186" s="3">
        <f>IF(R186&gt;0,INDEX(data_item!$A$1:$A$1994,MATCH(Baupläne!R186,data_item!$B$1:$B$1994,0),1),0)</f>
        <v>0</v>
      </c>
      <c r="R186" s="3">
        <f>Baupläne!Q186</f>
        <v>0</v>
      </c>
      <c r="S186" s="3">
        <f>IF(T186&gt;0,INDEX(data_item!$A$1:$A$1994,MATCH(Baupläne!T186,data_item!$B$1:$B$1994,0),1),0)</f>
        <v>0</v>
      </c>
      <c r="T186" s="3">
        <f>Baupläne!S186</f>
        <v>0</v>
      </c>
    </row>
    <row r="187" spans="1:20" x14ac:dyDescent="0.2">
      <c r="A187" s="3">
        <f>Baupläne!A187</f>
        <v>1198</v>
      </c>
      <c r="B187" s="3" t="str">
        <f>Baupläne!C187</f>
        <v>Kolossusarmbrust</v>
      </c>
      <c r="C187" s="3">
        <f>Baupläne!B187</f>
        <v>1198</v>
      </c>
      <c r="D187" s="3">
        <f>Baupläne!J187</f>
        <v>0</v>
      </c>
      <c r="E187" s="3">
        <f>Baupläne!H187</f>
        <v>65</v>
      </c>
      <c r="F187" s="3">
        <f>Baupläne!I187</f>
        <v>18</v>
      </c>
      <c r="G187" s="3">
        <f>Baupläne!E187</f>
        <v>32</v>
      </c>
      <c r="H187" s="3">
        <f>Baupläne!F187</f>
        <v>480</v>
      </c>
      <c r="I187" s="3">
        <f>0.5*Baupläne!Y187</f>
        <v>12400</v>
      </c>
      <c r="J187" s="3">
        <f>Baupläne!G187</f>
        <v>4</v>
      </c>
      <c r="K187" s="3">
        <f>IF(L187&gt;0,INDEX(data_item!$A$1:$A$1994,MATCH(Baupläne!L187,data_item!$B$1:$B$1994,0),1),0)</f>
        <v>29</v>
      </c>
      <c r="L187" s="3">
        <f>Baupläne!K187</f>
        <v>30</v>
      </c>
      <c r="M187" s="3">
        <f>IF(N187&gt;0,INDEX(data_item!$A$1:$A$1994,MATCH(Baupläne!N187,data_item!$B$1:$B$994,0),1),0)</f>
        <v>104</v>
      </c>
      <c r="N187" s="3">
        <f>Baupläne!M187</f>
        <v>14</v>
      </c>
      <c r="O187" s="3">
        <f>IF(P187&gt;0,INDEX(data_item!$A$1:$A$1994,MATCH(Baupläne!P187,data_item!$B$1:$B$1994,0),1),0)</f>
        <v>105</v>
      </c>
      <c r="P187" s="3">
        <f>Baupläne!O187</f>
        <v>35</v>
      </c>
      <c r="Q187" s="3">
        <f>IF(R187&gt;0,INDEX(data_item!$A$1:$A$1994,MATCH(Baupläne!R187,data_item!$B$1:$B$1994,0),1),0)</f>
        <v>0</v>
      </c>
      <c r="R187" s="3">
        <f>Baupläne!Q187</f>
        <v>0</v>
      </c>
      <c r="S187" s="3">
        <f>IF(T187&gt;0,INDEX(data_item!$A$1:$A$1994,MATCH(Baupläne!T187,data_item!$B$1:$B$1994,0),1),0)</f>
        <v>0</v>
      </c>
      <c r="T187" s="3">
        <f>Baupläne!S187</f>
        <v>0</v>
      </c>
    </row>
    <row r="188" spans="1:20" x14ac:dyDescent="0.2">
      <c r="A188" s="3">
        <f>Baupläne!A188</f>
        <v>1199</v>
      </c>
      <c r="B188" s="3" t="str">
        <f>Baupläne!C188</f>
        <v>Kriegsarmbrust</v>
      </c>
      <c r="C188" s="3">
        <f>Baupläne!B188</f>
        <v>1199</v>
      </c>
      <c r="D188" s="3">
        <f>Baupläne!J188</f>
        <v>0</v>
      </c>
      <c r="E188" s="3">
        <f>Baupläne!H188</f>
        <v>65</v>
      </c>
      <c r="F188" s="3">
        <f>Baupläne!I188</f>
        <v>21</v>
      </c>
      <c r="G188" s="3">
        <f>Baupläne!E188</f>
        <v>32</v>
      </c>
      <c r="H188" s="3">
        <f>Baupläne!F188</f>
        <v>480</v>
      </c>
      <c r="I188" s="3">
        <f>0.5*Baupläne!Y188</f>
        <v>18800</v>
      </c>
      <c r="J188" s="3">
        <f>Baupläne!G188</f>
        <v>5</v>
      </c>
      <c r="K188" s="3">
        <f>IF(L188&gt;0,INDEX(data_item!$A$1:$A$1994,MATCH(Baupläne!L188,data_item!$B$1:$B$1994,0),1),0)</f>
        <v>30</v>
      </c>
      <c r="L188" s="3">
        <f>Baupläne!K188</f>
        <v>34</v>
      </c>
      <c r="M188" s="3">
        <f>IF(N188&gt;0,INDEX(data_item!$A$1:$A$1994,MATCH(Baupläne!N188,data_item!$B$1:$B$994,0),1),0)</f>
        <v>104</v>
      </c>
      <c r="N188" s="3">
        <f>Baupläne!M188</f>
        <v>4</v>
      </c>
      <c r="O188" s="3">
        <f>IF(P188&gt;0,INDEX(data_item!$A$1:$A$1994,MATCH(Baupläne!P188,data_item!$B$1:$B$1994,0),1),0)</f>
        <v>105</v>
      </c>
      <c r="P188" s="3">
        <f>Baupläne!O188</f>
        <v>8</v>
      </c>
      <c r="Q188" s="3">
        <f>IF(R188&gt;0,INDEX(data_item!$A$1:$A$1994,MATCH(Baupläne!R188,data_item!$B$1:$B$1994,0),1),0)</f>
        <v>103</v>
      </c>
      <c r="R188" s="3">
        <f>Baupläne!Q188</f>
        <v>21</v>
      </c>
      <c r="S188" s="3">
        <f>IF(T188&gt;0,INDEX(data_item!$A$1:$A$1994,MATCH(Baupläne!T188,data_item!$B$1:$B$1994,0),1),0)</f>
        <v>0</v>
      </c>
      <c r="T188" s="3">
        <f>Baupläne!S188</f>
        <v>0</v>
      </c>
    </row>
    <row r="189" spans="1:20" x14ac:dyDescent="0.2">
      <c r="A189" s="3">
        <f>Baupläne!A189</f>
        <v>1200</v>
      </c>
      <c r="B189" s="3" t="str">
        <f>Baupläne!C189</f>
        <v>Dämonenarmbrust</v>
      </c>
      <c r="C189" s="3">
        <f>Baupläne!B189</f>
        <v>1200</v>
      </c>
      <c r="D189" s="3">
        <f>Baupläne!J189</f>
        <v>0</v>
      </c>
      <c r="E189" s="3">
        <f>Baupläne!H189</f>
        <v>65</v>
      </c>
      <c r="F189" s="3">
        <f>Baupläne!I189</f>
        <v>24</v>
      </c>
      <c r="G189" s="3">
        <f>Baupläne!E189</f>
        <v>32</v>
      </c>
      <c r="H189" s="3">
        <f>Baupläne!F189</f>
        <v>480</v>
      </c>
      <c r="I189" s="3">
        <f>0.5*Baupläne!Y189</f>
        <v>28650</v>
      </c>
      <c r="J189" s="3">
        <f>Baupläne!G189</f>
        <v>5</v>
      </c>
      <c r="K189" s="3">
        <f>IF(L189&gt;0,INDEX(data_item!$A$1:$A$1994,MATCH(Baupläne!L189,data_item!$B$1:$B$1994,0),1),0)</f>
        <v>30</v>
      </c>
      <c r="L189" s="3">
        <f>Baupläne!K189</f>
        <v>52</v>
      </c>
      <c r="M189" s="3">
        <f>IF(N189&gt;0,INDEX(data_item!$A$1:$A$1994,MATCH(Baupläne!N189,data_item!$B$1:$B$994,0),1),0)</f>
        <v>104</v>
      </c>
      <c r="N189" s="3">
        <f>Baupläne!M189</f>
        <v>6</v>
      </c>
      <c r="O189" s="3">
        <f>IF(P189&gt;0,INDEX(data_item!$A$1:$A$1994,MATCH(Baupläne!P189,data_item!$B$1:$B$1994,0),1),0)</f>
        <v>105</v>
      </c>
      <c r="P189" s="3">
        <f>Baupläne!O189</f>
        <v>12</v>
      </c>
      <c r="Q189" s="3">
        <f>IF(R189&gt;0,INDEX(data_item!$A$1:$A$1994,MATCH(Baupläne!R189,data_item!$B$1:$B$1994,0),1),0)</f>
        <v>103</v>
      </c>
      <c r="R189" s="3">
        <f>Baupläne!Q189</f>
        <v>32</v>
      </c>
      <c r="S189" s="3">
        <f>IF(T189&gt;0,INDEX(data_item!$A$1:$A$1994,MATCH(Baupläne!T189,data_item!$B$1:$B$1994,0),1),0)</f>
        <v>0</v>
      </c>
      <c r="T189" s="3">
        <f>Baupläne!S189</f>
        <v>0</v>
      </c>
    </row>
    <row r="190" spans="1:20" x14ac:dyDescent="0.2">
      <c r="A190" s="3">
        <f>Baupläne!A190</f>
        <v>0</v>
      </c>
      <c r="B190" s="3">
        <f>Baupläne!C190</f>
        <v>0</v>
      </c>
      <c r="C190" s="3">
        <f>Baupläne!B190</f>
        <v>0</v>
      </c>
      <c r="D190" s="3">
        <f>Baupläne!J190</f>
        <v>0</v>
      </c>
      <c r="E190" s="3">
        <f>Baupläne!H190</f>
        <v>0</v>
      </c>
      <c r="F190" s="3">
        <f>Baupläne!I190</f>
        <v>0</v>
      </c>
      <c r="G190" s="3">
        <f>Baupläne!E190</f>
        <v>0</v>
      </c>
      <c r="H190" s="3">
        <f>Baupläne!F190</f>
        <v>0</v>
      </c>
      <c r="I190" s="3">
        <f>0.5*Baupläne!Y190</f>
        <v>0</v>
      </c>
      <c r="J190" s="3">
        <f>Baupläne!G190</f>
        <v>0</v>
      </c>
      <c r="K190" s="3">
        <f>IF(L190&gt;0,INDEX(data_item!$A$1:$A$1994,MATCH(Baupläne!L190,data_item!$B$1:$B$1994,0),1),0)</f>
        <v>0</v>
      </c>
      <c r="L190" s="3">
        <f>Baupläne!K190</f>
        <v>0</v>
      </c>
      <c r="M190" s="3">
        <f>IF(N190&gt;0,INDEX(data_item!$A$1:$A$1994,MATCH(Baupläne!N190,data_item!$B$1:$B$994,0),1),0)</f>
        <v>0</v>
      </c>
      <c r="N190" s="3">
        <f>Baupläne!M190</f>
        <v>0</v>
      </c>
      <c r="O190" s="3">
        <f>IF(P190&gt;0,INDEX(data_item!$A$1:$A$1994,MATCH(Baupläne!P190,data_item!$B$1:$B$1994,0),1),0)</f>
        <v>0</v>
      </c>
      <c r="P190" s="3">
        <f>Baupläne!O190</f>
        <v>0</v>
      </c>
      <c r="Q190" s="3">
        <f>IF(R190&gt;0,INDEX(data_item!$A$1:$A$1994,MATCH(Baupläne!R190,data_item!$B$1:$B$1994,0),1),0)</f>
        <v>0</v>
      </c>
      <c r="R190" s="3">
        <f>Baupläne!Q190</f>
        <v>0</v>
      </c>
      <c r="S190" s="3">
        <f>IF(T190&gt;0,INDEX(data_item!$A$1:$A$1994,MATCH(Baupläne!T190,data_item!$B$1:$B$1994,0),1),0)</f>
        <v>0</v>
      </c>
      <c r="T190" s="3">
        <f>Baupläne!S190</f>
        <v>0</v>
      </c>
    </row>
    <row r="191" spans="1:20" x14ac:dyDescent="0.2">
      <c r="A191" s="3">
        <f>Baupläne!A191</f>
        <v>1201</v>
      </c>
      <c r="B191" s="3" t="str">
        <f>Baupläne!C191</f>
        <v>Leinen-Haube</v>
      </c>
      <c r="C191" s="3">
        <f>Baupläne!B191</f>
        <v>1201</v>
      </c>
      <c r="D191" s="3">
        <f>Baupläne!J191</f>
        <v>0</v>
      </c>
      <c r="E191" s="3">
        <f>Baupläne!H191</f>
        <v>66</v>
      </c>
      <c r="F191" s="3">
        <f>Baupläne!I191</f>
        <v>0</v>
      </c>
      <c r="G191" s="3">
        <f>Baupläne!E191</f>
        <v>33</v>
      </c>
      <c r="H191" s="3">
        <f>Baupläne!F191</f>
        <v>240</v>
      </c>
      <c r="I191" s="3">
        <f>0.5*Baupläne!Y191</f>
        <v>500</v>
      </c>
      <c r="J191" s="3">
        <f>Baupläne!G191</f>
        <v>1</v>
      </c>
      <c r="K191" s="3">
        <f>IF(L191&gt;0,INDEX(data_item!$A$1:$A$1994,MATCH(Baupläne!L191,data_item!$B$1:$B$1994,0),1),0)</f>
        <v>36</v>
      </c>
      <c r="L191" s="3">
        <f>Baupläne!K191</f>
        <v>6</v>
      </c>
      <c r="M191" s="3">
        <f>IF(N191&gt;0,INDEX(data_item!$A$1:$A$1994,MATCH(Baupläne!N191,data_item!$B$1:$B$994,0),1),0)</f>
        <v>114</v>
      </c>
      <c r="N191" s="3">
        <f>Baupläne!M191</f>
        <v>4</v>
      </c>
      <c r="O191" s="3">
        <f>IF(P191&gt;0,INDEX(data_item!$A$1:$A$1994,MATCH(Baupläne!P191,data_item!$B$1:$B$1994,0),1),0)</f>
        <v>0</v>
      </c>
      <c r="P191" s="3">
        <f>Baupläne!O191</f>
        <v>0</v>
      </c>
      <c r="Q191" s="3">
        <f>IF(R191&gt;0,INDEX(data_item!$A$1:$A$1994,MATCH(Baupläne!R191,data_item!$B$1:$B$1994,0),1),0)</f>
        <v>0</v>
      </c>
      <c r="R191" s="3">
        <f>Baupläne!Q191</f>
        <v>0</v>
      </c>
      <c r="S191" s="3">
        <f>IF(T191&gt;0,INDEX(data_item!$A$1:$A$1994,MATCH(Baupläne!T191,data_item!$B$1:$B$1994,0),1),0)</f>
        <v>0</v>
      </c>
      <c r="T191" s="3">
        <f>Baupläne!S191</f>
        <v>0</v>
      </c>
    </row>
    <row r="192" spans="1:20" x14ac:dyDescent="0.2">
      <c r="A192" s="3">
        <f>Baupläne!A192</f>
        <v>1202</v>
      </c>
      <c r="B192" s="3" t="str">
        <f>Baupläne!C192</f>
        <v>Leinen-Robe</v>
      </c>
      <c r="C192" s="3">
        <f>Baupläne!B192</f>
        <v>1202</v>
      </c>
      <c r="D192" s="3">
        <f>Baupläne!J192</f>
        <v>0</v>
      </c>
      <c r="E192" s="3">
        <f>Baupläne!H192</f>
        <v>66</v>
      </c>
      <c r="F192" s="3">
        <f>Baupläne!I192</f>
        <v>0</v>
      </c>
      <c r="G192" s="3">
        <f>Baupläne!E192</f>
        <v>33</v>
      </c>
      <c r="H192" s="3">
        <f>Baupläne!F192</f>
        <v>360</v>
      </c>
      <c r="I192" s="3">
        <f>0.5*Baupläne!Y192</f>
        <v>750</v>
      </c>
      <c r="J192" s="3">
        <f>Baupläne!G192</f>
        <v>1</v>
      </c>
      <c r="K192" s="3">
        <f>IF(L192&gt;0,INDEX(data_item!$A$1:$A$1994,MATCH(Baupläne!L192,data_item!$B$1:$B$1994,0),1),0)</f>
        <v>36</v>
      </c>
      <c r="L192" s="3">
        <f>Baupläne!K192</f>
        <v>8</v>
      </c>
      <c r="M192" s="3">
        <f>IF(N192&gt;0,INDEX(data_item!$A$1:$A$1994,MATCH(Baupläne!N192,data_item!$B$1:$B$994,0),1),0)</f>
        <v>114</v>
      </c>
      <c r="N192" s="3">
        <f>Baupläne!M192</f>
        <v>6</v>
      </c>
      <c r="O192" s="3">
        <f>IF(P192&gt;0,INDEX(data_item!$A$1:$A$1994,MATCH(Baupläne!P192,data_item!$B$1:$B$1994,0),1),0)</f>
        <v>0</v>
      </c>
      <c r="P192" s="3">
        <f>Baupläne!O192</f>
        <v>0</v>
      </c>
      <c r="Q192" s="3">
        <f>IF(R192&gt;0,INDEX(data_item!$A$1:$A$1994,MATCH(Baupläne!R192,data_item!$B$1:$B$1994,0),1),0)</f>
        <v>0</v>
      </c>
      <c r="R192" s="3">
        <f>Baupläne!Q192</f>
        <v>0</v>
      </c>
      <c r="S192" s="3">
        <f>IF(T192&gt;0,INDEX(data_item!$A$1:$A$1994,MATCH(Baupläne!T192,data_item!$B$1:$B$1994,0),1),0)</f>
        <v>0</v>
      </c>
      <c r="T192" s="3">
        <f>Baupläne!S192</f>
        <v>0</v>
      </c>
    </row>
    <row r="193" spans="1:20" x14ac:dyDescent="0.2">
      <c r="A193" s="3">
        <f>Baupläne!A193</f>
        <v>1203</v>
      </c>
      <c r="B193" s="3" t="str">
        <f>Baupläne!C193</f>
        <v>Leinen-Handschuhe</v>
      </c>
      <c r="C193" s="3">
        <f>Baupläne!B193</f>
        <v>1203</v>
      </c>
      <c r="D193" s="3">
        <f>Baupläne!J193</f>
        <v>0</v>
      </c>
      <c r="E193" s="3">
        <f>Baupläne!H193</f>
        <v>66</v>
      </c>
      <c r="F193" s="3">
        <f>Baupläne!I193</f>
        <v>1</v>
      </c>
      <c r="G193" s="3">
        <f>Baupläne!E193</f>
        <v>33</v>
      </c>
      <c r="H193" s="3">
        <f>Baupläne!F193</f>
        <v>180</v>
      </c>
      <c r="I193" s="3">
        <f>0.5*Baupläne!Y193</f>
        <v>450</v>
      </c>
      <c r="J193" s="3">
        <f>Baupläne!G193</f>
        <v>1</v>
      </c>
      <c r="K193" s="3">
        <f>IF(L193&gt;0,INDEX(data_item!$A$1:$A$1994,MATCH(Baupläne!L193,data_item!$B$1:$B$1994,0),1),0)</f>
        <v>36</v>
      </c>
      <c r="L193" s="3">
        <f>Baupläne!K193</f>
        <v>5</v>
      </c>
      <c r="M193" s="3">
        <f>IF(N193&gt;0,INDEX(data_item!$A$1:$A$1994,MATCH(Baupläne!N193,data_item!$B$1:$B$994,0),1),0)</f>
        <v>114</v>
      </c>
      <c r="N193" s="3">
        <f>Baupläne!M193</f>
        <v>4</v>
      </c>
      <c r="O193" s="3">
        <f>IF(P193&gt;0,INDEX(data_item!$A$1:$A$1994,MATCH(Baupläne!P193,data_item!$B$1:$B$1994,0),1),0)</f>
        <v>0</v>
      </c>
      <c r="P193" s="3">
        <f>Baupläne!O193</f>
        <v>0</v>
      </c>
      <c r="Q193" s="3">
        <f>IF(R193&gt;0,INDEX(data_item!$A$1:$A$1994,MATCH(Baupläne!R193,data_item!$B$1:$B$1994,0),1),0)</f>
        <v>0</v>
      </c>
      <c r="R193" s="3">
        <f>Baupläne!Q193</f>
        <v>0</v>
      </c>
      <c r="S193" s="3">
        <f>IF(T193&gt;0,INDEX(data_item!$A$1:$A$1994,MATCH(Baupläne!T193,data_item!$B$1:$B$1994,0),1),0)</f>
        <v>0</v>
      </c>
      <c r="T193" s="3">
        <f>Baupläne!S193</f>
        <v>0</v>
      </c>
    </row>
    <row r="194" spans="1:20" x14ac:dyDescent="0.2">
      <c r="A194" s="3">
        <f>Baupläne!A194</f>
        <v>1204</v>
      </c>
      <c r="B194" s="3" t="str">
        <f>Baupläne!C194</f>
        <v>Leinen-Hose</v>
      </c>
      <c r="C194" s="3">
        <f>Baupläne!B194</f>
        <v>1204</v>
      </c>
      <c r="D194" s="3">
        <f>Baupläne!J194</f>
        <v>0</v>
      </c>
      <c r="E194" s="3">
        <f>Baupläne!H194</f>
        <v>66</v>
      </c>
      <c r="F194" s="3">
        <f>Baupläne!I194</f>
        <v>1</v>
      </c>
      <c r="G194" s="3">
        <f>Baupläne!E194</f>
        <v>33</v>
      </c>
      <c r="H194" s="3">
        <f>Baupläne!F194</f>
        <v>240</v>
      </c>
      <c r="I194" s="3">
        <f>0.5*Baupläne!Y194</f>
        <v>600</v>
      </c>
      <c r="J194" s="3">
        <f>Baupläne!G194</f>
        <v>1</v>
      </c>
      <c r="K194" s="3">
        <f>IF(L194&gt;0,INDEX(data_item!$A$1:$A$1994,MATCH(Baupläne!L194,data_item!$B$1:$B$1994,0),1),0)</f>
        <v>36</v>
      </c>
      <c r="L194" s="3">
        <f>Baupläne!K194</f>
        <v>7</v>
      </c>
      <c r="M194" s="3">
        <f>IF(N194&gt;0,INDEX(data_item!$A$1:$A$1994,MATCH(Baupläne!N194,data_item!$B$1:$B$994,0),1),0)</f>
        <v>114</v>
      </c>
      <c r="N194" s="3">
        <f>Baupläne!M194</f>
        <v>5</v>
      </c>
      <c r="O194" s="3">
        <f>IF(P194&gt;0,INDEX(data_item!$A$1:$A$1994,MATCH(Baupläne!P194,data_item!$B$1:$B$1994,0),1),0)</f>
        <v>0</v>
      </c>
      <c r="P194" s="3">
        <f>Baupläne!O194</f>
        <v>0</v>
      </c>
      <c r="Q194" s="3">
        <f>IF(R194&gt;0,INDEX(data_item!$A$1:$A$1994,MATCH(Baupläne!R194,data_item!$B$1:$B$1994,0),1),0)</f>
        <v>0</v>
      </c>
      <c r="R194" s="3">
        <f>Baupläne!Q194</f>
        <v>0</v>
      </c>
      <c r="S194" s="3">
        <f>IF(T194&gt;0,INDEX(data_item!$A$1:$A$1994,MATCH(Baupläne!T194,data_item!$B$1:$B$1994,0),1),0)</f>
        <v>0</v>
      </c>
      <c r="T194" s="3">
        <f>Baupläne!S194</f>
        <v>0</v>
      </c>
    </row>
    <row r="195" spans="1:20" x14ac:dyDescent="0.2">
      <c r="A195" s="3">
        <f>Baupläne!A195</f>
        <v>1205</v>
      </c>
      <c r="B195" s="3" t="str">
        <f>Baupläne!C195</f>
        <v>Leinen-Schuhe</v>
      </c>
      <c r="C195" s="3">
        <f>Baupläne!B195</f>
        <v>1205</v>
      </c>
      <c r="D195" s="3">
        <f>Baupläne!J195</f>
        <v>0</v>
      </c>
      <c r="E195" s="3">
        <f>Baupläne!H195</f>
        <v>66</v>
      </c>
      <c r="F195" s="3">
        <f>Baupläne!I195</f>
        <v>1</v>
      </c>
      <c r="G195" s="3">
        <f>Baupläne!E195</f>
        <v>33</v>
      </c>
      <c r="H195" s="3">
        <f>Baupläne!F195</f>
        <v>180</v>
      </c>
      <c r="I195" s="3">
        <f>0.5*Baupläne!Y195</f>
        <v>450</v>
      </c>
      <c r="J195" s="3">
        <f>Baupläne!G195</f>
        <v>1</v>
      </c>
      <c r="K195" s="3">
        <f>IF(L195&gt;0,INDEX(data_item!$A$1:$A$1994,MATCH(Baupläne!L195,data_item!$B$1:$B$1994,0),1),0)</f>
        <v>36</v>
      </c>
      <c r="L195" s="3">
        <f>Baupläne!K195</f>
        <v>5</v>
      </c>
      <c r="M195" s="3">
        <f>IF(N195&gt;0,INDEX(data_item!$A$1:$A$1994,MATCH(Baupläne!N195,data_item!$B$1:$B$994,0),1),0)</f>
        <v>114</v>
      </c>
      <c r="N195" s="3">
        <f>Baupläne!M195</f>
        <v>4</v>
      </c>
      <c r="O195" s="3">
        <f>IF(P195&gt;0,INDEX(data_item!$A$1:$A$1994,MATCH(Baupläne!P195,data_item!$B$1:$B$1994,0),1),0)</f>
        <v>0</v>
      </c>
      <c r="P195" s="3">
        <f>Baupläne!O195</f>
        <v>0</v>
      </c>
      <c r="Q195" s="3">
        <f>IF(R195&gt;0,INDEX(data_item!$A$1:$A$1994,MATCH(Baupläne!R195,data_item!$B$1:$B$1994,0),1),0)</f>
        <v>0</v>
      </c>
      <c r="R195" s="3">
        <f>Baupläne!Q195</f>
        <v>0</v>
      </c>
      <c r="S195" s="3">
        <f>IF(T195&gt;0,INDEX(data_item!$A$1:$A$1994,MATCH(Baupläne!T195,data_item!$B$1:$B$1994,0),1),0)</f>
        <v>0</v>
      </c>
      <c r="T195" s="3">
        <f>Baupläne!S195</f>
        <v>0</v>
      </c>
    </row>
    <row r="196" spans="1:20" x14ac:dyDescent="0.2">
      <c r="A196" s="3">
        <f>Baupläne!A196</f>
        <v>1206</v>
      </c>
      <c r="B196" s="3" t="str">
        <f>Baupläne!C196</f>
        <v>Leinen-Spitzhut</v>
      </c>
      <c r="C196" s="3">
        <f>Baupläne!B196</f>
        <v>1206</v>
      </c>
      <c r="D196" s="3">
        <f>Baupläne!J196</f>
        <v>0</v>
      </c>
      <c r="E196" s="3">
        <f>Baupläne!H196</f>
        <v>66</v>
      </c>
      <c r="F196" s="3">
        <f>Baupläne!I196</f>
        <v>3</v>
      </c>
      <c r="G196" s="3">
        <f>Baupläne!E196</f>
        <v>33</v>
      </c>
      <c r="H196" s="3">
        <f>Baupläne!F196</f>
        <v>240</v>
      </c>
      <c r="I196" s="3">
        <f>0.5*Baupläne!Y196</f>
        <v>750</v>
      </c>
      <c r="J196" s="3">
        <f>Baupläne!G196</f>
        <v>1</v>
      </c>
      <c r="K196" s="3">
        <f>IF(L196&gt;0,INDEX(data_item!$A$1:$A$1994,MATCH(Baupläne!L196,data_item!$B$1:$B$1994,0),1),0)</f>
        <v>36</v>
      </c>
      <c r="L196" s="3">
        <f>Baupläne!K196</f>
        <v>8</v>
      </c>
      <c r="M196" s="3">
        <f>IF(N196&gt;0,INDEX(data_item!$A$1:$A$1994,MATCH(Baupläne!N196,data_item!$B$1:$B$994,0),1),0)</f>
        <v>114</v>
      </c>
      <c r="N196" s="3">
        <f>Baupläne!M196</f>
        <v>6</v>
      </c>
      <c r="O196" s="3">
        <f>IF(P196&gt;0,INDEX(data_item!$A$1:$A$1994,MATCH(Baupläne!P196,data_item!$B$1:$B$1994,0),1),0)</f>
        <v>0</v>
      </c>
      <c r="P196" s="3">
        <f>Baupläne!O196</f>
        <v>0</v>
      </c>
      <c r="Q196" s="3">
        <f>IF(R196&gt;0,INDEX(data_item!$A$1:$A$1994,MATCH(Baupläne!R196,data_item!$B$1:$B$1994,0),1),0)</f>
        <v>0</v>
      </c>
      <c r="R196" s="3">
        <f>Baupläne!Q196</f>
        <v>0</v>
      </c>
      <c r="S196" s="3">
        <f>IF(T196&gt;0,INDEX(data_item!$A$1:$A$1994,MATCH(Baupläne!T196,data_item!$B$1:$B$1994,0),1),0)</f>
        <v>0</v>
      </c>
      <c r="T196" s="3">
        <f>Baupläne!S196</f>
        <v>0</v>
      </c>
    </row>
    <row r="197" spans="1:20" x14ac:dyDescent="0.2">
      <c r="A197" s="3">
        <f>Baupläne!A197</f>
        <v>1207</v>
      </c>
      <c r="B197" s="3" t="str">
        <f>Baupläne!C197</f>
        <v>Leinen-Tunika</v>
      </c>
      <c r="C197" s="3">
        <f>Baupläne!B197</f>
        <v>1207</v>
      </c>
      <c r="D197" s="3">
        <f>Baupläne!J197</f>
        <v>0</v>
      </c>
      <c r="E197" s="3">
        <f>Baupläne!H197</f>
        <v>66</v>
      </c>
      <c r="F197" s="3">
        <f>Baupläne!I197</f>
        <v>3</v>
      </c>
      <c r="G197" s="3">
        <f>Baupläne!E197</f>
        <v>33</v>
      </c>
      <c r="H197" s="3">
        <f>Baupläne!F197</f>
        <v>360</v>
      </c>
      <c r="I197" s="3">
        <f>0.5*Baupläne!Y197</f>
        <v>1150</v>
      </c>
      <c r="J197" s="3">
        <f>Baupläne!G197</f>
        <v>1</v>
      </c>
      <c r="K197" s="3">
        <f>IF(L197&gt;0,INDEX(data_item!$A$1:$A$1994,MATCH(Baupläne!L197,data_item!$B$1:$B$1994,0),1),0)</f>
        <v>36</v>
      </c>
      <c r="L197" s="3">
        <f>Baupläne!K197</f>
        <v>12</v>
      </c>
      <c r="M197" s="3">
        <f>IF(N197&gt;0,INDEX(data_item!$A$1:$A$1994,MATCH(Baupläne!N197,data_item!$B$1:$B$994,0),1),0)</f>
        <v>114</v>
      </c>
      <c r="N197" s="3">
        <f>Baupläne!M197</f>
        <v>9</v>
      </c>
      <c r="O197" s="3">
        <f>IF(P197&gt;0,INDEX(data_item!$A$1:$A$1994,MATCH(Baupläne!P197,data_item!$B$1:$B$1994,0),1),0)</f>
        <v>0</v>
      </c>
      <c r="P197" s="3">
        <f>Baupläne!O197</f>
        <v>0</v>
      </c>
      <c r="Q197" s="3">
        <f>IF(R197&gt;0,INDEX(data_item!$A$1:$A$1994,MATCH(Baupläne!R197,data_item!$B$1:$B$1994,0),1),0)</f>
        <v>0</v>
      </c>
      <c r="R197" s="3">
        <f>Baupläne!Q197</f>
        <v>0</v>
      </c>
      <c r="S197" s="3">
        <f>IF(T197&gt;0,INDEX(data_item!$A$1:$A$1994,MATCH(Baupläne!T197,data_item!$B$1:$B$1994,0),1),0)</f>
        <v>0</v>
      </c>
      <c r="T197" s="3">
        <f>Baupläne!S197</f>
        <v>0</v>
      </c>
    </row>
    <row r="198" spans="1:20" x14ac:dyDescent="0.2">
      <c r="A198" s="3">
        <f>Baupläne!A198</f>
        <v>1208</v>
      </c>
      <c r="B198" s="3" t="str">
        <f>Baupläne!C198</f>
        <v>Leinen-Stulpen</v>
      </c>
      <c r="C198" s="3">
        <f>Baupläne!B198</f>
        <v>1208</v>
      </c>
      <c r="D198" s="3">
        <f>Baupläne!J198</f>
        <v>0</v>
      </c>
      <c r="E198" s="3">
        <f>Baupläne!H198</f>
        <v>66</v>
      </c>
      <c r="F198" s="3">
        <f>Baupläne!I198</f>
        <v>4</v>
      </c>
      <c r="G198" s="3">
        <f>Baupläne!E198</f>
        <v>33</v>
      </c>
      <c r="H198" s="3">
        <f>Baupläne!F198</f>
        <v>180</v>
      </c>
      <c r="I198" s="3">
        <f>0.5*Baupläne!Y198</f>
        <v>650</v>
      </c>
      <c r="J198" s="3">
        <f>Baupläne!G198</f>
        <v>1</v>
      </c>
      <c r="K198" s="3">
        <f>IF(L198&gt;0,INDEX(data_item!$A$1:$A$1994,MATCH(Baupläne!L198,data_item!$B$1:$B$1994,0),1),0)</f>
        <v>36</v>
      </c>
      <c r="L198" s="3">
        <f>Baupläne!K198</f>
        <v>7</v>
      </c>
      <c r="M198" s="3">
        <f>IF(N198&gt;0,INDEX(data_item!$A$1:$A$1994,MATCH(Baupläne!N198,data_item!$B$1:$B$994,0),1),0)</f>
        <v>114</v>
      </c>
      <c r="N198" s="3">
        <f>Baupläne!M198</f>
        <v>5</v>
      </c>
      <c r="O198" s="3">
        <f>IF(P198&gt;0,INDEX(data_item!$A$1:$A$1994,MATCH(Baupläne!P198,data_item!$B$1:$B$1994,0),1),0)</f>
        <v>0</v>
      </c>
      <c r="P198" s="3">
        <f>Baupläne!O198</f>
        <v>0</v>
      </c>
      <c r="Q198" s="3">
        <f>IF(R198&gt;0,INDEX(data_item!$A$1:$A$1994,MATCH(Baupläne!R198,data_item!$B$1:$B$1994,0),1),0)</f>
        <v>0</v>
      </c>
      <c r="R198" s="3">
        <f>Baupläne!Q198</f>
        <v>0</v>
      </c>
      <c r="S198" s="3">
        <f>IF(T198&gt;0,INDEX(data_item!$A$1:$A$1994,MATCH(Baupläne!T198,data_item!$B$1:$B$1994,0),1),0)</f>
        <v>0</v>
      </c>
      <c r="T198" s="3">
        <f>Baupläne!S198</f>
        <v>0</v>
      </c>
    </row>
    <row r="199" spans="1:20" x14ac:dyDescent="0.2">
      <c r="A199" s="3">
        <f>Baupläne!A199</f>
        <v>1209</v>
      </c>
      <c r="B199" s="3" t="str">
        <f>Baupläne!C199</f>
        <v>Leinen-Beinlinge</v>
      </c>
      <c r="C199" s="3">
        <f>Baupläne!B199</f>
        <v>1209</v>
      </c>
      <c r="D199" s="3">
        <f>Baupläne!J199</f>
        <v>0</v>
      </c>
      <c r="E199" s="3">
        <f>Baupläne!H199</f>
        <v>66</v>
      </c>
      <c r="F199" s="3">
        <f>Baupläne!I199</f>
        <v>4</v>
      </c>
      <c r="G199" s="3">
        <f>Baupläne!E199</f>
        <v>33</v>
      </c>
      <c r="H199" s="3">
        <f>Baupläne!F199</f>
        <v>240</v>
      </c>
      <c r="I199" s="3">
        <f>0.5*Baupläne!Y199</f>
        <v>850</v>
      </c>
      <c r="J199" s="3">
        <f>Baupläne!G199</f>
        <v>1</v>
      </c>
      <c r="K199" s="3">
        <f>IF(L199&gt;0,INDEX(data_item!$A$1:$A$1994,MATCH(Baupläne!L199,data_item!$B$1:$B$1994,0),1),0)</f>
        <v>36</v>
      </c>
      <c r="L199" s="3">
        <f>Baupläne!K199</f>
        <v>10</v>
      </c>
      <c r="M199" s="3">
        <f>IF(N199&gt;0,INDEX(data_item!$A$1:$A$1994,MATCH(Baupläne!N199,data_item!$B$1:$B$994,0),1),0)</f>
        <v>114</v>
      </c>
      <c r="N199" s="3">
        <f>Baupläne!M199</f>
        <v>7</v>
      </c>
      <c r="O199" s="3">
        <f>IF(P199&gt;0,INDEX(data_item!$A$1:$A$1994,MATCH(Baupläne!P199,data_item!$B$1:$B$1994,0),1),0)</f>
        <v>0</v>
      </c>
      <c r="P199" s="3">
        <f>Baupläne!O199</f>
        <v>0</v>
      </c>
      <c r="Q199" s="3">
        <f>IF(R199&gt;0,INDEX(data_item!$A$1:$A$1994,MATCH(Baupläne!R199,data_item!$B$1:$B$1994,0),1),0)</f>
        <v>0</v>
      </c>
      <c r="R199" s="3">
        <f>Baupläne!Q199</f>
        <v>0</v>
      </c>
      <c r="S199" s="3">
        <f>IF(T199&gt;0,INDEX(data_item!$A$1:$A$1994,MATCH(Baupläne!T199,data_item!$B$1:$B$1994,0),1),0)</f>
        <v>0</v>
      </c>
      <c r="T199" s="3">
        <f>Baupläne!S199</f>
        <v>0</v>
      </c>
    </row>
    <row r="200" spans="1:20" x14ac:dyDescent="0.2">
      <c r="A200" s="3">
        <f>Baupläne!A200</f>
        <v>1210</v>
      </c>
      <c r="B200" s="3" t="str">
        <f>Baupläne!C200</f>
        <v>Leinen-Stiefel</v>
      </c>
      <c r="C200" s="3">
        <f>Baupläne!B200</f>
        <v>1210</v>
      </c>
      <c r="D200" s="3">
        <f>Baupläne!J200</f>
        <v>0</v>
      </c>
      <c r="E200" s="3">
        <f>Baupläne!H200</f>
        <v>66</v>
      </c>
      <c r="F200" s="3">
        <f>Baupläne!I200</f>
        <v>4</v>
      </c>
      <c r="G200" s="3">
        <f>Baupläne!E200</f>
        <v>33</v>
      </c>
      <c r="H200" s="3">
        <f>Baupläne!F200</f>
        <v>180</v>
      </c>
      <c r="I200" s="3">
        <f>0.5*Baupläne!Y200</f>
        <v>650</v>
      </c>
      <c r="J200" s="3">
        <f>Baupläne!G200</f>
        <v>1</v>
      </c>
      <c r="K200" s="3">
        <f>IF(L200&gt;0,INDEX(data_item!$A$1:$A$1994,MATCH(Baupläne!L200,data_item!$B$1:$B$1994,0),1),0)</f>
        <v>36</v>
      </c>
      <c r="L200" s="3">
        <f>Baupläne!K200</f>
        <v>7</v>
      </c>
      <c r="M200" s="3">
        <f>IF(N200&gt;0,INDEX(data_item!$A$1:$A$1994,MATCH(Baupläne!N200,data_item!$B$1:$B$994,0),1),0)</f>
        <v>114</v>
      </c>
      <c r="N200" s="3">
        <f>Baupläne!M200</f>
        <v>5</v>
      </c>
      <c r="O200" s="3">
        <f>IF(P200&gt;0,INDEX(data_item!$A$1:$A$1994,MATCH(Baupläne!P200,data_item!$B$1:$B$1994,0),1),0)</f>
        <v>0</v>
      </c>
      <c r="P200" s="3">
        <f>Baupläne!O200</f>
        <v>0</v>
      </c>
      <c r="Q200" s="3">
        <f>IF(R200&gt;0,INDEX(data_item!$A$1:$A$1994,MATCH(Baupläne!R200,data_item!$B$1:$B$1994,0),1),0)</f>
        <v>0</v>
      </c>
      <c r="R200" s="3">
        <f>Baupläne!Q200</f>
        <v>0</v>
      </c>
      <c r="S200" s="3">
        <f>IF(T200&gt;0,INDEX(data_item!$A$1:$A$1994,MATCH(Baupläne!T200,data_item!$B$1:$B$1994,0),1),0)</f>
        <v>0</v>
      </c>
      <c r="T200" s="3">
        <f>Baupläne!S200</f>
        <v>0</v>
      </c>
    </row>
    <row r="201" spans="1:20" x14ac:dyDescent="0.2">
      <c r="A201" s="3">
        <f>Baupläne!A201</f>
        <v>1211</v>
      </c>
      <c r="B201" s="3" t="str">
        <f>Baupläne!C201</f>
        <v>Woll-Haube</v>
      </c>
      <c r="C201" s="3">
        <f>Baupläne!B201</f>
        <v>1211</v>
      </c>
      <c r="D201" s="3">
        <f>Baupläne!J201</f>
        <v>0</v>
      </c>
      <c r="E201" s="3">
        <f>Baupläne!H201</f>
        <v>66</v>
      </c>
      <c r="F201" s="3">
        <f>Baupläne!I201</f>
        <v>5</v>
      </c>
      <c r="G201" s="3">
        <f>Baupläne!E201</f>
        <v>33</v>
      </c>
      <c r="H201" s="3">
        <f>Baupläne!F201</f>
        <v>240</v>
      </c>
      <c r="I201" s="3">
        <f>0.5*Baupläne!Y201</f>
        <v>1000</v>
      </c>
      <c r="J201" s="3">
        <f>Baupläne!G201</f>
        <v>2</v>
      </c>
      <c r="K201" s="3">
        <f>IF(L201&gt;0,INDEX(data_item!$A$1:$A$1994,MATCH(Baupläne!L201,data_item!$B$1:$B$1994,0),1),0)</f>
        <v>37</v>
      </c>
      <c r="L201" s="3">
        <f>Baupläne!K201</f>
        <v>6</v>
      </c>
      <c r="M201" s="3">
        <f>IF(N201&gt;0,INDEX(data_item!$A$1:$A$1994,MATCH(Baupläne!N201,data_item!$B$1:$B$994,0),1),0)</f>
        <v>114</v>
      </c>
      <c r="N201" s="3">
        <f>Baupläne!M201</f>
        <v>8</v>
      </c>
      <c r="O201" s="3">
        <f>IF(P201&gt;0,INDEX(data_item!$A$1:$A$1994,MATCH(Baupläne!P201,data_item!$B$1:$B$1994,0),1),0)</f>
        <v>0</v>
      </c>
      <c r="P201" s="3">
        <f>Baupläne!O201</f>
        <v>0</v>
      </c>
      <c r="Q201" s="3">
        <f>IF(R201&gt;0,INDEX(data_item!$A$1:$A$1994,MATCH(Baupläne!R201,data_item!$B$1:$B$1994,0),1),0)</f>
        <v>0</v>
      </c>
      <c r="R201" s="3">
        <f>Baupläne!Q201</f>
        <v>0</v>
      </c>
      <c r="S201" s="3">
        <f>IF(T201&gt;0,INDEX(data_item!$A$1:$A$1994,MATCH(Baupläne!T201,data_item!$B$1:$B$1994,0),1),0)</f>
        <v>0</v>
      </c>
      <c r="T201" s="3">
        <f>Baupläne!S201</f>
        <v>0</v>
      </c>
    </row>
    <row r="202" spans="1:20" x14ac:dyDescent="0.2">
      <c r="A202" s="3">
        <f>Baupläne!A202</f>
        <v>1212</v>
      </c>
      <c r="B202" s="3" t="str">
        <f>Baupläne!C202</f>
        <v>Woll-Robe</v>
      </c>
      <c r="C202" s="3">
        <f>Baupläne!B202</f>
        <v>1212</v>
      </c>
      <c r="D202" s="3">
        <f>Baupläne!J202</f>
        <v>0</v>
      </c>
      <c r="E202" s="3">
        <f>Baupläne!H202</f>
        <v>66</v>
      </c>
      <c r="F202" s="3">
        <f>Baupläne!I202</f>
        <v>5</v>
      </c>
      <c r="G202" s="3">
        <f>Baupläne!E202</f>
        <v>33</v>
      </c>
      <c r="H202" s="3">
        <f>Baupläne!F202</f>
        <v>360</v>
      </c>
      <c r="I202" s="3">
        <f>0.5*Baupläne!Y202</f>
        <v>1500</v>
      </c>
      <c r="J202" s="3">
        <f>Baupläne!G202</f>
        <v>2</v>
      </c>
      <c r="K202" s="3">
        <f>IF(L202&gt;0,INDEX(data_item!$A$1:$A$1994,MATCH(Baupläne!L202,data_item!$B$1:$B$1994,0),1),0)</f>
        <v>37</v>
      </c>
      <c r="L202" s="3">
        <f>Baupläne!K202</f>
        <v>8</v>
      </c>
      <c r="M202" s="3">
        <f>IF(N202&gt;0,INDEX(data_item!$A$1:$A$1994,MATCH(Baupläne!N202,data_item!$B$1:$B$994,0),1),0)</f>
        <v>114</v>
      </c>
      <c r="N202" s="3">
        <f>Baupläne!M202</f>
        <v>12</v>
      </c>
      <c r="O202" s="3">
        <f>IF(P202&gt;0,INDEX(data_item!$A$1:$A$1994,MATCH(Baupläne!P202,data_item!$B$1:$B$1994,0),1),0)</f>
        <v>0</v>
      </c>
      <c r="P202" s="3">
        <f>Baupläne!O202</f>
        <v>0</v>
      </c>
      <c r="Q202" s="3">
        <f>IF(R202&gt;0,INDEX(data_item!$A$1:$A$1994,MATCH(Baupläne!R202,data_item!$B$1:$B$1994,0),1),0)</f>
        <v>0</v>
      </c>
      <c r="R202" s="3">
        <f>Baupläne!Q202</f>
        <v>0</v>
      </c>
      <c r="S202" s="3">
        <f>IF(T202&gt;0,INDEX(data_item!$A$1:$A$1994,MATCH(Baupläne!T202,data_item!$B$1:$B$1994,0),1),0)</f>
        <v>0</v>
      </c>
      <c r="T202" s="3">
        <f>Baupläne!S202</f>
        <v>0</v>
      </c>
    </row>
    <row r="203" spans="1:20" x14ac:dyDescent="0.2">
      <c r="A203" s="3">
        <f>Baupläne!A203</f>
        <v>1213</v>
      </c>
      <c r="B203" s="3" t="str">
        <f>Baupläne!C203</f>
        <v>Woll-Handschuhe</v>
      </c>
      <c r="C203" s="3">
        <f>Baupläne!B203</f>
        <v>1213</v>
      </c>
      <c r="D203" s="3">
        <f>Baupläne!J203</f>
        <v>0</v>
      </c>
      <c r="E203" s="3">
        <f>Baupläne!H203</f>
        <v>66</v>
      </c>
      <c r="F203" s="3">
        <f>Baupläne!I203</f>
        <v>6</v>
      </c>
      <c r="G203" s="3">
        <f>Baupläne!E203</f>
        <v>33</v>
      </c>
      <c r="H203" s="3">
        <f>Baupläne!F203</f>
        <v>180</v>
      </c>
      <c r="I203" s="3">
        <f>0.5*Baupläne!Y203</f>
        <v>850</v>
      </c>
      <c r="J203" s="3">
        <f>Baupläne!G203</f>
        <v>2</v>
      </c>
      <c r="K203" s="3">
        <f>IF(L203&gt;0,INDEX(data_item!$A$1:$A$1994,MATCH(Baupläne!L203,data_item!$B$1:$B$1994,0),1),0)</f>
        <v>37</v>
      </c>
      <c r="L203" s="3">
        <f>Baupläne!K203</f>
        <v>5</v>
      </c>
      <c r="M203" s="3">
        <f>IF(N203&gt;0,INDEX(data_item!$A$1:$A$1994,MATCH(Baupläne!N203,data_item!$B$1:$B$994,0),1),0)</f>
        <v>114</v>
      </c>
      <c r="N203" s="3">
        <f>Baupläne!M203</f>
        <v>7</v>
      </c>
      <c r="O203" s="3">
        <f>IF(P203&gt;0,INDEX(data_item!$A$1:$A$1994,MATCH(Baupläne!P203,data_item!$B$1:$B$1994,0),1),0)</f>
        <v>0</v>
      </c>
      <c r="P203" s="3">
        <f>Baupläne!O203</f>
        <v>0</v>
      </c>
      <c r="Q203" s="3">
        <f>IF(R203&gt;0,INDEX(data_item!$A$1:$A$1994,MATCH(Baupläne!R203,data_item!$B$1:$B$1994,0),1),0)</f>
        <v>0</v>
      </c>
      <c r="R203" s="3">
        <f>Baupläne!Q203</f>
        <v>0</v>
      </c>
      <c r="S203" s="3">
        <f>IF(T203&gt;0,INDEX(data_item!$A$1:$A$1994,MATCH(Baupläne!T203,data_item!$B$1:$B$1994,0),1),0)</f>
        <v>0</v>
      </c>
      <c r="T203" s="3">
        <f>Baupläne!S203</f>
        <v>0</v>
      </c>
    </row>
    <row r="204" spans="1:20" x14ac:dyDescent="0.2">
      <c r="A204" s="3">
        <f>Baupläne!A204</f>
        <v>1214</v>
      </c>
      <c r="B204" s="3" t="str">
        <f>Baupläne!C204</f>
        <v>Woll-Hose</v>
      </c>
      <c r="C204" s="3">
        <f>Baupläne!B204</f>
        <v>1214</v>
      </c>
      <c r="D204" s="3">
        <f>Baupläne!J204</f>
        <v>0</v>
      </c>
      <c r="E204" s="3">
        <f>Baupläne!H204</f>
        <v>66</v>
      </c>
      <c r="F204" s="3">
        <f>Baupläne!I204</f>
        <v>6</v>
      </c>
      <c r="G204" s="3">
        <f>Baupläne!E204</f>
        <v>33</v>
      </c>
      <c r="H204" s="3">
        <f>Baupläne!F204</f>
        <v>240</v>
      </c>
      <c r="I204" s="3">
        <f>0.5*Baupläne!Y204</f>
        <v>1150</v>
      </c>
      <c r="J204" s="3">
        <f>Baupläne!G204</f>
        <v>2</v>
      </c>
      <c r="K204" s="3">
        <f>IF(L204&gt;0,INDEX(data_item!$A$1:$A$1994,MATCH(Baupläne!L204,data_item!$B$1:$B$1994,0),1),0)</f>
        <v>37</v>
      </c>
      <c r="L204" s="3">
        <f>Baupläne!K204</f>
        <v>6</v>
      </c>
      <c r="M204" s="3">
        <f>IF(N204&gt;0,INDEX(data_item!$A$1:$A$1994,MATCH(Baupläne!N204,data_item!$B$1:$B$994,0),1),0)</f>
        <v>114</v>
      </c>
      <c r="N204" s="3">
        <f>Baupläne!M204</f>
        <v>9</v>
      </c>
      <c r="O204" s="3">
        <f>IF(P204&gt;0,INDEX(data_item!$A$1:$A$1994,MATCH(Baupläne!P204,data_item!$B$1:$B$1994,0),1),0)</f>
        <v>0</v>
      </c>
      <c r="P204" s="3">
        <f>Baupläne!O204</f>
        <v>0</v>
      </c>
      <c r="Q204" s="3">
        <f>IF(R204&gt;0,INDEX(data_item!$A$1:$A$1994,MATCH(Baupläne!R204,data_item!$B$1:$B$1994,0),1),0)</f>
        <v>0</v>
      </c>
      <c r="R204" s="3">
        <f>Baupläne!Q204</f>
        <v>0</v>
      </c>
      <c r="S204" s="3">
        <f>IF(T204&gt;0,INDEX(data_item!$A$1:$A$1994,MATCH(Baupläne!T204,data_item!$B$1:$B$1994,0),1),0)</f>
        <v>0</v>
      </c>
      <c r="T204" s="3">
        <f>Baupläne!S204</f>
        <v>0</v>
      </c>
    </row>
    <row r="205" spans="1:20" x14ac:dyDescent="0.2">
      <c r="A205" s="3">
        <f>Baupläne!A205</f>
        <v>1215</v>
      </c>
      <c r="B205" s="3" t="str">
        <f>Baupläne!C205</f>
        <v>Woll-Schuhe</v>
      </c>
      <c r="C205" s="3">
        <f>Baupläne!B205</f>
        <v>1215</v>
      </c>
      <c r="D205" s="3">
        <f>Baupläne!J205</f>
        <v>0</v>
      </c>
      <c r="E205" s="3">
        <f>Baupläne!H205</f>
        <v>66</v>
      </c>
      <c r="F205" s="3">
        <f>Baupläne!I205</f>
        <v>6</v>
      </c>
      <c r="G205" s="3">
        <f>Baupläne!E205</f>
        <v>33</v>
      </c>
      <c r="H205" s="3">
        <f>Baupläne!F205</f>
        <v>180</v>
      </c>
      <c r="I205" s="3">
        <f>0.5*Baupläne!Y205</f>
        <v>850</v>
      </c>
      <c r="J205" s="3">
        <f>Baupläne!G205</f>
        <v>2</v>
      </c>
      <c r="K205" s="3">
        <f>IF(L205&gt;0,INDEX(data_item!$A$1:$A$1994,MATCH(Baupläne!L205,data_item!$B$1:$B$1994,0),1),0)</f>
        <v>37</v>
      </c>
      <c r="L205" s="3">
        <f>Baupläne!K205</f>
        <v>5</v>
      </c>
      <c r="M205" s="3">
        <f>IF(N205&gt;0,INDEX(data_item!$A$1:$A$1994,MATCH(Baupläne!N205,data_item!$B$1:$B$994,0),1),0)</f>
        <v>114</v>
      </c>
      <c r="N205" s="3">
        <f>Baupläne!M205</f>
        <v>7</v>
      </c>
      <c r="O205" s="3">
        <f>IF(P205&gt;0,INDEX(data_item!$A$1:$A$1994,MATCH(Baupläne!P205,data_item!$B$1:$B$1994,0),1),0)</f>
        <v>0</v>
      </c>
      <c r="P205" s="3">
        <f>Baupläne!O205</f>
        <v>0</v>
      </c>
      <c r="Q205" s="3">
        <f>IF(R205&gt;0,INDEX(data_item!$A$1:$A$1994,MATCH(Baupläne!R205,data_item!$B$1:$B$1994,0),1),0)</f>
        <v>0</v>
      </c>
      <c r="R205" s="3">
        <f>Baupläne!Q205</f>
        <v>0</v>
      </c>
      <c r="S205" s="3">
        <f>IF(T205&gt;0,INDEX(data_item!$A$1:$A$1994,MATCH(Baupläne!T205,data_item!$B$1:$B$1994,0),1),0)</f>
        <v>0</v>
      </c>
      <c r="T205" s="3">
        <f>Baupläne!S205</f>
        <v>0</v>
      </c>
    </row>
    <row r="206" spans="1:20" x14ac:dyDescent="0.2">
      <c r="A206" s="3">
        <f>Baupläne!A206</f>
        <v>1216</v>
      </c>
      <c r="B206" s="3" t="str">
        <f>Baupläne!C206</f>
        <v>Woll-Spitzhut</v>
      </c>
      <c r="C206" s="3">
        <f>Baupläne!B206</f>
        <v>1216</v>
      </c>
      <c r="D206" s="3">
        <f>Baupläne!J206</f>
        <v>0</v>
      </c>
      <c r="E206" s="3">
        <f>Baupläne!H206</f>
        <v>66</v>
      </c>
      <c r="F206" s="3">
        <f>Baupläne!I206</f>
        <v>8</v>
      </c>
      <c r="G206" s="3">
        <f>Baupläne!E206</f>
        <v>33</v>
      </c>
      <c r="H206" s="3">
        <f>Baupläne!F206</f>
        <v>240</v>
      </c>
      <c r="I206" s="3">
        <f>0.5*Baupläne!Y206</f>
        <v>1550</v>
      </c>
      <c r="J206" s="3">
        <f>Baupläne!G206</f>
        <v>2</v>
      </c>
      <c r="K206" s="3">
        <f>IF(L206&gt;0,INDEX(data_item!$A$1:$A$1994,MATCH(Baupläne!L206,data_item!$B$1:$B$1994,0),1),0)</f>
        <v>37</v>
      </c>
      <c r="L206" s="3">
        <f>Baupläne!K206</f>
        <v>8</v>
      </c>
      <c r="M206" s="3">
        <f>IF(N206&gt;0,INDEX(data_item!$A$1:$A$1994,MATCH(Baupläne!N206,data_item!$B$1:$B$994,0),1),0)</f>
        <v>114</v>
      </c>
      <c r="N206" s="3">
        <f>Baupläne!M206</f>
        <v>12</v>
      </c>
      <c r="O206" s="3">
        <f>IF(P206&gt;0,INDEX(data_item!$A$1:$A$1994,MATCH(Baupläne!P206,data_item!$B$1:$B$1994,0),1),0)</f>
        <v>0</v>
      </c>
      <c r="P206" s="3">
        <f>Baupläne!O206</f>
        <v>0</v>
      </c>
      <c r="Q206" s="3">
        <f>IF(R206&gt;0,INDEX(data_item!$A$1:$A$1994,MATCH(Baupläne!R206,data_item!$B$1:$B$1994,0),1),0)</f>
        <v>0</v>
      </c>
      <c r="R206" s="3">
        <f>Baupläne!Q206</f>
        <v>0</v>
      </c>
      <c r="S206" s="3">
        <f>IF(T206&gt;0,INDEX(data_item!$A$1:$A$1994,MATCH(Baupläne!T206,data_item!$B$1:$B$1994,0),1),0)</f>
        <v>0</v>
      </c>
      <c r="T206" s="3">
        <f>Baupläne!S206</f>
        <v>0</v>
      </c>
    </row>
    <row r="207" spans="1:20" x14ac:dyDescent="0.2">
      <c r="A207" s="3">
        <f>Baupläne!A207</f>
        <v>1217</v>
      </c>
      <c r="B207" s="3" t="str">
        <f>Baupläne!C207</f>
        <v>Woll-Tunika</v>
      </c>
      <c r="C207" s="3">
        <f>Baupläne!B207</f>
        <v>1217</v>
      </c>
      <c r="D207" s="3">
        <f>Baupläne!J207</f>
        <v>0</v>
      </c>
      <c r="E207" s="3">
        <f>Baupläne!H207</f>
        <v>66</v>
      </c>
      <c r="F207" s="3">
        <f>Baupläne!I207</f>
        <v>8</v>
      </c>
      <c r="G207" s="3">
        <f>Baupläne!E207</f>
        <v>33</v>
      </c>
      <c r="H207" s="3">
        <f>Baupläne!F207</f>
        <v>360</v>
      </c>
      <c r="I207" s="3">
        <f>0.5*Baupläne!Y207</f>
        <v>2300</v>
      </c>
      <c r="J207" s="3">
        <f>Baupläne!G207</f>
        <v>2</v>
      </c>
      <c r="K207" s="3">
        <f>IF(L207&gt;0,INDEX(data_item!$A$1:$A$1994,MATCH(Baupläne!L207,data_item!$B$1:$B$1994,0),1),0)</f>
        <v>37</v>
      </c>
      <c r="L207" s="3">
        <f>Baupläne!K207</f>
        <v>12</v>
      </c>
      <c r="M207" s="3">
        <f>IF(N207&gt;0,INDEX(data_item!$A$1:$A$1994,MATCH(Baupläne!N207,data_item!$B$1:$B$994,0),1),0)</f>
        <v>114</v>
      </c>
      <c r="N207" s="3">
        <f>Baupläne!M207</f>
        <v>18</v>
      </c>
      <c r="O207" s="3">
        <f>IF(P207&gt;0,INDEX(data_item!$A$1:$A$1994,MATCH(Baupläne!P207,data_item!$B$1:$B$1994,0),1),0)</f>
        <v>0</v>
      </c>
      <c r="P207" s="3">
        <f>Baupläne!O207</f>
        <v>0</v>
      </c>
      <c r="Q207" s="3">
        <f>IF(R207&gt;0,INDEX(data_item!$A$1:$A$1994,MATCH(Baupläne!R207,data_item!$B$1:$B$1994,0),1),0)</f>
        <v>0</v>
      </c>
      <c r="R207" s="3">
        <f>Baupläne!Q207</f>
        <v>0</v>
      </c>
      <c r="S207" s="3">
        <f>IF(T207&gt;0,INDEX(data_item!$A$1:$A$1994,MATCH(Baupläne!T207,data_item!$B$1:$B$1994,0),1),0)</f>
        <v>0</v>
      </c>
      <c r="T207" s="3">
        <f>Baupläne!S207</f>
        <v>0</v>
      </c>
    </row>
    <row r="208" spans="1:20" x14ac:dyDescent="0.2">
      <c r="A208" s="3">
        <f>Baupläne!A208</f>
        <v>1218</v>
      </c>
      <c r="B208" s="3" t="str">
        <f>Baupläne!C208</f>
        <v>Woll-Stulpen</v>
      </c>
      <c r="C208" s="3">
        <f>Baupläne!B208</f>
        <v>1218</v>
      </c>
      <c r="D208" s="3">
        <f>Baupläne!J208</f>
        <v>0</v>
      </c>
      <c r="E208" s="3">
        <f>Baupläne!H208</f>
        <v>66</v>
      </c>
      <c r="F208" s="3">
        <f>Baupläne!I208</f>
        <v>9</v>
      </c>
      <c r="G208" s="3">
        <f>Baupläne!E208</f>
        <v>33</v>
      </c>
      <c r="H208" s="3">
        <f>Baupläne!F208</f>
        <v>180</v>
      </c>
      <c r="I208" s="3">
        <f>0.5*Baupläne!Y208</f>
        <v>1300</v>
      </c>
      <c r="J208" s="3">
        <f>Baupläne!G208</f>
        <v>2</v>
      </c>
      <c r="K208" s="3">
        <f>IF(L208&gt;0,INDEX(data_item!$A$1:$A$1994,MATCH(Baupläne!L208,data_item!$B$1:$B$1994,0),1),0)</f>
        <v>37</v>
      </c>
      <c r="L208" s="3">
        <f>Baupläne!K208</f>
        <v>7</v>
      </c>
      <c r="M208" s="3">
        <f>IF(N208&gt;0,INDEX(data_item!$A$1:$A$1994,MATCH(Baupläne!N208,data_item!$B$1:$B$994,0),1),0)</f>
        <v>114</v>
      </c>
      <c r="N208" s="3">
        <f>Baupläne!M208</f>
        <v>10</v>
      </c>
      <c r="O208" s="3">
        <f>IF(P208&gt;0,INDEX(data_item!$A$1:$A$1994,MATCH(Baupläne!P208,data_item!$B$1:$B$1994,0),1),0)</f>
        <v>0</v>
      </c>
      <c r="P208" s="3">
        <f>Baupläne!O208</f>
        <v>0</v>
      </c>
      <c r="Q208" s="3">
        <f>IF(R208&gt;0,INDEX(data_item!$A$1:$A$1994,MATCH(Baupläne!R208,data_item!$B$1:$B$1994,0),1),0)</f>
        <v>0</v>
      </c>
      <c r="R208" s="3">
        <f>Baupläne!Q208</f>
        <v>0</v>
      </c>
      <c r="S208" s="3">
        <f>IF(T208&gt;0,INDEX(data_item!$A$1:$A$1994,MATCH(Baupläne!T208,data_item!$B$1:$B$1994,0),1),0)</f>
        <v>0</v>
      </c>
      <c r="T208" s="3">
        <f>Baupläne!S208</f>
        <v>0</v>
      </c>
    </row>
    <row r="209" spans="1:20" x14ac:dyDescent="0.2">
      <c r="A209" s="3">
        <f>Baupläne!A209</f>
        <v>1219</v>
      </c>
      <c r="B209" s="3" t="str">
        <f>Baupläne!C209</f>
        <v>Woll-Beinlinge</v>
      </c>
      <c r="C209" s="3">
        <f>Baupläne!B209</f>
        <v>1219</v>
      </c>
      <c r="D209" s="3">
        <f>Baupläne!J209</f>
        <v>0</v>
      </c>
      <c r="E209" s="3">
        <f>Baupläne!H209</f>
        <v>66</v>
      </c>
      <c r="F209" s="3">
        <f>Baupläne!I209</f>
        <v>9</v>
      </c>
      <c r="G209" s="3">
        <f>Baupläne!E209</f>
        <v>33</v>
      </c>
      <c r="H209" s="3">
        <f>Baupläne!F209</f>
        <v>240</v>
      </c>
      <c r="I209" s="3">
        <f>0.5*Baupläne!Y209</f>
        <v>1750</v>
      </c>
      <c r="J209" s="3">
        <f>Baupläne!G209</f>
        <v>2</v>
      </c>
      <c r="K209" s="3">
        <f>IF(L209&gt;0,INDEX(data_item!$A$1:$A$1994,MATCH(Baupläne!L209,data_item!$B$1:$B$1994,0),1),0)</f>
        <v>37</v>
      </c>
      <c r="L209" s="3">
        <f>Baupläne!K209</f>
        <v>10</v>
      </c>
      <c r="M209" s="3">
        <f>IF(N209&gt;0,INDEX(data_item!$A$1:$A$1994,MATCH(Baupläne!N209,data_item!$B$1:$B$994,0),1),0)</f>
        <v>114</v>
      </c>
      <c r="N209" s="3">
        <f>Baupläne!M209</f>
        <v>14</v>
      </c>
      <c r="O209" s="3">
        <f>IF(P209&gt;0,INDEX(data_item!$A$1:$A$1994,MATCH(Baupläne!P209,data_item!$B$1:$B$1994,0),1),0)</f>
        <v>0</v>
      </c>
      <c r="P209" s="3">
        <f>Baupläne!O209</f>
        <v>0</v>
      </c>
      <c r="Q209" s="3">
        <f>IF(R209&gt;0,INDEX(data_item!$A$1:$A$1994,MATCH(Baupläne!R209,data_item!$B$1:$B$1994,0),1),0)</f>
        <v>0</v>
      </c>
      <c r="R209" s="3">
        <f>Baupläne!Q209</f>
        <v>0</v>
      </c>
      <c r="S209" s="3">
        <f>IF(T209&gt;0,INDEX(data_item!$A$1:$A$1994,MATCH(Baupläne!T209,data_item!$B$1:$B$1994,0),1),0)</f>
        <v>0</v>
      </c>
      <c r="T209" s="3">
        <f>Baupläne!S209</f>
        <v>0</v>
      </c>
    </row>
    <row r="210" spans="1:20" x14ac:dyDescent="0.2">
      <c r="A210" s="3">
        <f>Baupläne!A210</f>
        <v>1220</v>
      </c>
      <c r="B210" s="3" t="str">
        <f>Baupläne!C210</f>
        <v>Woll-Stiefel</v>
      </c>
      <c r="C210" s="3">
        <f>Baupläne!B210</f>
        <v>1220</v>
      </c>
      <c r="D210" s="3">
        <f>Baupläne!J210</f>
        <v>0</v>
      </c>
      <c r="E210" s="3">
        <f>Baupläne!H210</f>
        <v>66</v>
      </c>
      <c r="F210" s="3">
        <f>Baupläne!I210</f>
        <v>9</v>
      </c>
      <c r="G210" s="3">
        <f>Baupläne!E210</f>
        <v>33</v>
      </c>
      <c r="H210" s="3">
        <f>Baupläne!F210</f>
        <v>180</v>
      </c>
      <c r="I210" s="3">
        <f>0.5*Baupläne!Y210</f>
        <v>1300</v>
      </c>
      <c r="J210" s="3">
        <f>Baupläne!G210</f>
        <v>2</v>
      </c>
      <c r="K210" s="3">
        <f>IF(L210&gt;0,INDEX(data_item!$A$1:$A$1994,MATCH(Baupläne!L210,data_item!$B$1:$B$1994,0),1),0)</f>
        <v>37</v>
      </c>
      <c r="L210" s="3">
        <f>Baupläne!K210</f>
        <v>7</v>
      </c>
      <c r="M210" s="3">
        <f>IF(N210&gt;0,INDEX(data_item!$A$1:$A$1994,MATCH(Baupläne!N210,data_item!$B$1:$B$994,0),1),0)</f>
        <v>114</v>
      </c>
      <c r="N210" s="3">
        <f>Baupläne!M210</f>
        <v>10</v>
      </c>
      <c r="O210" s="3">
        <f>IF(P210&gt;0,INDEX(data_item!$A$1:$A$1994,MATCH(Baupläne!P210,data_item!$B$1:$B$1994,0),1),0)</f>
        <v>0</v>
      </c>
      <c r="P210" s="3">
        <f>Baupläne!O210</f>
        <v>0</v>
      </c>
      <c r="Q210" s="3">
        <f>IF(R210&gt;0,INDEX(data_item!$A$1:$A$1994,MATCH(Baupläne!R210,data_item!$B$1:$B$1994,0),1),0)</f>
        <v>0</v>
      </c>
      <c r="R210" s="3">
        <f>Baupläne!Q210</f>
        <v>0</v>
      </c>
      <c r="S210" s="3">
        <f>IF(T210&gt;0,INDEX(data_item!$A$1:$A$1994,MATCH(Baupläne!T210,data_item!$B$1:$B$1994,0),1),0)</f>
        <v>0</v>
      </c>
      <c r="T210" s="3">
        <f>Baupläne!S210</f>
        <v>0</v>
      </c>
    </row>
    <row r="211" spans="1:20" x14ac:dyDescent="0.2">
      <c r="A211" s="3">
        <f>Baupläne!A211</f>
        <v>1221</v>
      </c>
      <c r="B211" s="3" t="str">
        <f>Baupläne!C211</f>
        <v>Baumwoll-Haube</v>
      </c>
      <c r="C211" s="3">
        <f>Baupläne!B211</f>
        <v>1221</v>
      </c>
      <c r="D211" s="3">
        <f>Baupläne!J211</f>
        <v>0</v>
      </c>
      <c r="E211" s="3">
        <f>Baupläne!H211</f>
        <v>66</v>
      </c>
      <c r="F211" s="3">
        <f>Baupläne!I211</f>
        <v>10</v>
      </c>
      <c r="G211" s="3">
        <f>Baupläne!E211</f>
        <v>33</v>
      </c>
      <c r="H211" s="3">
        <f>Baupläne!F211</f>
        <v>240</v>
      </c>
      <c r="I211" s="3">
        <f>0.5*Baupläne!Y211</f>
        <v>2000</v>
      </c>
      <c r="J211" s="3">
        <f>Baupläne!G211</f>
        <v>3</v>
      </c>
      <c r="K211" s="3">
        <f>IF(L211&gt;0,INDEX(data_item!$A$1:$A$1994,MATCH(Baupläne!L211,data_item!$B$1:$B$1994,0),1),0)</f>
        <v>38</v>
      </c>
      <c r="L211" s="3">
        <f>Baupläne!K211</f>
        <v>7</v>
      </c>
      <c r="M211" s="3">
        <f>IF(N211&gt;0,INDEX(data_item!$A$1:$A$1994,MATCH(Baupläne!N211,data_item!$B$1:$B$994,0),1),0)</f>
        <v>114</v>
      </c>
      <c r="N211" s="3">
        <f>Baupläne!M211</f>
        <v>9</v>
      </c>
      <c r="O211" s="3">
        <f>IF(P211&gt;0,INDEX(data_item!$A$1:$A$1994,MATCH(Baupläne!P211,data_item!$B$1:$B$1994,0),1),0)</f>
        <v>115</v>
      </c>
      <c r="P211" s="3">
        <f>Baupläne!O211</f>
        <v>3</v>
      </c>
      <c r="Q211" s="3">
        <f>IF(R211&gt;0,INDEX(data_item!$A$1:$A$1994,MATCH(Baupläne!R211,data_item!$B$1:$B$1994,0),1),0)</f>
        <v>0</v>
      </c>
      <c r="R211" s="3">
        <f>Baupläne!Q211</f>
        <v>0</v>
      </c>
      <c r="S211" s="3">
        <f>IF(T211&gt;0,INDEX(data_item!$A$1:$A$1994,MATCH(Baupläne!T211,data_item!$B$1:$B$1994,0),1),0)</f>
        <v>0</v>
      </c>
      <c r="T211" s="3">
        <f>Baupläne!S211</f>
        <v>0</v>
      </c>
    </row>
    <row r="212" spans="1:20" x14ac:dyDescent="0.2">
      <c r="A212" s="3">
        <f>Baupläne!A212</f>
        <v>1222</v>
      </c>
      <c r="B212" s="3" t="str">
        <f>Baupläne!C212</f>
        <v>Baumwoll-Robe</v>
      </c>
      <c r="C212" s="3">
        <f>Baupläne!B212</f>
        <v>1222</v>
      </c>
      <c r="D212" s="3">
        <f>Baupläne!J212</f>
        <v>0</v>
      </c>
      <c r="E212" s="3">
        <f>Baupläne!H212</f>
        <v>66</v>
      </c>
      <c r="F212" s="3">
        <f>Baupläne!I212</f>
        <v>10</v>
      </c>
      <c r="G212" s="3">
        <f>Baupläne!E212</f>
        <v>33</v>
      </c>
      <c r="H212" s="3">
        <f>Baupläne!F212</f>
        <v>360</v>
      </c>
      <c r="I212" s="3">
        <f>0.5*Baupläne!Y212</f>
        <v>3050</v>
      </c>
      <c r="J212" s="3">
        <f>Baupläne!G212</f>
        <v>3</v>
      </c>
      <c r="K212" s="3">
        <f>IF(L212&gt;0,INDEX(data_item!$A$1:$A$1994,MATCH(Baupläne!L212,data_item!$B$1:$B$1994,0),1),0)</f>
        <v>38</v>
      </c>
      <c r="L212" s="3">
        <f>Baupläne!K212</f>
        <v>11</v>
      </c>
      <c r="M212" s="3">
        <f>IF(N212&gt;0,INDEX(data_item!$A$1:$A$1994,MATCH(Baupläne!N212,data_item!$B$1:$B$994,0),1),0)</f>
        <v>114</v>
      </c>
      <c r="N212" s="3">
        <f>Baupläne!M212</f>
        <v>10</v>
      </c>
      <c r="O212" s="3">
        <f>IF(P212&gt;0,INDEX(data_item!$A$1:$A$1994,MATCH(Baupläne!P212,data_item!$B$1:$B$1994,0),1),0)</f>
        <v>115</v>
      </c>
      <c r="P212" s="3">
        <f>Baupläne!O212</f>
        <v>6</v>
      </c>
      <c r="Q212" s="3">
        <f>IF(R212&gt;0,INDEX(data_item!$A$1:$A$1994,MATCH(Baupläne!R212,data_item!$B$1:$B$1994,0),1),0)</f>
        <v>0</v>
      </c>
      <c r="R212" s="3">
        <f>Baupläne!Q212</f>
        <v>0</v>
      </c>
      <c r="S212" s="3">
        <f>IF(T212&gt;0,INDEX(data_item!$A$1:$A$1994,MATCH(Baupläne!T212,data_item!$B$1:$B$1994,0),1),0)</f>
        <v>0</v>
      </c>
      <c r="T212" s="3">
        <f>Baupläne!S212</f>
        <v>0</v>
      </c>
    </row>
    <row r="213" spans="1:20" x14ac:dyDescent="0.2">
      <c r="A213" s="3">
        <f>Baupläne!A213</f>
        <v>1223</v>
      </c>
      <c r="B213" s="3" t="str">
        <f>Baupläne!C213</f>
        <v>Baumwoll-Handschuhe</v>
      </c>
      <c r="C213" s="3">
        <f>Baupläne!B213</f>
        <v>1223</v>
      </c>
      <c r="D213" s="3">
        <f>Baupläne!J213</f>
        <v>0</v>
      </c>
      <c r="E213" s="3">
        <f>Baupläne!H213</f>
        <v>66</v>
      </c>
      <c r="F213" s="3">
        <f>Baupläne!I213</f>
        <v>11</v>
      </c>
      <c r="G213" s="3">
        <f>Baupläne!E213</f>
        <v>33</v>
      </c>
      <c r="H213" s="3">
        <f>Baupläne!F213</f>
        <v>180</v>
      </c>
      <c r="I213" s="3">
        <f>0.5*Baupläne!Y213</f>
        <v>1750</v>
      </c>
      <c r="J213" s="3">
        <f>Baupläne!G213</f>
        <v>3</v>
      </c>
      <c r="K213" s="3">
        <f>IF(L213&gt;0,INDEX(data_item!$A$1:$A$1994,MATCH(Baupläne!L213,data_item!$B$1:$B$1994,0),1),0)</f>
        <v>38</v>
      </c>
      <c r="L213" s="3">
        <f>Baupläne!K213</f>
        <v>6</v>
      </c>
      <c r="M213" s="3">
        <f>IF(N213&gt;0,INDEX(data_item!$A$1:$A$1994,MATCH(Baupläne!N213,data_item!$B$1:$B$994,0),1),0)</f>
        <v>114</v>
      </c>
      <c r="N213" s="3">
        <f>Baupläne!M213</f>
        <v>7</v>
      </c>
      <c r="O213" s="3">
        <f>IF(P213&gt;0,INDEX(data_item!$A$1:$A$1994,MATCH(Baupläne!P213,data_item!$B$1:$B$1994,0),1),0)</f>
        <v>115</v>
      </c>
      <c r="P213" s="3">
        <f>Baupläne!O213</f>
        <v>3</v>
      </c>
      <c r="Q213" s="3">
        <f>IF(R213&gt;0,INDEX(data_item!$A$1:$A$1994,MATCH(Baupläne!R213,data_item!$B$1:$B$1994,0),1),0)</f>
        <v>0</v>
      </c>
      <c r="R213" s="3">
        <f>Baupläne!Q213</f>
        <v>0</v>
      </c>
      <c r="S213" s="3">
        <f>IF(T213&gt;0,INDEX(data_item!$A$1:$A$1994,MATCH(Baupläne!T213,data_item!$B$1:$B$1994,0),1),0)</f>
        <v>0</v>
      </c>
      <c r="T213" s="3">
        <f>Baupläne!S213</f>
        <v>0</v>
      </c>
    </row>
    <row r="214" spans="1:20" x14ac:dyDescent="0.2">
      <c r="A214" s="3">
        <f>Baupläne!A214</f>
        <v>1224</v>
      </c>
      <c r="B214" s="3" t="str">
        <f>Baupläne!C214</f>
        <v>Baumwoll-Hose</v>
      </c>
      <c r="C214" s="3">
        <f>Baupläne!B214</f>
        <v>1224</v>
      </c>
      <c r="D214" s="3">
        <f>Baupläne!J214</f>
        <v>0</v>
      </c>
      <c r="E214" s="3">
        <f>Baupläne!H214</f>
        <v>66</v>
      </c>
      <c r="F214" s="3">
        <f>Baupläne!I214</f>
        <v>11</v>
      </c>
      <c r="G214" s="3">
        <f>Baupläne!E214</f>
        <v>33</v>
      </c>
      <c r="H214" s="3">
        <f>Baupläne!F214</f>
        <v>240</v>
      </c>
      <c r="I214" s="3">
        <f>0.5*Baupläne!Y214</f>
        <v>2350</v>
      </c>
      <c r="J214" s="3">
        <f>Baupläne!G214</f>
        <v>3</v>
      </c>
      <c r="K214" s="3">
        <f>IF(L214&gt;0,INDEX(data_item!$A$1:$A$1994,MATCH(Baupläne!L214,data_item!$B$1:$B$1994,0),1),0)</f>
        <v>38</v>
      </c>
      <c r="L214" s="3">
        <f>Baupläne!K214</f>
        <v>8</v>
      </c>
      <c r="M214" s="3">
        <f>IF(N214&gt;0,INDEX(data_item!$A$1:$A$1994,MATCH(Baupläne!N214,data_item!$B$1:$B$994,0),1),0)</f>
        <v>114</v>
      </c>
      <c r="N214" s="3">
        <f>Baupläne!M214</f>
        <v>12</v>
      </c>
      <c r="O214" s="3">
        <f>IF(P214&gt;0,INDEX(data_item!$A$1:$A$1994,MATCH(Baupläne!P214,data_item!$B$1:$B$1994,0),1),0)</f>
        <v>115</v>
      </c>
      <c r="P214" s="3">
        <f>Baupläne!O214</f>
        <v>3</v>
      </c>
      <c r="Q214" s="3">
        <f>IF(R214&gt;0,INDEX(data_item!$A$1:$A$1994,MATCH(Baupläne!R214,data_item!$B$1:$B$1994,0),1),0)</f>
        <v>0</v>
      </c>
      <c r="R214" s="3">
        <f>Baupläne!Q214</f>
        <v>0</v>
      </c>
      <c r="S214" s="3">
        <f>IF(T214&gt;0,INDEX(data_item!$A$1:$A$1994,MATCH(Baupläne!T214,data_item!$B$1:$B$1994,0),1),0)</f>
        <v>0</v>
      </c>
      <c r="T214" s="3">
        <f>Baupläne!S214</f>
        <v>0</v>
      </c>
    </row>
    <row r="215" spans="1:20" x14ac:dyDescent="0.2">
      <c r="A215" s="3">
        <f>Baupläne!A215</f>
        <v>1225</v>
      </c>
      <c r="B215" s="3" t="str">
        <f>Baupläne!C215</f>
        <v>Baumwoll-Schuhe</v>
      </c>
      <c r="C215" s="3">
        <f>Baupläne!B215</f>
        <v>1225</v>
      </c>
      <c r="D215" s="3">
        <f>Baupläne!J215</f>
        <v>0</v>
      </c>
      <c r="E215" s="3">
        <f>Baupläne!H215</f>
        <v>66</v>
      </c>
      <c r="F215" s="3">
        <f>Baupläne!I215</f>
        <v>11</v>
      </c>
      <c r="G215" s="3">
        <f>Baupläne!E215</f>
        <v>33</v>
      </c>
      <c r="H215" s="3">
        <f>Baupläne!F215</f>
        <v>180</v>
      </c>
      <c r="I215" s="3">
        <f>0.5*Baupläne!Y215</f>
        <v>1750</v>
      </c>
      <c r="J215" s="3">
        <f>Baupläne!G215</f>
        <v>3</v>
      </c>
      <c r="K215" s="3">
        <f>IF(L215&gt;0,INDEX(data_item!$A$1:$A$1994,MATCH(Baupläne!L215,data_item!$B$1:$B$1994,0),1),0)</f>
        <v>38</v>
      </c>
      <c r="L215" s="3">
        <f>Baupläne!K215</f>
        <v>6</v>
      </c>
      <c r="M215" s="3">
        <f>IF(N215&gt;0,INDEX(data_item!$A$1:$A$1994,MATCH(Baupläne!N215,data_item!$B$1:$B$994,0),1),0)</f>
        <v>114</v>
      </c>
      <c r="N215" s="3">
        <f>Baupläne!M215</f>
        <v>7</v>
      </c>
      <c r="O215" s="3">
        <f>IF(P215&gt;0,INDEX(data_item!$A$1:$A$1994,MATCH(Baupläne!P215,data_item!$B$1:$B$1994,0),1),0)</f>
        <v>115</v>
      </c>
      <c r="P215" s="3">
        <f>Baupläne!O215</f>
        <v>3</v>
      </c>
      <c r="Q215" s="3">
        <f>IF(R215&gt;0,INDEX(data_item!$A$1:$A$1994,MATCH(Baupläne!R215,data_item!$B$1:$B$1994,0),1),0)</f>
        <v>0</v>
      </c>
      <c r="R215" s="3">
        <f>Baupläne!Q215</f>
        <v>0</v>
      </c>
      <c r="S215" s="3">
        <f>IF(T215&gt;0,INDEX(data_item!$A$1:$A$1994,MATCH(Baupläne!T215,data_item!$B$1:$B$1994,0),1),0)</f>
        <v>0</v>
      </c>
      <c r="T215" s="3">
        <f>Baupläne!S215</f>
        <v>0</v>
      </c>
    </row>
    <row r="216" spans="1:20" x14ac:dyDescent="0.2">
      <c r="A216" s="3">
        <f>Baupläne!A216</f>
        <v>1226</v>
      </c>
      <c r="B216" s="3" t="str">
        <f>Baupläne!C216</f>
        <v>Baumwoll-Spitzhut</v>
      </c>
      <c r="C216" s="3">
        <f>Baupläne!B216</f>
        <v>1226</v>
      </c>
      <c r="D216" s="3">
        <f>Baupläne!J216</f>
        <v>0</v>
      </c>
      <c r="E216" s="3">
        <f>Baupläne!H216</f>
        <v>66</v>
      </c>
      <c r="F216" s="3">
        <f>Baupläne!I216</f>
        <v>13</v>
      </c>
      <c r="G216" s="3">
        <f>Baupläne!E216</f>
        <v>33</v>
      </c>
      <c r="H216" s="3">
        <f>Baupläne!F216</f>
        <v>240</v>
      </c>
      <c r="I216" s="3">
        <f>0.5*Baupläne!Y216</f>
        <v>3100</v>
      </c>
      <c r="J216" s="3">
        <f>Baupläne!G216</f>
        <v>3</v>
      </c>
      <c r="K216" s="3">
        <f>IF(L216&gt;0,INDEX(data_item!$A$1:$A$1994,MATCH(Baupläne!L216,data_item!$B$1:$B$1994,0),1),0)</f>
        <v>38</v>
      </c>
      <c r="L216" s="3">
        <f>Baupläne!K216</f>
        <v>11</v>
      </c>
      <c r="M216" s="3">
        <f>IF(N216&gt;0,INDEX(data_item!$A$1:$A$1994,MATCH(Baupläne!N216,data_item!$B$1:$B$994,0),1),0)</f>
        <v>114</v>
      </c>
      <c r="N216" s="3">
        <f>Baupläne!M216</f>
        <v>8</v>
      </c>
      <c r="O216" s="3">
        <f>IF(P216&gt;0,INDEX(data_item!$A$1:$A$1994,MATCH(Baupläne!P216,data_item!$B$1:$B$1994,0),1),0)</f>
        <v>115</v>
      </c>
      <c r="P216" s="3">
        <f>Baupläne!O216</f>
        <v>7</v>
      </c>
      <c r="Q216" s="3">
        <f>IF(R216&gt;0,INDEX(data_item!$A$1:$A$1994,MATCH(Baupläne!R216,data_item!$B$1:$B$1994,0),1),0)</f>
        <v>0</v>
      </c>
      <c r="R216" s="3">
        <f>Baupläne!Q216</f>
        <v>0</v>
      </c>
      <c r="S216" s="3">
        <f>IF(T216&gt;0,INDEX(data_item!$A$1:$A$1994,MATCH(Baupläne!T216,data_item!$B$1:$B$1994,0),1),0)</f>
        <v>0</v>
      </c>
      <c r="T216" s="3">
        <f>Baupläne!S216</f>
        <v>0</v>
      </c>
    </row>
    <row r="217" spans="1:20" x14ac:dyDescent="0.2">
      <c r="A217" s="3">
        <f>Baupläne!A217</f>
        <v>1227</v>
      </c>
      <c r="B217" s="3" t="str">
        <f>Baupläne!C217</f>
        <v>Baumwoll-Tunika</v>
      </c>
      <c r="C217" s="3">
        <f>Baupläne!B217</f>
        <v>1227</v>
      </c>
      <c r="D217" s="3">
        <f>Baupläne!J217</f>
        <v>0</v>
      </c>
      <c r="E217" s="3">
        <f>Baupläne!H217</f>
        <v>66</v>
      </c>
      <c r="F217" s="3">
        <f>Baupläne!I217</f>
        <v>13</v>
      </c>
      <c r="G217" s="3">
        <f>Baupläne!E217</f>
        <v>33</v>
      </c>
      <c r="H217" s="3">
        <f>Baupläne!F217</f>
        <v>360</v>
      </c>
      <c r="I217" s="3">
        <f>0.5*Baupläne!Y217</f>
        <v>4600</v>
      </c>
      <c r="J217" s="3">
        <f>Baupläne!G217</f>
        <v>3</v>
      </c>
      <c r="K217" s="3">
        <f>IF(L217&gt;0,INDEX(data_item!$A$1:$A$1994,MATCH(Baupläne!L217,data_item!$B$1:$B$1994,0),1),0)</f>
        <v>38</v>
      </c>
      <c r="L217" s="3">
        <f>Baupläne!K217</f>
        <v>17</v>
      </c>
      <c r="M217" s="3">
        <f>IF(N217&gt;0,INDEX(data_item!$A$1:$A$1994,MATCH(Baupläne!N217,data_item!$B$1:$B$994,0),1),0)</f>
        <v>114</v>
      </c>
      <c r="N217" s="3">
        <f>Baupläne!M217</f>
        <v>13</v>
      </c>
      <c r="O217" s="3">
        <f>IF(P217&gt;0,INDEX(data_item!$A$1:$A$1994,MATCH(Baupläne!P217,data_item!$B$1:$B$1994,0),1),0)</f>
        <v>115</v>
      </c>
      <c r="P217" s="3">
        <f>Baupläne!O217</f>
        <v>10</v>
      </c>
      <c r="Q217" s="3">
        <f>IF(R217&gt;0,INDEX(data_item!$A$1:$A$1994,MATCH(Baupläne!R217,data_item!$B$1:$B$1994,0),1),0)</f>
        <v>0</v>
      </c>
      <c r="R217" s="3">
        <f>Baupläne!Q217</f>
        <v>0</v>
      </c>
      <c r="S217" s="3">
        <f>IF(T217&gt;0,INDEX(data_item!$A$1:$A$1994,MATCH(Baupläne!T217,data_item!$B$1:$B$1994,0),1),0)</f>
        <v>0</v>
      </c>
      <c r="T217" s="3">
        <f>Baupläne!S217</f>
        <v>0</v>
      </c>
    </row>
    <row r="218" spans="1:20" x14ac:dyDescent="0.2">
      <c r="A218" s="3">
        <f>Baupläne!A218</f>
        <v>1228</v>
      </c>
      <c r="B218" s="3" t="str">
        <f>Baupläne!C218</f>
        <v>Baumwoll-Stulpen</v>
      </c>
      <c r="C218" s="3">
        <f>Baupläne!B218</f>
        <v>1228</v>
      </c>
      <c r="D218" s="3">
        <f>Baupläne!J218</f>
        <v>0</v>
      </c>
      <c r="E218" s="3">
        <f>Baupläne!H218</f>
        <v>66</v>
      </c>
      <c r="F218" s="3">
        <f>Baupläne!I218</f>
        <v>14</v>
      </c>
      <c r="G218" s="3">
        <f>Baupläne!E218</f>
        <v>33</v>
      </c>
      <c r="H218" s="3">
        <f>Baupläne!F218</f>
        <v>180</v>
      </c>
      <c r="I218" s="3">
        <f>0.5*Baupläne!Y218</f>
        <v>2650</v>
      </c>
      <c r="J218" s="3">
        <f>Baupläne!G218</f>
        <v>3</v>
      </c>
      <c r="K218" s="3">
        <f>IF(L218&gt;0,INDEX(data_item!$A$1:$A$1994,MATCH(Baupläne!L218,data_item!$B$1:$B$1994,0),1),0)</f>
        <v>38</v>
      </c>
      <c r="L218" s="3">
        <f>Baupläne!K218</f>
        <v>10</v>
      </c>
      <c r="M218" s="3">
        <f>IF(N218&gt;0,INDEX(data_item!$A$1:$A$1994,MATCH(Baupläne!N218,data_item!$B$1:$B$994,0),1),0)</f>
        <v>114</v>
      </c>
      <c r="N218" s="3">
        <f>Baupläne!M218</f>
        <v>12</v>
      </c>
      <c r="O218" s="3">
        <f>IF(P218&gt;0,INDEX(data_item!$A$1:$A$1994,MATCH(Baupläne!P218,data_item!$B$1:$B$1994,0),1),0)</f>
        <v>115</v>
      </c>
      <c r="P218" s="3">
        <f>Baupläne!O218</f>
        <v>4</v>
      </c>
      <c r="Q218" s="3">
        <f>IF(R218&gt;0,INDEX(data_item!$A$1:$A$1994,MATCH(Baupläne!R218,data_item!$B$1:$B$1994,0),1),0)</f>
        <v>0</v>
      </c>
      <c r="R218" s="3">
        <f>Baupläne!Q218</f>
        <v>0</v>
      </c>
      <c r="S218" s="3">
        <f>IF(T218&gt;0,INDEX(data_item!$A$1:$A$1994,MATCH(Baupläne!T218,data_item!$B$1:$B$1994,0),1),0)</f>
        <v>0</v>
      </c>
      <c r="T218" s="3">
        <f>Baupläne!S218</f>
        <v>0</v>
      </c>
    </row>
    <row r="219" spans="1:20" x14ac:dyDescent="0.2">
      <c r="A219" s="3">
        <f>Baupläne!A219</f>
        <v>1229</v>
      </c>
      <c r="B219" s="3" t="str">
        <f>Baupläne!C219</f>
        <v>Baumwoll-Beinlinge</v>
      </c>
      <c r="C219" s="3">
        <f>Baupläne!B219</f>
        <v>1229</v>
      </c>
      <c r="D219" s="3">
        <f>Baupläne!J219</f>
        <v>0</v>
      </c>
      <c r="E219" s="3">
        <f>Baupläne!H219</f>
        <v>66</v>
      </c>
      <c r="F219" s="3">
        <f>Baupläne!I219</f>
        <v>14</v>
      </c>
      <c r="G219" s="3">
        <f>Baupläne!E219</f>
        <v>33</v>
      </c>
      <c r="H219" s="3">
        <f>Baupläne!F219</f>
        <v>240</v>
      </c>
      <c r="I219" s="3">
        <f>0.5*Baupläne!Y219</f>
        <v>3550</v>
      </c>
      <c r="J219" s="3">
        <f>Baupläne!G219</f>
        <v>3</v>
      </c>
      <c r="K219" s="3">
        <f>IF(L219&gt;0,INDEX(data_item!$A$1:$A$1994,MATCH(Baupläne!L219,data_item!$B$1:$B$1994,0),1),0)</f>
        <v>38</v>
      </c>
      <c r="L219" s="3">
        <f>Baupläne!K219</f>
        <v>13</v>
      </c>
      <c r="M219" s="3">
        <f>IF(N219&gt;0,INDEX(data_item!$A$1:$A$1994,MATCH(Baupläne!N219,data_item!$B$1:$B$994,0),1),0)</f>
        <v>114</v>
      </c>
      <c r="N219" s="3">
        <f>Baupläne!M219</f>
        <v>12</v>
      </c>
      <c r="O219" s="3">
        <f>IF(P219&gt;0,INDEX(data_item!$A$1:$A$1994,MATCH(Baupläne!P219,data_item!$B$1:$B$1994,0),1),0)</f>
        <v>115</v>
      </c>
      <c r="P219" s="3">
        <f>Baupläne!O219</f>
        <v>7</v>
      </c>
      <c r="Q219" s="3">
        <f>IF(R219&gt;0,INDEX(data_item!$A$1:$A$1994,MATCH(Baupläne!R219,data_item!$B$1:$B$1994,0),1),0)</f>
        <v>0</v>
      </c>
      <c r="R219" s="3">
        <f>Baupläne!Q219</f>
        <v>0</v>
      </c>
      <c r="S219" s="3">
        <f>IF(T219&gt;0,INDEX(data_item!$A$1:$A$1994,MATCH(Baupläne!T219,data_item!$B$1:$B$1994,0),1),0)</f>
        <v>0</v>
      </c>
      <c r="T219" s="3">
        <f>Baupläne!S219</f>
        <v>0</v>
      </c>
    </row>
    <row r="220" spans="1:20" x14ac:dyDescent="0.2">
      <c r="A220" s="3">
        <f>Baupläne!A220</f>
        <v>1230</v>
      </c>
      <c r="B220" s="3" t="str">
        <f>Baupläne!C220</f>
        <v>Baumwoll-Stiefel</v>
      </c>
      <c r="C220" s="3">
        <f>Baupläne!B220</f>
        <v>1230</v>
      </c>
      <c r="D220" s="3">
        <f>Baupläne!J220</f>
        <v>0</v>
      </c>
      <c r="E220" s="3">
        <f>Baupläne!H220</f>
        <v>66</v>
      </c>
      <c r="F220" s="3">
        <f>Baupläne!I220</f>
        <v>14</v>
      </c>
      <c r="G220" s="3">
        <f>Baupläne!E220</f>
        <v>33</v>
      </c>
      <c r="H220" s="3">
        <f>Baupläne!F220</f>
        <v>180</v>
      </c>
      <c r="I220" s="3">
        <f>0.5*Baupläne!Y220</f>
        <v>2650</v>
      </c>
      <c r="J220" s="3">
        <f>Baupläne!G220</f>
        <v>3</v>
      </c>
      <c r="K220" s="3">
        <f>IF(L220&gt;0,INDEX(data_item!$A$1:$A$1994,MATCH(Baupläne!L220,data_item!$B$1:$B$1994,0),1),0)</f>
        <v>38</v>
      </c>
      <c r="L220" s="3">
        <f>Baupläne!K220</f>
        <v>10</v>
      </c>
      <c r="M220" s="3">
        <f>IF(N220&gt;0,INDEX(data_item!$A$1:$A$1994,MATCH(Baupläne!N220,data_item!$B$1:$B$994,0),1),0)</f>
        <v>114</v>
      </c>
      <c r="N220" s="3">
        <f>Baupläne!M220</f>
        <v>12</v>
      </c>
      <c r="O220" s="3">
        <f>IF(P220&gt;0,INDEX(data_item!$A$1:$A$1994,MATCH(Baupläne!P220,data_item!$B$1:$B$1994,0),1),0)</f>
        <v>115</v>
      </c>
      <c r="P220" s="3">
        <f>Baupläne!O220</f>
        <v>4</v>
      </c>
      <c r="Q220" s="3">
        <f>IF(R220&gt;0,INDEX(data_item!$A$1:$A$1994,MATCH(Baupläne!R220,data_item!$B$1:$B$1994,0),1),0)</f>
        <v>0</v>
      </c>
      <c r="R220" s="3">
        <f>Baupläne!Q220</f>
        <v>0</v>
      </c>
      <c r="S220" s="3">
        <f>IF(T220&gt;0,INDEX(data_item!$A$1:$A$1994,MATCH(Baupläne!T220,data_item!$B$1:$B$1994,0),1),0)</f>
        <v>0</v>
      </c>
      <c r="T220" s="3">
        <f>Baupläne!S220</f>
        <v>0</v>
      </c>
    </row>
    <row r="221" spans="1:20" x14ac:dyDescent="0.2">
      <c r="A221" s="3">
        <f>Baupläne!A221</f>
        <v>1231</v>
      </c>
      <c r="B221" s="3" t="str">
        <f>Baupläne!C221</f>
        <v>Seiden-Haube</v>
      </c>
      <c r="C221" s="3">
        <f>Baupläne!B221</f>
        <v>1231</v>
      </c>
      <c r="D221" s="3">
        <f>Baupläne!J221</f>
        <v>0</v>
      </c>
      <c r="E221" s="3">
        <f>Baupläne!H221</f>
        <v>66</v>
      </c>
      <c r="F221" s="3">
        <f>Baupläne!I221</f>
        <v>15</v>
      </c>
      <c r="G221" s="3">
        <f>Baupläne!E221</f>
        <v>33</v>
      </c>
      <c r="H221" s="3">
        <f>Baupläne!F221</f>
        <v>240</v>
      </c>
      <c r="I221" s="3">
        <f>0.5*Baupläne!Y221</f>
        <v>4050</v>
      </c>
      <c r="J221" s="3">
        <f>Baupläne!G221</f>
        <v>4</v>
      </c>
      <c r="K221" s="3">
        <f>IF(L221&gt;0,INDEX(data_item!$A$1:$A$1994,MATCH(Baupläne!L221,data_item!$B$1:$B$1994,0),1),0)</f>
        <v>39</v>
      </c>
      <c r="L221" s="3">
        <f>Baupläne!K221</f>
        <v>10</v>
      </c>
      <c r="M221" s="3">
        <f>IF(N221&gt;0,INDEX(data_item!$A$1:$A$1994,MATCH(Baupläne!N221,data_item!$B$1:$B$994,0),1),0)</f>
        <v>114</v>
      </c>
      <c r="N221" s="3">
        <f>Baupläne!M221</f>
        <v>8</v>
      </c>
      <c r="O221" s="3">
        <f>IF(P221&gt;0,INDEX(data_item!$A$1:$A$1994,MATCH(Baupläne!P221,data_item!$B$1:$B$1994,0),1),0)</f>
        <v>115</v>
      </c>
      <c r="P221" s="3">
        <f>Baupläne!O221</f>
        <v>10</v>
      </c>
      <c r="Q221" s="3">
        <f>IF(R221&gt;0,INDEX(data_item!$A$1:$A$1994,MATCH(Baupläne!R221,data_item!$B$1:$B$1994,0),1),0)</f>
        <v>0</v>
      </c>
      <c r="R221" s="3">
        <f>Baupläne!Q221</f>
        <v>0</v>
      </c>
      <c r="S221" s="3">
        <f>IF(T221&gt;0,INDEX(data_item!$A$1:$A$1994,MATCH(Baupläne!T221,data_item!$B$1:$B$1994,0),1),0)</f>
        <v>0</v>
      </c>
      <c r="T221" s="3">
        <f>Baupläne!S221</f>
        <v>0</v>
      </c>
    </row>
    <row r="222" spans="1:20" x14ac:dyDescent="0.2">
      <c r="A222" s="3">
        <f>Baupläne!A222</f>
        <v>1232</v>
      </c>
      <c r="B222" s="3" t="str">
        <f>Baupläne!C222</f>
        <v>Seiden-Robe</v>
      </c>
      <c r="C222" s="3">
        <f>Baupläne!B222</f>
        <v>1232</v>
      </c>
      <c r="D222" s="3">
        <f>Baupläne!J222</f>
        <v>0</v>
      </c>
      <c r="E222" s="3">
        <f>Baupläne!H222</f>
        <v>66</v>
      </c>
      <c r="F222" s="3">
        <f>Baupläne!I222</f>
        <v>15</v>
      </c>
      <c r="G222" s="3">
        <f>Baupläne!E222</f>
        <v>33</v>
      </c>
      <c r="H222" s="3">
        <f>Baupläne!F222</f>
        <v>360</v>
      </c>
      <c r="I222" s="3">
        <f>0.5*Baupläne!Y222</f>
        <v>6100</v>
      </c>
      <c r="J222" s="3">
        <f>Baupläne!G222</f>
        <v>4</v>
      </c>
      <c r="K222" s="3">
        <f>IF(L222&gt;0,INDEX(data_item!$A$1:$A$1994,MATCH(Baupläne!L222,data_item!$B$1:$B$1994,0),1),0)</f>
        <v>39</v>
      </c>
      <c r="L222" s="3">
        <f>Baupläne!K222</f>
        <v>15</v>
      </c>
      <c r="M222" s="3">
        <f>IF(N222&gt;0,INDEX(data_item!$A$1:$A$1994,MATCH(Baupläne!N222,data_item!$B$1:$B$994,0),1),0)</f>
        <v>114</v>
      </c>
      <c r="N222" s="3">
        <f>Baupläne!M222</f>
        <v>10</v>
      </c>
      <c r="O222" s="3">
        <f>IF(P222&gt;0,INDEX(data_item!$A$1:$A$1994,MATCH(Baupläne!P222,data_item!$B$1:$B$1994,0),1),0)</f>
        <v>115</v>
      </c>
      <c r="P222" s="3">
        <f>Baupläne!O222</f>
        <v>16</v>
      </c>
      <c r="Q222" s="3">
        <f>IF(R222&gt;0,INDEX(data_item!$A$1:$A$1994,MATCH(Baupläne!R222,data_item!$B$1:$B$1994,0),1),0)</f>
        <v>0</v>
      </c>
      <c r="R222" s="3">
        <f>Baupläne!Q222</f>
        <v>0</v>
      </c>
      <c r="S222" s="3">
        <f>IF(T222&gt;0,INDEX(data_item!$A$1:$A$1994,MATCH(Baupläne!T222,data_item!$B$1:$B$1994,0),1),0)</f>
        <v>0</v>
      </c>
      <c r="T222" s="3">
        <f>Baupläne!S222</f>
        <v>0</v>
      </c>
    </row>
    <row r="223" spans="1:20" x14ac:dyDescent="0.2">
      <c r="A223" s="3">
        <f>Baupläne!A223</f>
        <v>1233</v>
      </c>
      <c r="B223" s="3" t="str">
        <f>Baupläne!C223</f>
        <v>Seiden-Handschuhe</v>
      </c>
      <c r="C223" s="3">
        <f>Baupläne!B223</f>
        <v>1233</v>
      </c>
      <c r="D223" s="3">
        <f>Baupläne!J223</f>
        <v>0</v>
      </c>
      <c r="E223" s="3">
        <f>Baupläne!H223</f>
        <v>66</v>
      </c>
      <c r="F223" s="3">
        <f>Baupläne!I223</f>
        <v>16</v>
      </c>
      <c r="G223" s="3">
        <f>Baupläne!E223</f>
        <v>33</v>
      </c>
      <c r="H223" s="3">
        <f>Baupläne!F223</f>
        <v>180</v>
      </c>
      <c r="I223" s="3">
        <f>0.5*Baupläne!Y223</f>
        <v>3500</v>
      </c>
      <c r="J223" s="3">
        <f>Baupläne!G223</f>
        <v>4</v>
      </c>
      <c r="K223" s="3">
        <f>IF(L223&gt;0,INDEX(data_item!$A$1:$A$1994,MATCH(Baupläne!L223,data_item!$B$1:$B$1994,0),1),0)</f>
        <v>39</v>
      </c>
      <c r="L223" s="3">
        <f>Baupläne!K223</f>
        <v>8</v>
      </c>
      <c r="M223" s="3">
        <f>IF(N223&gt;0,INDEX(data_item!$A$1:$A$1994,MATCH(Baupläne!N223,data_item!$B$1:$B$994,0),1),0)</f>
        <v>114</v>
      </c>
      <c r="N223" s="3">
        <f>Baupläne!M223</f>
        <v>9</v>
      </c>
      <c r="O223" s="3">
        <f>IF(P223&gt;0,INDEX(data_item!$A$1:$A$1994,MATCH(Baupläne!P223,data_item!$B$1:$B$1994,0),1),0)</f>
        <v>115</v>
      </c>
      <c r="P223" s="3">
        <f>Baupläne!O223</f>
        <v>8</v>
      </c>
      <c r="Q223" s="3">
        <f>IF(R223&gt;0,INDEX(data_item!$A$1:$A$1994,MATCH(Baupläne!R223,data_item!$B$1:$B$1994,0),1),0)</f>
        <v>0</v>
      </c>
      <c r="R223" s="3">
        <f>Baupläne!Q223</f>
        <v>0</v>
      </c>
      <c r="S223" s="3">
        <f>IF(T223&gt;0,INDEX(data_item!$A$1:$A$1994,MATCH(Baupläne!T223,data_item!$B$1:$B$1994,0),1),0)</f>
        <v>0</v>
      </c>
      <c r="T223" s="3">
        <f>Baupläne!S223</f>
        <v>0</v>
      </c>
    </row>
    <row r="224" spans="1:20" x14ac:dyDescent="0.2">
      <c r="A224" s="3">
        <f>Baupläne!A224</f>
        <v>1234</v>
      </c>
      <c r="B224" s="3" t="str">
        <f>Baupläne!C224</f>
        <v>Seiden-Hose</v>
      </c>
      <c r="C224" s="3">
        <f>Baupläne!B224</f>
        <v>1234</v>
      </c>
      <c r="D224" s="3">
        <f>Baupläne!J224</f>
        <v>0</v>
      </c>
      <c r="E224" s="3">
        <f>Baupläne!H224</f>
        <v>66</v>
      </c>
      <c r="F224" s="3">
        <f>Baupläne!I224</f>
        <v>16</v>
      </c>
      <c r="G224" s="3">
        <f>Baupläne!E224</f>
        <v>33</v>
      </c>
      <c r="H224" s="3">
        <f>Baupläne!F224</f>
        <v>240</v>
      </c>
      <c r="I224" s="3">
        <f>0.5*Baupläne!Y224</f>
        <v>4700</v>
      </c>
      <c r="J224" s="3">
        <f>Baupläne!G224</f>
        <v>4</v>
      </c>
      <c r="K224" s="3">
        <f>IF(L224&gt;0,INDEX(data_item!$A$1:$A$1994,MATCH(Baupläne!L224,data_item!$B$1:$B$1994,0),1),0)</f>
        <v>39</v>
      </c>
      <c r="L224" s="3">
        <f>Baupläne!K224</f>
        <v>11</v>
      </c>
      <c r="M224" s="3">
        <f>IF(N224&gt;0,INDEX(data_item!$A$1:$A$1994,MATCH(Baupläne!N224,data_item!$B$1:$B$994,0),1),0)</f>
        <v>114</v>
      </c>
      <c r="N224" s="3">
        <f>Baupläne!M224</f>
        <v>9</v>
      </c>
      <c r="O224" s="3">
        <f>IF(P224&gt;0,INDEX(data_item!$A$1:$A$1994,MATCH(Baupläne!P224,data_item!$B$1:$B$1994,0),1),0)</f>
        <v>115</v>
      </c>
      <c r="P224" s="3">
        <f>Baupläne!O224</f>
        <v>12</v>
      </c>
      <c r="Q224" s="3">
        <f>IF(R224&gt;0,INDEX(data_item!$A$1:$A$1994,MATCH(Baupläne!R224,data_item!$B$1:$B$1994,0),1),0)</f>
        <v>0</v>
      </c>
      <c r="R224" s="3">
        <f>Baupläne!Q224</f>
        <v>0</v>
      </c>
      <c r="S224" s="3">
        <f>IF(T224&gt;0,INDEX(data_item!$A$1:$A$1994,MATCH(Baupläne!T224,data_item!$B$1:$B$1994,0),1),0)</f>
        <v>0</v>
      </c>
      <c r="T224" s="3">
        <f>Baupläne!S224</f>
        <v>0</v>
      </c>
    </row>
    <row r="225" spans="1:20" x14ac:dyDescent="0.2">
      <c r="A225" s="3">
        <f>Baupläne!A225</f>
        <v>1235</v>
      </c>
      <c r="B225" s="3" t="str">
        <f>Baupläne!C225</f>
        <v>Seiden-Schuhe</v>
      </c>
      <c r="C225" s="3">
        <f>Baupläne!B225</f>
        <v>1235</v>
      </c>
      <c r="D225" s="3">
        <f>Baupläne!J225</f>
        <v>0</v>
      </c>
      <c r="E225" s="3">
        <f>Baupläne!H225</f>
        <v>66</v>
      </c>
      <c r="F225" s="3">
        <f>Baupläne!I225</f>
        <v>16</v>
      </c>
      <c r="G225" s="3">
        <f>Baupläne!E225</f>
        <v>33</v>
      </c>
      <c r="H225" s="3">
        <f>Baupläne!F225</f>
        <v>180</v>
      </c>
      <c r="I225" s="3">
        <f>0.5*Baupläne!Y225</f>
        <v>3500</v>
      </c>
      <c r="J225" s="3">
        <f>Baupläne!G225</f>
        <v>4</v>
      </c>
      <c r="K225" s="3">
        <f>IF(L225&gt;0,INDEX(data_item!$A$1:$A$1994,MATCH(Baupläne!L225,data_item!$B$1:$B$1994,0),1),0)</f>
        <v>39</v>
      </c>
      <c r="L225" s="3">
        <f>Baupläne!K225</f>
        <v>8</v>
      </c>
      <c r="M225" s="3">
        <f>IF(N225&gt;0,INDEX(data_item!$A$1:$A$1994,MATCH(Baupläne!N225,data_item!$B$1:$B$994,0),1),0)</f>
        <v>114</v>
      </c>
      <c r="N225" s="3">
        <f>Baupläne!M225</f>
        <v>9</v>
      </c>
      <c r="O225" s="3">
        <f>IF(P225&gt;0,INDEX(data_item!$A$1:$A$1994,MATCH(Baupläne!P225,data_item!$B$1:$B$1994,0),1),0)</f>
        <v>115</v>
      </c>
      <c r="P225" s="3">
        <f>Baupläne!O225</f>
        <v>8</v>
      </c>
      <c r="Q225" s="3">
        <f>IF(R225&gt;0,INDEX(data_item!$A$1:$A$1994,MATCH(Baupläne!R225,data_item!$B$1:$B$1994,0),1),0)</f>
        <v>0</v>
      </c>
      <c r="R225" s="3">
        <f>Baupläne!Q225</f>
        <v>0</v>
      </c>
      <c r="S225" s="3">
        <f>IF(T225&gt;0,INDEX(data_item!$A$1:$A$1994,MATCH(Baupläne!T225,data_item!$B$1:$B$1994,0),1),0)</f>
        <v>0</v>
      </c>
      <c r="T225" s="3">
        <f>Baupläne!S225</f>
        <v>0</v>
      </c>
    </row>
    <row r="226" spans="1:20" x14ac:dyDescent="0.2">
      <c r="A226" s="3">
        <f>Baupläne!A226</f>
        <v>1236</v>
      </c>
      <c r="B226" s="3" t="str">
        <f>Baupläne!C226</f>
        <v>Seiden-Spitzhut</v>
      </c>
      <c r="C226" s="3">
        <f>Baupläne!B226</f>
        <v>1236</v>
      </c>
      <c r="D226" s="3">
        <f>Baupläne!J226</f>
        <v>0</v>
      </c>
      <c r="E226" s="3">
        <f>Baupläne!H226</f>
        <v>66</v>
      </c>
      <c r="F226" s="3">
        <f>Baupläne!I226</f>
        <v>18</v>
      </c>
      <c r="G226" s="3">
        <f>Baupläne!E226</f>
        <v>33</v>
      </c>
      <c r="H226" s="3">
        <f>Baupläne!F226</f>
        <v>240</v>
      </c>
      <c r="I226" s="3">
        <f>0.5*Baupläne!Y226</f>
        <v>6200</v>
      </c>
      <c r="J226" s="3">
        <f>Baupläne!G226</f>
        <v>4</v>
      </c>
      <c r="K226" s="3">
        <f>IF(L226&gt;0,INDEX(data_item!$A$1:$A$1994,MATCH(Baupläne!L226,data_item!$B$1:$B$1994,0),1),0)</f>
        <v>39</v>
      </c>
      <c r="L226" s="3">
        <f>Baupläne!K226</f>
        <v>15</v>
      </c>
      <c r="M226" s="3">
        <f>IF(N226&gt;0,INDEX(data_item!$A$1:$A$1994,MATCH(Baupläne!N226,data_item!$B$1:$B$994,0),1),0)</f>
        <v>114</v>
      </c>
      <c r="N226" s="3">
        <f>Baupläne!M226</f>
        <v>14</v>
      </c>
      <c r="O226" s="3">
        <f>IF(P226&gt;0,INDEX(data_item!$A$1:$A$1994,MATCH(Baupläne!P226,data_item!$B$1:$B$1994,0),1),0)</f>
        <v>115</v>
      </c>
      <c r="P226" s="3">
        <f>Baupläne!O226</f>
        <v>15</v>
      </c>
      <c r="Q226" s="3">
        <f>IF(R226&gt;0,INDEX(data_item!$A$1:$A$1994,MATCH(Baupläne!R226,data_item!$B$1:$B$1994,0),1),0)</f>
        <v>0</v>
      </c>
      <c r="R226" s="3">
        <f>Baupläne!Q226</f>
        <v>0</v>
      </c>
      <c r="S226" s="3">
        <f>IF(T226&gt;0,INDEX(data_item!$A$1:$A$1994,MATCH(Baupläne!T226,data_item!$B$1:$B$1994,0),1),0)</f>
        <v>0</v>
      </c>
      <c r="T226" s="3">
        <f>Baupläne!S226</f>
        <v>0</v>
      </c>
    </row>
    <row r="227" spans="1:20" x14ac:dyDescent="0.2">
      <c r="A227" s="3">
        <f>Baupläne!A227</f>
        <v>1237</v>
      </c>
      <c r="B227" s="3" t="str">
        <f>Baupläne!C227</f>
        <v>Seiden-Tunika</v>
      </c>
      <c r="C227" s="3">
        <f>Baupläne!B227</f>
        <v>1237</v>
      </c>
      <c r="D227" s="3">
        <f>Baupläne!J227</f>
        <v>0</v>
      </c>
      <c r="E227" s="3">
        <f>Baupläne!H227</f>
        <v>66</v>
      </c>
      <c r="F227" s="3">
        <f>Baupläne!I227</f>
        <v>18</v>
      </c>
      <c r="G227" s="3">
        <f>Baupläne!E227</f>
        <v>33</v>
      </c>
      <c r="H227" s="3">
        <f>Baupläne!F227</f>
        <v>360</v>
      </c>
      <c r="I227" s="3">
        <f>0.5*Baupläne!Y227</f>
        <v>9300</v>
      </c>
      <c r="J227" s="3">
        <f>Baupläne!G227</f>
        <v>4</v>
      </c>
      <c r="K227" s="3">
        <f>IF(L227&gt;0,INDEX(data_item!$A$1:$A$1994,MATCH(Baupläne!L227,data_item!$B$1:$B$1994,0),1),0)</f>
        <v>39</v>
      </c>
      <c r="L227" s="3">
        <f>Baupläne!K227</f>
        <v>23</v>
      </c>
      <c r="M227" s="3">
        <f>IF(N227&gt;0,INDEX(data_item!$A$1:$A$1994,MATCH(Baupläne!N227,data_item!$B$1:$B$994,0),1),0)</f>
        <v>114</v>
      </c>
      <c r="N227" s="3">
        <f>Baupläne!M227</f>
        <v>14</v>
      </c>
      <c r="O227" s="3">
        <f>IF(P227&gt;0,INDEX(data_item!$A$1:$A$1994,MATCH(Baupläne!P227,data_item!$B$1:$B$1994,0),1),0)</f>
        <v>115</v>
      </c>
      <c r="P227" s="3">
        <f>Baupläne!O227</f>
        <v>25</v>
      </c>
      <c r="Q227" s="3">
        <f>IF(R227&gt;0,INDEX(data_item!$A$1:$A$1994,MATCH(Baupläne!R227,data_item!$B$1:$B$1994,0),1),0)</f>
        <v>0</v>
      </c>
      <c r="R227" s="3">
        <f>Baupläne!Q227</f>
        <v>0</v>
      </c>
      <c r="S227" s="3">
        <f>IF(T227&gt;0,INDEX(data_item!$A$1:$A$1994,MATCH(Baupläne!T227,data_item!$B$1:$B$1994,0),1),0)</f>
        <v>0</v>
      </c>
      <c r="T227" s="3">
        <f>Baupläne!S227</f>
        <v>0</v>
      </c>
    </row>
    <row r="228" spans="1:20" x14ac:dyDescent="0.2">
      <c r="A228" s="3">
        <f>Baupläne!A228</f>
        <v>1238</v>
      </c>
      <c r="B228" s="3" t="str">
        <f>Baupläne!C228</f>
        <v>Seiden-Stulpen</v>
      </c>
      <c r="C228" s="3">
        <f>Baupläne!B228</f>
        <v>1238</v>
      </c>
      <c r="D228" s="3">
        <f>Baupläne!J228</f>
        <v>0</v>
      </c>
      <c r="E228" s="3">
        <f>Baupläne!H228</f>
        <v>66</v>
      </c>
      <c r="F228" s="3">
        <f>Baupläne!I228</f>
        <v>19</v>
      </c>
      <c r="G228" s="3">
        <f>Baupläne!E228</f>
        <v>33</v>
      </c>
      <c r="H228" s="3">
        <f>Baupläne!F228</f>
        <v>180</v>
      </c>
      <c r="I228" s="3">
        <f>0.5*Baupläne!Y228</f>
        <v>5350</v>
      </c>
      <c r="J228" s="3">
        <f>Baupläne!G228</f>
        <v>4</v>
      </c>
      <c r="K228" s="3">
        <f>IF(L228&gt;0,INDEX(data_item!$A$1:$A$1994,MATCH(Baupläne!L228,data_item!$B$1:$B$1994,0),1),0)</f>
        <v>39</v>
      </c>
      <c r="L228" s="3">
        <f>Baupläne!K228</f>
        <v>13</v>
      </c>
      <c r="M228" s="3">
        <f>IF(N228&gt;0,INDEX(data_item!$A$1:$A$1994,MATCH(Baupläne!N228,data_item!$B$1:$B$994,0),1),0)</f>
        <v>114</v>
      </c>
      <c r="N228" s="3">
        <f>Baupläne!M228</f>
        <v>14</v>
      </c>
      <c r="O228" s="3">
        <f>IF(P228&gt;0,INDEX(data_item!$A$1:$A$1994,MATCH(Baupläne!P228,data_item!$B$1:$B$1994,0),1),0)</f>
        <v>115</v>
      </c>
      <c r="P228" s="3">
        <f>Baupläne!O228</f>
        <v>12</v>
      </c>
      <c r="Q228" s="3">
        <f>IF(R228&gt;0,INDEX(data_item!$A$1:$A$1994,MATCH(Baupläne!R228,data_item!$B$1:$B$1994,0),1),0)</f>
        <v>0</v>
      </c>
      <c r="R228" s="3">
        <f>Baupläne!Q228</f>
        <v>0</v>
      </c>
      <c r="S228" s="3">
        <f>IF(T228&gt;0,INDEX(data_item!$A$1:$A$1994,MATCH(Baupläne!T228,data_item!$B$1:$B$1994,0),1),0)</f>
        <v>0</v>
      </c>
      <c r="T228" s="3">
        <f>Baupläne!S228</f>
        <v>0</v>
      </c>
    </row>
    <row r="229" spans="1:20" x14ac:dyDescent="0.2">
      <c r="A229" s="3">
        <f>Baupläne!A229</f>
        <v>1239</v>
      </c>
      <c r="B229" s="3" t="str">
        <f>Baupläne!C229</f>
        <v>Seiden-Beinlinge</v>
      </c>
      <c r="C229" s="3">
        <f>Baupläne!B229</f>
        <v>1239</v>
      </c>
      <c r="D229" s="3">
        <f>Baupläne!J229</f>
        <v>0</v>
      </c>
      <c r="E229" s="3">
        <f>Baupläne!H229</f>
        <v>66</v>
      </c>
      <c r="F229" s="3">
        <f>Baupläne!I229</f>
        <v>19</v>
      </c>
      <c r="G229" s="3">
        <f>Baupläne!E229</f>
        <v>33</v>
      </c>
      <c r="H229" s="3">
        <f>Baupläne!F229</f>
        <v>240</v>
      </c>
      <c r="I229" s="3">
        <f>0.5*Baupläne!Y229</f>
        <v>7100</v>
      </c>
      <c r="J229" s="3">
        <f>Baupläne!G229</f>
        <v>4</v>
      </c>
      <c r="K229" s="3">
        <f>IF(L229&gt;0,INDEX(data_item!$A$1:$A$1994,MATCH(Baupläne!L229,data_item!$B$1:$B$1994,0),1),0)</f>
        <v>39</v>
      </c>
      <c r="L229" s="3">
        <f>Baupläne!K229</f>
        <v>17</v>
      </c>
      <c r="M229" s="3">
        <f>IF(N229&gt;0,INDEX(data_item!$A$1:$A$1994,MATCH(Baupläne!N229,data_item!$B$1:$B$994,0),1),0)</f>
        <v>114</v>
      </c>
      <c r="N229" s="3">
        <f>Baupläne!M229</f>
        <v>14</v>
      </c>
      <c r="O229" s="3">
        <f>IF(P229&gt;0,INDEX(data_item!$A$1:$A$1994,MATCH(Baupläne!P229,data_item!$B$1:$B$1994,0),1),0)</f>
        <v>115</v>
      </c>
      <c r="P229" s="3">
        <f>Baupläne!O229</f>
        <v>18</v>
      </c>
      <c r="Q229" s="3">
        <f>IF(R229&gt;0,INDEX(data_item!$A$1:$A$1994,MATCH(Baupläne!R229,data_item!$B$1:$B$1994,0),1),0)</f>
        <v>0</v>
      </c>
      <c r="R229" s="3">
        <f>Baupläne!Q229</f>
        <v>0</v>
      </c>
      <c r="S229" s="3">
        <f>IF(T229&gt;0,INDEX(data_item!$A$1:$A$1994,MATCH(Baupläne!T229,data_item!$B$1:$B$1994,0),1),0)</f>
        <v>0</v>
      </c>
      <c r="T229" s="3">
        <f>Baupläne!S229</f>
        <v>0</v>
      </c>
    </row>
    <row r="230" spans="1:20" x14ac:dyDescent="0.2">
      <c r="A230" s="3">
        <f>Baupläne!A230</f>
        <v>1240</v>
      </c>
      <c r="B230" s="3" t="str">
        <f>Baupläne!C230</f>
        <v>Seiden-Stiefel</v>
      </c>
      <c r="C230" s="3">
        <f>Baupläne!B230</f>
        <v>1240</v>
      </c>
      <c r="D230" s="3">
        <f>Baupläne!J230</f>
        <v>0</v>
      </c>
      <c r="E230" s="3">
        <f>Baupläne!H230</f>
        <v>66</v>
      </c>
      <c r="F230" s="3">
        <f>Baupläne!I230</f>
        <v>19</v>
      </c>
      <c r="G230" s="3">
        <f>Baupläne!E230</f>
        <v>33</v>
      </c>
      <c r="H230" s="3">
        <f>Baupläne!F230</f>
        <v>180</v>
      </c>
      <c r="I230" s="3">
        <f>0.5*Baupläne!Y230</f>
        <v>5350</v>
      </c>
      <c r="J230" s="3">
        <f>Baupläne!G230</f>
        <v>4</v>
      </c>
      <c r="K230" s="3">
        <f>IF(L230&gt;0,INDEX(data_item!$A$1:$A$1994,MATCH(Baupläne!L230,data_item!$B$1:$B$1994,0),1),0)</f>
        <v>39</v>
      </c>
      <c r="L230" s="3">
        <f>Baupläne!K230</f>
        <v>13</v>
      </c>
      <c r="M230" s="3">
        <f>IF(N230&gt;0,INDEX(data_item!$A$1:$A$1994,MATCH(Baupläne!N230,data_item!$B$1:$B$994,0),1),0)</f>
        <v>114</v>
      </c>
      <c r="N230" s="3">
        <f>Baupläne!M230</f>
        <v>14</v>
      </c>
      <c r="O230" s="3">
        <f>IF(P230&gt;0,INDEX(data_item!$A$1:$A$1994,MATCH(Baupläne!P230,data_item!$B$1:$B$1994,0),1),0)</f>
        <v>115</v>
      </c>
      <c r="P230" s="3">
        <f>Baupläne!O230</f>
        <v>12</v>
      </c>
      <c r="Q230" s="3">
        <f>IF(R230&gt;0,INDEX(data_item!$A$1:$A$1994,MATCH(Baupläne!R230,data_item!$B$1:$B$1994,0),1),0)</f>
        <v>0</v>
      </c>
      <c r="R230" s="3">
        <f>Baupläne!Q230</f>
        <v>0</v>
      </c>
      <c r="S230" s="3">
        <f>IF(T230&gt;0,INDEX(data_item!$A$1:$A$1994,MATCH(Baupläne!T230,data_item!$B$1:$B$1994,0),1),0)</f>
        <v>0</v>
      </c>
      <c r="T230" s="3">
        <f>Baupläne!S230</f>
        <v>0</v>
      </c>
    </row>
    <row r="231" spans="1:20" x14ac:dyDescent="0.2">
      <c r="A231" s="3">
        <f>Baupläne!A231</f>
        <v>1241</v>
      </c>
      <c r="B231" s="3" t="str">
        <f>Baupläne!C231</f>
        <v>Äther-Haube</v>
      </c>
      <c r="C231" s="3">
        <f>Baupläne!B231</f>
        <v>1241</v>
      </c>
      <c r="D231" s="3">
        <f>Baupläne!J231</f>
        <v>0</v>
      </c>
      <c r="E231" s="3">
        <f>Baupläne!H231</f>
        <v>66</v>
      </c>
      <c r="F231" s="3">
        <f>Baupläne!I231</f>
        <v>20</v>
      </c>
      <c r="G231" s="3">
        <f>Baupläne!E231</f>
        <v>33</v>
      </c>
      <c r="H231" s="3">
        <f>Baupläne!F231</f>
        <v>240</v>
      </c>
      <c r="I231" s="3">
        <f>0.5*Baupläne!Y231</f>
        <v>8200</v>
      </c>
      <c r="J231" s="3">
        <f>Baupläne!G231</f>
        <v>5</v>
      </c>
      <c r="K231" s="3">
        <f>IF(L231&gt;0,INDEX(data_item!$A$1:$A$1994,MATCH(Baupläne!L231,data_item!$B$1:$B$1994,0),1),0)</f>
        <v>40</v>
      </c>
      <c r="L231" s="3">
        <f>Baupläne!K231</f>
        <v>15</v>
      </c>
      <c r="M231" s="3">
        <f>IF(N231&gt;0,INDEX(data_item!$A$1:$A$1994,MATCH(Baupläne!N231,data_item!$B$1:$B$994,0),1),0)</f>
        <v>114</v>
      </c>
      <c r="N231" s="3">
        <f>Baupläne!M231</f>
        <v>8</v>
      </c>
      <c r="O231" s="3">
        <f>IF(P231&gt;0,INDEX(data_item!$A$1:$A$1994,MATCH(Baupläne!P231,data_item!$B$1:$B$1994,0),1),0)</f>
        <v>115</v>
      </c>
      <c r="P231" s="3">
        <f>Baupläne!O231</f>
        <v>9</v>
      </c>
      <c r="Q231" s="3">
        <f>IF(R231&gt;0,INDEX(data_item!$A$1:$A$1994,MATCH(Baupläne!R231,data_item!$B$1:$B$1994,0),1),0)</f>
        <v>116</v>
      </c>
      <c r="R231" s="3">
        <f>Baupläne!Q231</f>
        <v>6</v>
      </c>
      <c r="S231" s="3">
        <f>IF(T231&gt;0,INDEX(data_item!$A$1:$A$1994,MATCH(Baupläne!T231,data_item!$B$1:$B$1994,0),1),0)</f>
        <v>0</v>
      </c>
      <c r="T231" s="3">
        <f>Baupläne!S231</f>
        <v>0</v>
      </c>
    </row>
    <row r="232" spans="1:20" x14ac:dyDescent="0.2">
      <c r="A232" s="3">
        <f>Baupläne!A232</f>
        <v>1242</v>
      </c>
      <c r="B232" s="3" t="str">
        <f>Baupläne!C232</f>
        <v>Äther-Robe</v>
      </c>
      <c r="C232" s="3">
        <f>Baupläne!B232</f>
        <v>1242</v>
      </c>
      <c r="D232" s="3">
        <f>Baupläne!J232</f>
        <v>0</v>
      </c>
      <c r="E232" s="3">
        <f>Baupläne!H232</f>
        <v>66</v>
      </c>
      <c r="F232" s="3">
        <f>Baupläne!I232</f>
        <v>20</v>
      </c>
      <c r="G232" s="3">
        <f>Baupläne!E232</f>
        <v>33</v>
      </c>
      <c r="H232" s="3">
        <f>Baupläne!F232</f>
        <v>360</v>
      </c>
      <c r="I232" s="3">
        <f>0.5*Baupläne!Y232</f>
        <v>12250</v>
      </c>
      <c r="J232" s="3">
        <f>Baupläne!G232</f>
        <v>5</v>
      </c>
      <c r="K232" s="3">
        <f>IF(L232&gt;0,INDEX(data_item!$A$1:$A$1994,MATCH(Baupläne!L232,data_item!$B$1:$B$1994,0),1),0)</f>
        <v>40</v>
      </c>
      <c r="L232" s="3">
        <f>Baupläne!K232</f>
        <v>22</v>
      </c>
      <c r="M232" s="3">
        <f>IF(N232&gt;0,INDEX(data_item!$A$1:$A$1994,MATCH(Baupläne!N232,data_item!$B$1:$B$994,0),1),0)</f>
        <v>114</v>
      </c>
      <c r="N232" s="3">
        <f>Baupläne!M232</f>
        <v>14</v>
      </c>
      <c r="O232" s="3">
        <f>IF(P232&gt;0,INDEX(data_item!$A$1:$A$1994,MATCH(Baupläne!P232,data_item!$B$1:$B$1994,0),1),0)</f>
        <v>115</v>
      </c>
      <c r="P232" s="3">
        <f>Baupläne!O232</f>
        <v>12</v>
      </c>
      <c r="Q232" s="3">
        <f>IF(R232&gt;0,INDEX(data_item!$A$1:$A$1994,MATCH(Baupläne!R232,data_item!$B$1:$B$1994,0),1),0)</f>
        <v>116</v>
      </c>
      <c r="R232" s="3">
        <f>Baupläne!Q232</f>
        <v>9</v>
      </c>
      <c r="S232" s="3">
        <f>IF(T232&gt;0,INDEX(data_item!$A$1:$A$1994,MATCH(Baupläne!T232,data_item!$B$1:$B$1994,0),1),0)</f>
        <v>0</v>
      </c>
      <c r="T232" s="3">
        <f>Baupläne!S232</f>
        <v>0</v>
      </c>
    </row>
    <row r="233" spans="1:20" x14ac:dyDescent="0.2">
      <c r="A233" s="3">
        <f>Baupläne!A233</f>
        <v>1243</v>
      </c>
      <c r="B233" s="3" t="str">
        <f>Baupläne!C233</f>
        <v>Äther-Handschuhe</v>
      </c>
      <c r="C233" s="3">
        <f>Baupläne!B233</f>
        <v>1243</v>
      </c>
      <c r="D233" s="3">
        <f>Baupläne!J233</f>
        <v>0</v>
      </c>
      <c r="E233" s="3">
        <f>Baupläne!H233</f>
        <v>66</v>
      </c>
      <c r="F233" s="3">
        <f>Baupläne!I233</f>
        <v>21</v>
      </c>
      <c r="G233" s="3">
        <f>Baupläne!E233</f>
        <v>33</v>
      </c>
      <c r="H233" s="3">
        <f>Baupläne!F233</f>
        <v>180</v>
      </c>
      <c r="I233" s="3">
        <f>0.5*Baupläne!Y233</f>
        <v>7050</v>
      </c>
      <c r="J233" s="3">
        <f>Baupläne!G233</f>
        <v>5</v>
      </c>
      <c r="K233" s="3">
        <f>IF(L233&gt;0,INDEX(data_item!$A$1:$A$1994,MATCH(Baupläne!L233,data_item!$B$1:$B$1994,0),1),0)</f>
        <v>40</v>
      </c>
      <c r="L233" s="3">
        <f>Baupläne!K233</f>
        <v>13</v>
      </c>
      <c r="M233" s="3">
        <f>IF(N233&gt;0,INDEX(data_item!$A$1:$A$1994,MATCH(Baupläne!N233,data_item!$B$1:$B$994,0),1),0)</f>
        <v>114</v>
      </c>
      <c r="N233" s="3">
        <f>Baupläne!M233</f>
        <v>6</v>
      </c>
      <c r="O233" s="3">
        <f>IF(P233&gt;0,INDEX(data_item!$A$1:$A$1994,MATCH(Baupläne!P233,data_item!$B$1:$B$1994,0),1),0)</f>
        <v>115</v>
      </c>
      <c r="P233" s="3">
        <f>Baupläne!O233</f>
        <v>6</v>
      </c>
      <c r="Q233" s="3">
        <f>IF(R233&gt;0,INDEX(data_item!$A$1:$A$1994,MATCH(Baupläne!R233,data_item!$B$1:$B$1994,0),1),0)</f>
        <v>116</v>
      </c>
      <c r="R233" s="3">
        <f>Baupläne!Q233</f>
        <v>6</v>
      </c>
      <c r="S233" s="3">
        <f>IF(T233&gt;0,INDEX(data_item!$A$1:$A$1994,MATCH(Baupläne!T233,data_item!$B$1:$B$1994,0),1),0)</f>
        <v>0</v>
      </c>
      <c r="T233" s="3">
        <f>Baupläne!S233</f>
        <v>0</v>
      </c>
    </row>
    <row r="234" spans="1:20" x14ac:dyDescent="0.2">
      <c r="A234" s="3">
        <f>Baupläne!A234</f>
        <v>1244</v>
      </c>
      <c r="B234" s="3" t="str">
        <f>Baupläne!C234</f>
        <v>Äther-Hose</v>
      </c>
      <c r="C234" s="3">
        <f>Baupläne!B234</f>
        <v>1244</v>
      </c>
      <c r="D234" s="3">
        <f>Baupläne!J234</f>
        <v>0</v>
      </c>
      <c r="E234" s="3">
        <f>Baupläne!H234</f>
        <v>66</v>
      </c>
      <c r="F234" s="3">
        <f>Baupläne!I234</f>
        <v>21</v>
      </c>
      <c r="G234" s="3">
        <f>Baupläne!E234</f>
        <v>33</v>
      </c>
      <c r="H234" s="3">
        <f>Baupläne!F234</f>
        <v>240</v>
      </c>
      <c r="I234" s="3">
        <f>0.5*Baupläne!Y234</f>
        <v>9400</v>
      </c>
      <c r="J234" s="3">
        <f>Baupläne!G234</f>
        <v>5</v>
      </c>
      <c r="K234" s="3">
        <f>IF(L234&gt;0,INDEX(data_item!$A$1:$A$1994,MATCH(Baupläne!L234,data_item!$B$1:$B$1994,0),1),0)</f>
        <v>40</v>
      </c>
      <c r="L234" s="3">
        <f>Baupläne!K234</f>
        <v>17</v>
      </c>
      <c r="M234" s="3">
        <f>IF(N234&gt;0,INDEX(data_item!$A$1:$A$1994,MATCH(Baupläne!N234,data_item!$B$1:$B$994,0),1),0)</f>
        <v>114</v>
      </c>
      <c r="N234" s="3">
        <f>Baupläne!M234</f>
        <v>6</v>
      </c>
      <c r="O234" s="3">
        <f>IF(P234&gt;0,INDEX(data_item!$A$1:$A$1994,MATCH(Baupläne!P234,data_item!$B$1:$B$1994,0),1),0)</f>
        <v>115</v>
      </c>
      <c r="P234" s="3">
        <f>Baupläne!O234</f>
        <v>6</v>
      </c>
      <c r="Q234" s="3">
        <f>IF(R234&gt;0,INDEX(data_item!$A$1:$A$1994,MATCH(Baupläne!R234,data_item!$B$1:$B$1994,0),1),0)</f>
        <v>116</v>
      </c>
      <c r="R234" s="3">
        <f>Baupläne!Q234</f>
        <v>9</v>
      </c>
      <c r="S234" s="3">
        <f>IF(T234&gt;0,INDEX(data_item!$A$1:$A$1994,MATCH(Baupläne!T234,data_item!$B$1:$B$1994,0),1),0)</f>
        <v>0</v>
      </c>
      <c r="T234" s="3">
        <f>Baupläne!S234</f>
        <v>0</v>
      </c>
    </row>
    <row r="235" spans="1:20" x14ac:dyDescent="0.2">
      <c r="A235" s="3">
        <f>Baupläne!A235</f>
        <v>1245</v>
      </c>
      <c r="B235" s="3" t="str">
        <f>Baupläne!C235</f>
        <v>Äther-Schuhe</v>
      </c>
      <c r="C235" s="3">
        <f>Baupläne!B235</f>
        <v>1245</v>
      </c>
      <c r="D235" s="3">
        <f>Baupläne!J235</f>
        <v>0</v>
      </c>
      <c r="E235" s="3">
        <f>Baupläne!H235</f>
        <v>66</v>
      </c>
      <c r="F235" s="3">
        <f>Baupläne!I235</f>
        <v>21</v>
      </c>
      <c r="G235" s="3">
        <f>Baupläne!E235</f>
        <v>33</v>
      </c>
      <c r="H235" s="3">
        <f>Baupläne!F235</f>
        <v>180</v>
      </c>
      <c r="I235" s="3">
        <f>0.5*Baupläne!Y235</f>
        <v>7050</v>
      </c>
      <c r="J235" s="3">
        <f>Baupläne!G235</f>
        <v>5</v>
      </c>
      <c r="K235" s="3">
        <f>IF(L235&gt;0,INDEX(data_item!$A$1:$A$1994,MATCH(Baupläne!L235,data_item!$B$1:$B$1994,0),1),0)</f>
        <v>40</v>
      </c>
      <c r="L235" s="3">
        <f>Baupläne!K235</f>
        <v>13</v>
      </c>
      <c r="M235" s="3">
        <f>IF(N235&gt;0,INDEX(data_item!$A$1:$A$1994,MATCH(Baupläne!N235,data_item!$B$1:$B$994,0),1),0)</f>
        <v>114</v>
      </c>
      <c r="N235" s="3">
        <f>Baupläne!M235</f>
        <v>6</v>
      </c>
      <c r="O235" s="3">
        <f>IF(P235&gt;0,INDEX(data_item!$A$1:$A$1994,MATCH(Baupläne!P235,data_item!$B$1:$B$1994,0),1),0)</f>
        <v>115</v>
      </c>
      <c r="P235" s="3">
        <f>Baupläne!O235</f>
        <v>6</v>
      </c>
      <c r="Q235" s="3">
        <f>IF(R235&gt;0,INDEX(data_item!$A$1:$A$1994,MATCH(Baupläne!R235,data_item!$B$1:$B$1994,0),1),0)</f>
        <v>116</v>
      </c>
      <c r="R235" s="3">
        <f>Baupläne!Q235</f>
        <v>6</v>
      </c>
      <c r="S235" s="3">
        <f>IF(T235&gt;0,INDEX(data_item!$A$1:$A$1994,MATCH(Baupläne!T235,data_item!$B$1:$B$1994,0),1),0)</f>
        <v>0</v>
      </c>
      <c r="T235" s="3">
        <f>Baupläne!S235</f>
        <v>0</v>
      </c>
    </row>
    <row r="236" spans="1:20" x14ac:dyDescent="0.2">
      <c r="A236" s="3">
        <f>Baupläne!A236</f>
        <v>1246</v>
      </c>
      <c r="B236" s="3" t="str">
        <f>Baupläne!C236</f>
        <v>Äther-Spitzhut</v>
      </c>
      <c r="C236" s="3">
        <f>Baupläne!B236</f>
        <v>1246</v>
      </c>
      <c r="D236" s="3">
        <f>Baupläne!J236</f>
        <v>0</v>
      </c>
      <c r="E236" s="3">
        <f>Baupläne!H236</f>
        <v>66</v>
      </c>
      <c r="F236" s="3">
        <f>Baupläne!I236</f>
        <v>23</v>
      </c>
      <c r="G236" s="3">
        <f>Baupläne!E236</f>
        <v>33</v>
      </c>
      <c r="H236" s="3">
        <f>Baupläne!F236</f>
        <v>240</v>
      </c>
      <c r="I236" s="3">
        <f>0.5*Baupläne!Y236</f>
        <v>12450</v>
      </c>
      <c r="J236" s="3">
        <f>Baupläne!G236</f>
        <v>5</v>
      </c>
      <c r="K236" s="3">
        <f>IF(L236&gt;0,INDEX(data_item!$A$1:$A$1994,MATCH(Baupläne!L236,data_item!$B$1:$B$1994,0),1),0)</f>
        <v>40</v>
      </c>
      <c r="L236" s="3">
        <f>Baupläne!K236</f>
        <v>22</v>
      </c>
      <c r="M236" s="3">
        <f>IF(N236&gt;0,INDEX(data_item!$A$1:$A$1994,MATCH(Baupläne!N236,data_item!$B$1:$B$994,0),1),0)</f>
        <v>114</v>
      </c>
      <c r="N236" s="3">
        <f>Baupläne!M236</f>
        <v>8</v>
      </c>
      <c r="O236" s="3">
        <f>IF(P236&gt;0,INDEX(data_item!$A$1:$A$1994,MATCH(Baupläne!P236,data_item!$B$1:$B$1994,0),1),0)</f>
        <v>115</v>
      </c>
      <c r="P236" s="3">
        <f>Baupläne!O236</f>
        <v>8</v>
      </c>
      <c r="Q236" s="3">
        <f>IF(R236&gt;0,INDEX(data_item!$A$1:$A$1994,MATCH(Baupläne!R236,data_item!$B$1:$B$1994,0),1),0)</f>
        <v>116</v>
      </c>
      <c r="R236" s="3">
        <f>Baupläne!Q236</f>
        <v>12</v>
      </c>
      <c r="S236" s="3">
        <f>IF(T236&gt;0,INDEX(data_item!$A$1:$A$1994,MATCH(Baupläne!T236,data_item!$B$1:$B$1994,0),1),0)</f>
        <v>0</v>
      </c>
      <c r="T236" s="3">
        <f>Baupläne!S236</f>
        <v>0</v>
      </c>
    </row>
    <row r="237" spans="1:20" x14ac:dyDescent="0.2">
      <c r="A237" s="3">
        <f>Baupläne!A237</f>
        <v>1247</v>
      </c>
      <c r="B237" s="3" t="str">
        <f>Baupläne!C237</f>
        <v>Äther-Tunika</v>
      </c>
      <c r="C237" s="3">
        <f>Baupläne!B237</f>
        <v>1247</v>
      </c>
      <c r="D237" s="3">
        <f>Baupläne!J237</f>
        <v>0</v>
      </c>
      <c r="E237" s="3">
        <f>Baupläne!H237</f>
        <v>66</v>
      </c>
      <c r="F237" s="3">
        <f>Baupläne!I237</f>
        <v>23</v>
      </c>
      <c r="G237" s="3">
        <f>Baupläne!E237</f>
        <v>33</v>
      </c>
      <c r="H237" s="3">
        <f>Baupläne!F237</f>
        <v>360</v>
      </c>
      <c r="I237" s="3">
        <f>0.5*Baupläne!Y237</f>
        <v>18650</v>
      </c>
      <c r="J237" s="3">
        <f>Baupläne!G237</f>
        <v>5</v>
      </c>
      <c r="K237" s="3">
        <f>IF(L237&gt;0,INDEX(data_item!$A$1:$A$1994,MATCH(Baupläne!L237,data_item!$B$1:$B$1994,0),1),0)</f>
        <v>40</v>
      </c>
      <c r="L237" s="3">
        <f>Baupläne!K237</f>
        <v>34</v>
      </c>
      <c r="M237" s="3">
        <f>IF(N237&gt;0,INDEX(data_item!$A$1:$A$1994,MATCH(Baupläne!N237,data_item!$B$1:$B$994,0),1),0)</f>
        <v>114</v>
      </c>
      <c r="N237" s="3">
        <f>Baupläne!M237</f>
        <v>15</v>
      </c>
      <c r="O237" s="3">
        <f>IF(P237&gt;0,INDEX(data_item!$A$1:$A$1994,MATCH(Baupläne!P237,data_item!$B$1:$B$1994,0),1),0)</f>
        <v>115</v>
      </c>
      <c r="P237" s="3">
        <f>Baupläne!O237</f>
        <v>10</v>
      </c>
      <c r="Q237" s="3">
        <f>IF(R237&gt;0,INDEX(data_item!$A$1:$A$1994,MATCH(Baupläne!R237,data_item!$B$1:$B$1994,0),1),0)</f>
        <v>116</v>
      </c>
      <c r="R237" s="3">
        <f>Baupläne!Q237</f>
        <v>18</v>
      </c>
      <c r="S237" s="3">
        <f>IF(T237&gt;0,INDEX(data_item!$A$1:$A$1994,MATCH(Baupläne!T237,data_item!$B$1:$B$1994,0),1),0)</f>
        <v>0</v>
      </c>
      <c r="T237" s="3">
        <f>Baupläne!S237</f>
        <v>0</v>
      </c>
    </row>
    <row r="238" spans="1:20" x14ac:dyDescent="0.2">
      <c r="A238" s="3">
        <f>Baupläne!A238</f>
        <v>1248</v>
      </c>
      <c r="B238" s="3" t="str">
        <f>Baupläne!C238</f>
        <v>Äther-Stulpen</v>
      </c>
      <c r="C238" s="3">
        <f>Baupläne!B238</f>
        <v>1248</v>
      </c>
      <c r="D238" s="3">
        <f>Baupläne!J238</f>
        <v>0</v>
      </c>
      <c r="E238" s="3">
        <f>Baupläne!H238</f>
        <v>66</v>
      </c>
      <c r="F238" s="3">
        <f>Baupläne!I238</f>
        <v>24</v>
      </c>
      <c r="G238" s="3">
        <f>Baupläne!E238</f>
        <v>33</v>
      </c>
      <c r="H238" s="3">
        <f>Baupläne!F238</f>
        <v>180</v>
      </c>
      <c r="I238" s="3">
        <f>0.5*Baupläne!Y238</f>
        <v>10750</v>
      </c>
      <c r="J238" s="3">
        <f>Baupläne!G238</f>
        <v>5</v>
      </c>
      <c r="K238" s="3">
        <f>IF(L238&gt;0,INDEX(data_item!$A$1:$A$1994,MATCH(Baupläne!L238,data_item!$B$1:$B$1994,0),1),0)</f>
        <v>40</v>
      </c>
      <c r="L238" s="3">
        <f>Baupläne!K238</f>
        <v>20</v>
      </c>
      <c r="M238" s="3">
        <f>IF(N238&gt;0,INDEX(data_item!$A$1:$A$1994,MATCH(Baupläne!N238,data_item!$B$1:$B$994,0),1),0)</f>
        <v>114</v>
      </c>
      <c r="N238" s="3">
        <f>Baupläne!M238</f>
        <v>6</v>
      </c>
      <c r="O238" s="3">
        <f>IF(P238&gt;0,INDEX(data_item!$A$1:$A$1994,MATCH(Baupläne!P238,data_item!$B$1:$B$1994,0),1),0)</f>
        <v>115</v>
      </c>
      <c r="P238" s="3">
        <f>Baupläne!O238</f>
        <v>8</v>
      </c>
      <c r="Q238" s="3">
        <f>IF(R238&gt;0,INDEX(data_item!$A$1:$A$1994,MATCH(Baupläne!R238,data_item!$B$1:$B$1994,0),1),0)</f>
        <v>116</v>
      </c>
      <c r="R238" s="3">
        <f>Baupläne!Q238</f>
        <v>10</v>
      </c>
      <c r="S238" s="3">
        <f>IF(T238&gt;0,INDEX(data_item!$A$1:$A$1994,MATCH(Baupläne!T238,data_item!$B$1:$B$1994,0),1),0)</f>
        <v>0</v>
      </c>
      <c r="T238" s="3">
        <f>Baupläne!S238</f>
        <v>0</v>
      </c>
    </row>
    <row r="239" spans="1:20" x14ac:dyDescent="0.2">
      <c r="A239" s="3">
        <f>Baupläne!A239</f>
        <v>1249</v>
      </c>
      <c r="B239" s="3" t="str">
        <f>Baupläne!C239</f>
        <v>Äther-Beinlinge</v>
      </c>
      <c r="C239" s="3">
        <f>Baupläne!B239</f>
        <v>1249</v>
      </c>
      <c r="D239" s="3">
        <f>Baupläne!J239</f>
        <v>0</v>
      </c>
      <c r="E239" s="3">
        <f>Baupläne!H239</f>
        <v>66</v>
      </c>
      <c r="F239" s="3">
        <f>Baupläne!I239</f>
        <v>24</v>
      </c>
      <c r="G239" s="3">
        <f>Baupläne!E239</f>
        <v>33</v>
      </c>
      <c r="H239" s="3">
        <f>Baupläne!F239</f>
        <v>240</v>
      </c>
      <c r="I239" s="3">
        <f>0.5*Baupläne!Y239</f>
        <v>14300</v>
      </c>
      <c r="J239" s="3">
        <f>Baupläne!G239</f>
        <v>5</v>
      </c>
      <c r="K239" s="3">
        <f>IF(L239&gt;0,INDEX(data_item!$A$1:$A$1994,MATCH(Baupläne!L239,data_item!$B$1:$B$1994,0),1),0)</f>
        <v>40</v>
      </c>
      <c r="L239" s="3">
        <f>Baupläne!K239</f>
        <v>26</v>
      </c>
      <c r="M239" s="3">
        <f>IF(N239&gt;0,INDEX(data_item!$A$1:$A$1994,MATCH(Baupläne!N239,data_item!$B$1:$B$994,0),1),0)</f>
        <v>114</v>
      </c>
      <c r="N239" s="3">
        <f>Baupläne!M239</f>
        <v>8</v>
      </c>
      <c r="O239" s="3">
        <f>IF(P239&gt;0,INDEX(data_item!$A$1:$A$1994,MATCH(Baupläne!P239,data_item!$B$1:$B$1994,0),1),0)</f>
        <v>115</v>
      </c>
      <c r="P239" s="3">
        <f>Baupläne!O239</f>
        <v>6</v>
      </c>
      <c r="Q239" s="3">
        <f>IF(R239&gt;0,INDEX(data_item!$A$1:$A$1994,MATCH(Baupläne!R239,data_item!$B$1:$B$1994,0),1),0)</f>
        <v>116</v>
      </c>
      <c r="R239" s="3">
        <f>Baupläne!Q239</f>
        <v>15</v>
      </c>
      <c r="S239" s="3">
        <f>IF(T239&gt;0,INDEX(data_item!$A$1:$A$1994,MATCH(Baupläne!T239,data_item!$B$1:$B$1994,0),1),0)</f>
        <v>0</v>
      </c>
      <c r="T239" s="3">
        <f>Baupläne!S239</f>
        <v>0</v>
      </c>
    </row>
    <row r="240" spans="1:20" x14ac:dyDescent="0.2">
      <c r="A240" s="3">
        <f>Baupläne!A240</f>
        <v>1250</v>
      </c>
      <c r="B240" s="3" t="str">
        <f>Baupläne!C240</f>
        <v>Äther-Stiefel</v>
      </c>
      <c r="C240" s="3">
        <f>Baupläne!B240</f>
        <v>1250</v>
      </c>
      <c r="D240" s="3">
        <f>Baupläne!J240</f>
        <v>0</v>
      </c>
      <c r="E240" s="3">
        <f>Baupläne!H240</f>
        <v>66</v>
      </c>
      <c r="F240" s="3">
        <f>Baupläne!I240</f>
        <v>24</v>
      </c>
      <c r="G240" s="3">
        <f>Baupläne!E240</f>
        <v>33</v>
      </c>
      <c r="H240" s="3">
        <f>Baupläne!F240</f>
        <v>180</v>
      </c>
      <c r="I240" s="3">
        <f>0.5*Baupläne!Y240</f>
        <v>10750</v>
      </c>
      <c r="J240" s="3">
        <f>Baupläne!G240</f>
        <v>5</v>
      </c>
      <c r="K240" s="3">
        <f>IF(L240&gt;0,INDEX(data_item!$A$1:$A$1994,MATCH(Baupläne!L240,data_item!$B$1:$B$1994,0),1),0)</f>
        <v>40</v>
      </c>
      <c r="L240" s="3">
        <f>Baupläne!K240</f>
        <v>20</v>
      </c>
      <c r="M240" s="3">
        <f>IF(N240&gt;0,INDEX(data_item!$A$1:$A$1994,MATCH(Baupläne!N240,data_item!$B$1:$B$994,0),1),0)</f>
        <v>114</v>
      </c>
      <c r="N240" s="3">
        <f>Baupläne!M240</f>
        <v>6</v>
      </c>
      <c r="O240" s="3">
        <f>IF(P240&gt;0,INDEX(data_item!$A$1:$A$1994,MATCH(Baupläne!P240,data_item!$B$1:$B$1994,0),1),0)</f>
        <v>115</v>
      </c>
      <c r="P240" s="3">
        <f>Baupläne!O240</f>
        <v>8</v>
      </c>
      <c r="Q240" s="3">
        <f>IF(R240&gt;0,INDEX(data_item!$A$1:$A$1994,MATCH(Baupläne!R240,data_item!$B$1:$B$1994,0),1),0)</f>
        <v>116</v>
      </c>
      <c r="R240" s="3">
        <f>Baupläne!Q240</f>
        <v>10</v>
      </c>
      <c r="S240" s="3">
        <f>IF(T240&gt;0,INDEX(data_item!$A$1:$A$1994,MATCH(Baupläne!T240,data_item!$B$1:$B$1994,0),1),0)</f>
        <v>0</v>
      </c>
      <c r="T240" s="3">
        <f>Baupläne!S240</f>
        <v>0</v>
      </c>
    </row>
    <row r="241" spans="1:20" x14ac:dyDescent="0.2">
      <c r="A241" s="3">
        <f>Baupläne!A241</f>
        <v>0</v>
      </c>
      <c r="B241" s="3">
        <f>Baupläne!C241</f>
        <v>0</v>
      </c>
      <c r="C241" s="3">
        <f>Baupläne!B241</f>
        <v>0</v>
      </c>
      <c r="D241" s="3">
        <f>Baupläne!J241</f>
        <v>0</v>
      </c>
      <c r="E241" s="3">
        <f>Baupläne!H241</f>
        <v>0</v>
      </c>
      <c r="F241" s="3">
        <f>Baupläne!I241</f>
        <v>0</v>
      </c>
      <c r="G241" s="3">
        <f>Baupläne!E241</f>
        <v>0</v>
      </c>
      <c r="H241" s="3">
        <f>Baupläne!F241</f>
        <v>0</v>
      </c>
      <c r="I241" s="3">
        <f>0.5*Baupläne!Y241</f>
        <v>0</v>
      </c>
      <c r="J241" s="3">
        <f>Baupläne!G241</f>
        <v>0</v>
      </c>
      <c r="K241" s="3">
        <f>IF(L241&gt;0,INDEX(data_item!$A$1:$A$1994,MATCH(Baupläne!L241,data_item!$B$1:$B$1994,0),1),0)</f>
        <v>0</v>
      </c>
      <c r="L241" s="3">
        <f>Baupläne!K241</f>
        <v>0</v>
      </c>
      <c r="M241" s="3">
        <f>IF(N241&gt;0,INDEX(data_item!$A$1:$A$1994,MATCH(Baupläne!N241,data_item!$B$1:$B$994,0),1),0)</f>
        <v>0</v>
      </c>
      <c r="N241" s="3">
        <f>Baupläne!M241</f>
        <v>0</v>
      </c>
      <c r="O241" s="3">
        <f>IF(P241&gt;0,INDEX(data_item!$A$1:$A$1994,MATCH(Baupläne!P241,data_item!$B$1:$B$1994,0),1),0)</f>
        <v>0</v>
      </c>
      <c r="P241" s="3">
        <f>Baupläne!O241</f>
        <v>0</v>
      </c>
      <c r="Q241" s="3">
        <f>IF(R241&gt;0,INDEX(data_item!$A$1:$A$1994,MATCH(Baupläne!R241,data_item!$B$1:$B$1994,0),1),0)</f>
        <v>0</v>
      </c>
      <c r="R241" s="3">
        <f>Baupläne!Q241</f>
        <v>0</v>
      </c>
      <c r="S241" s="3">
        <f>IF(T241&gt;0,INDEX(data_item!$A$1:$A$1994,MATCH(Baupläne!T241,data_item!$B$1:$B$1994,0),1),0)</f>
        <v>0</v>
      </c>
      <c r="T241" s="3">
        <f>Baupläne!S241</f>
        <v>0</v>
      </c>
    </row>
    <row r="242" spans="1:20" x14ac:dyDescent="0.2">
      <c r="A242" s="3">
        <f>Baupläne!A242</f>
        <v>1301</v>
      </c>
      <c r="B242" s="3" t="str">
        <f>Baupläne!C242</f>
        <v>Weichleder-Haube</v>
      </c>
      <c r="C242" s="3">
        <f>Baupläne!B242</f>
        <v>1301</v>
      </c>
      <c r="D242" s="3">
        <f>Baupläne!J242</f>
        <v>0</v>
      </c>
      <c r="E242" s="3">
        <f>Baupläne!H242</f>
        <v>61</v>
      </c>
      <c r="F242" s="3">
        <f>Baupläne!I242</f>
        <v>0</v>
      </c>
      <c r="G242" s="3">
        <f>Baupläne!E242</f>
        <v>31</v>
      </c>
      <c r="H242" s="3">
        <f>Baupläne!F242</f>
        <v>240</v>
      </c>
      <c r="I242" s="3">
        <f>0.5*Baupläne!Y242</f>
        <v>500</v>
      </c>
      <c r="J242" s="3">
        <f>Baupläne!G242</f>
        <v>1</v>
      </c>
      <c r="K242" s="3">
        <f>IF(L242&gt;0,INDEX(data_item!$A$1:$A$1994,MATCH(Baupläne!L242,data_item!$B$1:$B$1994,0),1),0)</f>
        <v>46</v>
      </c>
      <c r="L242" s="3">
        <f>Baupläne!K242</f>
        <v>6</v>
      </c>
      <c r="M242" s="3">
        <f>IF(N242&gt;0,INDEX(data_item!$A$1:$A$1994,MATCH(Baupläne!N242,data_item!$B$1:$B$994,0),1),0)</f>
        <v>117</v>
      </c>
      <c r="N242" s="3">
        <f>Baupläne!M242</f>
        <v>4</v>
      </c>
      <c r="O242" s="3">
        <f>IF(P242&gt;0,INDEX(data_item!$A$1:$A$1994,MATCH(Baupläne!P242,data_item!$B$1:$B$1994,0),1),0)</f>
        <v>0</v>
      </c>
      <c r="P242" s="3">
        <f>Baupläne!O242</f>
        <v>0</v>
      </c>
      <c r="Q242" s="3">
        <f>IF(R242&gt;0,INDEX(data_item!$A$1:$A$1994,MATCH(Baupläne!R242,data_item!$B$1:$B$1994,0),1),0)</f>
        <v>0</v>
      </c>
      <c r="R242" s="3">
        <f>Baupläne!Q242</f>
        <v>0</v>
      </c>
      <c r="S242" s="3">
        <f>IF(T242&gt;0,INDEX(data_item!$A$1:$A$1994,MATCH(Baupläne!T242,data_item!$B$1:$B$1994,0),1),0)</f>
        <v>0</v>
      </c>
      <c r="T242" s="3">
        <f>Baupläne!S242</f>
        <v>0</v>
      </c>
    </row>
    <row r="243" spans="1:20" x14ac:dyDescent="0.2">
      <c r="A243" s="3">
        <f>Baupläne!A243</f>
        <v>1302</v>
      </c>
      <c r="B243" s="3" t="str">
        <f>Baupläne!C243</f>
        <v>Weichleder-Wappenrock</v>
      </c>
      <c r="C243" s="3">
        <f>Baupläne!B243</f>
        <v>1302</v>
      </c>
      <c r="D243" s="3">
        <f>Baupläne!J243</f>
        <v>0</v>
      </c>
      <c r="E243" s="3">
        <f>Baupläne!H243</f>
        <v>61</v>
      </c>
      <c r="F243" s="3">
        <f>Baupläne!I243</f>
        <v>0</v>
      </c>
      <c r="G243" s="3">
        <f>Baupläne!E243</f>
        <v>31</v>
      </c>
      <c r="H243" s="3">
        <f>Baupläne!F243</f>
        <v>360</v>
      </c>
      <c r="I243" s="3">
        <f>0.5*Baupläne!Y243</f>
        <v>750</v>
      </c>
      <c r="J243" s="3">
        <f>Baupläne!G243</f>
        <v>1</v>
      </c>
      <c r="K243" s="3">
        <f>IF(L243&gt;0,INDEX(data_item!$A$1:$A$1994,MATCH(Baupläne!L243,data_item!$B$1:$B$1994,0),1),0)</f>
        <v>46</v>
      </c>
      <c r="L243" s="3">
        <f>Baupläne!K243</f>
        <v>8</v>
      </c>
      <c r="M243" s="3">
        <f>IF(N243&gt;0,INDEX(data_item!$A$1:$A$1994,MATCH(Baupläne!N243,data_item!$B$1:$B$994,0),1),0)</f>
        <v>117</v>
      </c>
      <c r="N243" s="3">
        <f>Baupläne!M243</f>
        <v>6</v>
      </c>
      <c r="O243" s="3">
        <f>IF(P243&gt;0,INDEX(data_item!$A$1:$A$1994,MATCH(Baupläne!P243,data_item!$B$1:$B$1994,0),1),0)</f>
        <v>0</v>
      </c>
      <c r="P243" s="3">
        <f>Baupläne!O243</f>
        <v>0</v>
      </c>
      <c r="Q243" s="3">
        <f>IF(R243&gt;0,INDEX(data_item!$A$1:$A$1994,MATCH(Baupläne!R243,data_item!$B$1:$B$1994,0),1),0)</f>
        <v>0</v>
      </c>
      <c r="R243" s="3">
        <f>Baupläne!Q243</f>
        <v>0</v>
      </c>
      <c r="S243" s="3">
        <f>IF(T243&gt;0,INDEX(data_item!$A$1:$A$1994,MATCH(Baupläne!T243,data_item!$B$1:$B$1994,0),1),0)</f>
        <v>0</v>
      </c>
      <c r="T243" s="3">
        <f>Baupläne!S243</f>
        <v>0</v>
      </c>
    </row>
    <row r="244" spans="1:20" x14ac:dyDescent="0.2">
      <c r="A244" s="3">
        <f>Baupläne!A244</f>
        <v>1303</v>
      </c>
      <c r="B244" s="3" t="str">
        <f>Baupläne!C244</f>
        <v>Weichleder-Handschuhe</v>
      </c>
      <c r="C244" s="3">
        <f>Baupläne!B244</f>
        <v>1303</v>
      </c>
      <c r="D244" s="3">
        <f>Baupläne!J244</f>
        <v>0</v>
      </c>
      <c r="E244" s="3">
        <f>Baupläne!H244</f>
        <v>61</v>
      </c>
      <c r="F244" s="3">
        <f>Baupläne!I244</f>
        <v>1</v>
      </c>
      <c r="G244" s="3">
        <f>Baupläne!E244</f>
        <v>31</v>
      </c>
      <c r="H244" s="3">
        <f>Baupläne!F244</f>
        <v>180</v>
      </c>
      <c r="I244" s="3">
        <f>0.5*Baupläne!Y244</f>
        <v>450</v>
      </c>
      <c r="J244" s="3">
        <f>Baupläne!G244</f>
        <v>1</v>
      </c>
      <c r="K244" s="3">
        <f>IF(L244&gt;0,INDEX(data_item!$A$1:$A$1994,MATCH(Baupläne!L244,data_item!$B$1:$B$1994,0),1),0)</f>
        <v>46</v>
      </c>
      <c r="L244" s="3">
        <f>Baupläne!K244</f>
        <v>5</v>
      </c>
      <c r="M244" s="3">
        <f>IF(N244&gt;0,INDEX(data_item!$A$1:$A$1994,MATCH(Baupläne!N244,data_item!$B$1:$B$994,0),1),0)</f>
        <v>117</v>
      </c>
      <c r="N244" s="3">
        <f>Baupläne!M244</f>
        <v>4</v>
      </c>
      <c r="O244" s="3">
        <f>IF(P244&gt;0,INDEX(data_item!$A$1:$A$1994,MATCH(Baupläne!P244,data_item!$B$1:$B$1994,0),1),0)</f>
        <v>0</v>
      </c>
      <c r="P244" s="3">
        <f>Baupläne!O244</f>
        <v>0</v>
      </c>
      <c r="Q244" s="3">
        <f>IF(R244&gt;0,INDEX(data_item!$A$1:$A$1994,MATCH(Baupläne!R244,data_item!$B$1:$B$1994,0),1),0)</f>
        <v>0</v>
      </c>
      <c r="R244" s="3">
        <f>Baupläne!Q244</f>
        <v>0</v>
      </c>
      <c r="S244" s="3">
        <f>IF(T244&gt;0,INDEX(data_item!$A$1:$A$1994,MATCH(Baupläne!T244,data_item!$B$1:$B$1994,0),1),0)</f>
        <v>0</v>
      </c>
      <c r="T244" s="3">
        <f>Baupläne!S244</f>
        <v>0</v>
      </c>
    </row>
    <row r="245" spans="1:20" x14ac:dyDescent="0.2">
      <c r="A245" s="3">
        <f>Baupläne!A245</f>
        <v>1304</v>
      </c>
      <c r="B245" s="3" t="str">
        <f>Baupläne!C245</f>
        <v>Weichleder-Hose</v>
      </c>
      <c r="C245" s="3">
        <f>Baupläne!B245</f>
        <v>1304</v>
      </c>
      <c r="D245" s="3">
        <f>Baupläne!J245</f>
        <v>0</v>
      </c>
      <c r="E245" s="3">
        <f>Baupläne!H245</f>
        <v>61</v>
      </c>
      <c r="F245" s="3">
        <f>Baupläne!I245</f>
        <v>1</v>
      </c>
      <c r="G245" s="3">
        <f>Baupläne!E245</f>
        <v>31</v>
      </c>
      <c r="H245" s="3">
        <f>Baupläne!F245</f>
        <v>240</v>
      </c>
      <c r="I245" s="3">
        <f>0.5*Baupläne!Y245</f>
        <v>600</v>
      </c>
      <c r="J245" s="3">
        <f>Baupläne!G245</f>
        <v>1</v>
      </c>
      <c r="K245" s="3">
        <f>IF(L245&gt;0,INDEX(data_item!$A$1:$A$1994,MATCH(Baupläne!L245,data_item!$B$1:$B$1994,0),1),0)</f>
        <v>46</v>
      </c>
      <c r="L245" s="3">
        <f>Baupläne!K245</f>
        <v>7</v>
      </c>
      <c r="M245" s="3">
        <f>IF(N245&gt;0,INDEX(data_item!$A$1:$A$1994,MATCH(Baupläne!N245,data_item!$B$1:$B$994,0),1),0)</f>
        <v>117</v>
      </c>
      <c r="N245" s="3">
        <f>Baupläne!M245</f>
        <v>5</v>
      </c>
      <c r="O245" s="3">
        <f>IF(P245&gt;0,INDEX(data_item!$A$1:$A$1994,MATCH(Baupläne!P245,data_item!$B$1:$B$1994,0),1),0)</f>
        <v>0</v>
      </c>
      <c r="P245" s="3">
        <f>Baupläne!O245</f>
        <v>0</v>
      </c>
      <c r="Q245" s="3">
        <f>IF(R245&gt;0,INDEX(data_item!$A$1:$A$1994,MATCH(Baupläne!R245,data_item!$B$1:$B$1994,0),1),0)</f>
        <v>0</v>
      </c>
      <c r="R245" s="3">
        <f>Baupläne!Q245</f>
        <v>0</v>
      </c>
      <c r="S245" s="3">
        <f>IF(T245&gt;0,INDEX(data_item!$A$1:$A$1994,MATCH(Baupläne!T245,data_item!$B$1:$B$1994,0),1),0)</f>
        <v>0</v>
      </c>
      <c r="T245" s="3">
        <f>Baupläne!S245</f>
        <v>0</v>
      </c>
    </row>
    <row r="246" spans="1:20" x14ac:dyDescent="0.2">
      <c r="A246" s="3">
        <f>Baupläne!A246</f>
        <v>1305</v>
      </c>
      <c r="B246" s="3" t="str">
        <f>Baupläne!C246</f>
        <v>Weichleder-Schuhe</v>
      </c>
      <c r="C246" s="3">
        <f>Baupläne!B246</f>
        <v>1305</v>
      </c>
      <c r="D246" s="3">
        <f>Baupläne!J246</f>
        <v>0</v>
      </c>
      <c r="E246" s="3">
        <f>Baupläne!H246</f>
        <v>61</v>
      </c>
      <c r="F246" s="3">
        <f>Baupläne!I246</f>
        <v>1</v>
      </c>
      <c r="G246" s="3">
        <f>Baupläne!E246</f>
        <v>31</v>
      </c>
      <c r="H246" s="3">
        <f>Baupläne!F246</f>
        <v>180</v>
      </c>
      <c r="I246" s="3">
        <f>0.5*Baupläne!Y246</f>
        <v>450</v>
      </c>
      <c r="J246" s="3">
        <f>Baupläne!G246</f>
        <v>1</v>
      </c>
      <c r="K246" s="3">
        <f>IF(L246&gt;0,INDEX(data_item!$A$1:$A$1994,MATCH(Baupläne!L246,data_item!$B$1:$B$1994,0),1),0)</f>
        <v>46</v>
      </c>
      <c r="L246" s="3">
        <f>Baupläne!K246</f>
        <v>5</v>
      </c>
      <c r="M246" s="3">
        <f>IF(N246&gt;0,INDEX(data_item!$A$1:$A$1994,MATCH(Baupläne!N246,data_item!$B$1:$B$994,0),1),0)</f>
        <v>117</v>
      </c>
      <c r="N246" s="3">
        <f>Baupläne!M246</f>
        <v>4</v>
      </c>
      <c r="O246" s="3">
        <f>IF(P246&gt;0,INDEX(data_item!$A$1:$A$1994,MATCH(Baupläne!P246,data_item!$B$1:$B$1994,0),1),0)</f>
        <v>0</v>
      </c>
      <c r="P246" s="3">
        <f>Baupläne!O246</f>
        <v>0</v>
      </c>
      <c r="Q246" s="3">
        <f>IF(R246&gt;0,INDEX(data_item!$A$1:$A$1994,MATCH(Baupläne!R246,data_item!$B$1:$B$1994,0),1),0)</f>
        <v>0</v>
      </c>
      <c r="R246" s="3">
        <f>Baupläne!Q246</f>
        <v>0</v>
      </c>
      <c r="S246" s="3">
        <f>IF(T246&gt;0,INDEX(data_item!$A$1:$A$1994,MATCH(Baupläne!T246,data_item!$B$1:$B$1994,0),1),0)</f>
        <v>0</v>
      </c>
      <c r="T246" s="3">
        <f>Baupläne!S246</f>
        <v>0</v>
      </c>
    </row>
    <row r="247" spans="1:20" x14ac:dyDescent="0.2">
      <c r="A247" s="3">
        <f>Baupläne!A247</f>
        <v>1306</v>
      </c>
      <c r="B247" s="3" t="str">
        <f>Baupläne!C247</f>
        <v>Weichleder-Helm</v>
      </c>
      <c r="C247" s="3">
        <f>Baupläne!B247</f>
        <v>1306</v>
      </c>
      <c r="D247" s="3">
        <f>Baupläne!J247</f>
        <v>0</v>
      </c>
      <c r="E247" s="3">
        <f>Baupläne!H247</f>
        <v>61</v>
      </c>
      <c r="F247" s="3">
        <f>Baupläne!I247</f>
        <v>3</v>
      </c>
      <c r="G247" s="3">
        <f>Baupläne!E247</f>
        <v>31</v>
      </c>
      <c r="H247" s="3">
        <f>Baupläne!F247</f>
        <v>240</v>
      </c>
      <c r="I247" s="3">
        <f>0.5*Baupläne!Y247</f>
        <v>750</v>
      </c>
      <c r="J247" s="3">
        <f>Baupläne!G247</f>
        <v>1</v>
      </c>
      <c r="K247" s="3">
        <f>IF(L247&gt;0,INDEX(data_item!$A$1:$A$1994,MATCH(Baupläne!L247,data_item!$B$1:$B$1994,0),1),0)</f>
        <v>46</v>
      </c>
      <c r="L247" s="3">
        <f>Baupläne!K247</f>
        <v>8</v>
      </c>
      <c r="M247" s="3">
        <f>IF(N247&gt;0,INDEX(data_item!$A$1:$A$1994,MATCH(Baupläne!N247,data_item!$B$1:$B$994,0),1),0)</f>
        <v>117</v>
      </c>
      <c r="N247" s="3">
        <f>Baupläne!M247</f>
        <v>6</v>
      </c>
      <c r="O247" s="3">
        <f>IF(P247&gt;0,INDEX(data_item!$A$1:$A$1994,MATCH(Baupläne!P247,data_item!$B$1:$B$1994,0),1),0)</f>
        <v>0</v>
      </c>
      <c r="P247" s="3">
        <f>Baupläne!O247</f>
        <v>0</v>
      </c>
      <c r="Q247" s="3">
        <f>IF(R247&gt;0,INDEX(data_item!$A$1:$A$1994,MATCH(Baupläne!R247,data_item!$B$1:$B$1994,0),1),0)</f>
        <v>0</v>
      </c>
      <c r="R247" s="3">
        <f>Baupläne!Q247</f>
        <v>0</v>
      </c>
      <c r="S247" s="3">
        <f>IF(T247&gt;0,INDEX(data_item!$A$1:$A$1994,MATCH(Baupläne!T247,data_item!$B$1:$B$1994,0),1),0)</f>
        <v>0</v>
      </c>
      <c r="T247" s="3">
        <f>Baupläne!S247</f>
        <v>0</v>
      </c>
    </row>
    <row r="248" spans="1:20" x14ac:dyDescent="0.2">
      <c r="A248" s="3">
        <f>Baupläne!A248</f>
        <v>1307</v>
      </c>
      <c r="B248" s="3" t="str">
        <f>Baupläne!C248</f>
        <v>Weichleder-Harnisch</v>
      </c>
      <c r="C248" s="3">
        <f>Baupläne!B248</f>
        <v>1307</v>
      </c>
      <c r="D248" s="3">
        <f>Baupläne!J248</f>
        <v>0</v>
      </c>
      <c r="E248" s="3">
        <f>Baupläne!H248</f>
        <v>61</v>
      </c>
      <c r="F248" s="3">
        <f>Baupläne!I248</f>
        <v>3</v>
      </c>
      <c r="G248" s="3">
        <f>Baupläne!E248</f>
        <v>31</v>
      </c>
      <c r="H248" s="3">
        <f>Baupläne!F248</f>
        <v>360</v>
      </c>
      <c r="I248" s="3">
        <f>0.5*Baupläne!Y248</f>
        <v>1150</v>
      </c>
      <c r="J248" s="3">
        <f>Baupläne!G248</f>
        <v>1</v>
      </c>
      <c r="K248" s="3">
        <f>IF(L248&gt;0,INDEX(data_item!$A$1:$A$1994,MATCH(Baupläne!L248,data_item!$B$1:$B$1994,0),1),0)</f>
        <v>46</v>
      </c>
      <c r="L248" s="3">
        <f>Baupläne!K248</f>
        <v>12</v>
      </c>
      <c r="M248" s="3">
        <f>IF(N248&gt;0,INDEX(data_item!$A$1:$A$1994,MATCH(Baupläne!N248,data_item!$B$1:$B$994,0),1),0)</f>
        <v>117</v>
      </c>
      <c r="N248" s="3">
        <f>Baupläne!M248</f>
        <v>9</v>
      </c>
      <c r="O248" s="3">
        <f>IF(P248&gt;0,INDEX(data_item!$A$1:$A$1994,MATCH(Baupläne!P248,data_item!$B$1:$B$1994,0),1),0)</f>
        <v>0</v>
      </c>
      <c r="P248" s="3">
        <f>Baupläne!O248</f>
        <v>0</v>
      </c>
      <c r="Q248" s="3">
        <f>IF(R248&gt;0,INDEX(data_item!$A$1:$A$1994,MATCH(Baupläne!R248,data_item!$B$1:$B$1994,0),1),0)</f>
        <v>0</v>
      </c>
      <c r="R248" s="3">
        <f>Baupläne!Q248</f>
        <v>0</v>
      </c>
      <c r="S248" s="3">
        <f>IF(T248&gt;0,INDEX(data_item!$A$1:$A$1994,MATCH(Baupläne!T248,data_item!$B$1:$B$1994,0),1),0)</f>
        <v>0</v>
      </c>
      <c r="T248" s="3">
        <f>Baupläne!S248</f>
        <v>0</v>
      </c>
    </row>
    <row r="249" spans="1:20" x14ac:dyDescent="0.2">
      <c r="A249" s="3">
        <f>Baupläne!A249</f>
        <v>1308</v>
      </c>
      <c r="B249" s="3" t="str">
        <f>Baupläne!C249</f>
        <v>Weichleder-Stulpen</v>
      </c>
      <c r="C249" s="3">
        <f>Baupläne!B249</f>
        <v>1308</v>
      </c>
      <c r="D249" s="3">
        <f>Baupläne!J249</f>
        <v>0</v>
      </c>
      <c r="E249" s="3">
        <f>Baupläne!H249</f>
        <v>61</v>
      </c>
      <c r="F249" s="3">
        <f>Baupläne!I249</f>
        <v>4</v>
      </c>
      <c r="G249" s="3">
        <f>Baupläne!E249</f>
        <v>31</v>
      </c>
      <c r="H249" s="3">
        <f>Baupläne!F249</f>
        <v>180</v>
      </c>
      <c r="I249" s="3">
        <f>0.5*Baupläne!Y249</f>
        <v>650</v>
      </c>
      <c r="J249" s="3">
        <f>Baupläne!G249</f>
        <v>1</v>
      </c>
      <c r="K249" s="3">
        <f>IF(L249&gt;0,INDEX(data_item!$A$1:$A$1994,MATCH(Baupläne!L249,data_item!$B$1:$B$1994,0),1),0)</f>
        <v>46</v>
      </c>
      <c r="L249" s="3">
        <f>Baupläne!K249</f>
        <v>7</v>
      </c>
      <c r="M249" s="3">
        <f>IF(N249&gt;0,INDEX(data_item!$A$1:$A$1994,MATCH(Baupläne!N249,data_item!$B$1:$B$994,0),1),0)</f>
        <v>117</v>
      </c>
      <c r="N249" s="3">
        <f>Baupläne!M249</f>
        <v>5</v>
      </c>
      <c r="O249" s="3">
        <f>IF(P249&gt;0,INDEX(data_item!$A$1:$A$1994,MATCH(Baupläne!P249,data_item!$B$1:$B$1994,0),1),0)</f>
        <v>0</v>
      </c>
      <c r="P249" s="3">
        <f>Baupläne!O249</f>
        <v>0</v>
      </c>
      <c r="Q249" s="3">
        <f>IF(R249&gt;0,INDEX(data_item!$A$1:$A$1994,MATCH(Baupläne!R249,data_item!$B$1:$B$1994,0),1),0)</f>
        <v>0</v>
      </c>
      <c r="R249" s="3">
        <f>Baupläne!Q249</f>
        <v>0</v>
      </c>
      <c r="S249" s="3">
        <f>IF(T249&gt;0,INDEX(data_item!$A$1:$A$1994,MATCH(Baupläne!T249,data_item!$B$1:$B$1994,0),1),0)</f>
        <v>0</v>
      </c>
      <c r="T249" s="3">
        <f>Baupläne!S249</f>
        <v>0</v>
      </c>
    </row>
    <row r="250" spans="1:20" x14ac:dyDescent="0.2">
      <c r="A250" s="3">
        <f>Baupläne!A250</f>
        <v>1309</v>
      </c>
      <c r="B250" s="3" t="str">
        <f>Baupläne!C250</f>
        <v>Weichleder-Beinlinge</v>
      </c>
      <c r="C250" s="3">
        <f>Baupläne!B250</f>
        <v>1309</v>
      </c>
      <c r="D250" s="3">
        <f>Baupläne!J250</f>
        <v>0</v>
      </c>
      <c r="E250" s="3">
        <f>Baupläne!H250</f>
        <v>61</v>
      </c>
      <c r="F250" s="3">
        <f>Baupläne!I250</f>
        <v>4</v>
      </c>
      <c r="G250" s="3">
        <f>Baupläne!E250</f>
        <v>31</v>
      </c>
      <c r="H250" s="3">
        <f>Baupläne!F250</f>
        <v>240</v>
      </c>
      <c r="I250" s="3">
        <f>0.5*Baupläne!Y250</f>
        <v>850</v>
      </c>
      <c r="J250" s="3">
        <f>Baupläne!G250</f>
        <v>1</v>
      </c>
      <c r="K250" s="3">
        <f>IF(L250&gt;0,INDEX(data_item!$A$1:$A$1994,MATCH(Baupläne!L250,data_item!$B$1:$B$1994,0),1),0)</f>
        <v>46</v>
      </c>
      <c r="L250" s="3">
        <f>Baupläne!K250</f>
        <v>10</v>
      </c>
      <c r="M250" s="3">
        <f>IF(N250&gt;0,INDEX(data_item!$A$1:$A$1994,MATCH(Baupläne!N250,data_item!$B$1:$B$994,0),1),0)</f>
        <v>117</v>
      </c>
      <c r="N250" s="3">
        <f>Baupläne!M250</f>
        <v>7</v>
      </c>
      <c r="O250" s="3">
        <f>IF(P250&gt;0,INDEX(data_item!$A$1:$A$1994,MATCH(Baupläne!P250,data_item!$B$1:$B$1994,0),1),0)</f>
        <v>0</v>
      </c>
      <c r="P250" s="3">
        <f>Baupläne!O250</f>
        <v>0</v>
      </c>
      <c r="Q250" s="3">
        <f>IF(R250&gt;0,INDEX(data_item!$A$1:$A$1994,MATCH(Baupläne!R250,data_item!$B$1:$B$1994,0),1),0)</f>
        <v>0</v>
      </c>
      <c r="R250" s="3">
        <f>Baupläne!Q250</f>
        <v>0</v>
      </c>
      <c r="S250" s="3">
        <f>IF(T250&gt;0,INDEX(data_item!$A$1:$A$1994,MATCH(Baupläne!T250,data_item!$B$1:$B$1994,0),1),0)</f>
        <v>0</v>
      </c>
      <c r="T250" s="3">
        <f>Baupläne!S250</f>
        <v>0</v>
      </c>
    </row>
    <row r="251" spans="1:20" x14ac:dyDescent="0.2">
      <c r="A251" s="3">
        <f>Baupläne!A251</f>
        <v>1310</v>
      </c>
      <c r="B251" s="3" t="str">
        <f>Baupläne!C251</f>
        <v>Weichleder-Stiefel</v>
      </c>
      <c r="C251" s="3">
        <f>Baupläne!B251</f>
        <v>1310</v>
      </c>
      <c r="D251" s="3">
        <f>Baupläne!J251</f>
        <v>0</v>
      </c>
      <c r="E251" s="3">
        <f>Baupläne!H251</f>
        <v>61</v>
      </c>
      <c r="F251" s="3">
        <f>Baupläne!I251</f>
        <v>4</v>
      </c>
      <c r="G251" s="3">
        <f>Baupläne!E251</f>
        <v>31</v>
      </c>
      <c r="H251" s="3">
        <f>Baupläne!F251</f>
        <v>180</v>
      </c>
      <c r="I251" s="3">
        <f>0.5*Baupläne!Y251</f>
        <v>650</v>
      </c>
      <c r="J251" s="3">
        <f>Baupläne!G251</f>
        <v>1</v>
      </c>
      <c r="K251" s="3">
        <f>IF(L251&gt;0,INDEX(data_item!$A$1:$A$1994,MATCH(Baupläne!L251,data_item!$B$1:$B$1994,0),1),0)</f>
        <v>46</v>
      </c>
      <c r="L251" s="3">
        <f>Baupläne!K251</f>
        <v>7</v>
      </c>
      <c r="M251" s="3">
        <f>IF(N251&gt;0,INDEX(data_item!$A$1:$A$1994,MATCH(Baupläne!N251,data_item!$B$1:$B$994,0),1),0)</f>
        <v>117</v>
      </c>
      <c r="N251" s="3">
        <f>Baupläne!M251</f>
        <v>5</v>
      </c>
      <c r="O251" s="3">
        <f>IF(P251&gt;0,INDEX(data_item!$A$1:$A$1994,MATCH(Baupläne!P251,data_item!$B$1:$B$1994,0),1),0)</f>
        <v>0</v>
      </c>
      <c r="P251" s="3">
        <f>Baupläne!O251</f>
        <v>0</v>
      </c>
      <c r="Q251" s="3">
        <f>IF(R251&gt;0,INDEX(data_item!$A$1:$A$1994,MATCH(Baupläne!R251,data_item!$B$1:$B$1994,0),1),0)</f>
        <v>0</v>
      </c>
      <c r="R251" s="3">
        <f>Baupläne!Q251</f>
        <v>0</v>
      </c>
      <c r="S251" s="3">
        <f>IF(T251&gt;0,INDEX(data_item!$A$1:$A$1994,MATCH(Baupläne!T251,data_item!$B$1:$B$1994,0),1),0)</f>
        <v>0</v>
      </c>
      <c r="T251" s="3">
        <f>Baupläne!S251</f>
        <v>0</v>
      </c>
    </row>
    <row r="252" spans="1:20" x14ac:dyDescent="0.2">
      <c r="A252" s="3">
        <f>Baupläne!A252</f>
        <v>1311</v>
      </c>
      <c r="B252" s="3" t="str">
        <f>Baupläne!C252</f>
        <v>Leder-Haube</v>
      </c>
      <c r="C252" s="3">
        <f>Baupläne!B252</f>
        <v>1311</v>
      </c>
      <c r="D252" s="3">
        <f>Baupläne!J252</f>
        <v>0</v>
      </c>
      <c r="E252" s="3">
        <f>Baupläne!H252</f>
        <v>61</v>
      </c>
      <c r="F252" s="3">
        <f>Baupläne!I252</f>
        <v>5</v>
      </c>
      <c r="G252" s="3">
        <f>Baupläne!E252</f>
        <v>31</v>
      </c>
      <c r="H252" s="3">
        <f>Baupläne!F252</f>
        <v>240</v>
      </c>
      <c r="I252" s="3">
        <f>0.5*Baupläne!Y252</f>
        <v>1000</v>
      </c>
      <c r="J252" s="3">
        <f>Baupläne!G252</f>
        <v>2</v>
      </c>
      <c r="K252" s="3">
        <f>IF(L252&gt;0,INDEX(data_item!$A$1:$A$1994,MATCH(Baupläne!L252,data_item!$B$1:$B$1994,0),1),0)</f>
        <v>47</v>
      </c>
      <c r="L252" s="3">
        <f>Baupläne!K252</f>
        <v>6</v>
      </c>
      <c r="M252" s="3">
        <f>IF(N252&gt;0,INDEX(data_item!$A$1:$A$1994,MATCH(Baupläne!N252,data_item!$B$1:$B$994,0),1),0)</f>
        <v>117</v>
      </c>
      <c r="N252" s="3">
        <f>Baupläne!M252</f>
        <v>8</v>
      </c>
      <c r="O252" s="3">
        <f>IF(P252&gt;0,INDEX(data_item!$A$1:$A$1994,MATCH(Baupläne!P252,data_item!$B$1:$B$1994,0),1),0)</f>
        <v>0</v>
      </c>
      <c r="P252" s="3">
        <f>Baupläne!O252</f>
        <v>0</v>
      </c>
      <c r="Q252" s="3">
        <f>IF(R252&gt;0,INDEX(data_item!$A$1:$A$1994,MATCH(Baupläne!R252,data_item!$B$1:$B$1994,0),1),0)</f>
        <v>0</v>
      </c>
      <c r="R252" s="3">
        <f>Baupläne!Q252</f>
        <v>0</v>
      </c>
      <c r="S252" s="3">
        <f>IF(T252&gt;0,INDEX(data_item!$A$1:$A$1994,MATCH(Baupläne!T252,data_item!$B$1:$B$1994,0),1),0)</f>
        <v>0</v>
      </c>
      <c r="T252" s="3">
        <f>Baupläne!S252</f>
        <v>0</v>
      </c>
    </row>
    <row r="253" spans="1:20" x14ac:dyDescent="0.2">
      <c r="A253" s="3">
        <f>Baupläne!A253</f>
        <v>1312</v>
      </c>
      <c r="B253" s="3" t="str">
        <f>Baupläne!C253</f>
        <v>Leder-Wappenrock</v>
      </c>
      <c r="C253" s="3">
        <f>Baupläne!B253</f>
        <v>1312</v>
      </c>
      <c r="D253" s="3">
        <f>Baupläne!J253</f>
        <v>0</v>
      </c>
      <c r="E253" s="3">
        <f>Baupläne!H253</f>
        <v>61</v>
      </c>
      <c r="F253" s="3">
        <f>Baupläne!I253</f>
        <v>5</v>
      </c>
      <c r="G253" s="3">
        <f>Baupläne!E253</f>
        <v>31</v>
      </c>
      <c r="H253" s="3">
        <f>Baupläne!F253</f>
        <v>360</v>
      </c>
      <c r="I253" s="3">
        <f>0.5*Baupläne!Y253</f>
        <v>1500</v>
      </c>
      <c r="J253" s="3">
        <f>Baupläne!G253</f>
        <v>2</v>
      </c>
      <c r="K253" s="3">
        <f>IF(L253&gt;0,INDEX(data_item!$A$1:$A$1994,MATCH(Baupläne!L253,data_item!$B$1:$B$1994,0),1),0)</f>
        <v>47</v>
      </c>
      <c r="L253" s="3">
        <f>Baupläne!K253</f>
        <v>8</v>
      </c>
      <c r="M253" s="3">
        <f>IF(N253&gt;0,INDEX(data_item!$A$1:$A$1994,MATCH(Baupläne!N253,data_item!$B$1:$B$994,0),1),0)</f>
        <v>117</v>
      </c>
      <c r="N253" s="3">
        <f>Baupläne!M253</f>
        <v>12</v>
      </c>
      <c r="O253" s="3">
        <f>IF(P253&gt;0,INDEX(data_item!$A$1:$A$1994,MATCH(Baupläne!P253,data_item!$B$1:$B$1994,0),1),0)</f>
        <v>0</v>
      </c>
      <c r="P253" s="3">
        <f>Baupläne!O253</f>
        <v>0</v>
      </c>
      <c r="Q253" s="3">
        <f>IF(R253&gt;0,INDEX(data_item!$A$1:$A$1994,MATCH(Baupläne!R253,data_item!$B$1:$B$1994,0),1),0)</f>
        <v>0</v>
      </c>
      <c r="R253" s="3">
        <f>Baupläne!Q253</f>
        <v>0</v>
      </c>
      <c r="S253" s="3">
        <f>IF(T253&gt;0,INDEX(data_item!$A$1:$A$1994,MATCH(Baupläne!T253,data_item!$B$1:$B$1994,0),1),0)</f>
        <v>0</v>
      </c>
      <c r="T253" s="3">
        <f>Baupläne!S253</f>
        <v>0</v>
      </c>
    </row>
    <row r="254" spans="1:20" x14ac:dyDescent="0.2">
      <c r="A254" s="3">
        <f>Baupläne!A254</f>
        <v>1313</v>
      </c>
      <c r="B254" s="3" t="str">
        <f>Baupläne!C254</f>
        <v>Leder-Handschuhe</v>
      </c>
      <c r="C254" s="3">
        <f>Baupläne!B254</f>
        <v>1313</v>
      </c>
      <c r="D254" s="3">
        <f>Baupläne!J254</f>
        <v>0</v>
      </c>
      <c r="E254" s="3">
        <f>Baupläne!H254</f>
        <v>61</v>
      </c>
      <c r="F254" s="3">
        <f>Baupläne!I254</f>
        <v>6</v>
      </c>
      <c r="G254" s="3">
        <f>Baupläne!E254</f>
        <v>31</v>
      </c>
      <c r="H254" s="3">
        <f>Baupläne!F254</f>
        <v>180</v>
      </c>
      <c r="I254" s="3">
        <f>0.5*Baupläne!Y254</f>
        <v>850</v>
      </c>
      <c r="J254" s="3">
        <f>Baupläne!G254</f>
        <v>2</v>
      </c>
      <c r="K254" s="3">
        <f>IF(L254&gt;0,INDEX(data_item!$A$1:$A$1994,MATCH(Baupläne!L254,data_item!$B$1:$B$1994,0),1),0)</f>
        <v>47</v>
      </c>
      <c r="L254" s="3">
        <f>Baupläne!K254</f>
        <v>5</v>
      </c>
      <c r="M254" s="3">
        <f>IF(N254&gt;0,INDEX(data_item!$A$1:$A$1994,MATCH(Baupläne!N254,data_item!$B$1:$B$994,0),1),0)</f>
        <v>117</v>
      </c>
      <c r="N254" s="3">
        <f>Baupläne!M254</f>
        <v>7</v>
      </c>
      <c r="O254" s="3">
        <f>IF(P254&gt;0,INDEX(data_item!$A$1:$A$1994,MATCH(Baupläne!P254,data_item!$B$1:$B$1994,0),1),0)</f>
        <v>0</v>
      </c>
      <c r="P254" s="3">
        <f>Baupläne!O254</f>
        <v>0</v>
      </c>
      <c r="Q254" s="3">
        <f>IF(R254&gt;0,INDEX(data_item!$A$1:$A$1994,MATCH(Baupläne!R254,data_item!$B$1:$B$1994,0),1),0)</f>
        <v>0</v>
      </c>
      <c r="R254" s="3">
        <f>Baupläne!Q254</f>
        <v>0</v>
      </c>
      <c r="S254" s="3">
        <f>IF(T254&gt;0,INDEX(data_item!$A$1:$A$1994,MATCH(Baupläne!T254,data_item!$B$1:$B$1994,0),1),0)</f>
        <v>0</v>
      </c>
      <c r="T254" s="3">
        <f>Baupläne!S254</f>
        <v>0</v>
      </c>
    </row>
    <row r="255" spans="1:20" x14ac:dyDescent="0.2">
      <c r="A255" s="3">
        <f>Baupläne!A255</f>
        <v>1314</v>
      </c>
      <c r="B255" s="3" t="str">
        <f>Baupläne!C255</f>
        <v>Leder-Hose</v>
      </c>
      <c r="C255" s="3">
        <f>Baupläne!B255</f>
        <v>1314</v>
      </c>
      <c r="D255" s="3">
        <f>Baupläne!J255</f>
        <v>0</v>
      </c>
      <c r="E255" s="3">
        <f>Baupläne!H255</f>
        <v>61</v>
      </c>
      <c r="F255" s="3">
        <f>Baupläne!I255</f>
        <v>6</v>
      </c>
      <c r="G255" s="3">
        <f>Baupläne!E255</f>
        <v>31</v>
      </c>
      <c r="H255" s="3">
        <f>Baupläne!F255</f>
        <v>240</v>
      </c>
      <c r="I255" s="3">
        <f>0.5*Baupläne!Y255</f>
        <v>1150</v>
      </c>
      <c r="J255" s="3">
        <f>Baupläne!G255</f>
        <v>2</v>
      </c>
      <c r="K255" s="3">
        <f>IF(L255&gt;0,INDEX(data_item!$A$1:$A$1994,MATCH(Baupläne!L255,data_item!$B$1:$B$1994,0),1),0)</f>
        <v>47</v>
      </c>
      <c r="L255" s="3">
        <f>Baupläne!K255</f>
        <v>6</v>
      </c>
      <c r="M255" s="3">
        <f>IF(N255&gt;0,INDEX(data_item!$A$1:$A$1994,MATCH(Baupläne!N255,data_item!$B$1:$B$994,0),1),0)</f>
        <v>117</v>
      </c>
      <c r="N255" s="3">
        <f>Baupläne!M255</f>
        <v>9</v>
      </c>
      <c r="O255" s="3">
        <f>IF(P255&gt;0,INDEX(data_item!$A$1:$A$1994,MATCH(Baupläne!P255,data_item!$B$1:$B$1994,0),1),0)</f>
        <v>0</v>
      </c>
      <c r="P255" s="3">
        <f>Baupläne!O255</f>
        <v>0</v>
      </c>
      <c r="Q255" s="3">
        <f>IF(R255&gt;0,INDEX(data_item!$A$1:$A$1994,MATCH(Baupläne!R255,data_item!$B$1:$B$1994,0),1),0)</f>
        <v>0</v>
      </c>
      <c r="R255" s="3">
        <f>Baupläne!Q255</f>
        <v>0</v>
      </c>
      <c r="S255" s="3">
        <f>IF(T255&gt;0,INDEX(data_item!$A$1:$A$1994,MATCH(Baupläne!T255,data_item!$B$1:$B$1994,0),1),0)</f>
        <v>0</v>
      </c>
      <c r="T255" s="3">
        <f>Baupläne!S255</f>
        <v>0</v>
      </c>
    </row>
    <row r="256" spans="1:20" x14ac:dyDescent="0.2">
      <c r="A256" s="3">
        <f>Baupläne!A256</f>
        <v>1315</v>
      </c>
      <c r="B256" s="3" t="str">
        <f>Baupläne!C256</f>
        <v>Leder-Schuhe</v>
      </c>
      <c r="C256" s="3">
        <f>Baupläne!B256</f>
        <v>1315</v>
      </c>
      <c r="D256" s="3">
        <f>Baupläne!J256</f>
        <v>0</v>
      </c>
      <c r="E256" s="3">
        <f>Baupläne!H256</f>
        <v>61</v>
      </c>
      <c r="F256" s="3">
        <f>Baupläne!I256</f>
        <v>6</v>
      </c>
      <c r="G256" s="3">
        <f>Baupläne!E256</f>
        <v>31</v>
      </c>
      <c r="H256" s="3">
        <f>Baupläne!F256</f>
        <v>180</v>
      </c>
      <c r="I256" s="3">
        <f>0.5*Baupläne!Y256</f>
        <v>850</v>
      </c>
      <c r="J256" s="3">
        <f>Baupläne!G256</f>
        <v>2</v>
      </c>
      <c r="K256" s="3">
        <f>IF(L256&gt;0,INDEX(data_item!$A$1:$A$1994,MATCH(Baupläne!L256,data_item!$B$1:$B$1994,0),1),0)</f>
        <v>47</v>
      </c>
      <c r="L256" s="3">
        <f>Baupläne!K256</f>
        <v>5</v>
      </c>
      <c r="M256" s="3">
        <f>IF(N256&gt;0,INDEX(data_item!$A$1:$A$1994,MATCH(Baupläne!N256,data_item!$B$1:$B$994,0),1),0)</f>
        <v>117</v>
      </c>
      <c r="N256" s="3">
        <f>Baupläne!M256</f>
        <v>7</v>
      </c>
      <c r="O256" s="3">
        <f>IF(P256&gt;0,INDEX(data_item!$A$1:$A$1994,MATCH(Baupläne!P256,data_item!$B$1:$B$1994,0),1),0)</f>
        <v>0</v>
      </c>
      <c r="P256" s="3">
        <f>Baupläne!O256</f>
        <v>0</v>
      </c>
      <c r="Q256" s="3">
        <f>IF(R256&gt;0,INDEX(data_item!$A$1:$A$1994,MATCH(Baupläne!R256,data_item!$B$1:$B$1994,0),1),0)</f>
        <v>0</v>
      </c>
      <c r="R256" s="3">
        <f>Baupläne!Q256</f>
        <v>0</v>
      </c>
      <c r="S256" s="3">
        <f>IF(T256&gt;0,INDEX(data_item!$A$1:$A$1994,MATCH(Baupläne!T256,data_item!$B$1:$B$1994,0),1),0)</f>
        <v>0</v>
      </c>
      <c r="T256" s="3">
        <f>Baupläne!S256</f>
        <v>0</v>
      </c>
    </row>
    <row r="257" spans="1:20" x14ac:dyDescent="0.2">
      <c r="A257" s="3">
        <f>Baupläne!A257</f>
        <v>1316</v>
      </c>
      <c r="B257" s="3" t="str">
        <f>Baupläne!C257</f>
        <v>Leder-Helm</v>
      </c>
      <c r="C257" s="3">
        <f>Baupläne!B257</f>
        <v>1316</v>
      </c>
      <c r="D257" s="3">
        <f>Baupläne!J257</f>
        <v>0</v>
      </c>
      <c r="E257" s="3">
        <f>Baupläne!H257</f>
        <v>61</v>
      </c>
      <c r="F257" s="3">
        <f>Baupläne!I257</f>
        <v>8</v>
      </c>
      <c r="G257" s="3">
        <f>Baupläne!E257</f>
        <v>31</v>
      </c>
      <c r="H257" s="3">
        <f>Baupläne!F257</f>
        <v>240</v>
      </c>
      <c r="I257" s="3">
        <f>0.5*Baupläne!Y257</f>
        <v>1550</v>
      </c>
      <c r="J257" s="3">
        <f>Baupläne!G257</f>
        <v>2</v>
      </c>
      <c r="K257" s="3">
        <f>IF(L257&gt;0,INDEX(data_item!$A$1:$A$1994,MATCH(Baupläne!L257,data_item!$B$1:$B$1994,0),1),0)</f>
        <v>47</v>
      </c>
      <c r="L257" s="3">
        <f>Baupläne!K257</f>
        <v>8</v>
      </c>
      <c r="M257" s="3">
        <f>IF(N257&gt;0,INDEX(data_item!$A$1:$A$1994,MATCH(Baupläne!N257,data_item!$B$1:$B$994,0),1),0)</f>
        <v>117</v>
      </c>
      <c r="N257" s="3">
        <f>Baupläne!M257</f>
        <v>12</v>
      </c>
      <c r="O257" s="3">
        <f>IF(P257&gt;0,INDEX(data_item!$A$1:$A$1994,MATCH(Baupläne!P257,data_item!$B$1:$B$1994,0),1),0)</f>
        <v>0</v>
      </c>
      <c r="P257" s="3">
        <f>Baupläne!O257</f>
        <v>0</v>
      </c>
      <c r="Q257" s="3">
        <f>IF(R257&gt;0,INDEX(data_item!$A$1:$A$1994,MATCH(Baupläne!R257,data_item!$B$1:$B$1994,0),1),0)</f>
        <v>0</v>
      </c>
      <c r="R257" s="3">
        <f>Baupläne!Q257</f>
        <v>0</v>
      </c>
      <c r="S257" s="3">
        <f>IF(T257&gt;0,INDEX(data_item!$A$1:$A$1994,MATCH(Baupläne!T257,data_item!$B$1:$B$1994,0),1),0)</f>
        <v>0</v>
      </c>
      <c r="T257" s="3">
        <f>Baupläne!S257</f>
        <v>0</v>
      </c>
    </row>
    <row r="258" spans="1:20" x14ac:dyDescent="0.2">
      <c r="A258" s="3">
        <f>Baupläne!A258</f>
        <v>1317</v>
      </c>
      <c r="B258" s="3" t="str">
        <f>Baupläne!C258</f>
        <v>Leder-Harnisch</v>
      </c>
      <c r="C258" s="3">
        <f>Baupläne!B258</f>
        <v>1317</v>
      </c>
      <c r="D258" s="3">
        <f>Baupläne!J258</f>
        <v>0</v>
      </c>
      <c r="E258" s="3">
        <f>Baupläne!H258</f>
        <v>61</v>
      </c>
      <c r="F258" s="3">
        <f>Baupläne!I258</f>
        <v>8</v>
      </c>
      <c r="G258" s="3">
        <f>Baupläne!E258</f>
        <v>31</v>
      </c>
      <c r="H258" s="3">
        <f>Baupläne!F258</f>
        <v>360</v>
      </c>
      <c r="I258" s="3">
        <f>0.5*Baupläne!Y258</f>
        <v>2300</v>
      </c>
      <c r="J258" s="3">
        <f>Baupläne!G258</f>
        <v>2</v>
      </c>
      <c r="K258" s="3">
        <f>IF(L258&gt;0,INDEX(data_item!$A$1:$A$1994,MATCH(Baupläne!L258,data_item!$B$1:$B$1994,0),1),0)</f>
        <v>47</v>
      </c>
      <c r="L258" s="3">
        <f>Baupläne!K258</f>
        <v>12</v>
      </c>
      <c r="M258" s="3">
        <f>IF(N258&gt;0,INDEX(data_item!$A$1:$A$1994,MATCH(Baupläne!N258,data_item!$B$1:$B$994,0),1),0)</f>
        <v>117</v>
      </c>
      <c r="N258" s="3">
        <f>Baupläne!M258</f>
        <v>18</v>
      </c>
      <c r="O258" s="3">
        <f>IF(P258&gt;0,INDEX(data_item!$A$1:$A$1994,MATCH(Baupläne!P258,data_item!$B$1:$B$1994,0),1),0)</f>
        <v>0</v>
      </c>
      <c r="P258" s="3">
        <f>Baupläne!O258</f>
        <v>0</v>
      </c>
      <c r="Q258" s="3">
        <f>IF(R258&gt;0,INDEX(data_item!$A$1:$A$1994,MATCH(Baupläne!R258,data_item!$B$1:$B$1994,0),1),0)</f>
        <v>0</v>
      </c>
      <c r="R258" s="3">
        <f>Baupläne!Q258</f>
        <v>0</v>
      </c>
      <c r="S258" s="3">
        <f>IF(T258&gt;0,INDEX(data_item!$A$1:$A$1994,MATCH(Baupläne!T258,data_item!$B$1:$B$1994,0),1),0)</f>
        <v>0</v>
      </c>
      <c r="T258" s="3">
        <f>Baupläne!S258</f>
        <v>0</v>
      </c>
    </row>
    <row r="259" spans="1:20" x14ac:dyDescent="0.2">
      <c r="A259" s="3">
        <f>Baupläne!A259</f>
        <v>1318</v>
      </c>
      <c r="B259" s="3" t="str">
        <f>Baupläne!C259</f>
        <v>Leder-Stulpen</v>
      </c>
      <c r="C259" s="3">
        <f>Baupläne!B259</f>
        <v>1318</v>
      </c>
      <c r="D259" s="3">
        <f>Baupläne!J259</f>
        <v>0</v>
      </c>
      <c r="E259" s="3">
        <f>Baupläne!H259</f>
        <v>61</v>
      </c>
      <c r="F259" s="3">
        <f>Baupläne!I259</f>
        <v>9</v>
      </c>
      <c r="G259" s="3">
        <f>Baupläne!E259</f>
        <v>31</v>
      </c>
      <c r="H259" s="3">
        <f>Baupläne!F259</f>
        <v>180</v>
      </c>
      <c r="I259" s="3">
        <f>0.5*Baupläne!Y259</f>
        <v>1300</v>
      </c>
      <c r="J259" s="3">
        <f>Baupläne!G259</f>
        <v>2</v>
      </c>
      <c r="K259" s="3">
        <f>IF(L259&gt;0,INDEX(data_item!$A$1:$A$1994,MATCH(Baupläne!L259,data_item!$B$1:$B$1994,0),1),0)</f>
        <v>47</v>
      </c>
      <c r="L259" s="3">
        <f>Baupläne!K259</f>
        <v>7</v>
      </c>
      <c r="M259" s="3">
        <f>IF(N259&gt;0,INDEX(data_item!$A$1:$A$1994,MATCH(Baupläne!N259,data_item!$B$1:$B$994,0),1),0)</f>
        <v>117</v>
      </c>
      <c r="N259" s="3">
        <f>Baupläne!M259</f>
        <v>10</v>
      </c>
      <c r="O259" s="3">
        <f>IF(P259&gt;0,INDEX(data_item!$A$1:$A$1994,MATCH(Baupläne!P259,data_item!$B$1:$B$1994,0),1),0)</f>
        <v>0</v>
      </c>
      <c r="P259" s="3">
        <f>Baupläne!O259</f>
        <v>0</v>
      </c>
      <c r="Q259" s="3">
        <f>IF(R259&gt;0,INDEX(data_item!$A$1:$A$1994,MATCH(Baupläne!R259,data_item!$B$1:$B$1994,0),1),0)</f>
        <v>0</v>
      </c>
      <c r="R259" s="3">
        <f>Baupläne!Q259</f>
        <v>0</v>
      </c>
      <c r="S259" s="3">
        <f>IF(T259&gt;0,INDEX(data_item!$A$1:$A$1994,MATCH(Baupläne!T259,data_item!$B$1:$B$1994,0),1),0)</f>
        <v>0</v>
      </c>
      <c r="T259" s="3">
        <f>Baupläne!S259</f>
        <v>0</v>
      </c>
    </row>
    <row r="260" spans="1:20" x14ac:dyDescent="0.2">
      <c r="A260" s="3">
        <f>Baupläne!A260</f>
        <v>1319</v>
      </c>
      <c r="B260" s="3" t="str">
        <f>Baupläne!C260</f>
        <v>Leder-Beinlinge</v>
      </c>
      <c r="C260" s="3">
        <f>Baupläne!B260</f>
        <v>1319</v>
      </c>
      <c r="D260" s="3">
        <f>Baupläne!J260</f>
        <v>0</v>
      </c>
      <c r="E260" s="3">
        <f>Baupläne!H260</f>
        <v>61</v>
      </c>
      <c r="F260" s="3">
        <f>Baupläne!I260</f>
        <v>9</v>
      </c>
      <c r="G260" s="3">
        <f>Baupläne!E260</f>
        <v>31</v>
      </c>
      <c r="H260" s="3">
        <f>Baupläne!F260</f>
        <v>240</v>
      </c>
      <c r="I260" s="3">
        <f>0.5*Baupläne!Y260</f>
        <v>1750</v>
      </c>
      <c r="J260" s="3">
        <f>Baupläne!G260</f>
        <v>2</v>
      </c>
      <c r="K260" s="3">
        <f>IF(L260&gt;0,INDEX(data_item!$A$1:$A$1994,MATCH(Baupläne!L260,data_item!$B$1:$B$1994,0),1),0)</f>
        <v>47</v>
      </c>
      <c r="L260" s="3">
        <f>Baupläne!K260</f>
        <v>10</v>
      </c>
      <c r="M260" s="3">
        <f>IF(N260&gt;0,INDEX(data_item!$A$1:$A$1994,MATCH(Baupläne!N260,data_item!$B$1:$B$994,0),1),0)</f>
        <v>117</v>
      </c>
      <c r="N260" s="3">
        <f>Baupläne!M260</f>
        <v>14</v>
      </c>
      <c r="O260" s="3">
        <f>IF(P260&gt;0,INDEX(data_item!$A$1:$A$1994,MATCH(Baupläne!P260,data_item!$B$1:$B$1994,0),1),0)</f>
        <v>0</v>
      </c>
      <c r="P260" s="3">
        <f>Baupläne!O260</f>
        <v>0</v>
      </c>
      <c r="Q260" s="3">
        <f>IF(R260&gt;0,INDEX(data_item!$A$1:$A$1994,MATCH(Baupläne!R260,data_item!$B$1:$B$1994,0),1),0)</f>
        <v>0</v>
      </c>
      <c r="R260" s="3">
        <f>Baupläne!Q260</f>
        <v>0</v>
      </c>
      <c r="S260" s="3">
        <f>IF(T260&gt;0,INDEX(data_item!$A$1:$A$1994,MATCH(Baupläne!T260,data_item!$B$1:$B$1994,0),1),0)</f>
        <v>0</v>
      </c>
      <c r="T260" s="3">
        <f>Baupläne!S260</f>
        <v>0</v>
      </c>
    </row>
    <row r="261" spans="1:20" x14ac:dyDescent="0.2">
      <c r="A261" s="3">
        <f>Baupläne!A261</f>
        <v>1320</v>
      </c>
      <c r="B261" s="3" t="str">
        <f>Baupläne!C261</f>
        <v>Leder-Stiefel</v>
      </c>
      <c r="C261" s="3">
        <f>Baupläne!B261</f>
        <v>1320</v>
      </c>
      <c r="D261" s="3">
        <f>Baupläne!J261</f>
        <v>0</v>
      </c>
      <c r="E261" s="3">
        <f>Baupläne!H261</f>
        <v>61</v>
      </c>
      <c r="F261" s="3">
        <f>Baupläne!I261</f>
        <v>9</v>
      </c>
      <c r="G261" s="3">
        <f>Baupläne!E261</f>
        <v>31</v>
      </c>
      <c r="H261" s="3">
        <f>Baupläne!F261</f>
        <v>180</v>
      </c>
      <c r="I261" s="3">
        <f>0.5*Baupläne!Y261</f>
        <v>1300</v>
      </c>
      <c r="J261" s="3">
        <f>Baupläne!G261</f>
        <v>2</v>
      </c>
      <c r="K261" s="3">
        <f>IF(L261&gt;0,INDEX(data_item!$A$1:$A$1994,MATCH(Baupläne!L261,data_item!$B$1:$B$1994,0),1),0)</f>
        <v>47</v>
      </c>
      <c r="L261" s="3">
        <f>Baupläne!K261</f>
        <v>7</v>
      </c>
      <c r="M261" s="3">
        <f>IF(N261&gt;0,INDEX(data_item!$A$1:$A$1994,MATCH(Baupläne!N261,data_item!$B$1:$B$994,0),1),0)</f>
        <v>117</v>
      </c>
      <c r="N261" s="3">
        <f>Baupläne!M261</f>
        <v>10</v>
      </c>
      <c r="O261" s="3">
        <f>IF(P261&gt;0,INDEX(data_item!$A$1:$A$1994,MATCH(Baupläne!P261,data_item!$B$1:$B$1994,0),1),0)</f>
        <v>0</v>
      </c>
      <c r="P261" s="3">
        <f>Baupläne!O261</f>
        <v>0</v>
      </c>
      <c r="Q261" s="3">
        <f>IF(R261&gt;0,INDEX(data_item!$A$1:$A$1994,MATCH(Baupläne!R261,data_item!$B$1:$B$1994,0),1),0)</f>
        <v>0</v>
      </c>
      <c r="R261" s="3">
        <f>Baupläne!Q261</f>
        <v>0</v>
      </c>
      <c r="S261" s="3">
        <f>IF(T261&gt;0,INDEX(data_item!$A$1:$A$1994,MATCH(Baupläne!T261,data_item!$B$1:$B$1994,0),1),0)</f>
        <v>0</v>
      </c>
      <c r="T261" s="3">
        <f>Baupläne!S261</f>
        <v>0</v>
      </c>
    </row>
    <row r="262" spans="1:20" x14ac:dyDescent="0.2">
      <c r="A262" s="3">
        <f>Baupläne!A262</f>
        <v>1321</v>
      </c>
      <c r="B262" s="3" t="str">
        <f>Baupläne!C262</f>
        <v>Hartleder-Haube</v>
      </c>
      <c r="C262" s="3">
        <f>Baupläne!B262</f>
        <v>1321</v>
      </c>
      <c r="D262" s="3">
        <f>Baupläne!J262</f>
        <v>0</v>
      </c>
      <c r="E262" s="3">
        <f>Baupläne!H262</f>
        <v>61</v>
      </c>
      <c r="F262" s="3">
        <f>Baupläne!I262</f>
        <v>10</v>
      </c>
      <c r="G262" s="3">
        <f>Baupläne!E262</f>
        <v>31</v>
      </c>
      <c r="H262" s="3">
        <f>Baupläne!F262</f>
        <v>240</v>
      </c>
      <c r="I262" s="3">
        <f>0.5*Baupläne!Y262</f>
        <v>2000</v>
      </c>
      <c r="J262" s="3">
        <f>Baupläne!G262</f>
        <v>3</v>
      </c>
      <c r="K262" s="3">
        <f>IF(L262&gt;0,INDEX(data_item!$A$1:$A$1994,MATCH(Baupläne!L262,data_item!$B$1:$B$1994,0),1),0)</f>
        <v>48</v>
      </c>
      <c r="L262" s="3">
        <f>Baupläne!K262</f>
        <v>7</v>
      </c>
      <c r="M262" s="3">
        <f>IF(N262&gt;0,INDEX(data_item!$A$1:$A$1994,MATCH(Baupläne!N262,data_item!$B$1:$B$994,0),1),0)</f>
        <v>117</v>
      </c>
      <c r="N262" s="3">
        <f>Baupläne!M262</f>
        <v>9</v>
      </c>
      <c r="O262" s="3">
        <f>IF(P262&gt;0,INDEX(data_item!$A$1:$A$1994,MATCH(Baupläne!P262,data_item!$B$1:$B$1994,0),1),0)</f>
        <v>118</v>
      </c>
      <c r="P262" s="3">
        <f>Baupläne!O262</f>
        <v>3</v>
      </c>
      <c r="Q262" s="3">
        <f>IF(R262&gt;0,INDEX(data_item!$A$1:$A$1994,MATCH(Baupläne!R262,data_item!$B$1:$B$1994,0),1),0)</f>
        <v>0</v>
      </c>
      <c r="R262" s="3">
        <f>Baupläne!Q262</f>
        <v>0</v>
      </c>
      <c r="S262" s="3">
        <f>IF(T262&gt;0,INDEX(data_item!$A$1:$A$1994,MATCH(Baupläne!T262,data_item!$B$1:$B$1994,0),1),0)</f>
        <v>0</v>
      </c>
      <c r="T262" s="3">
        <f>Baupläne!S262</f>
        <v>0</v>
      </c>
    </row>
    <row r="263" spans="1:20" x14ac:dyDescent="0.2">
      <c r="A263" s="3">
        <f>Baupläne!A263</f>
        <v>1322</v>
      </c>
      <c r="B263" s="3" t="str">
        <f>Baupläne!C263</f>
        <v>Hartleder-Wappenrock</v>
      </c>
      <c r="C263" s="3">
        <f>Baupläne!B263</f>
        <v>1322</v>
      </c>
      <c r="D263" s="3">
        <f>Baupläne!J263</f>
        <v>0</v>
      </c>
      <c r="E263" s="3">
        <f>Baupläne!H263</f>
        <v>61</v>
      </c>
      <c r="F263" s="3">
        <f>Baupläne!I263</f>
        <v>10</v>
      </c>
      <c r="G263" s="3">
        <f>Baupläne!E263</f>
        <v>31</v>
      </c>
      <c r="H263" s="3">
        <f>Baupläne!F263</f>
        <v>360</v>
      </c>
      <c r="I263" s="3">
        <f>0.5*Baupläne!Y263</f>
        <v>3050</v>
      </c>
      <c r="J263" s="3">
        <f>Baupläne!G263</f>
        <v>3</v>
      </c>
      <c r="K263" s="3">
        <f>IF(L263&gt;0,INDEX(data_item!$A$1:$A$1994,MATCH(Baupläne!L263,data_item!$B$1:$B$1994,0),1),0)</f>
        <v>48</v>
      </c>
      <c r="L263" s="3">
        <f>Baupläne!K263</f>
        <v>11</v>
      </c>
      <c r="M263" s="3">
        <f>IF(N263&gt;0,INDEX(data_item!$A$1:$A$1994,MATCH(Baupläne!N263,data_item!$B$1:$B$994,0),1),0)</f>
        <v>117</v>
      </c>
      <c r="N263" s="3">
        <f>Baupläne!M263</f>
        <v>10</v>
      </c>
      <c r="O263" s="3">
        <f>IF(P263&gt;0,INDEX(data_item!$A$1:$A$1994,MATCH(Baupläne!P263,data_item!$B$1:$B$1994,0),1),0)</f>
        <v>118</v>
      </c>
      <c r="P263" s="3">
        <f>Baupläne!O263</f>
        <v>6</v>
      </c>
      <c r="Q263" s="3">
        <f>IF(R263&gt;0,INDEX(data_item!$A$1:$A$1994,MATCH(Baupläne!R263,data_item!$B$1:$B$1994,0),1),0)</f>
        <v>0</v>
      </c>
      <c r="R263" s="3">
        <f>Baupläne!Q263</f>
        <v>0</v>
      </c>
      <c r="S263" s="3">
        <f>IF(T263&gt;0,INDEX(data_item!$A$1:$A$1994,MATCH(Baupläne!T263,data_item!$B$1:$B$1994,0),1),0)</f>
        <v>0</v>
      </c>
      <c r="T263" s="3">
        <f>Baupläne!S263</f>
        <v>0</v>
      </c>
    </row>
    <row r="264" spans="1:20" x14ac:dyDescent="0.2">
      <c r="A264" s="3">
        <f>Baupläne!A264</f>
        <v>1323</v>
      </c>
      <c r="B264" s="3" t="str">
        <f>Baupläne!C264</f>
        <v>Hartleder-Handschuhe</v>
      </c>
      <c r="C264" s="3">
        <f>Baupläne!B264</f>
        <v>1323</v>
      </c>
      <c r="D264" s="3">
        <f>Baupläne!J264</f>
        <v>0</v>
      </c>
      <c r="E264" s="3">
        <f>Baupläne!H264</f>
        <v>61</v>
      </c>
      <c r="F264" s="3">
        <f>Baupläne!I264</f>
        <v>11</v>
      </c>
      <c r="G264" s="3">
        <f>Baupläne!E264</f>
        <v>31</v>
      </c>
      <c r="H264" s="3">
        <f>Baupläne!F264</f>
        <v>180</v>
      </c>
      <c r="I264" s="3">
        <f>0.5*Baupläne!Y264</f>
        <v>1750</v>
      </c>
      <c r="J264" s="3">
        <f>Baupläne!G264</f>
        <v>3</v>
      </c>
      <c r="K264" s="3">
        <f>IF(L264&gt;0,INDEX(data_item!$A$1:$A$1994,MATCH(Baupläne!L264,data_item!$B$1:$B$1994,0),1),0)</f>
        <v>48</v>
      </c>
      <c r="L264" s="3">
        <f>Baupläne!K264</f>
        <v>6</v>
      </c>
      <c r="M264" s="3">
        <f>IF(N264&gt;0,INDEX(data_item!$A$1:$A$1994,MATCH(Baupläne!N264,data_item!$B$1:$B$994,0),1),0)</f>
        <v>117</v>
      </c>
      <c r="N264" s="3">
        <f>Baupläne!M264</f>
        <v>7</v>
      </c>
      <c r="O264" s="3">
        <f>IF(P264&gt;0,INDEX(data_item!$A$1:$A$1994,MATCH(Baupläne!P264,data_item!$B$1:$B$1994,0),1),0)</f>
        <v>118</v>
      </c>
      <c r="P264" s="3">
        <f>Baupläne!O264</f>
        <v>3</v>
      </c>
      <c r="Q264" s="3">
        <f>IF(R264&gt;0,INDEX(data_item!$A$1:$A$1994,MATCH(Baupläne!R264,data_item!$B$1:$B$1994,0),1),0)</f>
        <v>0</v>
      </c>
      <c r="R264" s="3">
        <f>Baupläne!Q264</f>
        <v>0</v>
      </c>
      <c r="S264" s="3">
        <f>IF(T264&gt;0,INDEX(data_item!$A$1:$A$1994,MATCH(Baupläne!T264,data_item!$B$1:$B$1994,0),1),0)</f>
        <v>0</v>
      </c>
      <c r="T264" s="3">
        <f>Baupläne!S264</f>
        <v>0</v>
      </c>
    </row>
    <row r="265" spans="1:20" x14ac:dyDescent="0.2">
      <c r="A265" s="3">
        <f>Baupläne!A265</f>
        <v>1324</v>
      </c>
      <c r="B265" s="3" t="str">
        <f>Baupläne!C265</f>
        <v>Hartleder-Hose</v>
      </c>
      <c r="C265" s="3">
        <f>Baupläne!B265</f>
        <v>1324</v>
      </c>
      <c r="D265" s="3">
        <f>Baupläne!J265</f>
        <v>0</v>
      </c>
      <c r="E265" s="3">
        <f>Baupläne!H265</f>
        <v>61</v>
      </c>
      <c r="F265" s="3">
        <f>Baupläne!I265</f>
        <v>11</v>
      </c>
      <c r="G265" s="3">
        <f>Baupläne!E265</f>
        <v>31</v>
      </c>
      <c r="H265" s="3">
        <f>Baupläne!F265</f>
        <v>240</v>
      </c>
      <c r="I265" s="3">
        <f>0.5*Baupläne!Y265</f>
        <v>2350</v>
      </c>
      <c r="J265" s="3">
        <f>Baupläne!G265</f>
        <v>3</v>
      </c>
      <c r="K265" s="3">
        <f>IF(L265&gt;0,INDEX(data_item!$A$1:$A$1994,MATCH(Baupläne!L265,data_item!$B$1:$B$1994,0),1),0)</f>
        <v>48</v>
      </c>
      <c r="L265" s="3">
        <f>Baupläne!K265</f>
        <v>8</v>
      </c>
      <c r="M265" s="3">
        <f>IF(N265&gt;0,INDEX(data_item!$A$1:$A$1994,MATCH(Baupläne!N265,data_item!$B$1:$B$994,0),1),0)</f>
        <v>117</v>
      </c>
      <c r="N265" s="3">
        <f>Baupläne!M265</f>
        <v>12</v>
      </c>
      <c r="O265" s="3">
        <f>IF(P265&gt;0,INDEX(data_item!$A$1:$A$1994,MATCH(Baupläne!P265,data_item!$B$1:$B$1994,0),1),0)</f>
        <v>118</v>
      </c>
      <c r="P265" s="3">
        <f>Baupläne!O265</f>
        <v>3</v>
      </c>
      <c r="Q265" s="3">
        <f>IF(R265&gt;0,INDEX(data_item!$A$1:$A$1994,MATCH(Baupläne!R265,data_item!$B$1:$B$1994,0),1),0)</f>
        <v>0</v>
      </c>
      <c r="R265" s="3">
        <f>Baupläne!Q265</f>
        <v>0</v>
      </c>
      <c r="S265" s="3">
        <f>IF(T265&gt;0,INDEX(data_item!$A$1:$A$1994,MATCH(Baupläne!T265,data_item!$B$1:$B$1994,0),1),0)</f>
        <v>0</v>
      </c>
      <c r="T265" s="3">
        <f>Baupläne!S265</f>
        <v>0</v>
      </c>
    </row>
    <row r="266" spans="1:20" x14ac:dyDescent="0.2">
      <c r="A266" s="3">
        <f>Baupläne!A266</f>
        <v>1325</v>
      </c>
      <c r="B266" s="3" t="str">
        <f>Baupläne!C266</f>
        <v>Hartleder-Schuhe</v>
      </c>
      <c r="C266" s="3">
        <f>Baupläne!B266</f>
        <v>1325</v>
      </c>
      <c r="D266" s="3">
        <f>Baupläne!J266</f>
        <v>0</v>
      </c>
      <c r="E266" s="3">
        <f>Baupläne!H266</f>
        <v>61</v>
      </c>
      <c r="F266" s="3">
        <f>Baupläne!I266</f>
        <v>11</v>
      </c>
      <c r="G266" s="3">
        <f>Baupläne!E266</f>
        <v>31</v>
      </c>
      <c r="H266" s="3">
        <f>Baupläne!F266</f>
        <v>180</v>
      </c>
      <c r="I266" s="3">
        <f>0.5*Baupläne!Y266</f>
        <v>1750</v>
      </c>
      <c r="J266" s="3">
        <f>Baupläne!G266</f>
        <v>3</v>
      </c>
      <c r="K266" s="3">
        <f>IF(L266&gt;0,INDEX(data_item!$A$1:$A$1994,MATCH(Baupläne!L266,data_item!$B$1:$B$1994,0),1),0)</f>
        <v>48</v>
      </c>
      <c r="L266" s="3">
        <f>Baupläne!K266</f>
        <v>6</v>
      </c>
      <c r="M266" s="3">
        <f>IF(N266&gt;0,INDEX(data_item!$A$1:$A$1994,MATCH(Baupläne!N266,data_item!$B$1:$B$994,0),1),0)</f>
        <v>117</v>
      </c>
      <c r="N266" s="3">
        <f>Baupläne!M266</f>
        <v>7</v>
      </c>
      <c r="O266" s="3">
        <f>IF(P266&gt;0,INDEX(data_item!$A$1:$A$1994,MATCH(Baupläne!P266,data_item!$B$1:$B$1994,0),1),0)</f>
        <v>118</v>
      </c>
      <c r="P266" s="3">
        <f>Baupläne!O266</f>
        <v>3</v>
      </c>
      <c r="Q266" s="3">
        <f>IF(R266&gt;0,INDEX(data_item!$A$1:$A$1994,MATCH(Baupläne!R266,data_item!$B$1:$B$1994,0),1),0)</f>
        <v>0</v>
      </c>
      <c r="R266" s="3">
        <f>Baupläne!Q266</f>
        <v>0</v>
      </c>
      <c r="S266" s="3">
        <f>IF(T266&gt;0,INDEX(data_item!$A$1:$A$1994,MATCH(Baupläne!T266,data_item!$B$1:$B$1994,0),1),0)</f>
        <v>0</v>
      </c>
      <c r="T266" s="3">
        <f>Baupläne!S266</f>
        <v>0</v>
      </c>
    </row>
    <row r="267" spans="1:20" x14ac:dyDescent="0.2">
      <c r="A267" s="3">
        <f>Baupläne!A267</f>
        <v>1326</v>
      </c>
      <c r="B267" s="3" t="str">
        <f>Baupläne!C267</f>
        <v>Hartleder-Helm</v>
      </c>
      <c r="C267" s="3">
        <f>Baupläne!B267</f>
        <v>1326</v>
      </c>
      <c r="D267" s="3">
        <f>Baupläne!J267</f>
        <v>0</v>
      </c>
      <c r="E267" s="3">
        <f>Baupläne!H267</f>
        <v>61</v>
      </c>
      <c r="F267" s="3">
        <f>Baupläne!I267</f>
        <v>13</v>
      </c>
      <c r="G267" s="3">
        <f>Baupläne!E267</f>
        <v>31</v>
      </c>
      <c r="H267" s="3">
        <f>Baupläne!F267</f>
        <v>240</v>
      </c>
      <c r="I267" s="3">
        <f>0.5*Baupläne!Y267</f>
        <v>3100</v>
      </c>
      <c r="J267" s="3">
        <f>Baupläne!G267</f>
        <v>3</v>
      </c>
      <c r="K267" s="3">
        <f>IF(L267&gt;0,INDEX(data_item!$A$1:$A$1994,MATCH(Baupläne!L267,data_item!$B$1:$B$1994,0),1),0)</f>
        <v>48</v>
      </c>
      <c r="L267" s="3">
        <f>Baupläne!K267</f>
        <v>11</v>
      </c>
      <c r="M267" s="3">
        <f>IF(N267&gt;0,INDEX(data_item!$A$1:$A$1994,MATCH(Baupläne!N267,data_item!$B$1:$B$994,0),1),0)</f>
        <v>117</v>
      </c>
      <c r="N267" s="3">
        <f>Baupläne!M267</f>
        <v>8</v>
      </c>
      <c r="O267" s="3">
        <f>IF(P267&gt;0,INDEX(data_item!$A$1:$A$1994,MATCH(Baupläne!P267,data_item!$B$1:$B$1994,0),1),0)</f>
        <v>118</v>
      </c>
      <c r="P267" s="3">
        <f>Baupläne!O267</f>
        <v>7</v>
      </c>
      <c r="Q267" s="3">
        <f>IF(R267&gt;0,INDEX(data_item!$A$1:$A$1994,MATCH(Baupläne!R267,data_item!$B$1:$B$1994,0),1),0)</f>
        <v>0</v>
      </c>
      <c r="R267" s="3">
        <f>Baupläne!Q267</f>
        <v>0</v>
      </c>
      <c r="S267" s="3">
        <f>IF(T267&gt;0,INDEX(data_item!$A$1:$A$1994,MATCH(Baupläne!T267,data_item!$B$1:$B$1994,0),1),0)</f>
        <v>0</v>
      </c>
      <c r="T267" s="3">
        <f>Baupläne!S267</f>
        <v>0</v>
      </c>
    </row>
    <row r="268" spans="1:20" x14ac:dyDescent="0.2">
      <c r="A268" s="3">
        <f>Baupläne!A268</f>
        <v>1327</v>
      </c>
      <c r="B268" s="3" t="str">
        <f>Baupläne!C268</f>
        <v>Hartleder-Harnisch</v>
      </c>
      <c r="C268" s="3">
        <f>Baupläne!B268</f>
        <v>1327</v>
      </c>
      <c r="D268" s="3">
        <f>Baupläne!J268</f>
        <v>0</v>
      </c>
      <c r="E268" s="3">
        <f>Baupläne!H268</f>
        <v>61</v>
      </c>
      <c r="F268" s="3">
        <f>Baupläne!I268</f>
        <v>13</v>
      </c>
      <c r="G268" s="3">
        <f>Baupläne!E268</f>
        <v>31</v>
      </c>
      <c r="H268" s="3">
        <f>Baupläne!F268</f>
        <v>360</v>
      </c>
      <c r="I268" s="3">
        <f>0.5*Baupläne!Y268</f>
        <v>4600</v>
      </c>
      <c r="J268" s="3">
        <f>Baupläne!G268</f>
        <v>3</v>
      </c>
      <c r="K268" s="3">
        <f>IF(L268&gt;0,INDEX(data_item!$A$1:$A$1994,MATCH(Baupläne!L268,data_item!$B$1:$B$1994,0),1),0)</f>
        <v>48</v>
      </c>
      <c r="L268" s="3">
        <f>Baupläne!K268</f>
        <v>17</v>
      </c>
      <c r="M268" s="3">
        <f>IF(N268&gt;0,INDEX(data_item!$A$1:$A$1994,MATCH(Baupläne!N268,data_item!$B$1:$B$994,0),1),0)</f>
        <v>117</v>
      </c>
      <c r="N268" s="3">
        <f>Baupläne!M268</f>
        <v>13</v>
      </c>
      <c r="O268" s="3">
        <f>IF(P268&gt;0,INDEX(data_item!$A$1:$A$1994,MATCH(Baupläne!P268,data_item!$B$1:$B$1994,0),1),0)</f>
        <v>118</v>
      </c>
      <c r="P268" s="3">
        <f>Baupläne!O268</f>
        <v>10</v>
      </c>
      <c r="Q268" s="3">
        <f>IF(R268&gt;0,INDEX(data_item!$A$1:$A$1994,MATCH(Baupläne!R268,data_item!$B$1:$B$1994,0),1),0)</f>
        <v>0</v>
      </c>
      <c r="R268" s="3">
        <f>Baupläne!Q268</f>
        <v>0</v>
      </c>
      <c r="S268" s="3">
        <f>IF(T268&gt;0,INDEX(data_item!$A$1:$A$1994,MATCH(Baupläne!T268,data_item!$B$1:$B$1994,0),1),0)</f>
        <v>0</v>
      </c>
      <c r="T268" s="3">
        <f>Baupläne!S268</f>
        <v>0</v>
      </c>
    </row>
    <row r="269" spans="1:20" x14ac:dyDescent="0.2">
      <c r="A269" s="3">
        <f>Baupläne!A269</f>
        <v>1328</v>
      </c>
      <c r="B269" s="3" t="str">
        <f>Baupläne!C269</f>
        <v>Hartleder-Stulpen</v>
      </c>
      <c r="C269" s="3">
        <f>Baupläne!B269</f>
        <v>1328</v>
      </c>
      <c r="D269" s="3">
        <f>Baupläne!J269</f>
        <v>0</v>
      </c>
      <c r="E269" s="3">
        <f>Baupläne!H269</f>
        <v>61</v>
      </c>
      <c r="F269" s="3">
        <f>Baupläne!I269</f>
        <v>14</v>
      </c>
      <c r="G269" s="3">
        <f>Baupläne!E269</f>
        <v>31</v>
      </c>
      <c r="H269" s="3">
        <f>Baupläne!F269</f>
        <v>180</v>
      </c>
      <c r="I269" s="3">
        <f>0.5*Baupläne!Y269</f>
        <v>2650</v>
      </c>
      <c r="J269" s="3">
        <f>Baupläne!G269</f>
        <v>3</v>
      </c>
      <c r="K269" s="3">
        <f>IF(L269&gt;0,INDEX(data_item!$A$1:$A$1994,MATCH(Baupläne!L269,data_item!$B$1:$B$1994,0),1),0)</f>
        <v>48</v>
      </c>
      <c r="L269" s="3">
        <f>Baupläne!K269</f>
        <v>10</v>
      </c>
      <c r="M269" s="3">
        <f>IF(N269&gt;0,INDEX(data_item!$A$1:$A$1994,MATCH(Baupläne!N269,data_item!$B$1:$B$994,0),1),0)</f>
        <v>117</v>
      </c>
      <c r="N269" s="3">
        <f>Baupläne!M269</f>
        <v>12</v>
      </c>
      <c r="O269" s="3">
        <f>IF(P269&gt;0,INDEX(data_item!$A$1:$A$1994,MATCH(Baupläne!P269,data_item!$B$1:$B$1994,0),1),0)</f>
        <v>118</v>
      </c>
      <c r="P269" s="3">
        <f>Baupläne!O269</f>
        <v>4</v>
      </c>
      <c r="Q269" s="3">
        <f>IF(R269&gt;0,INDEX(data_item!$A$1:$A$1994,MATCH(Baupläne!R269,data_item!$B$1:$B$1994,0),1),0)</f>
        <v>0</v>
      </c>
      <c r="R269" s="3">
        <f>Baupläne!Q269</f>
        <v>0</v>
      </c>
      <c r="S269" s="3">
        <f>IF(T269&gt;0,INDEX(data_item!$A$1:$A$1994,MATCH(Baupläne!T269,data_item!$B$1:$B$1994,0),1),0)</f>
        <v>0</v>
      </c>
      <c r="T269" s="3">
        <f>Baupläne!S269</f>
        <v>0</v>
      </c>
    </row>
    <row r="270" spans="1:20" x14ac:dyDescent="0.2">
      <c r="A270" s="3">
        <f>Baupläne!A270</f>
        <v>1329</v>
      </c>
      <c r="B270" s="3" t="str">
        <f>Baupläne!C270</f>
        <v>Hartleder-Beinlinge</v>
      </c>
      <c r="C270" s="3">
        <f>Baupläne!B270</f>
        <v>1329</v>
      </c>
      <c r="D270" s="3">
        <f>Baupläne!J270</f>
        <v>0</v>
      </c>
      <c r="E270" s="3">
        <f>Baupläne!H270</f>
        <v>61</v>
      </c>
      <c r="F270" s="3">
        <f>Baupläne!I270</f>
        <v>14</v>
      </c>
      <c r="G270" s="3">
        <f>Baupläne!E270</f>
        <v>31</v>
      </c>
      <c r="H270" s="3">
        <f>Baupläne!F270</f>
        <v>240</v>
      </c>
      <c r="I270" s="3">
        <f>0.5*Baupläne!Y270</f>
        <v>3550</v>
      </c>
      <c r="J270" s="3">
        <f>Baupläne!G270</f>
        <v>3</v>
      </c>
      <c r="K270" s="3">
        <f>IF(L270&gt;0,INDEX(data_item!$A$1:$A$1994,MATCH(Baupläne!L270,data_item!$B$1:$B$1994,0),1),0)</f>
        <v>48</v>
      </c>
      <c r="L270" s="3">
        <f>Baupläne!K270</f>
        <v>13</v>
      </c>
      <c r="M270" s="3">
        <f>IF(N270&gt;0,INDEX(data_item!$A$1:$A$1994,MATCH(Baupläne!N270,data_item!$B$1:$B$994,0),1),0)</f>
        <v>117</v>
      </c>
      <c r="N270" s="3">
        <f>Baupläne!M270</f>
        <v>12</v>
      </c>
      <c r="O270" s="3">
        <f>IF(P270&gt;0,INDEX(data_item!$A$1:$A$1994,MATCH(Baupläne!P270,data_item!$B$1:$B$1994,0),1),0)</f>
        <v>118</v>
      </c>
      <c r="P270" s="3">
        <f>Baupläne!O270</f>
        <v>7</v>
      </c>
      <c r="Q270" s="3">
        <f>IF(R270&gt;0,INDEX(data_item!$A$1:$A$1994,MATCH(Baupläne!R270,data_item!$B$1:$B$1994,0),1),0)</f>
        <v>0</v>
      </c>
      <c r="R270" s="3">
        <f>Baupläne!Q270</f>
        <v>0</v>
      </c>
      <c r="S270" s="3">
        <f>IF(T270&gt;0,INDEX(data_item!$A$1:$A$1994,MATCH(Baupläne!T270,data_item!$B$1:$B$1994,0),1),0)</f>
        <v>0</v>
      </c>
      <c r="T270" s="3">
        <f>Baupläne!S270</f>
        <v>0</v>
      </c>
    </row>
    <row r="271" spans="1:20" x14ac:dyDescent="0.2">
      <c r="A271" s="3">
        <f>Baupläne!A271</f>
        <v>1330</v>
      </c>
      <c r="B271" s="3" t="str">
        <f>Baupläne!C271</f>
        <v>Hartleder-Stiefel</v>
      </c>
      <c r="C271" s="3">
        <f>Baupläne!B271</f>
        <v>1330</v>
      </c>
      <c r="D271" s="3">
        <f>Baupläne!J271</f>
        <v>0</v>
      </c>
      <c r="E271" s="3">
        <f>Baupläne!H271</f>
        <v>61</v>
      </c>
      <c r="F271" s="3">
        <f>Baupläne!I271</f>
        <v>14</v>
      </c>
      <c r="G271" s="3">
        <f>Baupläne!E271</f>
        <v>31</v>
      </c>
      <c r="H271" s="3">
        <f>Baupläne!F271</f>
        <v>180</v>
      </c>
      <c r="I271" s="3">
        <f>0.5*Baupläne!Y271</f>
        <v>2650</v>
      </c>
      <c r="J271" s="3">
        <f>Baupläne!G271</f>
        <v>3</v>
      </c>
      <c r="K271" s="3">
        <f>IF(L271&gt;0,INDEX(data_item!$A$1:$A$1994,MATCH(Baupläne!L271,data_item!$B$1:$B$1994,0),1),0)</f>
        <v>48</v>
      </c>
      <c r="L271" s="3">
        <f>Baupläne!K271</f>
        <v>10</v>
      </c>
      <c r="M271" s="3">
        <f>IF(N271&gt;0,INDEX(data_item!$A$1:$A$1994,MATCH(Baupläne!N271,data_item!$B$1:$B$994,0),1),0)</f>
        <v>117</v>
      </c>
      <c r="N271" s="3">
        <f>Baupläne!M271</f>
        <v>12</v>
      </c>
      <c r="O271" s="3">
        <f>IF(P271&gt;0,INDEX(data_item!$A$1:$A$1994,MATCH(Baupläne!P271,data_item!$B$1:$B$1994,0),1),0)</f>
        <v>118</v>
      </c>
      <c r="P271" s="3">
        <f>Baupläne!O271</f>
        <v>4</v>
      </c>
      <c r="Q271" s="3">
        <f>IF(R271&gt;0,INDEX(data_item!$A$1:$A$1994,MATCH(Baupläne!R271,data_item!$B$1:$B$1994,0),1),0)</f>
        <v>0</v>
      </c>
      <c r="R271" s="3">
        <f>Baupläne!Q271</f>
        <v>0</v>
      </c>
      <c r="S271" s="3">
        <f>IF(T271&gt;0,INDEX(data_item!$A$1:$A$1994,MATCH(Baupläne!T271,data_item!$B$1:$B$1994,0),1),0)</f>
        <v>0</v>
      </c>
      <c r="T271" s="3">
        <f>Baupläne!S271</f>
        <v>0</v>
      </c>
    </row>
    <row r="272" spans="1:20" x14ac:dyDescent="0.2">
      <c r="A272" s="3">
        <f>Baupläne!A272</f>
        <v>1331</v>
      </c>
      <c r="B272" s="3" t="str">
        <f>Baupläne!C272</f>
        <v>Riesenleder-Haube</v>
      </c>
      <c r="C272" s="3">
        <f>Baupläne!B272</f>
        <v>1331</v>
      </c>
      <c r="D272" s="3">
        <f>Baupläne!J272</f>
        <v>0</v>
      </c>
      <c r="E272" s="3">
        <f>Baupläne!H272</f>
        <v>61</v>
      </c>
      <c r="F272" s="3">
        <f>Baupläne!I272</f>
        <v>15</v>
      </c>
      <c r="G272" s="3">
        <f>Baupläne!E272</f>
        <v>31</v>
      </c>
      <c r="H272" s="3">
        <f>Baupläne!F272</f>
        <v>240</v>
      </c>
      <c r="I272" s="3">
        <f>0.5*Baupläne!Y272</f>
        <v>4050</v>
      </c>
      <c r="J272" s="3">
        <f>Baupläne!G272</f>
        <v>4</v>
      </c>
      <c r="K272" s="3">
        <f>IF(L272&gt;0,INDEX(data_item!$A$1:$A$1994,MATCH(Baupläne!L272,data_item!$B$1:$B$1994,0),1),0)</f>
        <v>49</v>
      </c>
      <c r="L272" s="3">
        <f>Baupläne!K272</f>
        <v>10</v>
      </c>
      <c r="M272" s="3">
        <f>IF(N272&gt;0,INDEX(data_item!$A$1:$A$1994,MATCH(Baupläne!N272,data_item!$B$1:$B$994,0),1),0)</f>
        <v>117</v>
      </c>
      <c r="N272" s="3">
        <f>Baupläne!M272</f>
        <v>8</v>
      </c>
      <c r="O272" s="3">
        <f>IF(P272&gt;0,INDEX(data_item!$A$1:$A$1994,MATCH(Baupläne!P272,data_item!$B$1:$B$1994,0),1),0)</f>
        <v>118</v>
      </c>
      <c r="P272" s="3">
        <f>Baupläne!O272</f>
        <v>10</v>
      </c>
      <c r="Q272" s="3">
        <f>IF(R272&gt;0,INDEX(data_item!$A$1:$A$1994,MATCH(Baupläne!R272,data_item!$B$1:$B$1994,0),1),0)</f>
        <v>0</v>
      </c>
      <c r="R272" s="3">
        <f>Baupläne!Q272</f>
        <v>0</v>
      </c>
      <c r="S272" s="3">
        <f>IF(T272&gt;0,INDEX(data_item!$A$1:$A$1994,MATCH(Baupläne!T272,data_item!$B$1:$B$1994,0),1),0)</f>
        <v>0</v>
      </c>
      <c r="T272" s="3">
        <f>Baupläne!S272</f>
        <v>0</v>
      </c>
    </row>
    <row r="273" spans="1:20" x14ac:dyDescent="0.2">
      <c r="A273" s="3">
        <f>Baupläne!A273</f>
        <v>1332</v>
      </c>
      <c r="B273" s="3" t="str">
        <f>Baupläne!C273</f>
        <v>Riesenleder-Wappenrock</v>
      </c>
      <c r="C273" s="3">
        <f>Baupläne!B273</f>
        <v>1332</v>
      </c>
      <c r="D273" s="3">
        <f>Baupläne!J273</f>
        <v>0</v>
      </c>
      <c r="E273" s="3">
        <f>Baupläne!H273</f>
        <v>61</v>
      </c>
      <c r="F273" s="3">
        <f>Baupläne!I273</f>
        <v>15</v>
      </c>
      <c r="G273" s="3">
        <f>Baupläne!E273</f>
        <v>31</v>
      </c>
      <c r="H273" s="3">
        <f>Baupläne!F273</f>
        <v>360</v>
      </c>
      <c r="I273" s="3">
        <f>0.5*Baupläne!Y273</f>
        <v>6100</v>
      </c>
      <c r="J273" s="3">
        <f>Baupläne!G273</f>
        <v>4</v>
      </c>
      <c r="K273" s="3">
        <f>IF(L273&gt;0,INDEX(data_item!$A$1:$A$1994,MATCH(Baupläne!L273,data_item!$B$1:$B$1994,0),1),0)</f>
        <v>49</v>
      </c>
      <c r="L273" s="3">
        <f>Baupläne!K273</f>
        <v>15</v>
      </c>
      <c r="M273" s="3">
        <f>IF(N273&gt;0,INDEX(data_item!$A$1:$A$1994,MATCH(Baupläne!N273,data_item!$B$1:$B$994,0),1),0)</f>
        <v>117</v>
      </c>
      <c r="N273" s="3">
        <f>Baupläne!M273</f>
        <v>10</v>
      </c>
      <c r="O273" s="3">
        <f>IF(P273&gt;0,INDEX(data_item!$A$1:$A$1994,MATCH(Baupläne!P273,data_item!$B$1:$B$1994,0),1),0)</f>
        <v>118</v>
      </c>
      <c r="P273" s="3">
        <f>Baupläne!O273</f>
        <v>16</v>
      </c>
      <c r="Q273" s="3">
        <f>IF(R273&gt;0,INDEX(data_item!$A$1:$A$1994,MATCH(Baupläne!R273,data_item!$B$1:$B$1994,0),1),0)</f>
        <v>0</v>
      </c>
      <c r="R273" s="3">
        <f>Baupläne!Q273</f>
        <v>0</v>
      </c>
      <c r="S273" s="3">
        <f>IF(T273&gt;0,INDEX(data_item!$A$1:$A$1994,MATCH(Baupläne!T273,data_item!$B$1:$B$1994,0),1),0)</f>
        <v>0</v>
      </c>
      <c r="T273" s="3">
        <f>Baupläne!S273</f>
        <v>0</v>
      </c>
    </row>
    <row r="274" spans="1:20" x14ac:dyDescent="0.2">
      <c r="A274" s="3">
        <f>Baupläne!A274</f>
        <v>1333</v>
      </c>
      <c r="B274" s="3" t="str">
        <f>Baupläne!C274</f>
        <v>Riesenleder-Handschuhe</v>
      </c>
      <c r="C274" s="3">
        <f>Baupläne!B274</f>
        <v>1333</v>
      </c>
      <c r="D274" s="3">
        <f>Baupläne!J274</f>
        <v>0</v>
      </c>
      <c r="E274" s="3">
        <f>Baupläne!H274</f>
        <v>61</v>
      </c>
      <c r="F274" s="3">
        <f>Baupläne!I274</f>
        <v>16</v>
      </c>
      <c r="G274" s="3">
        <f>Baupläne!E274</f>
        <v>31</v>
      </c>
      <c r="H274" s="3">
        <f>Baupläne!F274</f>
        <v>180</v>
      </c>
      <c r="I274" s="3">
        <f>0.5*Baupläne!Y274</f>
        <v>3500</v>
      </c>
      <c r="J274" s="3">
        <f>Baupläne!G274</f>
        <v>4</v>
      </c>
      <c r="K274" s="3">
        <f>IF(L274&gt;0,INDEX(data_item!$A$1:$A$1994,MATCH(Baupläne!L274,data_item!$B$1:$B$1994,0),1),0)</f>
        <v>49</v>
      </c>
      <c r="L274" s="3">
        <f>Baupläne!K274</f>
        <v>8</v>
      </c>
      <c r="M274" s="3">
        <f>IF(N274&gt;0,INDEX(data_item!$A$1:$A$1994,MATCH(Baupläne!N274,data_item!$B$1:$B$994,0),1),0)</f>
        <v>117</v>
      </c>
      <c r="N274" s="3">
        <f>Baupläne!M274</f>
        <v>9</v>
      </c>
      <c r="O274" s="3">
        <f>IF(P274&gt;0,INDEX(data_item!$A$1:$A$1994,MATCH(Baupläne!P274,data_item!$B$1:$B$1994,0),1),0)</f>
        <v>118</v>
      </c>
      <c r="P274" s="3">
        <f>Baupläne!O274</f>
        <v>8</v>
      </c>
      <c r="Q274" s="3">
        <f>IF(R274&gt;0,INDEX(data_item!$A$1:$A$1994,MATCH(Baupläne!R274,data_item!$B$1:$B$1994,0),1),0)</f>
        <v>0</v>
      </c>
      <c r="R274" s="3">
        <f>Baupläne!Q274</f>
        <v>0</v>
      </c>
      <c r="S274" s="3">
        <f>IF(T274&gt;0,INDEX(data_item!$A$1:$A$1994,MATCH(Baupläne!T274,data_item!$B$1:$B$1994,0),1),0)</f>
        <v>0</v>
      </c>
      <c r="T274" s="3">
        <f>Baupläne!S274</f>
        <v>0</v>
      </c>
    </row>
    <row r="275" spans="1:20" x14ac:dyDescent="0.2">
      <c r="A275" s="3">
        <f>Baupläne!A275</f>
        <v>1334</v>
      </c>
      <c r="B275" s="3" t="str">
        <f>Baupläne!C275</f>
        <v>Riesenleder-Hose</v>
      </c>
      <c r="C275" s="3">
        <f>Baupläne!B275</f>
        <v>1334</v>
      </c>
      <c r="D275" s="3">
        <f>Baupläne!J275</f>
        <v>0</v>
      </c>
      <c r="E275" s="3">
        <f>Baupläne!H275</f>
        <v>61</v>
      </c>
      <c r="F275" s="3">
        <f>Baupläne!I275</f>
        <v>16</v>
      </c>
      <c r="G275" s="3">
        <f>Baupläne!E275</f>
        <v>31</v>
      </c>
      <c r="H275" s="3">
        <f>Baupläne!F275</f>
        <v>240</v>
      </c>
      <c r="I275" s="3">
        <f>0.5*Baupläne!Y275</f>
        <v>4700</v>
      </c>
      <c r="J275" s="3">
        <f>Baupläne!G275</f>
        <v>4</v>
      </c>
      <c r="K275" s="3">
        <f>IF(L275&gt;0,INDEX(data_item!$A$1:$A$1994,MATCH(Baupläne!L275,data_item!$B$1:$B$1994,0),1),0)</f>
        <v>49</v>
      </c>
      <c r="L275" s="3">
        <f>Baupläne!K275</f>
        <v>11</v>
      </c>
      <c r="M275" s="3">
        <f>IF(N275&gt;0,INDEX(data_item!$A$1:$A$1994,MATCH(Baupläne!N275,data_item!$B$1:$B$994,0),1),0)</f>
        <v>117</v>
      </c>
      <c r="N275" s="3">
        <f>Baupläne!M275</f>
        <v>9</v>
      </c>
      <c r="O275" s="3">
        <f>IF(P275&gt;0,INDEX(data_item!$A$1:$A$1994,MATCH(Baupläne!P275,data_item!$B$1:$B$1994,0),1),0)</f>
        <v>118</v>
      </c>
      <c r="P275" s="3">
        <f>Baupläne!O275</f>
        <v>12</v>
      </c>
      <c r="Q275" s="3">
        <f>IF(R275&gt;0,INDEX(data_item!$A$1:$A$1994,MATCH(Baupläne!R275,data_item!$B$1:$B$1994,0),1),0)</f>
        <v>0</v>
      </c>
      <c r="R275" s="3">
        <f>Baupläne!Q275</f>
        <v>0</v>
      </c>
      <c r="S275" s="3">
        <f>IF(T275&gt;0,INDEX(data_item!$A$1:$A$1994,MATCH(Baupläne!T275,data_item!$B$1:$B$1994,0),1),0)</f>
        <v>0</v>
      </c>
      <c r="T275" s="3">
        <f>Baupläne!S275</f>
        <v>0</v>
      </c>
    </row>
    <row r="276" spans="1:20" x14ac:dyDescent="0.2">
      <c r="A276" s="3">
        <f>Baupläne!A276</f>
        <v>1335</v>
      </c>
      <c r="B276" s="3" t="str">
        <f>Baupläne!C276</f>
        <v>Riesenleder-Schuhe</v>
      </c>
      <c r="C276" s="3">
        <f>Baupläne!B276</f>
        <v>1335</v>
      </c>
      <c r="D276" s="3">
        <f>Baupläne!J276</f>
        <v>0</v>
      </c>
      <c r="E276" s="3">
        <f>Baupläne!H276</f>
        <v>61</v>
      </c>
      <c r="F276" s="3">
        <f>Baupläne!I276</f>
        <v>16</v>
      </c>
      <c r="G276" s="3">
        <f>Baupläne!E276</f>
        <v>31</v>
      </c>
      <c r="H276" s="3">
        <f>Baupläne!F276</f>
        <v>180</v>
      </c>
      <c r="I276" s="3">
        <f>0.5*Baupläne!Y276</f>
        <v>3500</v>
      </c>
      <c r="J276" s="3">
        <f>Baupläne!G276</f>
        <v>4</v>
      </c>
      <c r="K276" s="3">
        <f>IF(L276&gt;0,INDEX(data_item!$A$1:$A$1994,MATCH(Baupläne!L276,data_item!$B$1:$B$1994,0),1),0)</f>
        <v>49</v>
      </c>
      <c r="L276" s="3">
        <f>Baupläne!K276</f>
        <v>8</v>
      </c>
      <c r="M276" s="3">
        <f>IF(N276&gt;0,INDEX(data_item!$A$1:$A$1994,MATCH(Baupläne!N276,data_item!$B$1:$B$994,0),1),0)</f>
        <v>117</v>
      </c>
      <c r="N276" s="3">
        <f>Baupläne!M276</f>
        <v>9</v>
      </c>
      <c r="O276" s="3">
        <f>IF(P276&gt;0,INDEX(data_item!$A$1:$A$1994,MATCH(Baupläne!P276,data_item!$B$1:$B$1994,0),1),0)</f>
        <v>118</v>
      </c>
      <c r="P276" s="3">
        <f>Baupläne!O276</f>
        <v>8</v>
      </c>
      <c r="Q276" s="3">
        <f>IF(R276&gt;0,INDEX(data_item!$A$1:$A$1994,MATCH(Baupläne!R276,data_item!$B$1:$B$1994,0),1),0)</f>
        <v>0</v>
      </c>
      <c r="R276" s="3">
        <f>Baupläne!Q276</f>
        <v>0</v>
      </c>
      <c r="S276" s="3">
        <f>IF(T276&gt;0,INDEX(data_item!$A$1:$A$1994,MATCH(Baupläne!T276,data_item!$B$1:$B$1994,0),1),0)</f>
        <v>0</v>
      </c>
      <c r="T276" s="3">
        <f>Baupläne!S276</f>
        <v>0</v>
      </c>
    </row>
    <row r="277" spans="1:20" x14ac:dyDescent="0.2">
      <c r="A277" s="3">
        <f>Baupläne!A277</f>
        <v>1336</v>
      </c>
      <c r="B277" s="3" t="str">
        <f>Baupläne!C277</f>
        <v>Riesenleder-Helm</v>
      </c>
      <c r="C277" s="3">
        <f>Baupläne!B277</f>
        <v>1336</v>
      </c>
      <c r="D277" s="3">
        <f>Baupläne!J277</f>
        <v>0</v>
      </c>
      <c r="E277" s="3">
        <f>Baupläne!H277</f>
        <v>61</v>
      </c>
      <c r="F277" s="3">
        <f>Baupläne!I277</f>
        <v>18</v>
      </c>
      <c r="G277" s="3">
        <f>Baupläne!E277</f>
        <v>31</v>
      </c>
      <c r="H277" s="3">
        <f>Baupläne!F277</f>
        <v>240</v>
      </c>
      <c r="I277" s="3">
        <f>0.5*Baupläne!Y277</f>
        <v>6200</v>
      </c>
      <c r="J277" s="3">
        <f>Baupläne!G277</f>
        <v>4</v>
      </c>
      <c r="K277" s="3">
        <f>IF(L277&gt;0,INDEX(data_item!$A$1:$A$1994,MATCH(Baupläne!L277,data_item!$B$1:$B$1994,0),1),0)</f>
        <v>49</v>
      </c>
      <c r="L277" s="3">
        <f>Baupläne!K277</f>
        <v>15</v>
      </c>
      <c r="M277" s="3">
        <f>IF(N277&gt;0,INDEX(data_item!$A$1:$A$1994,MATCH(Baupläne!N277,data_item!$B$1:$B$994,0),1),0)</f>
        <v>117</v>
      </c>
      <c r="N277" s="3">
        <f>Baupläne!M277</f>
        <v>14</v>
      </c>
      <c r="O277" s="3">
        <f>IF(P277&gt;0,INDEX(data_item!$A$1:$A$1994,MATCH(Baupläne!P277,data_item!$B$1:$B$1994,0),1),0)</f>
        <v>118</v>
      </c>
      <c r="P277" s="3">
        <f>Baupläne!O277</f>
        <v>15</v>
      </c>
      <c r="Q277" s="3">
        <f>IF(R277&gt;0,INDEX(data_item!$A$1:$A$1994,MATCH(Baupläne!R277,data_item!$B$1:$B$1994,0),1),0)</f>
        <v>0</v>
      </c>
      <c r="R277" s="3">
        <f>Baupläne!Q277</f>
        <v>0</v>
      </c>
      <c r="S277" s="3">
        <f>IF(T277&gt;0,INDEX(data_item!$A$1:$A$1994,MATCH(Baupläne!T277,data_item!$B$1:$B$1994,0),1),0)</f>
        <v>0</v>
      </c>
      <c r="T277" s="3">
        <f>Baupläne!S277</f>
        <v>0</v>
      </c>
    </row>
    <row r="278" spans="1:20" x14ac:dyDescent="0.2">
      <c r="A278" s="3">
        <f>Baupläne!A278</f>
        <v>1337</v>
      </c>
      <c r="B278" s="3" t="str">
        <f>Baupläne!C278</f>
        <v>Riesenleder-Harnisch</v>
      </c>
      <c r="C278" s="3">
        <f>Baupläne!B278</f>
        <v>1337</v>
      </c>
      <c r="D278" s="3">
        <f>Baupläne!J278</f>
        <v>0</v>
      </c>
      <c r="E278" s="3">
        <f>Baupläne!H278</f>
        <v>61</v>
      </c>
      <c r="F278" s="3">
        <f>Baupläne!I278</f>
        <v>18</v>
      </c>
      <c r="G278" s="3">
        <f>Baupläne!E278</f>
        <v>31</v>
      </c>
      <c r="H278" s="3">
        <f>Baupläne!F278</f>
        <v>360</v>
      </c>
      <c r="I278" s="3">
        <f>0.5*Baupläne!Y278</f>
        <v>9300</v>
      </c>
      <c r="J278" s="3">
        <f>Baupläne!G278</f>
        <v>4</v>
      </c>
      <c r="K278" s="3">
        <f>IF(L278&gt;0,INDEX(data_item!$A$1:$A$1994,MATCH(Baupläne!L278,data_item!$B$1:$B$1994,0),1),0)</f>
        <v>49</v>
      </c>
      <c r="L278" s="3">
        <f>Baupläne!K278</f>
        <v>23</v>
      </c>
      <c r="M278" s="3">
        <f>IF(N278&gt;0,INDEX(data_item!$A$1:$A$1994,MATCH(Baupläne!N278,data_item!$B$1:$B$994,0),1),0)</f>
        <v>117</v>
      </c>
      <c r="N278" s="3">
        <f>Baupläne!M278</f>
        <v>14</v>
      </c>
      <c r="O278" s="3">
        <f>IF(P278&gt;0,INDEX(data_item!$A$1:$A$1994,MATCH(Baupläne!P278,data_item!$B$1:$B$1994,0),1),0)</f>
        <v>118</v>
      </c>
      <c r="P278" s="3">
        <f>Baupläne!O278</f>
        <v>25</v>
      </c>
      <c r="Q278" s="3">
        <f>IF(R278&gt;0,INDEX(data_item!$A$1:$A$1994,MATCH(Baupläne!R278,data_item!$B$1:$B$1994,0),1),0)</f>
        <v>0</v>
      </c>
      <c r="R278" s="3">
        <f>Baupläne!Q278</f>
        <v>0</v>
      </c>
      <c r="S278" s="3">
        <f>IF(T278&gt;0,INDEX(data_item!$A$1:$A$1994,MATCH(Baupläne!T278,data_item!$B$1:$B$1994,0),1),0)</f>
        <v>0</v>
      </c>
      <c r="T278" s="3">
        <f>Baupläne!S278</f>
        <v>0</v>
      </c>
    </row>
    <row r="279" spans="1:20" x14ac:dyDescent="0.2">
      <c r="A279" s="3">
        <f>Baupläne!A279</f>
        <v>1338</v>
      </c>
      <c r="B279" s="3" t="str">
        <f>Baupläne!C279</f>
        <v>Riesenleder-Stulpen</v>
      </c>
      <c r="C279" s="3">
        <f>Baupläne!B279</f>
        <v>1338</v>
      </c>
      <c r="D279" s="3">
        <f>Baupläne!J279</f>
        <v>0</v>
      </c>
      <c r="E279" s="3">
        <f>Baupläne!H279</f>
        <v>61</v>
      </c>
      <c r="F279" s="3">
        <f>Baupläne!I279</f>
        <v>19</v>
      </c>
      <c r="G279" s="3">
        <f>Baupläne!E279</f>
        <v>31</v>
      </c>
      <c r="H279" s="3">
        <f>Baupläne!F279</f>
        <v>180</v>
      </c>
      <c r="I279" s="3">
        <f>0.5*Baupläne!Y279</f>
        <v>5350</v>
      </c>
      <c r="J279" s="3">
        <f>Baupläne!G279</f>
        <v>4</v>
      </c>
      <c r="K279" s="3">
        <f>IF(L279&gt;0,INDEX(data_item!$A$1:$A$1994,MATCH(Baupläne!L279,data_item!$B$1:$B$1994,0),1),0)</f>
        <v>49</v>
      </c>
      <c r="L279" s="3">
        <f>Baupläne!K279</f>
        <v>13</v>
      </c>
      <c r="M279" s="3">
        <f>IF(N279&gt;0,INDEX(data_item!$A$1:$A$1994,MATCH(Baupläne!N279,data_item!$B$1:$B$994,0),1),0)</f>
        <v>117</v>
      </c>
      <c r="N279" s="3">
        <f>Baupläne!M279</f>
        <v>14</v>
      </c>
      <c r="O279" s="3">
        <f>IF(P279&gt;0,INDEX(data_item!$A$1:$A$1994,MATCH(Baupläne!P279,data_item!$B$1:$B$1994,0),1),0)</f>
        <v>118</v>
      </c>
      <c r="P279" s="3">
        <f>Baupläne!O279</f>
        <v>12</v>
      </c>
      <c r="Q279" s="3">
        <f>IF(R279&gt;0,INDEX(data_item!$A$1:$A$1994,MATCH(Baupläne!R279,data_item!$B$1:$B$1994,0),1),0)</f>
        <v>0</v>
      </c>
      <c r="R279" s="3">
        <f>Baupläne!Q279</f>
        <v>0</v>
      </c>
      <c r="S279" s="3">
        <f>IF(T279&gt;0,INDEX(data_item!$A$1:$A$1994,MATCH(Baupläne!T279,data_item!$B$1:$B$1994,0),1),0)</f>
        <v>0</v>
      </c>
      <c r="T279" s="3">
        <f>Baupläne!S279</f>
        <v>0</v>
      </c>
    </row>
    <row r="280" spans="1:20" x14ac:dyDescent="0.2">
      <c r="A280" s="3">
        <f>Baupläne!A280</f>
        <v>1339</v>
      </c>
      <c r="B280" s="3" t="str">
        <f>Baupläne!C280</f>
        <v>Riesenleder-Beinlinge</v>
      </c>
      <c r="C280" s="3">
        <f>Baupläne!B280</f>
        <v>1339</v>
      </c>
      <c r="D280" s="3">
        <f>Baupläne!J280</f>
        <v>0</v>
      </c>
      <c r="E280" s="3">
        <f>Baupläne!H280</f>
        <v>61</v>
      </c>
      <c r="F280" s="3">
        <f>Baupläne!I280</f>
        <v>19</v>
      </c>
      <c r="G280" s="3">
        <f>Baupläne!E280</f>
        <v>31</v>
      </c>
      <c r="H280" s="3">
        <f>Baupläne!F280</f>
        <v>240</v>
      </c>
      <c r="I280" s="3">
        <f>0.5*Baupläne!Y280</f>
        <v>7100</v>
      </c>
      <c r="J280" s="3">
        <f>Baupläne!G280</f>
        <v>4</v>
      </c>
      <c r="K280" s="3">
        <f>IF(L280&gt;0,INDEX(data_item!$A$1:$A$1994,MATCH(Baupläne!L280,data_item!$B$1:$B$1994,0),1),0)</f>
        <v>49</v>
      </c>
      <c r="L280" s="3">
        <f>Baupläne!K280</f>
        <v>17</v>
      </c>
      <c r="M280" s="3">
        <f>IF(N280&gt;0,INDEX(data_item!$A$1:$A$1994,MATCH(Baupläne!N280,data_item!$B$1:$B$994,0),1),0)</f>
        <v>117</v>
      </c>
      <c r="N280" s="3">
        <f>Baupläne!M280</f>
        <v>14</v>
      </c>
      <c r="O280" s="3">
        <f>IF(P280&gt;0,INDEX(data_item!$A$1:$A$1994,MATCH(Baupläne!P280,data_item!$B$1:$B$1994,0),1),0)</f>
        <v>118</v>
      </c>
      <c r="P280" s="3">
        <f>Baupläne!O280</f>
        <v>18</v>
      </c>
      <c r="Q280" s="3">
        <f>IF(R280&gt;0,INDEX(data_item!$A$1:$A$1994,MATCH(Baupläne!R280,data_item!$B$1:$B$1994,0),1),0)</f>
        <v>0</v>
      </c>
      <c r="R280" s="3">
        <f>Baupläne!Q280</f>
        <v>0</v>
      </c>
      <c r="S280" s="3">
        <f>IF(T280&gt;0,INDEX(data_item!$A$1:$A$1994,MATCH(Baupläne!T280,data_item!$B$1:$B$1994,0),1),0)</f>
        <v>0</v>
      </c>
      <c r="T280" s="3">
        <f>Baupläne!S280</f>
        <v>0</v>
      </c>
    </row>
    <row r="281" spans="1:20" x14ac:dyDescent="0.2">
      <c r="A281" s="3">
        <f>Baupläne!A281</f>
        <v>1340</v>
      </c>
      <c r="B281" s="3" t="str">
        <f>Baupläne!C281</f>
        <v>Riesenleder-Stiefel</v>
      </c>
      <c r="C281" s="3">
        <f>Baupläne!B281</f>
        <v>1340</v>
      </c>
      <c r="D281" s="3">
        <f>Baupläne!J281</f>
        <v>0</v>
      </c>
      <c r="E281" s="3">
        <f>Baupläne!H281</f>
        <v>61</v>
      </c>
      <c r="F281" s="3">
        <f>Baupläne!I281</f>
        <v>19</v>
      </c>
      <c r="G281" s="3">
        <f>Baupläne!E281</f>
        <v>31</v>
      </c>
      <c r="H281" s="3">
        <f>Baupläne!F281</f>
        <v>180</v>
      </c>
      <c r="I281" s="3">
        <f>0.5*Baupläne!Y281</f>
        <v>5350</v>
      </c>
      <c r="J281" s="3">
        <f>Baupläne!G281</f>
        <v>4</v>
      </c>
      <c r="K281" s="3">
        <f>IF(L281&gt;0,INDEX(data_item!$A$1:$A$1994,MATCH(Baupläne!L281,data_item!$B$1:$B$1994,0),1),0)</f>
        <v>49</v>
      </c>
      <c r="L281" s="3">
        <f>Baupläne!K281</f>
        <v>13</v>
      </c>
      <c r="M281" s="3">
        <f>IF(N281&gt;0,INDEX(data_item!$A$1:$A$1994,MATCH(Baupläne!N281,data_item!$B$1:$B$994,0),1),0)</f>
        <v>117</v>
      </c>
      <c r="N281" s="3">
        <f>Baupläne!M281</f>
        <v>14</v>
      </c>
      <c r="O281" s="3">
        <f>IF(P281&gt;0,INDEX(data_item!$A$1:$A$1994,MATCH(Baupläne!P281,data_item!$B$1:$B$1994,0),1),0)</f>
        <v>118</v>
      </c>
      <c r="P281" s="3">
        <f>Baupläne!O281</f>
        <v>12</v>
      </c>
      <c r="Q281" s="3">
        <f>IF(R281&gt;0,INDEX(data_item!$A$1:$A$1994,MATCH(Baupläne!R281,data_item!$B$1:$B$1994,0),1),0)</f>
        <v>0</v>
      </c>
      <c r="R281" s="3">
        <f>Baupläne!Q281</f>
        <v>0</v>
      </c>
      <c r="S281" s="3">
        <f>IF(T281&gt;0,INDEX(data_item!$A$1:$A$1994,MATCH(Baupläne!T281,data_item!$B$1:$B$1994,0),1),0)</f>
        <v>0</v>
      </c>
      <c r="T281" s="3">
        <f>Baupläne!S281</f>
        <v>0</v>
      </c>
    </row>
    <row r="282" spans="1:20" x14ac:dyDescent="0.2">
      <c r="A282" s="3">
        <f>Baupläne!A282</f>
        <v>1341</v>
      </c>
      <c r="B282" s="3" t="str">
        <f>Baupläne!C282</f>
        <v>Drachenleder-Haube</v>
      </c>
      <c r="C282" s="3">
        <f>Baupläne!B282</f>
        <v>1341</v>
      </c>
      <c r="D282" s="3">
        <f>Baupläne!J282</f>
        <v>0</v>
      </c>
      <c r="E282" s="3">
        <f>Baupläne!H282</f>
        <v>61</v>
      </c>
      <c r="F282" s="3">
        <f>Baupläne!I282</f>
        <v>20</v>
      </c>
      <c r="G282" s="3">
        <f>Baupläne!E282</f>
        <v>31</v>
      </c>
      <c r="H282" s="3">
        <f>Baupläne!F282</f>
        <v>240</v>
      </c>
      <c r="I282" s="3">
        <f>0.5*Baupläne!Y282</f>
        <v>8200</v>
      </c>
      <c r="J282" s="3">
        <f>Baupläne!G282</f>
        <v>5</v>
      </c>
      <c r="K282" s="3">
        <f>IF(L282&gt;0,INDEX(data_item!$A$1:$A$1994,MATCH(Baupläne!L282,data_item!$B$1:$B$1994,0),1),0)</f>
        <v>50</v>
      </c>
      <c r="L282" s="3">
        <f>Baupläne!K282</f>
        <v>15</v>
      </c>
      <c r="M282" s="3">
        <f>IF(N282&gt;0,INDEX(data_item!$A$1:$A$1994,MATCH(Baupläne!N282,data_item!$B$1:$B$994,0),1),0)</f>
        <v>117</v>
      </c>
      <c r="N282" s="3">
        <f>Baupläne!M282</f>
        <v>8</v>
      </c>
      <c r="O282" s="3">
        <f>IF(P282&gt;0,INDEX(data_item!$A$1:$A$1994,MATCH(Baupläne!P282,data_item!$B$1:$B$1994,0),1),0)</f>
        <v>118</v>
      </c>
      <c r="P282" s="3">
        <f>Baupläne!O282</f>
        <v>9</v>
      </c>
      <c r="Q282" s="3">
        <f>IF(R282&gt;0,INDEX(data_item!$A$1:$A$1994,MATCH(Baupläne!R282,data_item!$B$1:$B$1994,0),1),0)</f>
        <v>119</v>
      </c>
      <c r="R282" s="3">
        <f>Baupläne!Q282</f>
        <v>6</v>
      </c>
      <c r="S282" s="3">
        <f>IF(T282&gt;0,INDEX(data_item!$A$1:$A$1994,MATCH(Baupläne!T282,data_item!$B$1:$B$1994,0),1),0)</f>
        <v>0</v>
      </c>
      <c r="T282" s="3">
        <f>Baupläne!S282</f>
        <v>0</v>
      </c>
    </row>
    <row r="283" spans="1:20" x14ac:dyDescent="0.2">
      <c r="A283" s="3">
        <f>Baupläne!A283</f>
        <v>1342</v>
      </c>
      <c r="B283" s="3" t="str">
        <f>Baupläne!C283</f>
        <v>Drachenleder-Wappenrock</v>
      </c>
      <c r="C283" s="3">
        <f>Baupläne!B283</f>
        <v>1342</v>
      </c>
      <c r="D283" s="3">
        <f>Baupläne!J283</f>
        <v>0</v>
      </c>
      <c r="E283" s="3">
        <f>Baupläne!H283</f>
        <v>61</v>
      </c>
      <c r="F283" s="3">
        <f>Baupläne!I283</f>
        <v>20</v>
      </c>
      <c r="G283" s="3">
        <f>Baupläne!E283</f>
        <v>31</v>
      </c>
      <c r="H283" s="3">
        <f>Baupläne!F283</f>
        <v>360</v>
      </c>
      <c r="I283" s="3">
        <f>0.5*Baupläne!Y283</f>
        <v>12250</v>
      </c>
      <c r="J283" s="3">
        <f>Baupläne!G283</f>
        <v>5</v>
      </c>
      <c r="K283" s="3">
        <f>IF(L283&gt;0,INDEX(data_item!$A$1:$A$1994,MATCH(Baupläne!L283,data_item!$B$1:$B$1994,0),1),0)</f>
        <v>50</v>
      </c>
      <c r="L283" s="3">
        <f>Baupläne!K283</f>
        <v>22</v>
      </c>
      <c r="M283" s="3">
        <f>IF(N283&gt;0,INDEX(data_item!$A$1:$A$1994,MATCH(Baupläne!N283,data_item!$B$1:$B$994,0),1),0)</f>
        <v>117</v>
      </c>
      <c r="N283" s="3">
        <f>Baupläne!M283</f>
        <v>14</v>
      </c>
      <c r="O283" s="3">
        <f>IF(P283&gt;0,INDEX(data_item!$A$1:$A$1994,MATCH(Baupläne!P283,data_item!$B$1:$B$1994,0),1),0)</f>
        <v>118</v>
      </c>
      <c r="P283" s="3">
        <f>Baupläne!O283</f>
        <v>12</v>
      </c>
      <c r="Q283" s="3">
        <f>IF(R283&gt;0,INDEX(data_item!$A$1:$A$1994,MATCH(Baupläne!R283,data_item!$B$1:$B$1994,0),1),0)</f>
        <v>119</v>
      </c>
      <c r="R283" s="3">
        <f>Baupläne!Q283</f>
        <v>9</v>
      </c>
      <c r="S283" s="3">
        <f>IF(T283&gt;0,INDEX(data_item!$A$1:$A$1994,MATCH(Baupläne!T283,data_item!$B$1:$B$1994,0),1),0)</f>
        <v>0</v>
      </c>
      <c r="T283" s="3">
        <f>Baupläne!S283</f>
        <v>0</v>
      </c>
    </row>
    <row r="284" spans="1:20" x14ac:dyDescent="0.2">
      <c r="A284" s="3">
        <f>Baupläne!A284</f>
        <v>1343</v>
      </c>
      <c r="B284" s="3" t="str">
        <f>Baupläne!C284</f>
        <v>Drachenleder-Handschuhe</v>
      </c>
      <c r="C284" s="3">
        <f>Baupläne!B284</f>
        <v>1343</v>
      </c>
      <c r="D284" s="3">
        <f>Baupläne!J284</f>
        <v>0</v>
      </c>
      <c r="E284" s="3">
        <f>Baupläne!H284</f>
        <v>61</v>
      </c>
      <c r="F284" s="3">
        <f>Baupläne!I284</f>
        <v>21</v>
      </c>
      <c r="G284" s="3">
        <f>Baupläne!E284</f>
        <v>31</v>
      </c>
      <c r="H284" s="3">
        <f>Baupläne!F284</f>
        <v>180</v>
      </c>
      <c r="I284" s="3">
        <f>0.5*Baupläne!Y284</f>
        <v>7050</v>
      </c>
      <c r="J284" s="3">
        <f>Baupläne!G284</f>
        <v>5</v>
      </c>
      <c r="K284" s="3">
        <f>IF(L284&gt;0,INDEX(data_item!$A$1:$A$1994,MATCH(Baupläne!L284,data_item!$B$1:$B$1994,0),1),0)</f>
        <v>50</v>
      </c>
      <c r="L284" s="3">
        <f>Baupläne!K284</f>
        <v>13</v>
      </c>
      <c r="M284" s="3">
        <f>IF(N284&gt;0,INDEX(data_item!$A$1:$A$1994,MATCH(Baupläne!N284,data_item!$B$1:$B$994,0),1),0)</f>
        <v>117</v>
      </c>
      <c r="N284" s="3">
        <f>Baupläne!M284</f>
        <v>6</v>
      </c>
      <c r="O284" s="3">
        <f>IF(P284&gt;0,INDEX(data_item!$A$1:$A$1994,MATCH(Baupläne!P284,data_item!$B$1:$B$1994,0),1),0)</f>
        <v>118</v>
      </c>
      <c r="P284" s="3">
        <f>Baupläne!O284</f>
        <v>6</v>
      </c>
      <c r="Q284" s="3">
        <f>IF(R284&gt;0,INDEX(data_item!$A$1:$A$1994,MATCH(Baupläne!R284,data_item!$B$1:$B$1994,0),1),0)</f>
        <v>119</v>
      </c>
      <c r="R284" s="3">
        <f>Baupläne!Q284</f>
        <v>6</v>
      </c>
      <c r="S284" s="3">
        <f>IF(T284&gt;0,INDEX(data_item!$A$1:$A$1994,MATCH(Baupläne!T284,data_item!$B$1:$B$1994,0),1),0)</f>
        <v>0</v>
      </c>
      <c r="T284" s="3">
        <f>Baupläne!S284</f>
        <v>0</v>
      </c>
    </row>
    <row r="285" spans="1:20" x14ac:dyDescent="0.2">
      <c r="A285" s="3">
        <f>Baupläne!A285</f>
        <v>1344</v>
      </c>
      <c r="B285" s="3" t="str">
        <f>Baupläne!C285</f>
        <v>Drachenleder-Hose</v>
      </c>
      <c r="C285" s="3">
        <f>Baupläne!B285</f>
        <v>1344</v>
      </c>
      <c r="D285" s="3">
        <f>Baupläne!J285</f>
        <v>0</v>
      </c>
      <c r="E285" s="3">
        <f>Baupläne!H285</f>
        <v>61</v>
      </c>
      <c r="F285" s="3">
        <f>Baupläne!I285</f>
        <v>21</v>
      </c>
      <c r="G285" s="3">
        <f>Baupläne!E285</f>
        <v>31</v>
      </c>
      <c r="H285" s="3">
        <f>Baupläne!F285</f>
        <v>240</v>
      </c>
      <c r="I285" s="3">
        <f>0.5*Baupläne!Y285</f>
        <v>9400</v>
      </c>
      <c r="J285" s="3">
        <f>Baupläne!G285</f>
        <v>5</v>
      </c>
      <c r="K285" s="3">
        <f>IF(L285&gt;0,INDEX(data_item!$A$1:$A$1994,MATCH(Baupläne!L285,data_item!$B$1:$B$1994,0),1),0)</f>
        <v>50</v>
      </c>
      <c r="L285" s="3">
        <f>Baupläne!K285</f>
        <v>17</v>
      </c>
      <c r="M285" s="3">
        <f>IF(N285&gt;0,INDEX(data_item!$A$1:$A$1994,MATCH(Baupläne!N285,data_item!$B$1:$B$994,0),1),0)</f>
        <v>117</v>
      </c>
      <c r="N285" s="3">
        <f>Baupläne!M285</f>
        <v>6</v>
      </c>
      <c r="O285" s="3">
        <f>IF(P285&gt;0,INDEX(data_item!$A$1:$A$1994,MATCH(Baupläne!P285,data_item!$B$1:$B$1994,0),1),0)</f>
        <v>118</v>
      </c>
      <c r="P285" s="3">
        <f>Baupläne!O285</f>
        <v>6</v>
      </c>
      <c r="Q285" s="3">
        <f>IF(R285&gt;0,INDEX(data_item!$A$1:$A$1994,MATCH(Baupläne!R285,data_item!$B$1:$B$1994,0),1),0)</f>
        <v>119</v>
      </c>
      <c r="R285" s="3">
        <f>Baupläne!Q285</f>
        <v>9</v>
      </c>
      <c r="S285" s="3">
        <f>IF(T285&gt;0,INDEX(data_item!$A$1:$A$1994,MATCH(Baupläne!T285,data_item!$B$1:$B$1994,0),1),0)</f>
        <v>0</v>
      </c>
      <c r="T285" s="3">
        <f>Baupläne!S285</f>
        <v>0</v>
      </c>
    </row>
    <row r="286" spans="1:20" x14ac:dyDescent="0.2">
      <c r="A286" s="3">
        <f>Baupläne!A286</f>
        <v>1345</v>
      </c>
      <c r="B286" s="3" t="str">
        <f>Baupläne!C286</f>
        <v>Drachenleder-Schuhe</v>
      </c>
      <c r="C286" s="3">
        <f>Baupläne!B286</f>
        <v>1345</v>
      </c>
      <c r="D286" s="3">
        <f>Baupläne!J286</f>
        <v>0</v>
      </c>
      <c r="E286" s="3">
        <f>Baupläne!H286</f>
        <v>61</v>
      </c>
      <c r="F286" s="3">
        <f>Baupläne!I286</f>
        <v>21</v>
      </c>
      <c r="G286" s="3">
        <f>Baupläne!E286</f>
        <v>31</v>
      </c>
      <c r="H286" s="3">
        <f>Baupläne!F286</f>
        <v>180</v>
      </c>
      <c r="I286" s="3">
        <f>0.5*Baupläne!Y286</f>
        <v>7050</v>
      </c>
      <c r="J286" s="3">
        <f>Baupläne!G286</f>
        <v>5</v>
      </c>
      <c r="K286" s="3">
        <f>IF(L286&gt;0,INDEX(data_item!$A$1:$A$1994,MATCH(Baupläne!L286,data_item!$B$1:$B$1994,0),1),0)</f>
        <v>50</v>
      </c>
      <c r="L286" s="3">
        <f>Baupläne!K286</f>
        <v>13</v>
      </c>
      <c r="M286" s="3">
        <f>IF(N286&gt;0,INDEX(data_item!$A$1:$A$1994,MATCH(Baupläne!N286,data_item!$B$1:$B$994,0),1),0)</f>
        <v>117</v>
      </c>
      <c r="N286" s="3">
        <f>Baupläne!M286</f>
        <v>6</v>
      </c>
      <c r="O286" s="3">
        <f>IF(P286&gt;0,INDEX(data_item!$A$1:$A$1994,MATCH(Baupläne!P286,data_item!$B$1:$B$1994,0),1),0)</f>
        <v>118</v>
      </c>
      <c r="P286" s="3">
        <f>Baupläne!O286</f>
        <v>6</v>
      </c>
      <c r="Q286" s="3">
        <f>IF(R286&gt;0,INDEX(data_item!$A$1:$A$1994,MATCH(Baupläne!R286,data_item!$B$1:$B$1994,0),1),0)</f>
        <v>119</v>
      </c>
      <c r="R286" s="3">
        <f>Baupläne!Q286</f>
        <v>6</v>
      </c>
      <c r="S286" s="3">
        <f>IF(T286&gt;0,INDEX(data_item!$A$1:$A$1994,MATCH(Baupläne!T286,data_item!$B$1:$B$1994,0),1),0)</f>
        <v>0</v>
      </c>
      <c r="T286" s="3">
        <f>Baupläne!S286</f>
        <v>0</v>
      </c>
    </row>
    <row r="287" spans="1:20" x14ac:dyDescent="0.2">
      <c r="A287" s="3">
        <f>Baupläne!A287</f>
        <v>1346</v>
      </c>
      <c r="B287" s="3" t="str">
        <f>Baupläne!C287</f>
        <v>Drachenleder-Helm</v>
      </c>
      <c r="C287" s="3">
        <f>Baupläne!B287</f>
        <v>1346</v>
      </c>
      <c r="D287" s="3">
        <f>Baupläne!J287</f>
        <v>0</v>
      </c>
      <c r="E287" s="3">
        <f>Baupläne!H287</f>
        <v>61</v>
      </c>
      <c r="F287" s="3">
        <f>Baupläne!I287</f>
        <v>23</v>
      </c>
      <c r="G287" s="3">
        <f>Baupläne!E287</f>
        <v>31</v>
      </c>
      <c r="H287" s="3">
        <f>Baupläne!F287</f>
        <v>240</v>
      </c>
      <c r="I287" s="3">
        <f>0.5*Baupläne!Y287</f>
        <v>12450</v>
      </c>
      <c r="J287" s="3">
        <f>Baupläne!G287</f>
        <v>5</v>
      </c>
      <c r="K287" s="3">
        <f>IF(L287&gt;0,INDEX(data_item!$A$1:$A$1994,MATCH(Baupläne!L287,data_item!$B$1:$B$1994,0),1),0)</f>
        <v>50</v>
      </c>
      <c r="L287" s="3">
        <f>Baupläne!K287</f>
        <v>22</v>
      </c>
      <c r="M287" s="3">
        <f>IF(N287&gt;0,INDEX(data_item!$A$1:$A$1994,MATCH(Baupläne!N287,data_item!$B$1:$B$994,0),1),0)</f>
        <v>117</v>
      </c>
      <c r="N287" s="3">
        <f>Baupläne!M287</f>
        <v>8</v>
      </c>
      <c r="O287" s="3">
        <f>IF(P287&gt;0,INDEX(data_item!$A$1:$A$1994,MATCH(Baupläne!P287,data_item!$B$1:$B$1994,0),1),0)</f>
        <v>118</v>
      </c>
      <c r="P287" s="3">
        <f>Baupläne!O287</f>
        <v>8</v>
      </c>
      <c r="Q287" s="3">
        <f>IF(R287&gt;0,INDEX(data_item!$A$1:$A$1994,MATCH(Baupläne!R287,data_item!$B$1:$B$1994,0),1),0)</f>
        <v>119</v>
      </c>
      <c r="R287" s="3">
        <f>Baupläne!Q287</f>
        <v>12</v>
      </c>
      <c r="S287" s="3">
        <f>IF(T287&gt;0,INDEX(data_item!$A$1:$A$1994,MATCH(Baupläne!T287,data_item!$B$1:$B$1994,0),1),0)</f>
        <v>0</v>
      </c>
      <c r="T287" s="3">
        <f>Baupläne!S287</f>
        <v>0</v>
      </c>
    </row>
    <row r="288" spans="1:20" x14ac:dyDescent="0.2">
      <c r="A288" s="3">
        <f>Baupläne!A288</f>
        <v>1347</v>
      </c>
      <c r="B288" s="3" t="str">
        <f>Baupläne!C288</f>
        <v>Drachenleder-Harnisch</v>
      </c>
      <c r="C288" s="3">
        <f>Baupläne!B288</f>
        <v>1347</v>
      </c>
      <c r="D288" s="3">
        <f>Baupläne!J288</f>
        <v>0</v>
      </c>
      <c r="E288" s="3">
        <f>Baupläne!H288</f>
        <v>61</v>
      </c>
      <c r="F288" s="3">
        <f>Baupläne!I288</f>
        <v>23</v>
      </c>
      <c r="G288" s="3">
        <f>Baupläne!E288</f>
        <v>31</v>
      </c>
      <c r="H288" s="3">
        <f>Baupläne!F288</f>
        <v>360</v>
      </c>
      <c r="I288" s="3">
        <f>0.5*Baupläne!Y288</f>
        <v>18650</v>
      </c>
      <c r="J288" s="3">
        <f>Baupläne!G288</f>
        <v>5</v>
      </c>
      <c r="K288" s="3">
        <f>IF(L288&gt;0,INDEX(data_item!$A$1:$A$1994,MATCH(Baupläne!L288,data_item!$B$1:$B$1994,0),1),0)</f>
        <v>50</v>
      </c>
      <c r="L288" s="3">
        <f>Baupläne!K288</f>
        <v>34</v>
      </c>
      <c r="M288" s="3">
        <f>IF(N288&gt;0,INDEX(data_item!$A$1:$A$1994,MATCH(Baupläne!N288,data_item!$B$1:$B$994,0),1),0)</f>
        <v>117</v>
      </c>
      <c r="N288" s="3">
        <f>Baupläne!M288</f>
        <v>15</v>
      </c>
      <c r="O288" s="3">
        <f>IF(P288&gt;0,INDEX(data_item!$A$1:$A$1994,MATCH(Baupläne!P288,data_item!$B$1:$B$1994,0),1),0)</f>
        <v>118</v>
      </c>
      <c r="P288" s="3">
        <f>Baupläne!O288</f>
        <v>10</v>
      </c>
      <c r="Q288" s="3">
        <f>IF(R288&gt;0,INDEX(data_item!$A$1:$A$1994,MATCH(Baupläne!R288,data_item!$B$1:$B$1994,0),1),0)</f>
        <v>119</v>
      </c>
      <c r="R288" s="3">
        <f>Baupläne!Q288</f>
        <v>18</v>
      </c>
      <c r="S288" s="3">
        <f>IF(T288&gt;0,INDEX(data_item!$A$1:$A$1994,MATCH(Baupläne!T288,data_item!$B$1:$B$1994,0),1),0)</f>
        <v>0</v>
      </c>
      <c r="T288" s="3">
        <f>Baupläne!S288</f>
        <v>0</v>
      </c>
    </row>
    <row r="289" spans="1:20" x14ac:dyDescent="0.2">
      <c r="A289" s="3">
        <f>Baupläne!A289</f>
        <v>1348</v>
      </c>
      <c r="B289" s="3" t="str">
        <f>Baupläne!C289</f>
        <v>Drachenleder-Stulpen</v>
      </c>
      <c r="C289" s="3">
        <f>Baupläne!B289</f>
        <v>1348</v>
      </c>
      <c r="D289" s="3">
        <f>Baupläne!J289</f>
        <v>0</v>
      </c>
      <c r="E289" s="3">
        <f>Baupläne!H289</f>
        <v>61</v>
      </c>
      <c r="F289" s="3">
        <f>Baupläne!I289</f>
        <v>24</v>
      </c>
      <c r="G289" s="3">
        <f>Baupläne!E289</f>
        <v>31</v>
      </c>
      <c r="H289" s="3">
        <f>Baupläne!F289</f>
        <v>180</v>
      </c>
      <c r="I289" s="3">
        <f>0.5*Baupläne!Y289</f>
        <v>10750</v>
      </c>
      <c r="J289" s="3">
        <f>Baupläne!G289</f>
        <v>5</v>
      </c>
      <c r="K289" s="3">
        <f>IF(L289&gt;0,INDEX(data_item!$A$1:$A$1994,MATCH(Baupläne!L289,data_item!$B$1:$B$1994,0),1),0)</f>
        <v>50</v>
      </c>
      <c r="L289" s="3">
        <f>Baupläne!K289</f>
        <v>20</v>
      </c>
      <c r="M289" s="3">
        <f>IF(N289&gt;0,INDEX(data_item!$A$1:$A$1994,MATCH(Baupläne!N289,data_item!$B$1:$B$994,0),1),0)</f>
        <v>117</v>
      </c>
      <c r="N289" s="3">
        <f>Baupläne!M289</f>
        <v>6</v>
      </c>
      <c r="O289" s="3">
        <f>IF(P289&gt;0,INDEX(data_item!$A$1:$A$1994,MATCH(Baupläne!P289,data_item!$B$1:$B$1994,0),1),0)</f>
        <v>118</v>
      </c>
      <c r="P289" s="3">
        <f>Baupläne!O289</f>
        <v>8</v>
      </c>
      <c r="Q289" s="3">
        <f>IF(R289&gt;0,INDEX(data_item!$A$1:$A$1994,MATCH(Baupläne!R289,data_item!$B$1:$B$1994,0),1),0)</f>
        <v>119</v>
      </c>
      <c r="R289" s="3">
        <f>Baupläne!Q289</f>
        <v>10</v>
      </c>
      <c r="S289" s="3">
        <f>IF(T289&gt;0,INDEX(data_item!$A$1:$A$1994,MATCH(Baupläne!T289,data_item!$B$1:$B$1994,0),1),0)</f>
        <v>0</v>
      </c>
      <c r="T289" s="3">
        <f>Baupläne!S289</f>
        <v>0</v>
      </c>
    </row>
    <row r="290" spans="1:20" x14ac:dyDescent="0.2">
      <c r="A290" s="3">
        <f>Baupläne!A290</f>
        <v>1349</v>
      </c>
      <c r="B290" s="3" t="str">
        <f>Baupläne!C290</f>
        <v>Drachenleder-Beinlinge</v>
      </c>
      <c r="C290" s="3">
        <f>Baupläne!B290</f>
        <v>1349</v>
      </c>
      <c r="D290" s="3">
        <f>Baupläne!J290</f>
        <v>0</v>
      </c>
      <c r="E290" s="3">
        <f>Baupläne!H290</f>
        <v>61</v>
      </c>
      <c r="F290" s="3">
        <f>Baupläne!I290</f>
        <v>24</v>
      </c>
      <c r="G290" s="3">
        <f>Baupläne!E290</f>
        <v>31</v>
      </c>
      <c r="H290" s="3">
        <f>Baupläne!F290</f>
        <v>240</v>
      </c>
      <c r="I290" s="3">
        <f>0.5*Baupläne!Y290</f>
        <v>14300</v>
      </c>
      <c r="J290" s="3">
        <f>Baupläne!G290</f>
        <v>5</v>
      </c>
      <c r="K290" s="3">
        <f>IF(L290&gt;0,INDEX(data_item!$A$1:$A$1994,MATCH(Baupläne!L290,data_item!$B$1:$B$1994,0),1),0)</f>
        <v>50</v>
      </c>
      <c r="L290" s="3">
        <f>Baupläne!K290</f>
        <v>26</v>
      </c>
      <c r="M290" s="3">
        <f>IF(N290&gt;0,INDEX(data_item!$A$1:$A$1994,MATCH(Baupläne!N290,data_item!$B$1:$B$994,0),1),0)</f>
        <v>117</v>
      </c>
      <c r="N290" s="3">
        <f>Baupläne!M290</f>
        <v>8</v>
      </c>
      <c r="O290" s="3">
        <f>IF(P290&gt;0,INDEX(data_item!$A$1:$A$1994,MATCH(Baupläne!P290,data_item!$B$1:$B$1994,0),1),0)</f>
        <v>118</v>
      </c>
      <c r="P290" s="3">
        <f>Baupläne!O290</f>
        <v>6</v>
      </c>
      <c r="Q290" s="3">
        <f>IF(R290&gt;0,INDEX(data_item!$A$1:$A$1994,MATCH(Baupläne!R290,data_item!$B$1:$B$1994,0),1),0)</f>
        <v>119</v>
      </c>
      <c r="R290" s="3">
        <f>Baupläne!Q290</f>
        <v>15</v>
      </c>
      <c r="S290" s="3">
        <f>IF(T290&gt;0,INDEX(data_item!$A$1:$A$1994,MATCH(Baupläne!T290,data_item!$B$1:$B$1994,0),1),0)</f>
        <v>0</v>
      </c>
      <c r="T290" s="3">
        <f>Baupläne!S290</f>
        <v>0</v>
      </c>
    </row>
    <row r="291" spans="1:20" x14ac:dyDescent="0.2">
      <c r="A291" s="3">
        <f>Baupläne!A291</f>
        <v>1350</v>
      </c>
      <c r="B291" s="3" t="str">
        <f>Baupläne!C291</f>
        <v>Drachenleder-Stiefel</v>
      </c>
      <c r="C291" s="3">
        <f>Baupläne!B291</f>
        <v>1350</v>
      </c>
      <c r="D291" s="3">
        <f>Baupläne!J291</f>
        <v>0</v>
      </c>
      <c r="E291" s="3">
        <f>Baupläne!H291</f>
        <v>61</v>
      </c>
      <c r="F291" s="3">
        <f>Baupläne!I291</f>
        <v>24</v>
      </c>
      <c r="G291" s="3">
        <f>Baupläne!E291</f>
        <v>31</v>
      </c>
      <c r="H291" s="3">
        <f>Baupläne!F291</f>
        <v>180</v>
      </c>
      <c r="I291" s="3">
        <f>0.5*Baupläne!Y291</f>
        <v>10750</v>
      </c>
      <c r="J291" s="3">
        <f>Baupläne!G291</f>
        <v>5</v>
      </c>
      <c r="K291" s="3">
        <f>IF(L291&gt;0,INDEX(data_item!$A$1:$A$1994,MATCH(Baupläne!L291,data_item!$B$1:$B$1994,0),1),0)</f>
        <v>50</v>
      </c>
      <c r="L291" s="3">
        <f>Baupläne!K291</f>
        <v>20</v>
      </c>
      <c r="M291" s="3">
        <f>IF(N291&gt;0,INDEX(data_item!$A$1:$A$1994,MATCH(Baupläne!N291,data_item!$B$1:$B$994,0),1),0)</f>
        <v>117</v>
      </c>
      <c r="N291" s="3">
        <f>Baupläne!M291</f>
        <v>6</v>
      </c>
      <c r="O291" s="3">
        <f>IF(P291&gt;0,INDEX(data_item!$A$1:$A$1994,MATCH(Baupläne!P291,data_item!$B$1:$B$1994,0),1),0)</f>
        <v>118</v>
      </c>
      <c r="P291" s="3">
        <f>Baupläne!O291</f>
        <v>8</v>
      </c>
      <c r="Q291" s="3">
        <f>IF(R291&gt;0,INDEX(data_item!$A$1:$A$1994,MATCH(Baupläne!R291,data_item!$B$1:$B$1994,0),1),0)</f>
        <v>119</v>
      </c>
      <c r="R291" s="3">
        <f>Baupläne!Q291</f>
        <v>10</v>
      </c>
      <c r="S291" s="3">
        <f>IF(T291&gt;0,INDEX(data_item!$A$1:$A$1994,MATCH(Baupläne!T291,data_item!$B$1:$B$1994,0),1),0)</f>
        <v>0</v>
      </c>
      <c r="T291" s="3">
        <f>Baupläne!S291</f>
        <v>0</v>
      </c>
    </row>
    <row r="292" spans="1:20" x14ac:dyDescent="0.2">
      <c r="A292" s="3">
        <f>Baupläne!A292</f>
        <v>0</v>
      </c>
      <c r="B292" s="3">
        <f>Baupläne!C292</f>
        <v>0</v>
      </c>
      <c r="C292" s="3">
        <f>Baupläne!B292</f>
        <v>0</v>
      </c>
      <c r="D292" s="3">
        <f>Baupläne!J292</f>
        <v>0</v>
      </c>
      <c r="E292" s="3">
        <f>Baupläne!H292</f>
        <v>0</v>
      </c>
      <c r="F292" s="3">
        <f>Baupläne!I292</f>
        <v>0</v>
      </c>
      <c r="G292" s="3">
        <f>Baupläne!E292</f>
        <v>0</v>
      </c>
      <c r="H292" s="3">
        <f>Baupläne!F292</f>
        <v>0</v>
      </c>
      <c r="I292" s="3">
        <f>0.5*Baupläne!Y292</f>
        <v>0</v>
      </c>
      <c r="J292" s="3">
        <f>Baupläne!G292</f>
        <v>0</v>
      </c>
      <c r="K292" s="3">
        <f>IF(L292&gt;0,INDEX(data_item!$A$1:$A$1994,MATCH(Baupläne!L292,data_item!$B$1:$B$1994,0),1),0)</f>
        <v>0</v>
      </c>
      <c r="L292" s="3">
        <f>Baupläne!K292</f>
        <v>0</v>
      </c>
      <c r="M292" s="3">
        <f>IF(N292&gt;0,INDEX(data_item!$A$1:$A$1994,MATCH(Baupläne!N292,data_item!$B$1:$B$994,0),1),0)</f>
        <v>0</v>
      </c>
      <c r="N292" s="3">
        <f>Baupläne!M292</f>
        <v>0</v>
      </c>
      <c r="O292" s="3">
        <f>IF(P292&gt;0,INDEX(data_item!$A$1:$A$1994,MATCH(Baupläne!P292,data_item!$B$1:$B$1994,0),1),0)</f>
        <v>0</v>
      </c>
      <c r="P292" s="3">
        <f>Baupläne!O292</f>
        <v>0</v>
      </c>
      <c r="Q292" s="3">
        <f>IF(R292&gt;0,INDEX(data_item!$A$1:$A$1994,MATCH(Baupläne!R292,data_item!$B$1:$B$1994,0),1),0)</f>
        <v>0</v>
      </c>
      <c r="R292" s="3">
        <f>Baupläne!Q292</f>
        <v>0</v>
      </c>
      <c r="S292" s="3">
        <f>IF(T292&gt;0,INDEX(data_item!$A$1:$A$1994,MATCH(Baupläne!T292,data_item!$B$1:$B$1994,0),1),0)</f>
        <v>0</v>
      </c>
      <c r="T292" s="3">
        <f>Baupläne!S292</f>
        <v>0</v>
      </c>
    </row>
    <row r="293" spans="1:20" x14ac:dyDescent="0.2">
      <c r="A293" s="3">
        <f>Baupläne!A293</f>
        <v>1401</v>
      </c>
      <c r="B293" s="3" t="str">
        <f>Baupläne!C293</f>
        <v>Kupfer-Kettenhaube</v>
      </c>
      <c r="C293" s="3">
        <f>Baupläne!B293</f>
        <v>1401</v>
      </c>
      <c r="D293" s="3">
        <f>Baupläne!J293</f>
        <v>0</v>
      </c>
      <c r="E293" s="3">
        <f>Baupläne!H293</f>
        <v>62</v>
      </c>
      <c r="F293" s="3">
        <f>Baupläne!I293</f>
        <v>0</v>
      </c>
      <c r="G293" s="3">
        <f>Baupläne!E293</f>
        <v>30</v>
      </c>
      <c r="H293" s="3">
        <f>Baupläne!F293</f>
        <v>240</v>
      </c>
      <c r="I293" s="3">
        <f>0.5*Baupläne!Y293</f>
        <v>500</v>
      </c>
      <c r="J293" s="3">
        <f>Baupläne!G293</f>
        <v>1</v>
      </c>
      <c r="K293" s="3">
        <f>IF(L293&gt;0,INDEX(data_item!$A$1:$A$1994,MATCH(Baupläne!L293,data_item!$B$1:$B$1994,0),1),0)</f>
        <v>6</v>
      </c>
      <c r="L293" s="3">
        <f>Baupläne!K293</f>
        <v>6</v>
      </c>
      <c r="M293" s="3">
        <f>IF(N293&gt;0,INDEX(data_item!$A$1:$A$1994,MATCH(Baupläne!N293,data_item!$B$1:$B$994,0),1),0)</f>
        <v>101</v>
      </c>
      <c r="N293" s="3">
        <f>Baupläne!M293</f>
        <v>4</v>
      </c>
      <c r="O293" s="3">
        <f>IF(P293&gt;0,INDEX(data_item!$A$1:$A$1994,MATCH(Baupläne!P293,data_item!$B$1:$B$1994,0),1),0)</f>
        <v>0</v>
      </c>
      <c r="P293" s="3">
        <f>Baupläne!O293</f>
        <v>0</v>
      </c>
      <c r="Q293" s="3">
        <f>IF(R293&gt;0,INDEX(data_item!$A$1:$A$1994,MATCH(Baupläne!R293,data_item!$B$1:$B$1994,0),1),0)</f>
        <v>0</v>
      </c>
      <c r="R293" s="3">
        <f>Baupläne!Q293</f>
        <v>0</v>
      </c>
      <c r="S293" s="3">
        <f>IF(T293&gt;0,INDEX(data_item!$A$1:$A$1994,MATCH(Baupläne!T293,data_item!$B$1:$B$1994,0),1),0)</f>
        <v>0</v>
      </c>
      <c r="T293" s="3">
        <f>Baupläne!S293</f>
        <v>0</v>
      </c>
    </row>
    <row r="294" spans="1:20" x14ac:dyDescent="0.2">
      <c r="A294" s="3">
        <f>Baupläne!A294</f>
        <v>1402</v>
      </c>
      <c r="B294" s="3" t="str">
        <f>Baupläne!C294</f>
        <v>Kupfer-Kettenhemd</v>
      </c>
      <c r="C294" s="3">
        <f>Baupläne!B294</f>
        <v>1402</v>
      </c>
      <c r="D294" s="3">
        <f>Baupläne!J294</f>
        <v>0</v>
      </c>
      <c r="E294" s="3">
        <f>Baupläne!H294</f>
        <v>62</v>
      </c>
      <c r="F294" s="3">
        <f>Baupläne!I294</f>
        <v>0</v>
      </c>
      <c r="G294" s="3">
        <f>Baupläne!E294</f>
        <v>30</v>
      </c>
      <c r="H294" s="3">
        <f>Baupläne!F294</f>
        <v>360</v>
      </c>
      <c r="I294" s="3">
        <f>0.5*Baupläne!Y294</f>
        <v>750</v>
      </c>
      <c r="J294" s="3">
        <f>Baupläne!G294</f>
        <v>1</v>
      </c>
      <c r="K294" s="3">
        <f>IF(L294&gt;0,INDEX(data_item!$A$1:$A$1994,MATCH(Baupläne!L294,data_item!$B$1:$B$1994,0),1),0)</f>
        <v>6</v>
      </c>
      <c r="L294" s="3">
        <f>Baupläne!K294</f>
        <v>8</v>
      </c>
      <c r="M294" s="3">
        <f>IF(N294&gt;0,INDEX(data_item!$A$1:$A$1994,MATCH(Baupläne!N294,data_item!$B$1:$B$994,0),1),0)</f>
        <v>101</v>
      </c>
      <c r="N294" s="3">
        <f>Baupläne!M294</f>
        <v>6</v>
      </c>
      <c r="O294" s="3">
        <f>IF(P294&gt;0,INDEX(data_item!$A$1:$A$1994,MATCH(Baupläne!P294,data_item!$B$1:$B$1994,0),1),0)</f>
        <v>0</v>
      </c>
      <c r="P294" s="3">
        <f>Baupläne!O294</f>
        <v>0</v>
      </c>
      <c r="Q294" s="3">
        <f>IF(R294&gt;0,INDEX(data_item!$A$1:$A$1994,MATCH(Baupläne!R294,data_item!$B$1:$B$1994,0),1),0)</f>
        <v>0</v>
      </c>
      <c r="R294" s="3">
        <f>Baupläne!Q294</f>
        <v>0</v>
      </c>
      <c r="S294" s="3">
        <f>IF(T294&gt;0,INDEX(data_item!$A$1:$A$1994,MATCH(Baupläne!T294,data_item!$B$1:$B$1994,0),1),0)</f>
        <v>0</v>
      </c>
      <c r="T294" s="3">
        <f>Baupläne!S294</f>
        <v>0</v>
      </c>
    </row>
    <row r="295" spans="1:20" x14ac:dyDescent="0.2">
      <c r="A295" s="3">
        <f>Baupläne!A295</f>
        <v>1403</v>
      </c>
      <c r="B295" s="3" t="str">
        <f>Baupläne!C295</f>
        <v>Kupfer-Kettenhandschuhe</v>
      </c>
      <c r="C295" s="3">
        <f>Baupläne!B295</f>
        <v>1403</v>
      </c>
      <c r="D295" s="3">
        <f>Baupläne!J295</f>
        <v>0</v>
      </c>
      <c r="E295" s="3">
        <f>Baupläne!H295</f>
        <v>62</v>
      </c>
      <c r="F295" s="3">
        <f>Baupläne!I295</f>
        <v>1</v>
      </c>
      <c r="G295" s="3">
        <f>Baupläne!E295</f>
        <v>30</v>
      </c>
      <c r="H295" s="3">
        <f>Baupläne!F295</f>
        <v>180</v>
      </c>
      <c r="I295" s="3">
        <f>0.5*Baupläne!Y295</f>
        <v>450</v>
      </c>
      <c r="J295" s="3">
        <f>Baupläne!G295</f>
        <v>1</v>
      </c>
      <c r="K295" s="3">
        <f>IF(L295&gt;0,INDEX(data_item!$A$1:$A$1994,MATCH(Baupläne!L295,data_item!$B$1:$B$1994,0),1),0)</f>
        <v>6</v>
      </c>
      <c r="L295" s="3">
        <f>Baupläne!K295</f>
        <v>5</v>
      </c>
      <c r="M295" s="3">
        <f>IF(N295&gt;0,INDEX(data_item!$A$1:$A$1994,MATCH(Baupläne!N295,data_item!$B$1:$B$994,0),1),0)</f>
        <v>101</v>
      </c>
      <c r="N295" s="3">
        <f>Baupläne!M295</f>
        <v>4</v>
      </c>
      <c r="O295" s="3">
        <f>IF(P295&gt;0,INDEX(data_item!$A$1:$A$1994,MATCH(Baupläne!P295,data_item!$B$1:$B$1994,0),1),0)</f>
        <v>0</v>
      </c>
      <c r="P295" s="3">
        <f>Baupläne!O295</f>
        <v>0</v>
      </c>
      <c r="Q295" s="3">
        <f>IF(R295&gt;0,INDEX(data_item!$A$1:$A$1994,MATCH(Baupläne!R295,data_item!$B$1:$B$1994,0),1),0)</f>
        <v>0</v>
      </c>
      <c r="R295" s="3">
        <f>Baupläne!Q295</f>
        <v>0</v>
      </c>
      <c r="S295" s="3">
        <f>IF(T295&gt;0,INDEX(data_item!$A$1:$A$1994,MATCH(Baupläne!T295,data_item!$B$1:$B$1994,0),1),0)</f>
        <v>0</v>
      </c>
      <c r="T295" s="3">
        <f>Baupläne!S295</f>
        <v>0</v>
      </c>
    </row>
    <row r="296" spans="1:20" x14ac:dyDescent="0.2">
      <c r="A296" s="3">
        <f>Baupläne!A296</f>
        <v>1404</v>
      </c>
      <c r="B296" s="3" t="str">
        <f>Baupläne!C296</f>
        <v>Kupfer-Kettenbeinlinge</v>
      </c>
      <c r="C296" s="3">
        <f>Baupläne!B296</f>
        <v>1404</v>
      </c>
      <c r="D296" s="3">
        <f>Baupläne!J296</f>
        <v>0</v>
      </c>
      <c r="E296" s="3">
        <f>Baupläne!H296</f>
        <v>62</v>
      </c>
      <c r="F296" s="3">
        <f>Baupläne!I296</f>
        <v>1</v>
      </c>
      <c r="G296" s="3">
        <f>Baupläne!E296</f>
        <v>30</v>
      </c>
      <c r="H296" s="3">
        <f>Baupläne!F296</f>
        <v>240</v>
      </c>
      <c r="I296" s="3">
        <f>0.5*Baupläne!Y296</f>
        <v>600</v>
      </c>
      <c r="J296" s="3">
        <f>Baupläne!G296</f>
        <v>1</v>
      </c>
      <c r="K296" s="3">
        <f>IF(L296&gt;0,INDEX(data_item!$A$1:$A$1994,MATCH(Baupläne!L296,data_item!$B$1:$B$1994,0),1),0)</f>
        <v>6</v>
      </c>
      <c r="L296" s="3">
        <f>Baupläne!K296</f>
        <v>7</v>
      </c>
      <c r="M296" s="3">
        <f>IF(N296&gt;0,INDEX(data_item!$A$1:$A$1994,MATCH(Baupläne!N296,data_item!$B$1:$B$994,0),1),0)</f>
        <v>101</v>
      </c>
      <c r="N296" s="3">
        <f>Baupläne!M296</f>
        <v>5</v>
      </c>
      <c r="O296" s="3">
        <f>IF(P296&gt;0,INDEX(data_item!$A$1:$A$1994,MATCH(Baupläne!P296,data_item!$B$1:$B$1994,0),1),0)</f>
        <v>0</v>
      </c>
      <c r="P296" s="3">
        <f>Baupläne!O296</f>
        <v>0</v>
      </c>
      <c r="Q296" s="3">
        <f>IF(R296&gt;0,INDEX(data_item!$A$1:$A$1994,MATCH(Baupläne!R296,data_item!$B$1:$B$1994,0),1),0)</f>
        <v>0</v>
      </c>
      <c r="R296" s="3">
        <f>Baupläne!Q296</f>
        <v>0</v>
      </c>
      <c r="S296" s="3">
        <f>IF(T296&gt;0,INDEX(data_item!$A$1:$A$1994,MATCH(Baupläne!T296,data_item!$B$1:$B$1994,0),1),0)</f>
        <v>0</v>
      </c>
      <c r="T296" s="3">
        <f>Baupläne!S296</f>
        <v>0</v>
      </c>
    </row>
    <row r="297" spans="1:20" x14ac:dyDescent="0.2">
      <c r="A297" s="3">
        <f>Baupläne!A297</f>
        <v>1405</v>
      </c>
      <c r="B297" s="3" t="str">
        <f>Baupläne!C297</f>
        <v>Kupfer-Kettenstiefel</v>
      </c>
      <c r="C297" s="3">
        <f>Baupläne!B297</f>
        <v>1405</v>
      </c>
      <c r="D297" s="3">
        <f>Baupläne!J297</f>
        <v>0</v>
      </c>
      <c r="E297" s="3">
        <f>Baupläne!H297</f>
        <v>62</v>
      </c>
      <c r="F297" s="3">
        <f>Baupläne!I297</f>
        <v>1</v>
      </c>
      <c r="G297" s="3">
        <f>Baupläne!E297</f>
        <v>30</v>
      </c>
      <c r="H297" s="3">
        <f>Baupläne!F297</f>
        <v>180</v>
      </c>
      <c r="I297" s="3">
        <f>0.5*Baupläne!Y297</f>
        <v>450</v>
      </c>
      <c r="J297" s="3">
        <f>Baupläne!G297</f>
        <v>1</v>
      </c>
      <c r="K297" s="3">
        <f>IF(L297&gt;0,INDEX(data_item!$A$1:$A$1994,MATCH(Baupläne!L297,data_item!$B$1:$B$1994,0),1),0)</f>
        <v>6</v>
      </c>
      <c r="L297" s="3">
        <f>Baupläne!K297</f>
        <v>5</v>
      </c>
      <c r="M297" s="3">
        <f>IF(N297&gt;0,INDEX(data_item!$A$1:$A$1994,MATCH(Baupläne!N297,data_item!$B$1:$B$994,0),1),0)</f>
        <v>101</v>
      </c>
      <c r="N297" s="3">
        <f>Baupläne!M297</f>
        <v>4</v>
      </c>
      <c r="O297" s="3">
        <f>IF(P297&gt;0,INDEX(data_item!$A$1:$A$1994,MATCH(Baupläne!P297,data_item!$B$1:$B$1994,0),1),0)</f>
        <v>0</v>
      </c>
      <c r="P297" s="3">
        <f>Baupläne!O297</f>
        <v>0</v>
      </c>
      <c r="Q297" s="3">
        <f>IF(R297&gt;0,INDEX(data_item!$A$1:$A$1994,MATCH(Baupläne!R297,data_item!$B$1:$B$1994,0),1),0)</f>
        <v>0</v>
      </c>
      <c r="R297" s="3">
        <f>Baupläne!Q297</f>
        <v>0</v>
      </c>
      <c r="S297" s="3">
        <f>IF(T297&gt;0,INDEX(data_item!$A$1:$A$1994,MATCH(Baupläne!T297,data_item!$B$1:$B$1994,0),1),0)</f>
        <v>0</v>
      </c>
      <c r="T297" s="3">
        <f>Baupläne!S297</f>
        <v>0</v>
      </c>
    </row>
    <row r="298" spans="1:20" x14ac:dyDescent="0.2">
      <c r="A298" s="3">
        <f>Baupläne!A298</f>
        <v>1406</v>
      </c>
      <c r="B298" s="3" t="str">
        <f>Baupläne!C298</f>
        <v>Kupfer-Plattenhelm</v>
      </c>
      <c r="C298" s="3">
        <f>Baupläne!B298</f>
        <v>1406</v>
      </c>
      <c r="D298" s="3">
        <f>Baupläne!J298</f>
        <v>0</v>
      </c>
      <c r="E298" s="3">
        <f>Baupläne!H298</f>
        <v>62</v>
      </c>
      <c r="F298" s="3">
        <f>Baupläne!I298</f>
        <v>3</v>
      </c>
      <c r="G298" s="3">
        <f>Baupläne!E298</f>
        <v>30</v>
      </c>
      <c r="H298" s="3">
        <f>Baupläne!F298</f>
        <v>240</v>
      </c>
      <c r="I298" s="3">
        <f>0.5*Baupläne!Y298</f>
        <v>750</v>
      </c>
      <c r="J298" s="3">
        <f>Baupläne!G298</f>
        <v>1</v>
      </c>
      <c r="K298" s="3">
        <f>IF(L298&gt;0,INDEX(data_item!$A$1:$A$1994,MATCH(Baupläne!L298,data_item!$B$1:$B$1994,0),1),0)</f>
        <v>6</v>
      </c>
      <c r="L298" s="3">
        <f>Baupläne!K298</f>
        <v>8</v>
      </c>
      <c r="M298" s="3">
        <f>IF(N298&gt;0,INDEX(data_item!$A$1:$A$1994,MATCH(Baupläne!N298,data_item!$B$1:$B$994,0),1),0)</f>
        <v>101</v>
      </c>
      <c r="N298" s="3">
        <f>Baupläne!M298</f>
        <v>6</v>
      </c>
      <c r="O298" s="3">
        <f>IF(P298&gt;0,INDEX(data_item!$A$1:$A$1994,MATCH(Baupläne!P298,data_item!$B$1:$B$1994,0),1),0)</f>
        <v>0</v>
      </c>
      <c r="P298" s="3">
        <f>Baupläne!O298</f>
        <v>0</v>
      </c>
      <c r="Q298" s="3">
        <f>IF(R298&gt;0,INDEX(data_item!$A$1:$A$1994,MATCH(Baupläne!R298,data_item!$B$1:$B$1994,0),1),0)</f>
        <v>0</v>
      </c>
      <c r="R298" s="3">
        <f>Baupläne!Q298</f>
        <v>0</v>
      </c>
      <c r="S298" s="3">
        <f>IF(T298&gt;0,INDEX(data_item!$A$1:$A$1994,MATCH(Baupläne!T298,data_item!$B$1:$B$1994,0),1),0)</f>
        <v>0</v>
      </c>
      <c r="T298" s="3">
        <f>Baupläne!S298</f>
        <v>0</v>
      </c>
    </row>
    <row r="299" spans="1:20" x14ac:dyDescent="0.2">
      <c r="A299" s="3">
        <f>Baupläne!A299</f>
        <v>1407</v>
      </c>
      <c r="B299" s="3" t="str">
        <f>Baupläne!C299</f>
        <v>Kupfer-Plattenpanzer</v>
      </c>
      <c r="C299" s="3">
        <f>Baupläne!B299</f>
        <v>1407</v>
      </c>
      <c r="D299" s="3">
        <f>Baupläne!J299</f>
        <v>0</v>
      </c>
      <c r="E299" s="3">
        <f>Baupläne!H299</f>
        <v>62</v>
      </c>
      <c r="F299" s="3">
        <f>Baupläne!I299</f>
        <v>3</v>
      </c>
      <c r="G299" s="3">
        <f>Baupläne!E299</f>
        <v>30</v>
      </c>
      <c r="H299" s="3">
        <f>Baupläne!F299</f>
        <v>360</v>
      </c>
      <c r="I299" s="3">
        <f>0.5*Baupläne!Y299</f>
        <v>1150</v>
      </c>
      <c r="J299" s="3">
        <f>Baupläne!G299</f>
        <v>1</v>
      </c>
      <c r="K299" s="3">
        <f>IF(L299&gt;0,INDEX(data_item!$A$1:$A$1994,MATCH(Baupläne!L299,data_item!$B$1:$B$1994,0),1),0)</f>
        <v>6</v>
      </c>
      <c r="L299" s="3">
        <f>Baupläne!K299</f>
        <v>12</v>
      </c>
      <c r="M299" s="3">
        <f>IF(N299&gt;0,INDEX(data_item!$A$1:$A$1994,MATCH(Baupläne!N299,data_item!$B$1:$B$994,0),1),0)</f>
        <v>101</v>
      </c>
      <c r="N299" s="3">
        <f>Baupläne!M299</f>
        <v>9</v>
      </c>
      <c r="O299" s="3">
        <f>IF(P299&gt;0,INDEX(data_item!$A$1:$A$1994,MATCH(Baupläne!P299,data_item!$B$1:$B$1994,0),1),0)</f>
        <v>0</v>
      </c>
      <c r="P299" s="3">
        <f>Baupläne!O299</f>
        <v>0</v>
      </c>
      <c r="Q299" s="3">
        <f>IF(R299&gt;0,INDEX(data_item!$A$1:$A$1994,MATCH(Baupläne!R299,data_item!$B$1:$B$1994,0),1),0)</f>
        <v>0</v>
      </c>
      <c r="R299" s="3">
        <f>Baupläne!Q299</f>
        <v>0</v>
      </c>
      <c r="S299" s="3">
        <f>IF(T299&gt;0,INDEX(data_item!$A$1:$A$1994,MATCH(Baupläne!T299,data_item!$B$1:$B$1994,0),1),0)</f>
        <v>0</v>
      </c>
      <c r="T299" s="3">
        <f>Baupläne!S299</f>
        <v>0</v>
      </c>
    </row>
    <row r="300" spans="1:20" x14ac:dyDescent="0.2">
      <c r="A300" s="3">
        <f>Baupläne!A300</f>
        <v>1408</v>
      </c>
      <c r="B300" s="3" t="str">
        <f>Baupläne!C300</f>
        <v>Kupfer-Plattenhandschuhe</v>
      </c>
      <c r="C300" s="3">
        <f>Baupläne!B300</f>
        <v>1408</v>
      </c>
      <c r="D300" s="3">
        <f>Baupläne!J300</f>
        <v>0</v>
      </c>
      <c r="E300" s="3">
        <f>Baupläne!H300</f>
        <v>62</v>
      </c>
      <c r="F300" s="3">
        <f>Baupläne!I300</f>
        <v>4</v>
      </c>
      <c r="G300" s="3">
        <f>Baupläne!E300</f>
        <v>30</v>
      </c>
      <c r="H300" s="3">
        <f>Baupläne!F300</f>
        <v>180</v>
      </c>
      <c r="I300" s="3">
        <f>0.5*Baupläne!Y300</f>
        <v>650</v>
      </c>
      <c r="J300" s="3">
        <f>Baupläne!G300</f>
        <v>1</v>
      </c>
      <c r="K300" s="3">
        <f>IF(L300&gt;0,INDEX(data_item!$A$1:$A$1994,MATCH(Baupläne!L300,data_item!$B$1:$B$1994,0),1),0)</f>
        <v>6</v>
      </c>
      <c r="L300" s="3">
        <f>Baupläne!K300</f>
        <v>7</v>
      </c>
      <c r="M300" s="3">
        <f>IF(N300&gt;0,INDEX(data_item!$A$1:$A$1994,MATCH(Baupläne!N300,data_item!$B$1:$B$994,0),1),0)</f>
        <v>101</v>
      </c>
      <c r="N300" s="3">
        <f>Baupläne!M300</f>
        <v>5</v>
      </c>
      <c r="O300" s="3">
        <f>IF(P300&gt;0,INDEX(data_item!$A$1:$A$1994,MATCH(Baupläne!P300,data_item!$B$1:$B$1994,0),1),0)</f>
        <v>0</v>
      </c>
      <c r="P300" s="3">
        <f>Baupläne!O300</f>
        <v>0</v>
      </c>
      <c r="Q300" s="3">
        <f>IF(R300&gt;0,INDEX(data_item!$A$1:$A$1994,MATCH(Baupläne!R300,data_item!$B$1:$B$1994,0),1),0)</f>
        <v>0</v>
      </c>
      <c r="R300" s="3">
        <f>Baupläne!Q300</f>
        <v>0</v>
      </c>
      <c r="S300" s="3">
        <f>IF(T300&gt;0,INDEX(data_item!$A$1:$A$1994,MATCH(Baupläne!T300,data_item!$B$1:$B$1994,0),1),0)</f>
        <v>0</v>
      </c>
      <c r="T300" s="3">
        <f>Baupläne!S300</f>
        <v>0</v>
      </c>
    </row>
    <row r="301" spans="1:20" x14ac:dyDescent="0.2">
      <c r="A301" s="3">
        <f>Baupläne!A301</f>
        <v>1409</v>
      </c>
      <c r="B301" s="3" t="str">
        <f>Baupläne!C301</f>
        <v>Kupfer-Plattenbeinlinge</v>
      </c>
      <c r="C301" s="3">
        <f>Baupläne!B301</f>
        <v>1409</v>
      </c>
      <c r="D301" s="3">
        <f>Baupläne!J301</f>
        <v>0</v>
      </c>
      <c r="E301" s="3">
        <f>Baupläne!H301</f>
        <v>62</v>
      </c>
      <c r="F301" s="3">
        <f>Baupläne!I301</f>
        <v>4</v>
      </c>
      <c r="G301" s="3">
        <f>Baupläne!E301</f>
        <v>30</v>
      </c>
      <c r="H301" s="3">
        <f>Baupläne!F301</f>
        <v>240</v>
      </c>
      <c r="I301" s="3">
        <f>0.5*Baupläne!Y301</f>
        <v>850</v>
      </c>
      <c r="J301" s="3">
        <f>Baupläne!G301</f>
        <v>1</v>
      </c>
      <c r="K301" s="3">
        <f>IF(L301&gt;0,INDEX(data_item!$A$1:$A$1994,MATCH(Baupläne!L301,data_item!$B$1:$B$1994,0),1),0)</f>
        <v>6</v>
      </c>
      <c r="L301" s="3">
        <f>Baupläne!K301</f>
        <v>10</v>
      </c>
      <c r="M301" s="3">
        <f>IF(N301&gt;0,INDEX(data_item!$A$1:$A$1994,MATCH(Baupläne!N301,data_item!$B$1:$B$994,0),1),0)</f>
        <v>101</v>
      </c>
      <c r="N301" s="3">
        <f>Baupläne!M301</f>
        <v>7</v>
      </c>
      <c r="O301" s="3">
        <f>IF(P301&gt;0,INDEX(data_item!$A$1:$A$1994,MATCH(Baupläne!P301,data_item!$B$1:$B$1994,0),1),0)</f>
        <v>0</v>
      </c>
      <c r="P301" s="3">
        <f>Baupläne!O301</f>
        <v>0</v>
      </c>
      <c r="Q301" s="3">
        <f>IF(R301&gt;0,INDEX(data_item!$A$1:$A$1994,MATCH(Baupläne!R301,data_item!$B$1:$B$1994,0),1),0)</f>
        <v>0</v>
      </c>
      <c r="R301" s="3">
        <f>Baupläne!Q301</f>
        <v>0</v>
      </c>
      <c r="S301" s="3">
        <f>IF(T301&gt;0,INDEX(data_item!$A$1:$A$1994,MATCH(Baupläne!T301,data_item!$B$1:$B$1994,0),1),0)</f>
        <v>0</v>
      </c>
      <c r="T301" s="3">
        <f>Baupläne!S301</f>
        <v>0</v>
      </c>
    </row>
    <row r="302" spans="1:20" x14ac:dyDescent="0.2">
      <c r="A302" s="3">
        <f>Baupläne!A302</f>
        <v>1410</v>
      </c>
      <c r="B302" s="3" t="str">
        <f>Baupläne!C302</f>
        <v>Kupfer-Plattenstiefel</v>
      </c>
      <c r="C302" s="3">
        <f>Baupläne!B302</f>
        <v>1410</v>
      </c>
      <c r="D302" s="3">
        <f>Baupläne!J302</f>
        <v>0</v>
      </c>
      <c r="E302" s="3">
        <f>Baupläne!H302</f>
        <v>62</v>
      </c>
      <c r="F302" s="3">
        <f>Baupläne!I302</f>
        <v>4</v>
      </c>
      <c r="G302" s="3">
        <f>Baupläne!E302</f>
        <v>30</v>
      </c>
      <c r="H302" s="3">
        <f>Baupläne!F302</f>
        <v>180</v>
      </c>
      <c r="I302" s="3">
        <f>0.5*Baupläne!Y302</f>
        <v>650</v>
      </c>
      <c r="J302" s="3">
        <f>Baupläne!G302</f>
        <v>1</v>
      </c>
      <c r="K302" s="3">
        <f>IF(L302&gt;0,INDEX(data_item!$A$1:$A$1994,MATCH(Baupläne!L302,data_item!$B$1:$B$1994,0),1),0)</f>
        <v>6</v>
      </c>
      <c r="L302" s="3">
        <f>Baupläne!K302</f>
        <v>7</v>
      </c>
      <c r="M302" s="3">
        <f>IF(N302&gt;0,INDEX(data_item!$A$1:$A$1994,MATCH(Baupläne!N302,data_item!$B$1:$B$994,0),1),0)</f>
        <v>101</v>
      </c>
      <c r="N302" s="3">
        <f>Baupläne!M302</f>
        <v>5</v>
      </c>
      <c r="O302" s="3">
        <f>IF(P302&gt;0,INDEX(data_item!$A$1:$A$1994,MATCH(Baupläne!P302,data_item!$B$1:$B$1994,0),1),0)</f>
        <v>0</v>
      </c>
      <c r="P302" s="3">
        <f>Baupläne!O302</f>
        <v>0</v>
      </c>
      <c r="Q302" s="3">
        <f>IF(R302&gt;0,INDEX(data_item!$A$1:$A$1994,MATCH(Baupläne!R302,data_item!$B$1:$B$1994,0),1),0)</f>
        <v>0</v>
      </c>
      <c r="R302" s="3">
        <f>Baupläne!Q302</f>
        <v>0</v>
      </c>
      <c r="S302" s="3">
        <f>IF(T302&gt;0,INDEX(data_item!$A$1:$A$1994,MATCH(Baupläne!T302,data_item!$B$1:$B$1994,0),1),0)</f>
        <v>0</v>
      </c>
      <c r="T302" s="3">
        <f>Baupläne!S302</f>
        <v>0</v>
      </c>
    </row>
    <row r="303" spans="1:20" x14ac:dyDescent="0.2">
      <c r="A303" s="3">
        <f>Baupläne!A303</f>
        <v>1411</v>
      </c>
      <c r="B303" s="3" t="str">
        <f>Baupläne!C303</f>
        <v>Eisen-Kettenhaube</v>
      </c>
      <c r="C303" s="3">
        <f>Baupläne!B303</f>
        <v>1411</v>
      </c>
      <c r="D303" s="3">
        <f>Baupläne!J303</f>
        <v>0</v>
      </c>
      <c r="E303" s="3">
        <f>Baupläne!H303</f>
        <v>62</v>
      </c>
      <c r="F303" s="3">
        <f>Baupläne!I303</f>
        <v>5</v>
      </c>
      <c r="G303" s="3">
        <f>Baupläne!E303</f>
        <v>30</v>
      </c>
      <c r="H303" s="3">
        <f>Baupläne!F303</f>
        <v>240</v>
      </c>
      <c r="I303" s="3">
        <f>0.5*Baupläne!Y303</f>
        <v>1000</v>
      </c>
      <c r="J303" s="3">
        <f>Baupläne!G303</f>
        <v>2</v>
      </c>
      <c r="K303" s="3">
        <f>IF(L303&gt;0,INDEX(data_item!$A$1:$A$1994,MATCH(Baupläne!L303,data_item!$B$1:$B$1994,0),1),0)</f>
        <v>7</v>
      </c>
      <c r="L303" s="3">
        <f>Baupläne!K303</f>
        <v>6</v>
      </c>
      <c r="M303" s="3">
        <f>IF(N303&gt;0,INDEX(data_item!$A$1:$A$1994,MATCH(Baupläne!N303,data_item!$B$1:$B$994,0),1),0)</f>
        <v>101</v>
      </c>
      <c r="N303" s="3">
        <f>Baupläne!M303</f>
        <v>8</v>
      </c>
      <c r="O303" s="3">
        <f>IF(P303&gt;0,INDEX(data_item!$A$1:$A$1994,MATCH(Baupläne!P303,data_item!$B$1:$B$1994,0),1),0)</f>
        <v>0</v>
      </c>
      <c r="P303" s="3">
        <f>Baupläne!O303</f>
        <v>0</v>
      </c>
      <c r="Q303" s="3">
        <f>IF(R303&gt;0,INDEX(data_item!$A$1:$A$1994,MATCH(Baupläne!R303,data_item!$B$1:$B$1994,0),1),0)</f>
        <v>0</v>
      </c>
      <c r="R303" s="3">
        <f>Baupläne!Q303</f>
        <v>0</v>
      </c>
      <c r="S303" s="3">
        <f>IF(T303&gt;0,INDEX(data_item!$A$1:$A$1994,MATCH(Baupläne!T303,data_item!$B$1:$B$1994,0),1),0)</f>
        <v>0</v>
      </c>
      <c r="T303" s="3">
        <f>Baupläne!S303</f>
        <v>0</v>
      </c>
    </row>
    <row r="304" spans="1:20" x14ac:dyDescent="0.2">
      <c r="A304" s="3">
        <f>Baupläne!A304</f>
        <v>1412</v>
      </c>
      <c r="B304" s="3" t="str">
        <f>Baupläne!C304</f>
        <v>Eisen-Kettenhemd</v>
      </c>
      <c r="C304" s="3">
        <f>Baupläne!B304</f>
        <v>1412</v>
      </c>
      <c r="D304" s="3">
        <f>Baupläne!J304</f>
        <v>0</v>
      </c>
      <c r="E304" s="3">
        <f>Baupläne!H304</f>
        <v>62</v>
      </c>
      <c r="F304" s="3">
        <f>Baupläne!I304</f>
        <v>5</v>
      </c>
      <c r="G304" s="3">
        <f>Baupläne!E304</f>
        <v>30</v>
      </c>
      <c r="H304" s="3">
        <f>Baupläne!F304</f>
        <v>360</v>
      </c>
      <c r="I304" s="3">
        <f>0.5*Baupläne!Y304</f>
        <v>1500</v>
      </c>
      <c r="J304" s="3">
        <f>Baupläne!G304</f>
        <v>2</v>
      </c>
      <c r="K304" s="3">
        <f>IF(L304&gt;0,INDEX(data_item!$A$1:$A$1994,MATCH(Baupläne!L304,data_item!$B$1:$B$1994,0),1),0)</f>
        <v>7</v>
      </c>
      <c r="L304" s="3">
        <f>Baupläne!K304</f>
        <v>8</v>
      </c>
      <c r="M304" s="3">
        <f>IF(N304&gt;0,INDEX(data_item!$A$1:$A$1994,MATCH(Baupläne!N304,data_item!$B$1:$B$994,0),1),0)</f>
        <v>101</v>
      </c>
      <c r="N304" s="3">
        <f>Baupläne!M304</f>
        <v>12</v>
      </c>
      <c r="O304" s="3">
        <f>IF(P304&gt;0,INDEX(data_item!$A$1:$A$1994,MATCH(Baupläne!P304,data_item!$B$1:$B$1994,0),1),0)</f>
        <v>0</v>
      </c>
      <c r="P304" s="3">
        <f>Baupläne!O304</f>
        <v>0</v>
      </c>
      <c r="Q304" s="3">
        <f>IF(R304&gt;0,INDEX(data_item!$A$1:$A$1994,MATCH(Baupläne!R304,data_item!$B$1:$B$1994,0),1),0)</f>
        <v>0</v>
      </c>
      <c r="R304" s="3">
        <f>Baupläne!Q304</f>
        <v>0</v>
      </c>
      <c r="S304" s="3">
        <f>IF(T304&gt;0,INDEX(data_item!$A$1:$A$1994,MATCH(Baupläne!T304,data_item!$B$1:$B$1994,0),1),0)</f>
        <v>0</v>
      </c>
      <c r="T304" s="3">
        <f>Baupläne!S304</f>
        <v>0</v>
      </c>
    </row>
    <row r="305" spans="1:20" x14ac:dyDescent="0.2">
      <c r="A305" s="3">
        <f>Baupläne!A305</f>
        <v>1413</v>
      </c>
      <c r="B305" s="3" t="str">
        <f>Baupläne!C305</f>
        <v>Eisen-Kettenhandschuhe</v>
      </c>
      <c r="C305" s="3">
        <f>Baupläne!B305</f>
        <v>1413</v>
      </c>
      <c r="D305" s="3">
        <f>Baupläne!J305</f>
        <v>0</v>
      </c>
      <c r="E305" s="3">
        <f>Baupläne!H305</f>
        <v>62</v>
      </c>
      <c r="F305" s="3">
        <f>Baupläne!I305</f>
        <v>6</v>
      </c>
      <c r="G305" s="3">
        <f>Baupläne!E305</f>
        <v>30</v>
      </c>
      <c r="H305" s="3">
        <f>Baupläne!F305</f>
        <v>180</v>
      </c>
      <c r="I305" s="3">
        <f>0.5*Baupläne!Y305</f>
        <v>850</v>
      </c>
      <c r="J305" s="3">
        <f>Baupläne!G305</f>
        <v>2</v>
      </c>
      <c r="K305" s="3">
        <f>IF(L305&gt;0,INDEX(data_item!$A$1:$A$1994,MATCH(Baupläne!L305,data_item!$B$1:$B$1994,0),1),0)</f>
        <v>7</v>
      </c>
      <c r="L305" s="3">
        <f>Baupläne!K305</f>
        <v>5</v>
      </c>
      <c r="M305" s="3">
        <f>IF(N305&gt;0,INDEX(data_item!$A$1:$A$1994,MATCH(Baupläne!N305,data_item!$B$1:$B$994,0),1),0)</f>
        <v>101</v>
      </c>
      <c r="N305" s="3">
        <f>Baupläne!M305</f>
        <v>7</v>
      </c>
      <c r="O305" s="3">
        <f>IF(P305&gt;0,INDEX(data_item!$A$1:$A$1994,MATCH(Baupläne!P305,data_item!$B$1:$B$1994,0),1),0)</f>
        <v>0</v>
      </c>
      <c r="P305" s="3">
        <f>Baupläne!O305</f>
        <v>0</v>
      </c>
      <c r="Q305" s="3">
        <f>IF(R305&gt;0,INDEX(data_item!$A$1:$A$1994,MATCH(Baupläne!R305,data_item!$B$1:$B$1994,0),1),0)</f>
        <v>0</v>
      </c>
      <c r="R305" s="3">
        <f>Baupläne!Q305</f>
        <v>0</v>
      </c>
      <c r="S305" s="3">
        <f>IF(T305&gt;0,INDEX(data_item!$A$1:$A$1994,MATCH(Baupläne!T305,data_item!$B$1:$B$1994,0),1),0)</f>
        <v>0</v>
      </c>
      <c r="T305" s="3">
        <f>Baupläne!S305</f>
        <v>0</v>
      </c>
    </row>
    <row r="306" spans="1:20" x14ac:dyDescent="0.2">
      <c r="A306" s="3">
        <f>Baupläne!A306</f>
        <v>1414</v>
      </c>
      <c r="B306" s="3" t="str">
        <f>Baupläne!C306</f>
        <v>Eisen-Kettenbeinlinge</v>
      </c>
      <c r="C306" s="3">
        <f>Baupläne!B306</f>
        <v>1414</v>
      </c>
      <c r="D306" s="3">
        <f>Baupläne!J306</f>
        <v>0</v>
      </c>
      <c r="E306" s="3">
        <f>Baupläne!H306</f>
        <v>62</v>
      </c>
      <c r="F306" s="3">
        <f>Baupläne!I306</f>
        <v>6</v>
      </c>
      <c r="G306" s="3">
        <f>Baupläne!E306</f>
        <v>30</v>
      </c>
      <c r="H306" s="3">
        <f>Baupläne!F306</f>
        <v>240</v>
      </c>
      <c r="I306" s="3">
        <f>0.5*Baupläne!Y306</f>
        <v>1150</v>
      </c>
      <c r="J306" s="3">
        <f>Baupläne!G306</f>
        <v>2</v>
      </c>
      <c r="K306" s="3">
        <f>IF(L306&gt;0,INDEX(data_item!$A$1:$A$1994,MATCH(Baupläne!L306,data_item!$B$1:$B$1994,0),1),0)</f>
        <v>7</v>
      </c>
      <c r="L306" s="3">
        <f>Baupläne!K306</f>
        <v>6</v>
      </c>
      <c r="M306" s="3">
        <f>IF(N306&gt;0,INDEX(data_item!$A$1:$A$1994,MATCH(Baupläne!N306,data_item!$B$1:$B$994,0),1),0)</f>
        <v>101</v>
      </c>
      <c r="N306" s="3">
        <f>Baupläne!M306</f>
        <v>9</v>
      </c>
      <c r="O306" s="3">
        <f>IF(P306&gt;0,INDEX(data_item!$A$1:$A$1994,MATCH(Baupläne!P306,data_item!$B$1:$B$1994,0),1),0)</f>
        <v>0</v>
      </c>
      <c r="P306" s="3">
        <f>Baupläne!O306</f>
        <v>0</v>
      </c>
      <c r="Q306" s="3">
        <f>IF(R306&gt;0,INDEX(data_item!$A$1:$A$1994,MATCH(Baupläne!R306,data_item!$B$1:$B$1994,0),1),0)</f>
        <v>0</v>
      </c>
      <c r="R306" s="3">
        <f>Baupläne!Q306</f>
        <v>0</v>
      </c>
      <c r="S306" s="3">
        <f>IF(T306&gt;0,INDEX(data_item!$A$1:$A$1994,MATCH(Baupläne!T306,data_item!$B$1:$B$1994,0),1),0)</f>
        <v>0</v>
      </c>
      <c r="T306" s="3">
        <f>Baupläne!S306</f>
        <v>0</v>
      </c>
    </row>
    <row r="307" spans="1:20" x14ac:dyDescent="0.2">
      <c r="A307" s="3">
        <f>Baupläne!A307</f>
        <v>1415</v>
      </c>
      <c r="B307" s="3" t="str">
        <f>Baupläne!C307</f>
        <v>Eisen-Kettenstiefel</v>
      </c>
      <c r="C307" s="3">
        <f>Baupläne!B307</f>
        <v>1415</v>
      </c>
      <c r="D307" s="3">
        <f>Baupläne!J307</f>
        <v>0</v>
      </c>
      <c r="E307" s="3">
        <f>Baupläne!H307</f>
        <v>62</v>
      </c>
      <c r="F307" s="3">
        <f>Baupläne!I307</f>
        <v>6</v>
      </c>
      <c r="G307" s="3">
        <f>Baupläne!E307</f>
        <v>30</v>
      </c>
      <c r="H307" s="3">
        <f>Baupläne!F307</f>
        <v>180</v>
      </c>
      <c r="I307" s="3">
        <f>0.5*Baupläne!Y307</f>
        <v>850</v>
      </c>
      <c r="J307" s="3">
        <f>Baupläne!G307</f>
        <v>2</v>
      </c>
      <c r="K307" s="3">
        <f>IF(L307&gt;0,INDEX(data_item!$A$1:$A$1994,MATCH(Baupläne!L307,data_item!$B$1:$B$1994,0),1),0)</f>
        <v>7</v>
      </c>
      <c r="L307" s="3">
        <f>Baupläne!K307</f>
        <v>5</v>
      </c>
      <c r="M307" s="3">
        <f>IF(N307&gt;0,INDEX(data_item!$A$1:$A$1994,MATCH(Baupläne!N307,data_item!$B$1:$B$994,0),1),0)</f>
        <v>101</v>
      </c>
      <c r="N307" s="3">
        <f>Baupläne!M307</f>
        <v>7</v>
      </c>
      <c r="O307" s="3">
        <f>IF(P307&gt;0,INDEX(data_item!$A$1:$A$1994,MATCH(Baupläne!P307,data_item!$B$1:$B$1994,0),1),0)</f>
        <v>0</v>
      </c>
      <c r="P307" s="3">
        <f>Baupläne!O307</f>
        <v>0</v>
      </c>
      <c r="Q307" s="3">
        <f>IF(R307&gt;0,INDEX(data_item!$A$1:$A$1994,MATCH(Baupläne!R307,data_item!$B$1:$B$1994,0),1),0)</f>
        <v>0</v>
      </c>
      <c r="R307" s="3">
        <f>Baupläne!Q307</f>
        <v>0</v>
      </c>
      <c r="S307" s="3">
        <f>IF(T307&gt;0,INDEX(data_item!$A$1:$A$1994,MATCH(Baupläne!T307,data_item!$B$1:$B$1994,0),1),0)</f>
        <v>0</v>
      </c>
      <c r="T307" s="3">
        <f>Baupläne!S307</f>
        <v>0</v>
      </c>
    </row>
    <row r="308" spans="1:20" x14ac:dyDescent="0.2">
      <c r="A308" s="3">
        <f>Baupläne!A308</f>
        <v>1416</v>
      </c>
      <c r="B308" s="3" t="str">
        <f>Baupläne!C308</f>
        <v>Eisen-Plattenhelm</v>
      </c>
      <c r="C308" s="3">
        <f>Baupläne!B308</f>
        <v>1416</v>
      </c>
      <c r="D308" s="3">
        <f>Baupläne!J308</f>
        <v>0</v>
      </c>
      <c r="E308" s="3">
        <f>Baupläne!H308</f>
        <v>62</v>
      </c>
      <c r="F308" s="3">
        <f>Baupläne!I308</f>
        <v>8</v>
      </c>
      <c r="G308" s="3">
        <f>Baupläne!E308</f>
        <v>30</v>
      </c>
      <c r="H308" s="3">
        <f>Baupläne!F308</f>
        <v>240</v>
      </c>
      <c r="I308" s="3">
        <f>0.5*Baupläne!Y308</f>
        <v>1550</v>
      </c>
      <c r="J308" s="3">
        <f>Baupläne!G308</f>
        <v>2</v>
      </c>
      <c r="K308" s="3">
        <f>IF(L308&gt;0,INDEX(data_item!$A$1:$A$1994,MATCH(Baupläne!L308,data_item!$B$1:$B$1994,0),1),0)</f>
        <v>7</v>
      </c>
      <c r="L308" s="3">
        <f>Baupläne!K308</f>
        <v>8</v>
      </c>
      <c r="M308" s="3">
        <f>IF(N308&gt;0,INDEX(data_item!$A$1:$A$1994,MATCH(Baupläne!N308,data_item!$B$1:$B$994,0),1),0)</f>
        <v>101</v>
      </c>
      <c r="N308" s="3">
        <f>Baupläne!M308</f>
        <v>12</v>
      </c>
      <c r="O308" s="3">
        <f>IF(P308&gt;0,INDEX(data_item!$A$1:$A$1994,MATCH(Baupläne!P308,data_item!$B$1:$B$1994,0),1),0)</f>
        <v>0</v>
      </c>
      <c r="P308" s="3">
        <f>Baupläne!O308</f>
        <v>0</v>
      </c>
      <c r="Q308" s="3">
        <f>IF(R308&gt;0,INDEX(data_item!$A$1:$A$1994,MATCH(Baupläne!R308,data_item!$B$1:$B$1994,0),1),0)</f>
        <v>0</v>
      </c>
      <c r="R308" s="3">
        <f>Baupläne!Q308</f>
        <v>0</v>
      </c>
      <c r="S308" s="3">
        <f>IF(T308&gt;0,INDEX(data_item!$A$1:$A$1994,MATCH(Baupläne!T308,data_item!$B$1:$B$1994,0),1),0)</f>
        <v>0</v>
      </c>
      <c r="T308" s="3">
        <f>Baupläne!S308</f>
        <v>0</v>
      </c>
    </row>
    <row r="309" spans="1:20" x14ac:dyDescent="0.2">
      <c r="A309" s="3">
        <f>Baupläne!A309</f>
        <v>1417</v>
      </c>
      <c r="B309" s="3" t="str">
        <f>Baupläne!C309</f>
        <v>Eisen-Plattenpanzer</v>
      </c>
      <c r="C309" s="3">
        <f>Baupläne!B309</f>
        <v>1417</v>
      </c>
      <c r="D309" s="3">
        <f>Baupläne!J309</f>
        <v>0</v>
      </c>
      <c r="E309" s="3">
        <f>Baupläne!H309</f>
        <v>62</v>
      </c>
      <c r="F309" s="3">
        <f>Baupläne!I309</f>
        <v>8</v>
      </c>
      <c r="G309" s="3">
        <f>Baupläne!E309</f>
        <v>30</v>
      </c>
      <c r="H309" s="3">
        <f>Baupläne!F309</f>
        <v>360</v>
      </c>
      <c r="I309" s="3">
        <f>0.5*Baupläne!Y309</f>
        <v>2300</v>
      </c>
      <c r="J309" s="3">
        <f>Baupläne!G309</f>
        <v>2</v>
      </c>
      <c r="K309" s="3">
        <f>IF(L309&gt;0,INDEX(data_item!$A$1:$A$1994,MATCH(Baupläne!L309,data_item!$B$1:$B$1994,0),1),0)</f>
        <v>7</v>
      </c>
      <c r="L309" s="3">
        <f>Baupläne!K309</f>
        <v>12</v>
      </c>
      <c r="M309" s="3">
        <f>IF(N309&gt;0,INDEX(data_item!$A$1:$A$1994,MATCH(Baupläne!N309,data_item!$B$1:$B$994,0),1),0)</f>
        <v>101</v>
      </c>
      <c r="N309" s="3">
        <f>Baupläne!M309</f>
        <v>18</v>
      </c>
      <c r="O309" s="3">
        <f>IF(P309&gt;0,INDEX(data_item!$A$1:$A$1994,MATCH(Baupläne!P309,data_item!$B$1:$B$1994,0),1),0)</f>
        <v>0</v>
      </c>
      <c r="P309" s="3">
        <f>Baupläne!O309</f>
        <v>0</v>
      </c>
      <c r="Q309" s="3">
        <f>IF(R309&gt;0,INDEX(data_item!$A$1:$A$1994,MATCH(Baupläne!R309,data_item!$B$1:$B$1994,0),1),0)</f>
        <v>0</v>
      </c>
      <c r="R309" s="3">
        <f>Baupläne!Q309</f>
        <v>0</v>
      </c>
      <c r="S309" s="3">
        <f>IF(T309&gt;0,INDEX(data_item!$A$1:$A$1994,MATCH(Baupläne!T309,data_item!$B$1:$B$1994,0),1),0)</f>
        <v>0</v>
      </c>
      <c r="T309" s="3">
        <f>Baupläne!S309</f>
        <v>0</v>
      </c>
    </row>
    <row r="310" spans="1:20" x14ac:dyDescent="0.2">
      <c r="A310" s="3">
        <f>Baupläne!A310</f>
        <v>1418</v>
      </c>
      <c r="B310" s="3" t="str">
        <f>Baupläne!C310</f>
        <v>Eisen-Plattenhandschuhe</v>
      </c>
      <c r="C310" s="3">
        <f>Baupläne!B310</f>
        <v>1418</v>
      </c>
      <c r="D310" s="3">
        <f>Baupläne!J310</f>
        <v>0</v>
      </c>
      <c r="E310" s="3">
        <f>Baupläne!H310</f>
        <v>62</v>
      </c>
      <c r="F310" s="3">
        <f>Baupläne!I310</f>
        <v>9</v>
      </c>
      <c r="G310" s="3">
        <f>Baupläne!E310</f>
        <v>30</v>
      </c>
      <c r="H310" s="3">
        <f>Baupläne!F310</f>
        <v>180</v>
      </c>
      <c r="I310" s="3">
        <f>0.5*Baupläne!Y310</f>
        <v>1300</v>
      </c>
      <c r="J310" s="3">
        <f>Baupläne!G310</f>
        <v>2</v>
      </c>
      <c r="K310" s="3">
        <f>IF(L310&gt;0,INDEX(data_item!$A$1:$A$1994,MATCH(Baupläne!L310,data_item!$B$1:$B$1994,0),1),0)</f>
        <v>7</v>
      </c>
      <c r="L310" s="3">
        <f>Baupläne!K310</f>
        <v>7</v>
      </c>
      <c r="M310" s="3">
        <f>IF(N310&gt;0,INDEX(data_item!$A$1:$A$1994,MATCH(Baupläne!N310,data_item!$B$1:$B$994,0),1),0)</f>
        <v>101</v>
      </c>
      <c r="N310" s="3">
        <f>Baupläne!M310</f>
        <v>10</v>
      </c>
      <c r="O310" s="3">
        <f>IF(P310&gt;0,INDEX(data_item!$A$1:$A$1994,MATCH(Baupläne!P310,data_item!$B$1:$B$1994,0),1),0)</f>
        <v>0</v>
      </c>
      <c r="P310" s="3">
        <f>Baupläne!O310</f>
        <v>0</v>
      </c>
      <c r="Q310" s="3">
        <f>IF(R310&gt;0,INDEX(data_item!$A$1:$A$1994,MATCH(Baupläne!R310,data_item!$B$1:$B$1994,0),1),0)</f>
        <v>0</v>
      </c>
      <c r="R310" s="3">
        <f>Baupläne!Q310</f>
        <v>0</v>
      </c>
      <c r="S310" s="3">
        <f>IF(T310&gt;0,INDEX(data_item!$A$1:$A$1994,MATCH(Baupläne!T310,data_item!$B$1:$B$1994,0),1),0)</f>
        <v>0</v>
      </c>
      <c r="T310" s="3">
        <f>Baupläne!S310</f>
        <v>0</v>
      </c>
    </row>
    <row r="311" spans="1:20" x14ac:dyDescent="0.2">
      <c r="A311" s="3">
        <f>Baupläne!A311</f>
        <v>1419</v>
      </c>
      <c r="B311" s="3" t="str">
        <f>Baupläne!C311</f>
        <v>Eisen-Plattenbeinlinge</v>
      </c>
      <c r="C311" s="3">
        <f>Baupläne!B311</f>
        <v>1419</v>
      </c>
      <c r="D311" s="3">
        <f>Baupläne!J311</f>
        <v>0</v>
      </c>
      <c r="E311" s="3">
        <f>Baupläne!H311</f>
        <v>62</v>
      </c>
      <c r="F311" s="3">
        <f>Baupläne!I311</f>
        <v>9</v>
      </c>
      <c r="G311" s="3">
        <f>Baupläne!E311</f>
        <v>30</v>
      </c>
      <c r="H311" s="3">
        <f>Baupläne!F311</f>
        <v>240</v>
      </c>
      <c r="I311" s="3">
        <f>0.5*Baupläne!Y311</f>
        <v>1750</v>
      </c>
      <c r="J311" s="3">
        <f>Baupläne!G311</f>
        <v>2</v>
      </c>
      <c r="K311" s="3">
        <f>IF(L311&gt;0,INDEX(data_item!$A$1:$A$1994,MATCH(Baupläne!L311,data_item!$B$1:$B$1994,0),1),0)</f>
        <v>7</v>
      </c>
      <c r="L311" s="3">
        <f>Baupläne!K311</f>
        <v>10</v>
      </c>
      <c r="M311" s="3">
        <f>IF(N311&gt;0,INDEX(data_item!$A$1:$A$1994,MATCH(Baupläne!N311,data_item!$B$1:$B$994,0),1),0)</f>
        <v>101</v>
      </c>
      <c r="N311" s="3">
        <f>Baupläne!M311</f>
        <v>14</v>
      </c>
      <c r="O311" s="3">
        <f>IF(P311&gt;0,INDEX(data_item!$A$1:$A$1994,MATCH(Baupläne!P311,data_item!$B$1:$B$1994,0),1),0)</f>
        <v>0</v>
      </c>
      <c r="P311" s="3">
        <f>Baupläne!O311</f>
        <v>0</v>
      </c>
      <c r="Q311" s="3">
        <f>IF(R311&gt;0,INDEX(data_item!$A$1:$A$1994,MATCH(Baupläne!R311,data_item!$B$1:$B$1994,0),1),0)</f>
        <v>0</v>
      </c>
      <c r="R311" s="3">
        <f>Baupläne!Q311</f>
        <v>0</v>
      </c>
      <c r="S311" s="3">
        <f>IF(T311&gt;0,INDEX(data_item!$A$1:$A$1994,MATCH(Baupläne!T311,data_item!$B$1:$B$1994,0),1),0)</f>
        <v>0</v>
      </c>
      <c r="T311" s="3">
        <f>Baupläne!S311</f>
        <v>0</v>
      </c>
    </row>
    <row r="312" spans="1:20" x14ac:dyDescent="0.2">
      <c r="A312" s="3">
        <f>Baupläne!A312</f>
        <v>1420</v>
      </c>
      <c r="B312" s="3" t="str">
        <f>Baupläne!C312</f>
        <v>Eisen-Plattenstiefel</v>
      </c>
      <c r="C312" s="3">
        <f>Baupläne!B312</f>
        <v>1420</v>
      </c>
      <c r="D312" s="3">
        <f>Baupläne!J312</f>
        <v>0</v>
      </c>
      <c r="E312" s="3">
        <f>Baupläne!H312</f>
        <v>62</v>
      </c>
      <c r="F312" s="3">
        <f>Baupläne!I312</f>
        <v>9</v>
      </c>
      <c r="G312" s="3">
        <f>Baupläne!E312</f>
        <v>30</v>
      </c>
      <c r="H312" s="3">
        <f>Baupläne!F312</f>
        <v>180</v>
      </c>
      <c r="I312" s="3">
        <f>0.5*Baupläne!Y312</f>
        <v>1300</v>
      </c>
      <c r="J312" s="3">
        <f>Baupläne!G312</f>
        <v>2</v>
      </c>
      <c r="K312" s="3">
        <f>IF(L312&gt;0,INDEX(data_item!$A$1:$A$1994,MATCH(Baupläne!L312,data_item!$B$1:$B$1994,0),1),0)</f>
        <v>7</v>
      </c>
      <c r="L312" s="3">
        <f>Baupläne!K312</f>
        <v>7</v>
      </c>
      <c r="M312" s="3">
        <f>IF(N312&gt;0,INDEX(data_item!$A$1:$A$1994,MATCH(Baupläne!N312,data_item!$B$1:$B$994,0),1),0)</f>
        <v>101</v>
      </c>
      <c r="N312" s="3">
        <f>Baupläne!M312</f>
        <v>10</v>
      </c>
      <c r="O312" s="3">
        <f>IF(P312&gt;0,INDEX(data_item!$A$1:$A$1994,MATCH(Baupläne!P312,data_item!$B$1:$B$1994,0),1),0)</f>
        <v>0</v>
      </c>
      <c r="P312" s="3">
        <f>Baupläne!O312</f>
        <v>0</v>
      </c>
      <c r="Q312" s="3">
        <f>IF(R312&gt;0,INDEX(data_item!$A$1:$A$1994,MATCH(Baupläne!R312,data_item!$B$1:$B$1994,0),1),0)</f>
        <v>0</v>
      </c>
      <c r="R312" s="3">
        <f>Baupläne!Q312</f>
        <v>0</v>
      </c>
      <c r="S312" s="3">
        <f>IF(T312&gt;0,INDEX(data_item!$A$1:$A$1994,MATCH(Baupläne!T312,data_item!$B$1:$B$1994,0),1),0)</f>
        <v>0</v>
      </c>
      <c r="T312" s="3">
        <f>Baupläne!S312</f>
        <v>0</v>
      </c>
    </row>
    <row r="313" spans="1:20" x14ac:dyDescent="0.2">
      <c r="A313" s="3">
        <f>Baupläne!A313</f>
        <v>1421</v>
      </c>
      <c r="B313" s="3" t="str">
        <f>Baupläne!C313</f>
        <v>Sorandil-Kettenhaube</v>
      </c>
      <c r="C313" s="3">
        <f>Baupläne!B313</f>
        <v>1421</v>
      </c>
      <c r="D313" s="3">
        <f>Baupläne!J313</f>
        <v>0</v>
      </c>
      <c r="E313" s="3">
        <f>Baupläne!H313</f>
        <v>62</v>
      </c>
      <c r="F313" s="3">
        <f>Baupläne!I313</f>
        <v>10</v>
      </c>
      <c r="G313" s="3">
        <f>Baupläne!E313</f>
        <v>30</v>
      </c>
      <c r="H313" s="3">
        <f>Baupläne!F313</f>
        <v>240</v>
      </c>
      <c r="I313" s="3">
        <f>0.5*Baupläne!Y313</f>
        <v>2000</v>
      </c>
      <c r="J313" s="3">
        <f>Baupläne!G313</f>
        <v>3</v>
      </c>
      <c r="K313" s="3">
        <f>IF(L313&gt;0,INDEX(data_item!$A$1:$A$1994,MATCH(Baupläne!L313,data_item!$B$1:$B$1994,0),1),0)</f>
        <v>8</v>
      </c>
      <c r="L313" s="3">
        <f>Baupläne!K313</f>
        <v>7</v>
      </c>
      <c r="M313" s="3">
        <f>IF(N313&gt;0,INDEX(data_item!$A$1:$A$1994,MATCH(Baupläne!N313,data_item!$B$1:$B$994,0),1),0)</f>
        <v>101</v>
      </c>
      <c r="N313" s="3">
        <f>Baupläne!M313</f>
        <v>9</v>
      </c>
      <c r="O313" s="3">
        <f>IF(P313&gt;0,INDEX(data_item!$A$1:$A$1994,MATCH(Baupläne!P313,data_item!$B$1:$B$1994,0),1),0)</f>
        <v>106</v>
      </c>
      <c r="P313" s="3">
        <f>Baupläne!O313</f>
        <v>3</v>
      </c>
      <c r="Q313" s="3">
        <f>IF(R313&gt;0,INDEX(data_item!$A$1:$A$1994,MATCH(Baupläne!R313,data_item!$B$1:$B$1994,0),1),0)</f>
        <v>0</v>
      </c>
      <c r="R313" s="3">
        <f>Baupläne!Q313</f>
        <v>0</v>
      </c>
      <c r="S313" s="3">
        <f>IF(T313&gt;0,INDEX(data_item!$A$1:$A$1994,MATCH(Baupläne!T313,data_item!$B$1:$B$1994,0),1),0)</f>
        <v>0</v>
      </c>
      <c r="T313" s="3">
        <f>Baupläne!S313</f>
        <v>0</v>
      </c>
    </row>
    <row r="314" spans="1:20" x14ac:dyDescent="0.2">
      <c r="A314" s="3">
        <f>Baupläne!A314</f>
        <v>1422</v>
      </c>
      <c r="B314" s="3" t="str">
        <f>Baupläne!C314</f>
        <v>Sorandil-Kettenhemd</v>
      </c>
      <c r="C314" s="3">
        <f>Baupläne!B314</f>
        <v>1422</v>
      </c>
      <c r="D314" s="3">
        <f>Baupläne!J314</f>
        <v>0</v>
      </c>
      <c r="E314" s="3">
        <f>Baupläne!H314</f>
        <v>62</v>
      </c>
      <c r="F314" s="3">
        <f>Baupläne!I314</f>
        <v>10</v>
      </c>
      <c r="G314" s="3">
        <f>Baupläne!E314</f>
        <v>30</v>
      </c>
      <c r="H314" s="3">
        <f>Baupläne!F314</f>
        <v>360</v>
      </c>
      <c r="I314" s="3">
        <f>0.5*Baupläne!Y314</f>
        <v>3050</v>
      </c>
      <c r="J314" s="3">
        <f>Baupläne!G314</f>
        <v>3</v>
      </c>
      <c r="K314" s="3">
        <f>IF(L314&gt;0,INDEX(data_item!$A$1:$A$1994,MATCH(Baupläne!L314,data_item!$B$1:$B$1994,0),1),0)</f>
        <v>8</v>
      </c>
      <c r="L314" s="3">
        <f>Baupläne!K314</f>
        <v>11</v>
      </c>
      <c r="M314" s="3">
        <f>IF(N314&gt;0,INDEX(data_item!$A$1:$A$1994,MATCH(Baupläne!N314,data_item!$B$1:$B$994,0),1),0)</f>
        <v>101</v>
      </c>
      <c r="N314" s="3">
        <f>Baupläne!M314</f>
        <v>10</v>
      </c>
      <c r="O314" s="3">
        <f>IF(P314&gt;0,INDEX(data_item!$A$1:$A$1994,MATCH(Baupläne!P314,data_item!$B$1:$B$1994,0),1),0)</f>
        <v>106</v>
      </c>
      <c r="P314" s="3">
        <f>Baupläne!O314</f>
        <v>6</v>
      </c>
      <c r="Q314" s="3">
        <f>IF(R314&gt;0,INDEX(data_item!$A$1:$A$1994,MATCH(Baupläne!R314,data_item!$B$1:$B$1994,0),1),0)</f>
        <v>0</v>
      </c>
      <c r="R314" s="3">
        <f>Baupläne!Q314</f>
        <v>0</v>
      </c>
      <c r="S314" s="3">
        <f>IF(T314&gt;0,INDEX(data_item!$A$1:$A$1994,MATCH(Baupläne!T314,data_item!$B$1:$B$1994,0),1),0)</f>
        <v>0</v>
      </c>
      <c r="T314" s="3">
        <f>Baupläne!S314</f>
        <v>0</v>
      </c>
    </row>
    <row r="315" spans="1:20" x14ac:dyDescent="0.2">
      <c r="A315" s="3">
        <f>Baupläne!A315</f>
        <v>1423</v>
      </c>
      <c r="B315" s="3" t="str">
        <f>Baupläne!C315</f>
        <v>Sorandil-Kettenhandschuhe</v>
      </c>
      <c r="C315" s="3">
        <f>Baupläne!B315</f>
        <v>1423</v>
      </c>
      <c r="D315" s="3">
        <f>Baupläne!J315</f>
        <v>0</v>
      </c>
      <c r="E315" s="3">
        <f>Baupläne!H315</f>
        <v>62</v>
      </c>
      <c r="F315" s="3">
        <f>Baupläne!I315</f>
        <v>11</v>
      </c>
      <c r="G315" s="3">
        <f>Baupläne!E315</f>
        <v>30</v>
      </c>
      <c r="H315" s="3">
        <f>Baupläne!F315</f>
        <v>180</v>
      </c>
      <c r="I315" s="3">
        <f>0.5*Baupläne!Y315</f>
        <v>1750</v>
      </c>
      <c r="J315" s="3">
        <f>Baupläne!G315</f>
        <v>3</v>
      </c>
      <c r="K315" s="3">
        <f>IF(L315&gt;0,INDEX(data_item!$A$1:$A$1994,MATCH(Baupläne!L315,data_item!$B$1:$B$1994,0),1),0)</f>
        <v>8</v>
      </c>
      <c r="L315" s="3">
        <f>Baupläne!K315</f>
        <v>6</v>
      </c>
      <c r="M315" s="3">
        <f>IF(N315&gt;0,INDEX(data_item!$A$1:$A$1994,MATCH(Baupläne!N315,data_item!$B$1:$B$994,0),1),0)</f>
        <v>101</v>
      </c>
      <c r="N315" s="3">
        <f>Baupläne!M315</f>
        <v>7</v>
      </c>
      <c r="O315" s="3">
        <f>IF(P315&gt;0,INDEX(data_item!$A$1:$A$1994,MATCH(Baupläne!P315,data_item!$B$1:$B$1994,0),1),0)</f>
        <v>106</v>
      </c>
      <c r="P315" s="3">
        <f>Baupläne!O315</f>
        <v>3</v>
      </c>
      <c r="Q315" s="3">
        <f>IF(R315&gt;0,INDEX(data_item!$A$1:$A$1994,MATCH(Baupläne!R315,data_item!$B$1:$B$1994,0),1),0)</f>
        <v>0</v>
      </c>
      <c r="R315" s="3">
        <f>Baupläne!Q315</f>
        <v>0</v>
      </c>
      <c r="S315" s="3">
        <f>IF(T315&gt;0,INDEX(data_item!$A$1:$A$1994,MATCH(Baupläne!T315,data_item!$B$1:$B$1994,0),1),0)</f>
        <v>0</v>
      </c>
      <c r="T315" s="3">
        <f>Baupläne!S315</f>
        <v>0</v>
      </c>
    </row>
    <row r="316" spans="1:20" x14ac:dyDescent="0.2">
      <c r="A316" s="3">
        <f>Baupläne!A316</f>
        <v>1424</v>
      </c>
      <c r="B316" s="3" t="str">
        <f>Baupläne!C316</f>
        <v>Sorandil-Kettenbeinlinge</v>
      </c>
      <c r="C316" s="3">
        <f>Baupläne!B316</f>
        <v>1424</v>
      </c>
      <c r="D316" s="3">
        <f>Baupläne!J316</f>
        <v>0</v>
      </c>
      <c r="E316" s="3">
        <f>Baupläne!H316</f>
        <v>62</v>
      </c>
      <c r="F316" s="3">
        <f>Baupläne!I316</f>
        <v>11</v>
      </c>
      <c r="G316" s="3">
        <f>Baupläne!E316</f>
        <v>30</v>
      </c>
      <c r="H316" s="3">
        <f>Baupläne!F316</f>
        <v>240</v>
      </c>
      <c r="I316" s="3">
        <f>0.5*Baupläne!Y316</f>
        <v>2350</v>
      </c>
      <c r="J316" s="3">
        <f>Baupläne!G316</f>
        <v>3</v>
      </c>
      <c r="K316" s="3">
        <f>IF(L316&gt;0,INDEX(data_item!$A$1:$A$1994,MATCH(Baupläne!L316,data_item!$B$1:$B$1994,0),1),0)</f>
        <v>8</v>
      </c>
      <c r="L316" s="3">
        <f>Baupläne!K316</f>
        <v>8</v>
      </c>
      <c r="M316" s="3">
        <f>IF(N316&gt;0,INDEX(data_item!$A$1:$A$1994,MATCH(Baupläne!N316,data_item!$B$1:$B$994,0),1),0)</f>
        <v>101</v>
      </c>
      <c r="N316" s="3">
        <f>Baupläne!M316</f>
        <v>12</v>
      </c>
      <c r="O316" s="3">
        <f>IF(P316&gt;0,INDEX(data_item!$A$1:$A$1994,MATCH(Baupläne!P316,data_item!$B$1:$B$1994,0),1),0)</f>
        <v>106</v>
      </c>
      <c r="P316" s="3">
        <f>Baupläne!O316</f>
        <v>3</v>
      </c>
      <c r="Q316" s="3">
        <f>IF(R316&gt;0,INDEX(data_item!$A$1:$A$1994,MATCH(Baupläne!R316,data_item!$B$1:$B$1994,0),1),0)</f>
        <v>0</v>
      </c>
      <c r="R316" s="3">
        <f>Baupläne!Q316</f>
        <v>0</v>
      </c>
      <c r="S316" s="3">
        <f>IF(T316&gt;0,INDEX(data_item!$A$1:$A$1994,MATCH(Baupläne!T316,data_item!$B$1:$B$1994,0),1),0)</f>
        <v>0</v>
      </c>
      <c r="T316" s="3">
        <f>Baupläne!S316</f>
        <v>0</v>
      </c>
    </row>
    <row r="317" spans="1:20" x14ac:dyDescent="0.2">
      <c r="A317" s="3">
        <f>Baupläne!A317</f>
        <v>1425</v>
      </c>
      <c r="B317" s="3" t="str">
        <f>Baupläne!C317</f>
        <v>Sorandil-Kettenstiefel</v>
      </c>
      <c r="C317" s="3">
        <f>Baupläne!B317</f>
        <v>1425</v>
      </c>
      <c r="D317" s="3">
        <f>Baupläne!J317</f>
        <v>0</v>
      </c>
      <c r="E317" s="3">
        <f>Baupläne!H317</f>
        <v>62</v>
      </c>
      <c r="F317" s="3">
        <f>Baupläne!I317</f>
        <v>11</v>
      </c>
      <c r="G317" s="3">
        <f>Baupläne!E317</f>
        <v>30</v>
      </c>
      <c r="H317" s="3">
        <f>Baupläne!F317</f>
        <v>180</v>
      </c>
      <c r="I317" s="3">
        <f>0.5*Baupläne!Y317</f>
        <v>1750</v>
      </c>
      <c r="J317" s="3">
        <f>Baupläne!G317</f>
        <v>3</v>
      </c>
      <c r="K317" s="3">
        <f>IF(L317&gt;0,INDEX(data_item!$A$1:$A$1994,MATCH(Baupläne!L317,data_item!$B$1:$B$1994,0),1),0)</f>
        <v>8</v>
      </c>
      <c r="L317" s="3">
        <f>Baupläne!K317</f>
        <v>6</v>
      </c>
      <c r="M317" s="3">
        <f>IF(N317&gt;0,INDEX(data_item!$A$1:$A$1994,MATCH(Baupläne!N317,data_item!$B$1:$B$994,0),1),0)</f>
        <v>101</v>
      </c>
      <c r="N317" s="3">
        <f>Baupläne!M317</f>
        <v>7</v>
      </c>
      <c r="O317" s="3">
        <f>IF(P317&gt;0,INDEX(data_item!$A$1:$A$1994,MATCH(Baupläne!P317,data_item!$B$1:$B$1994,0),1),0)</f>
        <v>106</v>
      </c>
      <c r="P317" s="3">
        <f>Baupläne!O317</f>
        <v>3</v>
      </c>
      <c r="Q317" s="3">
        <f>IF(R317&gt;0,INDEX(data_item!$A$1:$A$1994,MATCH(Baupläne!R317,data_item!$B$1:$B$1994,0),1),0)</f>
        <v>0</v>
      </c>
      <c r="R317" s="3">
        <f>Baupläne!Q317</f>
        <v>0</v>
      </c>
      <c r="S317" s="3">
        <f>IF(T317&gt;0,INDEX(data_item!$A$1:$A$1994,MATCH(Baupläne!T317,data_item!$B$1:$B$1994,0),1),0)</f>
        <v>0</v>
      </c>
      <c r="T317" s="3">
        <f>Baupläne!S317</f>
        <v>0</v>
      </c>
    </row>
    <row r="318" spans="1:20" x14ac:dyDescent="0.2">
      <c r="A318" s="3">
        <f>Baupläne!A318</f>
        <v>1426</v>
      </c>
      <c r="B318" s="3" t="str">
        <f>Baupläne!C318</f>
        <v>Sorandil-Plattenhelm</v>
      </c>
      <c r="C318" s="3">
        <f>Baupläne!B318</f>
        <v>1426</v>
      </c>
      <c r="D318" s="3">
        <f>Baupläne!J318</f>
        <v>0</v>
      </c>
      <c r="E318" s="3">
        <f>Baupläne!H318</f>
        <v>62</v>
      </c>
      <c r="F318" s="3">
        <f>Baupläne!I318</f>
        <v>13</v>
      </c>
      <c r="G318" s="3">
        <f>Baupläne!E318</f>
        <v>30</v>
      </c>
      <c r="H318" s="3">
        <f>Baupläne!F318</f>
        <v>240</v>
      </c>
      <c r="I318" s="3">
        <f>0.5*Baupläne!Y318</f>
        <v>3100</v>
      </c>
      <c r="J318" s="3">
        <f>Baupläne!G318</f>
        <v>3</v>
      </c>
      <c r="K318" s="3">
        <f>IF(L318&gt;0,INDEX(data_item!$A$1:$A$1994,MATCH(Baupläne!L318,data_item!$B$1:$B$1994,0),1),0)</f>
        <v>8</v>
      </c>
      <c r="L318" s="3">
        <f>Baupläne!K318</f>
        <v>11</v>
      </c>
      <c r="M318" s="3">
        <f>IF(N318&gt;0,INDEX(data_item!$A$1:$A$1994,MATCH(Baupläne!N318,data_item!$B$1:$B$994,0),1),0)</f>
        <v>101</v>
      </c>
      <c r="N318" s="3">
        <f>Baupläne!M318</f>
        <v>8</v>
      </c>
      <c r="O318" s="3">
        <f>IF(P318&gt;0,INDEX(data_item!$A$1:$A$1994,MATCH(Baupläne!P318,data_item!$B$1:$B$1994,0),1),0)</f>
        <v>106</v>
      </c>
      <c r="P318" s="3">
        <f>Baupläne!O318</f>
        <v>7</v>
      </c>
      <c r="Q318" s="3">
        <f>IF(R318&gt;0,INDEX(data_item!$A$1:$A$1994,MATCH(Baupläne!R318,data_item!$B$1:$B$1994,0),1),0)</f>
        <v>0</v>
      </c>
      <c r="R318" s="3">
        <f>Baupläne!Q318</f>
        <v>0</v>
      </c>
      <c r="S318" s="3">
        <f>IF(T318&gt;0,INDEX(data_item!$A$1:$A$1994,MATCH(Baupläne!T318,data_item!$B$1:$B$1994,0),1),0)</f>
        <v>0</v>
      </c>
      <c r="T318" s="3">
        <f>Baupläne!S318</f>
        <v>0</v>
      </c>
    </row>
    <row r="319" spans="1:20" x14ac:dyDescent="0.2">
      <c r="A319" s="3">
        <f>Baupläne!A319</f>
        <v>1427</v>
      </c>
      <c r="B319" s="3" t="str">
        <f>Baupläne!C319</f>
        <v>Sorandil-Plattenpanzer</v>
      </c>
      <c r="C319" s="3">
        <f>Baupläne!B319</f>
        <v>1427</v>
      </c>
      <c r="D319" s="3">
        <f>Baupläne!J319</f>
        <v>0</v>
      </c>
      <c r="E319" s="3">
        <f>Baupläne!H319</f>
        <v>62</v>
      </c>
      <c r="F319" s="3">
        <f>Baupläne!I319</f>
        <v>13</v>
      </c>
      <c r="G319" s="3">
        <f>Baupläne!E319</f>
        <v>30</v>
      </c>
      <c r="H319" s="3">
        <f>Baupläne!F319</f>
        <v>360</v>
      </c>
      <c r="I319" s="3">
        <f>0.5*Baupläne!Y319</f>
        <v>4600</v>
      </c>
      <c r="J319" s="3">
        <f>Baupläne!G319</f>
        <v>3</v>
      </c>
      <c r="K319" s="3">
        <f>IF(L319&gt;0,INDEX(data_item!$A$1:$A$1994,MATCH(Baupläne!L319,data_item!$B$1:$B$1994,0),1),0)</f>
        <v>8</v>
      </c>
      <c r="L319" s="3">
        <f>Baupläne!K319</f>
        <v>17</v>
      </c>
      <c r="M319" s="3">
        <f>IF(N319&gt;0,INDEX(data_item!$A$1:$A$1994,MATCH(Baupläne!N319,data_item!$B$1:$B$994,0),1),0)</f>
        <v>101</v>
      </c>
      <c r="N319" s="3">
        <f>Baupläne!M319</f>
        <v>13</v>
      </c>
      <c r="O319" s="3">
        <f>IF(P319&gt;0,INDEX(data_item!$A$1:$A$1994,MATCH(Baupläne!P319,data_item!$B$1:$B$1994,0),1),0)</f>
        <v>106</v>
      </c>
      <c r="P319" s="3">
        <f>Baupläne!O319</f>
        <v>10</v>
      </c>
      <c r="Q319" s="3">
        <f>IF(R319&gt;0,INDEX(data_item!$A$1:$A$1994,MATCH(Baupläne!R319,data_item!$B$1:$B$1994,0),1),0)</f>
        <v>0</v>
      </c>
      <c r="R319" s="3">
        <f>Baupläne!Q319</f>
        <v>0</v>
      </c>
      <c r="S319" s="3">
        <f>IF(T319&gt;0,INDEX(data_item!$A$1:$A$1994,MATCH(Baupläne!T319,data_item!$B$1:$B$1994,0),1),0)</f>
        <v>0</v>
      </c>
      <c r="T319" s="3">
        <f>Baupläne!S319</f>
        <v>0</v>
      </c>
    </row>
    <row r="320" spans="1:20" x14ac:dyDescent="0.2">
      <c r="A320" s="3">
        <f>Baupläne!A320</f>
        <v>1428</v>
      </c>
      <c r="B320" s="3" t="str">
        <f>Baupläne!C320</f>
        <v>Sorandil-Plattenhandschuhe</v>
      </c>
      <c r="C320" s="3">
        <f>Baupläne!B320</f>
        <v>1428</v>
      </c>
      <c r="D320" s="3">
        <f>Baupläne!J320</f>
        <v>0</v>
      </c>
      <c r="E320" s="3">
        <f>Baupläne!H320</f>
        <v>62</v>
      </c>
      <c r="F320" s="3">
        <f>Baupläne!I320</f>
        <v>14</v>
      </c>
      <c r="G320" s="3">
        <f>Baupläne!E320</f>
        <v>30</v>
      </c>
      <c r="H320" s="3">
        <f>Baupläne!F320</f>
        <v>180</v>
      </c>
      <c r="I320" s="3">
        <f>0.5*Baupläne!Y320</f>
        <v>2650</v>
      </c>
      <c r="J320" s="3">
        <f>Baupläne!G320</f>
        <v>3</v>
      </c>
      <c r="K320" s="3">
        <f>IF(L320&gt;0,INDEX(data_item!$A$1:$A$1994,MATCH(Baupläne!L320,data_item!$B$1:$B$1994,0),1),0)</f>
        <v>8</v>
      </c>
      <c r="L320" s="3">
        <f>Baupläne!K320</f>
        <v>10</v>
      </c>
      <c r="M320" s="3">
        <f>IF(N320&gt;0,INDEX(data_item!$A$1:$A$1994,MATCH(Baupläne!N320,data_item!$B$1:$B$994,0),1),0)</f>
        <v>101</v>
      </c>
      <c r="N320" s="3">
        <f>Baupläne!M320</f>
        <v>12</v>
      </c>
      <c r="O320" s="3">
        <f>IF(P320&gt;0,INDEX(data_item!$A$1:$A$1994,MATCH(Baupläne!P320,data_item!$B$1:$B$1994,0),1),0)</f>
        <v>106</v>
      </c>
      <c r="P320" s="3">
        <f>Baupläne!O320</f>
        <v>4</v>
      </c>
      <c r="Q320" s="3">
        <f>IF(R320&gt;0,INDEX(data_item!$A$1:$A$1994,MATCH(Baupläne!R320,data_item!$B$1:$B$1994,0),1),0)</f>
        <v>0</v>
      </c>
      <c r="R320" s="3">
        <f>Baupläne!Q320</f>
        <v>0</v>
      </c>
      <c r="S320" s="3">
        <f>IF(T320&gt;0,INDEX(data_item!$A$1:$A$1994,MATCH(Baupläne!T320,data_item!$B$1:$B$1994,0),1),0)</f>
        <v>0</v>
      </c>
      <c r="T320" s="3">
        <f>Baupläne!S320</f>
        <v>0</v>
      </c>
    </row>
    <row r="321" spans="1:20" x14ac:dyDescent="0.2">
      <c r="A321" s="3">
        <f>Baupläne!A321</f>
        <v>1429</v>
      </c>
      <c r="B321" s="3" t="str">
        <f>Baupläne!C321</f>
        <v>Sorandil-Plattenbeinlinge</v>
      </c>
      <c r="C321" s="3">
        <f>Baupläne!B321</f>
        <v>1429</v>
      </c>
      <c r="D321" s="3">
        <f>Baupläne!J321</f>
        <v>0</v>
      </c>
      <c r="E321" s="3">
        <f>Baupläne!H321</f>
        <v>62</v>
      </c>
      <c r="F321" s="3">
        <f>Baupläne!I321</f>
        <v>14</v>
      </c>
      <c r="G321" s="3">
        <f>Baupläne!E321</f>
        <v>30</v>
      </c>
      <c r="H321" s="3">
        <f>Baupläne!F321</f>
        <v>240</v>
      </c>
      <c r="I321" s="3">
        <f>0.5*Baupläne!Y321</f>
        <v>3550</v>
      </c>
      <c r="J321" s="3">
        <f>Baupläne!G321</f>
        <v>3</v>
      </c>
      <c r="K321" s="3">
        <f>IF(L321&gt;0,INDEX(data_item!$A$1:$A$1994,MATCH(Baupläne!L321,data_item!$B$1:$B$1994,0),1),0)</f>
        <v>8</v>
      </c>
      <c r="L321" s="3">
        <f>Baupläne!K321</f>
        <v>13</v>
      </c>
      <c r="M321" s="3">
        <f>IF(N321&gt;0,INDEX(data_item!$A$1:$A$1994,MATCH(Baupläne!N321,data_item!$B$1:$B$994,0),1),0)</f>
        <v>101</v>
      </c>
      <c r="N321" s="3">
        <f>Baupläne!M321</f>
        <v>12</v>
      </c>
      <c r="O321" s="3">
        <f>IF(P321&gt;0,INDEX(data_item!$A$1:$A$1994,MATCH(Baupläne!P321,data_item!$B$1:$B$1994,0),1),0)</f>
        <v>106</v>
      </c>
      <c r="P321" s="3">
        <f>Baupläne!O321</f>
        <v>7</v>
      </c>
      <c r="Q321" s="3">
        <f>IF(R321&gt;0,INDEX(data_item!$A$1:$A$1994,MATCH(Baupläne!R321,data_item!$B$1:$B$1994,0),1),0)</f>
        <v>0</v>
      </c>
      <c r="R321" s="3">
        <f>Baupläne!Q321</f>
        <v>0</v>
      </c>
      <c r="S321" s="3">
        <f>IF(T321&gt;0,INDEX(data_item!$A$1:$A$1994,MATCH(Baupläne!T321,data_item!$B$1:$B$1994,0),1),0)</f>
        <v>0</v>
      </c>
      <c r="T321" s="3">
        <f>Baupläne!S321</f>
        <v>0</v>
      </c>
    </row>
    <row r="322" spans="1:20" x14ac:dyDescent="0.2">
      <c r="A322" s="3">
        <f>Baupläne!A322</f>
        <v>1430</v>
      </c>
      <c r="B322" s="3" t="str">
        <f>Baupläne!C322</f>
        <v>Sorandil-Plattenstiefel</v>
      </c>
      <c r="C322" s="3">
        <f>Baupläne!B322</f>
        <v>1430</v>
      </c>
      <c r="D322" s="3">
        <f>Baupläne!J322</f>
        <v>0</v>
      </c>
      <c r="E322" s="3">
        <f>Baupläne!H322</f>
        <v>62</v>
      </c>
      <c r="F322" s="3">
        <f>Baupläne!I322</f>
        <v>14</v>
      </c>
      <c r="G322" s="3">
        <f>Baupläne!E322</f>
        <v>30</v>
      </c>
      <c r="H322" s="3">
        <f>Baupläne!F322</f>
        <v>180</v>
      </c>
      <c r="I322" s="3">
        <f>0.5*Baupläne!Y322</f>
        <v>2650</v>
      </c>
      <c r="J322" s="3">
        <f>Baupläne!G322</f>
        <v>3</v>
      </c>
      <c r="K322" s="3">
        <f>IF(L322&gt;0,INDEX(data_item!$A$1:$A$1994,MATCH(Baupläne!L322,data_item!$B$1:$B$1994,0),1),0)</f>
        <v>8</v>
      </c>
      <c r="L322" s="3">
        <f>Baupläne!K322</f>
        <v>10</v>
      </c>
      <c r="M322" s="3">
        <f>IF(N322&gt;0,INDEX(data_item!$A$1:$A$1994,MATCH(Baupläne!N322,data_item!$B$1:$B$994,0),1),0)</f>
        <v>101</v>
      </c>
      <c r="N322" s="3">
        <f>Baupläne!M322</f>
        <v>12</v>
      </c>
      <c r="O322" s="3">
        <f>IF(P322&gt;0,INDEX(data_item!$A$1:$A$1994,MATCH(Baupläne!P322,data_item!$B$1:$B$1994,0),1),0)</f>
        <v>106</v>
      </c>
      <c r="P322" s="3">
        <f>Baupläne!O322</f>
        <v>4</v>
      </c>
      <c r="Q322" s="3">
        <f>IF(R322&gt;0,INDEX(data_item!$A$1:$A$1994,MATCH(Baupläne!R322,data_item!$B$1:$B$1994,0),1),0)</f>
        <v>0</v>
      </c>
      <c r="R322" s="3">
        <f>Baupläne!Q322</f>
        <v>0</v>
      </c>
      <c r="S322" s="3">
        <f>IF(T322&gt;0,INDEX(data_item!$A$1:$A$1994,MATCH(Baupläne!T322,data_item!$B$1:$B$1994,0),1),0)</f>
        <v>0</v>
      </c>
      <c r="T322" s="3">
        <f>Baupläne!S322</f>
        <v>0</v>
      </c>
    </row>
    <row r="323" spans="1:20" x14ac:dyDescent="0.2">
      <c r="A323" s="3">
        <f>Baupläne!A323</f>
        <v>1431</v>
      </c>
      <c r="B323" s="3" t="str">
        <f>Baupläne!C323</f>
        <v>Adamant-Kettenhaube</v>
      </c>
      <c r="C323" s="3">
        <f>Baupläne!B323</f>
        <v>1431</v>
      </c>
      <c r="D323" s="3">
        <f>Baupläne!J323</f>
        <v>0</v>
      </c>
      <c r="E323" s="3">
        <f>Baupläne!H323</f>
        <v>62</v>
      </c>
      <c r="F323" s="3">
        <f>Baupläne!I323</f>
        <v>15</v>
      </c>
      <c r="G323" s="3">
        <f>Baupläne!E323</f>
        <v>30</v>
      </c>
      <c r="H323" s="3">
        <f>Baupläne!F323</f>
        <v>240</v>
      </c>
      <c r="I323" s="3">
        <f>0.5*Baupläne!Y323</f>
        <v>4050</v>
      </c>
      <c r="J323" s="3">
        <f>Baupläne!G323</f>
        <v>4</v>
      </c>
      <c r="K323" s="3">
        <f>IF(L323&gt;0,INDEX(data_item!$A$1:$A$1994,MATCH(Baupläne!L323,data_item!$B$1:$B$1994,0),1),0)</f>
        <v>9</v>
      </c>
      <c r="L323" s="3">
        <f>Baupläne!K323</f>
        <v>10</v>
      </c>
      <c r="M323" s="3">
        <f>IF(N323&gt;0,INDEX(data_item!$A$1:$A$1994,MATCH(Baupläne!N323,data_item!$B$1:$B$994,0),1),0)</f>
        <v>101</v>
      </c>
      <c r="N323" s="3">
        <f>Baupläne!M323</f>
        <v>8</v>
      </c>
      <c r="O323" s="3">
        <f>IF(P323&gt;0,INDEX(data_item!$A$1:$A$1994,MATCH(Baupläne!P323,data_item!$B$1:$B$1994,0),1),0)</f>
        <v>106</v>
      </c>
      <c r="P323" s="3">
        <f>Baupläne!O323</f>
        <v>10</v>
      </c>
      <c r="Q323" s="3">
        <f>IF(R323&gt;0,INDEX(data_item!$A$1:$A$1994,MATCH(Baupläne!R323,data_item!$B$1:$B$1994,0),1),0)</f>
        <v>0</v>
      </c>
      <c r="R323" s="3">
        <f>Baupläne!Q323</f>
        <v>0</v>
      </c>
      <c r="S323" s="3">
        <f>IF(T323&gt;0,INDEX(data_item!$A$1:$A$1994,MATCH(Baupläne!T323,data_item!$B$1:$B$1994,0),1),0)</f>
        <v>0</v>
      </c>
      <c r="T323" s="3">
        <f>Baupläne!S323</f>
        <v>0</v>
      </c>
    </row>
    <row r="324" spans="1:20" x14ac:dyDescent="0.2">
      <c r="A324" s="3">
        <f>Baupläne!A324</f>
        <v>1432</v>
      </c>
      <c r="B324" s="3" t="str">
        <f>Baupläne!C324</f>
        <v>Adamant-Kettenhemd</v>
      </c>
      <c r="C324" s="3">
        <f>Baupläne!B324</f>
        <v>1432</v>
      </c>
      <c r="D324" s="3">
        <f>Baupläne!J324</f>
        <v>0</v>
      </c>
      <c r="E324" s="3">
        <f>Baupläne!H324</f>
        <v>62</v>
      </c>
      <c r="F324" s="3">
        <f>Baupläne!I324</f>
        <v>15</v>
      </c>
      <c r="G324" s="3">
        <f>Baupläne!E324</f>
        <v>30</v>
      </c>
      <c r="H324" s="3">
        <f>Baupläne!F324</f>
        <v>360</v>
      </c>
      <c r="I324" s="3">
        <f>0.5*Baupläne!Y324</f>
        <v>6100</v>
      </c>
      <c r="J324" s="3">
        <f>Baupläne!G324</f>
        <v>4</v>
      </c>
      <c r="K324" s="3">
        <f>IF(L324&gt;0,INDEX(data_item!$A$1:$A$1994,MATCH(Baupläne!L324,data_item!$B$1:$B$1994,0),1),0)</f>
        <v>9</v>
      </c>
      <c r="L324" s="3">
        <f>Baupläne!K324</f>
        <v>15</v>
      </c>
      <c r="M324" s="3">
        <f>IF(N324&gt;0,INDEX(data_item!$A$1:$A$1994,MATCH(Baupläne!N324,data_item!$B$1:$B$994,0),1),0)</f>
        <v>101</v>
      </c>
      <c r="N324" s="3">
        <f>Baupläne!M324</f>
        <v>10</v>
      </c>
      <c r="O324" s="3">
        <f>IF(P324&gt;0,INDEX(data_item!$A$1:$A$1994,MATCH(Baupläne!P324,data_item!$B$1:$B$1994,0),1),0)</f>
        <v>106</v>
      </c>
      <c r="P324" s="3">
        <f>Baupläne!O324</f>
        <v>16</v>
      </c>
      <c r="Q324" s="3">
        <f>IF(R324&gt;0,INDEX(data_item!$A$1:$A$1994,MATCH(Baupläne!R324,data_item!$B$1:$B$1994,0),1),0)</f>
        <v>0</v>
      </c>
      <c r="R324" s="3">
        <f>Baupläne!Q324</f>
        <v>0</v>
      </c>
      <c r="S324" s="3">
        <f>IF(T324&gt;0,INDEX(data_item!$A$1:$A$1994,MATCH(Baupläne!T324,data_item!$B$1:$B$1994,0),1),0)</f>
        <v>0</v>
      </c>
      <c r="T324" s="3">
        <f>Baupläne!S324</f>
        <v>0</v>
      </c>
    </row>
    <row r="325" spans="1:20" x14ac:dyDescent="0.2">
      <c r="A325" s="3">
        <f>Baupläne!A325</f>
        <v>1433</v>
      </c>
      <c r="B325" s="3" t="str">
        <f>Baupläne!C325</f>
        <v>Adamant-Kettenhandschuhe</v>
      </c>
      <c r="C325" s="3">
        <f>Baupläne!B325</f>
        <v>1433</v>
      </c>
      <c r="D325" s="3">
        <f>Baupläne!J325</f>
        <v>0</v>
      </c>
      <c r="E325" s="3">
        <f>Baupläne!H325</f>
        <v>62</v>
      </c>
      <c r="F325" s="3">
        <f>Baupläne!I325</f>
        <v>16</v>
      </c>
      <c r="G325" s="3">
        <f>Baupläne!E325</f>
        <v>30</v>
      </c>
      <c r="H325" s="3">
        <f>Baupläne!F325</f>
        <v>180</v>
      </c>
      <c r="I325" s="3">
        <f>0.5*Baupläne!Y325</f>
        <v>3500</v>
      </c>
      <c r="J325" s="3">
        <f>Baupläne!G325</f>
        <v>4</v>
      </c>
      <c r="K325" s="3">
        <f>IF(L325&gt;0,INDEX(data_item!$A$1:$A$1994,MATCH(Baupläne!L325,data_item!$B$1:$B$1994,0),1),0)</f>
        <v>9</v>
      </c>
      <c r="L325" s="3">
        <f>Baupläne!K325</f>
        <v>8</v>
      </c>
      <c r="M325" s="3">
        <f>IF(N325&gt;0,INDEX(data_item!$A$1:$A$1994,MATCH(Baupläne!N325,data_item!$B$1:$B$994,0),1),0)</f>
        <v>101</v>
      </c>
      <c r="N325" s="3">
        <f>Baupläne!M325</f>
        <v>9</v>
      </c>
      <c r="O325" s="3">
        <f>IF(P325&gt;0,INDEX(data_item!$A$1:$A$1994,MATCH(Baupläne!P325,data_item!$B$1:$B$1994,0),1),0)</f>
        <v>106</v>
      </c>
      <c r="P325" s="3">
        <f>Baupläne!O325</f>
        <v>8</v>
      </c>
      <c r="Q325" s="3">
        <f>IF(R325&gt;0,INDEX(data_item!$A$1:$A$1994,MATCH(Baupläne!R325,data_item!$B$1:$B$1994,0),1),0)</f>
        <v>0</v>
      </c>
      <c r="R325" s="3">
        <f>Baupläne!Q325</f>
        <v>0</v>
      </c>
      <c r="S325" s="3">
        <f>IF(T325&gt;0,INDEX(data_item!$A$1:$A$1994,MATCH(Baupläne!T325,data_item!$B$1:$B$1994,0),1),0)</f>
        <v>0</v>
      </c>
      <c r="T325" s="3">
        <f>Baupläne!S325</f>
        <v>0</v>
      </c>
    </row>
    <row r="326" spans="1:20" x14ac:dyDescent="0.2">
      <c r="A326" s="3">
        <f>Baupläne!A326</f>
        <v>1434</v>
      </c>
      <c r="B326" s="3" t="str">
        <f>Baupläne!C326</f>
        <v>Adamant-Kettenbeinlinge</v>
      </c>
      <c r="C326" s="3">
        <f>Baupläne!B326</f>
        <v>1434</v>
      </c>
      <c r="D326" s="3">
        <f>Baupläne!J326</f>
        <v>0</v>
      </c>
      <c r="E326" s="3">
        <f>Baupläne!H326</f>
        <v>62</v>
      </c>
      <c r="F326" s="3">
        <f>Baupläne!I326</f>
        <v>16</v>
      </c>
      <c r="G326" s="3">
        <f>Baupläne!E326</f>
        <v>30</v>
      </c>
      <c r="H326" s="3">
        <f>Baupläne!F326</f>
        <v>240</v>
      </c>
      <c r="I326" s="3">
        <f>0.5*Baupläne!Y326</f>
        <v>4700</v>
      </c>
      <c r="J326" s="3">
        <f>Baupläne!G326</f>
        <v>4</v>
      </c>
      <c r="K326" s="3">
        <f>IF(L326&gt;0,INDEX(data_item!$A$1:$A$1994,MATCH(Baupläne!L326,data_item!$B$1:$B$1994,0),1),0)</f>
        <v>9</v>
      </c>
      <c r="L326" s="3">
        <f>Baupläne!K326</f>
        <v>11</v>
      </c>
      <c r="M326" s="3">
        <f>IF(N326&gt;0,INDEX(data_item!$A$1:$A$1994,MATCH(Baupläne!N326,data_item!$B$1:$B$994,0),1),0)</f>
        <v>101</v>
      </c>
      <c r="N326" s="3">
        <f>Baupläne!M326</f>
        <v>9</v>
      </c>
      <c r="O326" s="3">
        <f>IF(P326&gt;0,INDEX(data_item!$A$1:$A$1994,MATCH(Baupläne!P326,data_item!$B$1:$B$1994,0),1),0)</f>
        <v>106</v>
      </c>
      <c r="P326" s="3">
        <f>Baupläne!O326</f>
        <v>12</v>
      </c>
      <c r="Q326" s="3">
        <f>IF(R326&gt;0,INDEX(data_item!$A$1:$A$1994,MATCH(Baupläne!R326,data_item!$B$1:$B$1994,0),1),0)</f>
        <v>0</v>
      </c>
      <c r="R326" s="3">
        <f>Baupläne!Q326</f>
        <v>0</v>
      </c>
      <c r="S326" s="3">
        <f>IF(T326&gt;0,INDEX(data_item!$A$1:$A$1994,MATCH(Baupläne!T326,data_item!$B$1:$B$1994,0),1),0)</f>
        <v>0</v>
      </c>
      <c r="T326" s="3">
        <f>Baupläne!S326</f>
        <v>0</v>
      </c>
    </row>
    <row r="327" spans="1:20" x14ac:dyDescent="0.2">
      <c r="A327" s="3">
        <f>Baupläne!A327</f>
        <v>1435</v>
      </c>
      <c r="B327" s="3" t="str">
        <f>Baupläne!C327</f>
        <v>Adamant-Kettenstiefel</v>
      </c>
      <c r="C327" s="3">
        <f>Baupläne!B327</f>
        <v>1435</v>
      </c>
      <c r="D327" s="3">
        <f>Baupläne!J327</f>
        <v>0</v>
      </c>
      <c r="E327" s="3">
        <f>Baupläne!H327</f>
        <v>62</v>
      </c>
      <c r="F327" s="3">
        <f>Baupläne!I327</f>
        <v>16</v>
      </c>
      <c r="G327" s="3">
        <f>Baupläne!E327</f>
        <v>30</v>
      </c>
      <c r="H327" s="3">
        <f>Baupläne!F327</f>
        <v>180</v>
      </c>
      <c r="I327" s="3">
        <f>0.5*Baupläne!Y327</f>
        <v>3500</v>
      </c>
      <c r="J327" s="3">
        <f>Baupläne!G327</f>
        <v>4</v>
      </c>
      <c r="K327" s="3">
        <f>IF(L327&gt;0,INDEX(data_item!$A$1:$A$1994,MATCH(Baupläne!L327,data_item!$B$1:$B$1994,0),1),0)</f>
        <v>9</v>
      </c>
      <c r="L327" s="3">
        <f>Baupläne!K327</f>
        <v>8</v>
      </c>
      <c r="M327" s="3">
        <f>IF(N327&gt;0,INDEX(data_item!$A$1:$A$1994,MATCH(Baupläne!N327,data_item!$B$1:$B$994,0),1),0)</f>
        <v>101</v>
      </c>
      <c r="N327" s="3">
        <f>Baupläne!M327</f>
        <v>9</v>
      </c>
      <c r="O327" s="3">
        <f>IF(P327&gt;0,INDEX(data_item!$A$1:$A$1994,MATCH(Baupläne!P327,data_item!$B$1:$B$1994,0),1),0)</f>
        <v>106</v>
      </c>
      <c r="P327" s="3">
        <f>Baupläne!O327</f>
        <v>8</v>
      </c>
      <c r="Q327" s="3">
        <f>IF(R327&gt;0,INDEX(data_item!$A$1:$A$1994,MATCH(Baupläne!R327,data_item!$B$1:$B$1994,0),1),0)</f>
        <v>0</v>
      </c>
      <c r="R327" s="3">
        <f>Baupläne!Q327</f>
        <v>0</v>
      </c>
      <c r="S327" s="3">
        <f>IF(T327&gt;0,INDEX(data_item!$A$1:$A$1994,MATCH(Baupläne!T327,data_item!$B$1:$B$1994,0),1),0)</f>
        <v>0</v>
      </c>
      <c r="T327" s="3">
        <f>Baupläne!S327</f>
        <v>0</v>
      </c>
    </row>
    <row r="328" spans="1:20" x14ac:dyDescent="0.2">
      <c r="A328" s="3">
        <f>Baupläne!A328</f>
        <v>1436</v>
      </c>
      <c r="B328" s="3" t="str">
        <f>Baupläne!C328</f>
        <v>Adamant-Plattenhelm</v>
      </c>
      <c r="C328" s="3">
        <f>Baupläne!B328</f>
        <v>1436</v>
      </c>
      <c r="D328" s="3">
        <f>Baupläne!J328</f>
        <v>0</v>
      </c>
      <c r="E328" s="3">
        <f>Baupläne!H328</f>
        <v>62</v>
      </c>
      <c r="F328" s="3">
        <f>Baupläne!I328</f>
        <v>18</v>
      </c>
      <c r="G328" s="3">
        <f>Baupläne!E328</f>
        <v>30</v>
      </c>
      <c r="H328" s="3">
        <f>Baupläne!F328</f>
        <v>240</v>
      </c>
      <c r="I328" s="3">
        <f>0.5*Baupläne!Y328</f>
        <v>6200</v>
      </c>
      <c r="J328" s="3">
        <f>Baupläne!G328</f>
        <v>4</v>
      </c>
      <c r="K328" s="3">
        <f>IF(L328&gt;0,INDEX(data_item!$A$1:$A$1994,MATCH(Baupläne!L328,data_item!$B$1:$B$1994,0),1),0)</f>
        <v>9</v>
      </c>
      <c r="L328" s="3">
        <f>Baupläne!K328</f>
        <v>15</v>
      </c>
      <c r="M328" s="3">
        <f>IF(N328&gt;0,INDEX(data_item!$A$1:$A$1994,MATCH(Baupläne!N328,data_item!$B$1:$B$994,0),1),0)</f>
        <v>101</v>
      </c>
      <c r="N328" s="3">
        <f>Baupläne!M328</f>
        <v>14</v>
      </c>
      <c r="O328" s="3">
        <f>IF(P328&gt;0,INDEX(data_item!$A$1:$A$1994,MATCH(Baupläne!P328,data_item!$B$1:$B$1994,0),1),0)</f>
        <v>106</v>
      </c>
      <c r="P328" s="3">
        <f>Baupläne!O328</f>
        <v>15</v>
      </c>
      <c r="Q328" s="3">
        <f>IF(R328&gt;0,INDEX(data_item!$A$1:$A$1994,MATCH(Baupläne!R328,data_item!$B$1:$B$1994,0),1),0)</f>
        <v>0</v>
      </c>
      <c r="R328" s="3">
        <f>Baupläne!Q328</f>
        <v>0</v>
      </c>
      <c r="S328" s="3">
        <f>IF(T328&gt;0,INDEX(data_item!$A$1:$A$1994,MATCH(Baupläne!T328,data_item!$B$1:$B$1994,0),1),0)</f>
        <v>0</v>
      </c>
      <c r="T328" s="3">
        <f>Baupläne!S328</f>
        <v>0</v>
      </c>
    </row>
    <row r="329" spans="1:20" x14ac:dyDescent="0.2">
      <c r="A329" s="3">
        <f>Baupläne!A329</f>
        <v>1437</v>
      </c>
      <c r="B329" s="3" t="str">
        <f>Baupläne!C329</f>
        <v>Adamant-Plattenpanzer</v>
      </c>
      <c r="C329" s="3">
        <f>Baupläne!B329</f>
        <v>1437</v>
      </c>
      <c r="D329" s="3">
        <f>Baupläne!J329</f>
        <v>0</v>
      </c>
      <c r="E329" s="3">
        <f>Baupläne!H329</f>
        <v>62</v>
      </c>
      <c r="F329" s="3">
        <f>Baupläne!I329</f>
        <v>18</v>
      </c>
      <c r="G329" s="3">
        <f>Baupläne!E329</f>
        <v>30</v>
      </c>
      <c r="H329" s="3">
        <f>Baupläne!F329</f>
        <v>360</v>
      </c>
      <c r="I329" s="3">
        <f>0.5*Baupläne!Y329</f>
        <v>9300</v>
      </c>
      <c r="J329" s="3">
        <f>Baupläne!G329</f>
        <v>4</v>
      </c>
      <c r="K329" s="3">
        <f>IF(L329&gt;0,INDEX(data_item!$A$1:$A$1994,MATCH(Baupläne!L329,data_item!$B$1:$B$1994,0),1),0)</f>
        <v>9</v>
      </c>
      <c r="L329" s="3">
        <f>Baupläne!K329</f>
        <v>23</v>
      </c>
      <c r="M329" s="3">
        <f>IF(N329&gt;0,INDEX(data_item!$A$1:$A$1994,MATCH(Baupläne!N329,data_item!$B$1:$B$994,0),1),0)</f>
        <v>101</v>
      </c>
      <c r="N329" s="3">
        <f>Baupläne!M329</f>
        <v>14</v>
      </c>
      <c r="O329" s="3">
        <f>IF(P329&gt;0,INDEX(data_item!$A$1:$A$1994,MATCH(Baupläne!P329,data_item!$B$1:$B$1994,0),1),0)</f>
        <v>106</v>
      </c>
      <c r="P329" s="3">
        <f>Baupläne!O329</f>
        <v>25</v>
      </c>
      <c r="Q329" s="3">
        <f>IF(R329&gt;0,INDEX(data_item!$A$1:$A$1994,MATCH(Baupläne!R329,data_item!$B$1:$B$1994,0),1),0)</f>
        <v>0</v>
      </c>
      <c r="R329" s="3">
        <f>Baupläne!Q329</f>
        <v>0</v>
      </c>
      <c r="S329" s="3">
        <f>IF(T329&gt;0,INDEX(data_item!$A$1:$A$1994,MATCH(Baupläne!T329,data_item!$B$1:$B$1994,0),1),0)</f>
        <v>0</v>
      </c>
      <c r="T329" s="3">
        <f>Baupläne!S329</f>
        <v>0</v>
      </c>
    </row>
    <row r="330" spans="1:20" x14ac:dyDescent="0.2">
      <c r="A330" s="3">
        <f>Baupläne!A330</f>
        <v>1438</v>
      </c>
      <c r="B330" s="3" t="str">
        <f>Baupläne!C330</f>
        <v>Adamant-Plattenhandschuhe</v>
      </c>
      <c r="C330" s="3">
        <f>Baupläne!B330</f>
        <v>1438</v>
      </c>
      <c r="D330" s="3">
        <f>Baupläne!J330</f>
        <v>0</v>
      </c>
      <c r="E330" s="3">
        <f>Baupläne!H330</f>
        <v>62</v>
      </c>
      <c r="F330" s="3">
        <f>Baupläne!I330</f>
        <v>19</v>
      </c>
      <c r="G330" s="3">
        <f>Baupläne!E330</f>
        <v>30</v>
      </c>
      <c r="H330" s="3">
        <f>Baupläne!F330</f>
        <v>180</v>
      </c>
      <c r="I330" s="3">
        <f>0.5*Baupläne!Y330</f>
        <v>5350</v>
      </c>
      <c r="J330" s="3">
        <f>Baupläne!G330</f>
        <v>4</v>
      </c>
      <c r="K330" s="3">
        <f>IF(L330&gt;0,INDEX(data_item!$A$1:$A$1994,MATCH(Baupläne!L330,data_item!$B$1:$B$1994,0),1),0)</f>
        <v>9</v>
      </c>
      <c r="L330" s="3">
        <f>Baupläne!K330</f>
        <v>13</v>
      </c>
      <c r="M330" s="3">
        <f>IF(N330&gt;0,INDEX(data_item!$A$1:$A$1994,MATCH(Baupläne!N330,data_item!$B$1:$B$994,0),1),0)</f>
        <v>101</v>
      </c>
      <c r="N330" s="3">
        <f>Baupläne!M330</f>
        <v>14</v>
      </c>
      <c r="O330" s="3">
        <f>IF(P330&gt;0,INDEX(data_item!$A$1:$A$1994,MATCH(Baupläne!P330,data_item!$B$1:$B$1994,0),1),0)</f>
        <v>106</v>
      </c>
      <c r="P330" s="3">
        <f>Baupläne!O330</f>
        <v>12</v>
      </c>
      <c r="Q330" s="3">
        <f>IF(R330&gt;0,INDEX(data_item!$A$1:$A$1994,MATCH(Baupläne!R330,data_item!$B$1:$B$1994,0),1),0)</f>
        <v>0</v>
      </c>
      <c r="R330" s="3">
        <f>Baupläne!Q330</f>
        <v>0</v>
      </c>
      <c r="S330" s="3">
        <f>IF(T330&gt;0,INDEX(data_item!$A$1:$A$1994,MATCH(Baupläne!T330,data_item!$B$1:$B$1994,0),1),0)</f>
        <v>0</v>
      </c>
      <c r="T330" s="3">
        <f>Baupläne!S330</f>
        <v>0</v>
      </c>
    </row>
    <row r="331" spans="1:20" x14ac:dyDescent="0.2">
      <c r="A331" s="3">
        <f>Baupläne!A331</f>
        <v>1439</v>
      </c>
      <c r="B331" s="3" t="str">
        <f>Baupläne!C331</f>
        <v>Adamant-Plattenbeinlinge</v>
      </c>
      <c r="C331" s="3">
        <f>Baupläne!B331</f>
        <v>1439</v>
      </c>
      <c r="D331" s="3">
        <f>Baupläne!J331</f>
        <v>0</v>
      </c>
      <c r="E331" s="3">
        <f>Baupläne!H331</f>
        <v>62</v>
      </c>
      <c r="F331" s="3">
        <f>Baupläne!I331</f>
        <v>19</v>
      </c>
      <c r="G331" s="3">
        <f>Baupläne!E331</f>
        <v>30</v>
      </c>
      <c r="H331" s="3">
        <f>Baupläne!F331</f>
        <v>240</v>
      </c>
      <c r="I331" s="3">
        <f>0.5*Baupläne!Y331</f>
        <v>7100</v>
      </c>
      <c r="J331" s="3">
        <f>Baupläne!G331</f>
        <v>4</v>
      </c>
      <c r="K331" s="3">
        <f>IF(L331&gt;0,INDEX(data_item!$A$1:$A$1994,MATCH(Baupläne!L331,data_item!$B$1:$B$1994,0),1),0)</f>
        <v>9</v>
      </c>
      <c r="L331" s="3">
        <f>Baupläne!K331</f>
        <v>17</v>
      </c>
      <c r="M331" s="3">
        <f>IF(N331&gt;0,INDEX(data_item!$A$1:$A$1994,MATCH(Baupläne!N331,data_item!$B$1:$B$994,0),1),0)</f>
        <v>101</v>
      </c>
      <c r="N331" s="3">
        <f>Baupläne!M331</f>
        <v>14</v>
      </c>
      <c r="O331" s="3">
        <f>IF(P331&gt;0,INDEX(data_item!$A$1:$A$1994,MATCH(Baupläne!P331,data_item!$B$1:$B$1994,0),1),0)</f>
        <v>106</v>
      </c>
      <c r="P331" s="3">
        <f>Baupläne!O331</f>
        <v>18</v>
      </c>
      <c r="Q331" s="3">
        <f>IF(R331&gt;0,INDEX(data_item!$A$1:$A$1994,MATCH(Baupläne!R331,data_item!$B$1:$B$1994,0),1),0)</f>
        <v>0</v>
      </c>
      <c r="R331" s="3">
        <f>Baupläne!Q331</f>
        <v>0</v>
      </c>
      <c r="S331" s="3">
        <f>IF(T331&gt;0,INDEX(data_item!$A$1:$A$1994,MATCH(Baupläne!T331,data_item!$B$1:$B$1994,0),1),0)</f>
        <v>0</v>
      </c>
      <c r="T331" s="3">
        <f>Baupläne!S331</f>
        <v>0</v>
      </c>
    </row>
    <row r="332" spans="1:20" x14ac:dyDescent="0.2">
      <c r="A332" s="3">
        <f>Baupläne!A332</f>
        <v>1440</v>
      </c>
      <c r="B332" s="3" t="str">
        <f>Baupläne!C332</f>
        <v>Adamant-Plattenstiefel</v>
      </c>
      <c r="C332" s="3">
        <f>Baupläne!B332</f>
        <v>1440</v>
      </c>
      <c r="D332" s="3">
        <f>Baupläne!J332</f>
        <v>0</v>
      </c>
      <c r="E332" s="3">
        <f>Baupläne!H332</f>
        <v>62</v>
      </c>
      <c r="F332" s="3">
        <f>Baupläne!I332</f>
        <v>19</v>
      </c>
      <c r="G332" s="3">
        <f>Baupläne!E332</f>
        <v>30</v>
      </c>
      <c r="H332" s="3">
        <f>Baupläne!F332</f>
        <v>180</v>
      </c>
      <c r="I332" s="3">
        <f>0.5*Baupläne!Y332</f>
        <v>5350</v>
      </c>
      <c r="J332" s="3">
        <f>Baupläne!G332</f>
        <v>4</v>
      </c>
      <c r="K332" s="3">
        <f>IF(L332&gt;0,INDEX(data_item!$A$1:$A$1994,MATCH(Baupläne!L332,data_item!$B$1:$B$1994,0),1),0)</f>
        <v>9</v>
      </c>
      <c r="L332" s="3">
        <f>Baupläne!K332</f>
        <v>13</v>
      </c>
      <c r="M332" s="3">
        <f>IF(N332&gt;0,INDEX(data_item!$A$1:$A$1994,MATCH(Baupläne!N332,data_item!$B$1:$B$994,0),1),0)</f>
        <v>101</v>
      </c>
      <c r="N332" s="3">
        <f>Baupläne!M332</f>
        <v>14</v>
      </c>
      <c r="O332" s="3">
        <f>IF(P332&gt;0,INDEX(data_item!$A$1:$A$1994,MATCH(Baupläne!P332,data_item!$B$1:$B$1994,0),1),0)</f>
        <v>106</v>
      </c>
      <c r="P332" s="3">
        <f>Baupläne!O332</f>
        <v>12</v>
      </c>
      <c r="Q332" s="3">
        <f>IF(R332&gt;0,INDEX(data_item!$A$1:$A$1994,MATCH(Baupläne!R332,data_item!$B$1:$B$1994,0),1),0)</f>
        <v>0</v>
      </c>
      <c r="R332" s="3">
        <f>Baupläne!Q332</f>
        <v>0</v>
      </c>
      <c r="S332" s="3">
        <f>IF(T332&gt;0,INDEX(data_item!$A$1:$A$1994,MATCH(Baupläne!T332,data_item!$B$1:$B$1994,0),1),0)</f>
        <v>0</v>
      </c>
      <c r="T332" s="3">
        <f>Baupläne!S332</f>
        <v>0</v>
      </c>
    </row>
    <row r="333" spans="1:20" x14ac:dyDescent="0.2">
      <c r="A333" s="3">
        <f>Baupläne!A333</f>
        <v>1441</v>
      </c>
      <c r="B333" s="3" t="str">
        <f>Baupläne!C333</f>
        <v>Mithril-Kettenhaube</v>
      </c>
      <c r="C333" s="3">
        <f>Baupläne!B333</f>
        <v>1441</v>
      </c>
      <c r="D333" s="3">
        <f>Baupläne!J333</f>
        <v>0</v>
      </c>
      <c r="E333" s="3">
        <f>Baupläne!H333</f>
        <v>62</v>
      </c>
      <c r="F333" s="3">
        <f>Baupläne!I333</f>
        <v>20</v>
      </c>
      <c r="G333" s="3">
        <f>Baupläne!E333</f>
        <v>30</v>
      </c>
      <c r="H333" s="3">
        <f>Baupläne!F333</f>
        <v>240</v>
      </c>
      <c r="I333" s="3">
        <f>0.5*Baupläne!Y333</f>
        <v>8200</v>
      </c>
      <c r="J333" s="3">
        <f>Baupläne!G333</f>
        <v>5</v>
      </c>
      <c r="K333" s="3">
        <f>IF(L333&gt;0,INDEX(data_item!$A$1:$A$1994,MATCH(Baupläne!L333,data_item!$B$1:$B$1994,0),1),0)</f>
        <v>10</v>
      </c>
      <c r="L333" s="3">
        <f>Baupläne!K333</f>
        <v>15</v>
      </c>
      <c r="M333" s="3">
        <f>IF(N333&gt;0,INDEX(data_item!$A$1:$A$1994,MATCH(Baupläne!N333,data_item!$B$1:$B$994,0),1),0)</f>
        <v>101</v>
      </c>
      <c r="N333" s="3">
        <f>Baupläne!M333</f>
        <v>8</v>
      </c>
      <c r="O333" s="3">
        <f>IF(P333&gt;0,INDEX(data_item!$A$1:$A$1994,MATCH(Baupläne!P333,data_item!$B$1:$B$1994,0),1),0)</f>
        <v>106</v>
      </c>
      <c r="P333" s="3">
        <f>Baupläne!O333</f>
        <v>9</v>
      </c>
      <c r="Q333" s="3">
        <f>IF(R333&gt;0,INDEX(data_item!$A$1:$A$1994,MATCH(Baupläne!R333,data_item!$B$1:$B$1994,0),1),0)</f>
        <v>107</v>
      </c>
      <c r="R333" s="3">
        <f>Baupläne!Q333</f>
        <v>6</v>
      </c>
      <c r="S333" s="3">
        <f>IF(T333&gt;0,INDEX(data_item!$A$1:$A$1994,MATCH(Baupläne!T333,data_item!$B$1:$B$1994,0),1),0)</f>
        <v>0</v>
      </c>
      <c r="T333" s="3">
        <f>Baupläne!S333</f>
        <v>0</v>
      </c>
    </row>
    <row r="334" spans="1:20" x14ac:dyDescent="0.2">
      <c r="A334" s="3">
        <f>Baupläne!A334</f>
        <v>1442</v>
      </c>
      <c r="B334" s="3" t="str">
        <f>Baupläne!C334</f>
        <v>Mithril-Kettenhemd</v>
      </c>
      <c r="C334" s="3">
        <f>Baupläne!B334</f>
        <v>1442</v>
      </c>
      <c r="D334" s="3">
        <f>Baupläne!J334</f>
        <v>0</v>
      </c>
      <c r="E334" s="3">
        <f>Baupläne!H334</f>
        <v>62</v>
      </c>
      <c r="F334" s="3">
        <f>Baupläne!I334</f>
        <v>20</v>
      </c>
      <c r="G334" s="3">
        <f>Baupläne!E334</f>
        <v>30</v>
      </c>
      <c r="H334" s="3">
        <f>Baupläne!F334</f>
        <v>360</v>
      </c>
      <c r="I334" s="3">
        <f>0.5*Baupläne!Y334</f>
        <v>12250</v>
      </c>
      <c r="J334" s="3">
        <f>Baupläne!G334</f>
        <v>5</v>
      </c>
      <c r="K334" s="3">
        <f>IF(L334&gt;0,INDEX(data_item!$A$1:$A$1994,MATCH(Baupläne!L334,data_item!$B$1:$B$1994,0),1),0)</f>
        <v>10</v>
      </c>
      <c r="L334" s="3">
        <f>Baupläne!K334</f>
        <v>22</v>
      </c>
      <c r="M334" s="3">
        <f>IF(N334&gt;0,INDEX(data_item!$A$1:$A$1994,MATCH(Baupläne!N334,data_item!$B$1:$B$994,0),1),0)</f>
        <v>101</v>
      </c>
      <c r="N334" s="3">
        <f>Baupläne!M334</f>
        <v>14</v>
      </c>
      <c r="O334" s="3">
        <f>IF(P334&gt;0,INDEX(data_item!$A$1:$A$1994,MATCH(Baupläne!P334,data_item!$B$1:$B$1994,0),1),0)</f>
        <v>106</v>
      </c>
      <c r="P334" s="3">
        <f>Baupläne!O334</f>
        <v>12</v>
      </c>
      <c r="Q334" s="3">
        <f>IF(R334&gt;0,INDEX(data_item!$A$1:$A$1994,MATCH(Baupläne!R334,data_item!$B$1:$B$1994,0),1),0)</f>
        <v>107</v>
      </c>
      <c r="R334" s="3">
        <f>Baupläne!Q334</f>
        <v>9</v>
      </c>
      <c r="S334" s="3">
        <f>IF(T334&gt;0,INDEX(data_item!$A$1:$A$1994,MATCH(Baupläne!T334,data_item!$B$1:$B$1994,0),1),0)</f>
        <v>0</v>
      </c>
      <c r="T334" s="3">
        <f>Baupläne!S334</f>
        <v>0</v>
      </c>
    </row>
    <row r="335" spans="1:20" x14ac:dyDescent="0.2">
      <c r="A335" s="3">
        <f>Baupläne!A335</f>
        <v>1443</v>
      </c>
      <c r="B335" s="3" t="str">
        <f>Baupläne!C335</f>
        <v>Mithril-Kettenhandschuhe</v>
      </c>
      <c r="C335" s="3">
        <f>Baupläne!B335</f>
        <v>1443</v>
      </c>
      <c r="D335" s="3">
        <f>Baupläne!J335</f>
        <v>0</v>
      </c>
      <c r="E335" s="3">
        <f>Baupläne!H335</f>
        <v>62</v>
      </c>
      <c r="F335" s="3">
        <f>Baupläne!I335</f>
        <v>21</v>
      </c>
      <c r="G335" s="3">
        <f>Baupläne!E335</f>
        <v>30</v>
      </c>
      <c r="H335" s="3">
        <f>Baupläne!F335</f>
        <v>180</v>
      </c>
      <c r="I335" s="3">
        <f>0.5*Baupläne!Y335</f>
        <v>7050</v>
      </c>
      <c r="J335" s="3">
        <f>Baupläne!G335</f>
        <v>5</v>
      </c>
      <c r="K335" s="3">
        <f>IF(L335&gt;0,INDEX(data_item!$A$1:$A$1994,MATCH(Baupläne!L335,data_item!$B$1:$B$1994,0),1),0)</f>
        <v>10</v>
      </c>
      <c r="L335" s="3">
        <f>Baupläne!K335</f>
        <v>13</v>
      </c>
      <c r="M335" s="3">
        <f>IF(N335&gt;0,INDEX(data_item!$A$1:$A$1994,MATCH(Baupläne!N335,data_item!$B$1:$B$994,0),1),0)</f>
        <v>101</v>
      </c>
      <c r="N335" s="3">
        <f>Baupläne!M335</f>
        <v>6</v>
      </c>
      <c r="O335" s="3">
        <f>IF(P335&gt;0,INDEX(data_item!$A$1:$A$1994,MATCH(Baupläne!P335,data_item!$B$1:$B$1994,0),1),0)</f>
        <v>106</v>
      </c>
      <c r="P335" s="3">
        <f>Baupläne!O335</f>
        <v>6</v>
      </c>
      <c r="Q335" s="3">
        <f>IF(R335&gt;0,INDEX(data_item!$A$1:$A$1994,MATCH(Baupläne!R335,data_item!$B$1:$B$1994,0),1),0)</f>
        <v>107</v>
      </c>
      <c r="R335" s="3">
        <f>Baupläne!Q335</f>
        <v>6</v>
      </c>
      <c r="S335" s="3">
        <f>IF(T335&gt;0,INDEX(data_item!$A$1:$A$1994,MATCH(Baupläne!T335,data_item!$B$1:$B$1994,0),1),0)</f>
        <v>0</v>
      </c>
      <c r="T335" s="3">
        <f>Baupläne!S335</f>
        <v>0</v>
      </c>
    </row>
    <row r="336" spans="1:20" x14ac:dyDescent="0.2">
      <c r="A336" s="3">
        <f>Baupläne!A336</f>
        <v>1444</v>
      </c>
      <c r="B336" s="3" t="str">
        <f>Baupläne!C336</f>
        <v>Mithril-Kettenbeinlinge</v>
      </c>
      <c r="C336" s="3">
        <f>Baupläne!B336</f>
        <v>1444</v>
      </c>
      <c r="D336" s="3">
        <f>Baupläne!J336</f>
        <v>0</v>
      </c>
      <c r="E336" s="3">
        <f>Baupläne!H336</f>
        <v>62</v>
      </c>
      <c r="F336" s="3">
        <f>Baupläne!I336</f>
        <v>21</v>
      </c>
      <c r="G336" s="3">
        <f>Baupläne!E336</f>
        <v>30</v>
      </c>
      <c r="H336" s="3">
        <f>Baupläne!F336</f>
        <v>240</v>
      </c>
      <c r="I336" s="3">
        <f>0.5*Baupläne!Y336</f>
        <v>9400</v>
      </c>
      <c r="J336" s="3">
        <f>Baupläne!G336</f>
        <v>5</v>
      </c>
      <c r="K336" s="3">
        <f>IF(L336&gt;0,INDEX(data_item!$A$1:$A$1994,MATCH(Baupläne!L336,data_item!$B$1:$B$1994,0),1),0)</f>
        <v>10</v>
      </c>
      <c r="L336" s="3">
        <f>Baupläne!K336</f>
        <v>17</v>
      </c>
      <c r="M336" s="3">
        <f>IF(N336&gt;0,INDEX(data_item!$A$1:$A$1994,MATCH(Baupläne!N336,data_item!$B$1:$B$994,0),1),0)</f>
        <v>101</v>
      </c>
      <c r="N336" s="3">
        <f>Baupläne!M336</f>
        <v>6</v>
      </c>
      <c r="O336" s="3">
        <f>IF(P336&gt;0,INDEX(data_item!$A$1:$A$1994,MATCH(Baupläne!P336,data_item!$B$1:$B$1994,0),1),0)</f>
        <v>106</v>
      </c>
      <c r="P336" s="3">
        <f>Baupläne!O336</f>
        <v>6</v>
      </c>
      <c r="Q336" s="3">
        <f>IF(R336&gt;0,INDEX(data_item!$A$1:$A$1994,MATCH(Baupläne!R336,data_item!$B$1:$B$1994,0),1),0)</f>
        <v>107</v>
      </c>
      <c r="R336" s="3">
        <f>Baupläne!Q336</f>
        <v>9</v>
      </c>
      <c r="S336" s="3">
        <f>IF(T336&gt;0,INDEX(data_item!$A$1:$A$1994,MATCH(Baupläne!T336,data_item!$B$1:$B$1994,0),1),0)</f>
        <v>0</v>
      </c>
      <c r="T336" s="3">
        <f>Baupläne!S336</f>
        <v>0</v>
      </c>
    </row>
    <row r="337" spans="1:20" x14ac:dyDescent="0.2">
      <c r="A337" s="3">
        <f>Baupläne!A337</f>
        <v>1445</v>
      </c>
      <c r="B337" s="3" t="str">
        <f>Baupläne!C337</f>
        <v>Mithril-Kettenstiefel</v>
      </c>
      <c r="C337" s="3">
        <f>Baupläne!B337</f>
        <v>1445</v>
      </c>
      <c r="D337" s="3">
        <f>Baupläne!J337</f>
        <v>0</v>
      </c>
      <c r="E337" s="3">
        <f>Baupläne!H337</f>
        <v>62</v>
      </c>
      <c r="F337" s="3">
        <f>Baupläne!I337</f>
        <v>21</v>
      </c>
      <c r="G337" s="3">
        <f>Baupläne!E337</f>
        <v>30</v>
      </c>
      <c r="H337" s="3">
        <f>Baupläne!F337</f>
        <v>180</v>
      </c>
      <c r="I337" s="3">
        <f>0.5*Baupläne!Y337</f>
        <v>7050</v>
      </c>
      <c r="J337" s="3">
        <f>Baupläne!G337</f>
        <v>5</v>
      </c>
      <c r="K337" s="3">
        <f>IF(L337&gt;0,INDEX(data_item!$A$1:$A$1994,MATCH(Baupläne!L337,data_item!$B$1:$B$1994,0),1),0)</f>
        <v>10</v>
      </c>
      <c r="L337" s="3">
        <f>Baupläne!K337</f>
        <v>13</v>
      </c>
      <c r="M337" s="3">
        <f>IF(N337&gt;0,INDEX(data_item!$A$1:$A$1994,MATCH(Baupläne!N337,data_item!$B$1:$B$994,0),1),0)</f>
        <v>101</v>
      </c>
      <c r="N337" s="3">
        <f>Baupläne!M337</f>
        <v>6</v>
      </c>
      <c r="O337" s="3">
        <f>IF(P337&gt;0,INDEX(data_item!$A$1:$A$1994,MATCH(Baupläne!P337,data_item!$B$1:$B$1994,0),1),0)</f>
        <v>106</v>
      </c>
      <c r="P337" s="3">
        <f>Baupläne!O337</f>
        <v>6</v>
      </c>
      <c r="Q337" s="3">
        <f>IF(R337&gt;0,INDEX(data_item!$A$1:$A$1994,MATCH(Baupläne!R337,data_item!$B$1:$B$1994,0),1),0)</f>
        <v>107</v>
      </c>
      <c r="R337" s="3">
        <f>Baupläne!Q337</f>
        <v>6</v>
      </c>
      <c r="S337" s="3">
        <f>IF(T337&gt;0,INDEX(data_item!$A$1:$A$1994,MATCH(Baupläne!T337,data_item!$B$1:$B$1994,0),1),0)</f>
        <v>0</v>
      </c>
      <c r="T337" s="3">
        <f>Baupläne!S337</f>
        <v>0</v>
      </c>
    </row>
    <row r="338" spans="1:20" x14ac:dyDescent="0.2">
      <c r="A338" s="3">
        <f>Baupläne!A338</f>
        <v>1446</v>
      </c>
      <c r="B338" s="3" t="str">
        <f>Baupläne!C338</f>
        <v>Mithril-Plattenhelm</v>
      </c>
      <c r="C338" s="3">
        <f>Baupläne!B338</f>
        <v>1446</v>
      </c>
      <c r="D338" s="3">
        <f>Baupläne!J338</f>
        <v>0</v>
      </c>
      <c r="E338" s="3">
        <f>Baupläne!H338</f>
        <v>62</v>
      </c>
      <c r="F338" s="3">
        <f>Baupläne!I338</f>
        <v>23</v>
      </c>
      <c r="G338" s="3">
        <f>Baupläne!E338</f>
        <v>30</v>
      </c>
      <c r="H338" s="3">
        <f>Baupläne!F338</f>
        <v>240</v>
      </c>
      <c r="I338" s="3">
        <f>0.5*Baupläne!Y338</f>
        <v>12450</v>
      </c>
      <c r="J338" s="3">
        <f>Baupläne!G338</f>
        <v>5</v>
      </c>
      <c r="K338" s="3">
        <f>IF(L338&gt;0,INDEX(data_item!$A$1:$A$1994,MATCH(Baupläne!L338,data_item!$B$1:$B$1994,0),1),0)</f>
        <v>10</v>
      </c>
      <c r="L338" s="3">
        <f>Baupläne!K338</f>
        <v>22</v>
      </c>
      <c r="M338" s="3">
        <f>IF(N338&gt;0,INDEX(data_item!$A$1:$A$1994,MATCH(Baupläne!N338,data_item!$B$1:$B$994,0),1),0)</f>
        <v>101</v>
      </c>
      <c r="N338" s="3">
        <f>Baupläne!M338</f>
        <v>8</v>
      </c>
      <c r="O338" s="3">
        <f>IF(P338&gt;0,INDEX(data_item!$A$1:$A$1994,MATCH(Baupläne!P338,data_item!$B$1:$B$1994,0),1),0)</f>
        <v>106</v>
      </c>
      <c r="P338" s="3">
        <f>Baupläne!O338</f>
        <v>8</v>
      </c>
      <c r="Q338" s="3">
        <f>IF(R338&gt;0,INDEX(data_item!$A$1:$A$1994,MATCH(Baupläne!R338,data_item!$B$1:$B$1994,0),1),0)</f>
        <v>107</v>
      </c>
      <c r="R338" s="3">
        <f>Baupläne!Q338</f>
        <v>12</v>
      </c>
      <c r="S338" s="3">
        <f>IF(T338&gt;0,INDEX(data_item!$A$1:$A$1994,MATCH(Baupläne!T338,data_item!$B$1:$B$1994,0),1),0)</f>
        <v>0</v>
      </c>
      <c r="T338" s="3">
        <f>Baupläne!S338</f>
        <v>0</v>
      </c>
    </row>
    <row r="339" spans="1:20" x14ac:dyDescent="0.2">
      <c r="A339" s="3">
        <f>Baupläne!A339</f>
        <v>1447</v>
      </c>
      <c r="B339" s="3" t="str">
        <f>Baupläne!C339</f>
        <v>Mithril-Plattenpanzer</v>
      </c>
      <c r="C339" s="3">
        <f>Baupläne!B339</f>
        <v>1447</v>
      </c>
      <c r="D339" s="3">
        <f>Baupläne!J339</f>
        <v>0</v>
      </c>
      <c r="E339" s="3">
        <f>Baupläne!H339</f>
        <v>62</v>
      </c>
      <c r="F339" s="3">
        <f>Baupläne!I339</f>
        <v>23</v>
      </c>
      <c r="G339" s="3">
        <f>Baupläne!E339</f>
        <v>30</v>
      </c>
      <c r="H339" s="3">
        <f>Baupläne!F339</f>
        <v>360</v>
      </c>
      <c r="I339" s="3">
        <f>0.5*Baupläne!Y339</f>
        <v>18650</v>
      </c>
      <c r="J339" s="3">
        <f>Baupläne!G339</f>
        <v>5</v>
      </c>
      <c r="K339" s="3">
        <f>IF(L339&gt;0,INDEX(data_item!$A$1:$A$1994,MATCH(Baupläne!L339,data_item!$B$1:$B$1994,0),1),0)</f>
        <v>10</v>
      </c>
      <c r="L339" s="3">
        <f>Baupläne!K339</f>
        <v>34</v>
      </c>
      <c r="M339" s="3">
        <f>IF(N339&gt;0,INDEX(data_item!$A$1:$A$1994,MATCH(Baupläne!N339,data_item!$B$1:$B$994,0),1),0)</f>
        <v>101</v>
      </c>
      <c r="N339" s="3">
        <f>Baupläne!M339</f>
        <v>15</v>
      </c>
      <c r="O339" s="3">
        <f>IF(P339&gt;0,INDEX(data_item!$A$1:$A$1994,MATCH(Baupläne!P339,data_item!$B$1:$B$1994,0),1),0)</f>
        <v>106</v>
      </c>
      <c r="P339" s="3">
        <f>Baupläne!O339</f>
        <v>10</v>
      </c>
      <c r="Q339" s="3">
        <f>IF(R339&gt;0,INDEX(data_item!$A$1:$A$1994,MATCH(Baupläne!R339,data_item!$B$1:$B$1994,0),1),0)</f>
        <v>107</v>
      </c>
      <c r="R339" s="3">
        <f>Baupläne!Q339</f>
        <v>18</v>
      </c>
      <c r="S339" s="3">
        <f>IF(T339&gt;0,INDEX(data_item!$A$1:$A$1994,MATCH(Baupläne!T339,data_item!$B$1:$B$1994,0),1),0)</f>
        <v>0</v>
      </c>
      <c r="T339" s="3">
        <f>Baupläne!S339</f>
        <v>0</v>
      </c>
    </row>
    <row r="340" spans="1:20" x14ac:dyDescent="0.2">
      <c r="A340" s="3">
        <f>Baupläne!A340</f>
        <v>1448</v>
      </c>
      <c r="B340" s="3" t="str">
        <f>Baupläne!C340</f>
        <v>Mithril-Plattenhandschuhe</v>
      </c>
      <c r="C340" s="3">
        <f>Baupläne!B340</f>
        <v>1448</v>
      </c>
      <c r="D340" s="3">
        <f>Baupläne!J340</f>
        <v>0</v>
      </c>
      <c r="E340" s="3">
        <f>Baupläne!H340</f>
        <v>62</v>
      </c>
      <c r="F340" s="3">
        <f>Baupläne!I340</f>
        <v>24</v>
      </c>
      <c r="G340" s="3">
        <f>Baupläne!E340</f>
        <v>30</v>
      </c>
      <c r="H340" s="3">
        <f>Baupläne!F340</f>
        <v>180</v>
      </c>
      <c r="I340" s="3">
        <f>0.5*Baupläne!Y340</f>
        <v>10750</v>
      </c>
      <c r="J340" s="3">
        <f>Baupläne!G340</f>
        <v>5</v>
      </c>
      <c r="K340" s="3">
        <f>IF(L340&gt;0,INDEX(data_item!$A$1:$A$1994,MATCH(Baupläne!L340,data_item!$B$1:$B$1994,0),1),0)</f>
        <v>10</v>
      </c>
      <c r="L340" s="3">
        <f>Baupläne!K340</f>
        <v>20</v>
      </c>
      <c r="M340" s="3">
        <f>IF(N340&gt;0,INDEX(data_item!$A$1:$A$1994,MATCH(Baupläne!N340,data_item!$B$1:$B$994,0),1),0)</f>
        <v>101</v>
      </c>
      <c r="N340" s="3">
        <f>Baupläne!M340</f>
        <v>6</v>
      </c>
      <c r="O340" s="3">
        <f>IF(P340&gt;0,INDEX(data_item!$A$1:$A$1994,MATCH(Baupläne!P340,data_item!$B$1:$B$1994,0),1),0)</f>
        <v>106</v>
      </c>
      <c r="P340" s="3">
        <f>Baupläne!O340</f>
        <v>8</v>
      </c>
      <c r="Q340" s="3">
        <f>IF(R340&gt;0,INDEX(data_item!$A$1:$A$1994,MATCH(Baupläne!R340,data_item!$B$1:$B$1994,0),1),0)</f>
        <v>107</v>
      </c>
      <c r="R340" s="3">
        <f>Baupläne!Q340</f>
        <v>10</v>
      </c>
      <c r="S340" s="3">
        <f>IF(T340&gt;0,INDEX(data_item!$A$1:$A$1994,MATCH(Baupläne!T340,data_item!$B$1:$B$1994,0),1),0)</f>
        <v>0</v>
      </c>
      <c r="T340" s="3">
        <f>Baupläne!S340</f>
        <v>0</v>
      </c>
    </row>
    <row r="341" spans="1:20" x14ac:dyDescent="0.2">
      <c r="A341" s="3">
        <f>Baupläne!A341</f>
        <v>1449</v>
      </c>
      <c r="B341" s="3" t="str">
        <f>Baupläne!C341</f>
        <v>Mithril-Plattenbeinlinge</v>
      </c>
      <c r="C341" s="3">
        <f>Baupläne!B341</f>
        <v>1449</v>
      </c>
      <c r="D341" s="3">
        <f>Baupläne!J341</f>
        <v>0</v>
      </c>
      <c r="E341" s="3">
        <f>Baupläne!H341</f>
        <v>62</v>
      </c>
      <c r="F341" s="3">
        <f>Baupläne!I341</f>
        <v>24</v>
      </c>
      <c r="G341" s="3">
        <f>Baupläne!E341</f>
        <v>30</v>
      </c>
      <c r="H341" s="3">
        <f>Baupläne!F341</f>
        <v>240</v>
      </c>
      <c r="I341" s="3">
        <f>0.5*Baupläne!Y341</f>
        <v>14300</v>
      </c>
      <c r="J341" s="3">
        <f>Baupläne!G341</f>
        <v>5</v>
      </c>
      <c r="K341" s="3">
        <f>IF(L341&gt;0,INDEX(data_item!$A$1:$A$1994,MATCH(Baupläne!L341,data_item!$B$1:$B$1994,0),1),0)</f>
        <v>10</v>
      </c>
      <c r="L341" s="3">
        <f>Baupläne!K341</f>
        <v>26</v>
      </c>
      <c r="M341" s="3">
        <f>IF(N341&gt;0,INDEX(data_item!$A$1:$A$1994,MATCH(Baupläne!N341,data_item!$B$1:$B$994,0),1),0)</f>
        <v>101</v>
      </c>
      <c r="N341" s="3">
        <f>Baupläne!M341</f>
        <v>8</v>
      </c>
      <c r="O341" s="3">
        <f>IF(P341&gt;0,INDEX(data_item!$A$1:$A$1994,MATCH(Baupläne!P341,data_item!$B$1:$B$1994,0),1),0)</f>
        <v>106</v>
      </c>
      <c r="P341" s="3">
        <f>Baupläne!O341</f>
        <v>6</v>
      </c>
      <c r="Q341" s="3">
        <f>IF(R341&gt;0,INDEX(data_item!$A$1:$A$1994,MATCH(Baupläne!R341,data_item!$B$1:$B$1994,0),1),0)</f>
        <v>107</v>
      </c>
      <c r="R341" s="3">
        <f>Baupläne!Q341</f>
        <v>15</v>
      </c>
      <c r="S341" s="3">
        <f>IF(T341&gt;0,INDEX(data_item!$A$1:$A$1994,MATCH(Baupläne!T341,data_item!$B$1:$B$1994,0),1),0)</f>
        <v>0</v>
      </c>
      <c r="T341" s="3">
        <f>Baupläne!S341</f>
        <v>0</v>
      </c>
    </row>
    <row r="342" spans="1:20" x14ac:dyDescent="0.2">
      <c r="A342" s="3">
        <f>Baupläne!A342</f>
        <v>1450</v>
      </c>
      <c r="B342" s="3" t="str">
        <f>Baupläne!C342</f>
        <v>Mithril-Plattenstiefel</v>
      </c>
      <c r="C342" s="3">
        <f>Baupläne!B342</f>
        <v>1450</v>
      </c>
      <c r="D342" s="3">
        <f>Baupläne!J342</f>
        <v>0</v>
      </c>
      <c r="E342" s="3">
        <f>Baupläne!H342</f>
        <v>62</v>
      </c>
      <c r="F342" s="3">
        <f>Baupläne!I342</f>
        <v>24</v>
      </c>
      <c r="G342" s="3">
        <f>Baupläne!E342</f>
        <v>30</v>
      </c>
      <c r="H342" s="3">
        <f>Baupläne!F342</f>
        <v>180</v>
      </c>
      <c r="I342" s="3">
        <f>0.5*Baupläne!Y342</f>
        <v>10750</v>
      </c>
      <c r="J342" s="3">
        <f>Baupläne!G342</f>
        <v>5</v>
      </c>
      <c r="K342" s="3">
        <f>IF(L342&gt;0,INDEX(data_item!$A$1:$A$1994,MATCH(Baupläne!L342,data_item!$B$1:$B$1994,0),1),0)</f>
        <v>10</v>
      </c>
      <c r="L342" s="3">
        <f>Baupläne!K342</f>
        <v>20</v>
      </c>
      <c r="M342" s="3">
        <f>IF(N342&gt;0,INDEX(data_item!$A$1:$A$1994,MATCH(Baupläne!N342,data_item!$B$1:$B$994,0),1),0)</f>
        <v>101</v>
      </c>
      <c r="N342" s="3">
        <f>Baupläne!M342</f>
        <v>6</v>
      </c>
      <c r="O342" s="3">
        <f>IF(P342&gt;0,INDEX(data_item!$A$1:$A$1994,MATCH(Baupläne!P342,data_item!$B$1:$B$1994,0),1),0)</f>
        <v>106</v>
      </c>
      <c r="P342" s="3">
        <f>Baupläne!O342</f>
        <v>8</v>
      </c>
      <c r="Q342" s="3">
        <f>IF(R342&gt;0,INDEX(data_item!$A$1:$A$1994,MATCH(Baupläne!R342,data_item!$B$1:$B$1994,0),1),0)</f>
        <v>107</v>
      </c>
      <c r="R342" s="3">
        <f>Baupläne!Q342</f>
        <v>10</v>
      </c>
      <c r="S342" s="3">
        <f>IF(T342&gt;0,INDEX(data_item!$A$1:$A$1994,MATCH(Baupläne!T342,data_item!$B$1:$B$1994,0),1),0)</f>
        <v>0</v>
      </c>
      <c r="T342" s="3">
        <f>Baupläne!S342</f>
        <v>0</v>
      </c>
    </row>
    <row r="343" spans="1:20" x14ac:dyDescent="0.2">
      <c r="A343" s="3">
        <f>Baupläne!A343</f>
        <v>0</v>
      </c>
      <c r="B343" s="3">
        <f>Baupläne!C343</f>
        <v>0</v>
      </c>
      <c r="C343" s="3">
        <f>Baupläne!B343</f>
        <v>0</v>
      </c>
      <c r="D343" s="3">
        <f>Baupläne!J343</f>
        <v>0</v>
      </c>
      <c r="E343" s="3">
        <f>Baupläne!H343</f>
        <v>0</v>
      </c>
      <c r="F343" s="3">
        <f>Baupläne!I343</f>
        <v>0</v>
      </c>
      <c r="G343" s="3">
        <f>Baupläne!E343</f>
        <v>0</v>
      </c>
      <c r="H343" s="3">
        <f>Baupläne!F343</f>
        <v>0</v>
      </c>
      <c r="I343" s="3">
        <f>0.5*Baupläne!Y343</f>
        <v>0</v>
      </c>
      <c r="J343" s="3">
        <f>Baupläne!G343</f>
        <v>0</v>
      </c>
      <c r="K343" s="3">
        <f>IF(L343&gt;0,INDEX(data_item!$A$1:$A$1994,MATCH(Baupläne!L343,data_item!$B$1:$B$1994,0),1),0)</f>
        <v>0</v>
      </c>
      <c r="L343" s="3">
        <f>Baupläne!K343</f>
        <v>0</v>
      </c>
      <c r="M343" s="3">
        <f>IF(N343&gt;0,INDEX(data_item!$A$1:$A$1994,MATCH(Baupläne!N343,data_item!$B$1:$B$994,0),1),0)</f>
        <v>0</v>
      </c>
      <c r="N343" s="3">
        <f>Baupläne!M343</f>
        <v>0</v>
      </c>
      <c r="O343" s="3">
        <f>IF(P343&gt;0,INDEX(data_item!$A$1:$A$1994,MATCH(Baupläne!P343,data_item!$B$1:$B$1994,0),1),0)</f>
        <v>0</v>
      </c>
      <c r="P343" s="3">
        <f>Baupläne!O343</f>
        <v>0</v>
      </c>
      <c r="Q343" s="3">
        <f>IF(R343&gt;0,INDEX(data_item!$A$1:$A$1994,MATCH(Baupläne!R343,data_item!$B$1:$B$1994,0),1),0)</f>
        <v>0</v>
      </c>
      <c r="R343" s="3">
        <f>Baupläne!Q343</f>
        <v>0</v>
      </c>
      <c r="S343" s="3">
        <f>IF(T343&gt;0,INDEX(data_item!$A$1:$A$1994,MATCH(Baupläne!T343,data_item!$B$1:$B$1994,0),1),0)</f>
        <v>0</v>
      </c>
      <c r="T343" s="3">
        <f>Baupläne!S343</f>
        <v>0</v>
      </c>
    </row>
    <row r="344" spans="1:20" x14ac:dyDescent="0.2">
      <c r="A344" s="3">
        <f>Baupläne!A344</f>
        <v>1501</v>
      </c>
      <c r="B344" s="3" t="str">
        <f>Baupläne!C344</f>
        <v>Lederschild</v>
      </c>
      <c r="C344" s="3">
        <f>Baupläne!B344</f>
        <v>1501</v>
      </c>
      <c r="D344" s="3">
        <f>Baupläne!J344</f>
        <v>0</v>
      </c>
      <c r="E344" s="3">
        <f>Baupläne!H344</f>
        <v>61</v>
      </c>
      <c r="F344" s="3">
        <f>Baupläne!I344</f>
        <v>0</v>
      </c>
      <c r="G344" s="3">
        <f>Baupläne!E344</f>
        <v>31</v>
      </c>
      <c r="H344" s="3">
        <f>Baupläne!F344</f>
        <v>320</v>
      </c>
      <c r="I344" s="3">
        <f>0.5*Baupläne!Y344</f>
        <v>500</v>
      </c>
      <c r="J344" s="3">
        <f>Baupläne!G344</f>
        <v>1</v>
      </c>
      <c r="K344" s="3">
        <f>IF(L344&gt;0,INDEX(data_item!$A$1:$A$1994,MATCH(Baupläne!L344,data_item!$B$1:$B$1994,0),1),0)</f>
        <v>46</v>
      </c>
      <c r="L344" s="3">
        <f>Baupläne!K344</f>
        <v>5</v>
      </c>
      <c r="M344" s="3">
        <f>IF(N344&gt;0,INDEX(data_item!$A$1:$A$1994,MATCH(Baupläne!N344,data_item!$B$1:$B$994,0),1),0)</f>
        <v>117</v>
      </c>
      <c r="N344" s="3">
        <f>Baupläne!M344</f>
        <v>4</v>
      </c>
      <c r="O344" s="3">
        <f>IF(P344&gt;0,INDEX(data_item!$A$1:$A$1994,MATCH(Baupläne!P344,data_item!$B$1:$B$1994,0),1),0)</f>
        <v>0</v>
      </c>
      <c r="P344" s="3">
        <f>Baupläne!O344</f>
        <v>0</v>
      </c>
      <c r="Q344" s="3">
        <f>IF(R344&gt;0,INDEX(data_item!$A$1:$A$1994,MATCH(Baupläne!R344,data_item!$B$1:$B$1994,0),1),0)</f>
        <v>0</v>
      </c>
      <c r="R344" s="3">
        <f>Baupläne!Q344</f>
        <v>0</v>
      </c>
      <c r="S344" s="3">
        <f>IF(T344&gt;0,INDEX(data_item!$A$1:$A$1994,MATCH(Baupläne!T344,data_item!$B$1:$B$1994,0),1),0)</f>
        <v>0</v>
      </c>
      <c r="T344" s="3">
        <f>Baupläne!S344</f>
        <v>0</v>
      </c>
    </row>
    <row r="345" spans="1:20" x14ac:dyDescent="0.2">
      <c r="A345" s="3">
        <f>Baupläne!A345</f>
        <v>1502</v>
      </c>
      <c r="B345" s="3" t="str">
        <f>Baupläne!C345</f>
        <v>Rundschild</v>
      </c>
      <c r="C345" s="3">
        <f>Baupläne!B345</f>
        <v>1502</v>
      </c>
      <c r="D345" s="3">
        <f>Baupläne!J345</f>
        <v>0</v>
      </c>
      <c r="E345" s="3">
        <f>Baupläne!H345</f>
        <v>61</v>
      </c>
      <c r="F345" s="3">
        <f>Baupläne!I345</f>
        <v>3</v>
      </c>
      <c r="G345" s="3">
        <f>Baupläne!E345</f>
        <v>31</v>
      </c>
      <c r="H345" s="3">
        <f>Baupläne!F345</f>
        <v>320</v>
      </c>
      <c r="I345" s="3">
        <f>0.5*Baupläne!Y345</f>
        <v>750</v>
      </c>
      <c r="J345" s="3">
        <f>Baupläne!G345</f>
        <v>1</v>
      </c>
      <c r="K345" s="3">
        <f>IF(L345&gt;0,INDEX(data_item!$A$1:$A$1994,MATCH(Baupläne!L345,data_item!$B$1:$B$1994,0),1),0)</f>
        <v>46</v>
      </c>
      <c r="L345" s="3">
        <f>Baupläne!K345</f>
        <v>8</v>
      </c>
      <c r="M345" s="3">
        <f>IF(N345&gt;0,INDEX(data_item!$A$1:$A$1994,MATCH(Baupläne!N345,data_item!$B$1:$B$994,0),1),0)</f>
        <v>117</v>
      </c>
      <c r="N345" s="3">
        <f>Baupläne!M345</f>
        <v>6</v>
      </c>
      <c r="O345" s="3">
        <f>IF(P345&gt;0,INDEX(data_item!$A$1:$A$1994,MATCH(Baupläne!P345,data_item!$B$1:$B$1994,0),1),0)</f>
        <v>0</v>
      </c>
      <c r="P345" s="3">
        <f>Baupläne!O345</f>
        <v>0</v>
      </c>
      <c r="Q345" s="3">
        <f>IF(R345&gt;0,INDEX(data_item!$A$1:$A$1994,MATCH(Baupläne!R345,data_item!$B$1:$B$1994,0),1),0)</f>
        <v>0</v>
      </c>
      <c r="R345" s="3">
        <f>Baupläne!Q345</f>
        <v>0</v>
      </c>
      <c r="S345" s="3">
        <f>IF(T345&gt;0,INDEX(data_item!$A$1:$A$1994,MATCH(Baupläne!T345,data_item!$B$1:$B$1994,0),1),0)</f>
        <v>0</v>
      </c>
      <c r="T345" s="3">
        <f>Baupläne!S345</f>
        <v>0</v>
      </c>
    </row>
    <row r="346" spans="1:20" x14ac:dyDescent="0.2">
      <c r="A346" s="3">
        <f>Baupläne!A346</f>
        <v>1503</v>
      </c>
      <c r="B346" s="3" t="str">
        <f>Baupläne!C346</f>
        <v>Tartsche</v>
      </c>
      <c r="C346" s="3">
        <f>Baupläne!B346</f>
        <v>1503</v>
      </c>
      <c r="D346" s="3">
        <f>Baupläne!J346</f>
        <v>0</v>
      </c>
      <c r="E346" s="3">
        <f>Baupläne!H346</f>
        <v>61</v>
      </c>
      <c r="F346" s="3">
        <f>Baupläne!I346</f>
        <v>5</v>
      </c>
      <c r="G346" s="3">
        <f>Baupläne!E346</f>
        <v>31</v>
      </c>
      <c r="H346" s="3">
        <f>Baupläne!F346</f>
        <v>320</v>
      </c>
      <c r="I346" s="3">
        <f>0.5*Baupläne!Y346</f>
        <v>1000</v>
      </c>
      <c r="J346" s="3">
        <f>Baupläne!G346</f>
        <v>2</v>
      </c>
      <c r="K346" s="3">
        <f>IF(L346&gt;0,INDEX(data_item!$A$1:$A$1994,MATCH(Baupläne!L346,data_item!$B$1:$B$1994,0),1),0)</f>
        <v>47</v>
      </c>
      <c r="L346" s="3">
        <f>Baupläne!K346</f>
        <v>5</v>
      </c>
      <c r="M346" s="3">
        <f>IF(N346&gt;0,INDEX(data_item!$A$1:$A$1994,MATCH(Baupläne!N346,data_item!$B$1:$B$994,0),1),0)</f>
        <v>117</v>
      </c>
      <c r="N346" s="3">
        <f>Baupläne!M346</f>
        <v>8</v>
      </c>
      <c r="O346" s="3">
        <f>IF(P346&gt;0,INDEX(data_item!$A$1:$A$1994,MATCH(Baupläne!P346,data_item!$B$1:$B$1994,0),1),0)</f>
        <v>0</v>
      </c>
      <c r="P346" s="3">
        <f>Baupläne!O346</f>
        <v>0</v>
      </c>
      <c r="Q346" s="3">
        <f>IF(R346&gt;0,INDEX(data_item!$A$1:$A$1994,MATCH(Baupläne!R346,data_item!$B$1:$B$1994,0),1),0)</f>
        <v>0</v>
      </c>
      <c r="R346" s="3">
        <f>Baupläne!Q346</f>
        <v>0</v>
      </c>
      <c r="S346" s="3">
        <f>IF(T346&gt;0,INDEX(data_item!$A$1:$A$1994,MATCH(Baupläne!T346,data_item!$B$1:$B$1994,0),1),0)</f>
        <v>0</v>
      </c>
      <c r="T346" s="3">
        <f>Baupläne!S346</f>
        <v>0</v>
      </c>
    </row>
    <row r="347" spans="1:20" x14ac:dyDescent="0.2">
      <c r="A347" s="3">
        <f>Baupläne!A347</f>
        <v>1504</v>
      </c>
      <c r="B347" s="3" t="str">
        <f>Baupläne!C347</f>
        <v>Zirkelschild</v>
      </c>
      <c r="C347" s="3">
        <f>Baupläne!B347</f>
        <v>1504</v>
      </c>
      <c r="D347" s="3">
        <f>Baupläne!J347</f>
        <v>0</v>
      </c>
      <c r="E347" s="3">
        <f>Baupläne!H347</f>
        <v>61</v>
      </c>
      <c r="F347" s="3">
        <f>Baupläne!I347</f>
        <v>8</v>
      </c>
      <c r="G347" s="3">
        <f>Baupläne!E347</f>
        <v>31</v>
      </c>
      <c r="H347" s="3">
        <f>Baupläne!F347</f>
        <v>320</v>
      </c>
      <c r="I347" s="3">
        <f>0.5*Baupläne!Y347</f>
        <v>1550</v>
      </c>
      <c r="J347" s="3">
        <f>Baupläne!G347</f>
        <v>2</v>
      </c>
      <c r="K347" s="3">
        <f>IF(L347&gt;0,INDEX(data_item!$A$1:$A$1994,MATCH(Baupläne!L347,data_item!$B$1:$B$1994,0),1),0)</f>
        <v>47</v>
      </c>
      <c r="L347" s="3">
        <f>Baupläne!K347</f>
        <v>8</v>
      </c>
      <c r="M347" s="3">
        <f>IF(N347&gt;0,INDEX(data_item!$A$1:$A$1994,MATCH(Baupläne!N347,data_item!$B$1:$B$994,0),1),0)</f>
        <v>117</v>
      </c>
      <c r="N347" s="3">
        <f>Baupläne!M347</f>
        <v>12</v>
      </c>
      <c r="O347" s="3">
        <f>IF(P347&gt;0,INDEX(data_item!$A$1:$A$1994,MATCH(Baupläne!P347,data_item!$B$1:$B$1994,0),1),0)</f>
        <v>0</v>
      </c>
      <c r="P347" s="3">
        <f>Baupläne!O347</f>
        <v>0</v>
      </c>
      <c r="Q347" s="3">
        <f>IF(R347&gt;0,INDEX(data_item!$A$1:$A$1994,MATCH(Baupläne!R347,data_item!$B$1:$B$1994,0),1),0)</f>
        <v>0</v>
      </c>
      <c r="R347" s="3">
        <f>Baupläne!Q347</f>
        <v>0</v>
      </c>
      <c r="S347" s="3">
        <f>IF(T347&gt;0,INDEX(data_item!$A$1:$A$1994,MATCH(Baupläne!T347,data_item!$B$1:$B$1994,0),1),0)</f>
        <v>0</v>
      </c>
      <c r="T347" s="3">
        <f>Baupläne!S347</f>
        <v>0</v>
      </c>
    </row>
    <row r="348" spans="1:20" x14ac:dyDescent="0.2">
      <c r="A348" s="3">
        <f>Baupläne!A348</f>
        <v>1505</v>
      </c>
      <c r="B348" s="3" t="str">
        <f>Baupläne!C348</f>
        <v>Stachelschild</v>
      </c>
      <c r="C348" s="3">
        <f>Baupläne!B348</f>
        <v>1505</v>
      </c>
      <c r="D348" s="3">
        <f>Baupläne!J348</f>
        <v>0</v>
      </c>
      <c r="E348" s="3">
        <f>Baupläne!H348</f>
        <v>61</v>
      </c>
      <c r="F348" s="3">
        <f>Baupläne!I348</f>
        <v>10</v>
      </c>
      <c r="G348" s="3">
        <f>Baupläne!E348</f>
        <v>31</v>
      </c>
      <c r="H348" s="3">
        <f>Baupläne!F348</f>
        <v>320</v>
      </c>
      <c r="I348" s="3">
        <f>0.5*Baupläne!Y348</f>
        <v>2000</v>
      </c>
      <c r="J348" s="3">
        <f>Baupläne!G348</f>
        <v>3</v>
      </c>
      <c r="K348" s="3">
        <f>IF(L348&gt;0,INDEX(data_item!$A$1:$A$1994,MATCH(Baupläne!L348,data_item!$B$1:$B$1994,0),1),0)</f>
        <v>48</v>
      </c>
      <c r="L348" s="3">
        <f>Baupläne!K348</f>
        <v>7</v>
      </c>
      <c r="M348" s="3">
        <f>IF(N348&gt;0,INDEX(data_item!$A$1:$A$1994,MATCH(Baupläne!N348,data_item!$B$1:$B$994,0),1),0)</f>
        <v>117</v>
      </c>
      <c r="N348" s="3">
        <f>Baupläne!M348</f>
        <v>9</v>
      </c>
      <c r="O348" s="3">
        <f>IF(P348&gt;0,INDEX(data_item!$A$1:$A$1994,MATCH(Baupläne!P348,data_item!$B$1:$B$1994,0),1),0)</f>
        <v>118</v>
      </c>
      <c r="P348" s="3">
        <f>Baupläne!O348</f>
        <v>3</v>
      </c>
      <c r="Q348" s="3">
        <f>IF(R348&gt;0,INDEX(data_item!$A$1:$A$1994,MATCH(Baupläne!R348,data_item!$B$1:$B$1994,0),1),0)</f>
        <v>0</v>
      </c>
      <c r="R348" s="3">
        <f>Baupläne!Q348</f>
        <v>0</v>
      </c>
      <c r="S348" s="3">
        <f>IF(T348&gt;0,INDEX(data_item!$A$1:$A$1994,MATCH(Baupläne!T348,data_item!$B$1:$B$1994,0),1),0)</f>
        <v>0</v>
      </c>
      <c r="T348" s="3">
        <f>Baupläne!S348</f>
        <v>0</v>
      </c>
    </row>
    <row r="349" spans="1:20" x14ac:dyDescent="0.2">
      <c r="A349" s="3">
        <f>Baupläne!A349</f>
        <v>1506</v>
      </c>
      <c r="B349" s="3" t="str">
        <f>Baupläne!C349</f>
        <v>Beschützer</v>
      </c>
      <c r="C349" s="3">
        <f>Baupläne!B349</f>
        <v>1506</v>
      </c>
      <c r="D349" s="3">
        <f>Baupläne!J349</f>
        <v>0</v>
      </c>
      <c r="E349" s="3">
        <f>Baupläne!H349</f>
        <v>61</v>
      </c>
      <c r="F349" s="3">
        <f>Baupläne!I349</f>
        <v>13</v>
      </c>
      <c r="G349" s="3">
        <f>Baupläne!E349</f>
        <v>31</v>
      </c>
      <c r="H349" s="3">
        <f>Baupläne!F349</f>
        <v>320</v>
      </c>
      <c r="I349" s="3">
        <f>0.5*Baupläne!Y349</f>
        <v>3100</v>
      </c>
      <c r="J349" s="3">
        <f>Baupläne!G349</f>
        <v>3</v>
      </c>
      <c r="K349" s="3">
        <f>IF(L349&gt;0,INDEX(data_item!$A$1:$A$1994,MATCH(Baupläne!L349,data_item!$B$1:$B$1994,0),1),0)</f>
        <v>48</v>
      </c>
      <c r="L349" s="3">
        <f>Baupläne!K349</f>
        <v>11</v>
      </c>
      <c r="M349" s="3">
        <f>IF(N349&gt;0,INDEX(data_item!$A$1:$A$1994,MATCH(Baupläne!N349,data_item!$B$1:$B$994,0),1),0)</f>
        <v>117</v>
      </c>
      <c r="N349" s="3">
        <f>Baupläne!M349</f>
        <v>8</v>
      </c>
      <c r="O349" s="3">
        <f>IF(P349&gt;0,INDEX(data_item!$A$1:$A$1994,MATCH(Baupläne!P349,data_item!$B$1:$B$1994,0),1),0)</f>
        <v>118</v>
      </c>
      <c r="P349" s="3">
        <f>Baupläne!O349</f>
        <v>7</v>
      </c>
      <c r="Q349" s="3">
        <f>IF(R349&gt;0,INDEX(data_item!$A$1:$A$1994,MATCH(Baupläne!R349,data_item!$B$1:$B$1994,0),1),0)</f>
        <v>0</v>
      </c>
      <c r="R349" s="3">
        <f>Baupläne!Q349</f>
        <v>0</v>
      </c>
      <c r="S349" s="3">
        <f>IF(T349&gt;0,INDEX(data_item!$A$1:$A$1994,MATCH(Baupläne!T349,data_item!$B$1:$B$1994,0),1),0)</f>
        <v>0</v>
      </c>
      <c r="T349" s="3">
        <f>Baupläne!S349</f>
        <v>0</v>
      </c>
    </row>
    <row r="350" spans="1:20" x14ac:dyDescent="0.2">
      <c r="A350" s="3">
        <f>Baupläne!A350</f>
        <v>1507</v>
      </c>
      <c r="B350" s="3" t="str">
        <f>Baupläne!C350</f>
        <v>Dornenschild</v>
      </c>
      <c r="C350" s="3">
        <f>Baupläne!B350</f>
        <v>1507</v>
      </c>
      <c r="D350" s="3">
        <f>Baupläne!J350</f>
        <v>0</v>
      </c>
      <c r="E350" s="3">
        <f>Baupläne!H350</f>
        <v>61</v>
      </c>
      <c r="F350" s="3">
        <f>Baupläne!I350</f>
        <v>15</v>
      </c>
      <c r="G350" s="3">
        <f>Baupläne!E350</f>
        <v>31</v>
      </c>
      <c r="H350" s="3">
        <f>Baupläne!F350</f>
        <v>320</v>
      </c>
      <c r="I350" s="3">
        <f>0.5*Baupläne!Y350</f>
        <v>4050</v>
      </c>
      <c r="J350" s="3">
        <f>Baupläne!G350</f>
        <v>4</v>
      </c>
      <c r="K350" s="3">
        <f>IF(L350&gt;0,INDEX(data_item!$A$1:$A$1994,MATCH(Baupläne!L350,data_item!$B$1:$B$1994,0),1),0)</f>
        <v>49</v>
      </c>
      <c r="L350" s="3">
        <f>Baupläne!K350</f>
        <v>10</v>
      </c>
      <c r="M350" s="3">
        <f>IF(N350&gt;0,INDEX(data_item!$A$1:$A$1994,MATCH(Baupläne!N350,data_item!$B$1:$B$994,0),1),0)</f>
        <v>117</v>
      </c>
      <c r="N350" s="3">
        <f>Baupläne!M350</f>
        <v>8</v>
      </c>
      <c r="O350" s="3">
        <f>IF(P350&gt;0,INDEX(data_item!$A$1:$A$1994,MATCH(Baupläne!P350,data_item!$B$1:$B$1994,0),1),0)</f>
        <v>118</v>
      </c>
      <c r="P350" s="3">
        <f>Baupläne!O350</f>
        <v>5</v>
      </c>
      <c r="Q350" s="3">
        <f>IF(R350&gt;0,INDEX(data_item!$A$1:$A$1994,MATCH(Baupläne!R350,data_item!$B$1:$B$1994,0),1),0)</f>
        <v>119</v>
      </c>
      <c r="R350" s="3">
        <f>Baupläne!Q350</f>
        <v>2</v>
      </c>
      <c r="S350" s="3">
        <f>IF(T350&gt;0,INDEX(data_item!$A$1:$A$1994,MATCH(Baupläne!T350,data_item!$B$1:$B$1994,0),1),0)</f>
        <v>0</v>
      </c>
      <c r="T350" s="3">
        <f>Baupläne!S350</f>
        <v>0</v>
      </c>
    </row>
    <row r="351" spans="1:20" x14ac:dyDescent="0.2">
      <c r="A351" s="3">
        <f>Baupläne!A351</f>
        <v>1508</v>
      </c>
      <c r="B351" s="3" t="str">
        <f>Baupläne!C351</f>
        <v>Nietenschild</v>
      </c>
      <c r="C351" s="3">
        <f>Baupläne!B351</f>
        <v>1508</v>
      </c>
      <c r="D351" s="3">
        <f>Baupläne!J351</f>
        <v>0</v>
      </c>
      <c r="E351" s="3">
        <f>Baupläne!H351</f>
        <v>61</v>
      </c>
      <c r="F351" s="3">
        <f>Baupläne!I351</f>
        <v>18</v>
      </c>
      <c r="G351" s="3">
        <f>Baupläne!E351</f>
        <v>31</v>
      </c>
      <c r="H351" s="3">
        <f>Baupläne!F351</f>
        <v>320</v>
      </c>
      <c r="I351" s="3">
        <f>0.5*Baupläne!Y351</f>
        <v>6200</v>
      </c>
      <c r="J351" s="3">
        <f>Baupläne!G351</f>
        <v>4</v>
      </c>
      <c r="K351" s="3">
        <f>IF(L351&gt;0,INDEX(data_item!$A$1:$A$1994,MATCH(Baupläne!L351,data_item!$B$1:$B$1994,0),1),0)</f>
        <v>49</v>
      </c>
      <c r="L351" s="3">
        <f>Baupläne!K351</f>
        <v>15</v>
      </c>
      <c r="M351" s="3">
        <f>IF(N351&gt;0,INDEX(data_item!$A$1:$A$1994,MATCH(Baupläne!N351,data_item!$B$1:$B$994,0),1),0)</f>
        <v>117</v>
      </c>
      <c r="N351" s="3">
        <f>Baupläne!M351</f>
        <v>9</v>
      </c>
      <c r="O351" s="3">
        <f>IF(P351&gt;0,INDEX(data_item!$A$1:$A$1994,MATCH(Baupläne!P351,data_item!$B$1:$B$1994,0),1),0)</f>
        <v>118</v>
      </c>
      <c r="P351" s="3">
        <f>Baupläne!O351</f>
        <v>7</v>
      </c>
      <c r="Q351" s="3">
        <f>IF(R351&gt;0,INDEX(data_item!$A$1:$A$1994,MATCH(Baupläne!R351,data_item!$B$1:$B$1994,0),1),0)</f>
        <v>119</v>
      </c>
      <c r="R351" s="3">
        <f>Baupläne!Q351</f>
        <v>4</v>
      </c>
      <c r="S351" s="3">
        <f>IF(T351&gt;0,INDEX(data_item!$A$1:$A$1994,MATCH(Baupläne!T351,data_item!$B$1:$B$1994,0),1),0)</f>
        <v>0</v>
      </c>
      <c r="T351" s="3">
        <f>Baupläne!S351</f>
        <v>0</v>
      </c>
    </row>
    <row r="352" spans="1:20" x14ac:dyDescent="0.2">
      <c r="A352" s="3">
        <f>Baupläne!A352</f>
        <v>1509</v>
      </c>
      <c r="B352" s="3" t="str">
        <f>Baupläne!C352</f>
        <v>Verteidiger</v>
      </c>
      <c r="C352" s="3">
        <f>Baupläne!B352</f>
        <v>1509</v>
      </c>
      <c r="D352" s="3">
        <f>Baupläne!J352</f>
        <v>0</v>
      </c>
      <c r="E352" s="3">
        <f>Baupläne!H352</f>
        <v>61</v>
      </c>
      <c r="F352" s="3">
        <f>Baupläne!I352</f>
        <v>20</v>
      </c>
      <c r="G352" s="3">
        <f>Baupläne!E352</f>
        <v>31</v>
      </c>
      <c r="H352" s="3">
        <f>Baupläne!F352</f>
        <v>320</v>
      </c>
      <c r="I352" s="3">
        <f>0.5*Baupläne!Y352</f>
        <v>8200</v>
      </c>
      <c r="J352" s="3">
        <f>Baupläne!G352</f>
        <v>5</v>
      </c>
      <c r="K352" s="3">
        <f>IF(L352&gt;0,INDEX(data_item!$A$1:$A$1994,MATCH(Baupläne!L352,data_item!$B$1:$B$1994,0),1),0)</f>
        <v>50</v>
      </c>
      <c r="L352" s="3">
        <f>Baupläne!K352</f>
        <v>15</v>
      </c>
      <c r="M352" s="3">
        <f>IF(N352&gt;0,INDEX(data_item!$A$1:$A$1994,MATCH(Baupläne!N352,data_item!$B$1:$B$994,0),1),0)</f>
        <v>117</v>
      </c>
      <c r="N352" s="3">
        <f>Baupläne!M352</f>
        <v>6</v>
      </c>
      <c r="O352" s="3">
        <f>IF(P352&gt;0,INDEX(data_item!$A$1:$A$1994,MATCH(Baupläne!P352,data_item!$B$1:$B$1994,0),1),0)</f>
        <v>118</v>
      </c>
      <c r="P352" s="3">
        <f>Baupläne!O352</f>
        <v>5</v>
      </c>
      <c r="Q352" s="3">
        <f>IF(R352&gt;0,INDEX(data_item!$A$1:$A$1994,MATCH(Baupläne!R352,data_item!$B$1:$B$1994,0),1),0)</f>
        <v>119</v>
      </c>
      <c r="R352" s="3">
        <f>Baupläne!Q352</f>
        <v>8</v>
      </c>
      <c r="S352" s="3">
        <f>IF(T352&gt;0,INDEX(data_item!$A$1:$A$1994,MATCH(Baupläne!T352,data_item!$B$1:$B$1994,0),1),0)</f>
        <v>0</v>
      </c>
      <c r="T352" s="3">
        <f>Baupläne!S352</f>
        <v>0</v>
      </c>
    </row>
    <row r="353" spans="1:20" x14ac:dyDescent="0.2">
      <c r="A353" s="3">
        <f>Baupläne!A353</f>
        <v>1510</v>
      </c>
      <c r="B353" s="3" t="str">
        <f>Baupläne!C353</f>
        <v>Nebelschild</v>
      </c>
      <c r="C353" s="3">
        <f>Baupläne!B353</f>
        <v>1510</v>
      </c>
      <c r="D353" s="3">
        <f>Baupläne!J353</f>
        <v>0</v>
      </c>
      <c r="E353" s="3">
        <f>Baupläne!H353</f>
        <v>61</v>
      </c>
      <c r="F353" s="3">
        <f>Baupläne!I353</f>
        <v>23</v>
      </c>
      <c r="G353" s="3">
        <f>Baupläne!E353</f>
        <v>31</v>
      </c>
      <c r="H353" s="3">
        <f>Baupläne!F353</f>
        <v>320</v>
      </c>
      <c r="I353" s="3">
        <f>0.5*Baupläne!Y353</f>
        <v>12450</v>
      </c>
      <c r="J353" s="3">
        <f>Baupläne!G353</f>
        <v>5</v>
      </c>
      <c r="K353" s="3">
        <f>IF(L353&gt;0,INDEX(data_item!$A$1:$A$1994,MATCH(Baupläne!L353,data_item!$B$1:$B$1994,0),1),0)</f>
        <v>50</v>
      </c>
      <c r="L353" s="3">
        <f>Baupläne!K353</f>
        <v>23</v>
      </c>
      <c r="M353" s="3">
        <f>IF(N353&gt;0,INDEX(data_item!$A$1:$A$1994,MATCH(Baupläne!N353,data_item!$B$1:$B$994,0),1),0)</f>
        <v>117</v>
      </c>
      <c r="N353" s="3">
        <f>Baupläne!M353</f>
        <v>8</v>
      </c>
      <c r="O353" s="3">
        <f>IF(P353&gt;0,INDEX(data_item!$A$1:$A$1994,MATCH(Baupläne!P353,data_item!$B$1:$B$1994,0),1),0)</f>
        <v>118</v>
      </c>
      <c r="P353" s="3">
        <f>Baupläne!O353</f>
        <v>8</v>
      </c>
      <c r="Q353" s="3">
        <f>IF(R353&gt;0,INDEX(data_item!$A$1:$A$1994,MATCH(Baupläne!R353,data_item!$B$1:$B$1994,0),1),0)</f>
        <v>119</v>
      </c>
      <c r="R353" s="3">
        <f>Baupläne!Q353</f>
        <v>12</v>
      </c>
      <c r="S353" s="3">
        <f>IF(T353&gt;0,INDEX(data_item!$A$1:$A$1994,MATCH(Baupläne!T353,data_item!$B$1:$B$1994,0),1),0)</f>
        <v>0</v>
      </c>
      <c r="T353" s="3">
        <f>Baupläne!S353</f>
        <v>0</v>
      </c>
    </row>
    <row r="354" spans="1:20" x14ac:dyDescent="0.2">
      <c r="A354" s="3">
        <f>Baupläne!A354</f>
        <v>0</v>
      </c>
      <c r="B354" s="3">
        <f>Baupläne!C354</f>
        <v>0</v>
      </c>
      <c r="C354" s="3">
        <f>Baupläne!B354</f>
        <v>0</v>
      </c>
      <c r="D354" s="3">
        <f>Baupläne!J354</f>
        <v>0</v>
      </c>
      <c r="E354" s="3">
        <f>Baupläne!H354</f>
        <v>0</v>
      </c>
      <c r="F354" s="3">
        <f>Baupläne!I354</f>
        <v>0</v>
      </c>
      <c r="G354" s="3">
        <f>Baupläne!E354</f>
        <v>0</v>
      </c>
      <c r="H354" s="3">
        <f>Baupläne!F354</f>
        <v>0</v>
      </c>
      <c r="I354" s="3">
        <f>0.5*Baupläne!Y354</f>
        <v>0</v>
      </c>
      <c r="J354" s="3">
        <f>Baupläne!G354</f>
        <v>0</v>
      </c>
      <c r="K354" s="3">
        <f>IF(L354&gt;0,INDEX(data_item!$A$1:$A$1994,MATCH(Baupläne!L354,data_item!$B$1:$B$1994,0),1),0)</f>
        <v>0</v>
      </c>
      <c r="L354" s="3">
        <f>Baupläne!K354</f>
        <v>0</v>
      </c>
      <c r="M354" s="3">
        <f>IF(N354&gt;0,INDEX(data_item!$A$1:$A$1994,MATCH(Baupläne!N354,data_item!$B$1:$B$994,0),1),0)</f>
        <v>0</v>
      </c>
      <c r="N354" s="3">
        <f>Baupläne!M354</f>
        <v>0</v>
      </c>
      <c r="O354" s="3">
        <f>IF(P354&gt;0,INDEX(data_item!$A$1:$A$1994,MATCH(Baupläne!P354,data_item!$B$1:$B$1994,0),1),0)</f>
        <v>0</v>
      </c>
      <c r="P354" s="3">
        <f>Baupläne!O354</f>
        <v>0</v>
      </c>
      <c r="Q354" s="3">
        <f>IF(R354&gt;0,INDEX(data_item!$A$1:$A$1994,MATCH(Baupläne!R354,data_item!$B$1:$B$1994,0),1),0)</f>
        <v>0</v>
      </c>
      <c r="R354" s="3">
        <f>Baupläne!Q354</f>
        <v>0</v>
      </c>
      <c r="S354" s="3">
        <f>IF(T354&gt;0,INDEX(data_item!$A$1:$A$1994,MATCH(Baupläne!T354,data_item!$B$1:$B$1994,0),1),0)</f>
        <v>0</v>
      </c>
      <c r="T354" s="3">
        <f>Baupläne!S354</f>
        <v>0</v>
      </c>
    </row>
    <row r="355" spans="1:20" x14ac:dyDescent="0.2">
      <c r="A355" s="3">
        <f>Baupläne!A355</f>
        <v>1511</v>
      </c>
      <c r="B355" s="3" t="str">
        <f>Baupläne!C355</f>
        <v>Eckschild</v>
      </c>
      <c r="C355" s="3">
        <f>Baupläne!B355</f>
        <v>1511</v>
      </c>
      <c r="D355" s="3">
        <f>Baupläne!J355</f>
        <v>0</v>
      </c>
      <c r="E355" s="3">
        <f>Baupläne!H355</f>
        <v>62</v>
      </c>
      <c r="F355" s="3">
        <f>Baupläne!I355</f>
        <v>1</v>
      </c>
      <c r="G355" s="3">
        <f>Baupläne!E355</f>
        <v>30</v>
      </c>
      <c r="H355" s="3">
        <f>Baupläne!F355</f>
        <v>320</v>
      </c>
      <c r="I355" s="3">
        <f>0.5*Baupläne!Y355</f>
        <v>700</v>
      </c>
      <c r="J355" s="3">
        <f>Baupläne!G355</f>
        <v>1</v>
      </c>
      <c r="K355" s="3">
        <f>IF(L355&gt;0,INDEX(data_item!$A$1:$A$1994,MATCH(Baupläne!L355,data_item!$B$1:$B$1994,0),1),0)</f>
        <v>6</v>
      </c>
      <c r="L355" s="3">
        <f>Baupläne!K355</f>
        <v>8</v>
      </c>
      <c r="M355" s="3">
        <f>IF(N355&gt;0,INDEX(data_item!$A$1:$A$1994,MATCH(Baupläne!N355,data_item!$B$1:$B$994,0),1),0)</f>
        <v>101</v>
      </c>
      <c r="N355" s="3">
        <f>Baupläne!M355</f>
        <v>6</v>
      </c>
      <c r="O355" s="3">
        <f>IF(P355&gt;0,INDEX(data_item!$A$1:$A$1994,MATCH(Baupläne!P355,data_item!$B$1:$B$1994,0),1),0)</f>
        <v>0</v>
      </c>
      <c r="P355" s="3">
        <f>Baupläne!O355</f>
        <v>0</v>
      </c>
      <c r="Q355" s="3">
        <f>IF(R355&gt;0,INDEX(data_item!$A$1:$A$1994,MATCH(Baupläne!R355,data_item!$B$1:$B$1994,0),1),0)</f>
        <v>0</v>
      </c>
      <c r="R355" s="3">
        <f>Baupläne!Q355</f>
        <v>0</v>
      </c>
      <c r="S355" s="3">
        <f>IF(T355&gt;0,INDEX(data_item!$A$1:$A$1994,MATCH(Baupläne!T355,data_item!$B$1:$B$1994,0),1),0)</f>
        <v>0</v>
      </c>
      <c r="T355" s="3">
        <f>Baupläne!S355</f>
        <v>0</v>
      </c>
    </row>
    <row r="356" spans="1:20" x14ac:dyDescent="0.2">
      <c r="A356" s="3">
        <f>Baupläne!A356</f>
        <v>1512</v>
      </c>
      <c r="B356" s="3" t="str">
        <f>Baupläne!C356</f>
        <v>Kampfschild</v>
      </c>
      <c r="C356" s="3">
        <f>Baupläne!B356</f>
        <v>1512</v>
      </c>
      <c r="D356" s="3">
        <f>Baupläne!J356</f>
        <v>0</v>
      </c>
      <c r="E356" s="3">
        <f>Baupläne!H356</f>
        <v>62</v>
      </c>
      <c r="F356" s="3">
        <f>Baupläne!I356</f>
        <v>4</v>
      </c>
      <c r="G356" s="3">
        <f>Baupläne!E356</f>
        <v>30</v>
      </c>
      <c r="H356" s="3">
        <f>Baupläne!F356</f>
        <v>320</v>
      </c>
      <c r="I356" s="3">
        <f>0.5*Baupläne!Y356</f>
        <v>1050</v>
      </c>
      <c r="J356" s="3">
        <f>Baupläne!G356</f>
        <v>1</v>
      </c>
      <c r="K356" s="3">
        <f>IF(L356&gt;0,INDEX(data_item!$A$1:$A$1994,MATCH(Baupläne!L356,data_item!$B$1:$B$1994,0),1),0)</f>
        <v>6</v>
      </c>
      <c r="L356" s="3">
        <f>Baupläne!K356</f>
        <v>12</v>
      </c>
      <c r="M356" s="3">
        <f>IF(N356&gt;0,INDEX(data_item!$A$1:$A$1994,MATCH(Baupläne!N356,data_item!$B$1:$B$994,0),1),0)</f>
        <v>101</v>
      </c>
      <c r="N356" s="3">
        <f>Baupläne!M356</f>
        <v>9</v>
      </c>
      <c r="O356" s="3">
        <f>IF(P356&gt;0,INDEX(data_item!$A$1:$A$1994,MATCH(Baupläne!P356,data_item!$B$1:$B$1994,0),1),0)</f>
        <v>0</v>
      </c>
      <c r="P356" s="3">
        <f>Baupläne!O356</f>
        <v>0</v>
      </c>
      <c r="Q356" s="3">
        <f>IF(R356&gt;0,INDEX(data_item!$A$1:$A$1994,MATCH(Baupläne!R356,data_item!$B$1:$B$1994,0),1),0)</f>
        <v>0</v>
      </c>
      <c r="R356" s="3">
        <f>Baupläne!Q356</f>
        <v>0</v>
      </c>
      <c r="S356" s="3">
        <f>IF(T356&gt;0,INDEX(data_item!$A$1:$A$1994,MATCH(Baupläne!T356,data_item!$B$1:$B$1994,0),1),0)</f>
        <v>0</v>
      </c>
      <c r="T356" s="3">
        <f>Baupläne!S356</f>
        <v>0</v>
      </c>
    </row>
    <row r="357" spans="1:20" x14ac:dyDescent="0.2">
      <c r="A357" s="3">
        <f>Baupläne!A357</f>
        <v>1513</v>
      </c>
      <c r="B357" s="3" t="str">
        <f>Baupläne!C357</f>
        <v>Drachenschild</v>
      </c>
      <c r="C357" s="3">
        <f>Baupläne!B357</f>
        <v>1513</v>
      </c>
      <c r="D357" s="3">
        <f>Baupläne!J357</f>
        <v>0</v>
      </c>
      <c r="E357" s="3">
        <f>Baupläne!H357</f>
        <v>62</v>
      </c>
      <c r="F357" s="3">
        <f>Baupläne!I357</f>
        <v>6</v>
      </c>
      <c r="G357" s="3">
        <f>Baupläne!E357</f>
        <v>30</v>
      </c>
      <c r="H357" s="3">
        <f>Baupläne!F357</f>
        <v>320</v>
      </c>
      <c r="I357" s="3">
        <f>0.5*Baupläne!Y357</f>
        <v>1400</v>
      </c>
      <c r="J357" s="3">
        <f>Baupläne!G357</f>
        <v>2</v>
      </c>
      <c r="K357" s="3">
        <f>IF(L357&gt;0,INDEX(data_item!$A$1:$A$1994,MATCH(Baupläne!L357,data_item!$B$1:$B$1994,0),1),0)</f>
        <v>7</v>
      </c>
      <c r="L357" s="3">
        <f>Baupläne!K357</f>
        <v>8</v>
      </c>
      <c r="M357" s="3">
        <f>IF(N357&gt;0,INDEX(data_item!$A$1:$A$1994,MATCH(Baupläne!N357,data_item!$B$1:$B$994,0),1),0)</f>
        <v>101</v>
      </c>
      <c r="N357" s="3">
        <f>Baupläne!M357</f>
        <v>12</v>
      </c>
      <c r="O357" s="3">
        <f>IF(P357&gt;0,INDEX(data_item!$A$1:$A$1994,MATCH(Baupläne!P357,data_item!$B$1:$B$1994,0),1),0)</f>
        <v>0</v>
      </c>
      <c r="P357" s="3">
        <f>Baupläne!O357</f>
        <v>0</v>
      </c>
      <c r="Q357" s="3">
        <f>IF(R357&gt;0,INDEX(data_item!$A$1:$A$1994,MATCH(Baupläne!R357,data_item!$B$1:$B$1994,0),1),0)</f>
        <v>0</v>
      </c>
      <c r="R357" s="3">
        <f>Baupläne!Q357</f>
        <v>0</v>
      </c>
      <c r="S357" s="3">
        <f>IF(T357&gt;0,INDEX(data_item!$A$1:$A$1994,MATCH(Baupläne!T357,data_item!$B$1:$B$1994,0),1),0)</f>
        <v>0</v>
      </c>
      <c r="T357" s="3">
        <f>Baupläne!S357</f>
        <v>0</v>
      </c>
    </row>
    <row r="358" spans="1:20" x14ac:dyDescent="0.2">
      <c r="A358" s="3">
        <f>Baupläne!A358</f>
        <v>1514</v>
      </c>
      <c r="B358" s="3" t="str">
        <f>Baupläne!C358</f>
        <v>Gothika</v>
      </c>
      <c r="C358" s="3">
        <f>Baupläne!B358</f>
        <v>1514</v>
      </c>
      <c r="D358" s="3">
        <f>Baupläne!J358</f>
        <v>0</v>
      </c>
      <c r="E358" s="3">
        <f>Baupläne!H358</f>
        <v>62</v>
      </c>
      <c r="F358" s="3">
        <f>Baupläne!I358</f>
        <v>9</v>
      </c>
      <c r="G358" s="3">
        <f>Baupläne!E358</f>
        <v>30</v>
      </c>
      <c r="H358" s="3">
        <f>Baupläne!F358</f>
        <v>320</v>
      </c>
      <c r="I358" s="3">
        <f>0.5*Baupläne!Y358</f>
        <v>2100</v>
      </c>
      <c r="J358" s="3">
        <f>Baupläne!G358</f>
        <v>2</v>
      </c>
      <c r="K358" s="3">
        <f>IF(L358&gt;0,INDEX(data_item!$A$1:$A$1994,MATCH(Baupläne!L358,data_item!$B$1:$B$1994,0),1),0)</f>
        <v>7</v>
      </c>
      <c r="L358" s="3">
        <f>Baupläne!K358</f>
        <v>12</v>
      </c>
      <c r="M358" s="3">
        <f>IF(N358&gt;0,INDEX(data_item!$A$1:$A$1994,MATCH(Baupläne!N358,data_item!$B$1:$B$994,0),1),0)</f>
        <v>101</v>
      </c>
      <c r="N358" s="3">
        <f>Baupläne!M358</f>
        <v>18</v>
      </c>
      <c r="O358" s="3">
        <f>IF(P358&gt;0,INDEX(data_item!$A$1:$A$1994,MATCH(Baupläne!P358,data_item!$B$1:$B$1994,0),1),0)</f>
        <v>0</v>
      </c>
      <c r="P358" s="3">
        <f>Baupläne!O358</f>
        <v>0</v>
      </c>
      <c r="Q358" s="3">
        <f>IF(R358&gt;0,INDEX(data_item!$A$1:$A$1994,MATCH(Baupläne!R358,data_item!$B$1:$B$1994,0),1),0)</f>
        <v>0</v>
      </c>
      <c r="R358" s="3">
        <f>Baupläne!Q358</f>
        <v>0</v>
      </c>
      <c r="S358" s="3">
        <f>IF(T358&gt;0,INDEX(data_item!$A$1:$A$1994,MATCH(Baupläne!T358,data_item!$B$1:$B$1994,0),1),0)</f>
        <v>0</v>
      </c>
      <c r="T358" s="3">
        <f>Baupläne!S358</f>
        <v>0</v>
      </c>
    </row>
    <row r="359" spans="1:20" x14ac:dyDescent="0.2">
      <c r="A359" s="3">
        <f>Baupläne!A359</f>
        <v>1515</v>
      </c>
      <c r="B359" s="3" t="str">
        <f>Baupläne!C359</f>
        <v>Pavese</v>
      </c>
      <c r="C359" s="3">
        <f>Baupläne!B359</f>
        <v>1515</v>
      </c>
      <c r="D359" s="3">
        <f>Baupläne!J359</f>
        <v>0</v>
      </c>
      <c r="E359" s="3">
        <f>Baupläne!H359</f>
        <v>62</v>
      </c>
      <c r="F359" s="3">
        <f>Baupläne!I359</f>
        <v>11</v>
      </c>
      <c r="G359" s="3">
        <f>Baupläne!E359</f>
        <v>30</v>
      </c>
      <c r="H359" s="3">
        <f>Baupläne!F359</f>
        <v>320</v>
      </c>
      <c r="I359" s="3">
        <f>0.5*Baupläne!Y359</f>
        <v>2800</v>
      </c>
      <c r="J359" s="3">
        <f>Baupläne!G359</f>
        <v>3</v>
      </c>
      <c r="K359" s="3">
        <f>IF(L359&gt;0,INDEX(data_item!$A$1:$A$1994,MATCH(Baupläne!L359,data_item!$B$1:$B$1994,0),1),0)</f>
        <v>8</v>
      </c>
      <c r="L359" s="3">
        <f>Baupläne!K359</f>
        <v>10</v>
      </c>
      <c r="M359" s="3">
        <f>IF(N359&gt;0,INDEX(data_item!$A$1:$A$1994,MATCH(Baupläne!N359,data_item!$B$1:$B$994,0),1),0)</f>
        <v>101</v>
      </c>
      <c r="N359" s="3">
        <f>Baupläne!M359</f>
        <v>8</v>
      </c>
      <c r="O359" s="3">
        <f>IF(P359&gt;0,INDEX(data_item!$A$1:$A$1994,MATCH(Baupläne!P359,data_item!$B$1:$B$1994,0),1),0)</f>
        <v>118</v>
      </c>
      <c r="P359" s="3">
        <f>Baupläne!O359</f>
        <v>6</v>
      </c>
      <c r="Q359" s="3">
        <f>IF(R359&gt;0,INDEX(data_item!$A$1:$A$1994,MATCH(Baupläne!R359,data_item!$B$1:$B$1994,0),1),0)</f>
        <v>0</v>
      </c>
      <c r="R359" s="3">
        <f>Baupläne!Q359</f>
        <v>0</v>
      </c>
      <c r="S359" s="3">
        <f>IF(T359&gt;0,INDEX(data_item!$A$1:$A$1994,MATCH(Baupläne!T359,data_item!$B$1:$B$1994,0),1),0)</f>
        <v>0</v>
      </c>
      <c r="T359" s="3">
        <f>Baupläne!S359</f>
        <v>0</v>
      </c>
    </row>
    <row r="360" spans="1:20" x14ac:dyDescent="0.2">
      <c r="A360" s="3">
        <f>Baupläne!A360</f>
        <v>1516</v>
      </c>
      <c r="B360" s="3" t="str">
        <f>Baupläne!C360</f>
        <v>Prunkschild</v>
      </c>
      <c r="C360" s="3">
        <f>Baupläne!B360</f>
        <v>1516</v>
      </c>
      <c r="D360" s="3">
        <f>Baupläne!J360</f>
        <v>0</v>
      </c>
      <c r="E360" s="3">
        <f>Baupläne!H360</f>
        <v>62</v>
      </c>
      <c r="F360" s="3">
        <f>Baupläne!I360</f>
        <v>14</v>
      </c>
      <c r="G360" s="3">
        <f>Baupläne!E360</f>
        <v>30</v>
      </c>
      <c r="H360" s="3">
        <f>Baupläne!F360</f>
        <v>320</v>
      </c>
      <c r="I360" s="3">
        <f>0.5*Baupläne!Y360</f>
        <v>4250</v>
      </c>
      <c r="J360" s="3">
        <f>Baupläne!G360</f>
        <v>3</v>
      </c>
      <c r="K360" s="3">
        <f>IF(L360&gt;0,INDEX(data_item!$A$1:$A$1994,MATCH(Baupläne!L360,data_item!$B$1:$B$1994,0),1),0)</f>
        <v>8</v>
      </c>
      <c r="L360" s="3">
        <f>Baupläne!K360</f>
        <v>15</v>
      </c>
      <c r="M360" s="3">
        <f>IF(N360&gt;0,INDEX(data_item!$A$1:$A$1994,MATCH(Baupläne!N360,data_item!$B$1:$B$994,0),1),0)</f>
        <v>101</v>
      </c>
      <c r="N360" s="3">
        <f>Baupläne!M360</f>
        <v>10</v>
      </c>
      <c r="O360" s="3">
        <f>IF(P360&gt;0,INDEX(data_item!$A$1:$A$1994,MATCH(Baupläne!P360,data_item!$B$1:$B$1994,0),1),0)</f>
        <v>118</v>
      </c>
      <c r="P360" s="3">
        <f>Baupläne!O360</f>
        <v>10</v>
      </c>
      <c r="Q360" s="3">
        <f>IF(R360&gt;0,INDEX(data_item!$A$1:$A$1994,MATCH(Baupläne!R360,data_item!$B$1:$B$1994,0),1),0)</f>
        <v>0</v>
      </c>
      <c r="R360" s="3">
        <f>Baupläne!Q360</f>
        <v>0</v>
      </c>
      <c r="S360" s="3">
        <f>IF(T360&gt;0,INDEX(data_item!$A$1:$A$1994,MATCH(Baupläne!T360,data_item!$B$1:$B$1994,0),1),0)</f>
        <v>0</v>
      </c>
      <c r="T360" s="3">
        <f>Baupläne!S360</f>
        <v>0</v>
      </c>
    </row>
    <row r="361" spans="1:20" x14ac:dyDescent="0.2">
      <c r="A361" s="3">
        <f>Baupläne!A361</f>
        <v>1517</v>
      </c>
      <c r="B361" s="3" t="str">
        <f>Baupläne!C361</f>
        <v>Wappenschild</v>
      </c>
      <c r="C361" s="3">
        <f>Baupläne!B361</f>
        <v>1517</v>
      </c>
      <c r="D361" s="3">
        <f>Baupläne!J361</f>
        <v>0</v>
      </c>
      <c r="E361" s="3">
        <f>Baupläne!H361</f>
        <v>62</v>
      </c>
      <c r="F361" s="3">
        <f>Baupläne!I361</f>
        <v>16</v>
      </c>
      <c r="G361" s="3">
        <f>Baupläne!E361</f>
        <v>30</v>
      </c>
      <c r="H361" s="3">
        <f>Baupläne!F361</f>
        <v>320</v>
      </c>
      <c r="I361" s="3">
        <f>0.5*Baupläne!Y361</f>
        <v>5600</v>
      </c>
      <c r="J361" s="3">
        <f>Baupläne!G361</f>
        <v>4</v>
      </c>
      <c r="K361" s="3">
        <f>IF(L361&gt;0,INDEX(data_item!$A$1:$A$1994,MATCH(Baupläne!L361,data_item!$B$1:$B$1994,0),1),0)</f>
        <v>9</v>
      </c>
      <c r="L361" s="3">
        <f>Baupläne!K361</f>
        <v>14</v>
      </c>
      <c r="M361" s="3">
        <f>IF(N361&gt;0,INDEX(data_item!$A$1:$A$1994,MATCH(Baupläne!N361,data_item!$B$1:$B$994,0),1),0)</f>
        <v>101</v>
      </c>
      <c r="N361" s="3">
        <f>Baupläne!M361</f>
        <v>5</v>
      </c>
      <c r="O361" s="3">
        <f>IF(P361&gt;0,INDEX(data_item!$A$1:$A$1994,MATCH(Baupläne!P361,data_item!$B$1:$B$1994,0),1),0)</f>
        <v>118</v>
      </c>
      <c r="P361" s="3">
        <f>Baupläne!O361</f>
        <v>4</v>
      </c>
      <c r="Q361" s="3">
        <f>IF(R361&gt;0,INDEX(data_item!$A$1:$A$1994,MATCH(Baupläne!R361,data_item!$B$1:$B$1994,0),1),0)</f>
        <v>119</v>
      </c>
      <c r="R361" s="3">
        <f>Baupläne!Q361</f>
        <v>5</v>
      </c>
      <c r="S361" s="3">
        <f>IF(T361&gt;0,INDEX(data_item!$A$1:$A$1994,MATCH(Baupläne!T361,data_item!$B$1:$B$1994,0),1),0)</f>
        <v>0</v>
      </c>
      <c r="T361" s="3">
        <f>Baupläne!S361</f>
        <v>0</v>
      </c>
    </row>
    <row r="362" spans="1:20" x14ac:dyDescent="0.2">
      <c r="A362" s="3">
        <f>Baupläne!A362</f>
        <v>1518</v>
      </c>
      <c r="B362" s="3" t="str">
        <f>Baupläne!C362</f>
        <v>Turmschild</v>
      </c>
      <c r="C362" s="3">
        <f>Baupläne!B362</f>
        <v>1518</v>
      </c>
      <c r="D362" s="3">
        <f>Baupläne!J362</f>
        <v>0</v>
      </c>
      <c r="E362" s="3">
        <f>Baupläne!H362</f>
        <v>62</v>
      </c>
      <c r="F362" s="3">
        <f>Baupläne!I362</f>
        <v>19</v>
      </c>
      <c r="G362" s="3">
        <f>Baupläne!E362</f>
        <v>30</v>
      </c>
      <c r="H362" s="3">
        <f>Baupläne!F362</f>
        <v>320</v>
      </c>
      <c r="I362" s="3">
        <f>0.5*Baupläne!Y362</f>
        <v>8550</v>
      </c>
      <c r="J362" s="3">
        <f>Baupläne!G362</f>
        <v>4</v>
      </c>
      <c r="K362" s="3">
        <f>IF(L362&gt;0,INDEX(data_item!$A$1:$A$1994,MATCH(Baupläne!L362,data_item!$B$1:$B$1994,0),1),0)</f>
        <v>9</v>
      </c>
      <c r="L362" s="3">
        <f>Baupläne!K362</f>
        <v>21</v>
      </c>
      <c r="M362" s="3">
        <f>IF(N362&gt;0,INDEX(data_item!$A$1:$A$1994,MATCH(Baupläne!N362,data_item!$B$1:$B$994,0),1),0)</f>
        <v>101</v>
      </c>
      <c r="N362" s="3">
        <f>Baupläne!M362</f>
        <v>6</v>
      </c>
      <c r="O362" s="3">
        <f>IF(P362&gt;0,INDEX(data_item!$A$1:$A$1994,MATCH(Baupläne!P362,data_item!$B$1:$B$1994,0),1),0)</f>
        <v>118</v>
      </c>
      <c r="P362" s="3">
        <f>Baupläne!O362</f>
        <v>6</v>
      </c>
      <c r="Q362" s="3">
        <f>IF(R362&gt;0,INDEX(data_item!$A$1:$A$1994,MATCH(Baupläne!R362,data_item!$B$1:$B$1994,0),1),0)</f>
        <v>119</v>
      </c>
      <c r="R362" s="3">
        <f>Baupläne!Q362</f>
        <v>8</v>
      </c>
      <c r="S362" s="3">
        <f>IF(T362&gt;0,INDEX(data_item!$A$1:$A$1994,MATCH(Baupläne!T362,data_item!$B$1:$B$1994,0),1),0)</f>
        <v>0</v>
      </c>
      <c r="T362" s="3">
        <f>Baupläne!S362</f>
        <v>0</v>
      </c>
    </row>
    <row r="363" spans="1:20" x14ac:dyDescent="0.2">
      <c r="A363" s="3">
        <f>Baupläne!A363</f>
        <v>1519</v>
      </c>
      <c r="B363" s="3" t="str">
        <f>Baupläne!C363</f>
        <v>Wall</v>
      </c>
      <c r="C363" s="3">
        <f>Baupläne!B363</f>
        <v>1519</v>
      </c>
      <c r="D363" s="3">
        <f>Baupläne!J363</f>
        <v>0</v>
      </c>
      <c r="E363" s="3">
        <f>Baupläne!H363</f>
        <v>62</v>
      </c>
      <c r="F363" s="3">
        <f>Baupläne!I363</f>
        <v>21</v>
      </c>
      <c r="G363" s="3">
        <f>Baupläne!E363</f>
        <v>30</v>
      </c>
      <c r="H363" s="3">
        <f>Baupläne!F363</f>
        <v>320</v>
      </c>
      <c r="I363" s="3">
        <f>0.5*Baupläne!Y363</f>
        <v>11300</v>
      </c>
      <c r="J363" s="3">
        <f>Baupläne!G363</f>
        <v>5</v>
      </c>
      <c r="K363" s="3">
        <f>IF(L363&gt;0,INDEX(data_item!$A$1:$A$1994,MATCH(Baupläne!L363,data_item!$B$1:$B$1994,0),1),0)</f>
        <v>10</v>
      </c>
      <c r="L363" s="3">
        <f>Baupläne!K363</f>
        <v>21</v>
      </c>
      <c r="M363" s="3">
        <f>IF(N363&gt;0,INDEX(data_item!$A$1:$A$1994,MATCH(Baupläne!N363,data_item!$B$1:$B$994,0),1),0)</f>
        <v>101</v>
      </c>
      <c r="N363" s="3">
        <f>Baupläne!M363</f>
        <v>10</v>
      </c>
      <c r="O363" s="3">
        <f>IF(P363&gt;0,INDEX(data_item!$A$1:$A$1994,MATCH(Baupläne!P363,data_item!$B$1:$B$1994,0),1),0)</f>
        <v>118</v>
      </c>
      <c r="P363" s="3">
        <f>Baupläne!O363</f>
        <v>8</v>
      </c>
      <c r="Q363" s="3">
        <f>IF(R363&gt;0,INDEX(data_item!$A$1:$A$1994,MATCH(Baupläne!R363,data_item!$B$1:$B$1994,0),1),0)</f>
        <v>119</v>
      </c>
      <c r="R363" s="3">
        <f>Baupläne!Q363</f>
        <v>10</v>
      </c>
      <c r="S363" s="3">
        <f>IF(T363&gt;0,INDEX(data_item!$A$1:$A$1994,MATCH(Baupläne!T363,data_item!$B$1:$B$1994,0),1),0)</f>
        <v>0</v>
      </c>
      <c r="T363" s="3">
        <f>Baupläne!S363</f>
        <v>0</v>
      </c>
    </row>
    <row r="364" spans="1:20" x14ac:dyDescent="0.2">
      <c r="A364" s="3">
        <f>Baupläne!A364</f>
        <v>1520</v>
      </c>
      <c r="B364" s="3" t="str">
        <f>Baupläne!C364</f>
        <v>Monarchenschild</v>
      </c>
      <c r="C364" s="3">
        <f>Baupläne!B364</f>
        <v>1520</v>
      </c>
      <c r="D364" s="3">
        <f>Baupläne!J364</f>
        <v>0</v>
      </c>
      <c r="E364" s="3">
        <f>Baupläne!H364</f>
        <v>62</v>
      </c>
      <c r="F364" s="3">
        <f>Baupläne!I364</f>
        <v>24</v>
      </c>
      <c r="G364" s="3">
        <f>Baupläne!E364</f>
        <v>30</v>
      </c>
      <c r="H364" s="3">
        <f>Baupläne!F364</f>
        <v>320</v>
      </c>
      <c r="I364" s="3">
        <f>0.5*Baupläne!Y364</f>
        <v>17200</v>
      </c>
      <c r="J364" s="3">
        <f>Baupläne!G364</f>
        <v>5</v>
      </c>
      <c r="K364" s="3">
        <f>IF(L364&gt;0,INDEX(data_item!$A$1:$A$1994,MATCH(Baupläne!L364,data_item!$B$1:$B$1994,0),1),0)</f>
        <v>10</v>
      </c>
      <c r="L364" s="3">
        <f>Baupläne!K364</f>
        <v>32</v>
      </c>
      <c r="M364" s="3">
        <f>IF(N364&gt;0,INDEX(data_item!$A$1:$A$1994,MATCH(Baupläne!N364,data_item!$B$1:$B$994,0),1),0)</f>
        <v>101</v>
      </c>
      <c r="N364" s="3">
        <f>Baupläne!M364</f>
        <v>15</v>
      </c>
      <c r="O364" s="3">
        <f>IF(P364&gt;0,INDEX(data_item!$A$1:$A$1994,MATCH(Baupläne!P364,data_item!$B$1:$B$1994,0),1),0)</f>
        <v>118</v>
      </c>
      <c r="P364" s="3">
        <f>Baupläne!O364</f>
        <v>10</v>
      </c>
      <c r="Q364" s="3">
        <f>IF(R364&gt;0,INDEX(data_item!$A$1:$A$1994,MATCH(Baupläne!R364,data_item!$B$1:$B$1994,0),1),0)</f>
        <v>119</v>
      </c>
      <c r="R364" s="3">
        <f>Baupläne!Q364</f>
        <v>16</v>
      </c>
      <c r="S364" s="3">
        <f>IF(T364&gt;0,INDEX(data_item!$A$1:$A$1994,MATCH(Baupläne!T364,data_item!$B$1:$B$1994,0),1),0)</f>
        <v>0</v>
      </c>
      <c r="T364" s="3">
        <f>Baupläne!S364</f>
        <v>0</v>
      </c>
    </row>
    <row r="365" spans="1:20" x14ac:dyDescent="0.2">
      <c r="A365" s="3">
        <f>Baupläne!A365</f>
        <v>0</v>
      </c>
      <c r="B365" s="3">
        <f>Baupläne!C365</f>
        <v>0</v>
      </c>
      <c r="C365" s="3">
        <f>Baupläne!B365</f>
        <v>0</v>
      </c>
      <c r="D365" s="3">
        <f>Baupläne!J365</f>
        <v>0</v>
      </c>
      <c r="E365" s="3">
        <f>Baupläne!H365</f>
        <v>0</v>
      </c>
      <c r="F365" s="3">
        <f>Baupläne!I365</f>
        <v>0</v>
      </c>
      <c r="G365" s="3">
        <f>Baupläne!E365</f>
        <v>0</v>
      </c>
      <c r="H365" s="3">
        <f>Baupläne!F365</f>
        <v>0</v>
      </c>
      <c r="I365" s="3">
        <f>0.5*Baupläne!Y365</f>
        <v>0</v>
      </c>
      <c r="J365" s="3">
        <f>Baupläne!G365</f>
        <v>0</v>
      </c>
      <c r="K365" s="3">
        <f>IF(L365&gt;0,INDEX(data_item!$A$1:$A$1994,MATCH(Baupläne!L365,data_item!$B$1:$B$1994,0),1),0)</f>
        <v>0</v>
      </c>
      <c r="L365" s="3">
        <f>Baupläne!K365</f>
        <v>0</v>
      </c>
      <c r="M365" s="3">
        <f>IF(N365&gt;0,INDEX(data_item!$A$1:$A$1994,MATCH(Baupläne!N365,data_item!$B$1:$B$994,0),1),0)</f>
        <v>0</v>
      </c>
      <c r="N365" s="3">
        <f>Baupläne!M365</f>
        <v>0</v>
      </c>
      <c r="O365" s="3">
        <f>IF(P365&gt;0,INDEX(data_item!$A$1:$A$1994,MATCH(Baupläne!P365,data_item!$B$1:$B$1994,0),1),0)</f>
        <v>0</v>
      </c>
      <c r="P365" s="3">
        <f>Baupläne!O365</f>
        <v>0</v>
      </c>
      <c r="Q365" s="3">
        <f>IF(R365&gt;0,INDEX(data_item!$A$1:$A$1994,MATCH(Baupläne!R365,data_item!$B$1:$B$1994,0),1),0)</f>
        <v>0</v>
      </c>
      <c r="R365" s="3">
        <f>Baupläne!Q365</f>
        <v>0</v>
      </c>
      <c r="S365" s="3">
        <f>IF(T365&gt;0,INDEX(data_item!$A$1:$A$1994,MATCH(Baupläne!T365,data_item!$B$1:$B$1994,0),1),0)</f>
        <v>0</v>
      </c>
      <c r="T365" s="3">
        <f>Baupläne!S365</f>
        <v>0</v>
      </c>
    </row>
    <row r="366" spans="1:20" x14ac:dyDescent="0.2">
      <c r="A366" s="3">
        <f>Baupläne!A366</f>
        <v>1601</v>
      </c>
      <c r="B366" s="3" t="str">
        <f>Baupläne!C366</f>
        <v>Feuer-Stecken</v>
      </c>
      <c r="C366" s="3">
        <f>Baupläne!B366</f>
        <v>1601</v>
      </c>
      <c r="D366" s="3">
        <f>Baupläne!J366</f>
        <v>0</v>
      </c>
      <c r="E366" s="3">
        <f>Baupläne!H366</f>
        <v>63</v>
      </c>
      <c r="F366" s="3">
        <f>Baupläne!I366</f>
        <v>0</v>
      </c>
      <c r="G366" s="3">
        <f>Baupläne!E366</f>
        <v>32</v>
      </c>
      <c r="H366" s="3">
        <f>Baupläne!F366</f>
        <v>480</v>
      </c>
      <c r="I366" s="3">
        <f>0.5*Baupläne!Y366</f>
        <v>1000</v>
      </c>
      <c r="J366" s="3">
        <f>Baupläne!G366</f>
        <v>1</v>
      </c>
      <c r="K366" s="3">
        <f>IF(L366&gt;0,INDEX(data_item!$A$1:$A$1994,MATCH(Baupläne!L366,data_item!$B$1:$B$1994,0),1),0)</f>
        <v>26</v>
      </c>
      <c r="L366" s="3">
        <f>Baupläne!K366</f>
        <v>11</v>
      </c>
      <c r="M366" s="3">
        <f>IF(N366&gt;0,INDEX(data_item!$A$1:$A$1994,MATCH(Baupläne!N366,data_item!$B$1:$B$994,0),1),0)</f>
        <v>120</v>
      </c>
      <c r="N366" s="3">
        <f>Baupläne!M366</f>
        <v>11</v>
      </c>
      <c r="O366" s="3">
        <f>IF(P366&gt;0,INDEX(data_item!$A$1:$A$1994,MATCH(Baupläne!P366,data_item!$B$1:$B$1994,0),1),0)</f>
        <v>0</v>
      </c>
      <c r="P366" s="3">
        <f>Baupläne!O366</f>
        <v>0</v>
      </c>
      <c r="Q366" s="3">
        <f>IF(R366&gt;0,INDEX(data_item!$A$1:$A$1994,MATCH(Baupläne!R366,data_item!$B$1:$B$1994,0),1),0)</f>
        <v>0</v>
      </c>
      <c r="R366" s="3">
        <f>Baupläne!Q366</f>
        <v>0</v>
      </c>
      <c r="S366" s="3">
        <f>IF(T366&gt;0,INDEX(data_item!$A$1:$A$1994,MATCH(Baupläne!T366,data_item!$B$1:$B$1994,0),1),0)</f>
        <v>0</v>
      </c>
      <c r="T366" s="3">
        <f>Baupläne!S366</f>
        <v>0</v>
      </c>
    </row>
    <row r="367" spans="1:20" x14ac:dyDescent="0.2">
      <c r="A367" s="3">
        <f>Baupläne!A367</f>
        <v>1602</v>
      </c>
      <c r="B367" s="3" t="str">
        <f>Baupläne!C367</f>
        <v>Feuer-Krummstab</v>
      </c>
      <c r="C367" s="3">
        <f>Baupläne!B367</f>
        <v>1602</v>
      </c>
      <c r="D367" s="3">
        <f>Baupläne!J367</f>
        <v>0</v>
      </c>
      <c r="E367" s="3">
        <f>Baupläne!H367</f>
        <v>63</v>
      </c>
      <c r="F367" s="3">
        <f>Baupläne!I367</f>
        <v>3</v>
      </c>
      <c r="G367" s="3">
        <f>Baupläne!E367</f>
        <v>32</v>
      </c>
      <c r="H367" s="3">
        <f>Baupläne!F367</f>
        <v>480</v>
      </c>
      <c r="I367" s="3">
        <f>0.5*Baupläne!Y367</f>
        <v>1500</v>
      </c>
      <c r="J367" s="3">
        <f>Baupläne!G367</f>
        <v>1</v>
      </c>
      <c r="K367" s="3">
        <f>IF(L367&gt;0,INDEX(data_item!$A$1:$A$1994,MATCH(Baupläne!L367,data_item!$B$1:$B$1994,0),1),0)</f>
        <v>26</v>
      </c>
      <c r="L367" s="3">
        <f>Baupläne!K367</f>
        <v>16</v>
      </c>
      <c r="M367" s="3">
        <f>IF(N367&gt;0,INDEX(data_item!$A$1:$A$1994,MATCH(Baupläne!N367,data_item!$B$1:$B$994,0),1),0)</f>
        <v>120</v>
      </c>
      <c r="N367" s="3">
        <f>Baupläne!M367</f>
        <v>16</v>
      </c>
      <c r="O367" s="3">
        <f>IF(P367&gt;0,INDEX(data_item!$A$1:$A$1994,MATCH(Baupläne!P367,data_item!$B$1:$B$1994,0),1),0)</f>
        <v>0</v>
      </c>
      <c r="P367" s="3">
        <f>Baupläne!O367</f>
        <v>0</v>
      </c>
      <c r="Q367" s="3">
        <f>IF(R367&gt;0,INDEX(data_item!$A$1:$A$1994,MATCH(Baupläne!R367,data_item!$B$1:$B$1994,0),1),0)</f>
        <v>0</v>
      </c>
      <c r="R367" s="3">
        <f>Baupläne!Q367</f>
        <v>0</v>
      </c>
      <c r="S367" s="3">
        <f>IF(T367&gt;0,INDEX(data_item!$A$1:$A$1994,MATCH(Baupläne!T367,data_item!$B$1:$B$1994,0),1),0)</f>
        <v>0</v>
      </c>
      <c r="T367" s="3">
        <f>Baupläne!S367</f>
        <v>0</v>
      </c>
    </row>
    <row r="368" spans="1:20" x14ac:dyDescent="0.2">
      <c r="A368" s="3">
        <f>Baupläne!A368</f>
        <v>1603</v>
      </c>
      <c r="B368" s="3" t="str">
        <f>Baupläne!C368</f>
        <v>Feuer-Langholz</v>
      </c>
      <c r="C368" s="3">
        <f>Baupläne!B368</f>
        <v>1603</v>
      </c>
      <c r="D368" s="3">
        <f>Baupläne!J368</f>
        <v>0</v>
      </c>
      <c r="E368" s="3">
        <f>Baupläne!H368</f>
        <v>63</v>
      </c>
      <c r="F368" s="3">
        <f>Baupläne!I368</f>
        <v>5</v>
      </c>
      <c r="G368" s="3">
        <f>Baupläne!E368</f>
        <v>32</v>
      </c>
      <c r="H368" s="3">
        <f>Baupläne!F368</f>
        <v>480</v>
      </c>
      <c r="I368" s="3">
        <f>0.5*Baupläne!Y368</f>
        <v>2000</v>
      </c>
      <c r="J368" s="3">
        <f>Baupläne!G368</f>
        <v>2</v>
      </c>
      <c r="K368" s="3">
        <f>IF(L368&gt;0,INDEX(data_item!$A$1:$A$1994,MATCH(Baupläne!L368,data_item!$B$1:$B$1994,0),1),0)</f>
        <v>27</v>
      </c>
      <c r="L368" s="3">
        <f>Baupläne!K368</f>
        <v>11</v>
      </c>
      <c r="M368" s="3">
        <f>IF(N368&gt;0,INDEX(data_item!$A$1:$A$1994,MATCH(Baupläne!N368,data_item!$B$1:$B$994,0),1),0)</f>
        <v>120</v>
      </c>
      <c r="N368" s="3">
        <f>Baupläne!M368</f>
        <v>22</v>
      </c>
      <c r="O368" s="3">
        <f>IF(P368&gt;0,INDEX(data_item!$A$1:$A$1994,MATCH(Baupläne!P368,data_item!$B$1:$B$1994,0),1),0)</f>
        <v>0</v>
      </c>
      <c r="P368" s="3">
        <f>Baupläne!O368</f>
        <v>0</v>
      </c>
      <c r="Q368" s="3">
        <f>IF(R368&gt;0,INDEX(data_item!$A$1:$A$1994,MATCH(Baupläne!R368,data_item!$B$1:$B$1994,0),1),0)</f>
        <v>0</v>
      </c>
      <c r="R368" s="3">
        <f>Baupläne!Q368</f>
        <v>0</v>
      </c>
      <c r="S368" s="3">
        <f>IF(T368&gt;0,INDEX(data_item!$A$1:$A$1994,MATCH(Baupläne!T368,data_item!$B$1:$B$1994,0),1),0)</f>
        <v>0</v>
      </c>
      <c r="T368" s="3">
        <f>Baupläne!S368</f>
        <v>0</v>
      </c>
    </row>
    <row r="369" spans="1:20" x14ac:dyDescent="0.2">
      <c r="A369" s="3">
        <f>Baupläne!A369</f>
        <v>1604</v>
      </c>
      <c r="B369" s="3" t="str">
        <f>Baupläne!C369</f>
        <v>Feuer-Runenstab</v>
      </c>
      <c r="C369" s="3">
        <f>Baupläne!B369</f>
        <v>1604</v>
      </c>
      <c r="D369" s="3">
        <f>Baupläne!J369</f>
        <v>0</v>
      </c>
      <c r="E369" s="3">
        <f>Baupläne!H369</f>
        <v>63</v>
      </c>
      <c r="F369" s="3">
        <f>Baupläne!I369</f>
        <v>8</v>
      </c>
      <c r="G369" s="3">
        <f>Baupläne!E369</f>
        <v>32</v>
      </c>
      <c r="H369" s="3">
        <f>Baupläne!F369</f>
        <v>480</v>
      </c>
      <c r="I369" s="3">
        <f>0.5*Baupläne!Y369</f>
        <v>3050</v>
      </c>
      <c r="J369" s="3">
        <f>Baupläne!G369</f>
        <v>2</v>
      </c>
      <c r="K369" s="3">
        <f>IF(L369&gt;0,INDEX(data_item!$A$1:$A$1994,MATCH(Baupläne!L369,data_item!$B$1:$B$1994,0),1),0)</f>
        <v>27</v>
      </c>
      <c r="L369" s="3">
        <f>Baupläne!K369</f>
        <v>17</v>
      </c>
      <c r="M369" s="3">
        <f>IF(N369&gt;0,INDEX(data_item!$A$1:$A$1994,MATCH(Baupläne!N369,data_item!$B$1:$B$994,0),1),0)</f>
        <v>120</v>
      </c>
      <c r="N369" s="3">
        <f>Baupläne!M369</f>
        <v>34</v>
      </c>
      <c r="O369" s="3">
        <f>IF(P369&gt;0,INDEX(data_item!$A$1:$A$1994,MATCH(Baupläne!P369,data_item!$B$1:$B$1994,0),1),0)</f>
        <v>0</v>
      </c>
      <c r="P369" s="3">
        <f>Baupläne!O369</f>
        <v>0</v>
      </c>
      <c r="Q369" s="3">
        <f>IF(R369&gt;0,INDEX(data_item!$A$1:$A$1994,MATCH(Baupläne!R369,data_item!$B$1:$B$1994,0),1),0)</f>
        <v>0</v>
      </c>
      <c r="R369" s="3">
        <f>Baupläne!Q369</f>
        <v>0</v>
      </c>
      <c r="S369" s="3">
        <f>IF(T369&gt;0,INDEX(data_item!$A$1:$A$1994,MATCH(Baupläne!T369,data_item!$B$1:$B$1994,0),1),0)</f>
        <v>0</v>
      </c>
      <c r="T369" s="3">
        <f>Baupläne!S369</f>
        <v>0</v>
      </c>
    </row>
    <row r="370" spans="1:20" x14ac:dyDescent="0.2">
      <c r="A370" s="3">
        <f>Baupläne!A370</f>
        <v>1605</v>
      </c>
      <c r="B370" s="3" t="str">
        <f>Baupläne!C370</f>
        <v>Feuer-Lichtstab</v>
      </c>
      <c r="C370" s="3">
        <f>Baupläne!B370</f>
        <v>1605</v>
      </c>
      <c r="D370" s="3">
        <f>Baupläne!J370</f>
        <v>0</v>
      </c>
      <c r="E370" s="3">
        <f>Baupläne!H370</f>
        <v>63</v>
      </c>
      <c r="F370" s="3">
        <f>Baupläne!I370</f>
        <v>10</v>
      </c>
      <c r="G370" s="3">
        <f>Baupläne!E370</f>
        <v>32</v>
      </c>
      <c r="H370" s="3">
        <f>Baupläne!F370</f>
        <v>480</v>
      </c>
      <c r="I370" s="3">
        <f>0.5*Baupläne!Y370</f>
        <v>4050</v>
      </c>
      <c r="J370" s="3">
        <f>Baupläne!G370</f>
        <v>3</v>
      </c>
      <c r="K370" s="3">
        <f>IF(L370&gt;0,INDEX(data_item!$A$1:$A$1994,MATCH(Baupläne!L370,data_item!$B$1:$B$1994,0),1),0)</f>
        <v>28</v>
      </c>
      <c r="L370" s="3">
        <f>Baupläne!K370</f>
        <v>15</v>
      </c>
      <c r="M370" s="3">
        <f>IF(N370&gt;0,INDEX(data_item!$A$1:$A$1994,MATCH(Baupläne!N370,data_item!$B$1:$B$994,0),1),0)</f>
        <v>120</v>
      </c>
      <c r="N370" s="3">
        <f>Baupläne!M370</f>
        <v>5</v>
      </c>
      <c r="O370" s="3">
        <f>IF(P370&gt;0,INDEX(data_item!$A$1:$A$1994,MATCH(Baupläne!P370,data_item!$B$1:$B$1994,0),1),0)</f>
        <v>121</v>
      </c>
      <c r="P370" s="3">
        <f>Baupläne!O370</f>
        <v>12</v>
      </c>
      <c r="Q370" s="3">
        <f>IF(R370&gt;0,INDEX(data_item!$A$1:$A$1994,MATCH(Baupläne!R370,data_item!$B$1:$B$1994,0),1),0)</f>
        <v>0</v>
      </c>
      <c r="R370" s="3">
        <f>Baupläne!Q370</f>
        <v>0</v>
      </c>
      <c r="S370" s="3">
        <f>IF(T370&gt;0,INDEX(data_item!$A$1:$A$1994,MATCH(Baupläne!T370,data_item!$B$1:$B$1994,0),1),0)</f>
        <v>0</v>
      </c>
      <c r="T370" s="3">
        <f>Baupläne!S370</f>
        <v>0</v>
      </c>
    </row>
    <row r="371" spans="1:20" x14ac:dyDescent="0.2">
      <c r="A371" s="3">
        <f>Baupläne!A371</f>
        <v>1606</v>
      </c>
      <c r="B371" s="3" t="str">
        <f>Baupläne!C371</f>
        <v>Feuer-Rute</v>
      </c>
      <c r="C371" s="3">
        <f>Baupläne!B371</f>
        <v>1606</v>
      </c>
      <c r="D371" s="3">
        <f>Baupläne!J371</f>
        <v>0</v>
      </c>
      <c r="E371" s="3">
        <f>Baupläne!H371</f>
        <v>63</v>
      </c>
      <c r="F371" s="3">
        <f>Baupläne!I371</f>
        <v>13</v>
      </c>
      <c r="G371" s="3">
        <f>Baupläne!E371</f>
        <v>32</v>
      </c>
      <c r="H371" s="3">
        <f>Baupläne!F371</f>
        <v>480</v>
      </c>
      <c r="I371" s="3">
        <f>0.5*Baupläne!Y371</f>
        <v>6150</v>
      </c>
      <c r="J371" s="3">
        <f>Baupläne!G371</f>
        <v>3</v>
      </c>
      <c r="K371" s="3">
        <f>IF(L371&gt;0,INDEX(data_item!$A$1:$A$1994,MATCH(Baupläne!L371,data_item!$B$1:$B$1994,0),1),0)</f>
        <v>28</v>
      </c>
      <c r="L371" s="3">
        <f>Baupläne!K371</f>
        <v>22</v>
      </c>
      <c r="M371" s="3">
        <f>IF(N371&gt;0,INDEX(data_item!$A$1:$A$1994,MATCH(Baupläne!N371,data_item!$B$1:$B$994,0),1),0)</f>
        <v>120</v>
      </c>
      <c r="N371" s="3">
        <f>Baupläne!M371</f>
        <v>5</v>
      </c>
      <c r="O371" s="3">
        <f>IF(P371&gt;0,INDEX(data_item!$A$1:$A$1994,MATCH(Baupläne!P371,data_item!$B$1:$B$1994,0),1),0)</f>
        <v>121</v>
      </c>
      <c r="P371" s="3">
        <f>Baupläne!O371</f>
        <v>19</v>
      </c>
      <c r="Q371" s="3">
        <f>IF(R371&gt;0,INDEX(data_item!$A$1:$A$1994,MATCH(Baupläne!R371,data_item!$B$1:$B$1994,0),1),0)</f>
        <v>0</v>
      </c>
      <c r="R371" s="3">
        <f>Baupläne!Q371</f>
        <v>0</v>
      </c>
      <c r="S371" s="3">
        <f>IF(T371&gt;0,INDEX(data_item!$A$1:$A$1994,MATCH(Baupläne!T371,data_item!$B$1:$B$1994,0),1),0)</f>
        <v>0</v>
      </c>
      <c r="T371" s="3">
        <f>Baupläne!S371</f>
        <v>0</v>
      </c>
    </row>
    <row r="372" spans="1:20" x14ac:dyDescent="0.2">
      <c r="A372" s="3">
        <f>Baupläne!A372</f>
        <v>1607</v>
      </c>
      <c r="B372" s="3" t="str">
        <f>Baupläne!C372</f>
        <v>Feuer-Spiralstab</v>
      </c>
      <c r="C372" s="3">
        <f>Baupläne!B372</f>
        <v>1607</v>
      </c>
      <c r="D372" s="3">
        <f>Baupläne!J372</f>
        <v>0</v>
      </c>
      <c r="E372" s="3">
        <f>Baupläne!H372</f>
        <v>63</v>
      </c>
      <c r="F372" s="3">
        <f>Baupläne!I372</f>
        <v>15</v>
      </c>
      <c r="G372" s="3">
        <f>Baupläne!E372</f>
        <v>32</v>
      </c>
      <c r="H372" s="3">
        <f>Baupläne!F372</f>
        <v>480</v>
      </c>
      <c r="I372" s="3">
        <f>0.5*Baupläne!Y372</f>
        <v>8150</v>
      </c>
      <c r="J372" s="3">
        <f>Baupläne!G372</f>
        <v>4</v>
      </c>
      <c r="K372" s="3">
        <f>IF(L372&gt;0,INDEX(data_item!$A$1:$A$1994,MATCH(Baupläne!L372,data_item!$B$1:$B$1994,0),1),0)</f>
        <v>29</v>
      </c>
      <c r="L372" s="3">
        <f>Baupläne!K372</f>
        <v>20</v>
      </c>
      <c r="M372" s="3">
        <f>IF(N372&gt;0,INDEX(data_item!$A$1:$A$1994,MATCH(Baupläne!N372,data_item!$B$1:$B$994,0),1),0)</f>
        <v>120</v>
      </c>
      <c r="N372" s="3">
        <f>Baupläne!M372</f>
        <v>6</v>
      </c>
      <c r="O372" s="3">
        <f>IF(P372&gt;0,INDEX(data_item!$A$1:$A$1994,MATCH(Baupläne!P372,data_item!$B$1:$B$1994,0),1),0)</f>
        <v>121</v>
      </c>
      <c r="P372" s="3">
        <f>Baupläne!O372</f>
        <v>25</v>
      </c>
      <c r="Q372" s="3">
        <f>IF(R372&gt;0,INDEX(data_item!$A$1:$A$1994,MATCH(Baupläne!R372,data_item!$B$1:$B$1994,0),1),0)</f>
        <v>0</v>
      </c>
      <c r="R372" s="3">
        <f>Baupläne!Q372</f>
        <v>0</v>
      </c>
      <c r="S372" s="3">
        <f>IF(T372&gt;0,INDEX(data_item!$A$1:$A$1994,MATCH(Baupläne!T372,data_item!$B$1:$B$1994,0),1),0)</f>
        <v>0</v>
      </c>
      <c r="T372" s="3">
        <f>Baupläne!S372</f>
        <v>0</v>
      </c>
    </row>
    <row r="373" spans="1:20" x14ac:dyDescent="0.2">
      <c r="A373" s="3">
        <f>Baupläne!A373</f>
        <v>1608</v>
      </c>
      <c r="B373" s="3" t="str">
        <f>Baupläne!C373</f>
        <v>Feuer-Eschenstab</v>
      </c>
      <c r="C373" s="3">
        <f>Baupläne!B373</f>
        <v>1608</v>
      </c>
      <c r="D373" s="3">
        <f>Baupläne!J373</f>
        <v>0</v>
      </c>
      <c r="E373" s="3">
        <f>Baupläne!H373</f>
        <v>63</v>
      </c>
      <c r="F373" s="3">
        <f>Baupläne!I373</f>
        <v>18</v>
      </c>
      <c r="G373" s="3">
        <f>Baupläne!E373</f>
        <v>32</v>
      </c>
      <c r="H373" s="3">
        <f>Baupläne!F373</f>
        <v>480</v>
      </c>
      <c r="I373" s="3">
        <f>0.5*Baupläne!Y373</f>
        <v>12400</v>
      </c>
      <c r="J373" s="3">
        <f>Baupläne!G373</f>
        <v>4</v>
      </c>
      <c r="K373" s="3">
        <f>IF(L373&gt;0,INDEX(data_item!$A$1:$A$1994,MATCH(Baupläne!L373,data_item!$B$1:$B$1994,0),1),0)</f>
        <v>29</v>
      </c>
      <c r="L373" s="3">
        <f>Baupläne!K373</f>
        <v>30</v>
      </c>
      <c r="M373" s="3">
        <f>IF(N373&gt;0,INDEX(data_item!$A$1:$A$1994,MATCH(Baupläne!N373,data_item!$B$1:$B$994,0),1),0)</f>
        <v>120</v>
      </c>
      <c r="N373" s="3">
        <f>Baupläne!M373</f>
        <v>8</v>
      </c>
      <c r="O373" s="3">
        <f>IF(P373&gt;0,INDEX(data_item!$A$1:$A$1994,MATCH(Baupläne!P373,data_item!$B$1:$B$1994,0),1),0)</f>
        <v>121</v>
      </c>
      <c r="P373" s="3">
        <f>Baupläne!O373</f>
        <v>38</v>
      </c>
      <c r="Q373" s="3">
        <f>IF(R373&gt;0,INDEX(data_item!$A$1:$A$1994,MATCH(Baupläne!R373,data_item!$B$1:$B$1994,0),1),0)</f>
        <v>0</v>
      </c>
      <c r="R373" s="3">
        <f>Baupläne!Q373</f>
        <v>0</v>
      </c>
      <c r="S373" s="3">
        <f>IF(T373&gt;0,INDEX(data_item!$A$1:$A$1994,MATCH(Baupläne!T373,data_item!$B$1:$B$1994,0),1),0)</f>
        <v>0</v>
      </c>
      <c r="T373" s="3">
        <f>Baupläne!S373</f>
        <v>0</v>
      </c>
    </row>
    <row r="374" spans="1:20" x14ac:dyDescent="0.2">
      <c r="A374" s="3">
        <f>Baupläne!A374</f>
        <v>1609</v>
      </c>
      <c r="B374" s="3" t="str">
        <f>Baupläne!C374</f>
        <v>Feuer-Eibenlanze</v>
      </c>
      <c r="C374" s="3">
        <f>Baupläne!B374</f>
        <v>1609</v>
      </c>
      <c r="D374" s="3">
        <f>Baupläne!J374</f>
        <v>0</v>
      </c>
      <c r="E374" s="3">
        <f>Baupläne!H374</f>
        <v>63</v>
      </c>
      <c r="F374" s="3">
        <f>Baupläne!I374</f>
        <v>21</v>
      </c>
      <c r="G374" s="3">
        <f>Baupläne!E374</f>
        <v>32</v>
      </c>
      <c r="H374" s="3">
        <f>Baupläne!F374</f>
        <v>480</v>
      </c>
      <c r="I374" s="3">
        <f>0.5*Baupläne!Y374</f>
        <v>18800</v>
      </c>
      <c r="J374" s="3">
        <f>Baupläne!G374</f>
        <v>5</v>
      </c>
      <c r="K374" s="3">
        <f>IF(L374&gt;0,INDEX(data_item!$A$1:$A$1994,MATCH(Baupläne!L374,data_item!$B$1:$B$1994,0),1),0)</f>
        <v>30</v>
      </c>
      <c r="L374" s="3">
        <f>Baupläne!K374</f>
        <v>34</v>
      </c>
      <c r="M374" s="3">
        <f>IF(N374&gt;0,INDEX(data_item!$A$1:$A$1994,MATCH(Baupläne!N374,data_item!$B$1:$B$994,0),1),0)</f>
        <v>120</v>
      </c>
      <c r="N374" s="3">
        <f>Baupläne!M374</f>
        <v>6</v>
      </c>
      <c r="O374" s="3">
        <f>IF(P374&gt;0,INDEX(data_item!$A$1:$A$1994,MATCH(Baupläne!P374,data_item!$B$1:$B$1994,0),1),0)</f>
        <v>121</v>
      </c>
      <c r="P374" s="3">
        <f>Baupläne!O374</f>
        <v>10</v>
      </c>
      <c r="Q374" s="3">
        <f>IF(R374&gt;0,INDEX(data_item!$A$1:$A$1994,MATCH(Baupläne!R374,data_item!$B$1:$B$1994,0),1),0)</f>
        <v>122</v>
      </c>
      <c r="R374" s="3">
        <f>Baupläne!Q374</f>
        <v>20</v>
      </c>
      <c r="S374" s="3">
        <f>IF(T374&gt;0,INDEX(data_item!$A$1:$A$1994,MATCH(Baupläne!T374,data_item!$B$1:$B$1994,0),1),0)</f>
        <v>0</v>
      </c>
      <c r="T374" s="3">
        <f>Baupläne!S374</f>
        <v>0</v>
      </c>
    </row>
    <row r="375" spans="1:20" x14ac:dyDescent="0.2">
      <c r="A375" s="3">
        <f>Baupläne!A375</f>
        <v>1610</v>
      </c>
      <c r="B375" s="3" t="str">
        <f>Baupläne!C375</f>
        <v>Feuer-Wächterstab</v>
      </c>
      <c r="C375" s="3">
        <f>Baupläne!B375</f>
        <v>1610</v>
      </c>
      <c r="D375" s="3">
        <f>Baupläne!J375</f>
        <v>0</v>
      </c>
      <c r="E375" s="3">
        <f>Baupläne!H375</f>
        <v>63</v>
      </c>
      <c r="F375" s="3">
        <f>Baupläne!I375</f>
        <v>24</v>
      </c>
      <c r="G375" s="3">
        <f>Baupläne!E375</f>
        <v>32</v>
      </c>
      <c r="H375" s="3">
        <f>Baupläne!F375</f>
        <v>480</v>
      </c>
      <c r="I375" s="3">
        <f>0.5*Baupläne!Y375</f>
        <v>28650</v>
      </c>
      <c r="J375" s="3">
        <f>Baupläne!G375</f>
        <v>5</v>
      </c>
      <c r="K375" s="3">
        <f>IF(L375&gt;0,INDEX(data_item!$A$1:$A$1994,MATCH(Baupläne!L375,data_item!$B$1:$B$1994,0),1),0)</f>
        <v>30</v>
      </c>
      <c r="L375" s="3">
        <f>Baupläne!K375</f>
        <v>52</v>
      </c>
      <c r="M375" s="3">
        <f>IF(N375&gt;0,INDEX(data_item!$A$1:$A$1994,MATCH(Baupläne!N375,data_item!$B$1:$B$994,0),1),0)</f>
        <v>120</v>
      </c>
      <c r="N375" s="3">
        <f>Baupläne!M375</f>
        <v>6</v>
      </c>
      <c r="O375" s="3">
        <f>IF(P375&gt;0,INDEX(data_item!$A$1:$A$1994,MATCH(Baupläne!P375,data_item!$B$1:$B$1994,0),1),0)</f>
        <v>121</v>
      </c>
      <c r="P375" s="3">
        <f>Baupläne!O375</f>
        <v>12</v>
      </c>
      <c r="Q375" s="3">
        <f>IF(R375&gt;0,INDEX(data_item!$A$1:$A$1994,MATCH(Baupläne!R375,data_item!$B$1:$B$1994,0),1),0)</f>
        <v>122</v>
      </c>
      <c r="R375" s="3">
        <f>Baupläne!Q375</f>
        <v>32</v>
      </c>
      <c r="S375" s="3">
        <f>IF(T375&gt;0,INDEX(data_item!$A$1:$A$1994,MATCH(Baupläne!T375,data_item!$B$1:$B$1994,0),1),0)</f>
        <v>0</v>
      </c>
      <c r="T375" s="3">
        <f>Baupläne!S375</f>
        <v>0</v>
      </c>
    </row>
    <row r="376" spans="1:20" x14ac:dyDescent="0.2">
      <c r="A376" s="3">
        <f>Baupläne!A376</f>
        <v>0</v>
      </c>
      <c r="B376" s="3">
        <f>Baupläne!C376</f>
        <v>0</v>
      </c>
      <c r="C376" s="3">
        <f>Baupläne!B376</f>
        <v>0</v>
      </c>
      <c r="D376" s="3">
        <f>Baupläne!J376</f>
        <v>0</v>
      </c>
      <c r="E376" s="3">
        <f>Baupläne!H376</f>
        <v>0</v>
      </c>
      <c r="F376" s="3">
        <f>Baupläne!I376</f>
        <v>0</v>
      </c>
      <c r="G376" s="3">
        <f>Baupläne!E376</f>
        <v>0</v>
      </c>
      <c r="H376" s="3">
        <f>Baupläne!F376</f>
        <v>0</v>
      </c>
      <c r="I376" s="3">
        <f>0.5*Baupläne!Y376</f>
        <v>0</v>
      </c>
      <c r="J376" s="3">
        <f>Baupläne!G376</f>
        <v>0</v>
      </c>
      <c r="K376" s="3">
        <f>IF(L376&gt;0,INDEX(data_item!$A$1:$A$1994,MATCH(Baupläne!L376,data_item!$B$1:$B$1994,0),1),0)</f>
        <v>0</v>
      </c>
      <c r="L376" s="3">
        <f>Baupläne!K376</f>
        <v>0</v>
      </c>
      <c r="M376" s="3">
        <f>IF(N376&gt;0,INDEX(data_item!$A$1:$A$1994,MATCH(Baupläne!N376,data_item!$B$1:$B$994,0),1),0)</f>
        <v>0</v>
      </c>
      <c r="N376" s="3">
        <f>Baupläne!M376</f>
        <v>0</v>
      </c>
      <c r="O376" s="3">
        <f>IF(P376&gt;0,INDEX(data_item!$A$1:$A$1994,MATCH(Baupläne!P376,data_item!$B$1:$B$1994,0),1),0)</f>
        <v>0</v>
      </c>
      <c r="P376" s="3">
        <f>Baupläne!O376</f>
        <v>0</v>
      </c>
      <c r="Q376" s="3">
        <f>IF(R376&gt;0,INDEX(data_item!$A$1:$A$1994,MATCH(Baupläne!R376,data_item!$B$1:$B$1994,0),1),0)</f>
        <v>0</v>
      </c>
      <c r="R376" s="3">
        <f>Baupläne!Q376</f>
        <v>0</v>
      </c>
      <c r="S376" s="3">
        <f>IF(T376&gt;0,INDEX(data_item!$A$1:$A$1994,MATCH(Baupläne!T376,data_item!$B$1:$B$1994,0),1),0)</f>
        <v>0</v>
      </c>
      <c r="T376" s="3">
        <f>Baupläne!S376</f>
        <v>0</v>
      </c>
    </row>
    <row r="377" spans="1:20" x14ac:dyDescent="0.2">
      <c r="A377" s="3">
        <f>Baupläne!A377</f>
        <v>1611</v>
      </c>
      <c r="B377" s="3" t="str">
        <f>Baupläne!C377</f>
        <v>Wasser-Stecken</v>
      </c>
      <c r="C377" s="3">
        <f>Baupläne!B377</f>
        <v>1611</v>
      </c>
      <c r="D377" s="3">
        <f>Baupläne!J377</f>
        <v>0</v>
      </c>
      <c r="E377" s="3">
        <f>Baupläne!H377</f>
        <v>63</v>
      </c>
      <c r="F377" s="3">
        <f>Baupläne!I377</f>
        <v>0</v>
      </c>
      <c r="G377" s="3">
        <f>Baupläne!E377</f>
        <v>32</v>
      </c>
      <c r="H377" s="3">
        <f>Baupläne!F377</f>
        <v>480</v>
      </c>
      <c r="I377" s="3">
        <f>0.5*Baupläne!Y377</f>
        <v>1000</v>
      </c>
      <c r="J377" s="3">
        <f>Baupläne!G377</f>
        <v>1</v>
      </c>
      <c r="K377" s="3">
        <f>IF(L377&gt;0,INDEX(data_item!$A$1:$A$1994,MATCH(Baupläne!L377,data_item!$B$1:$B$1994,0),1),0)</f>
        <v>26</v>
      </c>
      <c r="L377" s="3">
        <f>Baupläne!K377</f>
        <v>11</v>
      </c>
      <c r="M377" s="3">
        <f>IF(N377&gt;0,INDEX(data_item!$A$1:$A$1994,MATCH(Baupläne!N377,data_item!$B$1:$B$994,0),1),0)</f>
        <v>120</v>
      </c>
      <c r="N377" s="3">
        <f>Baupläne!M377</f>
        <v>11</v>
      </c>
      <c r="O377" s="3">
        <f>IF(P377&gt;0,INDEX(data_item!$A$1:$A$1994,MATCH(Baupläne!P377,data_item!$B$1:$B$1994,0),1),0)</f>
        <v>0</v>
      </c>
      <c r="P377" s="3">
        <f>Baupläne!O377</f>
        <v>0</v>
      </c>
      <c r="Q377" s="3">
        <f>IF(R377&gt;0,INDEX(data_item!$A$1:$A$1994,MATCH(Baupläne!R377,data_item!$B$1:$B$1994,0),1),0)</f>
        <v>0</v>
      </c>
      <c r="R377" s="3">
        <f>Baupläne!Q377</f>
        <v>0</v>
      </c>
      <c r="S377" s="3">
        <f>IF(T377&gt;0,INDEX(data_item!$A$1:$A$1994,MATCH(Baupläne!T377,data_item!$B$1:$B$1994,0),1),0)</f>
        <v>0</v>
      </c>
      <c r="T377" s="3">
        <f>Baupläne!S377</f>
        <v>0</v>
      </c>
    </row>
    <row r="378" spans="1:20" x14ac:dyDescent="0.2">
      <c r="A378" s="3">
        <f>Baupläne!A378</f>
        <v>1612</v>
      </c>
      <c r="B378" s="3" t="str">
        <f>Baupläne!C378</f>
        <v>Wasser-Krummstab</v>
      </c>
      <c r="C378" s="3">
        <f>Baupläne!B378</f>
        <v>1612</v>
      </c>
      <c r="D378" s="3">
        <f>Baupläne!J378</f>
        <v>0</v>
      </c>
      <c r="E378" s="3">
        <f>Baupläne!H378</f>
        <v>63</v>
      </c>
      <c r="F378" s="3">
        <f>Baupläne!I378</f>
        <v>3</v>
      </c>
      <c r="G378" s="3">
        <f>Baupläne!E378</f>
        <v>32</v>
      </c>
      <c r="H378" s="3">
        <f>Baupläne!F378</f>
        <v>480</v>
      </c>
      <c r="I378" s="3">
        <f>0.5*Baupläne!Y378</f>
        <v>1500</v>
      </c>
      <c r="J378" s="3">
        <f>Baupläne!G378</f>
        <v>1</v>
      </c>
      <c r="K378" s="3">
        <f>IF(L378&gt;0,INDEX(data_item!$A$1:$A$1994,MATCH(Baupläne!L378,data_item!$B$1:$B$1994,0),1),0)</f>
        <v>26</v>
      </c>
      <c r="L378" s="3">
        <f>Baupläne!K378</f>
        <v>16</v>
      </c>
      <c r="M378" s="3">
        <f>IF(N378&gt;0,INDEX(data_item!$A$1:$A$1994,MATCH(Baupläne!N378,data_item!$B$1:$B$994,0),1),0)</f>
        <v>120</v>
      </c>
      <c r="N378" s="3">
        <f>Baupläne!M378</f>
        <v>16</v>
      </c>
      <c r="O378" s="3">
        <f>IF(P378&gt;0,INDEX(data_item!$A$1:$A$1994,MATCH(Baupläne!P378,data_item!$B$1:$B$1994,0),1),0)</f>
        <v>0</v>
      </c>
      <c r="P378" s="3">
        <f>Baupläne!O378</f>
        <v>0</v>
      </c>
      <c r="Q378" s="3">
        <f>IF(R378&gt;0,INDEX(data_item!$A$1:$A$1994,MATCH(Baupläne!R378,data_item!$B$1:$B$1994,0),1),0)</f>
        <v>0</v>
      </c>
      <c r="R378" s="3">
        <f>Baupläne!Q378</f>
        <v>0</v>
      </c>
      <c r="S378" s="3">
        <f>IF(T378&gt;0,INDEX(data_item!$A$1:$A$1994,MATCH(Baupläne!T378,data_item!$B$1:$B$1994,0),1),0)</f>
        <v>0</v>
      </c>
      <c r="T378" s="3">
        <f>Baupläne!S378</f>
        <v>0</v>
      </c>
    </row>
    <row r="379" spans="1:20" x14ac:dyDescent="0.2">
      <c r="A379" s="3">
        <f>Baupläne!A379</f>
        <v>1613</v>
      </c>
      <c r="B379" s="3" t="str">
        <f>Baupläne!C379</f>
        <v>Wasser-Langholz</v>
      </c>
      <c r="C379" s="3">
        <f>Baupläne!B379</f>
        <v>1613</v>
      </c>
      <c r="D379" s="3">
        <f>Baupläne!J379</f>
        <v>0</v>
      </c>
      <c r="E379" s="3">
        <f>Baupläne!H379</f>
        <v>63</v>
      </c>
      <c r="F379" s="3">
        <f>Baupläne!I379</f>
        <v>5</v>
      </c>
      <c r="G379" s="3">
        <f>Baupläne!E379</f>
        <v>32</v>
      </c>
      <c r="H379" s="3">
        <f>Baupläne!F379</f>
        <v>480</v>
      </c>
      <c r="I379" s="3">
        <f>0.5*Baupläne!Y379</f>
        <v>2000</v>
      </c>
      <c r="J379" s="3">
        <f>Baupläne!G379</f>
        <v>2</v>
      </c>
      <c r="K379" s="3">
        <f>IF(L379&gt;0,INDEX(data_item!$A$1:$A$1994,MATCH(Baupläne!L379,data_item!$B$1:$B$1994,0),1),0)</f>
        <v>27</v>
      </c>
      <c r="L379" s="3">
        <f>Baupläne!K379</f>
        <v>11</v>
      </c>
      <c r="M379" s="3">
        <f>IF(N379&gt;0,INDEX(data_item!$A$1:$A$1994,MATCH(Baupläne!N379,data_item!$B$1:$B$994,0),1),0)</f>
        <v>120</v>
      </c>
      <c r="N379" s="3">
        <f>Baupläne!M379</f>
        <v>22</v>
      </c>
      <c r="O379" s="3">
        <f>IF(P379&gt;0,INDEX(data_item!$A$1:$A$1994,MATCH(Baupläne!P379,data_item!$B$1:$B$1994,0),1),0)</f>
        <v>0</v>
      </c>
      <c r="P379" s="3">
        <f>Baupläne!O379</f>
        <v>0</v>
      </c>
      <c r="Q379" s="3">
        <f>IF(R379&gt;0,INDEX(data_item!$A$1:$A$1994,MATCH(Baupläne!R379,data_item!$B$1:$B$1994,0),1),0)</f>
        <v>0</v>
      </c>
      <c r="R379" s="3">
        <f>Baupläne!Q379</f>
        <v>0</v>
      </c>
      <c r="S379" s="3">
        <f>IF(T379&gt;0,INDEX(data_item!$A$1:$A$1994,MATCH(Baupläne!T379,data_item!$B$1:$B$1994,0),1),0)</f>
        <v>0</v>
      </c>
      <c r="T379" s="3">
        <f>Baupläne!S379</f>
        <v>0</v>
      </c>
    </row>
    <row r="380" spans="1:20" x14ac:dyDescent="0.2">
      <c r="A380" s="3">
        <f>Baupläne!A380</f>
        <v>1614</v>
      </c>
      <c r="B380" s="3" t="str">
        <f>Baupläne!C380</f>
        <v>Wasser-Runenstab</v>
      </c>
      <c r="C380" s="3">
        <f>Baupläne!B380</f>
        <v>1614</v>
      </c>
      <c r="D380" s="3">
        <f>Baupläne!J380</f>
        <v>0</v>
      </c>
      <c r="E380" s="3">
        <f>Baupläne!H380</f>
        <v>63</v>
      </c>
      <c r="F380" s="3">
        <f>Baupläne!I380</f>
        <v>8</v>
      </c>
      <c r="G380" s="3">
        <f>Baupläne!E380</f>
        <v>32</v>
      </c>
      <c r="H380" s="3">
        <f>Baupläne!F380</f>
        <v>480</v>
      </c>
      <c r="I380" s="3">
        <f>0.5*Baupläne!Y380</f>
        <v>3050</v>
      </c>
      <c r="J380" s="3">
        <f>Baupläne!G380</f>
        <v>2</v>
      </c>
      <c r="K380" s="3">
        <f>IF(L380&gt;0,INDEX(data_item!$A$1:$A$1994,MATCH(Baupläne!L380,data_item!$B$1:$B$1994,0),1),0)</f>
        <v>27</v>
      </c>
      <c r="L380" s="3">
        <f>Baupläne!K380</f>
        <v>17</v>
      </c>
      <c r="M380" s="3">
        <f>IF(N380&gt;0,INDEX(data_item!$A$1:$A$1994,MATCH(Baupläne!N380,data_item!$B$1:$B$994,0),1),0)</f>
        <v>120</v>
      </c>
      <c r="N380" s="3">
        <f>Baupläne!M380</f>
        <v>34</v>
      </c>
      <c r="O380" s="3">
        <f>IF(P380&gt;0,INDEX(data_item!$A$1:$A$1994,MATCH(Baupläne!P380,data_item!$B$1:$B$1994,0),1),0)</f>
        <v>0</v>
      </c>
      <c r="P380" s="3">
        <f>Baupläne!O380</f>
        <v>0</v>
      </c>
      <c r="Q380" s="3">
        <f>IF(R380&gt;0,INDEX(data_item!$A$1:$A$1994,MATCH(Baupläne!R380,data_item!$B$1:$B$1994,0),1),0)</f>
        <v>0</v>
      </c>
      <c r="R380" s="3">
        <f>Baupläne!Q380</f>
        <v>0</v>
      </c>
      <c r="S380" s="3">
        <f>IF(T380&gt;0,INDEX(data_item!$A$1:$A$1994,MATCH(Baupläne!T380,data_item!$B$1:$B$1994,0),1),0)</f>
        <v>0</v>
      </c>
      <c r="T380" s="3">
        <f>Baupläne!S380</f>
        <v>0</v>
      </c>
    </row>
    <row r="381" spans="1:20" x14ac:dyDescent="0.2">
      <c r="A381" s="3">
        <f>Baupläne!A381</f>
        <v>1615</v>
      </c>
      <c r="B381" s="3" t="str">
        <f>Baupläne!C381</f>
        <v>Wasser-Lichtstab</v>
      </c>
      <c r="C381" s="3">
        <f>Baupläne!B381</f>
        <v>1615</v>
      </c>
      <c r="D381" s="3">
        <f>Baupläne!J381</f>
        <v>0</v>
      </c>
      <c r="E381" s="3">
        <f>Baupläne!H381</f>
        <v>63</v>
      </c>
      <c r="F381" s="3">
        <f>Baupläne!I381</f>
        <v>10</v>
      </c>
      <c r="G381" s="3">
        <f>Baupläne!E381</f>
        <v>32</v>
      </c>
      <c r="H381" s="3">
        <f>Baupläne!F381</f>
        <v>480</v>
      </c>
      <c r="I381" s="3">
        <f>0.5*Baupläne!Y381</f>
        <v>4050</v>
      </c>
      <c r="J381" s="3">
        <f>Baupläne!G381</f>
        <v>3</v>
      </c>
      <c r="K381" s="3">
        <f>IF(L381&gt;0,INDEX(data_item!$A$1:$A$1994,MATCH(Baupläne!L381,data_item!$B$1:$B$1994,0),1),0)</f>
        <v>28</v>
      </c>
      <c r="L381" s="3">
        <f>Baupläne!K381</f>
        <v>15</v>
      </c>
      <c r="M381" s="3">
        <f>IF(N381&gt;0,INDEX(data_item!$A$1:$A$1994,MATCH(Baupläne!N381,data_item!$B$1:$B$994,0),1),0)</f>
        <v>120</v>
      </c>
      <c r="N381" s="3">
        <f>Baupläne!M381</f>
        <v>5</v>
      </c>
      <c r="O381" s="3">
        <f>IF(P381&gt;0,INDEX(data_item!$A$1:$A$1994,MATCH(Baupläne!P381,data_item!$B$1:$B$1994,0),1),0)</f>
        <v>121</v>
      </c>
      <c r="P381" s="3">
        <f>Baupläne!O381</f>
        <v>12</v>
      </c>
      <c r="Q381" s="3">
        <f>IF(R381&gt;0,INDEX(data_item!$A$1:$A$1994,MATCH(Baupläne!R381,data_item!$B$1:$B$1994,0),1),0)</f>
        <v>0</v>
      </c>
      <c r="R381" s="3">
        <f>Baupläne!Q381</f>
        <v>0</v>
      </c>
      <c r="S381" s="3">
        <f>IF(T381&gt;0,INDEX(data_item!$A$1:$A$1994,MATCH(Baupläne!T381,data_item!$B$1:$B$1994,0),1),0)</f>
        <v>0</v>
      </c>
      <c r="T381" s="3">
        <f>Baupläne!S381</f>
        <v>0</v>
      </c>
    </row>
    <row r="382" spans="1:20" x14ac:dyDescent="0.2">
      <c r="A382" s="3">
        <f>Baupläne!A382</f>
        <v>1616</v>
      </c>
      <c r="B382" s="3" t="str">
        <f>Baupläne!C382</f>
        <v>Wasser-Rute</v>
      </c>
      <c r="C382" s="3">
        <f>Baupläne!B382</f>
        <v>1616</v>
      </c>
      <c r="D382" s="3">
        <f>Baupläne!J382</f>
        <v>0</v>
      </c>
      <c r="E382" s="3">
        <f>Baupläne!H382</f>
        <v>63</v>
      </c>
      <c r="F382" s="3">
        <f>Baupläne!I382</f>
        <v>13</v>
      </c>
      <c r="G382" s="3">
        <f>Baupläne!E382</f>
        <v>32</v>
      </c>
      <c r="H382" s="3">
        <f>Baupläne!F382</f>
        <v>480</v>
      </c>
      <c r="I382" s="3">
        <f>0.5*Baupläne!Y382</f>
        <v>6150</v>
      </c>
      <c r="J382" s="3">
        <f>Baupläne!G382</f>
        <v>3</v>
      </c>
      <c r="K382" s="3">
        <f>IF(L382&gt;0,INDEX(data_item!$A$1:$A$1994,MATCH(Baupläne!L382,data_item!$B$1:$B$1994,0),1),0)</f>
        <v>28</v>
      </c>
      <c r="L382" s="3">
        <f>Baupläne!K382</f>
        <v>22</v>
      </c>
      <c r="M382" s="3">
        <f>IF(N382&gt;0,INDEX(data_item!$A$1:$A$1994,MATCH(Baupläne!N382,data_item!$B$1:$B$994,0),1),0)</f>
        <v>120</v>
      </c>
      <c r="N382" s="3">
        <f>Baupläne!M382</f>
        <v>5</v>
      </c>
      <c r="O382" s="3">
        <f>IF(P382&gt;0,INDEX(data_item!$A$1:$A$1994,MATCH(Baupläne!P382,data_item!$B$1:$B$1994,0),1),0)</f>
        <v>121</v>
      </c>
      <c r="P382" s="3">
        <f>Baupläne!O382</f>
        <v>19</v>
      </c>
      <c r="Q382" s="3">
        <f>IF(R382&gt;0,INDEX(data_item!$A$1:$A$1994,MATCH(Baupläne!R382,data_item!$B$1:$B$1994,0),1),0)</f>
        <v>0</v>
      </c>
      <c r="R382" s="3">
        <f>Baupläne!Q382</f>
        <v>0</v>
      </c>
      <c r="S382" s="3">
        <f>IF(T382&gt;0,INDEX(data_item!$A$1:$A$1994,MATCH(Baupläne!T382,data_item!$B$1:$B$1994,0),1),0)</f>
        <v>0</v>
      </c>
      <c r="T382" s="3">
        <f>Baupläne!S382</f>
        <v>0</v>
      </c>
    </row>
    <row r="383" spans="1:20" x14ac:dyDescent="0.2">
      <c r="A383" s="3">
        <f>Baupläne!A383</f>
        <v>1617</v>
      </c>
      <c r="B383" s="3" t="str">
        <f>Baupläne!C383</f>
        <v>Wasser-Spiralstab</v>
      </c>
      <c r="C383" s="3">
        <f>Baupläne!B383</f>
        <v>1617</v>
      </c>
      <c r="D383" s="3">
        <f>Baupläne!J383</f>
        <v>0</v>
      </c>
      <c r="E383" s="3">
        <f>Baupläne!H383</f>
        <v>63</v>
      </c>
      <c r="F383" s="3">
        <f>Baupläne!I383</f>
        <v>15</v>
      </c>
      <c r="G383" s="3">
        <f>Baupläne!E383</f>
        <v>32</v>
      </c>
      <c r="H383" s="3">
        <f>Baupläne!F383</f>
        <v>480</v>
      </c>
      <c r="I383" s="3">
        <f>0.5*Baupläne!Y383</f>
        <v>8150</v>
      </c>
      <c r="J383" s="3">
        <f>Baupläne!G383</f>
        <v>4</v>
      </c>
      <c r="K383" s="3">
        <f>IF(L383&gt;0,INDEX(data_item!$A$1:$A$1994,MATCH(Baupläne!L383,data_item!$B$1:$B$1994,0),1),0)</f>
        <v>29</v>
      </c>
      <c r="L383" s="3">
        <f>Baupläne!K383</f>
        <v>20</v>
      </c>
      <c r="M383" s="3">
        <f>IF(N383&gt;0,INDEX(data_item!$A$1:$A$1994,MATCH(Baupläne!N383,data_item!$B$1:$B$994,0),1),0)</f>
        <v>120</v>
      </c>
      <c r="N383" s="3">
        <f>Baupläne!M383</f>
        <v>6</v>
      </c>
      <c r="O383" s="3">
        <f>IF(P383&gt;0,INDEX(data_item!$A$1:$A$1994,MATCH(Baupläne!P383,data_item!$B$1:$B$1994,0),1),0)</f>
        <v>121</v>
      </c>
      <c r="P383" s="3">
        <f>Baupläne!O383</f>
        <v>25</v>
      </c>
      <c r="Q383" s="3">
        <f>IF(R383&gt;0,INDEX(data_item!$A$1:$A$1994,MATCH(Baupläne!R383,data_item!$B$1:$B$1994,0),1),0)</f>
        <v>0</v>
      </c>
      <c r="R383" s="3">
        <f>Baupläne!Q383</f>
        <v>0</v>
      </c>
      <c r="S383" s="3">
        <f>IF(T383&gt;0,INDEX(data_item!$A$1:$A$1994,MATCH(Baupläne!T383,data_item!$B$1:$B$1994,0),1),0)</f>
        <v>0</v>
      </c>
      <c r="T383" s="3">
        <f>Baupläne!S383</f>
        <v>0</v>
      </c>
    </row>
    <row r="384" spans="1:20" x14ac:dyDescent="0.2">
      <c r="A384" s="3">
        <f>Baupläne!A384</f>
        <v>1618</v>
      </c>
      <c r="B384" s="3" t="str">
        <f>Baupläne!C384</f>
        <v>Wasser-Eschenstab</v>
      </c>
      <c r="C384" s="3">
        <f>Baupläne!B384</f>
        <v>1618</v>
      </c>
      <c r="D384" s="3">
        <f>Baupläne!J384</f>
        <v>0</v>
      </c>
      <c r="E384" s="3">
        <f>Baupläne!H384</f>
        <v>63</v>
      </c>
      <c r="F384" s="3">
        <f>Baupläne!I384</f>
        <v>18</v>
      </c>
      <c r="G384" s="3">
        <f>Baupläne!E384</f>
        <v>32</v>
      </c>
      <c r="H384" s="3">
        <f>Baupläne!F384</f>
        <v>480</v>
      </c>
      <c r="I384" s="3">
        <f>0.5*Baupläne!Y384</f>
        <v>12400</v>
      </c>
      <c r="J384" s="3">
        <f>Baupläne!G384</f>
        <v>4</v>
      </c>
      <c r="K384" s="3">
        <f>IF(L384&gt;0,INDEX(data_item!$A$1:$A$1994,MATCH(Baupläne!L384,data_item!$B$1:$B$1994,0),1),0)</f>
        <v>29</v>
      </c>
      <c r="L384" s="3">
        <f>Baupläne!K384</f>
        <v>30</v>
      </c>
      <c r="M384" s="3">
        <f>IF(N384&gt;0,INDEX(data_item!$A$1:$A$1994,MATCH(Baupläne!N384,data_item!$B$1:$B$994,0),1),0)</f>
        <v>120</v>
      </c>
      <c r="N384" s="3">
        <f>Baupläne!M384</f>
        <v>8</v>
      </c>
      <c r="O384" s="3">
        <f>IF(P384&gt;0,INDEX(data_item!$A$1:$A$1994,MATCH(Baupläne!P384,data_item!$B$1:$B$1994,0),1),0)</f>
        <v>121</v>
      </c>
      <c r="P384" s="3">
        <f>Baupläne!O384</f>
        <v>38</v>
      </c>
      <c r="Q384" s="3">
        <f>IF(R384&gt;0,INDEX(data_item!$A$1:$A$1994,MATCH(Baupläne!R384,data_item!$B$1:$B$1994,0),1),0)</f>
        <v>0</v>
      </c>
      <c r="R384" s="3">
        <f>Baupläne!Q384</f>
        <v>0</v>
      </c>
      <c r="S384" s="3">
        <f>IF(T384&gt;0,INDEX(data_item!$A$1:$A$1994,MATCH(Baupläne!T384,data_item!$B$1:$B$1994,0),1),0)</f>
        <v>0</v>
      </c>
      <c r="T384" s="3">
        <f>Baupläne!S384</f>
        <v>0</v>
      </c>
    </row>
    <row r="385" spans="1:20" x14ac:dyDescent="0.2">
      <c r="A385" s="3">
        <f>Baupläne!A385</f>
        <v>1619</v>
      </c>
      <c r="B385" s="3" t="str">
        <f>Baupläne!C385</f>
        <v>Wasser-Eibenlanze</v>
      </c>
      <c r="C385" s="3">
        <f>Baupläne!B385</f>
        <v>1619</v>
      </c>
      <c r="D385" s="3">
        <f>Baupläne!J385</f>
        <v>0</v>
      </c>
      <c r="E385" s="3">
        <f>Baupläne!H385</f>
        <v>63</v>
      </c>
      <c r="F385" s="3">
        <f>Baupläne!I385</f>
        <v>21</v>
      </c>
      <c r="G385" s="3">
        <f>Baupläne!E385</f>
        <v>32</v>
      </c>
      <c r="H385" s="3">
        <f>Baupläne!F385</f>
        <v>480</v>
      </c>
      <c r="I385" s="3">
        <f>0.5*Baupläne!Y385</f>
        <v>18800</v>
      </c>
      <c r="J385" s="3">
        <f>Baupläne!G385</f>
        <v>5</v>
      </c>
      <c r="K385" s="3">
        <f>IF(L385&gt;0,INDEX(data_item!$A$1:$A$1994,MATCH(Baupläne!L385,data_item!$B$1:$B$1994,0),1),0)</f>
        <v>30</v>
      </c>
      <c r="L385" s="3">
        <f>Baupläne!K385</f>
        <v>34</v>
      </c>
      <c r="M385" s="3">
        <f>IF(N385&gt;0,INDEX(data_item!$A$1:$A$1994,MATCH(Baupläne!N385,data_item!$B$1:$B$994,0),1),0)</f>
        <v>120</v>
      </c>
      <c r="N385" s="3">
        <f>Baupläne!M385</f>
        <v>6</v>
      </c>
      <c r="O385" s="3">
        <f>IF(P385&gt;0,INDEX(data_item!$A$1:$A$1994,MATCH(Baupläne!P385,data_item!$B$1:$B$1994,0),1),0)</f>
        <v>121</v>
      </c>
      <c r="P385" s="3">
        <f>Baupläne!O385</f>
        <v>10</v>
      </c>
      <c r="Q385" s="3">
        <f>IF(R385&gt;0,INDEX(data_item!$A$1:$A$1994,MATCH(Baupläne!R385,data_item!$B$1:$B$1994,0),1),0)</f>
        <v>122</v>
      </c>
      <c r="R385" s="3">
        <f>Baupläne!Q385</f>
        <v>20</v>
      </c>
      <c r="S385" s="3">
        <f>IF(T385&gt;0,INDEX(data_item!$A$1:$A$1994,MATCH(Baupläne!T385,data_item!$B$1:$B$1994,0),1),0)</f>
        <v>0</v>
      </c>
      <c r="T385" s="3">
        <f>Baupläne!S385</f>
        <v>0</v>
      </c>
    </row>
    <row r="386" spans="1:20" x14ac:dyDescent="0.2">
      <c r="A386" s="3">
        <f>Baupläne!A386</f>
        <v>1620</v>
      </c>
      <c r="B386" s="3" t="str">
        <f>Baupläne!C386</f>
        <v>Wasser-Wächterstab</v>
      </c>
      <c r="C386" s="3">
        <f>Baupläne!B386</f>
        <v>1620</v>
      </c>
      <c r="D386" s="3">
        <f>Baupläne!J386</f>
        <v>0</v>
      </c>
      <c r="E386" s="3">
        <f>Baupläne!H386</f>
        <v>63</v>
      </c>
      <c r="F386" s="3">
        <f>Baupläne!I386</f>
        <v>24</v>
      </c>
      <c r="G386" s="3">
        <f>Baupläne!E386</f>
        <v>32</v>
      </c>
      <c r="H386" s="3">
        <f>Baupläne!F386</f>
        <v>480</v>
      </c>
      <c r="I386" s="3">
        <f>0.5*Baupläne!Y386</f>
        <v>28650</v>
      </c>
      <c r="J386" s="3">
        <f>Baupläne!G386</f>
        <v>5</v>
      </c>
      <c r="K386" s="3">
        <f>IF(L386&gt;0,INDEX(data_item!$A$1:$A$1994,MATCH(Baupläne!L386,data_item!$B$1:$B$1994,0),1),0)</f>
        <v>30</v>
      </c>
      <c r="L386" s="3">
        <f>Baupläne!K386</f>
        <v>52</v>
      </c>
      <c r="M386" s="3">
        <f>IF(N386&gt;0,INDEX(data_item!$A$1:$A$1994,MATCH(Baupläne!N386,data_item!$B$1:$B$994,0),1),0)</f>
        <v>120</v>
      </c>
      <c r="N386" s="3">
        <f>Baupläne!M386</f>
        <v>6</v>
      </c>
      <c r="O386" s="3">
        <f>IF(P386&gt;0,INDEX(data_item!$A$1:$A$1994,MATCH(Baupläne!P386,data_item!$B$1:$B$1994,0),1),0)</f>
        <v>121</v>
      </c>
      <c r="P386" s="3">
        <f>Baupläne!O386</f>
        <v>12</v>
      </c>
      <c r="Q386" s="3">
        <f>IF(R386&gt;0,INDEX(data_item!$A$1:$A$1994,MATCH(Baupläne!R386,data_item!$B$1:$B$1994,0),1),0)</f>
        <v>122</v>
      </c>
      <c r="R386" s="3">
        <f>Baupläne!Q386</f>
        <v>32</v>
      </c>
      <c r="S386" s="3">
        <f>IF(T386&gt;0,INDEX(data_item!$A$1:$A$1994,MATCH(Baupläne!T386,data_item!$B$1:$B$1994,0),1),0)</f>
        <v>0</v>
      </c>
      <c r="T386" s="3">
        <f>Baupläne!S386</f>
        <v>0</v>
      </c>
    </row>
    <row r="387" spans="1:20" x14ac:dyDescent="0.2">
      <c r="A387" s="3">
        <f>Baupläne!A387</f>
        <v>0</v>
      </c>
      <c r="B387" s="3">
        <f>Baupläne!C387</f>
        <v>0</v>
      </c>
      <c r="C387" s="3">
        <f>Baupläne!B387</f>
        <v>0</v>
      </c>
      <c r="D387" s="3">
        <f>Baupläne!J387</f>
        <v>0</v>
      </c>
      <c r="E387" s="3">
        <f>Baupläne!H387</f>
        <v>0</v>
      </c>
      <c r="F387" s="3">
        <f>Baupläne!I387</f>
        <v>0</v>
      </c>
      <c r="G387" s="3">
        <f>Baupläne!E387</f>
        <v>0</v>
      </c>
      <c r="H387" s="3">
        <f>Baupläne!F387</f>
        <v>0</v>
      </c>
      <c r="I387" s="3">
        <f>0.5*Baupläne!Y387</f>
        <v>0</v>
      </c>
      <c r="J387" s="3">
        <f>Baupläne!G387</f>
        <v>0</v>
      </c>
      <c r="K387" s="3">
        <f>IF(L387&gt;0,INDEX(data_item!$A$1:$A$1994,MATCH(Baupläne!L387,data_item!$B$1:$B$1994,0),1),0)</f>
        <v>0</v>
      </c>
      <c r="L387" s="3">
        <f>Baupläne!K387</f>
        <v>0</v>
      </c>
      <c r="M387" s="3">
        <f>IF(N387&gt;0,INDEX(data_item!$A$1:$A$1994,MATCH(Baupläne!N387,data_item!$B$1:$B$994,0),1),0)</f>
        <v>0</v>
      </c>
      <c r="N387" s="3">
        <f>Baupläne!M387</f>
        <v>0</v>
      </c>
      <c r="O387" s="3">
        <f>IF(P387&gt;0,INDEX(data_item!$A$1:$A$1994,MATCH(Baupläne!P387,data_item!$B$1:$B$1994,0),1),0)</f>
        <v>0</v>
      </c>
      <c r="P387" s="3">
        <f>Baupläne!O387</f>
        <v>0</v>
      </c>
      <c r="Q387" s="3">
        <f>IF(R387&gt;0,INDEX(data_item!$A$1:$A$1994,MATCH(Baupläne!R387,data_item!$B$1:$B$1994,0),1),0)</f>
        <v>0</v>
      </c>
      <c r="R387" s="3">
        <f>Baupläne!Q387</f>
        <v>0</v>
      </c>
      <c r="S387" s="3">
        <f>IF(T387&gt;0,INDEX(data_item!$A$1:$A$1994,MATCH(Baupläne!T387,data_item!$B$1:$B$1994,0),1),0)</f>
        <v>0</v>
      </c>
      <c r="T387" s="3">
        <f>Baupläne!S387</f>
        <v>0</v>
      </c>
    </row>
    <row r="388" spans="1:20" x14ac:dyDescent="0.2">
      <c r="A388" s="3">
        <f>Baupläne!A388</f>
        <v>1621</v>
      </c>
      <c r="B388" s="3" t="str">
        <f>Baupläne!C388</f>
        <v>Erde-Stecken</v>
      </c>
      <c r="C388" s="3">
        <f>Baupläne!B388</f>
        <v>1621</v>
      </c>
      <c r="D388" s="3">
        <f>Baupläne!J388</f>
        <v>0</v>
      </c>
      <c r="E388" s="3">
        <f>Baupläne!H388</f>
        <v>63</v>
      </c>
      <c r="F388" s="3">
        <f>Baupläne!I388</f>
        <v>0</v>
      </c>
      <c r="G388" s="3">
        <f>Baupläne!E388</f>
        <v>32</v>
      </c>
      <c r="H388" s="3">
        <f>Baupläne!F388</f>
        <v>480</v>
      </c>
      <c r="I388" s="3">
        <f>0.5*Baupläne!Y388</f>
        <v>1000</v>
      </c>
      <c r="J388" s="3">
        <f>Baupläne!G388</f>
        <v>1</v>
      </c>
      <c r="K388" s="3">
        <f>IF(L388&gt;0,INDEX(data_item!$A$1:$A$1994,MATCH(Baupläne!L388,data_item!$B$1:$B$1994,0),1),0)</f>
        <v>26</v>
      </c>
      <c r="L388" s="3">
        <f>Baupläne!K388</f>
        <v>11</v>
      </c>
      <c r="M388" s="3">
        <f>IF(N388&gt;0,INDEX(data_item!$A$1:$A$1994,MATCH(Baupläne!N388,data_item!$B$1:$B$994,0),1),0)</f>
        <v>120</v>
      </c>
      <c r="N388" s="3">
        <f>Baupläne!M388</f>
        <v>11</v>
      </c>
      <c r="O388" s="3">
        <f>IF(P388&gt;0,INDEX(data_item!$A$1:$A$1994,MATCH(Baupläne!P388,data_item!$B$1:$B$1994,0),1),0)</f>
        <v>0</v>
      </c>
      <c r="P388" s="3">
        <f>Baupläne!O388</f>
        <v>0</v>
      </c>
      <c r="Q388" s="3">
        <f>IF(R388&gt;0,INDEX(data_item!$A$1:$A$1994,MATCH(Baupläne!R388,data_item!$B$1:$B$1994,0),1),0)</f>
        <v>0</v>
      </c>
      <c r="R388" s="3">
        <f>Baupläne!Q388</f>
        <v>0</v>
      </c>
      <c r="S388" s="3">
        <f>IF(T388&gt;0,INDEX(data_item!$A$1:$A$1994,MATCH(Baupläne!T388,data_item!$B$1:$B$1994,0),1),0)</f>
        <v>0</v>
      </c>
      <c r="T388" s="3">
        <f>Baupläne!S388</f>
        <v>0</v>
      </c>
    </row>
    <row r="389" spans="1:20" x14ac:dyDescent="0.2">
      <c r="A389" s="3">
        <f>Baupläne!A389</f>
        <v>1622</v>
      </c>
      <c r="B389" s="3" t="str">
        <f>Baupläne!C389</f>
        <v>Erde-Krummstab</v>
      </c>
      <c r="C389" s="3">
        <f>Baupläne!B389</f>
        <v>1622</v>
      </c>
      <c r="D389" s="3">
        <f>Baupläne!J389</f>
        <v>0</v>
      </c>
      <c r="E389" s="3">
        <f>Baupläne!H389</f>
        <v>63</v>
      </c>
      <c r="F389" s="3">
        <f>Baupläne!I389</f>
        <v>3</v>
      </c>
      <c r="G389" s="3">
        <f>Baupläne!E389</f>
        <v>32</v>
      </c>
      <c r="H389" s="3">
        <f>Baupläne!F389</f>
        <v>480</v>
      </c>
      <c r="I389" s="3">
        <f>0.5*Baupläne!Y389</f>
        <v>1500</v>
      </c>
      <c r="J389" s="3">
        <f>Baupläne!G389</f>
        <v>1</v>
      </c>
      <c r="K389" s="3">
        <f>IF(L389&gt;0,INDEX(data_item!$A$1:$A$1994,MATCH(Baupläne!L389,data_item!$B$1:$B$1994,0),1),0)</f>
        <v>26</v>
      </c>
      <c r="L389" s="3">
        <f>Baupläne!K389</f>
        <v>16</v>
      </c>
      <c r="M389" s="3">
        <f>IF(N389&gt;0,INDEX(data_item!$A$1:$A$1994,MATCH(Baupläne!N389,data_item!$B$1:$B$994,0),1),0)</f>
        <v>120</v>
      </c>
      <c r="N389" s="3">
        <f>Baupläne!M389</f>
        <v>16</v>
      </c>
      <c r="O389" s="3">
        <f>IF(P389&gt;0,INDEX(data_item!$A$1:$A$1994,MATCH(Baupläne!P389,data_item!$B$1:$B$1994,0),1),0)</f>
        <v>0</v>
      </c>
      <c r="P389" s="3">
        <f>Baupläne!O389</f>
        <v>0</v>
      </c>
      <c r="Q389" s="3">
        <f>IF(R389&gt;0,INDEX(data_item!$A$1:$A$1994,MATCH(Baupläne!R389,data_item!$B$1:$B$1994,0),1),0)</f>
        <v>0</v>
      </c>
      <c r="R389" s="3">
        <f>Baupläne!Q389</f>
        <v>0</v>
      </c>
      <c r="S389" s="3">
        <f>IF(T389&gt;0,INDEX(data_item!$A$1:$A$1994,MATCH(Baupläne!T389,data_item!$B$1:$B$1994,0),1),0)</f>
        <v>0</v>
      </c>
      <c r="T389" s="3">
        <f>Baupläne!S389</f>
        <v>0</v>
      </c>
    </row>
    <row r="390" spans="1:20" x14ac:dyDescent="0.2">
      <c r="A390" s="3">
        <f>Baupläne!A390</f>
        <v>1623</v>
      </c>
      <c r="B390" s="3" t="str">
        <f>Baupläne!C390</f>
        <v>Erde-Langholz</v>
      </c>
      <c r="C390" s="3">
        <f>Baupläne!B390</f>
        <v>1623</v>
      </c>
      <c r="D390" s="3">
        <f>Baupläne!J390</f>
        <v>0</v>
      </c>
      <c r="E390" s="3">
        <f>Baupläne!H390</f>
        <v>63</v>
      </c>
      <c r="F390" s="3">
        <f>Baupläne!I390</f>
        <v>5</v>
      </c>
      <c r="G390" s="3">
        <f>Baupläne!E390</f>
        <v>32</v>
      </c>
      <c r="H390" s="3">
        <f>Baupläne!F390</f>
        <v>480</v>
      </c>
      <c r="I390" s="3">
        <f>0.5*Baupläne!Y390</f>
        <v>2000</v>
      </c>
      <c r="J390" s="3">
        <f>Baupläne!G390</f>
        <v>2</v>
      </c>
      <c r="K390" s="3">
        <f>IF(L390&gt;0,INDEX(data_item!$A$1:$A$1994,MATCH(Baupläne!L390,data_item!$B$1:$B$1994,0),1),0)</f>
        <v>27</v>
      </c>
      <c r="L390" s="3">
        <f>Baupläne!K390</f>
        <v>11</v>
      </c>
      <c r="M390" s="3">
        <f>IF(N390&gt;0,INDEX(data_item!$A$1:$A$1994,MATCH(Baupläne!N390,data_item!$B$1:$B$994,0),1),0)</f>
        <v>120</v>
      </c>
      <c r="N390" s="3">
        <f>Baupläne!M390</f>
        <v>22</v>
      </c>
      <c r="O390" s="3">
        <f>IF(P390&gt;0,INDEX(data_item!$A$1:$A$1994,MATCH(Baupläne!P390,data_item!$B$1:$B$1994,0),1),0)</f>
        <v>0</v>
      </c>
      <c r="P390" s="3">
        <f>Baupläne!O390</f>
        <v>0</v>
      </c>
      <c r="Q390" s="3">
        <f>IF(R390&gt;0,INDEX(data_item!$A$1:$A$1994,MATCH(Baupläne!R390,data_item!$B$1:$B$1994,0),1),0)</f>
        <v>0</v>
      </c>
      <c r="R390" s="3">
        <f>Baupläne!Q390</f>
        <v>0</v>
      </c>
      <c r="S390" s="3">
        <f>IF(T390&gt;0,INDEX(data_item!$A$1:$A$1994,MATCH(Baupläne!T390,data_item!$B$1:$B$1994,0),1),0)</f>
        <v>0</v>
      </c>
      <c r="T390" s="3">
        <f>Baupläne!S390</f>
        <v>0</v>
      </c>
    </row>
    <row r="391" spans="1:20" x14ac:dyDescent="0.2">
      <c r="A391" s="3">
        <f>Baupläne!A391</f>
        <v>1624</v>
      </c>
      <c r="B391" s="3" t="str">
        <f>Baupläne!C391</f>
        <v>Erde-Runenstab</v>
      </c>
      <c r="C391" s="3">
        <f>Baupläne!B391</f>
        <v>1624</v>
      </c>
      <c r="D391" s="3">
        <f>Baupläne!J391</f>
        <v>0</v>
      </c>
      <c r="E391" s="3">
        <f>Baupläne!H391</f>
        <v>63</v>
      </c>
      <c r="F391" s="3">
        <f>Baupläne!I391</f>
        <v>8</v>
      </c>
      <c r="G391" s="3">
        <f>Baupläne!E391</f>
        <v>32</v>
      </c>
      <c r="H391" s="3">
        <f>Baupläne!F391</f>
        <v>480</v>
      </c>
      <c r="I391" s="3">
        <f>0.5*Baupläne!Y391</f>
        <v>3050</v>
      </c>
      <c r="J391" s="3">
        <f>Baupläne!G391</f>
        <v>2</v>
      </c>
      <c r="K391" s="3">
        <f>IF(L391&gt;0,INDEX(data_item!$A$1:$A$1994,MATCH(Baupläne!L391,data_item!$B$1:$B$1994,0),1),0)</f>
        <v>27</v>
      </c>
      <c r="L391" s="3">
        <f>Baupläne!K391</f>
        <v>17</v>
      </c>
      <c r="M391" s="3">
        <f>IF(N391&gt;0,INDEX(data_item!$A$1:$A$1994,MATCH(Baupläne!N391,data_item!$B$1:$B$994,0),1),0)</f>
        <v>120</v>
      </c>
      <c r="N391" s="3">
        <f>Baupläne!M391</f>
        <v>34</v>
      </c>
      <c r="O391" s="3">
        <f>IF(P391&gt;0,INDEX(data_item!$A$1:$A$1994,MATCH(Baupläne!P391,data_item!$B$1:$B$1994,0),1),0)</f>
        <v>0</v>
      </c>
      <c r="P391" s="3">
        <f>Baupläne!O391</f>
        <v>0</v>
      </c>
      <c r="Q391" s="3">
        <f>IF(R391&gt;0,INDEX(data_item!$A$1:$A$1994,MATCH(Baupläne!R391,data_item!$B$1:$B$1994,0),1),0)</f>
        <v>0</v>
      </c>
      <c r="R391" s="3">
        <f>Baupläne!Q391</f>
        <v>0</v>
      </c>
      <c r="S391" s="3">
        <f>IF(T391&gt;0,INDEX(data_item!$A$1:$A$1994,MATCH(Baupläne!T391,data_item!$B$1:$B$1994,0),1),0)</f>
        <v>0</v>
      </c>
      <c r="T391" s="3">
        <f>Baupläne!S391</f>
        <v>0</v>
      </c>
    </row>
    <row r="392" spans="1:20" x14ac:dyDescent="0.2">
      <c r="A392" s="3">
        <f>Baupläne!A392</f>
        <v>1625</v>
      </c>
      <c r="B392" s="3" t="str">
        <f>Baupläne!C392</f>
        <v>Erde-Lichtstab</v>
      </c>
      <c r="C392" s="3">
        <f>Baupläne!B392</f>
        <v>1625</v>
      </c>
      <c r="D392" s="3">
        <f>Baupläne!J392</f>
        <v>0</v>
      </c>
      <c r="E392" s="3">
        <f>Baupläne!H392</f>
        <v>63</v>
      </c>
      <c r="F392" s="3">
        <f>Baupläne!I392</f>
        <v>10</v>
      </c>
      <c r="G392" s="3">
        <f>Baupläne!E392</f>
        <v>32</v>
      </c>
      <c r="H392" s="3">
        <f>Baupläne!F392</f>
        <v>480</v>
      </c>
      <c r="I392" s="3">
        <f>0.5*Baupläne!Y392</f>
        <v>4050</v>
      </c>
      <c r="J392" s="3">
        <f>Baupläne!G392</f>
        <v>3</v>
      </c>
      <c r="K392" s="3">
        <f>IF(L392&gt;0,INDEX(data_item!$A$1:$A$1994,MATCH(Baupläne!L392,data_item!$B$1:$B$1994,0),1),0)</f>
        <v>28</v>
      </c>
      <c r="L392" s="3">
        <f>Baupläne!K392</f>
        <v>15</v>
      </c>
      <c r="M392" s="3">
        <f>IF(N392&gt;0,INDEX(data_item!$A$1:$A$1994,MATCH(Baupläne!N392,data_item!$B$1:$B$994,0),1),0)</f>
        <v>120</v>
      </c>
      <c r="N392" s="3">
        <f>Baupläne!M392</f>
        <v>5</v>
      </c>
      <c r="O392" s="3">
        <f>IF(P392&gt;0,INDEX(data_item!$A$1:$A$1994,MATCH(Baupläne!P392,data_item!$B$1:$B$1994,0),1),0)</f>
        <v>121</v>
      </c>
      <c r="P392" s="3">
        <f>Baupläne!O392</f>
        <v>12</v>
      </c>
      <c r="Q392" s="3">
        <f>IF(R392&gt;0,INDEX(data_item!$A$1:$A$1994,MATCH(Baupläne!R392,data_item!$B$1:$B$1994,0),1),0)</f>
        <v>0</v>
      </c>
      <c r="R392" s="3">
        <f>Baupläne!Q392</f>
        <v>0</v>
      </c>
      <c r="S392" s="3">
        <f>IF(T392&gt;0,INDEX(data_item!$A$1:$A$1994,MATCH(Baupläne!T392,data_item!$B$1:$B$1994,0),1),0)</f>
        <v>0</v>
      </c>
      <c r="T392" s="3">
        <f>Baupläne!S392</f>
        <v>0</v>
      </c>
    </row>
    <row r="393" spans="1:20" x14ac:dyDescent="0.2">
      <c r="A393" s="3">
        <f>Baupläne!A393</f>
        <v>1626</v>
      </c>
      <c r="B393" s="3" t="str">
        <f>Baupläne!C393</f>
        <v>Erde-Rute</v>
      </c>
      <c r="C393" s="3">
        <f>Baupläne!B393</f>
        <v>1626</v>
      </c>
      <c r="D393" s="3">
        <f>Baupläne!J393</f>
        <v>0</v>
      </c>
      <c r="E393" s="3">
        <f>Baupläne!H393</f>
        <v>63</v>
      </c>
      <c r="F393" s="3">
        <f>Baupläne!I393</f>
        <v>13</v>
      </c>
      <c r="G393" s="3">
        <f>Baupläne!E393</f>
        <v>32</v>
      </c>
      <c r="H393" s="3">
        <f>Baupläne!F393</f>
        <v>480</v>
      </c>
      <c r="I393" s="3">
        <f>0.5*Baupläne!Y393</f>
        <v>6150</v>
      </c>
      <c r="J393" s="3">
        <f>Baupläne!G393</f>
        <v>3</v>
      </c>
      <c r="K393" s="3">
        <f>IF(L393&gt;0,INDEX(data_item!$A$1:$A$1994,MATCH(Baupläne!L393,data_item!$B$1:$B$1994,0),1),0)</f>
        <v>28</v>
      </c>
      <c r="L393" s="3">
        <f>Baupläne!K393</f>
        <v>22</v>
      </c>
      <c r="M393" s="3">
        <f>IF(N393&gt;0,INDEX(data_item!$A$1:$A$1994,MATCH(Baupläne!N393,data_item!$B$1:$B$994,0),1),0)</f>
        <v>120</v>
      </c>
      <c r="N393" s="3">
        <f>Baupläne!M393</f>
        <v>5</v>
      </c>
      <c r="O393" s="3">
        <f>IF(P393&gt;0,INDEX(data_item!$A$1:$A$1994,MATCH(Baupläne!P393,data_item!$B$1:$B$1994,0),1),0)</f>
        <v>121</v>
      </c>
      <c r="P393" s="3">
        <f>Baupläne!O393</f>
        <v>19</v>
      </c>
      <c r="Q393" s="3">
        <f>IF(R393&gt;0,INDEX(data_item!$A$1:$A$1994,MATCH(Baupläne!R393,data_item!$B$1:$B$1994,0),1),0)</f>
        <v>0</v>
      </c>
      <c r="R393" s="3">
        <f>Baupläne!Q393</f>
        <v>0</v>
      </c>
      <c r="S393" s="3">
        <f>IF(T393&gt;0,INDEX(data_item!$A$1:$A$1994,MATCH(Baupläne!T393,data_item!$B$1:$B$1994,0),1),0)</f>
        <v>0</v>
      </c>
      <c r="T393" s="3">
        <f>Baupläne!S393</f>
        <v>0</v>
      </c>
    </row>
    <row r="394" spans="1:20" x14ac:dyDescent="0.2">
      <c r="A394" s="3">
        <f>Baupläne!A394</f>
        <v>1627</v>
      </c>
      <c r="B394" s="3" t="str">
        <f>Baupläne!C394</f>
        <v>Erde-Spiralstab</v>
      </c>
      <c r="C394" s="3">
        <f>Baupläne!B394</f>
        <v>1627</v>
      </c>
      <c r="D394" s="3">
        <f>Baupläne!J394</f>
        <v>0</v>
      </c>
      <c r="E394" s="3">
        <f>Baupläne!H394</f>
        <v>63</v>
      </c>
      <c r="F394" s="3">
        <f>Baupläne!I394</f>
        <v>15</v>
      </c>
      <c r="G394" s="3">
        <f>Baupläne!E394</f>
        <v>32</v>
      </c>
      <c r="H394" s="3">
        <f>Baupläne!F394</f>
        <v>480</v>
      </c>
      <c r="I394" s="3">
        <f>0.5*Baupläne!Y394</f>
        <v>8150</v>
      </c>
      <c r="J394" s="3">
        <f>Baupläne!G394</f>
        <v>4</v>
      </c>
      <c r="K394" s="3">
        <f>IF(L394&gt;0,INDEX(data_item!$A$1:$A$1994,MATCH(Baupläne!L394,data_item!$B$1:$B$1994,0),1),0)</f>
        <v>29</v>
      </c>
      <c r="L394" s="3">
        <f>Baupläne!K394</f>
        <v>20</v>
      </c>
      <c r="M394" s="3">
        <f>IF(N394&gt;0,INDEX(data_item!$A$1:$A$1994,MATCH(Baupläne!N394,data_item!$B$1:$B$994,0),1),0)</f>
        <v>120</v>
      </c>
      <c r="N394" s="3">
        <f>Baupläne!M394</f>
        <v>6</v>
      </c>
      <c r="O394" s="3">
        <f>IF(P394&gt;0,INDEX(data_item!$A$1:$A$1994,MATCH(Baupläne!P394,data_item!$B$1:$B$1994,0),1),0)</f>
        <v>121</v>
      </c>
      <c r="P394" s="3">
        <f>Baupläne!O394</f>
        <v>25</v>
      </c>
      <c r="Q394" s="3">
        <f>IF(R394&gt;0,INDEX(data_item!$A$1:$A$1994,MATCH(Baupläne!R394,data_item!$B$1:$B$1994,0),1),0)</f>
        <v>0</v>
      </c>
      <c r="R394" s="3">
        <f>Baupläne!Q394</f>
        <v>0</v>
      </c>
      <c r="S394" s="3">
        <f>IF(T394&gt;0,INDEX(data_item!$A$1:$A$1994,MATCH(Baupläne!T394,data_item!$B$1:$B$1994,0),1),0)</f>
        <v>0</v>
      </c>
      <c r="T394" s="3">
        <f>Baupläne!S394</f>
        <v>0</v>
      </c>
    </row>
    <row r="395" spans="1:20" x14ac:dyDescent="0.2">
      <c r="A395" s="3">
        <f>Baupläne!A395</f>
        <v>1628</v>
      </c>
      <c r="B395" s="3" t="str">
        <f>Baupläne!C395</f>
        <v>Erde-Eschenstab</v>
      </c>
      <c r="C395" s="3">
        <f>Baupläne!B395</f>
        <v>1628</v>
      </c>
      <c r="D395" s="3">
        <f>Baupläne!J395</f>
        <v>0</v>
      </c>
      <c r="E395" s="3">
        <f>Baupläne!H395</f>
        <v>63</v>
      </c>
      <c r="F395" s="3">
        <f>Baupläne!I395</f>
        <v>18</v>
      </c>
      <c r="G395" s="3">
        <f>Baupläne!E395</f>
        <v>32</v>
      </c>
      <c r="H395" s="3">
        <f>Baupläne!F395</f>
        <v>480</v>
      </c>
      <c r="I395" s="3">
        <f>0.5*Baupläne!Y395</f>
        <v>12400</v>
      </c>
      <c r="J395" s="3">
        <f>Baupläne!G395</f>
        <v>4</v>
      </c>
      <c r="K395" s="3">
        <f>IF(L395&gt;0,INDEX(data_item!$A$1:$A$1994,MATCH(Baupläne!L395,data_item!$B$1:$B$1994,0),1),0)</f>
        <v>29</v>
      </c>
      <c r="L395" s="3">
        <f>Baupläne!K395</f>
        <v>30</v>
      </c>
      <c r="M395" s="3">
        <f>IF(N395&gt;0,INDEX(data_item!$A$1:$A$1994,MATCH(Baupläne!N395,data_item!$B$1:$B$994,0),1),0)</f>
        <v>120</v>
      </c>
      <c r="N395" s="3">
        <f>Baupläne!M395</f>
        <v>8</v>
      </c>
      <c r="O395" s="3">
        <f>IF(P395&gt;0,INDEX(data_item!$A$1:$A$1994,MATCH(Baupläne!P395,data_item!$B$1:$B$1994,0),1),0)</f>
        <v>121</v>
      </c>
      <c r="P395" s="3">
        <f>Baupläne!O395</f>
        <v>38</v>
      </c>
      <c r="Q395" s="3">
        <f>IF(R395&gt;0,INDEX(data_item!$A$1:$A$1994,MATCH(Baupläne!R395,data_item!$B$1:$B$1994,0),1),0)</f>
        <v>0</v>
      </c>
      <c r="R395" s="3">
        <f>Baupläne!Q395</f>
        <v>0</v>
      </c>
      <c r="S395" s="3">
        <f>IF(T395&gt;0,INDEX(data_item!$A$1:$A$1994,MATCH(Baupläne!T395,data_item!$B$1:$B$1994,0),1),0)</f>
        <v>0</v>
      </c>
      <c r="T395" s="3">
        <f>Baupläne!S395</f>
        <v>0</v>
      </c>
    </row>
    <row r="396" spans="1:20" x14ac:dyDescent="0.2">
      <c r="A396" s="3">
        <f>Baupläne!A396</f>
        <v>1629</v>
      </c>
      <c r="B396" s="3" t="str">
        <f>Baupläne!C396</f>
        <v>Erde-Eibenlanze</v>
      </c>
      <c r="C396" s="3">
        <f>Baupläne!B396</f>
        <v>1629</v>
      </c>
      <c r="D396" s="3">
        <f>Baupläne!J396</f>
        <v>0</v>
      </c>
      <c r="E396" s="3">
        <f>Baupläne!H396</f>
        <v>63</v>
      </c>
      <c r="F396" s="3">
        <f>Baupläne!I396</f>
        <v>21</v>
      </c>
      <c r="G396" s="3">
        <f>Baupläne!E396</f>
        <v>32</v>
      </c>
      <c r="H396" s="3">
        <f>Baupläne!F396</f>
        <v>480</v>
      </c>
      <c r="I396" s="3">
        <f>0.5*Baupläne!Y396</f>
        <v>18800</v>
      </c>
      <c r="J396" s="3">
        <f>Baupläne!G396</f>
        <v>5</v>
      </c>
      <c r="K396" s="3">
        <f>IF(L396&gt;0,INDEX(data_item!$A$1:$A$1994,MATCH(Baupläne!L396,data_item!$B$1:$B$1994,0),1),0)</f>
        <v>30</v>
      </c>
      <c r="L396" s="3">
        <f>Baupläne!K396</f>
        <v>34</v>
      </c>
      <c r="M396" s="3">
        <f>IF(N396&gt;0,INDEX(data_item!$A$1:$A$1994,MATCH(Baupläne!N396,data_item!$B$1:$B$994,0),1),0)</f>
        <v>120</v>
      </c>
      <c r="N396" s="3">
        <f>Baupläne!M396</f>
        <v>6</v>
      </c>
      <c r="O396" s="3">
        <f>IF(P396&gt;0,INDEX(data_item!$A$1:$A$1994,MATCH(Baupläne!P396,data_item!$B$1:$B$1994,0),1),0)</f>
        <v>121</v>
      </c>
      <c r="P396" s="3">
        <f>Baupläne!O396</f>
        <v>10</v>
      </c>
      <c r="Q396" s="3">
        <f>IF(R396&gt;0,INDEX(data_item!$A$1:$A$1994,MATCH(Baupläne!R396,data_item!$B$1:$B$1994,0),1),0)</f>
        <v>122</v>
      </c>
      <c r="R396" s="3">
        <f>Baupläne!Q396</f>
        <v>20</v>
      </c>
      <c r="S396" s="3">
        <f>IF(T396&gt;0,INDEX(data_item!$A$1:$A$1994,MATCH(Baupläne!T396,data_item!$B$1:$B$1994,0),1),0)</f>
        <v>0</v>
      </c>
      <c r="T396" s="3">
        <f>Baupläne!S396</f>
        <v>0</v>
      </c>
    </row>
    <row r="397" spans="1:20" x14ac:dyDescent="0.2">
      <c r="A397" s="3">
        <f>Baupläne!A397</f>
        <v>1630</v>
      </c>
      <c r="B397" s="3" t="str">
        <f>Baupläne!C397</f>
        <v>Erde-Wächterstab</v>
      </c>
      <c r="C397" s="3">
        <f>Baupläne!B397</f>
        <v>1630</v>
      </c>
      <c r="D397" s="3">
        <f>Baupläne!J397</f>
        <v>0</v>
      </c>
      <c r="E397" s="3">
        <f>Baupläne!H397</f>
        <v>63</v>
      </c>
      <c r="F397" s="3">
        <f>Baupläne!I397</f>
        <v>24</v>
      </c>
      <c r="G397" s="3">
        <f>Baupläne!E397</f>
        <v>32</v>
      </c>
      <c r="H397" s="3">
        <f>Baupläne!F397</f>
        <v>480</v>
      </c>
      <c r="I397" s="3">
        <f>0.5*Baupläne!Y397</f>
        <v>28650</v>
      </c>
      <c r="J397" s="3">
        <f>Baupläne!G397</f>
        <v>5</v>
      </c>
      <c r="K397" s="3">
        <f>IF(L397&gt;0,INDEX(data_item!$A$1:$A$1994,MATCH(Baupläne!L397,data_item!$B$1:$B$1994,0),1),0)</f>
        <v>30</v>
      </c>
      <c r="L397" s="3">
        <f>Baupläne!K397</f>
        <v>52</v>
      </c>
      <c r="M397" s="3">
        <f>IF(N397&gt;0,INDEX(data_item!$A$1:$A$1994,MATCH(Baupläne!N397,data_item!$B$1:$B$994,0),1),0)</f>
        <v>120</v>
      </c>
      <c r="N397" s="3">
        <f>Baupläne!M397</f>
        <v>6</v>
      </c>
      <c r="O397" s="3">
        <f>IF(P397&gt;0,INDEX(data_item!$A$1:$A$1994,MATCH(Baupläne!P397,data_item!$B$1:$B$1994,0),1),0)</f>
        <v>121</v>
      </c>
      <c r="P397" s="3">
        <f>Baupläne!O397</f>
        <v>12</v>
      </c>
      <c r="Q397" s="3">
        <f>IF(R397&gt;0,INDEX(data_item!$A$1:$A$1994,MATCH(Baupläne!R397,data_item!$B$1:$B$1994,0),1),0)</f>
        <v>122</v>
      </c>
      <c r="R397" s="3">
        <f>Baupläne!Q397</f>
        <v>32</v>
      </c>
      <c r="S397" s="3">
        <f>IF(T397&gt;0,INDEX(data_item!$A$1:$A$1994,MATCH(Baupläne!T397,data_item!$B$1:$B$1994,0),1),0)</f>
        <v>0</v>
      </c>
      <c r="T397" s="3">
        <f>Baupläne!S397</f>
        <v>0</v>
      </c>
    </row>
    <row r="398" spans="1:20" x14ac:dyDescent="0.2">
      <c r="A398" s="3">
        <f>Baupläne!A398</f>
        <v>0</v>
      </c>
      <c r="B398" s="3">
        <f>Baupläne!C398</f>
        <v>0</v>
      </c>
      <c r="C398" s="3">
        <f>Baupläne!B398</f>
        <v>0</v>
      </c>
      <c r="D398" s="3">
        <f>Baupläne!J398</f>
        <v>0</v>
      </c>
      <c r="E398" s="3">
        <f>Baupläne!H398</f>
        <v>0</v>
      </c>
      <c r="F398" s="3">
        <f>Baupläne!I398</f>
        <v>0</v>
      </c>
      <c r="G398" s="3">
        <f>Baupläne!E398</f>
        <v>0</v>
      </c>
      <c r="H398" s="3">
        <f>Baupläne!F398</f>
        <v>0</v>
      </c>
      <c r="I398" s="3">
        <f>0.5*Baupläne!Y398</f>
        <v>0</v>
      </c>
      <c r="J398" s="3">
        <f>Baupläne!G398</f>
        <v>0</v>
      </c>
      <c r="K398" s="3">
        <f>IF(L398&gt;0,INDEX(data_item!$A$1:$A$1994,MATCH(Baupläne!L398,data_item!$B$1:$B$1994,0),1),0)</f>
        <v>0</v>
      </c>
      <c r="L398" s="3">
        <f>Baupläne!K398</f>
        <v>0</v>
      </c>
      <c r="M398" s="3">
        <f>IF(N398&gt;0,INDEX(data_item!$A$1:$A$1994,MATCH(Baupläne!N398,data_item!$B$1:$B$994,0),1),0)</f>
        <v>0</v>
      </c>
      <c r="N398" s="3">
        <f>Baupläne!M398</f>
        <v>0</v>
      </c>
      <c r="O398" s="3">
        <f>IF(P398&gt;0,INDEX(data_item!$A$1:$A$1994,MATCH(Baupläne!P398,data_item!$B$1:$B$1994,0),1),0)</f>
        <v>0</v>
      </c>
      <c r="P398" s="3">
        <f>Baupläne!O398</f>
        <v>0</v>
      </c>
      <c r="Q398" s="3">
        <f>IF(R398&gt;0,INDEX(data_item!$A$1:$A$1994,MATCH(Baupläne!R398,data_item!$B$1:$B$1994,0),1),0)</f>
        <v>0</v>
      </c>
      <c r="R398" s="3">
        <f>Baupläne!Q398</f>
        <v>0</v>
      </c>
      <c r="S398" s="3">
        <f>IF(T398&gt;0,INDEX(data_item!$A$1:$A$1994,MATCH(Baupläne!T398,data_item!$B$1:$B$1994,0),1),0)</f>
        <v>0</v>
      </c>
      <c r="T398" s="3">
        <f>Baupläne!S398</f>
        <v>0</v>
      </c>
    </row>
    <row r="399" spans="1:20" x14ac:dyDescent="0.2">
      <c r="A399" s="3">
        <f>Baupläne!A399</f>
        <v>1631</v>
      </c>
      <c r="B399" s="3" t="str">
        <f>Baupläne!C399</f>
        <v>Luft-Stecken</v>
      </c>
      <c r="C399" s="3">
        <f>Baupläne!B399</f>
        <v>1631</v>
      </c>
      <c r="D399" s="3">
        <f>Baupläne!J399</f>
        <v>0</v>
      </c>
      <c r="E399" s="3">
        <f>Baupläne!H399</f>
        <v>63</v>
      </c>
      <c r="F399" s="3">
        <f>Baupläne!I399</f>
        <v>0</v>
      </c>
      <c r="G399" s="3">
        <f>Baupläne!E399</f>
        <v>32</v>
      </c>
      <c r="H399" s="3">
        <f>Baupläne!F399</f>
        <v>480</v>
      </c>
      <c r="I399" s="3">
        <f>0.5*Baupläne!Y399</f>
        <v>1000</v>
      </c>
      <c r="J399" s="3">
        <f>Baupläne!G399</f>
        <v>1</v>
      </c>
      <c r="K399" s="3">
        <f>IF(L399&gt;0,INDEX(data_item!$A$1:$A$1994,MATCH(Baupläne!L399,data_item!$B$1:$B$1994,0),1),0)</f>
        <v>26</v>
      </c>
      <c r="L399" s="3">
        <f>Baupläne!K399</f>
        <v>11</v>
      </c>
      <c r="M399" s="3">
        <f>IF(N399&gt;0,INDEX(data_item!$A$1:$A$1994,MATCH(Baupläne!N399,data_item!$B$1:$B$994,0),1),0)</f>
        <v>120</v>
      </c>
      <c r="N399" s="3">
        <f>Baupläne!M399</f>
        <v>11</v>
      </c>
      <c r="O399" s="3">
        <f>IF(P399&gt;0,INDEX(data_item!$A$1:$A$1994,MATCH(Baupläne!P399,data_item!$B$1:$B$1994,0),1),0)</f>
        <v>0</v>
      </c>
      <c r="P399" s="3">
        <f>Baupläne!O399</f>
        <v>0</v>
      </c>
      <c r="Q399" s="3">
        <f>IF(R399&gt;0,INDEX(data_item!$A$1:$A$1994,MATCH(Baupläne!R399,data_item!$B$1:$B$1994,0),1),0)</f>
        <v>0</v>
      </c>
      <c r="R399" s="3">
        <f>Baupläne!Q399</f>
        <v>0</v>
      </c>
      <c r="S399" s="3">
        <f>IF(T399&gt;0,INDEX(data_item!$A$1:$A$1994,MATCH(Baupläne!T399,data_item!$B$1:$B$1994,0),1),0)</f>
        <v>0</v>
      </c>
      <c r="T399" s="3">
        <f>Baupläne!S399</f>
        <v>0</v>
      </c>
    </row>
    <row r="400" spans="1:20" x14ac:dyDescent="0.2">
      <c r="A400" s="3">
        <f>Baupläne!A400</f>
        <v>1632</v>
      </c>
      <c r="B400" s="3" t="str">
        <f>Baupläne!C400</f>
        <v>Luft-Krummstab</v>
      </c>
      <c r="C400" s="3">
        <f>Baupläne!B400</f>
        <v>1632</v>
      </c>
      <c r="D400" s="3">
        <f>Baupläne!J400</f>
        <v>0</v>
      </c>
      <c r="E400" s="3">
        <f>Baupläne!H400</f>
        <v>63</v>
      </c>
      <c r="F400" s="3">
        <f>Baupläne!I400</f>
        <v>3</v>
      </c>
      <c r="G400" s="3">
        <f>Baupläne!E400</f>
        <v>32</v>
      </c>
      <c r="H400" s="3">
        <f>Baupläne!F400</f>
        <v>480</v>
      </c>
      <c r="I400" s="3">
        <f>0.5*Baupläne!Y400</f>
        <v>1500</v>
      </c>
      <c r="J400" s="3">
        <f>Baupläne!G400</f>
        <v>1</v>
      </c>
      <c r="K400" s="3">
        <f>IF(L400&gt;0,INDEX(data_item!$A$1:$A$1994,MATCH(Baupläne!L400,data_item!$B$1:$B$1994,0),1),0)</f>
        <v>26</v>
      </c>
      <c r="L400" s="3">
        <f>Baupläne!K400</f>
        <v>16</v>
      </c>
      <c r="M400" s="3">
        <f>IF(N400&gt;0,INDEX(data_item!$A$1:$A$1994,MATCH(Baupläne!N400,data_item!$B$1:$B$994,0),1),0)</f>
        <v>120</v>
      </c>
      <c r="N400" s="3">
        <f>Baupläne!M400</f>
        <v>16</v>
      </c>
      <c r="O400" s="3">
        <f>IF(P400&gt;0,INDEX(data_item!$A$1:$A$1994,MATCH(Baupläne!P400,data_item!$B$1:$B$1994,0),1),0)</f>
        <v>0</v>
      </c>
      <c r="P400" s="3">
        <f>Baupläne!O400</f>
        <v>0</v>
      </c>
      <c r="Q400" s="3">
        <f>IF(R400&gt;0,INDEX(data_item!$A$1:$A$1994,MATCH(Baupläne!R400,data_item!$B$1:$B$1994,0),1),0)</f>
        <v>0</v>
      </c>
      <c r="R400" s="3">
        <f>Baupläne!Q400</f>
        <v>0</v>
      </c>
      <c r="S400" s="3">
        <f>IF(T400&gt;0,INDEX(data_item!$A$1:$A$1994,MATCH(Baupläne!T400,data_item!$B$1:$B$1994,0),1),0)</f>
        <v>0</v>
      </c>
      <c r="T400" s="3">
        <f>Baupläne!S400</f>
        <v>0</v>
      </c>
    </row>
    <row r="401" spans="1:20" x14ac:dyDescent="0.2">
      <c r="A401" s="3">
        <f>Baupläne!A401</f>
        <v>1633</v>
      </c>
      <c r="B401" s="3" t="str">
        <f>Baupläne!C401</f>
        <v>Luft-Langholz</v>
      </c>
      <c r="C401" s="3">
        <f>Baupläne!B401</f>
        <v>1633</v>
      </c>
      <c r="D401" s="3">
        <f>Baupläne!J401</f>
        <v>0</v>
      </c>
      <c r="E401" s="3">
        <f>Baupläne!H401</f>
        <v>63</v>
      </c>
      <c r="F401" s="3">
        <f>Baupläne!I401</f>
        <v>5</v>
      </c>
      <c r="G401" s="3">
        <f>Baupläne!E401</f>
        <v>32</v>
      </c>
      <c r="H401" s="3">
        <f>Baupläne!F401</f>
        <v>480</v>
      </c>
      <c r="I401" s="3">
        <f>0.5*Baupläne!Y401</f>
        <v>2000</v>
      </c>
      <c r="J401" s="3">
        <f>Baupläne!G401</f>
        <v>2</v>
      </c>
      <c r="K401" s="3">
        <f>IF(L401&gt;0,INDEX(data_item!$A$1:$A$1994,MATCH(Baupläne!L401,data_item!$B$1:$B$1994,0),1),0)</f>
        <v>27</v>
      </c>
      <c r="L401" s="3">
        <f>Baupläne!K401</f>
        <v>11</v>
      </c>
      <c r="M401" s="3">
        <f>IF(N401&gt;0,INDEX(data_item!$A$1:$A$1994,MATCH(Baupläne!N401,data_item!$B$1:$B$994,0),1),0)</f>
        <v>120</v>
      </c>
      <c r="N401" s="3">
        <f>Baupläne!M401</f>
        <v>22</v>
      </c>
      <c r="O401" s="3">
        <f>IF(P401&gt;0,INDEX(data_item!$A$1:$A$1994,MATCH(Baupläne!P401,data_item!$B$1:$B$1994,0),1),0)</f>
        <v>0</v>
      </c>
      <c r="P401" s="3">
        <f>Baupläne!O401</f>
        <v>0</v>
      </c>
      <c r="Q401" s="3">
        <f>IF(R401&gt;0,INDEX(data_item!$A$1:$A$1994,MATCH(Baupläne!R401,data_item!$B$1:$B$1994,0),1),0)</f>
        <v>0</v>
      </c>
      <c r="R401" s="3">
        <f>Baupläne!Q401</f>
        <v>0</v>
      </c>
      <c r="S401" s="3">
        <f>IF(T401&gt;0,INDEX(data_item!$A$1:$A$1994,MATCH(Baupläne!T401,data_item!$B$1:$B$1994,0),1),0)</f>
        <v>0</v>
      </c>
      <c r="T401" s="3">
        <f>Baupläne!S401</f>
        <v>0</v>
      </c>
    </row>
    <row r="402" spans="1:20" x14ac:dyDescent="0.2">
      <c r="A402" s="3">
        <f>Baupläne!A402</f>
        <v>1634</v>
      </c>
      <c r="B402" s="3" t="str">
        <f>Baupläne!C402</f>
        <v>Luft-Runenstab</v>
      </c>
      <c r="C402" s="3">
        <f>Baupläne!B402</f>
        <v>1634</v>
      </c>
      <c r="D402" s="3">
        <f>Baupläne!J402</f>
        <v>0</v>
      </c>
      <c r="E402" s="3">
        <f>Baupläne!H402</f>
        <v>63</v>
      </c>
      <c r="F402" s="3">
        <f>Baupläne!I402</f>
        <v>8</v>
      </c>
      <c r="G402" s="3">
        <f>Baupläne!E402</f>
        <v>32</v>
      </c>
      <c r="H402" s="3">
        <f>Baupläne!F402</f>
        <v>480</v>
      </c>
      <c r="I402" s="3">
        <f>0.5*Baupläne!Y402</f>
        <v>3050</v>
      </c>
      <c r="J402" s="3">
        <f>Baupläne!G402</f>
        <v>2</v>
      </c>
      <c r="K402" s="3">
        <f>IF(L402&gt;0,INDEX(data_item!$A$1:$A$1994,MATCH(Baupläne!L402,data_item!$B$1:$B$1994,0),1),0)</f>
        <v>27</v>
      </c>
      <c r="L402" s="3">
        <f>Baupläne!K402</f>
        <v>17</v>
      </c>
      <c r="M402" s="3">
        <f>IF(N402&gt;0,INDEX(data_item!$A$1:$A$1994,MATCH(Baupläne!N402,data_item!$B$1:$B$994,0),1),0)</f>
        <v>120</v>
      </c>
      <c r="N402" s="3">
        <f>Baupläne!M402</f>
        <v>34</v>
      </c>
      <c r="O402" s="3">
        <f>IF(P402&gt;0,INDEX(data_item!$A$1:$A$1994,MATCH(Baupläne!P402,data_item!$B$1:$B$1994,0),1),0)</f>
        <v>0</v>
      </c>
      <c r="P402" s="3">
        <f>Baupläne!O402</f>
        <v>0</v>
      </c>
      <c r="Q402" s="3">
        <f>IF(R402&gt;0,INDEX(data_item!$A$1:$A$1994,MATCH(Baupläne!R402,data_item!$B$1:$B$1994,0),1),0)</f>
        <v>0</v>
      </c>
      <c r="R402" s="3">
        <f>Baupläne!Q402</f>
        <v>0</v>
      </c>
      <c r="S402" s="3">
        <f>IF(T402&gt;0,INDEX(data_item!$A$1:$A$1994,MATCH(Baupläne!T402,data_item!$B$1:$B$1994,0),1),0)</f>
        <v>0</v>
      </c>
      <c r="T402" s="3">
        <f>Baupläne!S402</f>
        <v>0</v>
      </c>
    </row>
    <row r="403" spans="1:20" x14ac:dyDescent="0.2">
      <c r="A403" s="3">
        <f>Baupläne!A403</f>
        <v>1635</v>
      </c>
      <c r="B403" s="3" t="str">
        <f>Baupläne!C403</f>
        <v>Luft-Lichtstab</v>
      </c>
      <c r="C403" s="3">
        <f>Baupläne!B403</f>
        <v>1635</v>
      </c>
      <c r="D403" s="3">
        <f>Baupläne!J403</f>
        <v>0</v>
      </c>
      <c r="E403" s="3">
        <f>Baupläne!H403</f>
        <v>63</v>
      </c>
      <c r="F403" s="3">
        <f>Baupläne!I403</f>
        <v>10</v>
      </c>
      <c r="G403" s="3">
        <f>Baupläne!E403</f>
        <v>32</v>
      </c>
      <c r="H403" s="3">
        <f>Baupläne!F403</f>
        <v>480</v>
      </c>
      <c r="I403" s="3">
        <f>0.5*Baupläne!Y403</f>
        <v>4050</v>
      </c>
      <c r="J403" s="3">
        <f>Baupläne!G403</f>
        <v>3</v>
      </c>
      <c r="K403" s="3">
        <f>IF(L403&gt;0,INDEX(data_item!$A$1:$A$1994,MATCH(Baupläne!L403,data_item!$B$1:$B$1994,0),1),0)</f>
        <v>28</v>
      </c>
      <c r="L403" s="3">
        <f>Baupläne!K403</f>
        <v>15</v>
      </c>
      <c r="M403" s="3">
        <f>IF(N403&gt;0,INDEX(data_item!$A$1:$A$1994,MATCH(Baupläne!N403,data_item!$B$1:$B$994,0),1),0)</f>
        <v>120</v>
      </c>
      <c r="N403" s="3">
        <f>Baupläne!M403</f>
        <v>5</v>
      </c>
      <c r="O403" s="3">
        <f>IF(P403&gt;0,INDEX(data_item!$A$1:$A$1994,MATCH(Baupläne!P403,data_item!$B$1:$B$1994,0),1),0)</f>
        <v>121</v>
      </c>
      <c r="P403" s="3">
        <f>Baupläne!O403</f>
        <v>12</v>
      </c>
      <c r="Q403" s="3">
        <f>IF(R403&gt;0,INDEX(data_item!$A$1:$A$1994,MATCH(Baupläne!R403,data_item!$B$1:$B$1994,0),1),0)</f>
        <v>0</v>
      </c>
      <c r="R403" s="3">
        <f>Baupläne!Q403</f>
        <v>0</v>
      </c>
      <c r="S403" s="3">
        <f>IF(T403&gt;0,INDEX(data_item!$A$1:$A$1994,MATCH(Baupläne!T403,data_item!$B$1:$B$1994,0),1),0)</f>
        <v>0</v>
      </c>
      <c r="T403" s="3">
        <f>Baupläne!S403</f>
        <v>0</v>
      </c>
    </row>
    <row r="404" spans="1:20" x14ac:dyDescent="0.2">
      <c r="A404" s="3">
        <f>Baupläne!A404</f>
        <v>1636</v>
      </c>
      <c r="B404" s="3" t="str">
        <f>Baupläne!C404</f>
        <v>Luft-Rute</v>
      </c>
      <c r="C404" s="3">
        <f>Baupläne!B404</f>
        <v>1636</v>
      </c>
      <c r="D404" s="3">
        <f>Baupläne!J404</f>
        <v>0</v>
      </c>
      <c r="E404" s="3">
        <f>Baupläne!H404</f>
        <v>63</v>
      </c>
      <c r="F404" s="3">
        <f>Baupläne!I404</f>
        <v>13</v>
      </c>
      <c r="G404" s="3">
        <f>Baupläne!E404</f>
        <v>32</v>
      </c>
      <c r="H404" s="3">
        <f>Baupläne!F404</f>
        <v>480</v>
      </c>
      <c r="I404" s="3">
        <f>0.5*Baupläne!Y404</f>
        <v>6150</v>
      </c>
      <c r="J404" s="3">
        <f>Baupläne!G404</f>
        <v>3</v>
      </c>
      <c r="K404" s="3">
        <f>IF(L404&gt;0,INDEX(data_item!$A$1:$A$1994,MATCH(Baupläne!L404,data_item!$B$1:$B$1994,0),1),0)</f>
        <v>28</v>
      </c>
      <c r="L404" s="3">
        <f>Baupläne!K404</f>
        <v>22</v>
      </c>
      <c r="M404" s="3">
        <f>IF(N404&gt;0,INDEX(data_item!$A$1:$A$1994,MATCH(Baupläne!N404,data_item!$B$1:$B$994,0),1),0)</f>
        <v>120</v>
      </c>
      <c r="N404" s="3">
        <f>Baupläne!M404</f>
        <v>5</v>
      </c>
      <c r="O404" s="3">
        <f>IF(P404&gt;0,INDEX(data_item!$A$1:$A$1994,MATCH(Baupläne!P404,data_item!$B$1:$B$1994,0),1),0)</f>
        <v>121</v>
      </c>
      <c r="P404" s="3">
        <f>Baupläne!O404</f>
        <v>19</v>
      </c>
      <c r="Q404" s="3">
        <f>IF(R404&gt;0,INDEX(data_item!$A$1:$A$1994,MATCH(Baupläne!R404,data_item!$B$1:$B$1994,0),1),0)</f>
        <v>0</v>
      </c>
      <c r="R404" s="3">
        <f>Baupläne!Q404</f>
        <v>0</v>
      </c>
      <c r="S404" s="3">
        <f>IF(T404&gt;0,INDEX(data_item!$A$1:$A$1994,MATCH(Baupläne!T404,data_item!$B$1:$B$1994,0),1),0)</f>
        <v>0</v>
      </c>
      <c r="T404" s="3">
        <f>Baupläne!S404</f>
        <v>0</v>
      </c>
    </row>
    <row r="405" spans="1:20" x14ac:dyDescent="0.2">
      <c r="A405" s="3">
        <f>Baupläne!A405</f>
        <v>1637</v>
      </c>
      <c r="B405" s="3" t="str">
        <f>Baupläne!C405</f>
        <v>Luft-Spiralstab</v>
      </c>
      <c r="C405" s="3">
        <f>Baupläne!B405</f>
        <v>1637</v>
      </c>
      <c r="D405" s="3">
        <f>Baupläne!J405</f>
        <v>0</v>
      </c>
      <c r="E405" s="3">
        <f>Baupläne!H405</f>
        <v>63</v>
      </c>
      <c r="F405" s="3">
        <f>Baupläne!I405</f>
        <v>15</v>
      </c>
      <c r="G405" s="3">
        <f>Baupläne!E405</f>
        <v>32</v>
      </c>
      <c r="H405" s="3">
        <f>Baupläne!F405</f>
        <v>480</v>
      </c>
      <c r="I405" s="3">
        <f>0.5*Baupläne!Y405</f>
        <v>8150</v>
      </c>
      <c r="J405" s="3">
        <f>Baupläne!G405</f>
        <v>4</v>
      </c>
      <c r="K405" s="3">
        <f>IF(L405&gt;0,INDEX(data_item!$A$1:$A$1994,MATCH(Baupläne!L405,data_item!$B$1:$B$1994,0),1),0)</f>
        <v>29</v>
      </c>
      <c r="L405" s="3">
        <f>Baupläne!K405</f>
        <v>20</v>
      </c>
      <c r="M405" s="3">
        <f>IF(N405&gt;0,INDEX(data_item!$A$1:$A$1994,MATCH(Baupläne!N405,data_item!$B$1:$B$994,0),1),0)</f>
        <v>120</v>
      </c>
      <c r="N405" s="3">
        <f>Baupläne!M405</f>
        <v>6</v>
      </c>
      <c r="O405" s="3">
        <f>IF(P405&gt;0,INDEX(data_item!$A$1:$A$1994,MATCH(Baupläne!P405,data_item!$B$1:$B$1994,0),1),0)</f>
        <v>121</v>
      </c>
      <c r="P405" s="3">
        <f>Baupläne!O405</f>
        <v>25</v>
      </c>
      <c r="Q405" s="3">
        <f>IF(R405&gt;0,INDEX(data_item!$A$1:$A$1994,MATCH(Baupläne!R405,data_item!$B$1:$B$1994,0),1),0)</f>
        <v>0</v>
      </c>
      <c r="R405" s="3">
        <f>Baupläne!Q405</f>
        <v>0</v>
      </c>
      <c r="S405" s="3">
        <f>IF(T405&gt;0,INDEX(data_item!$A$1:$A$1994,MATCH(Baupläne!T405,data_item!$B$1:$B$1994,0),1),0)</f>
        <v>0</v>
      </c>
      <c r="T405" s="3">
        <f>Baupläne!S405</f>
        <v>0</v>
      </c>
    </row>
    <row r="406" spans="1:20" x14ac:dyDescent="0.2">
      <c r="A406" s="3">
        <f>Baupläne!A406</f>
        <v>1638</v>
      </c>
      <c r="B406" s="3" t="str">
        <f>Baupläne!C406</f>
        <v>Luft-Eschenstab</v>
      </c>
      <c r="C406" s="3">
        <f>Baupläne!B406</f>
        <v>1638</v>
      </c>
      <c r="D406" s="3">
        <f>Baupläne!J406</f>
        <v>0</v>
      </c>
      <c r="E406" s="3">
        <f>Baupläne!H406</f>
        <v>63</v>
      </c>
      <c r="F406" s="3">
        <f>Baupläne!I406</f>
        <v>18</v>
      </c>
      <c r="G406" s="3">
        <f>Baupläne!E406</f>
        <v>32</v>
      </c>
      <c r="H406" s="3">
        <f>Baupläne!F406</f>
        <v>480</v>
      </c>
      <c r="I406" s="3">
        <f>0.5*Baupläne!Y406</f>
        <v>12400</v>
      </c>
      <c r="J406" s="3">
        <f>Baupläne!G406</f>
        <v>4</v>
      </c>
      <c r="K406" s="3">
        <f>IF(L406&gt;0,INDEX(data_item!$A$1:$A$1994,MATCH(Baupläne!L406,data_item!$B$1:$B$1994,0),1),0)</f>
        <v>29</v>
      </c>
      <c r="L406" s="3">
        <f>Baupläne!K406</f>
        <v>30</v>
      </c>
      <c r="M406" s="3">
        <f>IF(N406&gt;0,INDEX(data_item!$A$1:$A$1994,MATCH(Baupläne!N406,data_item!$B$1:$B$994,0),1),0)</f>
        <v>120</v>
      </c>
      <c r="N406" s="3">
        <f>Baupläne!M406</f>
        <v>8</v>
      </c>
      <c r="O406" s="3">
        <f>IF(P406&gt;0,INDEX(data_item!$A$1:$A$1994,MATCH(Baupläne!P406,data_item!$B$1:$B$1994,0),1),0)</f>
        <v>121</v>
      </c>
      <c r="P406" s="3">
        <f>Baupläne!O406</f>
        <v>38</v>
      </c>
      <c r="Q406" s="3">
        <f>IF(R406&gt;0,INDEX(data_item!$A$1:$A$1994,MATCH(Baupläne!R406,data_item!$B$1:$B$1994,0),1),0)</f>
        <v>0</v>
      </c>
      <c r="R406" s="3">
        <f>Baupläne!Q406</f>
        <v>0</v>
      </c>
      <c r="S406" s="3">
        <f>IF(T406&gt;0,INDEX(data_item!$A$1:$A$1994,MATCH(Baupläne!T406,data_item!$B$1:$B$1994,0),1),0)</f>
        <v>0</v>
      </c>
      <c r="T406" s="3">
        <f>Baupläne!S406</f>
        <v>0</v>
      </c>
    </row>
    <row r="407" spans="1:20" x14ac:dyDescent="0.2">
      <c r="A407" s="3">
        <f>Baupläne!A407</f>
        <v>1639</v>
      </c>
      <c r="B407" s="3" t="str">
        <f>Baupläne!C407</f>
        <v>Luft-Eibenlanze</v>
      </c>
      <c r="C407" s="3">
        <f>Baupläne!B407</f>
        <v>1639</v>
      </c>
      <c r="D407" s="3">
        <f>Baupläne!J407</f>
        <v>0</v>
      </c>
      <c r="E407" s="3">
        <f>Baupläne!H407</f>
        <v>63</v>
      </c>
      <c r="F407" s="3">
        <f>Baupläne!I407</f>
        <v>21</v>
      </c>
      <c r="G407" s="3">
        <f>Baupläne!E407</f>
        <v>32</v>
      </c>
      <c r="H407" s="3">
        <f>Baupläne!F407</f>
        <v>480</v>
      </c>
      <c r="I407" s="3">
        <f>0.5*Baupläne!Y407</f>
        <v>18800</v>
      </c>
      <c r="J407" s="3">
        <f>Baupläne!G407</f>
        <v>5</v>
      </c>
      <c r="K407" s="3">
        <f>IF(L407&gt;0,INDEX(data_item!$A$1:$A$1994,MATCH(Baupläne!L407,data_item!$B$1:$B$1994,0),1),0)</f>
        <v>30</v>
      </c>
      <c r="L407" s="3">
        <f>Baupläne!K407</f>
        <v>34</v>
      </c>
      <c r="M407" s="3">
        <f>IF(N407&gt;0,INDEX(data_item!$A$1:$A$1994,MATCH(Baupläne!N407,data_item!$B$1:$B$994,0),1),0)</f>
        <v>120</v>
      </c>
      <c r="N407" s="3">
        <f>Baupläne!M407</f>
        <v>6</v>
      </c>
      <c r="O407" s="3">
        <f>IF(P407&gt;0,INDEX(data_item!$A$1:$A$1994,MATCH(Baupläne!P407,data_item!$B$1:$B$1994,0),1),0)</f>
        <v>121</v>
      </c>
      <c r="P407" s="3">
        <f>Baupläne!O407</f>
        <v>10</v>
      </c>
      <c r="Q407" s="3">
        <f>IF(R407&gt;0,INDEX(data_item!$A$1:$A$1994,MATCH(Baupläne!R407,data_item!$B$1:$B$1994,0),1),0)</f>
        <v>122</v>
      </c>
      <c r="R407" s="3">
        <f>Baupläne!Q407</f>
        <v>20</v>
      </c>
      <c r="S407" s="3">
        <f>IF(T407&gt;0,INDEX(data_item!$A$1:$A$1994,MATCH(Baupläne!T407,data_item!$B$1:$B$1994,0),1),0)</f>
        <v>0</v>
      </c>
      <c r="T407" s="3">
        <f>Baupläne!S407</f>
        <v>0</v>
      </c>
    </row>
    <row r="408" spans="1:20" x14ac:dyDescent="0.2">
      <c r="A408" s="3">
        <f>Baupläne!A408</f>
        <v>1640</v>
      </c>
      <c r="B408" s="3" t="str">
        <f>Baupläne!C408</f>
        <v>Luft-Wächterstab</v>
      </c>
      <c r="C408" s="3">
        <f>Baupläne!B408</f>
        <v>1640</v>
      </c>
      <c r="D408" s="3">
        <f>Baupläne!J408</f>
        <v>0</v>
      </c>
      <c r="E408" s="3">
        <f>Baupläne!H408</f>
        <v>63</v>
      </c>
      <c r="F408" s="3">
        <f>Baupläne!I408</f>
        <v>24</v>
      </c>
      <c r="G408" s="3">
        <f>Baupläne!E408</f>
        <v>32</v>
      </c>
      <c r="H408" s="3">
        <f>Baupläne!F408</f>
        <v>480</v>
      </c>
      <c r="I408" s="3">
        <f>0.5*Baupläne!Y408</f>
        <v>28650</v>
      </c>
      <c r="J408" s="3">
        <f>Baupläne!G408</f>
        <v>5</v>
      </c>
      <c r="K408" s="3">
        <f>IF(L408&gt;0,INDEX(data_item!$A$1:$A$1994,MATCH(Baupläne!L408,data_item!$B$1:$B$1994,0),1),0)</f>
        <v>30</v>
      </c>
      <c r="L408" s="3">
        <f>Baupläne!K408</f>
        <v>52</v>
      </c>
      <c r="M408" s="3">
        <f>IF(N408&gt;0,INDEX(data_item!$A$1:$A$1994,MATCH(Baupläne!N408,data_item!$B$1:$B$994,0),1),0)</f>
        <v>120</v>
      </c>
      <c r="N408" s="3">
        <f>Baupläne!M408</f>
        <v>6</v>
      </c>
      <c r="O408" s="3">
        <f>IF(P408&gt;0,INDEX(data_item!$A$1:$A$1994,MATCH(Baupläne!P408,data_item!$B$1:$B$1994,0),1),0)</f>
        <v>121</v>
      </c>
      <c r="P408" s="3">
        <f>Baupläne!O408</f>
        <v>12</v>
      </c>
      <c r="Q408" s="3">
        <f>IF(R408&gt;0,INDEX(data_item!$A$1:$A$1994,MATCH(Baupläne!R408,data_item!$B$1:$B$1994,0),1),0)</f>
        <v>122</v>
      </c>
      <c r="R408" s="3">
        <f>Baupläne!Q408</f>
        <v>32</v>
      </c>
      <c r="S408" s="3">
        <f>IF(T408&gt;0,INDEX(data_item!$A$1:$A$1994,MATCH(Baupläne!T408,data_item!$B$1:$B$1994,0),1),0)</f>
        <v>0</v>
      </c>
      <c r="T408" s="3">
        <f>Baupläne!S408</f>
        <v>0</v>
      </c>
    </row>
    <row r="409" spans="1:20" x14ac:dyDescent="0.2">
      <c r="A409" s="3">
        <f>Baupläne!A409</f>
        <v>0</v>
      </c>
      <c r="B409" s="3">
        <f>Baupläne!C409</f>
        <v>0</v>
      </c>
      <c r="C409" s="3">
        <f>Baupläne!B409</f>
        <v>0</v>
      </c>
      <c r="D409" s="3">
        <f>Baupläne!J409</f>
        <v>0</v>
      </c>
      <c r="E409" s="3">
        <f>Baupläne!H409</f>
        <v>0</v>
      </c>
      <c r="F409" s="3">
        <f>Baupläne!I409</f>
        <v>0</v>
      </c>
      <c r="G409" s="3">
        <f>Baupläne!E409</f>
        <v>0</v>
      </c>
      <c r="H409" s="3">
        <f>Baupläne!F409</f>
        <v>0</v>
      </c>
      <c r="I409" s="3">
        <f>0.5*Baupläne!Y409</f>
        <v>0</v>
      </c>
      <c r="J409" s="3">
        <f>Baupläne!G409</f>
        <v>0</v>
      </c>
      <c r="K409" s="3">
        <f>IF(L409&gt;0,INDEX(data_item!$A$1:$A$1994,MATCH(Baupläne!L409,data_item!$B$1:$B$1994,0),1),0)</f>
        <v>0</v>
      </c>
      <c r="L409" s="3">
        <f>Baupläne!K409</f>
        <v>0</v>
      </c>
      <c r="M409" s="3">
        <f>IF(N409&gt;0,INDEX(data_item!$A$1:$A$1994,MATCH(Baupläne!N409,data_item!$B$1:$B$994,0),1),0)</f>
        <v>0</v>
      </c>
      <c r="N409" s="3">
        <f>Baupläne!M409</f>
        <v>0</v>
      </c>
      <c r="O409" s="3">
        <f>IF(P409&gt;0,INDEX(data_item!$A$1:$A$1994,MATCH(Baupläne!P409,data_item!$B$1:$B$1994,0),1),0)</f>
        <v>0</v>
      </c>
      <c r="P409" s="3">
        <f>Baupläne!O409</f>
        <v>0</v>
      </c>
      <c r="Q409" s="3">
        <f>IF(R409&gt;0,INDEX(data_item!$A$1:$A$1994,MATCH(Baupläne!R409,data_item!$B$1:$B$1994,0),1),0)</f>
        <v>0</v>
      </c>
      <c r="R409" s="3">
        <f>Baupläne!Q409</f>
        <v>0</v>
      </c>
      <c r="S409" s="3">
        <f>IF(T409&gt;0,INDEX(data_item!$A$1:$A$1994,MATCH(Baupläne!T409,data_item!$B$1:$B$1994,0),1),0)</f>
        <v>0</v>
      </c>
      <c r="T409" s="3">
        <f>Baupläne!S409</f>
        <v>0</v>
      </c>
    </row>
    <row r="410" spans="1:20" x14ac:dyDescent="0.2">
      <c r="A410" s="3">
        <f>Baupläne!A410</f>
        <v>2101</v>
      </c>
      <c r="B410" s="3" t="str">
        <f>Baupläne!C410</f>
        <v>Kristall-Schwert</v>
      </c>
      <c r="C410" s="3">
        <f>Baupläne!B410</f>
        <v>2101</v>
      </c>
      <c r="D410" s="3">
        <f>Baupläne!J410</f>
        <v>0</v>
      </c>
      <c r="E410" s="3">
        <f>Baupläne!H410</f>
        <v>56</v>
      </c>
      <c r="F410" s="3">
        <f>Baupläne!I410</f>
        <v>3</v>
      </c>
      <c r="G410" s="3">
        <f>Baupläne!E410</f>
        <v>30</v>
      </c>
      <c r="H410" s="3">
        <f>Baupläne!F410</f>
        <v>420</v>
      </c>
      <c r="I410" s="3">
        <f>0.5*Baupläne!Y410</f>
        <v>900</v>
      </c>
      <c r="J410" s="3">
        <f>Baupläne!G410</f>
        <v>0</v>
      </c>
      <c r="K410" s="3">
        <f>IF(L410&gt;0,INDEX(data_item!$A$1:$A$1994,MATCH(Baupläne!L410,data_item!$B$1:$B$1994,0),1),0)</f>
        <v>6</v>
      </c>
      <c r="L410" s="3">
        <f>Baupläne!K410</f>
        <v>10</v>
      </c>
      <c r="M410" s="3">
        <f>IF(N410&gt;0,INDEX(data_item!$A$1:$A$1994,MATCH(Baupläne!N410,data_item!$B$1:$B$994,0),1),0)</f>
        <v>101</v>
      </c>
      <c r="N410" s="3">
        <f>Baupläne!M410</f>
        <v>7</v>
      </c>
      <c r="O410" s="3">
        <f>IF(P410&gt;0,INDEX(data_item!$A$1:$A$1994,MATCH(Baupläne!P410,data_item!$B$1:$B$1994,0),1),0)</f>
        <v>0</v>
      </c>
      <c r="P410" s="3">
        <f>Baupläne!O410</f>
        <v>0</v>
      </c>
      <c r="Q410" s="3">
        <f>IF(R410&gt;0,INDEX(data_item!$A$1:$A$1994,MATCH(Baupläne!R410,data_item!$B$1:$B$1994,0),1),0)</f>
        <v>0</v>
      </c>
      <c r="R410" s="3">
        <f>Baupläne!Q410</f>
        <v>0</v>
      </c>
      <c r="S410" s="3">
        <f>IF(T410&gt;0,INDEX(data_item!$A$1:$A$1994,MATCH(Baupläne!T410,data_item!$B$1:$B$1994,0),1),0)</f>
        <v>301</v>
      </c>
      <c r="T410" s="3">
        <f>Baupläne!S410</f>
        <v>2</v>
      </c>
    </row>
    <row r="411" spans="1:20" x14ac:dyDescent="0.2">
      <c r="A411" s="3">
        <f>Baupläne!A411</f>
        <v>2102</v>
      </c>
      <c r="B411" s="3" t="str">
        <f>Baupläne!C411</f>
        <v>Quarz-Schwert</v>
      </c>
      <c r="C411" s="3">
        <f>Baupläne!B411</f>
        <v>2102</v>
      </c>
      <c r="D411" s="3">
        <f>Baupläne!J411</f>
        <v>0</v>
      </c>
      <c r="E411" s="3">
        <f>Baupläne!H411</f>
        <v>56</v>
      </c>
      <c r="F411" s="3">
        <f>Baupläne!I411</f>
        <v>8</v>
      </c>
      <c r="G411" s="3">
        <f>Baupläne!E411</f>
        <v>30</v>
      </c>
      <c r="H411" s="3">
        <f>Baupläne!F411</f>
        <v>420</v>
      </c>
      <c r="I411" s="3">
        <f>0.5*Baupläne!Y411</f>
        <v>1850</v>
      </c>
      <c r="J411" s="3">
        <f>Baupläne!G411</f>
        <v>0</v>
      </c>
      <c r="K411" s="3">
        <f>IF(L411&gt;0,INDEX(data_item!$A$1:$A$1994,MATCH(Baupläne!L411,data_item!$B$1:$B$1994,0),1),0)</f>
        <v>7</v>
      </c>
      <c r="L411" s="3">
        <f>Baupläne!K411</f>
        <v>10</v>
      </c>
      <c r="M411" s="3">
        <f>IF(N411&gt;0,INDEX(data_item!$A$1:$A$1994,MATCH(Baupläne!N411,data_item!$B$1:$B$994,0),1),0)</f>
        <v>101</v>
      </c>
      <c r="N411" s="3">
        <f>Baupläne!M411</f>
        <v>15</v>
      </c>
      <c r="O411" s="3">
        <f>IF(P411&gt;0,INDEX(data_item!$A$1:$A$1994,MATCH(Baupläne!P411,data_item!$B$1:$B$1994,0),1),0)</f>
        <v>0</v>
      </c>
      <c r="P411" s="3">
        <f>Baupläne!O411</f>
        <v>0</v>
      </c>
      <c r="Q411" s="3">
        <f>IF(R411&gt;0,INDEX(data_item!$A$1:$A$1994,MATCH(Baupläne!R411,data_item!$B$1:$B$1994,0),1),0)</f>
        <v>0</v>
      </c>
      <c r="R411" s="3">
        <f>Baupläne!Q411</f>
        <v>0</v>
      </c>
      <c r="S411" s="3">
        <f>IF(T411&gt;0,INDEX(data_item!$A$1:$A$1994,MATCH(Baupläne!T411,data_item!$B$1:$B$1994,0),1),0)</f>
        <v>302</v>
      </c>
      <c r="T411" s="3">
        <f>Baupläne!S411</f>
        <v>2</v>
      </c>
    </row>
    <row r="412" spans="1:20" x14ac:dyDescent="0.2">
      <c r="A412" s="3">
        <f>Baupläne!A412</f>
        <v>2103</v>
      </c>
      <c r="B412" s="3" t="str">
        <f>Baupläne!C412</f>
        <v>Smaragd-Schwert</v>
      </c>
      <c r="C412" s="3">
        <f>Baupläne!B412</f>
        <v>2103</v>
      </c>
      <c r="D412" s="3">
        <f>Baupläne!J412</f>
        <v>0</v>
      </c>
      <c r="E412" s="3">
        <f>Baupläne!H412</f>
        <v>56</v>
      </c>
      <c r="F412" s="3">
        <f>Baupläne!I412</f>
        <v>13</v>
      </c>
      <c r="G412" s="3">
        <f>Baupläne!E412</f>
        <v>30</v>
      </c>
      <c r="H412" s="3">
        <f>Baupläne!F412</f>
        <v>420</v>
      </c>
      <c r="I412" s="3">
        <f>0.5*Baupläne!Y412</f>
        <v>3700</v>
      </c>
      <c r="J412" s="3">
        <f>Baupläne!G412</f>
        <v>0</v>
      </c>
      <c r="K412" s="3">
        <f>IF(L412&gt;0,INDEX(data_item!$A$1:$A$1994,MATCH(Baupläne!L412,data_item!$B$1:$B$1994,0),1),0)</f>
        <v>8</v>
      </c>
      <c r="L412" s="3">
        <f>Baupläne!K412</f>
        <v>14</v>
      </c>
      <c r="M412" s="3">
        <f>IF(N412&gt;0,INDEX(data_item!$A$1:$A$1994,MATCH(Baupläne!N412,data_item!$B$1:$B$994,0),1),0)</f>
        <v>101</v>
      </c>
      <c r="N412" s="3">
        <f>Baupläne!M412</f>
        <v>3</v>
      </c>
      <c r="O412" s="3">
        <f>IF(P412&gt;0,INDEX(data_item!$A$1:$A$1994,MATCH(Baupläne!P412,data_item!$B$1:$B$1994,0),1),0)</f>
        <v>102</v>
      </c>
      <c r="P412" s="3">
        <f>Baupläne!O412</f>
        <v>11</v>
      </c>
      <c r="Q412" s="3">
        <f>IF(R412&gt;0,INDEX(data_item!$A$1:$A$1994,MATCH(Baupläne!R412,data_item!$B$1:$B$1994,0),1),0)</f>
        <v>0</v>
      </c>
      <c r="R412" s="3">
        <f>Baupläne!Q412</f>
        <v>0</v>
      </c>
      <c r="S412" s="3">
        <f>IF(T412&gt;0,INDEX(data_item!$A$1:$A$1994,MATCH(Baupläne!T412,data_item!$B$1:$B$1994,0),1),0)</f>
        <v>303</v>
      </c>
      <c r="T412" s="3">
        <f>Baupläne!S412</f>
        <v>2</v>
      </c>
    </row>
    <row r="413" spans="1:20" x14ac:dyDescent="0.2">
      <c r="A413" s="3">
        <f>Baupläne!A413</f>
        <v>2104</v>
      </c>
      <c r="B413" s="3" t="str">
        <f>Baupläne!C413</f>
        <v>Rubin-Schwert</v>
      </c>
      <c r="C413" s="3">
        <f>Baupläne!B413</f>
        <v>2104</v>
      </c>
      <c r="D413" s="3">
        <f>Baupläne!J413</f>
        <v>0</v>
      </c>
      <c r="E413" s="3">
        <f>Baupläne!H413</f>
        <v>56</v>
      </c>
      <c r="F413" s="3">
        <f>Baupläne!I413</f>
        <v>18</v>
      </c>
      <c r="G413" s="3">
        <f>Baupläne!E413</f>
        <v>30</v>
      </c>
      <c r="H413" s="3">
        <f>Baupläne!F413</f>
        <v>420</v>
      </c>
      <c r="I413" s="3">
        <f>0.5*Baupläne!Y413</f>
        <v>7450</v>
      </c>
      <c r="J413" s="3">
        <f>Baupläne!G413</f>
        <v>0</v>
      </c>
      <c r="K413" s="3">
        <f>IF(L413&gt;0,INDEX(data_item!$A$1:$A$1994,MATCH(Baupläne!L413,data_item!$B$1:$B$1994,0),1),0)</f>
        <v>9</v>
      </c>
      <c r="L413" s="3">
        <f>Baupläne!K413</f>
        <v>18</v>
      </c>
      <c r="M413" s="3">
        <f>IF(N413&gt;0,INDEX(data_item!$A$1:$A$1994,MATCH(Baupläne!N413,data_item!$B$1:$B$994,0),1),0)</f>
        <v>101</v>
      </c>
      <c r="N413" s="3">
        <f>Baupläne!M413</f>
        <v>6</v>
      </c>
      <c r="O413" s="3">
        <f>IF(P413&gt;0,INDEX(data_item!$A$1:$A$1994,MATCH(Baupläne!P413,data_item!$B$1:$B$1994,0),1),0)</f>
        <v>102</v>
      </c>
      <c r="P413" s="3">
        <f>Baupläne!O413</f>
        <v>22</v>
      </c>
      <c r="Q413" s="3">
        <f>IF(R413&gt;0,INDEX(data_item!$A$1:$A$1994,MATCH(Baupläne!R413,data_item!$B$1:$B$1994,0),1),0)</f>
        <v>0</v>
      </c>
      <c r="R413" s="3">
        <f>Baupläne!Q413</f>
        <v>0</v>
      </c>
      <c r="S413" s="3">
        <f>IF(T413&gt;0,INDEX(data_item!$A$1:$A$1994,MATCH(Baupläne!T413,data_item!$B$1:$B$1994,0),1),0)</f>
        <v>304</v>
      </c>
      <c r="T413" s="3">
        <f>Baupläne!S413</f>
        <v>2</v>
      </c>
    </row>
    <row r="414" spans="1:20" x14ac:dyDescent="0.2">
      <c r="A414" s="3">
        <f>Baupläne!A414</f>
        <v>2105</v>
      </c>
      <c r="B414" s="3" t="str">
        <f>Baupläne!C414</f>
        <v>Obsidian-Schwert</v>
      </c>
      <c r="C414" s="3">
        <f>Baupläne!B414</f>
        <v>2105</v>
      </c>
      <c r="D414" s="3">
        <f>Baupläne!J414</f>
        <v>0</v>
      </c>
      <c r="E414" s="3">
        <f>Baupläne!H414</f>
        <v>56</v>
      </c>
      <c r="F414" s="3">
        <f>Baupläne!I414</f>
        <v>24</v>
      </c>
      <c r="G414" s="3">
        <f>Baupläne!E414</f>
        <v>30</v>
      </c>
      <c r="H414" s="3">
        <f>Baupläne!F414</f>
        <v>420</v>
      </c>
      <c r="I414" s="3">
        <f>0.5*Baupläne!Y414</f>
        <v>17200</v>
      </c>
      <c r="J414" s="3">
        <f>Baupläne!G414</f>
        <v>0</v>
      </c>
      <c r="K414" s="3">
        <f>IF(L414&gt;0,INDEX(data_item!$A$1:$A$1994,MATCH(Baupläne!L414,data_item!$B$1:$B$1994,0),1),0)</f>
        <v>10</v>
      </c>
      <c r="L414" s="3">
        <f>Baupläne!K414</f>
        <v>32</v>
      </c>
      <c r="M414" s="3">
        <f>IF(N414&gt;0,INDEX(data_item!$A$1:$A$1994,MATCH(Baupläne!N414,data_item!$B$1:$B$994,0),1),0)</f>
        <v>101</v>
      </c>
      <c r="N414" s="3">
        <f>Baupläne!M414</f>
        <v>6</v>
      </c>
      <c r="O414" s="3">
        <f>IF(P414&gt;0,INDEX(data_item!$A$1:$A$1994,MATCH(Baupläne!P414,data_item!$B$1:$B$1994,0),1),0)</f>
        <v>102</v>
      </c>
      <c r="P414" s="3">
        <f>Baupläne!O414</f>
        <v>14</v>
      </c>
      <c r="Q414" s="3">
        <f>IF(R414&gt;0,INDEX(data_item!$A$1:$A$1994,MATCH(Baupläne!R414,data_item!$B$1:$B$1994,0),1),0)</f>
        <v>103</v>
      </c>
      <c r="R414" s="3">
        <f>Baupläne!Q414</f>
        <v>16</v>
      </c>
      <c r="S414" s="3">
        <f>IF(T414&gt;0,INDEX(data_item!$A$1:$A$1994,MATCH(Baupläne!T414,data_item!$B$1:$B$1994,0),1),0)</f>
        <v>305</v>
      </c>
      <c r="T414" s="3">
        <f>Baupläne!S414</f>
        <v>2</v>
      </c>
    </row>
    <row r="415" spans="1:20" x14ac:dyDescent="0.2">
      <c r="A415" s="3">
        <f>Baupläne!A415</f>
        <v>0</v>
      </c>
      <c r="B415" s="3">
        <f>Baupläne!C415</f>
        <v>0</v>
      </c>
      <c r="C415" s="3">
        <f>Baupläne!B415</f>
        <v>0</v>
      </c>
      <c r="D415" s="3">
        <f>Baupläne!J415</f>
        <v>0</v>
      </c>
      <c r="E415" s="3">
        <f>Baupläne!H415</f>
        <v>0</v>
      </c>
      <c r="F415" s="3">
        <f>Baupläne!I415</f>
        <v>0</v>
      </c>
      <c r="G415" s="3">
        <f>Baupläne!E415</f>
        <v>0</v>
      </c>
      <c r="H415" s="3">
        <f>Baupläne!F415</f>
        <v>0</v>
      </c>
      <c r="I415" s="3">
        <f>0.5*Baupläne!Y415</f>
        <v>0</v>
      </c>
      <c r="J415" s="3">
        <f>Baupläne!G415</f>
        <v>0</v>
      </c>
      <c r="K415" s="3">
        <f>IF(L415&gt;0,INDEX(data_item!$A$1:$A$1994,MATCH(Baupläne!L415,data_item!$B$1:$B$1994,0),1),0)</f>
        <v>0</v>
      </c>
      <c r="L415" s="3">
        <f>Baupläne!K415</f>
        <v>0</v>
      </c>
      <c r="M415" s="3">
        <f>IF(N415&gt;0,INDEX(data_item!$A$1:$A$1994,MATCH(Baupläne!N415,data_item!$B$1:$B$994,0),1),0)</f>
        <v>0</v>
      </c>
      <c r="N415" s="3">
        <f>Baupläne!M415</f>
        <v>0</v>
      </c>
      <c r="O415" s="3">
        <f>IF(P415&gt;0,INDEX(data_item!$A$1:$A$1994,MATCH(Baupläne!P415,data_item!$B$1:$B$1994,0),1),0)</f>
        <v>0</v>
      </c>
      <c r="P415" s="3">
        <f>Baupläne!O415</f>
        <v>0</v>
      </c>
      <c r="Q415" s="3">
        <f>IF(R415&gt;0,INDEX(data_item!$A$1:$A$1994,MATCH(Baupläne!R415,data_item!$B$1:$B$1994,0),1),0)</f>
        <v>0</v>
      </c>
      <c r="R415" s="3">
        <f>Baupläne!Q415</f>
        <v>0</v>
      </c>
      <c r="S415" s="3">
        <f>IF(T415&gt;0,INDEX(data_item!$A$1:$A$1994,MATCH(Baupläne!T415,data_item!$B$1:$B$1994,0),1),0)</f>
        <v>0</v>
      </c>
      <c r="T415" s="3">
        <f>Baupläne!S415</f>
        <v>0</v>
      </c>
    </row>
    <row r="416" spans="1:20" x14ac:dyDescent="0.2">
      <c r="A416" s="3">
        <f>Baupläne!A416</f>
        <v>2111</v>
      </c>
      <c r="B416" s="3" t="str">
        <f>Baupläne!C416</f>
        <v>Quarz-Prunkschwert</v>
      </c>
      <c r="C416" s="3">
        <f>Baupläne!B416</f>
        <v>2111</v>
      </c>
      <c r="D416" s="3">
        <f>Baupläne!J416</f>
        <v>0</v>
      </c>
      <c r="E416" s="3">
        <f>Baupläne!H416</f>
        <v>56</v>
      </c>
      <c r="F416" s="3">
        <f>Baupläne!I416</f>
        <v>9</v>
      </c>
      <c r="G416" s="3">
        <f>Baupläne!E416</f>
        <v>30</v>
      </c>
      <c r="H416" s="3">
        <f>Baupläne!F416</f>
        <v>540</v>
      </c>
      <c r="I416" s="3">
        <f>0.5*Baupläne!Y416</f>
        <v>3500</v>
      </c>
      <c r="J416" s="3">
        <f>Baupläne!G416</f>
        <v>0</v>
      </c>
      <c r="K416" s="3">
        <f>IF(L416&gt;0,INDEX(data_item!$A$1:$A$1994,MATCH(Baupläne!L416,data_item!$B$1:$B$1994,0),1),0)</f>
        <v>7</v>
      </c>
      <c r="L416" s="3">
        <f>Baupläne!K416</f>
        <v>19</v>
      </c>
      <c r="M416" s="3">
        <f>IF(N416&gt;0,INDEX(data_item!$A$1:$A$1994,MATCH(Baupläne!N416,data_item!$B$1:$B$994,0),1),0)</f>
        <v>101</v>
      </c>
      <c r="N416" s="3">
        <f>Baupläne!M416</f>
        <v>29</v>
      </c>
      <c r="O416" s="3">
        <f>IF(P416&gt;0,INDEX(data_item!$A$1:$A$1994,MATCH(Baupläne!P416,data_item!$B$1:$B$1994,0),1),0)</f>
        <v>0</v>
      </c>
      <c r="P416" s="3">
        <f>Baupläne!O416</f>
        <v>0</v>
      </c>
      <c r="Q416" s="3">
        <f>IF(R416&gt;0,INDEX(data_item!$A$1:$A$1994,MATCH(Baupläne!R416,data_item!$B$1:$B$1994,0),1),0)</f>
        <v>0</v>
      </c>
      <c r="R416" s="3">
        <f>Baupläne!Q416</f>
        <v>0</v>
      </c>
      <c r="S416" s="3">
        <f>IF(T416&gt;0,INDEX(data_item!$A$1:$A$1994,MATCH(Baupläne!T416,data_item!$B$1:$B$1994,0),1),0)</f>
        <v>302</v>
      </c>
      <c r="T416" s="3">
        <f>Baupläne!S416</f>
        <v>5</v>
      </c>
    </row>
    <row r="417" spans="1:20" x14ac:dyDescent="0.2">
      <c r="A417" s="3">
        <f>Baupläne!A417</f>
        <v>2112</v>
      </c>
      <c r="B417" s="3" t="str">
        <f>Baupläne!C417</f>
        <v>Smaragd-Prunkschwert</v>
      </c>
      <c r="C417" s="3">
        <f>Baupläne!B417</f>
        <v>2112</v>
      </c>
      <c r="D417" s="3">
        <f>Baupläne!J417</f>
        <v>0</v>
      </c>
      <c r="E417" s="3">
        <f>Baupläne!H417</f>
        <v>56</v>
      </c>
      <c r="F417" s="3">
        <f>Baupläne!I417</f>
        <v>14</v>
      </c>
      <c r="G417" s="3">
        <f>Baupläne!E417</f>
        <v>30</v>
      </c>
      <c r="H417" s="3">
        <f>Baupläne!F417</f>
        <v>540</v>
      </c>
      <c r="I417" s="3">
        <f>0.5*Baupläne!Y417</f>
        <v>7100</v>
      </c>
      <c r="J417" s="3">
        <f>Baupläne!G417</f>
        <v>0</v>
      </c>
      <c r="K417" s="3">
        <f>IF(L417&gt;0,INDEX(data_item!$A$1:$A$1994,MATCH(Baupläne!L417,data_item!$B$1:$B$1994,0),1),0)</f>
        <v>8</v>
      </c>
      <c r="L417" s="3">
        <f>Baupläne!K417</f>
        <v>26</v>
      </c>
      <c r="M417" s="3">
        <f>IF(N417&gt;0,INDEX(data_item!$A$1:$A$1994,MATCH(Baupläne!N417,data_item!$B$1:$B$994,0),1),0)</f>
        <v>101</v>
      </c>
      <c r="N417" s="3">
        <f>Baupläne!M417</f>
        <v>6</v>
      </c>
      <c r="O417" s="3">
        <f>IF(P417&gt;0,INDEX(data_item!$A$1:$A$1994,MATCH(Baupläne!P417,data_item!$B$1:$B$1994,0),1),0)</f>
        <v>102</v>
      </c>
      <c r="P417" s="3">
        <f>Baupläne!O417</f>
        <v>21</v>
      </c>
      <c r="Q417" s="3">
        <f>IF(R417&gt;0,INDEX(data_item!$A$1:$A$1994,MATCH(Baupläne!R417,data_item!$B$1:$B$1994,0),1),0)</f>
        <v>0</v>
      </c>
      <c r="R417" s="3">
        <f>Baupläne!Q417</f>
        <v>0</v>
      </c>
      <c r="S417" s="3">
        <f>IF(T417&gt;0,INDEX(data_item!$A$1:$A$1994,MATCH(Baupläne!T417,data_item!$B$1:$B$1994,0),1),0)</f>
        <v>303</v>
      </c>
      <c r="T417" s="3">
        <f>Baupläne!S417</f>
        <v>5</v>
      </c>
    </row>
    <row r="418" spans="1:20" x14ac:dyDescent="0.2">
      <c r="A418" s="3">
        <f>Baupläne!A418</f>
        <v>2113</v>
      </c>
      <c r="B418" s="3" t="str">
        <f>Baupläne!C418</f>
        <v>Rubin-Prunkschwert</v>
      </c>
      <c r="C418" s="3">
        <f>Baupläne!B418</f>
        <v>2113</v>
      </c>
      <c r="D418" s="3">
        <f>Baupläne!J418</f>
        <v>0</v>
      </c>
      <c r="E418" s="3">
        <f>Baupläne!H418</f>
        <v>56</v>
      </c>
      <c r="F418" s="3">
        <f>Baupläne!I418</f>
        <v>19</v>
      </c>
      <c r="G418" s="3">
        <f>Baupläne!E418</f>
        <v>30</v>
      </c>
      <c r="H418" s="3">
        <f>Baupläne!F418</f>
        <v>540</v>
      </c>
      <c r="I418" s="3">
        <f>0.5*Baupläne!Y418</f>
        <v>14250</v>
      </c>
      <c r="J418" s="3">
        <f>Baupläne!G418</f>
        <v>0</v>
      </c>
      <c r="K418" s="3">
        <f>IF(L418&gt;0,INDEX(data_item!$A$1:$A$1994,MATCH(Baupläne!L418,data_item!$B$1:$B$1994,0),1),0)</f>
        <v>9</v>
      </c>
      <c r="L418" s="3">
        <f>Baupläne!K418</f>
        <v>35</v>
      </c>
      <c r="M418" s="3">
        <f>IF(N418&gt;0,INDEX(data_item!$A$1:$A$1994,MATCH(Baupläne!N418,data_item!$B$1:$B$994,0),1),0)</f>
        <v>101</v>
      </c>
      <c r="N418" s="3">
        <f>Baupläne!M418</f>
        <v>16</v>
      </c>
      <c r="O418" s="3">
        <f>IF(P418&gt;0,INDEX(data_item!$A$1:$A$1994,MATCH(Baupläne!P418,data_item!$B$1:$B$1994,0),1),0)</f>
        <v>102</v>
      </c>
      <c r="P418" s="3">
        <f>Baupläne!O418</f>
        <v>40</v>
      </c>
      <c r="Q418" s="3">
        <f>IF(R418&gt;0,INDEX(data_item!$A$1:$A$1994,MATCH(Baupläne!R418,data_item!$B$1:$B$1994,0),1),0)</f>
        <v>0</v>
      </c>
      <c r="R418" s="3">
        <f>Baupläne!Q418</f>
        <v>0</v>
      </c>
      <c r="S418" s="3">
        <f>IF(T418&gt;0,INDEX(data_item!$A$1:$A$1994,MATCH(Baupläne!T418,data_item!$B$1:$B$1994,0),1),0)</f>
        <v>304</v>
      </c>
      <c r="T418" s="3">
        <f>Baupläne!S418</f>
        <v>5</v>
      </c>
    </row>
    <row r="419" spans="1:20" x14ac:dyDescent="0.2">
      <c r="A419" s="3">
        <f>Baupläne!A419</f>
        <v>2114</v>
      </c>
      <c r="B419" s="3" t="str">
        <f>Baupläne!C419</f>
        <v>Obsidian-Prunkschwert</v>
      </c>
      <c r="C419" s="3">
        <f>Baupläne!B419</f>
        <v>2114</v>
      </c>
      <c r="D419" s="3">
        <f>Baupläne!J419</f>
        <v>0</v>
      </c>
      <c r="E419" s="3">
        <f>Baupläne!H419</f>
        <v>56</v>
      </c>
      <c r="F419" s="3">
        <f>Baupläne!I419</f>
        <v>24</v>
      </c>
      <c r="G419" s="3">
        <f>Baupläne!E419</f>
        <v>30</v>
      </c>
      <c r="H419" s="3">
        <f>Baupläne!F419</f>
        <v>540</v>
      </c>
      <c r="I419" s="3">
        <f>0.5*Baupläne!Y419</f>
        <v>28650</v>
      </c>
      <c r="J419" s="3">
        <f>Baupläne!G419</f>
        <v>0</v>
      </c>
      <c r="K419" s="3">
        <f>IF(L419&gt;0,INDEX(data_item!$A$1:$A$1994,MATCH(Baupläne!L419,data_item!$B$1:$B$1994,0),1),0)</f>
        <v>10</v>
      </c>
      <c r="L419" s="3">
        <f>Baupläne!K419</f>
        <v>52</v>
      </c>
      <c r="M419" s="3">
        <f>IF(N419&gt;0,INDEX(data_item!$A$1:$A$1994,MATCH(Baupläne!N419,data_item!$B$1:$B$994,0),1),0)</f>
        <v>101</v>
      </c>
      <c r="N419" s="3">
        <f>Baupläne!M419</f>
        <v>6</v>
      </c>
      <c r="O419" s="3">
        <f>IF(P419&gt;0,INDEX(data_item!$A$1:$A$1994,MATCH(Baupläne!P419,data_item!$B$1:$B$1994,0),1),0)</f>
        <v>102</v>
      </c>
      <c r="P419" s="3">
        <f>Baupläne!O419</f>
        <v>8</v>
      </c>
      <c r="Q419" s="3">
        <f>IF(R419&gt;0,INDEX(data_item!$A$1:$A$1994,MATCH(Baupläne!R419,data_item!$B$1:$B$1994,0),1),0)</f>
        <v>103</v>
      </c>
      <c r="R419" s="3">
        <f>Baupläne!Q419</f>
        <v>34</v>
      </c>
      <c r="S419" s="3">
        <f>IF(T419&gt;0,INDEX(data_item!$A$1:$A$1994,MATCH(Baupläne!T419,data_item!$B$1:$B$1994,0),1),0)</f>
        <v>305</v>
      </c>
      <c r="T419" s="3">
        <f>Baupläne!S419</f>
        <v>5</v>
      </c>
    </row>
    <row r="420" spans="1:20" x14ac:dyDescent="0.2">
      <c r="A420" s="3">
        <f>Baupläne!A420</f>
        <v>0</v>
      </c>
      <c r="B420" s="3">
        <f>Baupläne!C420</f>
        <v>0</v>
      </c>
      <c r="C420" s="3">
        <f>Baupläne!B420</f>
        <v>0</v>
      </c>
      <c r="D420" s="3">
        <f>Baupläne!J420</f>
        <v>0</v>
      </c>
      <c r="E420" s="3">
        <f>Baupläne!H420</f>
        <v>0</v>
      </c>
      <c r="F420" s="3">
        <f>Baupläne!I420</f>
        <v>0</v>
      </c>
      <c r="G420" s="3">
        <f>Baupläne!E420</f>
        <v>0</v>
      </c>
      <c r="H420" s="3">
        <f>Baupläne!F420</f>
        <v>0</v>
      </c>
      <c r="I420" s="3">
        <f>0.5*Baupläne!Y420</f>
        <v>0</v>
      </c>
      <c r="J420" s="3">
        <f>Baupläne!G420</f>
        <v>0</v>
      </c>
      <c r="K420" s="3">
        <f>IF(L420&gt;0,INDEX(data_item!$A$1:$A$1994,MATCH(Baupläne!L420,data_item!$B$1:$B$1994,0),1),0)</f>
        <v>0</v>
      </c>
      <c r="L420" s="3">
        <f>Baupläne!K420</f>
        <v>0</v>
      </c>
      <c r="M420" s="3">
        <f>IF(N420&gt;0,INDEX(data_item!$A$1:$A$1994,MATCH(Baupläne!N420,data_item!$B$1:$B$994,0),1),0)</f>
        <v>0</v>
      </c>
      <c r="N420" s="3">
        <f>Baupläne!M420</f>
        <v>0</v>
      </c>
      <c r="O420" s="3">
        <f>IF(P420&gt;0,INDEX(data_item!$A$1:$A$1994,MATCH(Baupläne!P420,data_item!$B$1:$B$1994,0),1),0)</f>
        <v>0</v>
      </c>
      <c r="P420" s="3">
        <f>Baupläne!O420</f>
        <v>0</v>
      </c>
      <c r="Q420" s="3">
        <f>IF(R420&gt;0,INDEX(data_item!$A$1:$A$1994,MATCH(Baupläne!R420,data_item!$B$1:$B$1994,0),1),0)</f>
        <v>0</v>
      </c>
      <c r="R420" s="3">
        <f>Baupläne!Q420</f>
        <v>0</v>
      </c>
      <c r="S420" s="3">
        <f>IF(T420&gt;0,INDEX(data_item!$A$1:$A$1994,MATCH(Baupläne!T420,data_item!$B$1:$B$1994,0),1),0)</f>
        <v>0</v>
      </c>
      <c r="T420" s="3">
        <f>Baupläne!S420</f>
        <v>0</v>
      </c>
    </row>
    <row r="421" spans="1:20" x14ac:dyDescent="0.2">
      <c r="A421" s="3">
        <f>Baupläne!A421</f>
        <v>2121</v>
      </c>
      <c r="B421" s="3" t="str">
        <f>Baupläne!C421</f>
        <v>Kristall-Dolch</v>
      </c>
      <c r="C421" s="3">
        <f>Baupläne!B421</f>
        <v>2121</v>
      </c>
      <c r="D421" s="3">
        <f>Baupläne!J421</f>
        <v>0</v>
      </c>
      <c r="E421" s="3">
        <f>Baupläne!H421</f>
        <v>57</v>
      </c>
      <c r="F421" s="3">
        <f>Baupläne!I421</f>
        <v>3</v>
      </c>
      <c r="G421" s="3">
        <f>Baupläne!E421</f>
        <v>30</v>
      </c>
      <c r="H421" s="3">
        <f>Baupläne!F421</f>
        <v>420</v>
      </c>
      <c r="I421" s="3">
        <f>0.5*Baupläne!Y421</f>
        <v>900</v>
      </c>
      <c r="J421" s="3">
        <f>Baupläne!G421</f>
        <v>0</v>
      </c>
      <c r="K421" s="3">
        <f>IF(L421&gt;0,INDEX(data_item!$A$1:$A$1994,MATCH(Baupläne!L421,data_item!$B$1:$B$1994,0),1),0)</f>
        <v>6</v>
      </c>
      <c r="L421" s="3">
        <f>Baupläne!K421</f>
        <v>10</v>
      </c>
      <c r="M421" s="3">
        <f>IF(N421&gt;0,INDEX(data_item!$A$1:$A$1994,MATCH(Baupläne!N421,data_item!$B$1:$B$994,0),1),0)</f>
        <v>101</v>
      </c>
      <c r="N421" s="3">
        <f>Baupläne!M421</f>
        <v>7</v>
      </c>
      <c r="O421" s="3">
        <f>IF(P421&gt;0,INDEX(data_item!$A$1:$A$1994,MATCH(Baupläne!P421,data_item!$B$1:$B$1994,0),1),0)</f>
        <v>0</v>
      </c>
      <c r="P421" s="3">
        <f>Baupläne!O421</f>
        <v>0</v>
      </c>
      <c r="Q421" s="3">
        <f>IF(R421&gt;0,INDEX(data_item!$A$1:$A$1994,MATCH(Baupläne!R421,data_item!$B$1:$B$1994,0),1),0)</f>
        <v>0</v>
      </c>
      <c r="R421" s="3">
        <f>Baupläne!Q421</f>
        <v>0</v>
      </c>
      <c r="S421" s="3">
        <f>IF(T421&gt;0,INDEX(data_item!$A$1:$A$1994,MATCH(Baupläne!T421,data_item!$B$1:$B$1994,0),1),0)</f>
        <v>301</v>
      </c>
      <c r="T421" s="3">
        <f>Baupläne!S421</f>
        <v>2</v>
      </c>
    </row>
    <row r="422" spans="1:20" x14ac:dyDescent="0.2">
      <c r="A422" s="3">
        <f>Baupläne!A422</f>
        <v>2122</v>
      </c>
      <c r="B422" s="3" t="str">
        <f>Baupläne!C422</f>
        <v>Quarz-Dolch</v>
      </c>
      <c r="C422" s="3">
        <f>Baupläne!B422</f>
        <v>2122</v>
      </c>
      <c r="D422" s="3">
        <f>Baupläne!J422</f>
        <v>0</v>
      </c>
      <c r="E422" s="3">
        <f>Baupläne!H422</f>
        <v>57</v>
      </c>
      <c r="F422" s="3">
        <f>Baupläne!I422</f>
        <v>8</v>
      </c>
      <c r="G422" s="3">
        <f>Baupläne!E422</f>
        <v>30</v>
      </c>
      <c r="H422" s="3">
        <f>Baupläne!F422</f>
        <v>420</v>
      </c>
      <c r="I422" s="3">
        <f>0.5*Baupläne!Y422</f>
        <v>1850</v>
      </c>
      <c r="J422" s="3">
        <f>Baupläne!G422</f>
        <v>0</v>
      </c>
      <c r="K422" s="3">
        <f>IF(L422&gt;0,INDEX(data_item!$A$1:$A$1994,MATCH(Baupläne!L422,data_item!$B$1:$B$1994,0),1),0)</f>
        <v>7</v>
      </c>
      <c r="L422" s="3">
        <f>Baupläne!K422</f>
        <v>10</v>
      </c>
      <c r="M422" s="3">
        <f>IF(N422&gt;0,INDEX(data_item!$A$1:$A$1994,MATCH(Baupläne!N422,data_item!$B$1:$B$994,0),1),0)</f>
        <v>101</v>
      </c>
      <c r="N422" s="3">
        <f>Baupläne!M422</f>
        <v>15</v>
      </c>
      <c r="O422" s="3">
        <f>IF(P422&gt;0,INDEX(data_item!$A$1:$A$1994,MATCH(Baupläne!P422,data_item!$B$1:$B$1994,0),1),0)</f>
        <v>0</v>
      </c>
      <c r="P422" s="3">
        <f>Baupläne!O422</f>
        <v>0</v>
      </c>
      <c r="Q422" s="3">
        <f>IF(R422&gt;0,INDEX(data_item!$A$1:$A$1994,MATCH(Baupläne!R422,data_item!$B$1:$B$1994,0),1),0)</f>
        <v>0</v>
      </c>
      <c r="R422" s="3">
        <f>Baupläne!Q422</f>
        <v>0</v>
      </c>
      <c r="S422" s="3">
        <f>IF(T422&gt;0,INDEX(data_item!$A$1:$A$1994,MATCH(Baupläne!T422,data_item!$B$1:$B$1994,0),1),0)</f>
        <v>302</v>
      </c>
      <c r="T422" s="3">
        <f>Baupläne!S422</f>
        <v>2</v>
      </c>
    </row>
    <row r="423" spans="1:20" x14ac:dyDescent="0.2">
      <c r="A423" s="3">
        <f>Baupläne!A423</f>
        <v>2123</v>
      </c>
      <c r="B423" s="3" t="str">
        <f>Baupläne!C423</f>
        <v>Smaragd-Dolch</v>
      </c>
      <c r="C423" s="3">
        <f>Baupläne!B423</f>
        <v>2123</v>
      </c>
      <c r="D423" s="3">
        <f>Baupläne!J423</f>
        <v>0</v>
      </c>
      <c r="E423" s="3">
        <f>Baupläne!H423</f>
        <v>57</v>
      </c>
      <c r="F423" s="3">
        <f>Baupläne!I423</f>
        <v>13</v>
      </c>
      <c r="G423" s="3">
        <f>Baupläne!E423</f>
        <v>30</v>
      </c>
      <c r="H423" s="3">
        <f>Baupläne!F423</f>
        <v>420</v>
      </c>
      <c r="I423" s="3">
        <f>0.5*Baupläne!Y423</f>
        <v>3700</v>
      </c>
      <c r="J423" s="3">
        <f>Baupläne!G423</f>
        <v>0</v>
      </c>
      <c r="K423" s="3">
        <f>IF(L423&gt;0,INDEX(data_item!$A$1:$A$1994,MATCH(Baupläne!L423,data_item!$B$1:$B$1994,0),1),0)</f>
        <v>8</v>
      </c>
      <c r="L423" s="3">
        <f>Baupläne!K423</f>
        <v>14</v>
      </c>
      <c r="M423" s="3">
        <f>IF(N423&gt;0,INDEX(data_item!$A$1:$A$1994,MATCH(Baupläne!N423,data_item!$B$1:$B$994,0),1),0)</f>
        <v>101</v>
      </c>
      <c r="N423" s="3">
        <f>Baupläne!M423</f>
        <v>3</v>
      </c>
      <c r="O423" s="3">
        <f>IF(P423&gt;0,INDEX(data_item!$A$1:$A$1994,MATCH(Baupläne!P423,data_item!$B$1:$B$1994,0),1),0)</f>
        <v>102</v>
      </c>
      <c r="P423" s="3">
        <f>Baupläne!O423</f>
        <v>11</v>
      </c>
      <c r="Q423" s="3">
        <f>IF(R423&gt;0,INDEX(data_item!$A$1:$A$1994,MATCH(Baupläne!R423,data_item!$B$1:$B$1994,0),1),0)</f>
        <v>0</v>
      </c>
      <c r="R423" s="3">
        <f>Baupläne!Q423</f>
        <v>0</v>
      </c>
      <c r="S423" s="3">
        <f>IF(T423&gt;0,INDEX(data_item!$A$1:$A$1994,MATCH(Baupläne!T423,data_item!$B$1:$B$1994,0),1),0)</f>
        <v>303</v>
      </c>
      <c r="T423" s="3">
        <f>Baupläne!S423</f>
        <v>2</v>
      </c>
    </row>
    <row r="424" spans="1:20" x14ac:dyDescent="0.2">
      <c r="A424" s="3">
        <f>Baupläne!A424</f>
        <v>2124</v>
      </c>
      <c r="B424" s="3" t="str">
        <f>Baupläne!C424</f>
        <v>Rubin-Dolch</v>
      </c>
      <c r="C424" s="3">
        <f>Baupläne!B424</f>
        <v>2124</v>
      </c>
      <c r="D424" s="3">
        <f>Baupläne!J424</f>
        <v>0</v>
      </c>
      <c r="E424" s="3">
        <f>Baupläne!H424</f>
        <v>57</v>
      </c>
      <c r="F424" s="3">
        <f>Baupläne!I424</f>
        <v>18</v>
      </c>
      <c r="G424" s="3">
        <f>Baupläne!E424</f>
        <v>30</v>
      </c>
      <c r="H424" s="3">
        <f>Baupläne!F424</f>
        <v>420</v>
      </c>
      <c r="I424" s="3">
        <f>0.5*Baupläne!Y424</f>
        <v>7450</v>
      </c>
      <c r="J424" s="3">
        <f>Baupläne!G424</f>
        <v>0</v>
      </c>
      <c r="K424" s="3">
        <f>IF(L424&gt;0,INDEX(data_item!$A$1:$A$1994,MATCH(Baupläne!L424,data_item!$B$1:$B$1994,0),1),0)</f>
        <v>9</v>
      </c>
      <c r="L424" s="3">
        <f>Baupläne!K424</f>
        <v>18</v>
      </c>
      <c r="M424" s="3">
        <f>IF(N424&gt;0,INDEX(data_item!$A$1:$A$1994,MATCH(Baupläne!N424,data_item!$B$1:$B$994,0),1),0)</f>
        <v>101</v>
      </c>
      <c r="N424" s="3">
        <f>Baupläne!M424</f>
        <v>6</v>
      </c>
      <c r="O424" s="3">
        <f>IF(P424&gt;0,INDEX(data_item!$A$1:$A$1994,MATCH(Baupläne!P424,data_item!$B$1:$B$1994,0),1),0)</f>
        <v>102</v>
      </c>
      <c r="P424" s="3">
        <f>Baupläne!O424</f>
        <v>22</v>
      </c>
      <c r="Q424" s="3">
        <f>IF(R424&gt;0,INDEX(data_item!$A$1:$A$1994,MATCH(Baupläne!R424,data_item!$B$1:$B$1994,0),1),0)</f>
        <v>0</v>
      </c>
      <c r="R424" s="3">
        <f>Baupläne!Q424</f>
        <v>0</v>
      </c>
      <c r="S424" s="3">
        <f>IF(T424&gt;0,INDEX(data_item!$A$1:$A$1994,MATCH(Baupläne!T424,data_item!$B$1:$B$1994,0),1),0)</f>
        <v>304</v>
      </c>
      <c r="T424" s="3">
        <f>Baupläne!S424</f>
        <v>2</v>
      </c>
    </row>
    <row r="425" spans="1:20" x14ac:dyDescent="0.2">
      <c r="A425" s="3">
        <f>Baupläne!A425</f>
        <v>2125</v>
      </c>
      <c r="B425" s="3" t="str">
        <f>Baupläne!C425</f>
        <v>Obsidian-Dolch</v>
      </c>
      <c r="C425" s="3">
        <f>Baupläne!B425</f>
        <v>2125</v>
      </c>
      <c r="D425" s="3">
        <f>Baupläne!J425</f>
        <v>0</v>
      </c>
      <c r="E425" s="3">
        <f>Baupläne!H425</f>
        <v>57</v>
      </c>
      <c r="F425" s="3">
        <f>Baupläne!I425</f>
        <v>24</v>
      </c>
      <c r="G425" s="3">
        <f>Baupläne!E425</f>
        <v>30</v>
      </c>
      <c r="H425" s="3">
        <f>Baupläne!F425</f>
        <v>420</v>
      </c>
      <c r="I425" s="3">
        <f>0.5*Baupläne!Y425</f>
        <v>17200</v>
      </c>
      <c r="J425" s="3">
        <f>Baupläne!G425</f>
        <v>0</v>
      </c>
      <c r="K425" s="3">
        <f>IF(L425&gt;0,INDEX(data_item!$A$1:$A$1994,MATCH(Baupläne!L425,data_item!$B$1:$B$1994,0),1),0)</f>
        <v>10</v>
      </c>
      <c r="L425" s="3">
        <f>Baupläne!K425</f>
        <v>32</v>
      </c>
      <c r="M425" s="3">
        <f>IF(N425&gt;0,INDEX(data_item!$A$1:$A$1994,MATCH(Baupläne!N425,data_item!$B$1:$B$994,0),1),0)</f>
        <v>101</v>
      </c>
      <c r="N425" s="3">
        <f>Baupläne!M425</f>
        <v>6</v>
      </c>
      <c r="O425" s="3">
        <f>IF(P425&gt;0,INDEX(data_item!$A$1:$A$1994,MATCH(Baupläne!P425,data_item!$B$1:$B$1994,0),1),0)</f>
        <v>102</v>
      </c>
      <c r="P425" s="3">
        <f>Baupläne!O425</f>
        <v>14</v>
      </c>
      <c r="Q425" s="3">
        <f>IF(R425&gt;0,INDEX(data_item!$A$1:$A$1994,MATCH(Baupläne!R425,data_item!$B$1:$B$1994,0),1),0)</f>
        <v>103</v>
      </c>
      <c r="R425" s="3">
        <f>Baupläne!Q425</f>
        <v>16</v>
      </c>
      <c r="S425" s="3">
        <f>IF(T425&gt;0,INDEX(data_item!$A$1:$A$1994,MATCH(Baupläne!T425,data_item!$B$1:$B$1994,0),1),0)</f>
        <v>305</v>
      </c>
      <c r="T425" s="3">
        <f>Baupläne!S425</f>
        <v>2</v>
      </c>
    </row>
    <row r="426" spans="1:20" x14ac:dyDescent="0.2">
      <c r="A426" s="3">
        <f>Baupläne!A426</f>
        <v>0</v>
      </c>
      <c r="B426" s="3">
        <f>Baupläne!C426</f>
        <v>0</v>
      </c>
      <c r="C426" s="3">
        <f>Baupläne!B426</f>
        <v>0</v>
      </c>
      <c r="D426" s="3">
        <f>Baupläne!J426</f>
        <v>0</v>
      </c>
      <c r="E426" s="3">
        <f>Baupläne!H426</f>
        <v>0</v>
      </c>
      <c r="F426" s="3">
        <f>Baupläne!I426</f>
        <v>0</v>
      </c>
      <c r="G426" s="3">
        <f>Baupläne!E426</f>
        <v>0</v>
      </c>
      <c r="H426" s="3">
        <f>Baupläne!F426</f>
        <v>0</v>
      </c>
      <c r="I426" s="3">
        <f>0.5*Baupläne!Y426</f>
        <v>0</v>
      </c>
      <c r="J426" s="3">
        <f>Baupläne!G426</f>
        <v>0</v>
      </c>
      <c r="K426" s="3">
        <f>IF(L426&gt;0,INDEX(data_item!$A$1:$A$1994,MATCH(Baupläne!L426,data_item!$B$1:$B$1994,0),1),0)</f>
        <v>0</v>
      </c>
      <c r="L426" s="3">
        <f>Baupläne!K426</f>
        <v>0</v>
      </c>
      <c r="M426" s="3">
        <f>IF(N426&gt;0,INDEX(data_item!$A$1:$A$1994,MATCH(Baupläne!N426,data_item!$B$1:$B$994,0),1),0)</f>
        <v>0</v>
      </c>
      <c r="N426" s="3">
        <f>Baupläne!M426</f>
        <v>0</v>
      </c>
      <c r="O426" s="3">
        <f>IF(P426&gt;0,INDEX(data_item!$A$1:$A$1994,MATCH(Baupläne!P426,data_item!$B$1:$B$1994,0),1),0)</f>
        <v>0</v>
      </c>
      <c r="P426" s="3">
        <f>Baupläne!O426</f>
        <v>0</v>
      </c>
      <c r="Q426" s="3">
        <f>IF(R426&gt;0,INDEX(data_item!$A$1:$A$1994,MATCH(Baupläne!R426,data_item!$B$1:$B$1994,0),1),0)</f>
        <v>0</v>
      </c>
      <c r="R426" s="3">
        <f>Baupläne!Q426</f>
        <v>0</v>
      </c>
      <c r="S426" s="3">
        <f>IF(T426&gt;0,INDEX(data_item!$A$1:$A$1994,MATCH(Baupläne!T426,data_item!$B$1:$B$1994,0),1),0)</f>
        <v>0</v>
      </c>
      <c r="T426" s="3">
        <f>Baupläne!S426</f>
        <v>0</v>
      </c>
    </row>
    <row r="427" spans="1:20" x14ac:dyDescent="0.2">
      <c r="A427" s="3">
        <f>Baupläne!A427</f>
        <v>2131</v>
      </c>
      <c r="B427" s="3" t="str">
        <f>Baupläne!C427</f>
        <v>Kristall-Axt</v>
      </c>
      <c r="C427" s="3">
        <f>Baupläne!B427</f>
        <v>2131</v>
      </c>
      <c r="D427" s="3">
        <f>Baupläne!J427</f>
        <v>0</v>
      </c>
      <c r="E427" s="3">
        <f>Baupläne!H427</f>
        <v>58</v>
      </c>
      <c r="F427" s="3">
        <f>Baupläne!I427</f>
        <v>3</v>
      </c>
      <c r="G427" s="3">
        <f>Baupläne!E427</f>
        <v>30</v>
      </c>
      <c r="H427" s="3">
        <f>Baupläne!F427</f>
        <v>420</v>
      </c>
      <c r="I427" s="3">
        <f>0.5*Baupläne!Y427</f>
        <v>900</v>
      </c>
      <c r="J427" s="3">
        <f>Baupläne!G427</f>
        <v>0</v>
      </c>
      <c r="K427" s="3">
        <f>IF(L427&gt;0,INDEX(data_item!$A$1:$A$1994,MATCH(Baupläne!L427,data_item!$B$1:$B$1994,0),1),0)</f>
        <v>6</v>
      </c>
      <c r="L427" s="3">
        <f>Baupläne!K427</f>
        <v>10</v>
      </c>
      <c r="M427" s="3">
        <f>IF(N427&gt;0,INDEX(data_item!$A$1:$A$1994,MATCH(Baupläne!N427,data_item!$B$1:$B$994,0),1),0)</f>
        <v>101</v>
      </c>
      <c r="N427" s="3">
        <f>Baupläne!M427</f>
        <v>7</v>
      </c>
      <c r="O427" s="3">
        <f>IF(P427&gt;0,INDEX(data_item!$A$1:$A$1994,MATCH(Baupläne!P427,data_item!$B$1:$B$1994,0),1),0)</f>
        <v>0</v>
      </c>
      <c r="P427" s="3">
        <f>Baupläne!O427</f>
        <v>0</v>
      </c>
      <c r="Q427" s="3">
        <f>IF(R427&gt;0,INDEX(data_item!$A$1:$A$1994,MATCH(Baupläne!R427,data_item!$B$1:$B$1994,0),1),0)</f>
        <v>0</v>
      </c>
      <c r="R427" s="3">
        <f>Baupläne!Q427</f>
        <v>0</v>
      </c>
      <c r="S427" s="3">
        <f>IF(T427&gt;0,INDEX(data_item!$A$1:$A$1994,MATCH(Baupläne!T427,data_item!$B$1:$B$1994,0),1),0)</f>
        <v>301</v>
      </c>
      <c r="T427" s="3">
        <f>Baupläne!S427</f>
        <v>2</v>
      </c>
    </row>
    <row r="428" spans="1:20" x14ac:dyDescent="0.2">
      <c r="A428" s="3">
        <f>Baupläne!A428</f>
        <v>2132</v>
      </c>
      <c r="B428" s="3" t="str">
        <f>Baupläne!C428</f>
        <v>Quarz-Axt</v>
      </c>
      <c r="C428" s="3">
        <f>Baupläne!B428</f>
        <v>2132</v>
      </c>
      <c r="D428" s="3">
        <f>Baupläne!J428</f>
        <v>0</v>
      </c>
      <c r="E428" s="3">
        <f>Baupläne!H428</f>
        <v>58</v>
      </c>
      <c r="F428" s="3">
        <f>Baupläne!I428</f>
        <v>8</v>
      </c>
      <c r="G428" s="3">
        <f>Baupläne!E428</f>
        <v>30</v>
      </c>
      <c r="H428" s="3">
        <f>Baupläne!F428</f>
        <v>420</v>
      </c>
      <c r="I428" s="3">
        <f>0.5*Baupläne!Y428</f>
        <v>1850</v>
      </c>
      <c r="J428" s="3">
        <f>Baupläne!G428</f>
        <v>0</v>
      </c>
      <c r="K428" s="3">
        <f>IF(L428&gt;0,INDEX(data_item!$A$1:$A$1994,MATCH(Baupläne!L428,data_item!$B$1:$B$1994,0),1),0)</f>
        <v>7</v>
      </c>
      <c r="L428" s="3">
        <f>Baupläne!K428</f>
        <v>10</v>
      </c>
      <c r="M428" s="3">
        <f>IF(N428&gt;0,INDEX(data_item!$A$1:$A$1994,MATCH(Baupläne!N428,data_item!$B$1:$B$994,0),1),0)</f>
        <v>101</v>
      </c>
      <c r="N428" s="3">
        <f>Baupläne!M428</f>
        <v>15</v>
      </c>
      <c r="O428" s="3">
        <f>IF(P428&gt;0,INDEX(data_item!$A$1:$A$1994,MATCH(Baupläne!P428,data_item!$B$1:$B$1994,0),1),0)</f>
        <v>0</v>
      </c>
      <c r="P428" s="3">
        <f>Baupläne!O428</f>
        <v>0</v>
      </c>
      <c r="Q428" s="3">
        <f>IF(R428&gt;0,INDEX(data_item!$A$1:$A$1994,MATCH(Baupläne!R428,data_item!$B$1:$B$1994,0),1),0)</f>
        <v>0</v>
      </c>
      <c r="R428" s="3">
        <f>Baupläne!Q428</f>
        <v>0</v>
      </c>
      <c r="S428" s="3">
        <f>IF(T428&gt;0,INDEX(data_item!$A$1:$A$1994,MATCH(Baupläne!T428,data_item!$B$1:$B$1994,0),1),0)</f>
        <v>302</v>
      </c>
      <c r="T428" s="3">
        <f>Baupläne!S428</f>
        <v>2</v>
      </c>
    </row>
    <row r="429" spans="1:20" x14ac:dyDescent="0.2">
      <c r="A429" s="3">
        <f>Baupläne!A429</f>
        <v>2133</v>
      </c>
      <c r="B429" s="3" t="str">
        <f>Baupläne!C429</f>
        <v>Smaragd-Axt</v>
      </c>
      <c r="C429" s="3">
        <f>Baupläne!B429</f>
        <v>2133</v>
      </c>
      <c r="D429" s="3">
        <f>Baupläne!J429</f>
        <v>0</v>
      </c>
      <c r="E429" s="3">
        <f>Baupläne!H429</f>
        <v>58</v>
      </c>
      <c r="F429" s="3">
        <f>Baupläne!I429</f>
        <v>13</v>
      </c>
      <c r="G429" s="3">
        <f>Baupläne!E429</f>
        <v>30</v>
      </c>
      <c r="H429" s="3">
        <f>Baupläne!F429</f>
        <v>420</v>
      </c>
      <c r="I429" s="3">
        <f>0.5*Baupläne!Y429</f>
        <v>3700</v>
      </c>
      <c r="J429" s="3">
        <f>Baupläne!G429</f>
        <v>0</v>
      </c>
      <c r="K429" s="3">
        <f>IF(L429&gt;0,INDEX(data_item!$A$1:$A$1994,MATCH(Baupläne!L429,data_item!$B$1:$B$1994,0),1),0)</f>
        <v>8</v>
      </c>
      <c r="L429" s="3">
        <f>Baupläne!K429</f>
        <v>14</v>
      </c>
      <c r="M429" s="3">
        <f>IF(N429&gt;0,INDEX(data_item!$A$1:$A$1994,MATCH(Baupläne!N429,data_item!$B$1:$B$994,0),1),0)</f>
        <v>101</v>
      </c>
      <c r="N429" s="3">
        <f>Baupläne!M429</f>
        <v>3</v>
      </c>
      <c r="O429" s="3">
        <f>IF(P429&gt;0,INDEX(data_item!$A$1:$A$1994,MATCH(Baupläne!P429,data_item!$B$1:$B$1994,0),1),0)</f>
        <v>102</v>
      </c>
      <c r="P429" s="3">
        <f>Baupläne!O429</f>
        <v>11</v>
      </c>
      <c r="Q429" s="3">
        <f>IF(R429&gt;0,INDEX(data_item!$A$1:$A$1994,MATCH(Baupläne!R429,data_item!$B$1:$B$1994,0),1),0)</f>
        <v>0</v>
      </c>
      <c r="R429" s="3">
        <f>Baupläne!Q429</f>
        <v>0</v>
      </c>
      <c r="S429" s="3">
        <f>IF(T429&gt;0,INDEX(data_item!$A$1:$A$1994,MATCH(Baupläne!T429,data_item!$B$1:$B$1994,0),1),0)</f>
        <v>303</v>
      </c>
      <c r="T429" s="3">
        <f>Baupläne!S429</f>
        <v>2</v>
      </c>
    </row>
    <row r="430" spans="1:20" x14ac:dyDescent="0.2">
      <c r="A430" s="3">
        <f>Baupläne!A430</f>
        <v>2134</v>
      </c>
      <c r="B430" s="3" t="str">
        <f>Baupläne!C430</f>
        <v>Rubin-Axt</v>
      </c>
      <c r="C430" s="3">
        <f>Baupläne!B430</f>
        <v>2134</v>
      </c>
      <c r="D430" s="3">
        <f>Baupläne!J430</f>
        <v>0</v>
      </c>
      <c r="E430" s="3">
        <f>Baupläne!H430</f>
        <v>58</v>
      </c>
      <c r="F430" s="3">
        <f>Baupläne!I430</f>
        <v>18</v>
      </c>
      <c r="G430" s="3">
        <f>Baupläne!E430</f>
        <v>30</v>
      </c>
      <c r="H430" s="3">
        <f>Baupläne!F430</f>
        <v>420</v>
      </c>
      <c r="I430" s="3">
        <f>0.5*Baupläne!Y430</f>
        <v>7450</v>
      </c>
      <c r="J430" s="3">
        <f>Baupläne!G430</f>
        <v>0</v>
      </c>
      <c r="K430" s="3">
        <f>IF(L430&gt;0,INDEX(data_item!$A$1:$A$1994,MATCH(Baupläne!L430,data_item!$B$1:$B$1994,0),1),0)</f>
        <v>9</v>
      </c>
      <c r="L430" s="3">
        <f>Baupläne!K430</f>
        <v>18</v>
      </c>
      <c r="M430" s="3">
        <f>IF(N430&gt;0,INDEX(data_item!$A$1:$A$1994,MATCH(Baupläne!N430,data_item!$B$1:$B$994,0),1),0)</f>
        <v>101</v>
      </c>
      <c r="N430" s="3">
        <f>Baupläne!M430</f>
        <v>6</v>
      </c>
      <c r="O430" s="3">
        <f>IF(P430&gt;0,INDEX(data_item!$A$1:$A$1994,MATCH(Baupläne!P430,data_item!$B$1:$B$1994,0),1),0)</f>
        <v>102</v>
      </c>
      <c r="P430" s="3">
        <f>Baupläne!O430</f>
        <v>22</v>
      </c>
      <c r="Q430" s="3">
        <f>IF(R430&gt;0,INDEX(data_item!$A$1:$A$1994,MATCH(Baupläne!R430,data_item!$B$1:$B$1994,0),1),0)</f>
        <v>0</v>
      </c>
      <c r="R430" s="3">
        <f>Baupläne!Q430</f>
        <v>0</v>
      </c>
      <c r="S430" s="3">
        <f>IF(T430&gt;0,INDEX(data_item!$A$1:$A$1994,MATCH(Baupläne!T430,data_item!$B$1:$B$1994,0),1),0)</f>
        <v>304</v>
      </c>
      <c r="T430" s="3">
        <f>Baupläne!S430</f>
        <v>2</v>
      </c>
    </row>
    <row r="431" spans="1:20" x14ac:dyDescent="0.2">
      <c r="A431" s="3">
        <f>Baupläne!A431</f>
        <v>2135</v>
      </c>
      <c r="B431" s="3" t="str">
        <f>Baupläne!C431</f>
        <v>Obsidian-Axt</v>
      </c>
      <c r="C431" s="3">
        <f>Baupläne!B431</f>
        <v>2135</v>
      </c>
      <c r="D431" s="3">
        <f>Baupläne!J431</f>
        <v>0</v>
      </c>
      <c r="E431" s="3">
        <f>Baupläne!H431</f>
        <v>58</v>
      </c>
      <c r="F431" s="3">
        <f>Baupläne!I431</f>
        <v>24</v>
      </c>
      <c r="G431" s="3">
        <f>Baupläne!E431</f>
        <v>30</v>
      </c>
      <c r="H431" s="3">
        <f>Baupläne!F431</f>
        <v>420</v>
      </c>
      <c r="I431" s="3">
        <f>0.5*Baupläne!Y431</f>
        <v>17200</v>
      </c>
      <c r="J431" s="3">
        <f>Baupläne!G431</f>
        <v>0</v>
      </c>
      <c r="K431" s="3">
        <f>IF(L431&gt;0,INDEX(data_item!$A$1:$A$1994,MATCH(Baupläne!L431,data_item!$B$1:$B$1994,0),1),0)</f>
        <v>10</v>
      </c>
      <c r="L431" s="3">
        <f>Baupläne!K431</f>
        <v>32</v>
      </c>
      <c r="M431" s="3">
        <f>IF(N431&gt;0,INDEX(data_item!$A$1:$A$1994,MATCH(Baupläne!N431,data_item!$B$1:$B$994,0),1),0)</f>
        <v>101</v>
      </c>
      <c r="N431" s="3">
        <f>Baupläne!M431</f>
        <v>6</v>
      </c>
      <c r="O431" s="3">
        <f>IF(P431&gt;0,INDEX(data_item!$A$1:$A$1994,MATCH(Baupläne!P431,data_item!$B$1:$B$1994,0),1),0)</f>
        <v>102</v>
      </c>
      <c r="P431" s="3">
        <f>Baupläne!O431</f>
        <v>14</v>
      </c>
      <c r="Q431" s="3">
        <f>IF(R431&gt;0,INDEX(data_item!$A$1:$A$1994,MATCH(Baupläne!R431,data_item!$B$1:$B$1994,0),1),0)</f>
        <v>103</v>
      </c>
      <c r="R431" s="3">
        <f>Baupläne!Q431</f>
        <v>16</v>
      </c>
      <c r="S431" s="3">
        <f>IF(T431&gt;0,INDEX(data_item!$A$1:$A$1994,MATCH(Baupläne!T431,data_item!$B$1:$B$1994,0),1),0)</f>
        <v>305</v>
      </c>
      <c r="T431" s="3">
        <f>Baupläne!S431</f>
        <v>2</v>
      </c>
    </row>
    <row r="432" spans="1:20" x14ac:dyDescent="0.2">
      <c r="A432" s="3">
        <f>Baupläne!A432</f>
        <v>0</v>
      </c>
      <c r="B432" s="3">
        <f>Baupläne!C432</f>
        <v>0</v>
      </c>
      <c r="C432" s="3">
        <f>Baupläne!B432</f>
        <v>0</v>
      </c>
      <c r="D432" s="3">
        <f>Baupläne!J432</f>
        <v>0</v>
      </c>
      <c r="E432" s="3">
        <f>Baupläne!H432</f>
        <v>0</v>
      </c>
      <c r="F432" s="3">
        <f>Baupläne!I432</f>
        <v>0</v>
      </c>
      <c r="G432" s="3">
        <f>Baupläne!E432</f>
        <v>0</v>
      </c>
      <c r="H432" s="3">
        <f>Baupläne!F432</f>
        <v>0</v>
      </c>
      <c r="I432" s="3">
        <f>0.5*Baupläne!Y432</f>
        <v>0</v>
      </c>
      <c r="J432" s="3">
        <f>Baupläne!G432</f>
        <v>0</v>
      </c>
      <c r="K432" s="3">
        <f>IF(L432&gt;0,INDEX(data_item!$A$1:$A$1994,MATCH(Baupläne!L432,data_item!$B$1:$B$1994,0),1),0)</f>
        <v>0</v>
      </c>
      <c r="L432" s="3">
        <f>Baupläne!K432</f>
        <v>0</v>
      </c>
      <c r="M432" s="3">
        <f>IF(N432&gt;0,INDEX(data_item!$A$1:$A$1994,MATCH(Baupläne!N432,data_item!$B$1:$B$994,0),1),0)</f>
        <v>0</v>
      </c>
      <c r="N432" s="3">
        <f>Baupläne!M432</f>
        <v>0</v>
      </c>
      <c r="O432" s="3">
        <f>IF(P432&gt;0,INDEX(data_item!$A$1:$A$1994,MATCH(Baupläne!P432,data_item!$B$1:$B$1994,0),1),0)</f>
        <v>0</v>
      </c>
      <c r="P432" s="3">
        <f>Baupläne!O432</f>
        <v>0</v>
      </c>
      <c r="Q432" s="3">
        <f>IF(R432&gt;0,INDEX(data_item!$A$1:$A$1994,MATCH(Baupläne!R432,data_item!$B$1:$B$1994,0),1),0)</f>
        <v>0</v>
      </c>
      <c r="R432" s="3">
        <f>Baupläne!Q432</f>
        <v>0</v>
      </c>
      <c r="S432" s="3">
        <f>IF(T432&gt;0,INDEX(data_item!$A$1:$A$1994,MATCH(Baupläne!T432,data_item!$B$1:$B$1994,0),1),0)</f>
        <v>0</v>
      </c>
      <c r="T432" s="3">
        <f>Baupläne!S432</f>
        <v>0</v>
      </c>
    </row>
    <row r="433" spans="1:20" x14ac:dyDescent="0.2">
      <c r="A433" s="3">
        <f>Baupläne!A433</f>
        <v>2141</v>
      </c>
      <c r="B433" s="3" t="str">
        <f>Baupläne!C433</f>
        <v>Quarz-Prunkaxt</v>
      </c>
      <c r="C433" s="3">
        <f>Baupläne!B433</f>
        <v>2141</v>
      </c>
      <c r="D433" s="3">
        <f>Baupläne!J433</f>
        <v>0</v>
      </c>
      <c r="E433" s="3">
        <f>Baupläne!H433</f>
        <v>58</v>
      </c>
      <c r="F433" s="3">
        <f>Baupläne!I433</f>
        <v>9</v>
      </c>
      <c r="G433" s="3">
        <f>Baupläne!E433</f>
        <v>30</v>
      </c>
      <c r="H433" s="3">
        <f>Baupläne!F433</f>
        <v>540</v>
      </c>
      <c r="I433" s="3">
        <f>0.5*Baupläne!Y433</f>
        <v>3500</v>
      </c>
      <c r="J433" s="3">
        <f>Baupläne!G433</f>
        <v>0</v>
      </c>
      <c r="K433" s="3">
        <f>IF(L433&gt;0,INDEX(data_item!$A$1:$A$1994,MATCH(Baupläne!L433,data_item!$B$1:$B$1994,0),1),0)</f>
        <v>7</v>
      </c>
      <c r="L433" s="3">
        <f>Baupläne!K433</f>
        <v>19</v>
      </c>
      <c r="M433" s="3">
        <f>IF(N433&gt;0,INDEX(data_item!$A$1:$A$1994,MATCH(Baupläne!N433,data_item!$B$1:$B$994,0),1),0)</f>
        <v>101</v>
      </c>
      <c r="N433" s="3">
        <f>Baupläne!M433</f>
        <v>29</v>
      </c>
      <c r="O433" s="3">
        <f>IF(P433&gt;0,INDEX(data_item!$A$1:$A$1994,MATCH(Baupläne!P433,data_item!$B$1:$B$1994,0),1),0)</f>
        <v>0</v>
      </c>
      <c r="P433" s="3">
        <f>Baupläne!O433</f>
        <v>0</v>
      </c>
      <c r="Q433" s="3">
        <f>IF(R433&gt;0,INDEX(data_item!$A$1:$A$1994,MATCH(Baupläne!R433,data_item!$B$1:$B$1994,0),1),0)</f>
        <v>0</v>
      </c>
      <c r="R433" s="3">
        <f>Baupläne!Q433</f>
        <v>0</v>
      </c>
      <c r="S433" s="3">
        <f>IF(T433&gt;0,INDEX(data_item!$A$1:$A$1994,MATCH(Baupläne!T433,data_item!$B$1:$B$1994,0),1),0)</f>
        <v>302</v>
      </c>
      <c r="T433" s="3">
        <f>Baupläne!S433</f>
        <v>5</v>
      </c>
    </row>
    <row r="434" spans="1:20" x14ac:dyDescent="0.2">
      <c r="A434" s="3">
        <f>Baupläne!A434</f>
        <v>2142</v>
      </c>
      <c r="B434" s="3" t="str">
        <f>Baupläne!C434</f>
        <v>Smaragd-Prunkaxt</v>
      </c>
      <c r="C434" s="3">
        <f>Baupläne!B434</f>
        <v>2142</v>
      </c>
      <c r="D434" s="3">
        <f>Baupläne!J434</f>
        <v>0</v>
      </c>
      <c r="E434" s="3">
        <f>Baupläne!H434</f>
        <v>58</v>
      </c>
      <c r="F434" s="3">
        <f>Baupläne!I434</f>
        <v>14</v>
      </c>
      <c r="G434" s="3">
        <f>Baupläne!E434</f>
        <v>30</v>
      </c>
      <c r="H434" s="3">
        <f>Baupläne!F434</f>
        <v>540</v>
      </c>
      <c r="I434" s="3">
        <f>0.5*Baupläne!Y434</f>
        <v>7100</v>
      </c>
      <c r="J434" s="3">
        <f>Baupläne!G434</f>
        <v>0</v>
      </c>
      <c r="K434" s="3">
        <f>IF(L434&gt;0,INDEX(data_item!$A$1:$A$1994,MATCH(Baupläne!L434,data_item!$B$1:$B$1994,0),1),0)</f>
        <v>8</v>
      </c>
      <c r="L434" s="3">
        <f>Baupläne!K434</f>
        <v>26</v>
      </c>
      <c r="M434" s="3">
        <f>IF(N434&gt;0,INDEX(data_item!$A$1:$A$1994,MATCH(Baupläne!N434,data_item!$B$1:$B$994,0),1),0)</f>
        <v>101</v>
      </c>
      <c r="N434" s="3">
        <f>Baupläne!M434</f>
        <v>6</v>
      </c>
      <c r="O434" s="3">
        <f>IF(P434&gt;0,INDEX(data_item!$A$1:$A$1994,MATCH(Baupläne!P434,data_item!$B$1:$B$1994,0),1),0)</f>
        <v>102</v>
      </c>
      <c r="P434" s="3">
        <f>Baupläne!O434</f>
        <v>21</v>
      </c>
      <c r="Q434" s="3">
        <f>IF(R434&gt;0,INDEX(data_item!$A$1:$A$1994,MATCH(Baupläne!R434,data_item!$B$1:$B$1994,0),1),0)</f>
        <v>0</v>
      </c>
      <c r="R434" s="3">
        <f>Baupläne!Q434</f>
        <v>0</v>
      </c>
      <c r="S434" s="3">
        <f>IF(T434&gt;0,INDEX(data_item!$A$1:$A$1994,MATCH(Baupläne!T434,data_item!$B$1:$B$1994,0),1),0)</f>
        <v>303</v>
      </c>
      <c r="T434" s="3">
        <f>Baupläne!S434</f>
        <v>5</v>
      </c>
    </row>
    <row r="435" spans="1:20" x14ac:dyDescent="0.2">
      <c r="A435" s="3">
        <f>Baupläne!A435</f>
        <v>2143</v>
      </c>
      <c r="B435" s="3" t="str">
        <f>Baupläne!C435</f>
        <v>Rubin-Prunkaxt</v>
      </c>
      <c r="C435" s="3">
        <f>Baupläne!B435</f>
        <v>2143</v>
      </c>
      <c r="D435" s="3">
        <f>Baupläne!J435</f>
        <v>0</v>
      </c>
      <c r="E435" s="3">
        <f>Baupläne!H435</f>
        <v>58</v>
      </c>
      <c r="F435" s="3">
        <f>Baupläne!I435</f>
        <v>19</v>
      </c>
      <c r="G435" s="3">
        <f>Baupläne!E435</f>
        <v>30</v>
      </c>
      <c r="H435" s="3">
        <f>Baupläne!F435</f>
        <v>540</v>
      </c>
      <c r="I435" s="3">
        <f>0.5*Baupläne!Y435</f>
        <v>14250</v>
      </c>
      <c r="J435" s="3">
        <f>Baupläne!G435</f>
        <v>0</v>
      </c>
      <c r="K435" s="3">
        <f>IF(L435&gt;0,INDEX(data_item!$A$1:$A$1994,MATCH(Baupläne!L435,data_item!$B$1:$B$1994,0),1),0)</f>
        <v>9</v>
      </c>
      <c r="L435" s="3">
        <f>Baupläne!K435</f>
        <v>35</v>
      </c>
      <c r="M435" s="3">
        <f>IF(N435&gt;0,INDEX(data_item!$A$1:$A$1994,MATCH(Baupläne!N435,data_item!$B$1:$B$994,0),1),0)</f>
        <v>101</v>
      </c>
      <c r="N435" s="3">
        <f>Baupläne!M435</f>
        <v>16</v>
      </c>
      <c r="O435" s="3">
        <f>IF(P435&gt;0,INDEX(data_item!$A$1:$A$1994,MATCH(Baupläne!P435,data_item!$B$1:$B$1994,0),1),0)</f>
        <v>102</v>
      </c>
      <c r="P435" s="3">
        <f>Baupläne!O435</f>
        <v>40</v>
      </c>
      <c r="Q435" s="3">
        <f>IF(R435&gt;0,INDEX(data_item!$A$1:$A$1994,MATCH(Baupläne!R435,data_item!$B$1:$B$1994,0),1),0)</f>
        <v>0</v>
      </c>
      <c r="R435" s="3">
        <f>Baupläne!Q435</f>
        <v>0</v>
      </c>
      <c r="S435" s="3">
        <f>IF(T435&gt;0,INDEX(data_item!$A$1:$A$1994,MATCH(Baupläne!T435,data_item!$B$1:$B$1994,0),1),0)</f>
        <v>304</v>
      </c>
      <c r="T435" s="3">
        <f>Baupläne!S435</f>
        <v>5</v>
      </c>
    </row>
    <row r="436" spans="1:20" x14ac:dyDescent="0.2">
      <c r="A436" s="3">
        <f>Baupläne!A436</f>
        <v>2144</v>
      </c>
      <c r="B436" s="3" t="str">
        <f>Baupläne!C436</f>
        <v>Obsidian-Prunkaxt</v>
      </c>
      <c r="C436" s="3">
        <f>Baupläne!B436</f>
        <v>2144</v>
      </c>
      <c r="D436" s="3">
        <f>Baupläne!J436</f>
        <v>0</v>
      </c>
      <c r="E436" s="3">
        <f>Baupläne!H436</f>
        <v>58</v>
      </c>
      <c r="F436" s="3">
        <f>Baupläne!I436</f>
        <v>24</v>
      </c>
      <c r="G436" s="3">
        <f>Baupläne!E436</f>
        <v>30</v>
      </c>
      <c r="H436" s="3">
        <f>Baupläne!F436</f>
        <v>540</v>
      </c>
      <c r="I436" s="3">
        <f>0.5*Baupläne!Y436</f>
        <v>28650</v>
      </c>
      <c r="J436" s="3">
        <f>Baupläne!G436</f>
        <v>0</v>
      </c>
      <c r="K436" s="3">
        <f>IF(L436&gt;0,INDEX(data_item!$A$1:$A$1994,MATCH(Baupläne!L436,data_item!$B$1:$B$1994,0),1),0)</f>
        <v>10</v>
      </c>
      <c r="L436" s="3">
        <f>Baupläne!K436</f>
        <v>52</v>
      </c>
      <c r="M436" s="3">
        <f>IF(N436&gt;0,INDEX(data_item!$A$1:$A$1994,MATCH(Baupläne!N436,data_item!$B$1:$B$994,0),1),0)</f>
        <v>101</v>
      </c>
      <c r="N436" s="3">
        <f>Baupläne!M436</f>
        <v>6</v>
      </c>
      <c r="O436" s="3">
        <f>IF(P436&gt;0,INDEX(data_item!$A$1:$A$1994,MATCH(Baupläne!P436,data_item!$B$1:$B$1994,0),1),0)</f>
        <v>102</v>
      </c>
      <c r="P436" s="3">
        <f>Baupläne!O436</f>
        <v>8</v>
      </c>
      <c r="Q436" s="3">
        <f>IF(R436&gt;0,INDEX(data_item!$A$1:$A$1994,MATCH(Baupläne!R436,data_item!$B$1:$B$1994,0),1),0)</f>
        <v>103</v>
      </c>
      <c r="R436" s="3">
        <f>Baupläne!Q436</f>
        <v>34</v>
      </c>
      <c r="S436" s="3">
        <f>IF(T436&gt;0,INDEX(data_item!$A$1:$A$1994,MATCH(Baupläne!T436,data_item!$B$1:$B$1994,0),1),0)</f>
        <v>305</v>
      </c>
      <c r="T436" s="3">
        <f>Baupläne!S436</f>
        <v>5</v>
      </c>
    </row>
    <row r="437" spans="1:20" x14ac:dyDescent="0.2">
      <c r="A437" s="3">
        <f>Baupläne!A437</f>
        <v>0</v>
      </c>
      <c r="B437" s="3">
        <f>Baupläne!C437</f>
        <v>0</v>
      </c>
      <c r="C437" s="3">
        <f>Baupläne!B437</f>
        <v>0</v>
      </c>
      <c r="D437" s="3">
        <f>Baupläne!J437</f>
        <v>0</v>
      </c>
      <c r="E437" s="3">
        <f>Baupläne!H437</f>
        <v>0</v>
      </c>
      <c r="F437" s="3">
        <f>Baupläne!I437</f>
        <v>0</v>
      </c>
      <c r="G437" s="3">
        <f>Baupläne!E437</f>
        <v>0</v>
      </c>
      <c r="H437" s="3">
        <f>Baupläne!F437</f>
        <v>0</v>
      </c>
      <c r="I437" s="3">
        <f>0.5*Baupläne!Y437</f>
        <v>0</v>
      </c>
      <c r="J437" s="3">
        <f>Baupläne!G437</f>
        <v>0</v>
      </c>
      <c r="K437" s="3">
        <f>IF(L437&gt;0,INDEX(data_item!$A$1:$A$1994,MATCH(Baupläne!L437,data_item!$B$1:$B$1994,0),1),0)</f>
        <v>0</v>
      </c>
      <c r="L437" s="3">
        <f>Baupläne!K437</f>
        <v>0</v>
      </c>
      <c r="M437" s="3">
        <f>IF(N437&gt;0,INDEX(data_item!$A$1:$A$1994,MATCH(Baupläne!N437,data_item!$B$1:$B$994,0),1),0)</f>
        <v>0</v>
      </c>
      <c r="N437" s="3">
        <f>Baupläne!M437</f>
        <v>0</v>
      </c>
      <c r="O437" s="3">
        <f>IF(P437&gt;0,INDEX(data_item!$A$1:$A$1994,MATCH(Baupläne!P437,data_item!$B$1:$B$1994,0),1),0)</f>
        <v>0</v>
      </c>
      <c r="P437" s="3">
        <f>Baupläne!O437</f>
        <v>0</v>
      </c>
      <c r="Q437" s="3">
        <f>IF(R437&gt;0,INDEX(data_item!$A$1:$A$1994,MATCH(Baupläne!R437,data_item!$B$1:$B$1994,0),1),0)</f>
        <v>0</v>
      </c>
      <c r="R437" s="3">
        <f>Baupläne!Q437</f>
        <v>0</v>
      </c>
      <c r="S437" s="3">
        <f>IF(T437&gt;0,INDEX(data_item!$A$1:$A$1994,MATCH(Baupläne!T437,data_item!$B$1:$B$1994,0),1),0)</f>
        <v>0</v>
      </c>
      <c r="T437" s="3">
        <f>Baupläne!S437</f>
        <v>0</v>
      </c>
    </row>
    <row r="438" spans="1:20" x14ac:dyDescent="0.2">
      <c r="A438" s="3">
        <f>Baupläne!A438</f>
        <v>2151</v>
      </c>
      <c r="B438" s="3" t="str">
        <f>Baupläne!C438</f>
        <v>Kristall-Hammer</v>
      </c>
      <c r="C438" s="3">
        <f>Baupläne!B438</f>
        <v>2151</v>
      </c>
      <c r="D438" s="3">
        <f>Baupläne!J438</f>
        <v>0</v>
      </c>
      <c r="E438" s="3">
        <f>Baupläne!H438</f>
        <v>59</v>
      </c>
      <c r="F438" s="3">
        <f>Baupläne!I438</f>
        <v>3</v>
      </c>
      <c r="G438" s="3">
        <f>Baupläne!E438</f>
        <v>30</v>
      </c>
      <c r="H438" s="3">
        <f>Baupläne!F438</f>
        <v>420</v>
      </c>
      <c r="I438" s="3">
        <f>0.5*Baupläne!Y438</f>
        <v>900</v>
      </c>
      <c r="J438" s="3">
        <f>Baupläne!G438</f>
        <v>0</v>
      </c>
      <c r="K438" s="3">
        <f>IF(L438&gt;0,INDEX(data_item!$A$1:$A$1994,MATCH(Baupläne!L438,data_item!$B$1:$B$1994,0),1),0)</f>
        <v>6</v>
      </c>
      <c r="L438" s="3">
        <f>Baupläne!K438</f>
        <v>10</v>
      </c>
      <c r="M438" s="3">
        <f>IF(N438&gt;0,INDEX(data_item!$A$1:$A$1994,MATCH(Baupläne!N438,data_item!$B$1:$B$994,0),1),0)</f>
        <v>101</v>
      </c>
      <c r="N438" s="3">
        <f>Baupläne!M438</f>
        <v>7</v>
      </c>
      <c r="O438" s="3">
        <f>IF(P438&gt;0,INDEX(data_item!$A$1:$A$1994,MATCH(Baupläne!P438,data_item!$B$1:$B$1994,0),1),0)</f>
        <v>0</v>
      </c>
      <c r="P438" s="3">
        <f>Baupläne!O438</f>
        <v>0</v>
      </c>
      <c r="Q438" s="3">
        <f>IF(R438&gt;0,INDEX(data_item!$A$1:$A$1994,MATCH(Baupläne!R438,data_item!$B$1:$B$1994,0),1),0)</f>
        <v>0</v>
      </c>
      <c r="R438" s="3">
        <f>Baupläne!Q438</f>
        <v>0</v>
      </c>
      <c r="S438" s="3">
        <f>IF(T438&gt;0,INDEX(data_item!$A$1:$A$1994,MATCH(Baupläne!T438,data_item!$B$1:$B$1994,0),1),0)</f>
        <v>301</v>
      </c>
      <c r="T438" s="3">
        <f>Baupläne!S438</f>
        <v>2</v>
      </c>
    </row>
    <row r="439" spans="1:20" x14ac:dyDescent="0.2">
      <c r="A439" s="3">
        <f>Baupläne!A439</f>
        <v>2152</v>
      </c>
      <c r="B439" s="3" t="str">
        <f>Baupläne!C439</f>
        <v>Quarz-Hammer</v>
      </c>
      <c r="C439" s="3">
        <f>Baupläne!B439</f>
        <v>2152</v>
      </c>
      <c r="D439" s="3">
        <f>Baupläne!J439</f>
        <v>0</v>
      </c>
      <c r="E439" s="3">
        <f>Baupläne!H439</f>
        <v>59</v>
      </c>
      <c r="F439" s="3">
        <f>Baupläne!I439</f>
        <v>8</v>
      </c>
      <c r="G439" s="3">
        <f>Baupläne!E439</f>
        <v>30</v>
      </c>
      <c r="H439" s="3">
        <f>Baupläne!F439</f>
        <v>420</v>
      </c>
      <c r="I439" s="3">
        <f>0.5*Baupläne!Y439</f>
        <v>1850</v>
      </c>
      <c r="J439" s="3">
        <f>Baupläne!G439</f>
        <v>0</v>
      </c>
      <c r="K439" s="3">
        <f>IF(L439&gt;0,INDEX(data_item!$A$1:$A$1994,MATCH(Baupläne!L439,data_item!$B$1:$B$1994,0),1),0)</f>
        <v>7</v>
      </c>
      <c r="L439" s="3">
        <f>Baupläne!K439</f>
        <v>10</v>
      </c>
      <c r="M439" s="3">
        <f>IF(N439&gt;0,INDEX(data_item!$A$1:$A$1994,MATCH(Baupläne!N439,data_item!$B$1:$B$994,0),1),0)</f>
        <v>101</v>
      </c>
      <c r="N439" s="3">
        <f>Baupläne!M439</f>
        <v>15</v>
      </c>
      <c r="O439" s="3">
        <f>IF(P439&gt;0,INDEX(data_item!$A$1:$A$1994,MATCH(Baupläne!P439,data_item!$B$1:$B$1994,0),1),0)</f>
        <v>0</v>
      </c>
      <c r="P439" s="3">
        <f>Baupläne!O439</f>
        <v>0</v>
      </c>
      <c r="Q439" s="3">
        <f>IF(R439&gt;0,INDEX(data_item!$A$1:$A$1994,MATCH(Baupläne!R439,data_item!$B$1:$B$1994,0),1),0)</f>
        <v>0</v>
      </c>
      <c r="R439" s="3">
        <f>Baupläne!Q439</f>
        <v>0</v>
      </c>
      <c r="S439" s="3">
        <f>IF(T439&gt;0,INDEX(data_item!$A$1:$A$1994,MATCH(Baupläne!T439,data_item!$B$1:$B$1994,0),1),0)</f>
        <v>302</v>
      </c>
      <c r="T439" s="3">
        <f>Baupläne!S439</f>
        <v>2</v>
      </c>
    </row>
    <row r="440" spans="1:20" x14ac:dyDescent="0.2">
      <c r="A440" s="3">
        <f>Baupläne!A440</f>
        <v>2153</v>
      </c>
      <c r="B440" s="3" t="str">
        <f>Baupläne!C440</f>
        <v>Smaragd-Hammer</v>
      </c>
      <c r="C440" s="3">
        <f>Baupläne!B440</f>
        <v>2153</v>
      </c>
      <c r="D440" s="3">
        <f>Baupläne!J440</f>
        <v>0</v>
      </c>
      <c r="E440" s="3">
        <f>Baupläne!H440</f>
        <v>59</v>
      </c>
      <c r="F440" s="3">
        <f>Baupläne!I440</f>
        <v>13</v>
      </c>
      <c r="G440" s="3">
        <f>Baupläne!E440</f>
        <v>30</v>
      </c>
      <c r="H440" s="3">
        <f>Baupläne!F440</f>
        <v>420</v>
      </c>
      <c r="I440" s="3">
        <f>0.5*Baupläne!Y440</f>
        <v>3700</v>
      </c>
      <c r="J440" s="3">
        <f>Baupläne!G440</f>
        <v>0</v>
      </c>
      <c r="K440" s="3">
        <f>IF(L440&gt;0,INDEX(data_item!$A$1:$A$1994,MATCH(Baupläne!L440,data_item!$B$1:$B$1994,0),1),0)</f>
        <v>8</v>
      </c>
      <c r="L440" s="3">
        <f>Baupläne!K440</f>
        <v>14</v>
      </c>
      <c r="M440" s="3">
        <f>IF(N440&gt;0,INDEX(data_item!$A$1:$A$1994,MATCH(Baupläne!N440,data_item!$B$1:$B$994,0),1),0)</f>
        <v>101</v>
      </c>
      <c r="N440" s="3">
        <f>Baupläne!M440</f>
        <v>3</v>
      </c>
      <c r="O440" s="3">
        <f>IF(P440&gt;0,INDEX(data_item!$A$1:$A$1994,MATCH(Baupläne!P440,data_item!$B$1:$B$1994,0),1),0)</f>
        <v>102</v>
      </c>
      <c r="P440" s="3">
        <f>Baupläne!O440</f>
        <v>11</v>
      </c>
      <c r="Q440" s="3">
        <f>IF(R440&gt;0,INDEX(data_item!$A$1:$A$1994,MATCH(Baupläne!R440,data_item!$B$1:$B$1994,0),1),0)</f>
        <v>0</v>
      </c>
      <c r="R440" s="3">
        <f>Baupläne!Q440</f>
        <v>0</v>
      </c>
      <c r="S440" s="3">
        <f>IF(T440&gt;0,INDEX(data_item!$A$1:$A$1994,MATCH(Baupläne!T440,data_item!$B$1:$B$1994,0),1),0)</f>
        <v>303</v>
      </c>
      <c r="T440" s="3">
        <f>Baupläne!S440</f>
        <v>2</v>
      </c>
    </row>
    <row r="441" spans="1:20" x14ac:dyDescent="0.2">
      <c r="A441" s="3">
        <f>Baupläne!A441</f>
        <v>2154</v>
      </c>
      <c r="B441" s="3" t="str">
        <f>Baupläne!C441</f>
        <v>Rubin-Hammer</v>
      </c>
      <c r="C441" s="3">
        <f>Baupläne!B441</f>
        <v>2154</v>
      </c>
      <c r="D441" s="3">
        <f>Baupläne!J441</f>
        <v>0</v>
      </c>
      <c r="E441" s="3">
        <f>Baupläne!H441</f>
        <v>59</v>
      </c>
      <c r="F441" s="3">
        <f>Baupläne!I441</f>
        <v>18</v>
      </c>
      <c r="G441" s="3">
        <f>Baupläne!E441</f>
        <v>30</v>
      </c>
      <c r="H441" s="3">
        <f>Baupläne!F441</f>
        <v>420</v>
      </c>
      <c r="I441" s="3">
        <f>0.5*Baupläne!Y441</f>
        <v>7450</v>
      </c>
      <c r="J441" s="3">
        <f>Baupläne!G441</f>
        <v>0</v>
      </c>
      <c r="K441" s="3">
        <f>IF(L441&gt;0,INDEX(data_item!$A$1:$A$1994,MATCH(Baupläne!L441,data_item!$B$1:$B$1994,0),1),0)</f>
        <v>9</v>
      </c>
      <c r="L441" s="3">
        <f>Baupläne!K441</f>
        <v>18</v>
      </c>
      <c r="M441" s="3">
        <f>IF(N441&gt;0,INDEX(data_item!$A$1:$A$1994,MATCH(Baupläne!N441,data_item!$B$1:$B$994,0),1),0)</f>
        <v>101</v>
      </c>
      <c r="N441" s="3">
        <f>Baupläne!M441</f>
        <v>6</v>
      </c>
      <c r="O441" s="3">
        <f>IF(P441&gt;0,INDEX(data_item!$A$1:$A$1994,MATCH(Baupläne!P441,data_item!$B$1:$B$1994,0),1),0)</f>
        <v>102</v>
      </c>
      <c r="P441" s="3">
        <f>Baupläne!O441</f>
        <v>22</v>
      </c>
      <c r="Q441" s="3">
        <f>IF(R441&gt;0,INDEX(data_item!$A$1:$A$1994,MATCH(Baupläne!R441,data_item!$B$1:$B$1994,0),1),0)</f>
        <v>0</v>
      </c>
      <c r="R441" s="3">
        <f>Baupläne!Q441</f>
        <v>0</v>
      </c>
      <c r="S441" s="3">
        <f>IF(T441&gt;0,INDEX(data_item!$A$1:$A$1994,MATCH(Baupläne!T441,data_item!$B$1:$B$1994,0),1),0)</f>
        <v>304</v>
      </c>
      <c r="T441" s="3">
        <f>Baupläne!S441</f>
        <v>2</v>
      </c>
    </row>
    <row r="442" spans="1:20" x14ac:dyDescent="0.2">
      <c r="A442" s="3">
        <f>Baupläne!A442</f>
        <v>2155</v>
      </c>
      <c r="B442" s="3" t="str">
        <f>Baupläne!C442</f>
        <v>Obsidian-Hammer</v>
      </c>
      <c r="C442" s="3">
        <f>Baupläne!B442</f>
        <v>2155</v>
      </c>
      <c r="D442" s="3">
        <f>Baupläne!J442</f>
        <v>0</v>
      </c>
      <c r="E442" s="3">
        <f>Baupläne!H442</f>
        <v>59</v>
      </c>
      <c r="F442" s="3">
        <f>Baupläne!I442</f>
        <v>24</v>
      </c>
      <c r="G442" s="3">
        <f>Baupläne!E442</f>
        <v>30</v>
      </c>
      <c r="H442" s="3">
        <f>Baupläne!F442</f>
        <v>420</v>
      </c>
      <c r="I442" s="3">
        <f>0.5*Baupläne!Y442</f>
        <v>17200</v>
      </c>
      <c r="J442" s="3">
        <f>Baupläne!G442</f>
        <v>0</v>
      </c>
      <c r="K442" s="3">
        <f>IF(L442&gt;0,INDEX(data_item!$A$1:$A$1994,MATCH(Baupläne!L442,data_item!$B$1:$B$1994,0),1),0)</f>
        <v>10</v>
      </c>
      <c r="L442" s="3">
        <f>Baupläne!K442</f>
        <v>32</v>
      </c>
      <c r="M442" s="3">
        <f>IF(N442&gt;0,INDEX(data_item!$A$1:$A$1994,MATCH(Baupläne!N442,data_item!$B$1:$B$994,0),1),0)</f>
        <v>101</v>
      </c>
      <c r="N442" s="3">
        <f>Baupläne!M442</f>
        <v>6</v>
      </c>
      <c r="O442" s="3">
        <f>IF(P442&gt;0,INDEX(data_item!$A$1:$A$1994,MATCH(Baupläne!P442,data_item!$B$1:$B$1994,0),1),0)</f>
        <v>102</v>
      </c>
      <c r="P442" s="3">
        <f>Baupläne!O442</f>
        <v>14</v>
      </c>
      <c r="Q442" s="3">
        <f>IF(R442&gt;0,INDEX(data_item!$A$1:$A$1994,MATCH(Baupläne!R442,data_item!$B$1:$B$1994,0),1),0)</f>
        <v>103</v>
      </c>
      <c r="R442" s="3">
        <f>Baupläne!Q442</f>
        <v>16</v>
      </c>
      <c r="S442" s="3">
        <f>IF(T442&gt;0,INDEX(data_item!$A$1:$A$1994,MATCH(Baupläne!T442,data_item!$B$1:$B$1994,0),1),0)</f>
        <v>305</v>
      </c>
      <c r="T442" s="3">
        <f>Baupläne!S442</f>
        <v>2</v>
      </c>
    </row>
    <row r="443" spans="1:20" x14ac:dyDescent="0.2">
      <c r="A443" s="3">
        <f>Baupläne!A443</f>
        <v>0</v>
      </c>
      <c r="B443" s="3">
        <f>Baupläne!C443</f>
        <v>0</v>
      </c>
      <c r="C443" s="3">
        <f>Baupläne!B443</f>
        <v>0</v>
      </c>
      <c r="D443" s="3">
        <f>Baupläne!J443</f>
        <v>0</v>
      </c>
      <c r="E443" s="3">
        <f>Baupläne!H443</f>
        <v>0</v>
      </c>
      <c r="F443" s="3">
        <f>Baupläne!I443</f>
        <v>0</v>
      </c>
      <c r="G443" s="3">
        <f>Baupläne!E443</f>
        <v>0</v>
      </c>
      <c r="H443" s="3">
        <f>Baupläne!F443</f>
        <v>0</v>
      </c>
      <c r="I443" s="3">
        <f>0.5*Baupläne!Y443</f>
        <v>0</v>
      </c>
      <c r="J443" s="3">
        <f>Baupläne!G443</f>
        <v>0</v>
      </c>
      <c r="K443" s="3">
        <f>IF(L443&gt;0,INDEX(data_item!$A$1:$A$1994,MATCH(Baupläne!L443,data_item!$B$1:$B$1994,0),1),0)</f>
        <v>0</v>
      </c>
      <c r="L443" s="3">
        <f>Baupläne!K443</f>
        <v>0</v>
      </c>
      <c r="M443" s="3">
        <f>IF(N443&gt;0,INDEX(data_item!$A$1:$A$1994,MATCH(Baupläne!N443,data_item!$B$1:$B$994,0),1),0)</f>
        <v>0</v>
      </c>
      <c r="N443" s="3">
        <f>Baupläne!M443</f>
        <v>0</v>
      </c>
      <c r="O443" s="3">
        <f>IF(P443&gt;0,INDEX(data_item!$A$1:$A$1994,MATCH(Baupläne!P443,data_item!$B$1:$B$1994,0),1),0)</f>
        <v>0</v>
      </c>
      <c r="P443" s="3">
        <f>Baupläne!O443</f>
        <v>0</v>
      </c>
      <c r="Q443" s="3">
        <f>IF(R443&gt;0,INDEX(data_item!$A$1:$A$1994,MATCH(Baupläne!R443,data_item!$B$1:$B$1994,0),1),0)</f>
        <v>0</v>
      </c>
      <c r="R443" s="3">
        <f>Baupläne!Q443</f>
        <v>0</v>
      </c>
      <c r="S443" s="3">
        <f>IF(T443&gt;0,INDEX(data_item!$A$1:$A$1994,MATCH(Baupläne!T443,data_item!$B$1:$B$1994,0),1),0)</f>
        <v>0</v>
      </c>
      <c r="T443" s="3">
        <f>Baupläne!S443</f>
        <v>0</v>
      </c>
    </row>
    <row r="444" spans="1:20" x14ac:dyDescent="0.2">
      <c r="A444" s="3">
        <f>Baupläne!A444</f>
        <v>2161</v>
      </c>
      <c r="B444" s="3" t="str">
        <f>Baupläne!C444</f>
        <v>Quarz-Kriegshammer</v>
      </c>
      <c r="C444" s="3">
        <f>Baupläne!B444</f>
        <v>2161</v>
      </c>
      <c r="D444" s="3">
        <f>Baupläne!J444</f>
        <v>0</v>
      </c>
      <c r="E444" s="3">
        <f>Baupläne!H444</f>
        <v>59</v>
      </c>
      <c r="F444" s="3">
        <f>Baupläne!I444</f>
        <v>9</v>
      </c>
      <c r="G444" s="3">
        <f>Baupläne!E444</f>
        <v>30</v>
      </c>
      <c r="H444" s="3">
        <f>Baupläne!F444</f>
        <v>540</v>
      </c>
      <c r="I444" s="3">
        <f>0.5*Baupläne!Y444</f>
        <v>3500</v>
      </c>
      <c r="J444" s="3">
        <f>Baupläne!G444</f>
        <v>0</v>
      </c>
      <c r="K444" s="3">
        <f>IF(L444&gt;0,INDEX(data_item!$A$1:$A$1994,MATCH(Baupläne!L444,data_item!$B$1:$B$1994,0),1),0)</f>
        <v>7</v>
      </c>
      <c r="L444" s="3">
        <f>Baupläne!K444</f>
        <v>19</v>
      </c>
      <c r="M444" s="3">
        <f>IF(N444&gt;0,INDEX(data_item!$A$1:$A$1994,MATCH(Baupläne!N444,data_item!$B$1:$B$994,0),1),0)</f>
        <v>101</v>
      </c>
      <c r="N444" s="3">
        <f>Baupläne!M444</f>
        <v>29</v>
      </c>
      <c r="O444" s="3">
        <f>IF(P444&gt;0,INDEX(data_item!$A$1:$A$1994,MATCH(Baupläne!P444,data_item!$B$1:$B$1994,0),1),0)</f>
        <v>0</v>
      </c>
      <c r="P444" s="3">
        <f>Baupläne!O444</f>
        <v>0</v>
      </c>
      <c r="Q444" s="3">
        <f>IF(R444&gt;0,INDEX(data_item!$A$1:$A$1994,MATCH(Baupläne!R444,data_item!$B$1:$B$1994,0),1),0)</f>
        <v>0</v>
      </c>
      <c r="R444" s="3">
        <f>Baupläne!Q444</f>
        <v>0</v>
      </c>
      <c r="S444" s="3">
        <f>IF(T444&gt;0,INDEX(data_item!$A$1:$A$1994,MATCH(Baupläne!T444,data_item!$B$1:$B$1994,0),1),0)</f>
        <v>302</v>
      </c>
      <c r="T444" s="3">
        <f>Baupläne!S444</f>
        <v>5</v>
      </c>
    </row>
    <row r="445" spans="1:20" x14ac:dyDescent="0.2">
      <c r="A445" s="3">
        <f>Baupläne!A445</f>
        <v>2162</v>
      </c>
      <c r="B445" s="3" t="str">
        <f>Baupläne!C445</f>
        <v>Smaragd-Kriegshammer</v>
      </c>
      <c r="C445" s="3">
        <f>Baupläne!B445</f>
        <v>2162</v>
      </c>
      <c r="D445" s="3">
        <f>Baupläne!J445</f>
        <v>0</v>
      </c>
      <c r="E445" s="3">
        <f>Baupläne!H445</f>
        <v>59</v>
      </c>
      <c r="F445" s="3">
        <f>Baupläne!I445</f>
        <v>14</v>
      </c>
      <c r="G445" s="3">
        <f>Baupläne!E445</f>
        <v>30</v>
      </c>
      <c r="H445" s="3">
        <f>Baupläne!F445</f>
        <v>540</v>
      </c>
      <c r="I445" s="3">
        <f>0.5*Baupläne!Y445</f>
        <v>7100</v>
      </c>
      <c r="J445" s="3">
        <f>Baupläne!G445</f>
        <v>0</v>
      </c>
      <c r="K445" s="3">
        <f>IF(L445&gt;0,INDEX(data_item!$A$1:$A$1994,MATCH(Baupläne!L445,data_item!$B$1:$B$1994,0),1),0)</f>
        <v>8</v>
      </c>
      <c r="L445" s="3">
        <f>Baupläne!K445</f>
        <v>26</v>
      </c>
      <c r="M445" s="3">
        <f>IF(N445&gt;0,INDEX(data_item!$A$1:$A$1994,MATCH(Baupläne!N445,data_item!$B$1:$B$994,0),1),0)</f>
        <v>101</v>
      </c>
      <c r="N445" s="3">
        <f>Baupläne!M445</f>
        <v>6</v>
      </c>
      <c r="O445" s="3">
        <f>IF(P445&gt;0,INDEX(data_item!$A$1:$A$1994,MATCH(Baupläne!P445,data_item!$B$1:$B$1994,0),1),0)</f>
        <v>102</v>
      </c>
      <c r="P445" s="3">
        <f>Baupläne!O445</f>
        <v>21</v>
      </c>
      <c r="Q445" s="3">
        <f>IF(R445&gt;0,INDEX(data_item!$A$1:$A$1994,MATCH(Baupläne!R445,data_item!$B$1:$B$1994,0),1),0)</f>
        <v>0</v>
      </c>
      <c r="R445" s="3">
        <f>Baupläne!Q445</f>
        <v>0</v>
      </c>
      <c r="S445" s="3">
        <f>IF(T445&gt;0,INDEX(data_item!$A$1:$A$1994,MATCH(Baupläne!T445,data_item!$B$1:$B$1994,0),1),0)</f>
        <v>303</v>
      </c>
      <c r="T445" s="3">
        <f>Baupläne!S445</f>
        <v>5</v>
      </c>
    </row>
    <row r="446" spans="1:20" x14ac:dyDescent="0.2">
      <c r="A446" s="3">
        <f>Baupläne!A446</f>
        <v>2163</v>
      </c>
      <c r="B446" s="3" t="str">
        <f>Baupläne!C446</f>
        <v>Rubin-Kriegshammer</v>
      </c>
      <c r="C446" s="3">
        <f>Baupläne!B446</f>
        <v>2163</v>
      </c>
      <c r="D446" s="3">
        <f>Baupläne!J446</f>
        <v>0</v>
      </c>
      <c r="E446" s="3">
        <f>Baupläne!H446</f>
        <v>59</v>
      </c>
      <c r="F446" s="3">
        <f>Baupläne!I446</f>
        <v>19</v>
      </c>
      <c r="G446" s="3">
        <f>Baupläne!E446</f>
        <v>30</v>
      </c>
      <c r="H446" s="3">
        <f>Baupläne!F446</f>
        <v>540</v>
      </c>
      <c r="I446" s="3">
        <f>0.5*Baupläne!Y446</f>
        <v>14250</v>
      </c>
      <c r="J446" s="3">
        <f>Baupläne!G446</f>
        <v>0</v>
      </c>
      <c r="K446" s="3">
        <f>IF(L446&gt;0,INDEX(data_item!$A$1:$A$1994,MATCH(Baupläne!L446,data_item!$B$1:$B$1994,0),1),0)</f>
        <v>9</v>
      </c>
      <c r="L446" s="3">
        <f>Baupläne!K446</f>
        <v>35</v>
      </c>
      <c r="M446" s="3">
        <f>IF(N446&gt;0,INDEX(data_item!$A$1:$A$1994,MATCH(Baupläne!N446,data_item!$B$1:$B$994,0),1),0)</f>
        <v>101</v>
      </c>
      <c r="N446" s="3">
        <f>Baupläne!M446</f>
        <v>16</v>
      </c>
      <c r="O446" s="3">
        <f>IF(P446&gt;0,INDEX(data_item!$A$1:$A$1994,MATCH(Baupläne!P446,data_item!$B$1:$B$1994,0),1),0)</f>
        <v>102</v>
      </c>
      <c r="P446" s="3">
        <f>Baupläne!O446</f>
        <v>40</v>
      </c>
      <c r="Q446" s="3">
        <f>IF(R446&gt;0,INDEX(data_item!$A$1:$A$1994,MATCH(Baupläne!R446,data_item!$B$1:$B$1994,0),1),0)</f>
        <v>0</v>
      </c>
      <c r="R446" s="3">
        <f>Baupläne!Q446</f>
        <v>0</v>
      </c>
      <c r="S446" s="3">
        <f>IF(T446&gt;0,INDEX(data_item!$A$1:$A$1994,MATCH(Baupläne!T446,data_item!$B$1:$B$1994,0),1),0)</f>
        <v>304</v>
      </c>
      <c r="T446" s="3">
        <f>Baupläne!S446</f>
        <v>5</v>
      </c>
    </row>
    <row r="447" spans="1:20" x14ac:dyDescent="0.2">
      <c r="A447" s="3">
        <f>Baupläne!A447</f>
        <v>2164</v>
      </c>
      <c r="B447" s="3" t="str">
        <f>Baupläne!C447</f>
        <v>Obsidian-Kriegshammer</v>
      </c>
      <c r="C447" s="3">
        <f>Baupläne!B447</f>
        <v>2164</v>
      </c>
      <c r="D447" s="3">
        <f>Baupläne!J447</f>
        <v>0</v>
      </c>
      <c r="E447" s="3">
        <f>Baupläne!H447</f>
        <v>59</v>
      </c>
      <c r="F447" s="3">
        <f>Baupläne!I447</f>
        <v>24</v>
      </c>
      <c r="G447" s="3">
        <f>Baupläne!E447</f>
        <v>30</v>
      </c>
      <c r="H447" s="3">
        <f>Baupläne!F447</f>
        <v>540</v>
      </c>
      <c r="I447" s="3">
        <f>0.5*Baupläne!Y447</f>
        <v>28650</v>
      </c>
      <c r="J447" s="3">
        <f>Baupläne!G447</f>
        <v>0</v>
      </c>
      <c r="K447" s="3">
        <f>IF(L447&gt;0,INDEX(data_item!$A$1:$A$1994,MATCH(Baupläne!L447,data_item!$B$1:$B$1994,0),1),0)</f>
        <v>10</v>
      </c>
      <c r="L447" s="3">
        <f>Baupläne!K447</f>
        <v>52</v>
      </c>
      <c r="M447" s="3">
        <f>IF(N447&gt;0,INDEX(data_item!$A$1:$A$1994,MATCH(Baupläne!N447,data_item!$B$1:$B$994,0),1),0)</f>
        <v>101</v>
      </c>
      <c r="N447" s="3">
        <f>Baupläne!M447</f>
        <v>6</v>
      </c>
      <c r="O447" s="3">
        <f>IF(P447&gt;0,INDEX(data_item!$A$1:$A$1994,MATCH(Baupläne!P447,data_item!$B$1:$B$1994,0),1),0)</f>
        <v>102</v>
      </c>
      <c r="P447" s="3">
        <f>Baupläne!O447</f>
        <v>8</v>
      </c>
      <c r="Q447" s="3">
        <f>IF(R447&gt;0,INDEX(data_item!$A$1:$A$1994,MATCH(Baupläne!R447,data_item!$B$1:$B$1994,0),1),0)</f>
        <v>103</v>
      </c>
      <c r="R447" s="3">
        <f>Baupläne!Q447</f>
        <v>34</v>
      </c>
      <c r="S447" s="3">
        <f>IF(T447&gt;0,INDEX(data_item!$A$1:$A$1994,MATCH(Baupläne!T447,data_item!$B$1:$B$1994,0),1),0)</f>
        <v>305</v>
      </c>
      <c r="T447" s="3">
        <f>Baupläne!S447</f>
        <v>5</v>
      </c>
    </row>
    <row r="448" spans="1:20" x14ac:dyDescent="0.2">
      <c r="A448" s="3">
        <f>Baupläne!A448</f>
        <v>0</v>
      </c>
      <c r="B448" s="3">
        <f>Baupläne!C448</f>
        <v>0</v>
      </c>
      <c r="C448" s="3">
        <f>Baupläne!B448</f>
        <v>0</v>
      </c>
      <c r="D448" s="3">
        <f>Baupläne!J448</f>
        <v>0</v>
      </c>
      <c r="E448" s="3">
        <f>Baupläne!H448</f>
        <v>0</v>
      </c>
      <c r="F448" s="3">
        <f>Baupläne!I448</f>
        <v>0</v>
      </c>
      <c r="G448" s="3">
        <f>Baupläne!E448</f>
        <v>0</v>
      </c>
      <c r="H448" s="3">
        <f>Baupläne!F448</f>
        <v>0</v>
      </c>
      <c r="I448" s="3">
        <f>0.5*Baupläne!Y448</f>
        <v>0</v>
      </c>
      <c r="J448" s="3">
        <f>Baupläne!G448</f>
        <v>0</v>
      </c>
      <c r="K448" s="3">
        <f>IF(L448&gt;0,INDEX(data_item!$A$1:$A$1994,MATCH(Baupläne!L448,data_item!$B$1:$B$1994,0),1),0)</f>
        <v>0</v>
      </c>
      <c r="L448" s="3">
        <f>Baupläne!K448</f>
        <v>0</v>
      </c>
      <c r="M448" s="3">
        <f>IF(N448&gt;0,INDEX(data_item!$A$1:$A$1994,MATCH(Baupläne!N448,data_item!$B$1:$B$994,0),1),0)</f>
        <v>0</v>
      </c>
      <c r="N448" s="3">
        <f>Baupläne!M448</f>
        <v>0</v>
      </c>
      <c r="O448" s="3">
        <f>IF(P448&gt;0,INDEX(data_item!$A$1:$A$1994,MATCH(Baupläne!P448,data_item!$B$1:$B$1994,0),1),0)</f>
        <v>0</v>
      </c>
      <c r="P448" s="3">
        <f>Baupläne!O448</f>
        <v>0</v>
      </c>
      <c r="Q448" s="3">
        <f>IF(R448&gt;0,INDEX(data_item!$A$1:$A$1994,MATCH(Baupläne!R448,data_item!$B$1:$B$1994,0),1),0)</f>
        <v>0</v>
      </c>
      <c r="R448" s="3">
        <f>Baupläne!Q448</f>
        <v>0</v>
      </c>
      <c r="S448" s="3">
        <f>IF(T448&gt;0,INDEX(data_item!$A$1:$A$1994,MATCH(Baupläne!T448,data_item!$B$1:$B$1994,0),1),0)</f>
        <v>0</v>
      </c>
      <c r="T448" s="3">
        <f>Baupläne!S448</f>
        <v>0</v>
      </c>
    </row>
    <row r="449" spans="1:20" x14ac:dyDescent="0.2">
      <c r="A449" s="3">
        <f>Baupläne!A449</f>
        <v>2171</v>
      </c>
      <c r="B449" s="3" t="str">
        <f>Baupläne!C449</f>
        <v>Kristall-Pike</v>
      </c>
      <c r="C449" s="3">
        <f>Baupläne!B449</f>
        <v>2171</v>
      </c>
      <c r="D449" s="3">
        <f>Baupläne!J449</f>
        <v>0</v>
      </c>
      <c r="E449" s="3">
        <f>Baupläne!H449</f>
        <v>60</v>
      </c>
      <c r="F449" s="3">
        <f>Baupläne!I449</f>
        <v>3</v>
      </c>
      <c r="G449" s="3">
        <f>Baupläne!E449</f>
        <v>30</v>
      </c>
      <c r="H449" s="3">
        <f>Baupläne!F449</f>
        <v>540</v>
      </c>
      <c r="I449" s="3">
        <f>0.5*Baupläne!Y449</f>
        <v>1500</v>
      </c>
      <c r="J449" s="3">
        <f>Baupläne!G449</f>
        <v>0</v>
      </c>
      <c r="K449" s="3">
        <f>IF(L449&gt;0,INDEX(data_item!$A$1:$A$1994,MATCH(Baupläne!L449,data_item!$B$1:$B$1994,0),1),0)</f>
        <v>6</v>
      </c>
      <c r="L449" s="3">
        <f>Baupläne!K449</f>
        <v>16</v>
      </c>
      <c r="M449" s="3">
        <f>IF(N449&gt;0,INDEX(data_item!$A$1:$A$1994,MATCH(Baupläne!N449,data_item!$B$1:$B$994,0),1),0)</f>
        <v>101</v>
      </c>
      <c r="N449" s="3">
        <f>Baupläne!M449</f>
        <v>12</v>
      </c>
      <c r="O449" s="3">
        <f>IF(P449&gt;0,INDEX(data_item!$A$1:$A$1994,MATCH(Baupläne!P449,data_item!$B$1:$B$1994,0),1),0)</f>
        <v>0</v>
      </c>
      <c r="P449" s="3">
        <f>Baupläne!O449</f>
        <v>0</v>
      </c>
      <c r="Q449" s="3">
        <f>IF(R449&gt;0,INDEX(data_item!$A$1:$A$1994,MATCH(Baupläne!R449,data_item!$B$1:$B$1994,0),1),0)</f>
        <v>0</v>
      </c>
      <c r="R449" s="3">
        <f>Baupläne!Q449</f>
        <v>0</v>
      </c>
      <c r="S449" s="3">
        <f>IF(T449&gt;0,INDEX(data_item!$A$1:$A$1994,MATCH(Baupläne!T449,data_item!$B$1:$B$1994,0),1),0)</f>
        <v>301</v>
      </c>
      <c r="T449" s="3">
        <f>Baupläne!S449</f>
        <v>5</v>
      </c>
    </row>
    <row r="450" spans="1:20" x14ac:dyDescent="0.2">
      <c r="A450" s="3">
        <f>Baupläne!A450</f>
        <v>2172</v>
      </c>
      <c r="B450" s="3" t="str">
        <f>Baupläne!C450</f>
        <v>Quarz-Pike</v>
      </c>
      <c r="C450" s="3">
        <f>Baupläne!B450</f>
        <v>2172</v>
      </c>
      <c r="D450" s="3">
        <f>Baupläne!J450</f>
        <v>0</v>
      </c>
      <c r="E450" s="3">
        <f>Baupläne!H450</f>
        <v>60</v>
      </c>
      <c r="F450" s="3">
        <f>Baupläne!I450</f>
        <v>8</v>
      </c>
      <c r="G450" s="3">
        <f>Baupläne!E450</f>
        <v>30</v>
      </c>
      <c r="H450" s="3">
        <f>Baupläne!F450</f>
        <v>540</v>
      </c>
      <c r="I450" s="3">
        <f>0.5*Baupläne!Y450</f>
        <v>3050</v>
      </c>
      <c r="J450" s="3">
        <f>Baupläne!G450</f>
        <v>0</v>
      </c>
      <c r="K450" s="3">
        <f>IF(L450&gt;0,INDEX(data_item!$A$1:$A$1994,MATCH(Baupläne!L450,data_item!$B$1:$B$1994,0),1),0)</f>
        <v>7</v>
      </c>
      <c r="L450" s="3">
        <f>Baupläne!K450</f>
        <v>16</v>
      </c>
      <c r="M450" s="3">
        <f>IF(N450&gt;0,INDEX(data_item!$A$1:$A$1994,MATCH(Baupläne!N450,data_item!$B$1:$B$994,0),1),0)</f>
        <v>101</v>
      </c>
      <c r="N450" s="3">
        <f>Baupläne!M450</f>
        <v>25</v>
      </c>
      <c r="O450" s="3">
        <f>IF(P450&gt;0,INDEX(data_item!$A$1:$A$1994,MATCH(Baupläne!P450,data_item!$B$1:$B$1994,0),1),0)</f>
        <v>0</v>
      </c>
      <c r="P450" s="3">
        <f>Baupläne!O450</f>
        <v>0</v>
      </c>
      <c r="Q450" s="3">
        <f>IF(R450&gt;0,INDEX(data_item!$A$1:$A$1994,MATCH(Baupläne!R450,data_item!$B$1:$B$1994,0),1),0)</f>
        <v>0</v>
      </c>
      <c r="R450" s="3">
        <f>Baupläne!Q450</f>
        <v>0</v>
      </c>
      <c r="S450" s="3">
        <f>IF(T450&gt;0,INDEX(data_item!$A$1:$A$1994,MATCH(Baupläne!T450,data_item!$B$1:$B$1994,0),1),0)</f>
        <v>302</v>
      </c>
      <c r="T450" s="3">
        <f>Baupläne!S450</f>
        <v>5</v>
      </c>
    </row>
    <row r="451" spans="1:20" x14ac:dyDescent="0.2">
      <c r="A451" s="3">
        <f>Baupläne!A451</f>
        <v>2173</v>
      </c>
      <c r="B451" s="3" t="str">
        <f>Baupläne!C451</f>
        <v>Smaragd-Pike</v>
      </c>
      <c r="C451" s="3">
        <f>Baupläne!B451</f>
        <v>2173</v>
      </c>
      <c r="D451" s="3">
        <f>Baupläne!J451</f>
        <v>0</v>
      </c>
      <c r="E451" s="3">
        <f>Baupläne!H451</f>
        <v>60</v>
      </c>
      <c r="F451" s="3">
        <f>Baupläne!I451</f>
        <v>13</v>
      </c>
      <c r="G451" s="3">
        <f>Baupläne!E451</f>
        <v>30</v>
      </c>
      <c r="H451" s="3">
        <f>Baupläne!F451</f>
        <v>540</v>
      </c>
      <c r="I451" s="3">
        <f>0.5*Baupläne!Y451</f>
        <v>6150</v>
      </c>
      <c r="J451" s="3">
        <f>Baupläne!G451</f>
        <v>0</v>
      </c>
      <c r="K451" s="3">
        <f>IF(L451&gt;0,INDEX(data_item!$A$1:$A$1994,MATCH(Baupläne!L451,data_item!$B$1:$B$1994,0),1),0)</f>
        <v>8</v>
      </c>
      <c r="L451" s="3">
        <f>Baupläne!K451</f>
        <v>22</v>
      </c>
      <c r="M451" s="3">
        <f>IF(N451&gt;0,INDEX(data_item!$A$1:$A$1994,MATCH(Baupläne!N451,data_item!$B$1:$B$994,0),1),0)</f>
        <v>101</v>
      </c>
      <c r="N451" s="3">
        <f>Baupläne!M451</f>
        <v>10</v>
      </c>
      <c r="O451" s="3">
        <f>IF(P451&gt;0,INDEX(data_item!$A$1:$A$1994,MATCH(Baupläne!P451,data_item!$B$1:$B$1994,0),1),0)</f>
        <v>102</v>
      </c>
      <c r="P451" s="3">
        <f>Baupläne!O451</f>
        <v>16</v>
      </c>
      <c r="Q451" s="3">
        <f>IF(R451&gt;0,INDEX(data_item!$A$1:$A$1994,MATCH(Baupläne!R451,data_item!$B$1:$B$1994,0),1),0)</f>
        <v>0</v>
      </c>
      <c r="R451" s="3">
        <f>Baupläne!Q451</f>
        <v>0</v>
      </c>
      <c r="S451" s="3">
        <f>IF(T451&gt;0,INDEX(data_item!$A$1:$A$1994,MATCH(Baupläne!T451,data_item!$B$1:$B$1994,0),1),0)</f>
        <v>303</v>
      </c>
      <c r="T451" s="3">
        <f>Baupläne!S451</f>
        <v>5</v>
      </c>
    </row>
    <row r="452" spans="1:20" x14ac:dyDescent="0.2">
      <c r="A452" s="3">
        <f>Baupläne!A452</f>
        <v>2174</v>
      </c>
      <c r="B452" s="3" t="str">
        <f>Baupläne!C452</f>
        <v>Rubin-Pike</v>
      </c>
      <c r="C452" s="3">
        <f>Baupläne!B452</f>
        <v>2174</v>
      </c>
      <c r="D452" s="3">
        <f>Baupläne!J452</f>
        <v>0</v>
      </c>
      <c r="E452" s="3">
        <f>Baupläne!H452</f>
        <v>60</v>
      </c>
      <c r="F452" s="3">
        <f>Baupläne!I452</f>
        <v>18</v>
      </c>
      <c r="G452" s="3">
        <f>Baupläne!E452</f>
        <v>30</v>
      </c>
      <c r="H452" s="3">
        <f>Baupläne!F452</f>
        <v>540</v>
      </c>
      <c r="I452" s="3">
        <f>0.5*Baupläne!Y452</f>
        <v>12400</v>
      </c>
      <c r="J452" s="3">
        <f>Baupläne!G452</f>
        <v>0</v>
      </c>
      <c r="K452" s="3">
        <f>IF(L452&gt;0,INDEX(data_item!$A$1:$A$1994,MATCH(Baupläne!L452,data_item!$B$1:$B$1994,0),1),0)</f>
        <v>9</v>
      </c>
      <c r="L452" s="3">
        <f>Baupläne!K452</f>
        <v>30</v>
      </c>
      <c r="M452" s="3">
        <f>IF(N452&gt;0,INDEX(data_item!$A$1:$A$1994,MATCH(Baupläne!N452,data_item!$B$1:$B$994,0),1),0)</f>
        <v>101</v>
      </c>
      <c r="N452" s="3">
        <f>Baupläne!M452</f>
        <v>14</v>
      </c>
      <c r="O452" s="3">
        <f>IF(P452&gt;0,INDEX(data_item!$A$1:$A$1994,MATCH(Baupläne!P452,data_item!$B$1:$B$1994,0),1),0)</f>
        <v>102</v>
      </c>
      <c r="P452" s="3">
        <f>Baupläne!O452</f>
        <v>35</v>
      </c>
      <c r="Q452" s="3">
        <f>IF(R452&gt;0,INDEX(data_item!$A$1:$A$1994,MATCH(Baupläne!R452,data_item!$B$1:$B$1994,0),1),0)</f>
        <v>0</v>
      </c>
      <c r="R452" s="3">
        <f>Baupläne!Q452</f>
        <v>0</v>
      </c>
      <c r="S452" s="3">
        <f>IF(T452&gt;0,INDEX(data_item!$A$1:$A$1994,MATCH(Baupläne!T452,data_item!$B$1:$B$1994,0),1),0)</f>
        <v>304</v>
      </c>
      <c r="T452" s="3">
        <f>Baupläne!S452</f>
        <v>5</v>
      </c>
    </row>
    <row r="453" spans="1:20" x14ac:dyDescent="0.2">
      <c r="A453" s="3">
        <f>Baupläne!A453</f>
        <v>2175</v>
      </c>
      <c r="B453" s="3" t="str">
        <f>Baupläne!C453</f>
        <v>Obsidian-Pike</v>
      </c>
      <c r="C453" s="3">
        <f>Baupläne!B453</f>
        <v>2175</v>
      </c>
      <c r="D453" s="3">
        <f>Baupläne!J453</f>
        <v>0</v>
      </c>
      <c r="E453" s="3">
        <f>Baupläne!H453</f>
        <v>60</v>
      </c>
      <c r="F453" s="3">
        <f>Baupläne!I453</f>
        <v>24</v>
      </c>
      <c r="G453" s="3">
        <f>Baupläne!E453</f>
        <v>30</v>
      </c>
      <c r="H453" s="3">
        <f>Baupläne!F453</f>
        <v>540</v>
      </c>
      <c r="I453" s="3">
        <f>0.5*Baupläne!Y453</f>
        <v>28650</v>
      </c>
      <c r="J453" s="3">
        <f>Baupläne!G453</f>
        <v>0</v>
      </c>
      <c r="K453" s="3">
        <f>IF(L453&gt;0,INDEX(data_item!$A$1:$A$1994,MATCH(Baupläne!L453,data_item!$B$1:$B$1994,0),1),0)</f>
        <v>10</v>
      </c>
      <c r="L453" s="3">
        <f>Baupläne!K453</f>
        <v>52</v>
      </c>
      <c r="M453" s="3">
        <f>IF(N453&gt;0,INDEX(data_item!$A$1:$A$1994,MATCH(Baupläne!N453,data_item!$B$1:$B$994,0),1),0)</f>
        <v>101</v>
      </c>
      <c r="N453" s="3">
        <f>Baupläne!M453</f>
        <v>6</v>
      </c>
      <c r="O453" s="3">
        <f>IF(P453&gt;0,INDEX(data_item!$A$1:$A$1994,MATCH(Baupläne!P453,data_item!$B$1:$B$1994,0),1),0)</f>
        <v>102</v>
      </c>
      <c r="P453" s="3">
        <f>Baupläne!O453</f>
        <v>12</v>
      </c>
      <c r="Q453" s="3">
        <f>IF(R453&gt;0,INDEX(data_item!$A$1:$A$1994,MATCH(Baupläne!R453,data_item!$B$1:$B$1994,0),1),0)</f>
        <v>103</v>
      </c>
      <c r="R453" s="3">
        <f>Baupläne!Q453</f>
        <v>32</v>
      </c>
      <c r="S453" s="3">
        <f>IF(T453&gt;0,INDEX(data_item!$A$1:$A$1994,MATCH(Baupläne!T453,data_item!$B$1:$B$1994,0),1),0)</f>
        <v>305</v>
      </c>
      <c r="T453" s="3">
        <f>Baupläne!S453</f>
        <v>5</v>
      </c>
    </row>
    <row r="454" spans="1:20" x14ac:dyDescent="0.2">
      <c r="A454" s="3">
        <f>Baupläne!A454</f>
        <v>0</v>
      </c>
      <c r="B454" s="3">
        <f>Baupläne!C454</f>
        <v>0</v>
      </c>
      <c r="C454" s="3">
        <f>Baupläne!B454</f>
        <v>0</v>
      </c>
      <c r="D454" s="3">
        <f>Baupläne!J454</f>
        <v>0</v>
      </c>
      <c r="E454" s="3">
        <f>Baupläne!H454</f>
        <v>0</v>
      </c>
      <c r="F454" s="3">
        <f>Baupläne!I454</f>
        <v>0</v>
      </c>
      <c r="G454" s="3">
        <f>Baupläne!E454</f>
        <v>0</v>
      </c>
      <c r="H454" s="3">
        <f>Baupläne!F454</f>
        <v>0</v>
      </c>
      <c r="I454" s="3">
        <f>0.5*Baupläne!Y454</f>
        <v>0</v>
      </c>
      <c r="J454" s="3">
        <f>Baupläne!G454</f>
        <v>0</v>
      </c>
      <c r="K454" s="3">
        <f>IF(L454&gt;0,INDEX(data_item!$A$1:$A$1994,MATCH(Baupläne!L454,data_item!$B$1:$B$1994,0),1),0)</f>
        <v>0</v>
      </c>
      <c r="L454" s="3">
        <f>Baupläne!K454</f>
        <v>0</v>
      </c>
      <c r="M454" s="3">
        <f>IF(N454&gt;0,INDEX(data_item!$A$1:$A$1994,MATCH(Baupläne!N454,data_item!$B$1:$B$994,0),1),0)</f>
        <v>0</v>
      </c>
      <c r="N454" s="3">
        <f>Baupläne!M454</f>
        <v>0</v>
      </c>
      <c r="O454" s="3">
        <f>IF(P454&gt;0,INDEX(data_item!$A$1:$A$1994,MATCH(Baupläne!P454,data_item!$B$1:$B$1994,0),1),0)</f>
        <v>0</v>
      </c>
      <c r="P454" s="3">
        <f>Baupläne!O454</f>
        <v>0</v>
      </c>
      <c r="Q454" s="3">
        <f>IF(R454&gt;0,INDEX(data_item!$A$1:$A$1994,MATCH(Baupläne!R454,data_item!$B$1:$B$1994,0),1),0)</f>
        <v>0</v>
      </c>
      <c r="R454" s="3">
        <f>Baupläne!Q454</f>
        <v>0</v>
      </c>
      <c r="S454" s="3">
        <f>IF(T454&gt;0,INDEX(data_item!$A$1:$A$1994,MATCH(Baupläne!T454,data_item!$B$1:$B$1994,0),1),0)</f>
        <v>0</v>
      </c>
      <c r="T454" s="3">
        <f>Baupläne!S454</f>
        <v>0</v>
      </c>
    </row>
    <row r="455" spans="1:20" x14ac:dyDescent="0.2">
      <c r="A455" s="3">
        <f>Baupläne!A455</f>
        <v>2181</v>
      </c>
      <c r="B455" s="3" t="str">
        <f>Baupläne!C455</f>
        <v>Achat-Bogen</v>
      </c>
      <c r="C455" s="3">
        <f>Baupläne!B455</f>
        <v>2181</v>
      </c>
      <c r="D455" s="3">
        <f>Baupläne!J455</f>
        <v>0</v>
      </c>
      <c r="E455" s="3">
        <f>Baupläne!H455</f>
        <v>64</v>
      </c>
      <c r="F455" s="3">
        <f>Baupläne!I455</f>
        <v>3</v>
      </c>
      <c r="G455" s="3">
        <f>Baupläne!E455</f>
        <v>32</v>
      </c>
      <c r="H455" s="3">
        <f>Baupläne!F455</f>
        <v>480</v>
      </c>
      <c r="I455" s="3">
        <f>0.5*Baupläne!Y455</f>
        <v>1500</v>
      </c>
      <c r="J455" s="3">
        <f>Baupläne!G455</f>
        <v>0</v>
      </c>
      <c r="K455" s="3">
        <f>IF(L455&gt;0,INDEX(data_item!$A$1:$A$1994,MATCH(Baupläne!L455,data_item!$B$1:$B$1994,0),1),0)</f>
        <v>26</v>
      </c>
      <c r="L455" s="3">
        <f>Baupläne!K455</f>
        <v>16</v>
      </c>
      <c r="M455" s="3">
        <f>IF(N455&gt;0,INDEX(data_item!$A$1:$A$1994,MATCH(Baupläne!N455,data_item!$B$1:$B$994,0),1),0)</f>
        <v>104</v>
      </c>
      <c r="N455" s="3">
        <f>Baupläne!M455</f>
        <v>12</v>
      </c>
      <c r="O455" s="3">
        <f>IF(P455&gt;0,INDEX(data_item!$A$1:$A$1994,MATCH(Baupläne!P455,data_item!$B$1:$B$1994,0),1),0)</f>
        <v>0</v>
      </c>
      <c r="P455" s="3">
        <f>Baupläne!O455</f>
        <v>0</v>
      </c>
      <c r="Q455" s="3">
        <f>IF(R455&gt;0,INDEX(data_item!$A$1:$A$1994,MATCH(Baupläne!R455,data_item!$B$1:$B$1994,0),1),0)</f>
        <v>0</v>
      </c>
      <c r="R455" s="3">
        <f>Baupläne!Q455</f>
        <v>0</v>
      </c>
      <c r="S455" s="3">
        <f>IF(T455&gt;0,INDEX(data_item!$A$1:$A$1994,MATCH(Baupläne!T455,data_item!$B$1:$B$1994,0),1),0)</f>
        <v>306</v>
      </c>
      <c r="T455" s="3">
        <f>Baupläne!S455</f>
        <v>5</v>
      </c>
    </row>
    <row r="456" spans="1:20" x14ac:dyDescent="0.2">
      <c r="A456" s="3">
        <f>Baupläne!A456</f>
        <v>2182</v>
      </c>
      <c r="B456" s="3" t="str">
        <f>Baupläne!C456</f>
        <v>Topas-Bogen</v>
      </c>
      <c r="C456" s="3">
        <f>Baupläne!B456</f>
        <v>2182</v>
      </c>
      <c r="D456" s="3">
        <f>Baupläne!J456</f>
        <v>0</v>
      </c>
      <c r="E456" s="3">
        <f>Baupläne!H456</f>
        <v>64</v>
      </c>
      <c r="F456" s="3">
        <f>Baupläne!I456</f>
        <v>8</v>
      </c>
      <c r="G456" s="3">
        <f>Baupläne!E456</f>
        <v>32</v>
      </c>
      <c r="H456" s="3">
        <f>Baupläne!F456</f>
        <v>480</v>
      </c>
      <c r="I456" s="3">
        <f>0.5*Baupläne!Y456</f>
        <v>3050</v>
      </c>
      <c r="J456" s="3">
        <f>Baupläne!G456</f>
        <v>0</v>
      </c>
      <c r="K456" s="3">
        <f>IF(L456&gt;0,INDEX(data_item!$A$1:$A$1994,MATCH(Baupläne!L456,data_item!$B$1:$B$1994,0),1),0)</f>
        <v>27</v>
      </c>
      <c r="L456" s="3">
        <f>Baupläne!K456</f>
        <v>16</v>
      </c>
      <c r="M456" s="3">
        <f>IF(N456&gt;0,INDEX(data_item!$A$1:$A$1994,MATCH(Baupläne!N456,data_item!$B$1:$B$994,0),1),0)</f>
        <v>104</v>
      </c>
      <c r="N456" s="3">
        <f>Baupläne!M456</f>
        <v>25</v>
      </c>
      <c r="O456" s="3">
        <f>IF(P456&gt;0,INDEX(data_item!$A$1:$A$1994,MATCH(Baupläne!P456,data_item!$B$1:$B$1994,0),1),0)</f>
        <v>0</v>
      </c>
      <c r="P456" s="3">
        <f>Baupläne!O456</f>
        <v>0</v>
      </c>
      <c r="Q456" s="3">
        <f>IF(R456&gt;0,INDEX(data_item!$A$1:$A$1994,MATCH(Baupläne!R456,data_item!$B$1:$B$1994,0),1),0)</f>
        <v>0</v>
      </c>
      <c r="R456" s="3">
        <f>Baupläne!Q456</f>
        <v>0</v>
      </c>
      <c r="S456" s="3">
        <f>IF(T456&gt;0,INDEX(data_item!$A$1:$A$1994,MATCH(Baupläne!T456,data_item!$B$1:$B$1994,0),1),0)</f>
        <v>307</v>
      </c>
      <c r="T456" s="3">
        <f>Baupläne!S456</f>
        <v>5</v>
      </c>
    </row>
    <row r="457" spans="1:20" x14ac:dyDescent="0.2">
      <c r="A457" s="3">
        <f>Baupläne!A457</f>
        <v>2183</v>
      </c>
      <c r="B457" s="3" t="str">
        <f>Baupläne!C457</f>
        <v>Saphir-Bogen</v>
      </c>
      <c r="C457" s="3">
        <f>Baupläne!B457</f>
        <v>2183</v>
      </c>
      <c r="D457" s="3">
        <f>Baupläne!J457</f>
        <v>0</v>
      </c>
      <c r="E457" s="3">
        <f>Baupläne!H457</f>
        <v>64</v>
      </c>
      <c r="F457" s="3">
        <f>Baupläne!I457</f>
        <v>13</v>
      </c>
      <c r="G457" s="3">
        <f>Baupläne!E457</f>
        <v>32</v>
      </c>
      <c r="H457" s="3">
        <f>Baupläne!F457</f>
        <v>480</v>
      </c>
      <c r="I457" s="3">
        <f>0.5*Baupläne!Y457</f>
        <v>6150</v>
      </c>
      <c r="J457" s="3">
        <f>Baupläne!G457</f>
        <v>0</v>
      </c>
      <c r="K457" s="3">
        <f>IF(L457&gt;0,INDEX(data_item!$A$1:$A$1994,MATCH(Baupläne!L457,data_item!$B$1:$B$1994,0),1),0)</f>
        <v>28</v>
      </c>
      <c r="L457" s="3">
        <f>Baupläne!K457</f>
        <v>22</v>
      </c>
      <c r="M457" s="3">
        <f>IF(N457&gt;0,INDEX(data_item!$A$1:$A$1994,MATCH(Baupläne!N457,data_item!$B$1:$B$994,0),1),0)</f>
        <v>104</v>
      </c>
      <c r="N457" s="3">
        <f>Baupläne!M457</f>
        <v>10</v>
      </c>
      <c r="O457" s="3">
        <f>IF(P457&gt;0,INDEX(data_item!$A$1:$A$1994,MATCH(Baupläne!P457,data_item!$B$1:$B$1994,0),1),0)</f>
        <v>105</v>
      </c>
      <c r="P457" s="3">
        <f>Baupläne!O457</f>
        <v>16</v>
      </c>
      <c r="Q457" s="3">
        <f>IF(R457&gt;0,INDEX(data_item!$A$1:$A$1994,MATCH(Baupläne!R457,data_item!$B$1:$B$1994,0),1),0)</f>
        <v>0</v>
      </c>
      <c r="R457" s="3">
        <f>Baupläne!Q457</f>
        <v>0</v>
      </c>
      <c r="S457" s="3">
        <f>IF(T457&gt;0,INDEX(data_item!$A$1:$A$1994,MATCH(Baupläne!T457,data_item!$B$1:$B$1994,0),1),0)</f>
        <v>308</v>
      </c>
      <c r="T457" s="3">
        <f>Baupläne!S457</f>
        <v>5</v>
      </c>
    </row>
    <row r="458" spans="1:20" x14ac:dyDescent="0.2">
      <c r="A458" s="3">
        <f>Baupläne!A458</f>
        <v>2184</v>
      </c>
      <c r="B458" s="3" t="str">
        <f>Baupläne!C458</f>
        <v>Lapis-Bogen</v>
      </c>
      <c r="C458" s="3">
        <f>Baupläne!B458</f>
        <v>2184</v>
      </c>
      <c r="D458" s="3">
        <f>Baupläne!J458</f>
        <v>0</v>
      </c>
      <c r="E458" s="3">
        <f>Baupläne!H458</f>
        <v>64</v>
      </c>
      <c r="F458" s="3">
        <f>Baupläne!I458</f>
        <v>18</v>
      </c>
      <c r="G458" s="3">
        <f>Baupläne!E458</f>
        <v>32</v>
      </c>
      <c r="H458" s="3">
        <f>Baupläne!F458</f>
        <v>480</v>
      </c>
      <c r="I458" s="3">
        <f>0.5*Baupläne!Y458</f>
        <v>12400</v>
      </c>
      <c r="J458" s="3">
        <f>Baupläne!G458</f>
        <v>0</v>
      </c>
      <c r="K458" s="3">
        <f>IF(L458&gt;0,INDEX(data_item!$A$1:$A$1994,MATCH(Baupläne!L458,data_item!$B$1:$B$1994,0),1),0)</f>
        <v>29</v>
      </c>
      <c r="L458" s="3">
        <f>Baupläne!K458</f>
        <v>30</v>
      </c>
      <c r="M458" s="3">
        <f>IF(N458&gt;0,INDEX(data_item!$A$1:$A$1994,MATCH(Baupläne!N458,data_item!$B$1:$B$994,0),1),0)</f>
        <v>104</v>
      </c>
      <c r="N458" s="3">
        <f>Baupläne!M458</f>
        <v>14</v>
      </c>
      <c r="O458" s="3">
        <f>IF(P458&gt;0,INDEX(data_item!$A$1:$A$1994,MATCH(Baupläne!P458,data_item!$B$1:$B$1994,0),1),0)</f>
        <v>105</v>
      </c>
      <c r="P458" s="3">
        <f>Baupläne!O458</f>
        <v>35</v>
      </c>
      <c r="Q458" s="3">
        <f>IF(R458&gt;0,INDEX(data_item!$A$1:$A$1994,MATCH(Baupläne!R458,data_item!$B$1:$B$1994,0),1),0)</f>
        <v>0</v>
      </c>
      <c r="R458" s="3">
        <f>Baupläne!Q458</f>
        <v>0</v>
      </c>
      <c r="S458" s="3">
        <f>IF(T458&gt;0,INDEX(data_item!$A$1:$A$1994,MATCH(Baupläne!T458,data_item!$B$1:$B$1994,0),1),0)</f>
        <v>309</v>
      </c>
      <c r="T458" s="3">
        <f>Baupläne!S458</f>
        <v>5</v>
      </c>
    </row>
    <row r="459" spans="1:20" x14ac:dyDescent="0.2">
      <c r="A459" s="3">
        <f>Baupläne!A459</f>
        <v>2185</v>
      </c>
      <c r="B459" s="3" t="str">
        <f>Baupläne!C459</f>
        <v>Diamant-Bogen</v>
      </c>
      <c r="C459" s="3">
        <f>Baupläne!B459</f>
        <v>2185</v>
      </c>
      <c r="D459" s="3">
        <f>Baupläne!J459</f>
        <v>0</v>
      </c>
      <c r="E459" s="3">
        <f>Baupläne!H459</f>
        <v>64</v>
      </c>
      <c r="F459" s="3">
        <f>Baupläne!I459</f>
        <v>24</v>
      </c>
      <c r="G459" s="3">
        <f>Baupläne!E459</f>
        <v>32</v>
      </c>
      <c r="H459" s="3">
        <f>Baupläne!F459</f>
        <v>480</v>
      </c>
      <c r="I459" s="3">
        <f>0.5*Baupläne!Y459</f>
        <v>28650</v>
      </c>
      <c r="J459" s="3">
        <f>Baupläne!G459</f>
        <v>0</v>
      </c>
      <c r="K459" s="3">
        <f>IF(L459&gt;0,INDEX(data_item!$A$1:$A$1994,MATCH(Baupläne!L459,data_item!$B$1:$B$1994,0),1),0)</f>
        <v>30</v>
      </c>
      <c r="L459" s="3">
        <f>Baupläne!K459</f>
        <v>52</v>
      </c>
      <c r="M459" s="3">
        <f>IF(N459&gt;0,INDEX(data_item!$A$1:$A$1994,MATCH(Baupläne!N459,data_item!$B$1:$B$994,0),1),0)</f>
        <v>104</v>
      </c>
      <c r="N459" s="3">
        <f>Baupläne!M459</f>
        <v>6</v>
      </c>
      <c r="O459" s="3">
        <f>IF(P459&gt;0,INDEX(data_item!$A$1:$A$1994,MATCH(Baupläne!P459,data_item!$B$1:$B$1994,0),1),0)</f>
        <v>105</v>
      </c>
      <c r="P459" s="3">
        <f>Baupläne!O459</f>
        <v>12</v>
      </c>
      <c r="Q459" s="3">
        <f>IF(R459&gt;0,INDEX(data_item!$A$1:$A$1994,MATCH(Baupläne!R459,data_item!$B$1:$B$1994,0),1),0)</f>
        <v>103</v>
      </c>
      <c r="R459" s="3">
        <f>Baupläne!Q459</f>
        <v>32</v>
      </c>
      <c r="S459" s="3">
        <f>IF(T459&gt;0,INDEX(data_item!$A$1:$A$1994,MATCH(Baupläne!T459,data_item!$B$1:$B$1994,0),1),0)</f>
        <v>310</v>
      </c>
      <c r="T459" s="3">
        <f>Baupläne!S459</f>
        <v>5</v>
      </c>
    </row>
    <row r="460" spans="1:20" x14ac:dyDescent="0.2">
      <c r="A460" s="3">
        <f>Baupläne!A460</f>
        <v>0</v>
      </c>
      <c r="B460" s="3">
        <f>Baupläne!C460</f>
        <v>0</v>
      </c>
      <c r="C460" s="3">
        <f>Baupläne!B460</f>
        <v>0</v>
      </c>
      <c r="D460" s="3">
        <f>Baupläne!J460</f>
        <v>0</v>
      </c>
      <c r="E460" s="3">
        <f>Baupläne!H460</f>
        <v>0</v>
      </c>
      <c r="F460" s="3">
        <f>Baupläne!I460</f>
        <v>0</v>
      </c>
      <c r="G460" s="3">
        <f>Baupläne!E460</f>
        <v>0</v>
      </c>
      <c r="H460" s="3">
        <f>Baupläne!F460</f>
        <v>0</v>
      </c>
      <c r="I460" s="3">
        <f>0.5*Baupläne!Y460</f>
        <v>0</v>
      </c>
      <c r="J460" s="3">
        <f>Baupläne!G460</f>
        <v>0</v>
      </c>
      <c r="K460" s="3">
        <f>IF(L460&gt;0,INDEX(data_item!$A$1:$A$1994,MATCH(Baupläne!L460,data_item!$B$1:$B$1994,0),1),0)</f>
        <v>0</v>
      </c>
      <c r="L460" s="3">
        <f>Baupläne!K460</f>
        <v>0</v>
      </c>
      <c r="M460" s="3">
        <f>IF(N460&gt;0,INDEX(data_item!$A$1:$A$1994,MATCH(Baupläne!N460,data_item!$B$1:$B$994,0),1),0)</f>
        <v>0</v>
      </c>
      <c r="N460" s="3">
        <f>Baupläne!M460</f>
        <v>0</v>
      </c>
      <c r="O460" s="3">
        <f>IF(P460&gt;0,INDEX(data_item!$A$1:$A$1994,MATCH(Baupläne!P460,data_item!$B$1:$B$1994,0),1),0)</f>
        <v>0</v>
      </c>
      <c r="P460" s="3">
        <f>Baupläne!O460</f>
        <v>0</v>
      </c>
      <c r="Q460" s="3">
        <f>IF(R460&gt;0,INDEX(data_item!$A$1:$A$1994,MATCH(Baupläne!R460,data_item!$B$1:$B$1994,0),1),0)</f>
        <v>0</v>
      </c>
      <c r="R460" s="3">
        <f>Baupläne!Q460</f>
        <v>0</v>
      </c>
      <c r="S460" s="3">
        <f>IF(T460&gt;0,INDEX(data_item!$A$1:$A$1994,MATCH(Baupläne!T460,data_item!$B$1:$B$1994,0),1),0)</f>
        <v>0</v>
      </c>
      <c r="T460" s="3">
        <f>Baupläne!S460</f>
        <v>0</v>
      </c>
    </row>
    <row r="461" spans="1:20" x14ac:dyDescent="0.2">
      <c r="A461" s="3">
        <f>Baupläne!A461</f>
        <v>2191</v>
      </c>
      <c r="B461" s="3" t="str">
        <f>Baupläne!C461</f>
        <v>Achat-Armbrust</v>
      </c>
      <c r="C461" s="3">
        <f>Baupläne!B461</f>
        <v>2191</v>
      </c>
      <c r="D461" s="3">
        <f>Baupläne!J461</f>
        <v>0</v>
      </c>
      <c r="E461" s="3">
        <f>Baupläne!H461</f>
        <v>65</v>
      </c>
      <c r="F461" s="3">
        <f>Baupläne!I461</f>
        <v>3</v>
      </c>
      <c r="G461" s="3">
        <f>Baupläne!E461</f>
        <v>32</v>
      </c>
      <c r="H461" s="3">
        <f>Baupläne!F461</f>
        <v>480</v>
      </c>
      <c r="I461" s="3">
        <f>0.5*Baupläne!Y461</f>
        <v>1500</v>
      </c>
      <c r="J461" s="3">
        <f>Baupläne!G461</f>
        <v>0</v>
      </c>
      <c r="K461" s="3">
        <f>IF(L461&gt;0,INDEX(data_item!$A$1:$A$1994,MATCH(Baupläne!L461,data_item!$B$1:$B$1994,0),1),0)</f>
        <v>26</v>
      </c>
      <c r="L461" s="3">
        <f>Baupläne!K461</f>
        <v>16</v>
      </c>
      <c r="M461" s="3">
        <f>IF(N461&gt;0,INDEX(data_item!$A$1:$A$1994,MATCH(Baupläne!N461,data_item!$B$1:$B$994,0),1),0)</f>
        <v>104</v>
      </c>
      <c r="N461" s="3">
        <f>Baupläne!M461</f>
        <v>12</v>
      </c>
      <c r="O461" s="3">
        <f>IF(P461&gt;0,INDEX(data_item!$A$1:$A$1994,MATCH(Baupläne!P461,data_item!$B$1:$B$1994,0),1),0)</f>
        <v>0</v>
      </c>
      <c r="P461" s="3">
        <f>Baupläne!O461</f>
        <v>0</v>
      </c>
      <c r="Q461" s="3">
        <f>IF(R461&gt;0,INDEX(data_item!$A$1:$A$1994,MATCH(Baupläne!R461,data_item!$B$1:$B$1994,0),1),0)</f>
        <v>0</v>
      </c>
      <c r="R461" s="3">
        <f>Baupläne!Q461</f>
        <v>0</v>
      </c>
      <c r="S461" s="3">
        <f>IF(T461&gt;0,INDEX(data_item!$A$1:$A$1994,MATCH(Baupläne!T461,data_item!$B$1:$B$1994,0),1),0)</f>
        <v>306</v>
      </c>
      <c r="T461" s="3">
        <f>Baupläne!S461</f>
        <v>5</v>
      </c>
    </row>
    <row r="462" spans="1:20" x14ac:dyDescent="0.2">
      <c r="A462" s="3">
        <f>Baupläne!A462</f>
        <v>2192</v>
      </c>
      <c r="B462" s="3" t="str">
        <f>Baupläne!C462</f>
        <v>Topas-Armbrust</v>
      </c>
      <c r="C462" s="3">
        <f>Baupläne!B462</f>
        <v>2192</v>
      </c>
      <c r="D462" s="3">
        <f>Baupläne!J462</f>
        <v>0</v>
      </c>
      <c r="E462" s="3">
        <f>Baupläne!H462</f>
        <v>65</v>
      </c>
      <c r="F462" s="3">
        <f>Baupläne!I462</f>
        <v>8</v>
      </c>
      <c r="G462" s="3">
        <f>Baupläne!E462</f>
        <v>32</v>
      </c>
      <c r="H462" s="3">
        <f>Baupläne!F462</f>
        <v>480</v>
      </c>
      <c r="I462" s="3">
        <f>0.5*Baupläne!Y462</f>
        <v>3050</v>
      </c>
      <c r="J462" s="3">
        <f>Baupläne!G462</f>
        <v>0</v>
      </c>
      <c r="K462" s="3">
        <f>IF(L462&gt;0,INDEX(data_item!$A$1:$A$1994,MATCH(Baupläne!L462,data_item!$B$1:$B$1994,0),1),0)</f>
        <v>27</v>
      </c>
      <c r="L462" s="3">
        <f>Baupläne!K462</f>
        <v>16</v>
      </c>
      <c r="M462" s="3">
        <f>IF(N462&gt;0,INDEX(data_item!$A$1:$A$1994,MATCH(Baupläne!N462,data_item!$B$1:$B$994,0),1),0)</f>
        <v>104</v>
      </c>
      <c r="N462" s="3">
        <f>Baupläne!M462</f>
        <v>25</v>
      </c>
      <c r="O462" s="3">
        <f>IF(P462&gt;0,INDEX(data_item!$A$1:$A$1994,MATCH(Baupläne!P462,data_item!$B$1:$B$1994,0),1),0)</f>
        <v>0</v>
      </c>
      <c r="P462" s="3">
        <f>Baupläne!O462</f>
        <v>0</v>
      </c>
      <c r="Q462" s="3">
        <f>IF(R462&gt;0,INDEX(data_item!$A$1:$A$1994,MATCH(Baupläne!R462,data_item!$B$1:$B$1994,0),1),0)</f>
        <v>0</v>
      </c>
      <c r="R462" s="3">
        <f>Baupläne!Q462</f>
        <v>0</v>
      </c>
      <c r="S462" s="3">
        <f>IF(T462&gt;0,INDEX(data_item!$A$1:$A$1994,MATCH(Baupläne!T462,data_item!$B$1:$B$1994,0),1),0)</f>
        <v>307</v>
      </c>
      <c r="T462" s="3">
        <f>Baupläne!S462</f>
        <v>5</v>
      </c>
    </row>
    <row r="463" spans="1:20" x14ac:dyDescent="0.2">
      <c r="A463" s="3">
        <f>Baupläne!A463</f>
        <v>2193</v>
      </c>
      <c r="B463" s="3" t="str">
        <f>Baupläne!C463</f>
        <v>Saphir-Armbrust</v>
      </c>
      <c r="C463" s="3">
        <f>Baupläne!B463</f>
        <v>2193</v>
      </c>
      <c r="D463" s="3">
        <f>Baupläne!J463</f>
        <v>0</v>
      </c>
      <c r="E463" s="3">
        <f>Baupläne!H463</f>
        <v>65</v>
      </c>
      <c r="F463" s="3">
        <f>Baupläne!I463</f>
        <v>13</v>
      </c>
      <c r="G463" s="3">
        <f>Baupläne!E463</f>
        <v>32</v>
      </c>
      <c r="H463" s="3">
        <f>Baupläne!F463</f>
        <v>480</v>
      </c>
      <c r="I463" s="3">
        <f>0.5*Baupläne!Y463</f>
        <v>6150</v>
      </c>
      <c r="J463" s="3">
        <f>Baupläne!G463</f>
        <v>0</v>
      </c>
      <c r="K463" s="3">
        <f>IF(L463&gt;0,INDEX(data_item!$A$1:$A$1994,MATCH(Baupläne!L463,data_item!$B$1:$B$1994,0),1),0)</f>
        <v>28</v>
      </c>
      <c r="L463" s="3">
        <f>Baupläne!K463</f>
        <v>22</v>
      </c>
      <c r="M463" s="3">
        <f>IF(N463&gt;0,INDEX(data_item!$A$1:$A$1994,MATCH(Baupläne!N463,data_item!$B$1:$B$994,0),1),0)</f>
        <v>104</v>
      </c>
      <c r="N463" s="3">
        <f>Baupläne!M463</f>
        <v>10</v>
      </c>
      <c r="O463" s="3">
        <f>IF(P463&gt;0,INDEX(data_item!$A$1:$A$1994,MATCH(Baupläne!P463,data_item!$B$1:$B$1994,0),1),0)</f>
        <v>105</v>
      </c>
      <c r="P463" s="3">
        <f>Baupläne!O463</f>
        <v>16</v>
      </c>
      <c r="Q463" s="3">
        <f>IF(R463&gt;0,INDEX(data_item!$A$1:$A$1994,MATCH(Baupläne!R463,data_item!$B$1:$B$1994,0),1),0)</f>
        <v>0</v>
      </c>
      <c r="R463" s="3">
        <f>Baupläne!Q463</f>
        <v>0</v>
      </c>
      <c r="S463" s="3">
        <f>IF(T463&gt;0,INDEX(data_item!$A$1:$A$1994,MATCH(Baupläne!T463,data_item!$B$1:$B$1994,0),1),0)</f>
        <v>308</v>
      </c>
      <c r="T463" s="3">
        <f>Baupläne!S463</f>
        <v>5</v>
      </c>
    </row>
    <row r="464" spans="1:20" x14ac:dyDescent="0.2">
      <c r="A464" s="3">
        <f>Baupläne!A464</f>
        <v>2194</v>
      </c>
      <c r="B464" s="3" t="str">
        <f>Baupläne!C464</f>
        <v>Lapis-Armbrust</v>
      </c>
      <c r="C464" s="3">
        <f>Baupläne!B464</f>
        <v>2194</v>
      </c>
      <c r="D464" s="3">
        <f>Baupläne!J464</f>
        <v>0</v>
      </c>
      <c r="E464" s="3">
        <f>Baupläne!H464</f>
        <v>65</v>
      </c>
      <c r="F464" s="3">
        <f>Baupläne!I464</f>
        <v>18</v>
      </c>
      <c r="G464" s="3">
        <f>Baupläne!E464</f>
        <v>32</v>
      </c>
      <c r="H464" s="3">
        <f>Baupläne!F464</f>
        <v>480</v>
      </c>
      <c r="I464" s="3">
        <f>0.5*Baupläne!Y464</f>
        <v>12400</v>
      </c>
      <c r="J464" s="3">
        <f>Baupläne!G464</f>
        <v>0</v>
      </c>
      <c r="K464" s="3">
        <f>IF(L464&gt;0,INDEX(data_item!$A$1:$A$1994,MATCH(Baupläne!L464,data_item!$B$1:$B$1994,0),1),0)</f>
        <v>29</v>
      </c>
      <c r="L464" s="3">
        <f>Baupläne!K464</f>
        <v>30</v>
      </c>
      <c r="M464" s="3">
        <f>IF(N464&gt;0,INDEX(data_item!$A$1:$A$1994,MATCH(Baupläne!N464,data_item!$B$1:$B$994,0),1),0)</f>
        <v>104</v>
      </c>
      <c r="N464" s="3">
        <f>Baupläne!M464</f>
        <v>14</v>
      </c>
      <c r="O464" s="3">
        <f>IF(P464&gt;0,INDEX(data_item!$A$1:$A$1994,MATCH(Baupläne!P464,data_item!$B$1:$B$1994,0),1),0)</f>
        <v>105</v>
      </c>
      <c r="P464" s="3">
        <f>Baupläne!O464</f>
        <v>35</v>
      </c>
      <c r="Q464" s="3">
        <f>IF(R464&gt;0,INDEX(data_item!$A$1:$A$1994,MATCH(Baupläne!R464,data_item!$B$1:$B$1994,0),1),0)</f>
        <v>0</v>
      </c>
      <c r="R464" s="3">
        <f>Baupläne!Q464</f>
        <v>0</v>
      </c>
      <c r="S464" s="3">
        <f>IF(T464&gt;0,INDEX(data_item!$A$1:$A$1994,MATCH(Baupläne!T464,data_item!$B$1:$B$1994,0),1),0)</f>
        <v>309</v>
      </c>
      <c r="T464" s="3">
        <f>Baupläne!S464</f>
        <v>5</v>
      </c>
    </row>
    <row r="465" spans="1:20" x14ac:dyDescent="0.2">
      <c r="A465" s="3">
        <f>Baupläne!A465</f>
        <v>2195</v>
      </c>
      <c r="B465" s="3" t="str">
        <f>Baupläne!C465</f>
        <v>Diamant-Armbrust</v>
      </c>
      <c r="C465" s="3">
        <f>Baupläne!B465</f>
        <v>2195</v>
      </c>
      <c r="D465" s="3">
        <f>Baupläne!J465</f>
        <v>0</v>
      </c>
      <c r="E465" s="3">
        <f>Baupläne!H465</f>
        <v>65</v>
      </c>
      <c r="F465" s="3">
        <f>Baupläne!I465</f>
        <v>24</v>
      </c>
      <c r="G465" s="3">
        <f>Baupläne!E465</f>
        <v>32</v>
      </c>
      <c r="H465" s="3">
        <f>Baupläne!F465</f>
        <v>480</v>
      </c>
      <c r="I465" s="3">
        <f>0.5*Baupläne!Y465</f>
        <v>28650</v>
      </c>
      <c r="J465" s="3">
        <f>Baupläne!G465</f>
        <v>0</v>
      </c>
      <c r="K465" s="3">
        <f>IF(L465&gt;0,INDEX(data_item!$A$1:$A$1994,MATCH(Baupläne!L465,data_item!$B$1:$B$1994,0),1),0)</f>
        <v>30</v>
      </c>
      <c r="L465" s="3">
        <f>Baupläne!K465</f>
        <v>52</v>
      </c>
      <c r="M465" s="3">
        <f>IF(N465&gt;0,INDEX(data_item!$A$1:$A$1994,MATCH(Baupläne!N465,data_item!$B$1:$B$994,0),1),0)</f>
        <v>104</v>
      </c>
      <c r="N465" s="3">
        <f>Baupläne!M465</f>
        <v>6</v>
      </c>
      <c r="O465" s="3">
        <f>IF(P465&gt;0,INDEX(data_item!$A$1:$A$1994,MATCH(Baupläne!P465,data_item!$B$1:$B$1994,0),1),0)</f>
        <v>105</v>
      </c>
      <c r="P465" s="3">
        <f>Baupläne!O465</f>
        <v>12</v>
      </c>
      <c r="Q465" s="3">
        <f>IF(R465&gt;0,INDEX(data_item!$A$1:$A$1994,MATCH(Baupläne!R465,data_item!$B$1:$B$1994,0),1),0)</f>
        <v>103</v>
      </c>
      <c r="R465" s="3">
        <f>Baupläne!Q465</f>
        <v>32</v>
      </c>
      <c r="S465" s="3">
        <f>IF(T465&gt;0,INDEX(data_item!$A$1:$A$1994,MATCH(Baupläne!T465,data_item!$B$1:$B$1994,0),1),0)</f>
        <v>310</v>
      </c>
      <c r="T465" s="3">
        <f>Baupläne!S465</f>
        <v>5</v>
      </c>
    </row>
    <row r="466" spans="1:20" x14ac:dyDescent="0.2">
      <c r="A466" s="3">
        <f>Baupläne!A466</f>
        <v>0</v>
      </c>
      <c r="B466" s="3">
        <f>Baupläne!C466</f>
        <v>0</v>
      </c>
      <c r="C466" s="3">
        <f>Baupläne!B466</f>
        <v>0</v>
      </c>
      <c r="D466" s="3">
        <f>Baupläne!J466</f>
        <v>0</v>
      </c>
      <c r="E466" s="3">
        <f>Baupläne!H466</f>
        <v>0</v>
      </c>
      <c r="F466" s="3">
        <f>Baupläne!I466</f>
        <v>0</v>
      </c>
      <c r="G466" s="3">
        <f>Baupläne!E466</f>
        <v>0</v>
      </c>
      <c r="H466" s="3">
        <f>Baupläne!F466</f>
        <v>0</v>
      </c>
      <c r="I466" s="3">
        <f>0.5*Baupläne!Y466</f>
        <v>0</v>
      </c>
      <c r="J466" s="3">
        <f>Baupläne!G466</f>
        <v>0</v>
      </c>
      <c r="K466" s="3">
        <f>IF(L466&gt;0,INDEX(data_item!$A$1:$A$1994,MATCH(Baupläne!L466,data_item!$B$1:$B$1994,0),1),0)</f>
        <v>0</v>
      </c>
      <c r="L466" s="3">
        <f>Baupläne!K466</f>
        <v>0</v>
      </c>
      <c r="M466" s="3">
        <f>IF(N466&gt;0,INDEX(data_item!$A$1:$A$1994,MATCH(Baupläne!N466,data_item!$B$1:$B$994,0),1),0)</f>
        <v>0</v>
      </c>
      <c r="N466" s="3">
        <f>Baupläne!M466</f>
        <v>0</v>
      </c>
      <c r="O466" s="3">
        <f>IF(P466&gt;0,INDEX(data_item!$A$1:$A$1994,MATCH(Baupläne!P466,data_item!$B$1:$B$1994,0),1),0)</f>
        <v>0</v>
      </c>
      <c r="P466" s="3">
        <f>Baupläne!O466</f>
        <v>0</v>
      </c>
      <c r="Q466" s="3">
        <f>IF(R466&gt;0,INDEX(data_item!$A$1:$A$1994,MATCH(Baupläne!R466,data_item!$B$1:$B$1994,0),1),0)</f>
        <v>0</v>
      </c>
      <c r="R466" s="3">
        <f>Baupläne!Q466</f>
        <v>0</v>
      </c>
      <c r="S466" s="3">
        <f>IF(T466&gt;0,INDEX(data_item!$A$1:$A$1994,MATCH(Baupläne!T466,data_item!$B$1:$B$1994,0),1),0)</f>
        <v>0</v>
      </c>
      <c r="T466" s="3">
        <f>Baupläne!S466</f>
        <v>0</v>
      </c>
    </row>
    <row r="467" spans="1:20" x14ac:dyDescent="0.2">
      <c r="A467" s="3">
        <f>Baupläne!A467</f>
        <v>2201</v>
      </c>
      <c r="B467" s="3" t="str">
        <f>Baupläne!C467</f>
        <v>Pyrit-Haube</v>
      </c>
      <c r="C467" s="3">
        <f>Baupläne!B467</f>
        <v>2201</v>
      </c>
      <c r="D467" s="3">
        <f>Baupläne!J467</f>
        <v>0</v>
      </c>
      <c r="E467" s="3">
        <f>Baupläne!H467</f>
        <v>66</v>
      </c>
      <c r="F467" s="3">
        <f>Baupläne!I467</f>
        <v>3</v>
      </c>
      <c r="G467" s="3">
        <f>Baupläne!E467</f>
        <v>33</v>
      </c>
      <c r="H467" s="3">
        <f>Baupläne!F467</f>
        <v>240</v>
      </c>
      <c r="I467" s="3">
        <f>0.5*Baupläne!Y467</f>
        <v>750</v>
      </c>
      <c r="J467" s="3">
        <f>Baupläne!G467</f>
        <v>0</v>
      </c>
      <c r="K467" s="3">
        <f>IF(L467&gt;0,INDEX(data_item!$A$1:$A$1994,MATCH(Baupläne!L467,data_item!$B$1:$B$1994,0),1),0)</f>
        <v>36</v>
      </c>
      <c r="L467" s="3">
        <f>Baupläne!K467</f>
        <v>8</v>
      </c>
      <c r="M467" s="3">
        <f>IF(N467&gt;0,INDEX(data_item!$A$1:$A$1994,MATCH(Baupläne!N467,data_item!$B$1:$B$994,0),1),0)</f>
        <v>114</v>
      </c>
      <c r="N467" s="3">
        <f>Baupläne!M467</f>
        <v>6</v>
      </c>
      <c r="O467" s="3">
        <f>IF(P467&gt;0,INDEX(data_item!$A$1:$A$1994,MATCH(Baupläne!P467,data_item!$B$1:$B$1994,0),1),0)</f>
        <v>0</v>
      </c>
      <c r="P467" s="3">
        <f>Baupläne!O467</f>
        <v>0</v>
      </c>
      <c r="Q467" s="3">
        <f>IF(R467&gt;0,INDEX(data_item!$A$1:$A$1994,MATCH(Baupläne!R467,data_item!$B$1:$B$1994,0),1),0)</f>
        <v>0</v>
      </c>
      <c r="R467" s="3">
        <f>Baupläne!Q467</f>
        <v>0</v>
      </c>
      <c r="S467" s="3">
        <f>IF(T467&gt;0,INDEX(data_item!$A$1:$A$1994,MATCH(Baupläne!T467,data_item!$B$1:$B$1994,0),1),0)</f>
        <v>311</v>
      </c>
      <c r="T467" s="3">
        <f>Baupläne!S467</f>
        <v>1</v>
      </c>
    </row>
    <row r="468" spans="1:20" x14ac:dyDescent="0.2">
      <c r="A468" s="3">
        <f>Baupläne!A468</f>
        <v>2202</v>
      </c>
      <c r="B468" s="3" t="str">
        <f>Baupläne!C468</f>
        <v>Pyrit-Robe</v>
      </c>
      <c r="C468" s="3">
        <f>Baupläne!B468</f>
        <v>2202</v>
      </c>
      <c r="D468" s="3">
        <f>Baupläne!J468</f>
        <v>0</v>
      </c>
      <c r="E468" s="3">
        <f>Baupläne!H468</f>
        <v>66</v>
      </c>
      <c r="F468" s="3">
        <f>Baupläne!I468</f>
        <v>3</v>
      </c>
      <c r="G468" s="3">
        <f>Baupläne!E468</f>
        <v>33</v>
      </c>
      <c r="H468" s="3">
        <f>Baupläne!F468</f>
        <v>360</v>
      </c>
      <c r="I468" s="3">
        <f>0.5*Baupläne!Y468</f>
        <v>1150</v>
      </c>
      <c r="J468" s="3">
        <f>Baupläne!G468</f>
        <v>0</v>
      </c>
      <c r="K468" s="3">
        <f>IF(L468&gt;0,INDEX(data_item!$A$1:$A$1994,MATCH(Baupläne!L468,data_item!$B$1:$B$1994,0),1),0)</f>
        <v>36</v>
      </c>
      <c r="L468" s="3">
        <f>Baupläne!K468</f>
        <v>12</v>
      </c>
      <c r="M468" s="3">
        <f>IF(N468&gt;0,INDEX(data_item!$A$1:$A$1994,MATCH(Baupläne!N468,data_item!$B$1:$B$994,0),1),0)</f>
        <v>114</v>
      </c>
      <c r="N468" s="3">
        <f>Baupläne!M468</f>
        <v>9</v>
      </c>
      <c r="O468" s="3">
        <f>IF(P468&gt;0,INDEX(data_item!$A$1:$A$1994,MATCH(Baupläne!P468,data_item!$B$1:$B$1994,0),1),0)</f>
        <v>0</v>
      </c>
      <c r="P468" s="3">
        <f>Baupläne!O468</f>
        <v>0</v>
      </c>
      <c r="Q468" s="3">
        <f>IF(R468&gt;0,INDEX(data_item!$A$1:$A$1994,MATCH(Baupläne!R468,data_item!$B$1:$B$1994,0),1),0)</f>
        <v>0</v>
      </c>
      <c r="R468" s="3">
        <f>Baupläne!Q468</f>
        <v>0</v>
      </c>
      <c r="S468" s="3">
        <f>IF(T468&gt;0,INDEX(data_item!$A$1:$A$1994,MATCH(Baupläne!T468,data_item!$B$1:$B$1994,0),1),0)</f>
        <v>311</v>
      </c>
      <c r="T468" s="3">
        <f>Baupläne!S468</f>
        <v>1</v>
      </c>
    </row>
    <row r="469" spans="1:20" x14ac:dyDescent="0.2">
      <c r="A469" s="3">
        <f>Baupläne!A469</f>
        <v>2203</v>
      </c>
      <c r="B469" s="3" t="str">
        <f>Baupläne!C469</f>
        <v>Pyrit-Handschuhe</v>
      </c>
      <c r="C469" s="3">
        <f>Baupläne!B469</f>
        <v>2203</v>
      </c>
      <c r="D469" s="3">
        <f>Baupläne!J469</f>
        <v>0</v>
      </c>
      <c r="E469" s="3">
        <f>Baupläne!H469</f>
        <v>66</v>
      </c>
      <c r="F469" s="3">
        <f>Baupläne!I469</f>
        <v>4</v>
      </c>
      <c r="G469" s="3">
        <f>Baupläne!E469</f>
        <v>33</v>
      </c>
      <c r="H469" s="3">
        <f>Baupläne!F469</f>
        <v>180</v>
      </c>
      <c r="I469" s="3">
        <f>0.5*Baupläne!Y469</f>
        <v>650</v>
      </c>
      <c r="J469" s="3">
        <f>Baupläne!G469</f>
        <v>0</v>
      </c>
      <c r="K469" s="3">
        <f>IF(L469&gt;0,INDEX(data_item!$A$1:$A$1994,MATCH(Baupläne!L469,data_item!$B$1:$B$1994,0),1),0)</f>
        <v>36</v>
      </c>
      <c r="L469" s="3">
        <f>Baupläne!K469</f>
        <v>7</v>
      </c>
      <c r="M469" s="3">
        <f>IF(N469&gt;0,INDEX(data_item!$A$1:$A$1994,MATCH(Baupläne!N469,data_item!$B$1:$B$994,0),1),0)</f>
        <v>114</v>
      </c>
      <c r="N469" s="3">
        <f>Baupläne!M469</f>
        <v>5</v>
      </c>
      <c r="O469" s="3">
        <f>IF(P469&gt;0,INDEX(data_item!$A$1:$A$1994,MATCH(Baupläne!P469,data_item!$B$1:$B$1994,0),1),0)</f>
        <v>0</v>
      </c>
      <c r="P469" s="3">
        <f>Baupläne!O469</f>
        <v>0</v>
      </c>
      <c r="Q469" s="3">
        <f>IF(R469&gt;0,INDEX(data_item!$A$1:$A$1994,MATCH(Baupläne!R469,data_item!$B$1:$B$1994,0),1),0)</f>
        <v>0</v>
      </c>
      <c r="R469" s="3">
        <f>Baupläne!Q469</f>
        <v>0</v>
      </c>
      <c r="S469" s="3">
        <f>IF(T469&gt;0,INDEX(data_item!$A$1:$A$1994,MATCH(Baupläne!T469,data_item!$B$1:$B$1994,0),1),0)</f>
        <v>311</v>
      </c>
      <c r="T469" s="3">
        <f>Baupläne!S469</f>
        <v>1</v>
      </c>
    </row>
    <row r="470" spans="1:20" x14ac:dyDescent="0.2">
      <c r="A470" s="3">
        <f>Baupläne!A470</f>
        <v>2204</v>
      </c>
      <c r="B470" s="3" t="str">
        <f>Baupläne!C470</f>
        <v>Pyrit-Hose</v>
      </c>
      <c r="C470" s="3">
        <f>Baupläne!B470</f>
        <v>2204</v>
      </c>
      <c r="D470" s="3">
        <f>Baupläne!J470</f>
        <v>0</v>
      </c>
      <c r="E470" s="3">
        <f>Baupläne!H470</f>
        <v>66</v>
      </c>
      <c r="F470" s="3">
        <f>Baupläne!I470</f>
        <v>4</v>
      </c>
      <c r="G470" s="3">
        <f>Baupläne!E470</f>
        <v>33</v>
      </c>
      <c r="H470" s="3">
        <f>Baupläne!F470</f>
        <v>240</v>
      </c>
      <c r="I470" s="3">
        <f>0.5*Baupläne!Y470</f>
        <v>850</v>
      </c>
      <c r="J470" s="3">
        <f>Baupläne!G470</f>
        <v>0</v>
      </c>
      <c r="K470" s="3">
        <f>IF(L470&gt;0,INDEX(data_item!$A$1:$A$1994,MATCH(Baupläne!L470,data_item!$B$1:$B$1994,0),1),0)</f>
        <v>36</v>
      </c>
      <c r="L470" s="3">
        <f>Baupläne!K470</f>
        <v>10</v>
      </c>
      <c r="M470" s="3">
        <f>IF(N470&gt;0,INDEX(data_item!$A$1:$A$1994,MATCH(Baupläne!N470,data_item!$B$1:$B$994,0),1),0)</f>
        <v>114</v>
      </c>
      <c r="N470" s="3">
        <f>Baupläne!M470</f>
        <v>7</v>
      </c>
      <c r="O470" s="3">
        <f>IF(P470&gt;0,INDEX(data_item!$A$1:$A$1994,MATCH(Baupläne!P470,data_item!$B$1:$B$1994,0),1),0)</f>
        <v>0</v>
      </c>
      <c r="P470" s="3">
        <f>Baupläne!O470</f>
        <v>0</v>
      </c>
      <c r="Q470" s="3">
        <f>IF(R470&gt;0,INDEX(data_item!$A$1:$A$1994,MATCH(Baupläne!R470,data_item!$B$1:$B$1994,0),1),0)</f>
        <v>0</v>
      </c>
      <c r="R470" s="3">
        <f>Baupläne!Q470</f>
        <v>0</v>
      </c>
      <c r="S470" s="3">
        <f>IF(T470&gt;0,INDEX(data_item!$A$1:$A$1994,MATCH(Baupläne!T470,data_item!$B$1:$B$1994,0),1),0)</f>
        <v>311</v>
      </c>
      <c r="T470" s="3">
        <f>Baupläne!S470</f>
        <v>1</v>
      </c>
    </row>
    <row r="471" spans="1:20" x14ac:dyDescent="0.2">
      <c r="A471" s="3">
        <f>Baupläne!A471</f>
        <v>2205</v>
      </c>
      <c r="B471" s="3" t="str">
        <f>Baupläne!C471</f>
        <v>Pyrit-Schuhe</v>
      </c>
      <c r="C471" s="3">
        <f>Baupläne!B471</f>
        <v>2205</v>
      </c>
      <c r="D471" s="3">
        <f>Baupläne!J471</f>
        <v>0</v>
      </c>
      <c r="E471" s="3">
        <f>Baupläne!H471</f>
        <v>66</v>
      </c>
      <c r="F471" s="3">
        <f>Baupläne!I471</f>
        <v>4</v>
      </c>
      <c r="G471" s="3">
        <f>Baupläne!E471</f>
        <v>33</v>
      </c>
      <c r="H471" s="3">
        <f>Baupläne!F471</f>
        <v>180</v>
      </c>
      <c r="I471" s="3">
        <f>0.5*Baupläne!Y471</f>
        <v>650</v>
      </c>
      <c r="J471" s="3">
        <f>Baupläne!G471</f>
        <v>0</v>
      </c>
      <c r="K471" s="3">
        <f>IF(L471&gt;0,INDEX(data_item!$A$1:$A$1994,MATCH(Baupläne!L471,data_item!$B$1:$B$1994,0),1),0)</f>
        <v>36</v>
      </c>
      <c r="L471" s="3">
        <f>Baupläne!K471</f>
        <v>7</v>
      </c>
      <c r="M471" s="3">
        <f>IF(N471&gt;0,INDEX(data_item!$A$1:$A$1994,MATCH(Baupläne!N471,data_item!$B$1:$B$994,0),1),0)</f>
        <v>114</v>
      </c>
      <c r="N471" s="3">
        <f>Baupläne!M471</f>
        <v>5</v>
      </c>
      <c r="O471" s="3">
        <f>IF(P471&gt;0,INDEX(data_item!$A$1:$A$1994,MATCH(Baupläne!P471,data_item!$B$1:$B$1994,0),1),0)</f>
        <v>0</v>
      </c>
      <c r="P471" s="3">
        <f>Baupläne!O471</f>
        <v>0</v>
      </c>
      <c r="Q471" s="3">
        <f>IF(R471&gt;0,INDEX(data_item!$A$1:$A$1994,MATCH(Baupläne!R471,data_item!$B$1:$B$1994,0),1),0)</f>
        <v>0</v>
      </c>
      <c r="R471" s="3">
        <f>Baupläne!Q471</f>
        <v>0</v>
      </c>
      <c r="S471" s="3">
        <f>IF(T471&gt;0,INDEX(data_item!$A$1:$A$1994,MATCH(Baupläne!T471,data_item!$B$1:$B$1994,0),1),0)</f>
        <v>311</v>
      </c>
      <c r="T471" s="3">
        <f>Baupläne!S471</f>
        <v>1</v>
      </c>
    </row>
    <row r="472" spans="1:20" x14ac:dyDescent="0.2">
      <c r="A472" s="3">
        <f>Baupläne!A472</f>
        <v>2211</v>
      </c>
      <c r="B472" s="3" t="str">
        <f>Baupläne!C472</f>
        <v>Jaspis-Haube</v>
      </c>
      <c r="C472" s="3">
        <f>Baupläne!B472</f>
        <v>2211</v>
      </c>
      <c r="D472" s="3">
        <f>Baupläne!J472</f>
        <v>0</v>
      </c>
      <c r="E472" s="3">
        <f>Baupläne!H472</f>
        <v>66</v>
      </c>
      <c r="F472" s="3">
        <f>Baupläne!I472</f>
        <v>8</v>
      </c>
      <c r="G472" s="3">
        <f>Baupläne!E472</f>
        <v>33</v>
      </c>
      <c r="H472" s="3">
        <f>Baupläne!F472</f>
        <v>240</v>
      </c>
      <c r="I472" s="3">
        <f>0.5*Baupläne!Y472</f>
        <v>1550</v>
      </c>
      <c r="J472" s="3">
        <f>Baupläne!G472</f>
        <v>0</v>
      </c>
      <c r="K472" s="3">
        <f>IF(L472&gt;0,INDEX(data_item!$A$1:$A$1994,MATCH(Baupläne!L472,data_item!$B$1:$B$1994,0),1),0)</f>
        <v>37</v>
      </c>
      <c r="L472" s="3">
        <f>Baupläne!K472</f>
        <v>8</v>
      </c>
      <c r="M472" s="3">
        <f>IF(N472&gt;0,INDEX(data_item!$A$1:$A$1994,MATCH(Baupläne!N472,data_item!$B$1:$B$994,0),1),0)</f>
        <v>114</v>
      </c>
      <c r="N472" s="3">
        <f>Baupläne!M472</f>
        <v>12</v>
      </c>
      <c r="O472" s="3">
        <f>IF(P472&gt;0,INDEX(data_item!$A$1:$A$1994,MATCH(Baupläne!P472,data_item!$B$1:$B$1994,0),1),0)</f>
        <v>0</v>
      </c>
      <c r="P472" s="3">
        <f>Baupläne!O472</f>
        <v>0</v>
      </c>
      <c r="Q472" s="3">
        <f>IF(R472&gt;0,INDEX(data_item!$A$1:$A$1994,MATCH(Baupläne!R472,data_item!$B$1:$B$1994,0),1),0)</f>
        <v>0</v>
      </c>
      <c r="R472" s="3">
        <f>Baupläne!Q472</f>
        <v>0</v>
      </c>
      <c r="S472" s="3">
        <f>IF(T472&gt;0,INDEX(data_item!$A$1:$A$1994,MATCH(Baupläne!T472,data_item!$B$1:$B$1994,0),1),0)</f>
        <v>312</v>
      </c>
      <c r="T472" s="3">
        <f>Baupläne!S472</f>
        <v>1</v>
      </c>
    </row>
    <row r="473" spans="1:20" x14ac:dyDescent="0.2">
      <c r="A473" s="3">
        <f>Baupläne!A473</f>
        <v>2212</v>
      </c>
      <c r="B473" s="3" t="str">
        <f>Baupläne!C473</f>
        <v>Jaspis-Robe</v>
      </c>
      <c r="C473" s="3">
        <f>Baupläne!B473</f>
        <v>2212</v>
      </c>
      <c r="D473" s="3">
        <f>Baupläne!J473</f>
        <v>0</v>
      </c>
      <c r="E473" s="3">
        <f>Baupläne!H473</f>
        <v>66</v>
      </c>
      <c r="F473" s="3">
        <f>Baupläne!I473</f>
        <v>8</v>
      </c>
      <c r="G473" s="3">
        <f>Baupläne!E473</f>
        <v>33</v>
      </c>
      <c r="H473" s="3">
        <f>Baupläne!F473</f>
        <v>360</v>
      </c>
      <c r="I473" s="3">
        <f>0.5*Baupläne!Y473</f>
        <v>2300</v>
      </c>
      <c r="J473" s="3">
        <f>Baupläne!G473</f>
        <v>0</v>
      </c>
      <c r="K473" s="3">
        <f>IF(L473&gt;0,INDEX(data_item!$A$1:$A$1994,MATCH(Baupläne!L473,data_item!$B$1:$B$1994,0),1),0)</f>
        <v>37</v>
      </c>
      <c r="L473" s="3">
        <f>Baupläne!K473</f>
        <v>12</v>
      </c>
      <c r="M473" s="3">
        <f>IF(N473&gt;0,INDEX(data_item!$A$1:$A$1994,MATCH(Baupläne!N473,data_item!$B$1:$B$994,0),1),0)</f>
        <v>114</v>
      </c>
      <c r="N473" s="3">
        <f>Baupläne!M473</f>
        <v>18</v>
      </c>
      <c r="O473" s="3">
        <f>IF(P473&gt;0,INDEX(data_item!$A$1:$A$1994,MATCH(Baupläne!P473,data_item!$B$1:$B$1994,0),1),0)</f>
        <v>0</v>
      </c>
      <c r="P473" s="3">
        <f>Baupläne!O473</f>
        <v>0</v>
      </c>
      <c r="Q473" s="3">
        <f>IF(R473&gt;0,INDEX(data_item!$A$1:$A$1994,MATCH(Baupläne!R473,data_item!$B$1:$B$1994,0),1),0)</f>
        <v>0</v>
      </c>
      <c r="R473" s="3">
        <f>Baupläne!Q473</f>
        <v>0</v>
      </c>
      <c r="S473" s="3">
        <f>IF(T473&gt;0,INDEX(data_item!$A$1:$A$1994,MATCH(Baupläne!T473,data_item!$B$1:$B$1994,0),1),0)</f>
        <v>312</v>
      </c>
      <c r="T473" s="3">
        <f>Baupläne!S473</f>
        <v>1</v>
      </c>
    </row>
    <row r="474" spans="1:20" x14ac:dyDescent="0.2">
      <c r="A474" s="3">
        <f>Baupläne!A474</f>
        <v>2213</v>
      </c>
      <c r="B474" s="3" t="str">
        <f>Baupläne!C474</f>
        <v>Jaspis-Handschuhe</v>
      </c>
      <c r="C474" s="3">
        <f>Baupläne!B474</f>
        <v>2213</v>
      </c>
      <c r="D474" s="3">
        <f>Baupläne!J474</f>
        <v>0</v>
      </c>
      <c r="E474" s="3">
        <f>Baupläne!H474</f>
        <v>66</v>
      </c>
      <c r="F474" s="3">
        <f>Baupläne!I474</f>
        <v>9</v>
      </c>
      <c r="G474" s="3">
        <f>Baupläne!E474</f>
        <v>33</v>
      </c>
      <c r="H474" s="3">
        <f>Baupläne!F474</f>
        <v>180</v>
      </c>
      <c r="I474" s="3">
        <f>0.5*Baupläne!Y474</f>
        <v>1300</v>
      </c>
      <c r="J474" s="3">
        <f>Baupläne!G474</f>
        <v>0</v>
      </c>
      <c r="K474" s="3">
        <f>IF(L474&gt;0,INDEX(data_item!$A$1:$A$1994,MATCH(Baupläne!L474,data_item!$B$1:$B$1994,0),1),0)</f>
        <v>37</v>
      </c>
      <c r="L474" s="3">
        <f>Baupläne!K474</f>
        <v>7</v>
      </c>
      <c r="M474" s="3">
        <f>IF(N474&gt;0,INDEX(data_item!$A$1:$A$1994,MATCH(Baupläne!N474,data_item!$B$1:$B$994,0),1),0)</f>
        <v>114</v>
      </c>
      <c r="N474" s="3">
        <f>Baupläne!M474</f>
        <v>10</v>
      </c>
      <c r="O474" s="3">
        <f>IF(P474&gt;0,INDEX(data_item!$A$1:$A$1994,MATCH(Baupläne!P474,data_item!$B$1:$B$1994,0),1),0)</f>
        <v>0</v>
      </c>
      <c r="P474" s="3">
        <f>Baupläne!O474</f>
        <v>0</v>
      </c>
      <c r="Q474" s="3">
        <f>IF(R474&gt;0,INDEX(data_item!$A$1:$A$1994,MATCH(Baupläne!R474,data_item!$B$1:$B$1994,0),1),0)</f>
        <v>0</v>
      </c>
      <c r="R474" s="3">
        <f>Baupläne!Q474</f>
        <v>0</v>
      </c>
      <c r="S474" s="3">
        <f>IF(T474&gt;0,INDEX(data_item!$A$1:$A$1994,MATCH(Baupläne!T474,data_item!$B$1:$B$1994,0),1),0)</f>
        <v>312</v>
      </c>
      <c r="T474" s="3">
        <f>Baupläne!S474</f>
        <v>1</v>
      </c>
    </row>
    <row r="475" spans="1:20" x14ac:dyDescent="0.2">
      <c r="A475" s="3">
        <f>Baupläne!A475</f>
        <v>2214</v>
      </c>
      <c r="B475" s="3" t="str">
        <f>Baupläne!C475</f>
        <v>Jaspis-Hose</v>
      </c>
      <c r="C475" s="3">
        <f>Baupläne!B475</f>
        <v>2214</v>
      </c>
      <c r="D475" s="3">
        <f>Baupläne!J475</f>
        <v>0</v>
      </c>
      <c r="E475" s="3">
        <f>Baupläne!H475</f>
        <v>66</v>
      </c>
      <c r="F475" s="3">
        <f>Baupläne!I475</f>
        <v>9</v>
      </c>
      <c r="G475" s="3">
        <f>Baupläne!E475</f>
        <v>33</v>
      </c>
      <c r="H475" s="3">
        <f>Baupläne!F475</f>
        <v>240</v>
      </c>
      <c r="I475" s="3">
        <f>0.5*Baupläne!Y475</f>
        <v>1750</v>
      </c>
      <c r="J475" s="3">
        <f>Baupläne!G475</f>
        <v>0</v>
      </c>
      <c r="K475" s="3">
        <f>IF(L475&gt;0,INDEX(data_item!$A$1:$A$1994,MATCH(Baupläne!L475,data_item!$B$1:$B$1994,0),1),0)</f>
        <v>37</v>
      </c>
      <c r="L475" s="3">
        <f>Baupläne!K475</f>
        <v>10</v>
      </c>
      <c r="M475" s="3">
        <f>IF(N475&gt;0,INDEX(data_item!$A$1:$A$1994,MATCH(Baupläne!N475,data_item!$B$1:$B$994,0),1),0)</f>
        <v>114</v>
      </c>
      <c r="N475" s="3">
        <f>Baupläne!M475</f>
        <v>14</v>
      </c>
      <c r="O475" s="3">
        <f>IF(P475&gt;0,INDEX(data_item!$A$1:$A$1994,MATCH(Baupläne!P475,data_item!$B$1:$B$1994,0),1),0)</f>
        <v>0</v>
      </c>
      <c r="P475" s="3">
        <f>Baupläne!O475</f>
        <v>0</v>
      </c>
      <c r="Q475" s="3">
        <f>IF(R475&gt;0,INDEX(data_item!$A$1:$A$1994,MATCH(Baupläne!R475,data_item!$B$1:$B$1994,0),1),0)</f>
        <v>0</v>
      </c>
      <c r="R475" s="3">
        <f>Baupläne!Q475</f>
        <v>0</v>
      </c>
      <c r="S475" s="3">
        <f>IF(T475&gt;0,INDEX(data_item!$A$1:$A$1994,MATCH(Baupläne!T475,data_item!$B$1:$B$1994,0),1),0)</f>
        <v>312</v>
      </c>
      <c r="T475" s="3">
        <f>Baupläne!S475</f>
        <v>1</v>
      </c>
    </row>
    <row r="476" spans="1:20" x14ac:dyDescent="0.2">
      <c r="A476" s="3">
        <f>Baupläne!A476</f>
        <v>2215</v>
      </c>
      <c r="B476" s="3" t="str">
        <f>Baupläne!C476</f>
        <v>Jaspis-Schuhe</v>
      </c>
      <c r="C476" s="3">
        <f>Baupläne!B476</f>
        <v>2215</v>
      </c>
      <c r="D476" s="3">
        <f>Baupläne!J476</f>
        <v>0</v>
      </c>
      <c r="E476" s="3">
        <f>Baupläne!H476</f>
        <v>66</v>
      </c>
      <c r="F476" s="3">
        <f>Baupläne!I476</f>
        <v>9</v>
      </c>
      <c r="G476" s="3">
        <f>Baupläne!E476</f>
        <v>33</v>
      </c>
      <c r="H476" s="3">
        <f>Baupläne!F476</f>
        <v>180</v>
      </c>
      <c r="I476" s="3">
        <f>0.5*Baupläne!Y476</f>
        <v>1300</v>
      </c>
      <c r="J476" s="3">
        <f>Baupläne!G476</f>
        <v>0</v>
      </c>
      <c r="K476" s="3">
        <f>IF(L476&gt;0,INDEX(data_item!$A$1:$A$1994,MATCH(Baupläne!L476,data_item!$B$1:$B$1994,0),1),0)</f>
        <v>37</v>
      </c>
      <c r="L476" s="3">
        <f>Baupläne!K476</f>
        <v>7</v>
      </c>
      <c r="M476" s="3">
        <f>IF(N476&gt;0,INDEX(data_item!$A$1:$A$1994,MATCH(Baupläne!N476,data_item!$B$1:$B$994,0),1),0)</f>
        <v>114</v>
      </c>
      <c r="N476" s="3">
        <f>Baupläne!M476</f>
        <v>10</v>
      </c>
      <c r="O476" s="3">
        <f>IF(P476&gt;0,INDEX(data_item!$A$1:$A$1994,MATCH(Baupläne!P476,data_item!$B$1:$B$1994,0),1),0)</f>
        <v>0</v>
      </c>
      <c r="P476" s="3">
        <f>Baupläne!O476</f>
        <v>0</v>
      </c>
      <c r="Q476" s="3">
        <f>IF(R476&gt;0,INDEX(data_item!$A$1:$A$1994,MATCH(Baupläne!R476,data_item!$B$1:$B$1994,0),1),0)</f>
        <v>0</v>
      </c>
      <c r="R476" s="3">
        <f>Baupläne!Q476</f>
        <v>0</v>
      </c>
      <c r="S476" s="3">
        <f>IF(T476&gt;0,INDEX(data_item!$A$1:$A$1994,MATCH(Baupläne!T476,data_item!$B$1:$B$1994,0),1),0)</f>
        <v>312</v>
      </c>
      <c r="T476" s="3">
        <f>Baupläne!S476</f>
        <v>1</v>
      </c>
    </row>
    <row r="477" spans="1:20" x14ac:dyDescent="0.2">
      <c r="A477" s="3">
        <f>Baupläne!A477</f>
        <v>2221</v>
      </c>
      <c r="B477" s="3" t="str">
        <f>Baupläne!C477</f>
        <v>Perlmutt-Haube</v>
      </c>
      <c r="C477" s="3">
        <f>Baupläne!B477</f>
        <v>2221</v>
      </c>
      <c r="D477" s="3">
        <f>Baupläne!J477</f>
        <v>0</v>
      </c>
      <c r="E477" s="3">
        <f>Baupläne!H477</f>
        <v>66</v>
      </c>
      <c r="F477" s="3">
        <f>Baupläne!I477</f>
        <v>13</v>
      </c>
      <c r="G477" s="3">
        <f>Baupläne!E477</f>
        <v>33</v>
      </c>
      <c r="H477" s="3">
        <f>Baupläne!F477</f>
        <v>240</v>
      </c>
      <c r="I477" s="3">
        <f>0.5*Baupläne!Y477</f>
        <v>3100</v>
      </c>
      <c r="J477" s="3">
        <f>Baupläne!G477</f>
        <v>0</v>
      </c>
      <c r="K477" s="3">
        <f>IF(L477&gt;0,INDEX(data_item!$A$1:$A$1994,MATCH(Baupläne!L477,data_item!$B$1:$B$1994,0),1),0)</f>
        <v>38</v>
      </c>
      <c r="L477" s="3">
        <f>Baupläne!K477</f>
        <v>11</v>
      </c>
      <c r="M477" s="3">
        <f>IF(N477&gt;0,INDEX(data_item!$A$1:$A$1994,MATCH(Baupläne!N477,data_item!$B$1:$B$994,0),1),0)</f>
        <v>114</v>
      </c>
      <c r="N477" s="3">
        <f>Baupläne!M477</f>
        <v>8</v>
      </c>
      <c r="O477" s="3">
        <f>IF(P477&gt;0,INDEX(data_item!$A$1:$A$1994,MATCH(Baupläne!P477,data_item!$B$1:$B$1994,0),1),0)</f>
        <v>115</v>
      </c>
      <c r="P477" s="3">
        <f>Baupläne!O477</f>
        <v>7</v>
      </c>
      <c r="Q477" s="3">
        <f>IF(R477&gt;0,INDEX(data_item!$A$1:$A$1994,MATCH(Baupläne!R477,data_item!$B$1:$B$1994,0),1),0)</f>
        <v>0</v>
      </c>
      <c r="R477" s="3">
        <f>Baupläne!Q477</f>
        <v>0</v>
      </c>
      <c r="S477" s="3">
        <f>IF(T477&gt;0,INDEX(data_item!$A$1:$A$1994,MATCH(Baupläne!T477,data_item!$B$1:$B$1994,0),1),0)</f>
        <v>313</v>
      </c>
      <c r="T477" s="3">
        <f>Baupläne!S477</f>
        <v>1</v>
      </c>
    </row>
    <row r="478" spans="1:20" x14ac:dyDescent="0.2">
      <c r="A478" s="3">
        <f>Baupläne!A478</f>
        <v>2222</v>
      </c>
      <c r="B478" s="3" t="str">
        <f>Baupläne!C478</f>
        <v>Perlmutt-Robe</v>
      </c>
      <c r="C478" s="3">
        <f>Baupläne!B478</f>
        <v>2222</v>
      </c>
      <c r="D478" s="3">
        <f>Baupläne!J478</f>
        <v>0</v>
      </c>
      <c r="E478" s="3">
        <f>Baupläne!H478</f>
        <v>66</v>
      </c>
      <c r="F478" s="3">
        <f>Baupläne!I478</f>
        <v>13</v>
      </c>
      <c r="G478" s="3">
        <f>Baupläne!E478</f>
        <v>33</v>
      </c>
      <c r="H478" s="3">
        <f>Baupläne!F478</f>
        <v>360</v>
      </c>
      <c r="I478" s="3">
        <f>0.5*Baupläne!Y478</f>
        <v>4600</v>
      </c>
      <c r="J478" s="3">
        <f>Baupläne!G478</f>
        <v>0</v>
      </c>
      <c r="K478" s="3">
        <f>IF(L478&gt;0,INDEX(data_item!$A$1:$A$1994,MATCH(Baupläne!L478,data_item!$B$1:$B$1994,0),1),0)</f>
        <v>38</v>
      </c>
      <c r="L478" s="3">
        <f>Baupläne!K478</f>
        <v>17</v>
      </c>
      <c r="M478" s="3">
        <f>IF(N478&gt;0,INDEX(data_item!$A$1:$A$1994,MATCH(Baupläne!N478,data_item!$B$1:$B$994,0),1),0)</f>
        <v>114</v>
      </c>
      <c r="N478" s="3">
        <f>Baupläne!M478</f>
        <v>13</v>
      </c>
      <c r="O478" s="3">
        <f>IF(P478&gt;0,INDEX(data_item!$A$1:$A$1994,MATCH(Baupläne!P478,data_item!$B$1:$B$1994,0),1),0)</f>
        <v>115</v>
      </c>
      <c r="P478" s="3">
        <f>Baupläne!O478</f>
        <v>10</v>
      </c>
      <c r="Q478" s="3">
        <f>IF(R478&gt;0,INDEX(data_item!$A$1:$A$1994,MATCH(Baupläne!R478,data_item!$B$1:$B$1994,0),1),0)</f>
        <v>0</v>
      </c>
      <c r="R478" s="3">
        <f>Baupläne!Q478</f>
        <v>0</v>
      </c>
      <c r="S478" s="3">
        <f>IF(T478&gt;0,INDEX(data_item!$A$1:$A$1994,MATCH(Baupläne!T478,data_item!$B$1:$B$1994,0),1),0)</f>
        <v>313</v>
      </c>
      <c r="T478" s="3">
        <f>Baupläne!S478</f>
        <v>1</v>
      </c>
    </row>
    <row r="479" spans="1:20" x14ac:dyDescent="0.2">
      <c r="A479" s="3">
        <f>Baupläne!A479</f>
        <v>2223</v>
      </c>
      <c r="B479" s="3" t="str">
        <f>Baupläne!C479</f>
        <v>Perlmutt-Handschuhe</v>
      </c>
      <c r="C479" s="3">
        <f>Baupläne!B479</f>
        <v>2223</v>
      </c>
      <c r="D479" s="3">
        <f>Baupläne!J479</f>
        <v>0</v>
      </c>
      <c r="E479" s="3">
        <f>Baupläne!H479</f>
        <v>66</v>
      </c>
      <c r="F479" s="3">
        <f>Baupläne!I479</f>
        <v>14</v>
      </c>
      <c r="G479" s="3">
        <f>Baupläne!E479</f>
        <v>33</v>
      </c>
      <c r="H479" s="3">
        <f>Baupläne!F479</f>
        <v>180</v>
      </c>
      <c r="I479" s="3">
        <f>0.5*Baupläne!Y479</f>
        <v>2650</v>
      </c>
      <c r="J479" s="3">
        <f>Baupläne!G479</f>
        <v>0</v>
      </c>
      <c r="K479" s="3">
        <f>IF(L479&gt;0,INDEX(data_item!$A$1:$A$1994,MATCH(Baupläne!L479,data_item!$B$1:$B$1994,0),1),0)</f>
        <v>38</v>
      </c>
      <c r="L479" s="3">
        <f>Baupläne!K479</f>
        <v>10</v>
      </c>
      <c r="M479" s="3">
        <f>IF(N479&gt;0,INDEX(data_item!$A$1:$A$1994,MATCH(Baupläne!N479,data_item!$B$1:$B$994,0),1),0)</f>
        <v>114</v>
      </c>
      <c r="N479" s="3">
        <f>Baupläne!M479</f>
        <v>12</v>
      </c>
      <c r="O479" s="3">
        <f>IF(P479&gt;0,INDEX(data_item!$A$1:$A$1994,MATCH(Baupläne!P479,data_item!$B$1:$B$1994,0),1),0)</f>
        <v>115</v>
      </c>
      <c r="P479" s="3">
        <f>Baupläne!O479</f>
        <v>4</v>
      </c>
      <c r="Q479" s="3">
        <f>IF(R479&gt;0,INDEX(data_item!$A$1:$A$1994,MATCH(Baupläne!R479,data_item!$B$1:$B$1994,0),1),0)</f>
        <v>0</v>
      </c>
      <c r="R479" s="3">
        <f>Baupläne!Q479</f>
        <v>0</v>
      </c>
      <c r="S479" s="3">
        <f>IF(T479&gt;0,INDEX(data_item!$A$1:$A$1994,MATCH(Baupläne!T479,data_item!$B$1:$B$1994,0),1),0)</f>
        <v>313</v>
      </c>
      <c r="T479" s="3">
        <f>Baupläne!S479</f>
        <v>1</v>
      </c>
    </row>
    <row r="480" spans="1:20" x14ac:dyDescent="0.2">
      <c r="A480" s="3">
        <f>Baupläne!A480</f>
        <v>2224</v>
      </c>
      <c r="B480" s="3" t="str">
        <f>Baupläne!C480</f>
        <v>Perlmutt-Hose</v>
      </c>
      <c r="C480" s="3">
        <f>Baupläne!B480</f>
        <v>2224</v>
      </c>
      <c r="D480" s="3">
        <f>Baupläne!J480</f>
        <v>0</v>
      </c>
      <c r="E480" s="3">
        <f>Baupläne!H480</f>
        <v>66</v>
      </c>
      <c r="F480" s="3">
        <f>Baupläne!I480</f>
        <v>14</v>
      </c>
      <c r="G480" s="3">
        <f>Baupläne!E480</f>
        <v>33</v>
      </c>
      <c r="H480" s="3">
        <f>Baupläne!F480</f>
        <v>240</v>
      </c>
      <c r="I480" s="3">
        <f>0.5*Baupläne!Y480</f>
        <v>3550</v>
      </c>
      <c r="J480" s="3">
        <f>Baupläne!G480</f>
        <v>0</v>
      </c>
      <c r="K480" s="3">
        <f>IF(L480&gt;0,INDEX(data_item!$A$1:$A$1994,MATCH(Baupläne!L480,data_item!$B$1:$B$1994,0),1),0)</f>
        <v>38</v>
      </c>
      <c r="L480" s="3">
        <f>Baupläne!K480</f>
        <v>13</v>
      </c>
      <c r="M480" s="3">
        <f>IF(N480&gt;0,INDEX(data_item!$A$1:$A$1994,MATCH(Baupläne!N480,data_item!$B$1:$B$994,0),1),0)</f>
        <v>114</v>
      </c>
      <c r="N480" s="3">
        <f>Baupläne!M480</f>
        <v>12</v>
      </c>
      <c r="O480" s="3">
        <f>IF(P480&gt;0,INDEX(data_item!$A$1:$A$1994,MATCH(Baupläne!P480,data_item!$B$1:$B$1994,0),1),0)</f>
        <v>115</v>
      </c>
      <c r="P480" s="3">
        <f>Baupläne!O480</f>
        <v>7</v>
      </c>
      <c r="Q480" s="3">
        <f>IF(R480&gt;0,INDEX(data_item!$A$1:$A$1994,MATCH(Baupläne!R480,data_item!$B$1:$B$1994,0),1),0)</f>
        <v>0</v>
      </c>
      <c r="R480" s="3">
        <f>Baupläne!Q480</f>
        <v>0</v>
      </c>
      <c r="S480" s="3">
        <f>IF(T480&gt;0,INDEX(data_item!$A$1:$A$1994,MATCH(Baupläne!T480,data_item!$B$1:$B$1994,0),1),0)</f>
        <v>313</v>
      </c>
      <c r="T480" s="3">
        <f>Baupläne!S480</f>
        <v>1</v>
      </c>
    </row>
    <row r="481" spans="1:20" x14ac:dyDescent="0.2">
      <c r="A481" s="3">
        <f>Baupläne!A481</f>
        <v>2225</v>
      </c>
      <c r="B481" s="3" t="str">
        <f>Baupläne!C481</f>
        <v>Perlmutt-Schuhe</v>
      </c>
      <c r="C481" s="3">
        <f>Baupläne!B481</f>
        <v>2225</v>
      </c>
      <c r="D481" s="3">
        <f>Baupläne!J481</f>
        <v>0</v>
      </c>
      <c r="E481" s="3">
        <f>Baupläne!H481</f>
        <v>66</v>
      </c>
      <c r="F481" s="3">
        <f>Baupläne!I481</f>
        <v>14</v>
      </c>
      <c r="G481" s="3">
        <f>Baupläne!E481</f>
        <v>33</v>
      </c>
      <c r="H481" s="3">
        <f>Baupläne!F481</f>
        <v>180</v>
      </c>
      <c r="I481" s="3">
        <f>0.5*Baupläne!Y481</f>
        <v>2650</v>
      </c>
      <c r="J481" s="3">
        <f>Baupläne!G481</f>
        <v>0</v>
      </c>
      <c r="K481" s="3">
        <f>IF(L481&gt;0,INDEX(data_item!$A$1:$A$1994,MATCH(Baupläne!L481,data_item!$B$1:$B$1994,0),1),0)</f>
        <v>38</v>
      </c>
      <c r="L481" s="3">
        <f>Baupläne!K481</f>
        <v>10</v>
      </c>
      <c r="M481" s="3">
        <f>IF(N481&gt;0,INDEX(data_item!$A$1:$A$1994,MATCH(Baupläne!N481,data_item!$B$1:$B$994,0),1),0)</f>
        <v>114</v>
      </c>
      <c r="N481" s="3">
        <f>Baupläne!M481</f>
        <v>12</v>
      </c>
      <c r="O481" s="3">
        <f>IF(P481&gt;0,INDEX(data_item!$A$1:$A$1994,MATCH(Baupläne!P481,data_item!$B$1:$B$1994,0),1),0)</f>
        <v>115</v>
      </c>
      <c r="P481" s="3">
        <f>Baupläne!O481</f>
        <v>4</v>
      </c>
      <c r="Q481" s="3">
        <f>IF(R481&gt;0,INDEX(data_item!$A$1:$A$1994,MATCH(Baupläne!R481,data_item!$B$1:$B$1994,0),1),0)</f>
        <v>0</v>
      </c>
      <c r="R481" s="3">
        <f>Baupläne!Q481</f>
        <v>0</v>
      </c>
      <c r="S481" s="3">
        <f>IF(T481&gt;0,INDEX(data_item!$A$1:$A$1994,MATCH(Baupläne!T481,data_item!$B$1:$B$1994,0),1),0)</f>
        <v>313</v>
      </c>
      <c r="T481" s="3">
        <f>Baupläne!S481</f>
        <v>1</v>
      </c>
    </row>
    <row r="482" spans="1:20" x14ac:dyDescent="0.2">
      <c r="A482" s="3">
        <f>Baupläne!A482</f>
        <v>2231</v>
      </c>
      <c r="B482" s="3" t="str">
        <f>Baupläne!C482</f>
        <v>Jade-Haube</v>
      </c>
      <c r="C482" s="3">
        <f>Baupläne!B482</f>
        <v>2231</v>
      </c>
      <c r="D482" s="3">
        <f>Baupläne!J482</f>
        <v>0</v>
      </c>
      <c r="E482" s="3">
        <f>Baupläne!H482</f>
        <v>66</v>
      </c>
      <c r="F482" s="3">
        <f>Baupläne!I482</f>
        <v>18</v>
      </c>
      <c r="G482" s="3">
        <f>Baupläne!E482</f>
        <v>33</v>
      </c>
      <c r="H482" s="3">
        <f>Baupläne!F482</f>
        <v>240</v>
      </c>
      <c r="I482" s="3">
        <f>0.5*Baupläne!Y482</f>
        <v>6200</v>
      </c>
      <c r="J482" s="3">
        <f>Baupläne!G482</f>
        <v>0</v>
      </c>
      <c r="K482" s="3">
        <f>IF(L482&gt;0,INDEX(data_item!$A$1:$A$1994,MATCH(Baupläne!L482,data_item!$B$1:$B$1994,0),1),0)</f>
        <v>39</v>
      </c>
      <c r="L482" s="3">
        <f>Baupläne!K482</f>
        <v>15</v>
      </c>
      <c r="M482" s="3">
        <f>IF(N482&gt;0,INDEX(data_item!$A$1:$A$1994,MATCH(Baupläne!N482,data_item!$B$1:$B$994,0),1),0)</f>
        <v>114</v>
      </c>
      <c r="N482" s="3">
        <f>Baupläne!M482</f>
        <v>14</v>
      </c>
      <c r="O482" s="3">
        <f>IF(P482&gt;0,INDEX(data_item!$A$1:$A$1994,MATCH(Baupläne!P482,data_item!$B$1:$B$1994,0),1),0)</f>
        <v>115</v>
      </c>
      <c r="P482" s="3">
        <f>Baupläne!O482</f>
        <v>15</v>
      </c>
      <c r="Q482" s="3">
        <f>IF(R482&gt;0,INDEX(data_item!$A$1:$A$1994,MATCH(Baupläne!R482,data_item!$B$1:$B$1994,0),1),0)</f>
        <v>0</v>
      </c>
      <c r="R482" s="3">
        <f>Baupläne!Q482</f>
        <v>0</v>
      </c>
      <c r="S482" s="3">
        <f>IF(T482&gt;0,INDEX(data_item!$A$1:$A$1994,MATCH(Baupläne!T482,data_item!$B$1:$B$1994,0),1),0)</f>
        <v>314</v>
      </c>
      <c r="T482" s="3">
        <f>Baupläne!S482</f>
        <v>1</v>
      </c>
    </row>
    <row r="483" spans="1:20" x14ac:dyDescent="0.2">
      <c r="A483" s="3">
        <f>Baupläne!A483</f>
        <v>2232</v>
      </c>
      <c r="B483" s="3" t="str">
        <f>Baupläne!C483</f>
        <v>Jade-Robe</v>
      </c>
      <c r="C483" s="3">
        <f>Baupläne!B483</f>
        <v>2232</v>
      </c>
      <c r="D483" s="3">
        <f>Baupläne!J483</f>
        <v>0</v>
      </c>
      <c r="E483" s="3">
        <f>Baupläne!H483</f>
        <v>66</v>
      </c>
      <c r="F483" s="3">
        <f>Baupläne!I483</f>
        <v>18</v>
      </c>
      <c r="G483" s="3">
        <f>Baupläne!E483</f>
        <v>33</v>
      </c>
      <c r="H483" s="3">
        <f>Baupläne!F483</f>
        <v>360</v>
      </c>
      <c r="I483" s="3">
        <f>0.5*Baupläne!Y483</f>
        <v>9300</v>
      </c>
      <c r="J483" s="3">
        <f>Baupläne!G483</f>
        <v>0</v>
      </c>
      <c r="K483" s="3">
        <f>IF(L483&gt;0,INDEX(data_item!$A$1:$A$1994,MATCH(Baupläne!L483,data_item!$B$1:$B$1994,0),1),0)</f>
        <v>39</v>
      </c>
      <c r="L483" s="3">
        <f>Baupläne!K483</f>
        <v>23</v>
      </c>
      <c r="M483" s="3">
        <f>IF(N483&gt;0,INDEX(data_item!$A$1:$A$1994,MATCH(Baupläne!N483,data_item!$B$1:$B$994,0),1),0)</f>
        <v>114</v>
      </c>
      <c r="N483" s="3">
        <f>Baupläne!M483</f>
        <v>14</v>
      </c>
      <c r="O483" s="3">
        <f>IF(P483&gt;0,INDEX(data_item!$A$1:$A$1994,MATCH(Baupläne!P483,data_item!$B$1:$B$1994,0),1),0)</f>
        <v>115</v>
      </c>
      <c r="P483" s="3">
        <f>Baupläne!O483</f>
        <v>25</v>
      </c>
      <c r="Q483" s="3">
        <f>IF(R483&gt;0,INDEX(data_item!$A$1:$A$1994,MATCH(Baupläne!R483,data_item!$B$1:$B$1994,0),1),0)</f>
        <v>0</v>
      </c>
      <c r="R483" s="3">
        <f>Baupläne!Q483</f>
        <v>0</v>
      </c>
      <c r="S483" s="3">
        <f>IF(T483&gt;0,INDEX(data_item!$A$1:$A$1994,MATCH(Baupläne!T483,data_item!$B$1:$B$1994,0),1),0)</f>
        <v>314</v>
      </c>
      <c r="T483" s="3">
        <f>Baupläne!S483</f>
        <v>1</v>
      </c>
    </row>
    <row r="484" spans="1:20" x14ac:dyDescent="0.2">
      <c r="A484" s="3">
        <f>Baupläne!A484</f>
        <v>2233</v>
      </c>
      <c r="B484" s="3" t="str">
        <f>Baupläne!C484</f>
        <v>Jade-Handschuhe</v>
      </c>
      <c r="C484" s="3">
        <f>Baupläne!B484</f>
        <v>2233</v>
      </c>
      <c r="D484" s="3">
        <f>Baupläne!J484</f>
        <v>0</v>
      </c>
      <c r="E484" s="3">
        <f>Baupläne!H484</f>
        <v>66</v>
      </c>
      <c r="F484" s="3">
        <f>Baupläne!I484</f>
        <v>19</v>
      </c>
      <c r="G484" s="3">
        <f>Baupläne!E484</f>
        <v>33</v>
      </c>
      <c r="H484" s="3">
        <f>Baupläne!F484</f>
        <v>180</v>
      </c>
      <c r="I484" s="3">
        <f>0.5*Baupläne!Y484</f>
        <v>5350</v>
      </c>
      <c r="J484" s="3">
        <f>Baupläne!G484</f>
        <v>0</v>
      </c>
      <c r="K484" s="3">
        <f>IF(L484&gt;0,INDEX(data_item!$A$1:$A$1994,MATCH(Baupläne!L484,data_item!$B$1:$B$1994,0),1),0)</f>
        <v>39</v>
      </c>
      <c r="L484" s="3">
        <f>Baupläne!K484</f>
        <v>13</v>
      </c>
      <c r="M484" s="3">
        <f>IF(N484&gt;0,INDEX(data_item!$A$1:$A$1994,MATCH(Baupläne!N484,data_item!$B$1:$B$994,0),1),0)</f>
        <v>114</v>
      </c>
      <c r="N484" s="3">
        <f>Baupläne!M484</f>
        <v>14</v>
      </c>
      <c r="O484" s="3">
        <f>IF(P484&gt;0,INDEX(data_item!$A$1:$A$1994,MATCH(Baupläne!P484,data_item!$B$1:$B$1994,0),1),0)</f>
        <v>115</v>
      </c>
      <c r="P484" s="3">
        <f>Baupläne!O484</f>
        <v>12</v>
      </c>
      <c r="Q484" s="3">
        <f>IF(R484&gt;0,INDEX(data_item!$A$1:$A$1994,MATCH(Baupläne!R484,data_item!$B$1:$B$1994,0),1),0)</f>
        <v>0</v>
      </c>
      <c r="R484" s="3">
        <f>Baupläne!Q484</f>
        <v>0</v>
      </c>
      <c r="S484" s="3">
        <f>IF(T484&gt;0,INDEX(data_item!$A$1:$A$1994,MATCH(Baupläne!T484,data_item!$B$1:$B$1994,0),1),0)</f>
        <v>314</v>
      </c>
      <c r="T484" s="3">
        <f>Baupläne!S484</f>
        <v>1</v>
      </c>
    </row>
    <row r="485" spans="1:20" x14ac:dyDescent="0.2">
      <c r="A485" s="3">
        <f>Baupläne!A485</f>
        <v>2234</v>
      </c>
      <c r="B485" s="3" t="str">
        <f>Baupläne!C485</f>
        <v>Jade-Hose</v>
      </c>
      <c r="C485" s="3">
        <f>Baupläne!B485</f>
        <v>2234</v>
      </c>
      <c r="D485" s="3">
        <f>Baupläne!J485</f>
        <v>0</v>
      </c>
      <c r="E485" s="3">
        <f>Baupläne!H485</f>
        <v>66</v>
      </c>
      <c r="F485" s="3">
        <f>Baupläne!I485</f>
        <v>19</v>
      </c>
      <c r="G485" s="3">
        <f>Baupläne!E485</f>
        <v>33</v>
      </c>
      <c r="H485" s="3">
        <f>Baupläne!F485</f>
        <v>240</v>
      </c>
      <c r="I485" s="3">
        <f>0.5*Baupläne!Y485</f>
        <v>7100</v>
      </c>
      <c r="J485" s="3">
        <f>Baupläne!G485</f>
        <v>0</v>
      </c>
      <c r="K485" s="3">
        <f>IF(L485&gt;0,INDEX(data_item!$A$1:$A$1994,MATCH(Baupläne!L485,data_item!$B$1:$B$1994,0),1),0)</f>
        <v>39</v>
      </c>
      <c r="L485" s="3">
        <f>Baupläne!K485</f>
        <v>17</v>
      </c>
      <c r="M485" s="3">
        <f>IF(N485&gt;0,INDEX(data_item!$A$1:$A$1994,MATCH(Baupläne!N485,data_item!$B$1:$B$994,0),1),0)</f>
        <v>114</v>
      </c>
      <c r="N485" s="3">
        <f>Baupläne!M485</f>
        <v>14</v>
      </c>
      <c r="O485" s="3">
        <f>IF(P485&gt;0,INDEX(data_item!$A$1:$A$1994,MATCH(Baupläne!P485,data_item!$B$1:$B$1994,0),1),0)</f>
        <v>115</v>
      </c>
      <c r="P485" s="3">
        <f>Baupläne!O485</f>
        <v>18</v>
      </c>
      <c r="Q485" s="3">
        <f>IF(R485&gt;0,INDEX(data_item!$A$1:$A$1994,MATCH(Baupläne!R485,data_item!$B$1:$B$1994,0),1),0)</f>
        <v>0</v>
      </c>
      <c r="R485" s="3">
        <f>Baupläne!Q485</f>
        <v>0</v>
      </c>
      <c r="S485" s="3">
        <f>IF(T485&gt;0,INDEX(data_item!$A$1:$A$1994,MATCH(Baupläne!T485,data_item!$B$1:$B$1994,0),1),0)</f>
        <v>314</v>
      </c>
      <c r="T485" s="3">
        <f>Baupläne!S485</f>
        <v>1</v>
      </c>
    </row>
    <row r="486" spans="1:20" x14ac:dyDescent="0.2">
      <c r="A486" s="3">
        <f>Baupläne!A486</f>
        <v>2235</v>
      </c>
      <c r="B486" s="3" t="str">
        <f>Baupläne!C486</f>
        <v>Jade-Schuhe</v>
      </c>
      <c r="C486" s="3">
        <f>Baupläne!B486</f>
        <v>2235</v>
      </c>
      <c r="D486" s="3">
        <f>Baupläne!J486</f>
        <v>0</v>
      </c>
      <c r="E486" s="3">
        <f>Baupläne!H486</f>
        <v>66</v>
      </c>
      <c r="F486" s="3">
        <f>Baupläne!I486</f>
        <v>19</v>
      </c>
      <c r="G486" s="3">
        <f>Baupläne!E486</f>
        <v>33</v>
      </c>
      <c r="H486" s="3">
        <f>Baupläne!F486</f>
        <v>180</v>
      </c>
      <c r="I486" s="3">
        <f>0.5*Baupläne!Y486</f>
        <v>5350</v>
      </c>
      <c r="J486" s="3">
        <f>Baupläne!G486</f>
        <v>0</v>
      </c>
      <c r="K486" s="3">
        <f>IF(L486&gt;0,INDEX(data_item!$A$1:$A$1994,MATCH(Baupläne!L486,data_item!$B$1:$B$1994,0),1),0)</f>
        <v>39</v>
      </c>
      <c r="L486" s="3">
        <f>Baupläne!K486</f>
        <v>13</v>
      </c>
      <c r="M486" s="3">
        <f>IF(N486&gt;0,INDEX(data_item!$A$1:$A$1994,MATCH(Baupläne!N486,data_item!$B$1:$B$994,0),1),0)</f>
        <v>114</v>
      </c>
      <c r="N486" s="3">
        <f>Baupläne!M486</f>
        <v>14</v>
      </c>
      <c r="O486" s="3">
        <f>IF(P486&gt;0,INDEX(data_item!$A$1:$A$1994,MATCH(Baupläne!P486,data_item!$B$1:$B$1994,0),1),0)</f>
        <v>115</v>
      </c>
      <c r="P486" s="3">
        <f>Baupläne!O486</f>
        <v>12</v>
      </c>
      <c r="Q486" s="3">
        <f>IF(R486&gt;0,INDEX(data_item!$A$1:$A$1994,MATCH(Baupläne!R486,data_item!$B$1:$B$1994,0),1),0)</f>
        <v>0</v>
      </c>
      <c r="R486" s="3">
        <f>Baupläne!Q486</f>
        <v>0</v>
      </c>
      <c r="S486" s="3">
        <f>IF(T486&gt;0,INDEX(data_item!$A$1:$A$1994,MATCH(Baupläne!T486,data_item!$B$1:$B$1994,0),1),0)</f>
        <v>314</v>
      </c>
      <c r="T486" s="3">
        <f>Baupläne!S486</f>
        <v>1</v>
      </c>
    </row>
    <row r="487" spans="1:20" x14ac:dyDescent="0.2">
      <c r="A487" s="3">
        <f>Baupläne!A487</f>
        <v>2241</v>
      </c>
      <c r="B487" s="3" t="str">
        <f>Baupläne!C487</f>
        <v>Onyx-Haube</v>
      </c>
      <c r="C487" s="3">
        <f>Baupläne!B487</f>
        <v>2241</v>
      </c>
      <c r="D487" s="3">
        <f>Baupläne!J487</f>
        <v>0</v>
      </c>
      <c r="E487" s="3">
        <f>Baupläne!H487</f>
        <v>66</v>
      </c>
      <c r="F487" s="3">
        <f>Baupläne!I487</f>
        <v>23</v>
      </c>
      <c r="G487" s="3">
        <f>Baupläne!E487</f>
        <v>33</v>
      </c>
      <c r="H487" s="3">
        <f>Baupläne!F487</f>
        <v>240</v>
      </c>
      <c r="I487" s="3">
        <f>0.5*Baupläne!Y487</f>
        <v>12450</v>
      </c>
      <c r="J487" s="3">
        <f>Baupläne!G487</f>
        <v>0</v>
      </c>
      <c r="K487" s="3">
        <f>IF(L487&gt;0,INDEX(data_item!$A$1:$A$1994,MATCH(Baupläne!L487,data_item!$B$1:$B$1994,0),1),0)</f>
        <v>40</v>
      </c>
      <c r="L487" s="3">
        <f>Baupläne!K487</f>
        <v>22</v>
      </c>
      <c r="M487" s="3">
        <f>IF(N487&gt;0,INDEX(data_item!$A$1:$A$1994,MATCH(Baupläne!N487,data_item!$B$1:$B$994,0),1),0)</f>
        <v>114</v>
      </c>
      <c r="N487" s="3">
        <f>Baupläne!M487</f>
        <v>8</v>
      </c>
      <c r="O487" s="3">
        <f>IF(P487&gt;0,INDEX(data_item!$A$1:$A$1994,MATCH(Baupläne!P487,data_item!$B$1:$B$1994,0),1),0)</f>
        <v>115</v>
      </c>
      <c r="P487" s="3">
        <f>Baupläne!O487</f>
        <v>8</v>
      </c>
      <c r="Q487" s="3">
        <f>IF(R487&gt;0,INDEX(data_item!$A$1:$A$1994,MATCH(Baupläne!R487,data_item!$B$1:$B$1994,0),1),0)</f>
        <v>116</v>
      </c>
      <c r="R487" s="3">
        <f>Baupläne!Q487</f>
        <v>12</v>
      </c>
      <c r="S487" s="3">
        <f>IF(T487&gt;0,INDEX(data_item!$A$1:$A$1994,MATCH(Baupläne!T487,data_item!$B$1:$B$1994,0),1),0)</f>
        <v>315</v>
      </c>
      <c r="T487" s="3">
        <f>Baupläne!S487</f>
        <v>1</v>
      </c>
    </row>
    <row r="488" spans="1:20" x14ac:dyDescent="0.2">
      <c r="A488" s="3">
        <f>Baupläne!A488</f>
        <v>2242</v>
      </c>
      <c r="B488" s="3" t="str">
        <f>Baupläne!C488</f>
        <v>Onyx-Robe</v>
      </c>
      <c r="C488" s="3">
        <f>Baupläne!B488</f>
        <v>2242</v>
      </c>
      <c r="D488" s="3">
        <f>Baupläne!J488</f>
        <v>0</v>
      </c>
      <c r="E488" s="3">
        <f>Baupläne!H488</f>
        <v>66</v>
      </c>
      <c r="F488" s="3">
        <f>Baupläne!I488</f>
        <v>23</v>
      </c>
      <c r="G488" s="3">
        <f>Baupläne!E488</f>
        <v>33</v>
      </c>
      <c r="H488" s="3">
        <f>Baupläne!F488</f>
        <v>360</v>
      </c>
      <c r="I488" s="3">
        <f>0.5*Baupläne!Y488</f>
        <v>18650</v>
      </c>
      <c r="J488" s="3">
        <f>Baupläne!G488</f>
        <v>0</v>
      </c>
      <c r="K488" s="3">
        <f>IF(L488&gt;0,INDEX(data_item!$A$1:$A$1994,MATCH(Baupläne!L488,data_item!$B$1:$B$1994,0),1),0)</f>
        <v>40</v>
      </c>
      <c r="L488" s="3">
        <f>Baupläne!K488</f>
        <v>34</v>
      </c>
      <c r="M488" s="3">
        <f>IF(N488&gt;0,INDEX(data_item!$A$1:$A$1994,MATCH(Baupläne!N488,data_item!$B$1:$B$994,0),1),0)</f>
        <v>114</v>
      </c>
      <c r="N488" s="3">
        <f>Baupläne!M488</f>
        <v>15</v>
      </c>
      <c r="O488" s="3">
        <f>IF(P488&gt;0,INDEX(data_item!$A$1:$A$1994,MATCH(Baupläne!P488,data_item!$B$1:$B$1994,0),1),0)</f>
        <v>115</v>
      </c>
      <c r="P488" s="3">
        <f>Baupläne!O488</f>
        <v>10</v>
      </c>
      <c r="Q488" s="3">
        <f>IF(R488&gt;0,INDEX(data_item!$A$1:$A$1994,MATCH(Baupläne!R488,data_item!$B$1:$B$1994,0),1),0)</f>
        <v>116</v>
      </c>
      <c r="R488" s="3">
        <f>Baupläne!Q488</f>
        <v>18</v>
      </c>
      <c r="S488" s="3">
        <f>IF(T488&gt;0,INDEX(data_item!$A$1:$A$1994,MATCH(Baupläne!T488,data_item!$B$1:$B$1994,0),1),0)</f>
        <v>315</v>
      </c>
      <c r="T488" s="3">
        <f>Baupläne!S488</f>
        <v>1</v>
      </c>
    </row>
    <row r="489" spans="1:20" x14ac:dyDescent="0.2">
      <c r="A489" s="3">
        <f>Baupläne!A489</f>
        <v>2243</v>
      </c>
      <c r="B489" s="3" t="str">
        <f>Baupläne!C489</f>
        <v>Onyx-Handschuhe</v>
      </c>
      <c r="C489" s="3">
        <f>Baupläne!B489</f>
        <v>2243</v>
      </c>
      <c r="D489" s="3">
        <f>Baupläne!J489</f>
        <v>0</v>
      </c>
      <c r="E489" s="3">
        <f>Baupläne!H489</f>
        <v>66</v>
      </c>
      <c r="F489" s="3">
        <f>Baupläne!I489</f>
        <v>24</v>
      </c>
      <c r="G489" s="3">
        <f>Baupläne!E489</f>
        <v>33</v>
      </c>
      <c r="H489" s="3">
        <f>Baupläne!F489</f>
        <v>180</v>
      </c>
      <c r="I489" s="3">
        <f>0.5*Baupläne!Y489</f>
        <v>10750</v>
      </c>
      <c r="J489" s="3">
        <f>Baupläne!G489</f>
        <v>0</v>
      </c>
      <c r="K489" s="3">
        <f>IF(L489&gt;0,INDEX(data_item!$A$1:$A$1994,MATCH(Baupläne!L489,data_item!$B$1:$B$1994,0),1),0)</f>
        <v>40</v>
      </c>
      <c r="L489" s="3">
        <f>Baupläne!K489</f>
        <v>20</v>
      </c>
      <c r="M489" s="3">
        <f>IF(N489&gt;0,INDEX(data_item!$A$1:$A$1994,MATCH(Baupläne!N489,data_item!$B$1:$B$994,0),1),0)</f>
        <v>114</v>
      </c>
      <c r="N489" s="3">
        <f>Baupläne!M489</f>
        <v>6</v>
      </c>
      <c r="O489" s="3">
        <f>IF(P489&gt;0,INDEX(data_item!$A$1:$A$1994,MATCH(Baupläne!P489,data_item!$B$1:$B$1994,0),1),0)</f>
        <v>115</v>
      </c>
      <c r="P489" s="3">
        <f>Baupläne!O489</f>
        <v>8</v>
      </c>
      <c r="Q489" s="3">
        <f>IF(R489&gt;0,INDEX(data_item!$A$1:$A$1994,MATCH(Baupläne!R489,data_item!$B$1:$B$1994,0),1),0)</f>
        <v>116</v>
      </c>
      <c r="R489" s="3">
        <f>Baupläne!Q489</f>
        <v>10</v>
      </c>
      <c r="S489" s="3">
        <f>IF(T489&gt;0,INDEX(data_item!$A$1:$A$1994,MATCH(Baupläne!T489,data_item!$B$1:$B$1994,0),1),0)</f>
        <v>315</v>
      </c>
      <c r="T489" s="3">
        <f>Baupläne!S489</f>
        <v>1</v>
      </c>
    </row>
    <row r="490" spans="1:20" x14ac:dyDescent="0.2">
      <c r="A490" s="3">
        <f>Baupläne!A490</f>
        <v>2244</v>
      </c>
      <c r="B490" s="3" t="str">
        <f>Baupläne!C490</f>
        <v>Onyx-Hose</v>
      </c>
      <c r="C490" s="3">
        <f>Baupläne!B490</f>
        <v>2244</v>
      </c>
      <c r="D490" s="3">
        <f>Baupläne!J490</f>
        <v>0</v>
      </c>
      <c r="E490" s="3">
        <f>Baupläne!H490</f>
        <v>66</v>
      </c>
      <c r="F490" s="3">
        <f>Baupläne!I490</f>
        <v>24</v>
      </c>
      <c r="G490" s="3">
        <f>Baupläne!E490</f>
        <v>33</v>
      </c>
      <c r="H490" s="3">
        <f>Baupläne!F490</f>
        <v>240</v>
      </c>
      <c r="I490" s="3">
        <f>0.5*Baupläne!Y490</f>
        <v>14300</v>
      </c>
      <c r="J490" s="3">
        <f>Baupläne!G490</f>
        <v>0</v>
      </c>
      <c r="K490" s="3">
        <f>IF(L490&gt;0,INDEX(data_item!$A$1:$A$1994,MATCH(Baupläne!L490,data_item!$B$1:$B$1994,0),1),0)</f>
        <v>40</v>
      </c>
      <c r="L490" s="3">
        <f>Baupläne!K490</f>
        <v>26</v>
      </c>
      <c r="M490" s="3">
        <f>IF(N490&gt;0,INDEX(data_item!$A$1:$A$1994,MATCH(Baupläne!N490,data_item!$B$1:$B$994,0),1),0)</f>
        <v>114</v>
      </c>
      <c r="N490" s="3">
        <f>Baupläne!M490</f>
        <v>8</v>
      </c>
      <c r="O490" s="3">
        <f>IF(P490&gt;0,INDEX(data_item!$A$1:$A$1994,MATCH(Baupläne!P490,data_item!$B$1:$B$1994,0),1),0)</f>
        <v>115</v>
      </c>
      <c r="P490" s="3">
        <f>Baupläne!O490</f>
        <v>6</v>
      </c>
      <c r="Q490" s="3">
        <f>IF(R490&gt;0,INDEX(data_item!$A$1:$A$1994,MATCH(Baupläne!R490,data_item!$B$1:$B$1994,0),1),0)</f>
        <v>116</v>
      </c>
      <c r="R490" s="3">
        <f>Baupläne!Q490</f>
        <v>15</v>
      </c>
      <c r="S490" s="3">
        <f>IF(T490&gt;0,INDEX(data_item!$A$1:$A$1994,MATCH(Baupläne!T490,data_item!$B$1:$B$1994,0),1),0)</f>
        <v>315</v>
      </c>
      <c r="T490" s="3">
        <f>Baupläne!S490</f>
        <v>1</v>
      </c>
    </row>
    <row r="491" spans="1:20" x14ac:dyDescent="0.2">
      <c r="A491" s="3">
        <f>Baupläne!A491</f>
        <v>2245</v>
      </c>
      <c r="B491" s="3" t="str">
        <f>Baupläne!C491</f>
        <v>Onyx-Schuhe</v>
      </c>
      <c r="C491" s="3">
        <f>Baupläne!B491</f>
        <v>2245</v>
      </c>
      <c r="D491" s="3">
        <f>Baupläne!J491</f>
        <v>0</v>
      </c>
      <c r="E491" s="3">
        <f>Baupläne!H491</f>
        <v>66</v>
      </c>
      <c r="F491" s="3">
        <f>Baupläne!I491</f>
        <v>24</v>
      </c>
      <c r="G491" s="3">
        <f>Baupläne!E491</f>
        <v>33</v>
      </c>
      <c r="H491" s="3">
        <f>Baupläne!F491</f>
        <v>180</v>
      </c>
      <c r="I491" s="3">
        <f>0.5*Baupläne!Y491</f>
        <v>10750</v>
      </c>
      <c r="J491" s="3">
        <f>Baupläne!G491</f>
        <v>0</v>
      </c>
      <c r="K491" s="3">
        <f>IF(L491&gt;0,INDEX(data_item!$A$1:$A$1994,MATCH(Baupläne!L491,data_item!$B$1:$B$1994,0),1),0)</f>
        <v>40</v>
      </c>
      <c r="L491" s="3">
        <f>Baupläne!K491</f>
        <v>20</v>
      </c>
      <c r="M491" s="3">
        <f>IF(N491&gt;0,INDEX(data_item!$A$1:$A$1994,MATCH(Baupläne!N491,data_item!$B$1:$B$994,0),1),0)</f>
        <v>114</v>
      </c>
      <c r="N491" s="3">
        <f>Baupläne!M491</f>
        <v>6</v>
      </c>
      <c r="O491" s="3">
        <f>IF(P491&gt;0,INDEX(data_item!$A$1:$A$1994,MATCH(Baupläne!P491,data_item!$B$1:$B$1994,0),1),0)</f>
        <v>115</v>
      </c>
      <c r="P491" s="3">
        <f>Baupläne!O491</f>
        <v>8</v>
      </c>
      <c r="Q491" s="3">
        <f>IF(R491&gt;0,INDEX(data_item!$A$1:$A$1994,MATCH(Baupläne!R491,data_item!$B$1:$B$1994,0),1),0)</f>
        <v>116</v>
      </c>
      <c r="R491" s="3">
        <f>Baupläne!Q491</f>
        <v>10</v>
      </c>
      <c r="S491" s="3">
        <f>IF(T491&gt;0,INDEX(data_item!$A$1:$A$1994,MATCH(Baupläne!T491,data_item!$B$1:$B$1994,0),1),0)</f>
        <v>315</v>
      </c>
      <c r="T491" s="3">
        <f>Baupläne!S491</f>
        <v>1</v>
      </c>
    </row>
    <row r="492" spans="1:20" x14ac:dyDescent="0.2">
      <c r="A492" s="3">
        <f>Baupläne!A492</f>
        <v>0</v>
      </c>
      <c r="B492" s="3">
        <f>Baupläne!C492</f>
        <v>0</v>
      </c>
      <c r="C492" s="3">
        <f>Baupläne!B492</f>
        <v>0</v>
      </c>
      <c r="D492" s="3">
        <f>Baupläne!J492</f>
        <v>0</v>
      </c>
      <c r="E492" s="3">
        <f>Baupläne!H492</f>
        <v>0</v>
      </c>
      <c r="F492" s="3">
        <f>Baupläne!I492</f>
        <v>0</v>
      </c>
      <c r="G492" s="3">
        <f>Baupläne!E492</f>
        <v>0</v>
      </c>
      <c r="H492" s="3">
        <f>Baupläne!F492</f>
        <v>0</v>
      </c>
      <c r="I492" s="3">
        <f>0.5*Baupläne!Y492</f>
        <v>0</v>
      </c>
      <c r="J492" s="3">
        <f>Baupläne!G492</f>
        <v>0</v>
      </c>
      <c r="K492" s="3">
        <f>IF(L492&gt;0,INDEX(data_item!$A$1:$A$1994,MATCH(Baupläne!L492,data_item!$B$1:$B$1994,0),1),0)</f>
        <v>0</v>
      </c>
      <c r="L492" s="3">
        <f>Baupläne!K492</f>
        <v>0</v>
      </c>
      <c r="M492" s="3">
        <f>IF(N492&gt;0,INDEX(data_item!$A$1:$A$1994,MATCH(Baupläne!N492,data_item!$B$1:$B$994,0),1),0)</f>
        <v>0</v>
      </c>
      <c r="N492" s="3">
        <f>Baupläne!M492</f>
        <v>0</v>
      </c>
      <c r="O492" s="3">
        <f>IF(P492&gt;0,INDEX(data_item!$A$1:$A$1994,MATCH(Baupläne!P492,data_item!$B$1:$B$1994,0),1),0)</f>
        <v>0</v>
      </c>
      <c r="P492" s="3">
        <f>Baupläne!O492</f>
        <v>0</v>
      </c>
      <c r="Q492" s="3">
        <f>IF(R492&gt;0,INDEX(data_item!$A$1:$A$1994,MATCH(Baupläne!R492,data_item!$B$1:$B$1994,0),1),0)</f>
        <v>0</v>
      </c>
      <c r="R492" s="3">
        <f>Baupläne!Q492</f>
        <v>0</v>
      </c>
      <c r="S492" s="3">
        <f>IF(T492&gt;0,INDEX(data_item!$A$1:$A$1994,MATCH(Baupläne!T492,data_item!$B$1:$B$1994,0),1),0)</f>
        <v>0</v>
      </c>
      <c r="T492" s="3">
        <f>Baupläne!S492</f>
        <v>0</v>
      </c>
    </row>
    <row r="493" spans="1:20" x14ac:dyDescent="0.2">
      <c r="A493" s="3">
        <f>Baupläne!A493</f>
        <v>2301</v>
      </c>
      <c r="B493" s="3" t="str">
        <f>Baupläne!C493</f>
        <v>Achat-Lederhelm</v>
      </c>
      <c r="C493" s="3">
        <f>Baupläne!B493</f>
        <v>2301</v>
      </c>
      <c r="D493" s="3">
        <f>Baupläne!J493</f>
        <v>0</v>
      </c>
      <c r="E493" s="3">
        <f>Baupläne!H493</f>
        <v>61</v>
      </c>
      <c r="F493" s="3">
        <f>Baupläne!I493</f>
        <v>3</v>
      </c>
      <c r="G493" s="3">
        <f>Baupläne!E493</f>
        <v>31</v>
      </c>
      <c r="H493" s="3">
        <f>Baupläne!F493</f>
        <v>240</v>
      </c>
      <c r="I493" s="3">
        <f>0.5*Baupläne!Y493</f>
        <v>750</v>
      </c>
      <c r="J493" s="3">
        <f>Baupläne!G493</f>
        <v>0</v>
      </c>
      <c r="K493" s="3">
        <f>IF(L493&gt;0,INDEX(data_item!$A$1:$A$1994,MATCH(Baupläne!L493,data_item!$B$1:$B$1994,0),1),0)</f>
        <v>46</v>
      </c>
      <c r="L493" s="3">
        <f>Baupläne!K493</f>
        <v>8</v>
      </c>
      <c r="M493" s="3">
        <f>IF(N493&gt;0,INDEX(data_item!$A$1:$A$1994,MATCH(Baupläne!N493,data_item!$B$1:$B$994,0),1),0)</f>
        <v>117</v>
      </c>
      <c r="N493" s="3">
        <f>Baupläne!M493</f>
        <v>6</v>
      </c>
      <c r="O493" s="3">
        <f>IF(P493&gt;0,INDEX(data_item!$A$1:$A$1994,MATCH(Baupläne!P493,data_item!$B$1:$B$1994,0),1),0)</f>
        <v>0</v>
      </c>
      <c r="P493" s="3">
        <f>Baupläne!O493</f>
        <v>0</v>
      </c>
      <c r="Q493" s="3">
        <f>IF(R493&gt;0,INDEX(data_item!$A$1:$A$1994,MATCH(Baupläne!R493,data_item!$B$1:$B$1994,0),1),0)</f>
        <v>0</v>
      </c>
      <c r="R493" s="3">
        <f>Baupläne!Q493</f>
        <v>0</v>
      </c>
      <c r="S493" s="3">
        <f>IF(T493&gt;0,INDEX(data_item!$A$1:$A$1994,MATCH(Baupläne!T493,data_item!$B$1:$B$1994,0),1),0)</f>
        <v>306</v>
      </c>
      <c r="T493" s="3">
        <f>Baupläne!S493</f>
        <v>1</v>
      </c>
    </row>
    <row r="494" spans="1:20" x14ac:dyDescent="0.2">
      <c r="A494" s="3">
        <f>Baupläne!A494</f>
        <v>2302</v>
      </c>
      <c r="B494" s="3" t="str">
        <f>Baupläne!C494</f>
        <v>Achat-Lederharnisch</v>
      </c>
      <c r="C494" s="3">
        <f>Baupläne!B494</f>
        <v>2302</v>
      </c>
      <c r="D494" s="3">
        <f>Baupläne!J494</f>
        <v>0</v>
      </c>
      <c r="E494" s="3">
        <f>Baupläne!H494</f>
        <v>61</v>
      </c>
      <c r="F494" s="3">
        <f>Baupläne!I494</f>
        <v>3</v>
      </c>
      <c r="G494" s="3">
        <f>Baupläne!E494</f>
        <v>31</v>
      </c>
      <c r="H494" s="3">
        <f>Baupläne!F494</f>
        <v>360</v>
      </c>
      <c r="I494" s="3">
        <f>0.5*Baupläne!Y494</f>
        <v>1150</v>
      </c>
      <c r="J494" s="3">
        <f>Baupläne!G494</f>
        <v>0</v>
      </c>
      <c r="K494" s="3">
        <f>IF(L494&gt;0,INDEX(data_item!$A$1:$A$1994,MATCH(Baupläne!L494,data_item!$B$1:$B$1994,0),1),0)</f>
        <v>46</v>
      </c>
      <c r="L494" s="3">
        <f>Baupläne!K494</f>
        <v>12</v>
      </c>
      <c r="M494" s="3">
        <f>IF(N494&gt;0,INDEX(data_item!$A$1:$A$1994,MATCH(Baupläne!N494,data_item!$B$1:$B$994,0),1),0)</f>
        <v>117</v>
      </c>
      <c r="N494" s="3">
        <f>Baupläne!M494</f>
        <v>9</v>
      </c>
      <c r="O494" s="3">
        <f>IF(P494&gt;0,INDEX(data_item!$A$1:$A$1994,MATCH(Baupläne!P494,data_item!$B$1:$B$1994,0),1),0)</f>
        <v>0</v>
      </c>
      <c r="P494" s="3">
        <f>Baupläne!O494</f>
        <v>0</v>
      </c>
      <c r="Q494" s="3">
        <f>IF(R494&gt;0,INDEX(data_item!$A$1:$A$1994,MATCH(Baupläne!R494,data_item!$B$1:$B$1994,0),1),0)</f>
        <v>0</v>
      </c>
      <c r="R494" s="3">
        <f>Baupläne!Q494</f>
        <v>0</v>
      </c>
      <c r="S494" s="3">
        <f>IF(T494&gt;0,INDEX(data_item!$A$1:$A$1994,MATCH(Baupläne!T494,data_item!$B$1:$B$1994,0),1),0)</f>
        <v>306</v>
      </c>
      <c r="T494" s="3">
        <f>Baupläne!S494</f>
        <v>1</v>
      </c>
    </row>
    <row r="495" spans="1:20" x14ac:dyDescent="0.2">
      <c r="A495" s="3">
        <f>Baupläne!A495</f>
        <v>2303</v>
      </c>
      <c r="B495" s="3" t="str">
        <f>Baupläne!C495</f>
        <v>Achat-Lederstulpen</v>
      </c>
      <c r="C495" s="3">
        <f>Baupläne!B495</f>
        <v>2303</v>
      </c>
      <c r="D495" s="3">
        <f>Baupläne!J495</f>
        <v>0</v>
      </c>
      <c r="E495" s="3">
        <f>Baupläne!H495</f>
        <v>61</v>
      </c>
      <c r="F495" s="3">
        <f>Baupläne!I495</f>
        <v>4</v>
      </c>
      <c r="G495" s="3">
        <f>Baupläne!E495</f>
        <v>31</v>
      </c>
      <c r="H495" s="3">
        <f>Baupläne!F495</f>
        <v>180</v>
      </c>
      <c r="I495" s="3">
        <f>0.5*Baupläne!Y495</f>
        <v>650</v>
      </c>
      <c r="J495" s="3">
        <f>Baupläne!G495</f>
        <v>0</v>
      </c>
      <c r="K495" s="3">
        <f>IF(L495&gt;0,INDEX(data_item!$A$1:$A$1994,MATCH(Baupläne!L495,data_item!$B$1:$B$1994,0),1),0)</f>
        <v>46</v>
      </c>
      <c r="L495" s="3">
        <f>Baupläne!K495</f>
        <v>7</v>
      </c>
      <c r="M495" s="3">
        <f>IF(N495&gt;0,INDEX(data_item!$A$1:$A$1994,MATCH(Baupläne!N495,data_item!$B$1:$B$994,0),1),0)</f>
        <v>117</v>
      </c>
      <c r="N495" s="3">
        <f>Baupläne!M495</f>
        <v>5</v>
      </c>
      <c r="O495" s="3">
        <f>IF(P495&gt;0,INDEX(data_item!$A$1:$A$1994,MATCH(Baupläne!P495,data_item!$B$1:$B$1994,0),1),0)</f>
        <v>0</v>
      </c>
      <c r="P495" s="3">
        <f>Baupläne!O495</f>
        <v>0</v>
      </c>
      <c r="Q495" s="3">
        <f>IF(R495&gt;0,INDEX(data_item!$A$1:$A$1994,MATCH(Baupläne!R495,data_item!$B$1:$B$1994,0),1),0)</f>
        <v>0</v>
      </c>
      <c r="R495" s="3">
        <f>Baupläne!Q495</f>
        <v>0</v>
      </c>
      <c r="S495" s="3">
        <f>IF(T495&gt;0,INDEX(data_item!$A$1:$A$1994,MATCH(Baupläne!T495,data_item!$B$1:$B$1994,0),1),0)</f>
        <v>306</v>
      </c>
      <c r="T495" s="3">
        <f>Baupläne!S495</f>
        <v>1</v>
      </c>
    </row>
    <row r="496" spans="1:20" x14ac:dyDescent="0.2">
      <c r="A496" s="3">
        <f>Baupläne!A496</f>
        <v>2304</v>
      </c>
      <c r="B496" s="3" t="str">
        <f>Baupläne!C496</f>
        <v>Achat-Lederbeinlinge</v>
      </c>
      <c r="C496" s="3">
        <f>Baupläne!B496</f>
        <v>2304</v>
      </c>
      <c r="D496" s="3">
        <f>Baupläne!J496</f>
        <v>0</v>
      </c>
      <c r="E496" s="3">
        <f>Baupläne!H496</f>
        <v>61</v>
      </c>
      <c r="F496" s="3">
        <f>Baupläne!I496</f>
        <v>4</v>
      </c>
      <c r="G496" s="3">
        <f>Baupläne!E496</f>
        <v>31</v>
      </c>
      <c r="H496" s="3">
        <f>Baupläne!F496</f>
        <v>240</v>
      </c>
      <c r="I496" s="3">
        <f>0.5*Baupläne!Y496</f>
        <v>850</v>
      </c>
      <c r="J496" s="3">
        <f>Baupläne!G496</f>
        <v>0</v>
      </c>
      <c r="K496" s="3">
        <f>IF(L496&gt;0,INDEX(data_item!$A$1:$A$1994,MATCH(Baupläne!L496,data_item!$B$1:$B$1994,0),1),0)</f>
        <v>46</v>
      </c>
      <c r="L496" s="3">
        <f>Baupläne!K496</f>
        <v>10</v>
      </c>
      <c r="M496" s="3">
        <f>IF(N496&gt;0,INDEX(data_item!$A$1:$A$1994,MATCH(Baupläne!N496,data_item!$B$1:$B$994,0),1),0)</f>
        <v>117</v>
      </c>
      <c r="N496" s="3">
        <f>Baupläne!M496</f>
        <v>7</v>
      </c>
      <c r="O496" s="3">
        <f>IF(P496&gt;0,INDEX(data_item!$A$1:$A$1994,MATCH(Baupläne!P496,data_item!$B$1:$B$1994,0),1),0)</f>
        <v>0</v>
      </c>
      <c r="P496" s="3">
        <f>Baupläne!O496</f>
        <v>0</v>
      </c>
      <c r="Q496" s="3">
        <f>IF(R496&gt;0,INDEX(data_item!$A$1:$A$1994,MATCH(Baupläne!R496,data_item!$B$1:$B$1994,0),1),0)</f>
        <v>0</v>
      </c>
      <c r="R496" s="3">
        <f>Baupläne!Q496</f>
        <v>0</v>
      </c>
      <c r="S496" s="3">
        <f>IF(T496&gt;0,INDEX(data_item!$A$1:$A$1994,MATCH(Baupläne!T496,data_item!$B$1:$B$1994,0),1),0)</f>
        <v>306</v>
      </c>
      <c r="T496" s="3">
        <f>Baupläne!S496</f>
        <v>1</v>
      </c>
    </row>
    <row r="497" spans="1:20" x14ac:dyDescent="0.2">
      <c r="A497" s="3">
        <f>Baupläne!A497</f>
        <v>2305</v>
      </c>
      <c r="B497" s="3" t="str">
        <f>Baupläne!C497</f>
        <v>Achat-Lederstiefel</v>
      </c>
      <c r="C497" s="3">
        <f>Baupläne!B497</f>
        <v>2305</v>
      </c>
      <c r="D497" s="3">
        <f>Baupläne!J497</f>
        <v>0</v>
      </c>
      <c r="E497" s="3">
        <f>Baupläne!H497</f>
        <v>61</v>
      </c>
      <c r="F497" s="3">
        <f>Baupläne!I497</f>
        <v>4</v>
      </c>
      <c r="G497" s="3">
        <f>Baupläne!E497</f>
        <v>31</v>
      </c>
      <c r="H497" s="3">
        <f>Baupläne!F497</f>
        <v>180</v>
      </c>
      <c r="I497" s="3">
        <f>0.5*Baupläne!Y497</f>
        <v>650</v>
      </c>
      <c r="J497" s="3">
        <f>Baupläne!G497</f>
        <v>0</v>
      </c>
      <c r="K497" s="3">
        <f>IF(L497&gt;0,INDEX(data_item!$A$1:$A$1994,MATCH(Baupläne!L497,data_item!$B$1:$B$1994,0),1),0)</f>
        <v>46</v>
      </c>
      <c r="L497" s="3">
        <f>Baupläne!K497</f>
        <v>7</v>
      </c>
      <c r="M497" s="3">
        <f>IF(N497&gt;0,INDEX(data_item!$A$1:$A$1994,MATCH(Baupläne!N497,data_item!$B$1:$B$994,0),1),0)</f>
        <v>117</v>
      </c>
      <c r="N497" s="3">
        <f>Baupläne!M497</f>
        <v>5</v>
      </c>
      <c r="O497" s="3">
        <f>IF(P497&gt;0,INDEX(data_item!$A$1:$A$1994,MATCH(Baupläne!P497,data_item!$B$1:$B$1994,0),1),0)</f>
        <v>0</v>
      </c>
      <c r="P497" s="3">
        <f>Baupläne!O497</f>
        <v>0</v>
      </c>
      <c r="Q497" s="3">
        <f>IF(R497&gt;0,INDEX(data_item!$A$1:$A$1994,MATCH(Baupläne!R497,data_item!$B$1:$B$1994,0),1),0)</f>
        <v>0</v>
      </c>
      <c r="R497" s="3">
        <f>Baupläne!Q497</f>
        <v>0</v>
      </c>
      <c r="S497" s="3">
        <f>IF(T497&gt;0,INDEX(data_item!$A$1:$A$1994,MATCH(Baupläne!T497,data_item!$B$1:$B$1994,0),1),0)</f>
        <v>306</v>
      </c>
      <c r="T497" s="3">
        <f>Baupläne!S497</f>
        <v>1</v>
      </c>
    </row>
    <row r="498" spans="1:20" x14ac:dyDescent="0.2">
      <c r="A498" s="3">
        <f>Baupläne!A498</f>
        <v>2311</v>
      </c>
      <c r="B498" s="3" t="str">
        <f>Baupläne!C498</f>
        <v>Topas-Lederhelm</v>
      </c>
      <c r="C498" s="3">
        <f>Baupläne!B498</f>
        <v>2311</v>
      </c>
      <c r="D498" s="3">
        <f>Baupläne!J498</f>
        <v>0</v>
      </c>
      <c r="E498" s="3">
        <f>Baupläne!H498</f>
        <v>61</v>
      </c>
      <c r="F498" s="3">
        <f>Baupläne!I498</f>
        <v>8</v>
      </c>
      <c r="G498" s="3">
        <f>Baupläne!E498</f>
        <v>31</v>
      </c>
      <c r="H498" s="3">
        <f>Baupläne!F498</f>
        <v>240</v>
      </c>
      <c r="I498" s="3">
        <f>0.5*Baupläne!Y498</f>
        <v>1550</v>
      </c>
      <c r="J498" s="3">
        <f>Baupläne!G498</f>
        <v>0</v>
      </c>
      <c r="K498" s="3">
        <f>IF(L498&gt;0,INDEX(data_item!$A$1:$A$1994,MATCH(Baupläne!L498,data_item!$B$1:$B$1994,0),1),0)</f>
        <v>47</v>
      </c>
      <c r="L498" s="3">
        <f>Baupläne!K498</f>
        <v>8</v>
      </c>
      <c r="M498" s="3">
        <f>IF(N498&gt;0,INDEX(data_item!$A$1:$A$1994,MATCH(Baupläne!N498,data_item!$B$1:$B$994,0),1),0)</f>
        <v>117</v>
      </c>
      <c r="N498" s="3">
        <f>Baupläne!M498</f>
        <v>12</v>
      </c>
      <c r="O498" s="3">
        <f>IF(P498&gt;0,INDEX(data_item!$A$1:$A$1994,MATCH(Baupläne!P498,data_item!$B$1:$B$1994,0),1),0)</f>
        <v>0</v>
      </c>
      <c r="P498" s="3">
        <f>Baupläne!O498</f>
        <v>0</v>
      </c>
      <c r="Q498" s="3">
        <f>IF(R498&gt;0,INDEX(data_item!$A$1:$A$1994,MATCH(Baupläne!R498,data_item!$B$1:$B$1994,0),1),0)</f>
        <v>0</v>
      </c>
      <c r="R498" s="3">
        <f>Baupläne!Q498</f>
        <v>0</v>
      </c>
      <c r="S498" s="3">
        <f>IF(T498&gt;0,INDEX(data_item!$A$1:$A$1994,MATCH(Baupläne!T498,data_item!$B$1:$B$1994,0),1),0)</f>
        <v>307</v>
      </c>
      <c r="T498" s="3">
        <f>Baupläne!S498</f>
        <v>1</v>
      </c>
    </row>
    <row r="499" spans="1:20" x14ac:dyDescent="0.2">
      <c r="A499" s="3">
        <f>Baupläne!A499</f>
        <v>2312</v>
      </c>
      <c r="B499" s="3" t="str">
        <f>Baupläne!C499</f>
        <v>Topas-Lederharnisch</v>
      </c>
      <c r="C499" s="3">
        <f>Baupläne!B499</f>
        <v>2312</v>
      </c>
      <c r="D499" s="3">
        <f>Baupläne!J499</f>
        <v>0</v>
      </c>
      <c r="E499" s="3">
        <f>Baupläne!H499</f>
        <v>61</v>
      </c>
      <c r="F499" s="3">
        <f>Baupläne!I499</f>
        <v>8</v>
      </c>
      <c r="G499" s="3">
        <f>Baupläne!E499</f>
        <v>31</v>
      </c>
      <c r="H499" s="3">
        <f>Baupläne!F499</f>
        <v>360</v>
      </c>
      <c r="I499" s="3">
        <f>0.5*Baupläne!Y499</f>
        <v>2300</v>
      </c>
      <c r="J499" s="3">
        <f>Baupläne!G499</f>
        <v>0</v>
      </c>
      <c r="K499" s="3">
        <f>IF(L499&gt;0,INDEX(data_item!$A$1:$A$1994,MATCH(Baupläne!L499,data_item!$B$1:$B$1994,0),1),0)</f>
        <v>47</v>
      </c>
      <c r="L499" s="3">
        <f>Baupläne!K499</f>
        <v>12</v>
      </c>
      <c r="M499" s="3">
        <f>IF(N499&gt;0,INDEX(data_item!$A$1:$A$1994,MATCH(Baupläne!N499,data_item!$B$1:$B$994,0),1),0)</f>
        <v>117</v>
      </c>
      <c r="N499" s="3">
        <f>Baupläne!M499</f>
        <v>18</v>
      </c>
      <c r="O499" s="3">
        <f>IF(P499&gt;0,INDEX(data_item!$A$1:$A$1994,MATCH(Baupläne!P499,data_item!$B$1:$B$1994,0),1),0)</f>
        <v>0</v>
      </c>
      <c r="P499" s="3">
        <f>Baupläne!O499</f>
        <v>0</v>
      </c>
      <c r="Q499" s="3">
        <f>IF(R499&gt;0,INDEX(data_item!$A$1:$A$1994,MATCH(Baupläne!R499,data_item!$B$1:$B$1994,0),1),0)</f>
        <v>0</v>
      </c>
      <c r="R499" s="3">
        <f>Baupläne!Q499</f>
        <v>0</v>
      </c>
      <c r="S499" s="3">
        <f>IF(T499&gt;0,INDEX(data_item!$A$1:$A$1994,MATCH(Baupläne!T499,data_item!$B$1:$B$1994,0),1),0)</f>
        <v>307</v>
      </c>
      <c r="T499" s="3">
        <f>Baupläne!S499</f>
        <v>1</v>
      </c>
    </row>
    <row r="500" spans="1:20" x14ac:dyDescent="0.2">
      <c r="A500" s="3">
        <f>Baupläne!A500</f>
        <v>2313</v>
      </c>
      <c r="B500" s="3" t="str">
        <f>Baupläne!C500</f>
        <v>Topas-Lederstulpen</v>
      </c>
      <c r="C500" s="3">
        <f>Baupläne!B500</f>
        <v>2313</v>
      </c>
      <c r="D500" s="3">
        <f>Baupläne!J500</f>
        <v>0</v>
      </c>
      <c r="E500" s="3">
        <f>Baupläne!H500</f>
        <v>61</v>
      </c>
      <c r="F500" s="3">
        <f>Baupläne!I500</f>
        <v>9</v>
      </c>
      <c r="G500" s="3">
        <f>Baupläne!E500</f>
        <v>31</v>
      </c>
      <c r="H500" s="3">
        <f>Baupläne!F500</f>
        <v>180</v>
      </c>
      <c r="I500" s="3">
        <f>0.5*Baupläne!Y500</f>
        <v>1300</v>
      </c>
      <c r="J500" s="3">
        <f>Baupläne!G500</f>
        <v>0</v>
      </c>
      <c r="K500" s="3">
        <f>IF(L500&gt;0,INDEX(data_item!$A$1:$A$1994,MATCH(Baupläne!L500,data_item!$B$1:$B$1994,0),1),0)</f>
        <v>47</v>
      </c>
      <c r="L500" s="3">
        <f>Baupläne!K500</f>
        <v>7</v>
      </c>
      <c r="M500" s="3">
        <f>IF(N500&gt;0,INDEX(data_item!$A$1:$A$1994,MATCH(Baupläne!N500,data_item!$B$1:$B$994,0),1),0)</f>
        <v>117</v>
      </c>
      <c r="N500" s="3">
        <f>Baupläne!M500</f>
        <v>10</v>
      </c>
      <c r="O500" s="3">
        <f>IF(P500&gt;0,INDEX(data_item!$A$1:$A$1994,MATCH(Baupläne!P500,data_item!$B$1:$B$1994,0),1),0)</f>
        <v>0</v>
      </c>
      <c r="P500" s="3">
        <f>Baupläne!O500</f>
        <v>0</v>
      </c>
      <c r="Q500" s="3">
        <f>IF(R500&gt;0,INDEX(data_item!$A$1:$A$1994,MATCH(Baupläne!R500,data_item!$B$1:$B$1994,0),1),0)</f>
        <v>0</v>
      </c>
      <c r="R500" s="3">
        <f>Baupläne!Q500</f>
        <v>0</v>
      </c>
      <c r="S500" s="3">
        <f>IF(T500&gt;0,INDEX(data_item!$A$1:$A$1994,MATCH(Baupläne!T500,data_item!$B$1:$B$1994,0),1),0)</f>
        <v>307</v>
      </c>
      <c r="T500" s="3">
        <f>Baupläne!S500</f>
        <v>1</v>
      </c>
    </row>
    <row r="501" spans="1:20" x14ac:dyDescent="0.2">
      <c r="A501" s="3">
        <f>Baupläne!A501</f>
        <v>2314</v>
      </c>
      <c r="B501" s="3" t="str">
        <f>Baupläne!C501</f>
        <v>Topas-Lederbeinlinge</v>
      </c>
      <c r="C501" s="3">
        <f>Baupläne!B501</f>
        <v>2314</v>
      </c>
      <c r="D501" s="3">
        <f>Baupläne!J501</f>
        <v>0</v>
      </c>
      <c r="E501" s="3">
        <f>Baupläne!H501</f>
        <v>61</v>
      </c>
      <c r="F501" s="3">
        <f>Baupläne!I501</f>
        <v>9</v>
      </c>
      <c r="G501" s="3">
        <f>Baupläne!E501</f>
        <v>31</v>
      </c>
      <c r="H501" s="3">
        <f>Baupläne!F501</f>
        <v>240</v>
      </c>
      <c r="I501" s="3">
        <f>0.5*Baupläne!Y501</f>
        <v>1750</v>
      </c>
      <c r="J501" s="3">
        <f>Baupläne!G501</f>
        <v>0</v>
      </c>
      <c r="K501" s="3">
        <f>IF(L501&gt;0,INDEX(data_item!$A$1:$A$1994,MATCH(Baupläne!L501,data_item!$B$1:$B$1994,0),1),0)</f>
        <v>47</v>
      </c>
      <c r="L501" s="3">
        <f>Baupläne!K501</f>
        <v>10</v>
      </c>
      <c r="M501" s="3">
        <f>IF(N501&gt;0,INDEX(data_item!$A$1:$A$1994,MATCH(Baupläne!N501,data_item!$B$1:$B$994,0),1),0)</f>
        <v>117</v>
      </c>
      <c r="N501" s="3">
        <f>Baupläne!M501</f>
        <v>14</v>
      </c>
      <c r="O501" s="3">
        <f>IF(P501&gt;0,INDEX(data_item!$A$1:$A$1994,MATCH(Baupläne!P501,data_item!$B$1:$B$1994,0),1),0)</f>
        <v>0</v>
      </c>
      <c r="P501" s="3">
        <f>Baupläne!O501</f>
        <v>0</v>
      </c>
      <c r="Q501" s="3">
        <f>IF(R501&gt;0,INDEX(data_item!$A$1:$A$1994,MATCH(Baupläne!R501,data_item!$B$1:$B$1994,0),1),0)</f>
        <v>0</v>
      </c>
      <c r="R501" s="3">
        <f>Baupläne!Q501</f>
        <v>0</v>
      </c>
      <c r="S501" s="3">
        <f>IF(T501&gt;0,INDEX(data_item!$A$1:$A$1994,MATCH(Baupläne!T501,data_item!$B$1:$B$1994,0),1),0)</f>
        <v>307</v>
      </c>
      <c r="T501" s="3">
        <f>Baupläne!S501</f>
        <v>1</v>
      </c>
    </row>
    <row r="502" spans="1:20" x14ac:dyDescent="0.2">
      <c r="A502" s="3">
        <f>Baupläne!A502</f>
        <v>2315</v>
      </c>
      <c r="B502" s="3" t="str">
        <f>Baupläne!C502</f>
        <v>Topas-Lederstiefel</v>
      </c>
      <c r="C502" s="3">
        <f>Baupläne!B502</f>
        <v>2315</v>
      </c>
      <c r="D502" s="3">
        <f>Baupläne!J502</f>
        <v>0</v>
      </c>
      <c r="E502" s="3">
        <f>Baupläne!H502</f>
        <v>61</v>
      </c>
      <c r="F502" s="3">
        <f>Baupläne!I502</f>
        <v>9</v>
      </c>
      <c r="G502" s="3">
        <f>Baupläne!E502</f>
        <v>31</v>
      </c>
      <c r="H502" s="3">
        <f>Baupläne!F502</f>
        <v>180</v>
      </c>
      <c r="I502" s="3">
        <f>0.5*Baupläne!Y502</f>
        <v>1300</v>
      </c>
      <c r="J502" s="3">
        <f>Baupläne!G502</f>
        <v>0</v>
      </c>
      <c r="K502" s="3">
        <f>IF(L502&gt;0,INDEX(data_item!$A$1:$A$1994,MATCH(Baupläne!L502,data_item!$B$1:$B$1994,0),1),0)</f>
        <v>47</v>
      </c>
      <c r="L502" s="3">
        <f>Baupläne!K502</f>
        <v>7</v>
      </c>
      <c r="M502" s="3">
        <f>IF(N502&gt;0,INDEX(data_item!$A$1:$A$1994,MATCH(Baupläne!N502,data_item!$B$1:$B$994,0),1),0)</f>
        <v>117</v>
      </c>
      <c r="N502" s="3">
        <f>Baupläne!M502</f>
        <v>10</v>
      </c>
      <c r="O502" s="3">
        <f>IF(P502&gt;0,INDEX(data_item!$A$1:$A$1994,MATCH(Baupläne!P502,data_item!$B$1:$B$1994,0),1),0)</f>
        <v>0</v>
      </c>
      <c r="P502" s="3">
        <f>Baupläne!O502</f>
        <v>0</v>
      </c>
      <c r="Q502" s="3">
        <f>IF(R502&gt;0,INDEX(data_item!$A$1:$A$1994,MATCH(Baupläne!R502,data_item!$B$1:$B$1994,0),1),0)</f>
        <v>0</v>
      </c>
      <c r="R502" s="3">
        <f>Baupläne!Q502</f>
        <v>0</v>
      </c>
      <c r="S502" s="3">
        <f>IF(T502&gt;0,INDEX(data_item!$A$1:$A$1994,MATCH(Baupläne!T502,data_item!$B$1:$B$1994,0),1),0)</f>
        <v>307</v>
      </c>
      <c r="T502" s="3">
        <f>Baupläne!S502</f>
        <v>1</v>
      </c>
    </row>
    <row r="503" spans="1:20" x14ac:dyDescent="0.2">
      <c r="A503" s="3">
        <f>Baupläne!A503</f>
        <v>2321</v>
      </c>
      <c r="B503" s="3" t="str">
        <f>Baupläne!C503</f>
        <v>Saphir-Lederhelm</v>
      </c>
      <c r="C503" s="3">
        <f>Baupläne!B503</f>
        <v>2321</v>
      </c>
      <c r="D503" s="3">
        <f>Baupläne!J503</f>
        <v>0</v>
      </c>
      <c r="E503" s="3">
        <f>Baupläne!H503</f>
        <v>61</v>
      </c>
      <c r="F503" s="3">
        <f>Baupläne!I503</f>
        <v>13</v>
      </c>
      <c r="G503" s="3">
        <f>Baupläne!E503</f>
        <v>31</v>
      </c>
      <c r="H503" s="3">
        <f>Baupläne!F503</f>
        <v>240</v>
      </c>
      <c r="I503" s="3">
        <f>0.5*Baupläne!Y503</f>
        <v>3100</v>
      </c>
      <c r="J503" s="3">
        <f>Baupläne!G503</f>
        <v>0</v>
      </c>
      <c r="K503" s="3">
        <f>IF(L503&gt;0,INDEX(data_item!$A$1:$A$1994,MATCH(Baupläne!L503,data_item!$B$1:$B$1994,0),1),0)</f>
        <v>48</v>
      </c>
      <c r="L503" s="3">
        <f>Baupläne!K503</f>
        <v>11</v>
      </c>
      <c r="M503" s="3">
        <f>IF(N503&gt;0,INDEX(data_item!$A$1:$A$1994,MATCH(Baupläne!N503,data_item!$B$1:$B$994,0),1),0)</f>
        <v>117</v>
      </c>
      <c r="N503" s="3">
        <f>Baupläne!M503</f>
        <v>8</v>
      </c>
      <c r="O503" s="3">
        <f>IF(P503&gt;0,INDEX(data_item!$A$1:$A$1994,MATCH(Baupläne!P503,data_item!$B$1:$B$1994,0),1),0)</f>
        <v>118</v>
      </c>
      <c r="P503" s="3">
        <f>Baupläne!O503</f>
        <v>7</v>
      </c>
      <c r="Q503" s="3">
        <f>IF(R503&gt;0,INDEX(data_item!$A$1:$A$1994,MATCH(Baupläne!R503,data_item!$B$1:$B$1994,0),1),0)</f>
        <v>0</v>
      </c>
      <c r="R503" s="3">
        <f>Baupläne!Q503</f>
        <v>0</v>
      </c>
      <c r="S503" s="3">
        <f>IF(T503&gt;0,INDEX(data_item!$A$1:$A$1994,MATCH(Baupläne!T503,data_item!$B$1:$B$1994,0),1),0)</f>
        <v>308</v>
      </c>
      <c r="T503" s="3">
        <f>Baupläne!S503</f>
        <v>1</v>
      </c>
    </row>
    <row r="504" spans="1:20" x14ac:dyDescent="0.2">
      <c r="A504" s="3">
        <f>Baupläne!A504</f>
        <v>2322</v>
      </c>
      <c r="B504" s="3" t="str">
        <f>Baupläne!C504</f>
        <v>Saphir-Lederharnisch</v>
      </c>
      <c r="C504" s="3">
        <f>Baupläne!B504</f>
        <v>2322</v>
      </c>
      <c r="D504" s="3">
        <f>Baupläne!J504</f>
        <v>0</v>
      </c>
      <c r="E504" s="3">
        <f>Baupläne!H504</f>
        <v>61</v>
      </c>
      <c r="F504" s="3">
        <f>Baupläne!I504</f>
        <v>13</v>
      </c>
      <c r="G504" s="3">
        <f>Baupläne!E504</f>
        <v>31</v>
      </c>
      <c r="H504" s="3">
        <f>Baupläne!F504</f>
        <v>360</v>
      </c>
      <c r="I504" s="3">
        <f>0.5*Baupläne!Y504</f>
        <v>4600</v>
      </c>
      <c r="J504" s="3">
        <f>Baupläne!G504</f>
        <v>0</v>
      </c>
      <c r="K504" s="3">
        <f>IF(L504&gt;0,INDEX(data_item!$A$1:$A$1994,MATCH(Baupläne!L504,data_item!$B$1:$B$1994,0),1),0)</f>
        <v>48</v>
      </c>
      <c r="L504" s="3">
        <f>Baupläne!K504</f>
        <v>17</v>
      </c>
      <c r="M504" s="3">
        <f>IF(N504&gt;0,INDEX(data_item!$A$1:$A$1994,MATCH(Baupläne!N504,data_item!$B$1:$B$994,0),1),0)</f>
        <v>117</v>
      </c>
      <c r="N504" s="3">
        <f>Baupläne!M504</f>
        <v>13</v>
      </c>
      <c r="O504" s="3">
        <f>IF(P504&gt;0,INDEX(data_item!$A$1:$A$1994,MATCH(Baupläne!P504,data_item!$B$1:$B$1994,0),1),0)</f>
        <v>118</v>
      </c>
      <c r="P504" s="3">
        <f>Baupläne!O504</f>
        <v>10</v>
      </c>
      <c r="Q504" s="3">
        <f>IF(R504&gt;0,INDEX(data_item!$A$1:$A$1994,MATCH(Baupläne!R504,data_item!$B$1:$B$1994,0),1),0)</f>
        <v>0</v>
      </c>
      <c r="R504" s="3">
        <f>Baupläne!Q504</f>
        <v>0</v>
      </c>
      <c r="S504" s="3">
        <f>IF(T504&gt;0,INDEX(data_item!$A$1:$A$1994,MATCH(Baupläne!T504,data_item!$B$1:$B$1994,0),1),0)</f>
        <v>308</v>
      </c>
      <c r="T504" s="3">
        <f>Baupläne!S504</f>
        <v>1</v>
      </c>
    </row>
    <row r="505" spans="1:20" x14ac:dyDescent="0.2">
      <c r="A505" s="3">
        <f>Baupläne!A505</f>
        <v>2323</v>
      </c>
      <c r="B505" s="3" t="str">
        <f>Baupläne!C505</f>
        <v>Saphir-Lederstulpen</v>
      </c>
      <c r="C505" s="3">
        <f>Baupläne!B505</f>
        <v>2323</v>
      </c>
      <c r="D505" s="3">
        <f>Baupläne!J505</f>
        <v>0</v>
      </c>
      <c r="E505" s="3">
        <f>Baupläne!H505</f>
        <v>61</v>
      </c>
      <c r="F505" s="3">
        <f>Baupläne!I505</f>
        <v>14</v>
      </c>
      <c r="G505" s="3">
        <f>Baupläne!E505</f>
        <v>31</v>
      </c>
      <c r="H505" s="3">
        <f>Baupläne!F505</f>
        <v>180</v>
      </c>
      <c r="I505" s="3">
        <f>0.5*Baupläne!Y505</f>
        <v>2650</v>
      </c>
      <c r="J505" s="3">
        <f>Baupläne!G505</f>
        <v>0</v>
      </c>
      <c r="K505" s="3">
        <f>IF(L505&gt;0,INDEX(data_item!$A$1:$A$1994,MATCH(Baupläne!L505,data_item!$B$1:$B$1994,0),1),0)</f>
        <v>48</v>
      </c>
      <c r="L505" s="3">
        <f>Baupläne!K505</f>
        <v>10</v>
      </c>
      <c r="M505" s="3">
        <f>IF(N505&gt;0,INDEX(data_item!$A$1:$A$1994,MATCH(Baupläne!N505,data_item!$B$1:$B$994,0),1),0)</f>
        <v>117</v>
      </c>
      <c r="N505" s="3">
        <f>Baupläne!M505</f>
        <v>12</v>
      </c>
      <c r="O505" s="3">
        <f>IF(P505&gt;0,INDEX(data_item!$A$1:$A$1994,MATCH(Baupläne!P505,data_item!$B$1:$B$1994,0),1),0)</f>
        <v>118</v>
      </c>
      <c r="P505" s="3">
        <f>Baupläne!O505</f>
        <v>4</v>
      </c>
      <c r="Q505" s="3">
        <f>IF(R505&gt;0,INDEX(data_item!$A$1:$A$1994,MATCH(Baupläne!R505,data_item!$B$1:$B$1994,0),1),0)</f>
        <v>0</v>
      </c>
      <c r="R505" s="3">
        <f>Baupläne!Q505</f>
        <v>0</v>
      </c>
      <c r="S505" s="3">
        <f>IF(T505&gt;0,INDEX(data_item!$A$1:$A$1994,MATCH(Baupläne!T505,data_item!$B$1:$B$1994,0),1),0)</f>
        <v>308</v>
      </c>
      <c r="T505" s="3">
        <f>Baupläne!S505</f>
        <v>1</v>
      </c>
    </row>
    <row r="506" spans="1:20" x14ac:dyDescent="0.2">
      <c r="A506" s="3">
        <f>Baupläne!A506</f>
        <v>2324</v>
      </c>
      <c r="B506" s="3" t="str">
        <f>Baupläne!C506</f>
        <v>Saphir-Lederbeinlinge</v>
      </c>
      <c r="C506" s="3">
        <f>Baupläne!B506</f>
        <v>2324</v>
      </c>
      <c r="D506" s="3">
        <f>Baupläne!J506</f>
        <v>0</v>
      </c>
      <c r="E506" s="3">
        <f>Baupläne!H506</f>
        <v>61</v>
      </c>
      <c r="F506" s="3">
        <f>Baupläne!I506</f>
        <v>14</v>
      </c>
      <c r="G506" s="3">
        <f>Baupläne!E506</f>
        <v>31</v>
      </c>
      <c r="H506" s="3">
        <f>Baupläne!F506</f>
        <v>240</v>
      </c>
      <c r="I506" s="3">
        <f>0.5*Baupläne!Y506</f>
        <v>3550</v>
      </c>
      <c r="J506" s="3">
        <f>Baupläne!G506</f>
        <v>0</v>
      </c>
      <c r="K506" s="3">
        <f>IF(L506&gt;0,INDEX(data_item!$A$1:$A$1994,MATCH(Baupläne!L506,data_item!$B$1:$B$1994,0),1),0)</f>
        <v>48</v>
      </c>
      <c r="L506" s="3">
        <f>Baupläne!K506</f>
        <v>13</v>
      </c>
      <c r="M506" s="3">
        <f>IF(N506&gt;0,INDEX(data_item!$A$1:$A$1994,MATCH(Baupläne!N506,data_item!$B$1:$B$994,0),1),0)</f>
        <v>117</v>
      </c>
      <c r="N506" s="3">
        <f>Baupläne!M506</f>
        <v>12</v>
      </c>
      <c r="O506" s="3">
        <f>IF(P506&gt;0,INDEX(data_item!$A$1:$A$1994,MATCH(Baupläne!P506,data_item!$B$1:$B$1994,0),1),0)</f>
        <v>118</v>
      </c>
      <c r="P506" s="3">
        <f>Baupläne!O506</f>
        <v>7</v>
      </c>
      <c r="Q506" s="3">
        <f>IF(R506&gt;0,INDEX(data_item!$A$1:$A$1994,MATCH(Baupläne!R506,data_item!$B$1:$B$1994,0),1),0)</f>
        <v>0</v>
      </c>
      <c r="R506" s="3">
        <f>Baupläne!Q506</f>
        <v>0</v>
      </c>
      <c r="S506" s="3">
        <f>IF(T506&gt;0,INDEX(data_item!$A$1:$A$1994,MATCH(Baupläne!T506,data_item!$B$1:$B$1994,0),1),0)</f>
        <v>308</v>
      </c>
      <c r="T506" s="3">
        <f>Baupläne!S506</f>
        <v>1</v>
      </c>
    </row>
    <row r="507" spans="1:20" x14ac:dyDescent="0.2">
      <c r="A507" s="3">
        <f>Baupläne!A507</f>
        <v>2325</v>
      </c>
      <c r="B507" s="3" t="str">
        <f>Baupläne!C507</f>
        <v>Saphir-Lederstiefel</v>
      </c>
      <c r="C507" s="3">
        <f>Baupläne!B507</f>
        <v>2325</v>
      </c>
      <c r="D507" s="3">
        <f>Baupläne!J507</f>
        <v>0</v>
      </c>
      <c r="E507" s="3">
        <f>Baupläne!H507</f>
        <v>61</v>
      </c>
      <c r="F507" s="3">
        <f>Baupläne!I507</f>
        <v>14</v>
      </c>
      <c r="G507" s="3">
        <f>Baupläne!E507</f>
        <v>31</v>
      </c>
      <c r="H507" s="3">
        <f>Baupläne!F507</f>
        <v>180</v>
      </c>
      <c r="I507" s="3">
        <f>0.5*Baupläne!Y507</f>
        <v>2650</v>
      </c>
      <c r="J507" s="3">
        <f>Baupläne!G507</f>
        <v>0</v>
      </c>
      <c r="K507" s="3">
        <f>IF(L507&gt;0,INDEX(data_item!$A$1:$A$1994,MATCH(Baupläne!L507,data_item!$B$1:$B$1994,0),1),0)</f>
        <v>48</v>
      </c>
      <c r="L507" s="3">
        <f>Baupläne!K507</f>
        <v>10</v>
      </c>
      <c r="M507" s="3">
        <f>IF(N507&gt;0,INDEX(data_item!$A$1:$A$1994,MATCH(Baupläne!N507,data_item!$B$1:$B$994,0),1),0)</f>
        <v>117</v>
      </c>
      <c r="N507" s="3">
        <f>Baupläne!M507</f>
        <v>12</v>
      </c>
      <c r="O507" s="3">
        <f>IF(P507&gt;0,INDEX(data_item!$A$1:$A$1994,MATCH(Baupläne!P507,data_item!$B$1:$B$1994,0),1),0)</f>
        <v>118</v>
      </c>
      <c r="P507" s="3">
        <f>Baupläne!O507</f>
        <v>4</v>
      </c>
      <c r="Q507" s="3">
        <f>IF(R507&gt;0,INDEX(data_item!$A$1:$A$1994,MATCH(Baupläne!R507,data_item!$B$1:$B$1994,0),1),0)</f>
        <v>0</v>
      </c>
      <c r="R507" s="3">
        <f>Baupläne!Q507</f>
        <v>0</v>
      </c>
      <c r="S507" s="3">
        <f>IF(T507&gt;0,INDEX(data_item!$A$1:$A$1994,MATCH(Baupläne!T507,data_item!$B$1:$B$1994,0),1),0)</f>
        <v>308</v>
      </c>
      <c r="T507" s="3">
        <f>Baupläne!S507</f>
        <v>1</v>
      </c>
    </row>
    <row r="508" spans="1:20" x14ac:dyDescent="0.2">
      <c r="A508" s="3">
        <f>Baupläne!A508</f>
        <v>2331</v>
      </c>
      <c r="B508" s="3" t="str">
        <f>Baupläne!C508</f>
        <v>Lapis-Lederhelm</v>
      </c>
      <c r="C508" s="3">
        <f>Baupläne!B508</f>
        <v>2331</v>
      </c>
      <c r="D508" s="3">
        <f>Baupläne!J508</f>
        <v>0</v>
      </c>
      <c r="E508" s="3">
        <f>Baupläne!H508</f>
        <v>61</v>
      </c>
      <c r="F508" s="3">
        <f>Baupläne!I508</f>
        <v>18</v>
      </c>
      <c r="G508" s="3">
        <f>Baupläne!E508</f>
        <v>31</v>
      </c>
      <c r="H508" s="3">
        <f>Baupläne!F508</f>
        <v>240</v>
      </c>
      <c r="I508" s="3">
        <f>0.5*Baupläne!Y508</f>
        <v>6200</v>
      </c>
      <c r="J508" s="3">
        <f>Baupläne!G508</f>
        <v>0</v>
      </c>
      <c r="K508" s="3">
        <f>IF(L508&gt;0,INDEX(data_item!$A$1:$A$1994,MATCH(Baupläne!L508,data_item!$B$1:$B$1994,0),1),0)</f>
        <v>49</v>
      </c>
      <c r="L508" s="3">
        <f>Baupläne!K508</f>
        <v>15</v>
      </c>
      <c r="M508" s="3">
        <f>IF(N508&gt;0,INDEX(data_item!$A$1:$A$1994,MATCH(Baupläne!N508,data_item!$B$1:$B$994,0),1),0)</f>
        <v>117</v>
      </c>
      <c r="N508" s="3">
        <f>Baupläne!M508</f>
        <v>14</v>
      </c>
      <c r="O508" s="3">
        <f>IF(P508&gt;0,INDEX(data_item!$A$1:$A$1994,MATCH(Baupläne!P508,data_item!$B$1:$B$1994,0),1),0)</f>
        <v>118</v>
      </c>
      <c r="P508" s="3">
        <f>Baupläne!O508</f>
        <v>15</v>
      </c>
      <c r="Q508" s="3">
        <f>IF(R508&gt;0,INDEX(data_item!$A$1:$A$1994,MATCH(Baupläne!R508,data_item!$B$1:$B$1994,0),1),0)</f>
        <v>0</v>
      </c>
      <c r="R508" s="3">
        <f>Baupläne!Q508</f>
        <v>0</v>
      </c>
      <c r="S508" s="3">
        <f>IF(T508&gt;0,INDEX(data_item!$A$1:$A$1994,MATCH(Baupläne!T508,data_item!$B$1:$B$1994,0),1),0)</f>
        <v>309</v>
      </c>
      <c r="T508" s="3">
        <f>Baupläne!S508</f>
        <v>1</v>
      </c>
    </row>
    <row r="509" spans="1:20" x14ac:dyDescent="0.2">
      <c r="A509" s="3">
        <f>Baupläne!A509</f>
        <v>2332</v>
      </c>
      <c r="B509" s="3" t="str">
        <f>Baupläne!C509</f>
        <v>Lapis-Lederharnisch</v>
      </c>
      <c r="C509" s="3">
        <f>Baupläne!B509</f>
        <v>2332</v>
      </c>
      <c r="D509" s="3">
        <f>Baupläne!J509</f>
        <v>0</v>
      </c>
      <c r="E509" s="3">
        <f>Baupläne!H509</f>
        <v>61</v>
      </c>
      <c r="F509" s="3">
        <f>Baupläne!I509</f>
        <v>18</v>
      </c>
      <c r="G509" s="3">
        <f>Baupläne!E509</f>
        <v>31</v>
      </c>
      <c r="H509" s="3">
        <f>Baupläne!F509</f>
        <v>360</v>
      </c>
      <c r="I509" s="3">
        <f>0.5*Baupläne!Y509</f>
        <v>9300</v>
      </c>
      <c r="J509" s="3">
        <f>Baupläne!G509</f>
        <v>0</v>
      </c>
      <c r="K509" s="3">
        <f>IF(L509&gt;0,INDEX(data_item!$A$1:$A$1994,MATCH(Baupläne!L509,data_item!$B$1:$B$1994,0),1),0)</f>
        <v>49</v>
      </c>
      <c r="L509" s="3">
        <f>Baupläne!K509</f>
        <v>23</v>
      </c>
      <c r="M509" s="3">
        <f>IF(N509&gt;0,INDEX(data_item!$A$1:$A$1994,MATCH(Baupläne!N509,data_item!$B$1:$B$994,0),1),0)</f>
        <v>117</v>
      </c>
      <c r="N509" s="3">
        <f>Baupläne!M509</f>
        <v>14</v>
      </c>
      <c r="O509" s="3">
        <f>IF(P509&gt;0,INDEX(data_item!$A$1:$A$1994,MATCH(Baupläne!P509,data_item!$B$1:$B$1994,0),1),0)</f>
        <v>118</v>
      </c>
      <c r="P509" s="3">
        <f>Baupläne!O509</f>
        <v>25</v>
      </c>
      <c r="Q509" s="3">
        <f>IF(R509&gt;0,INDEX(data_item!$A$1:$A$1994,MATCH(Baupläne!R509,data_item!$B$1:$B$1994,0),1),0)</f>
        <v>0</v>
      </c>
      <c r="R509" s="3">
        <f>Baupläne!Q509</f>
        <v>0</v>
      </c>
      <c r="S509" s="3">
        <f>IF(T509&gt;0,INDEX(data_item!$A$1:$A$1994,MATCH(Baupläne!T509,data_item!$B$1:$B$1994,0),1),0)</f>
        <v>309</v>
      </c>
      <c r="T509" s="3">
        <f>Baupläne!S509</f>
        <v>1</v>
      </c>
    </row>
    <row r="510" spans="1:20" x14ac:dyDescent="0.2">
      <c r="A510" s="3">
        <f>Baupläne!A510</f>
        <v>2333</v>
      </c>
      <c r="B510" s="3" t="str">
        <f>Baupläne!C510</f>
        <v>Lapis-Lederstulpen</v>
      </c>
      <c r="C510" s="3">
        <f>Baupläne!B510</f>
        <v>2333</v>
      </c>
      <c r="D510" s="3">
        <f>Baupläne!J510</f>
        <v>0</v>
      </c>
      <c r="E510" s="3">
        <f>Baupläne!H510</f>
        <v>61</v>
      </c>
      <c r="F510" s="3">
        <f>Baupläne!I510</f>
        <v>19</v>
      </c>
      <c r="G510" s="3">
        <f>Baupläne!E510</f>
        <v>31</v>
      </c>
      <c r="H510" s="3">
        <f>Baupläne!F510</f>
        <v>180</v>
      </c>
      <c r="I510" s="3">
        <f>0.5*Baupläne!Y510</f>
        <v>5350</v>
      </c>
      <c r="J510" s="3">
        <f>Baupläne!G510</f>
        <v>0</v>
      </c>
      <c r="K510" s="3">
        <f>IF(L510&gt;0,INDEX(data_item!$A$1:$A$1994,MATCH(Baupläne!L510,data_item!$B$1:$B$1994,0),1),0)</f>
        <v>49</v>
      </c>
      <c r="L510" s="3">
        <f>Baupläne!K510</f>
        <v>13</v>
      </c>
      <c r="M510" s="3">
        <f>IF(N510&gt;0,INDEX(data_item!$A$1:$A$1994,MATCH(Baupläne!N510,data_item!$B$1:$B$994,0),1),0)</f>
        <v>117</v>
      </c>
      <c r="N510" s="3">
        <f>Baupläne!M510</f>
        <v>14</v>
      </c>
      <c r="O510" s="3">
        <f>IF(P510&gt;0,INDEX(data_item!$A$1:$A$1994,MATCH(Baupläne!P510,data_item!$B$1:$B$1994,0),1),0)</f>
        <v>118</v>
      </c>
      <c r="P510" s="3">
        <f>Baupläne!O510</f>
        <v>12</v>
      </c>
      <c r="Q510" s="3">
        <f>IF(R510&gt;0,INDEX(data_item!$A$1:$A$1994,MATCH(Baupläne!R510,data_item!$B$1:$B$1994,0),1),0)</f>
        <v>0</v>
      </c>
      <c r="R510" s="3">
        <f>Baupläne!Q510</f>
        <v>0</v>
      </c>
      <c r="S510" s="3">
        <f>IF(T510&gt;0,INDEX(data_item!$A$1:$A$1994,MATCH(Baupläne!T510,data_item!$B$1:$B$1994,0),1),0)</f>
        <v>309</v>
      </c>
      <c r="T510" s="3">
        <f>Baupläne!S510</f>
        <v>1</v>
      </c>
    </row>
    <row r="511" spans="1:20" x14ac:dyDescent="0.2">
      <c r="A511" s="3">
        <f>Baupläne!A511</f>
        <v>2334</v>
      </c>
      <c r="B511" s="3" t="str">
        <f>Baupläne!C511</f>
        <v>Lapis-Lederbeinlinge</v>
      </c>
      <c r="C511" s="3">
        <f>Baupläne!B511</f>
        <v>2334</v>
      </c>
      <c r="D511" s="3">
        <f>Baupläne!J511</f>
        <v>0</v>
      </c>
      <c r="E511" s="3">
        <f>Baupläne!H511</f>
        <v>61</v>
      </c>
      <c r="F511" s="3">
        <f>Baupläne!I511</f>
        <v>19</v>
      </c>
      <c r="G511" s="3">
        <f>Baupläne!E511</f>
        <v>31</v>
      </c>
      <c r="H511" s="3">
        <f>Baupläne!F511</f>
        <v>240</v>
      </c>
      <c r="I511" s="3">
        <f>0.5*Baupläne!Y511</f>
        <v>7100</v>
      </c>
      <c r="J511" s="3">
        <f>Baupläne!G511</f>
        <v>0</v>
      </c>
      <c r="K511" s="3">
        <f>IF(L511&gt;0,INDEX(data_item!$A$1:$A$1994,MATCH(Baupläne!L511,data_item!$B$1:$B$1994,0),1),0)</f>
        <v>49</v>
      </c>
      <c r="L511" s="3">
        <f>Baupläne!K511</f>
        <v>17</v>
      </c>
      <c r="M511" s="3">
        <f>IF(N511&gt;0,INDEX(data_item!$A$1:$A$1994,MATCH(Baupläne!N511,data_item!$B$1:$B$994,0),1),0)</f>
        <v>117</v>
      </c>
      <c r="N511" s="3">
        <f>Baupläne!M511</f>
        <v>14</v>
      </c>
      <c r="O511" s="3">
        <f>IF(P511&gt;0,INDEX(data_item!$A$1:$A$1994,MATCH(Baupläne!P511,data_item!$B$1:$B$1994,0),1),0)</f>
        <v>118</v>
      </c>
      <c r="P511" s="3">
        <f>Baupläne!O511</f>
        <v>18</v>
      </c>
      <c r="Q511" s="3">
        <f>IF(R511&gt;0,INDEX(data_item!$A$1:$A$1994,MATCH(Baupläne!R511,data_item!$B$1:$B$1994,0),1),0)</f>
        <v>0</v>
      </c>
      <c r="R511" s="3">
        <f>Baupläne!Q511</f>
        <v>0</v>
      </c>
      <c r="S511" s="3">
        <f>IF(T511&gt;0,INDEX(data_item!$A$1:$A$1994,MATCH(Baupläne!T511,data_item!$B$1:$B$1994,0),1),0)</f>
        <v>309</v>
      </c>
      <c r="T511" s="3">
        <f>Baupläne!S511</f>
        <v>1</v>
      </c>
    </row>
    <row r="512" spans="1:20" x14ac:dyDescent="0.2">
      <c r="A512" s="3">
        <f>Baupläne!A512</f>
        <v>2335</v>
      </c>
      <c r="B512" s="3" t="str">
        <f>Baupläne!C512</f>
        <v>Lapis-Lederstiefel</v>
      </c>
      <c r="C512" s="3">
        <f>Baupläne!B512</f>
        <v>2335</v>
      </c>
      <c r="D512" s="3">
        <f>Baupläne!J512</f>
        <v>0</v>
      </c>
      <c r="E512" s="3">
        <f>Baupläne!H512</f>
        <v>61</v>
      </c>
      <c r="F512" s="3">
        <f>Baupläne!I512</f>
        <v>19</v>
      </c>
      <c r="G512" s="3">
        <f>Baupläne!E512</f>
        <v>31</v>
      </c>
      <c r="H512" s="3">
        <f>Baupläne!F512</f>
        <v>180</v>
      </c>
      <c r="I512" s="3">
        <f>0.5*Baupläne!Y512</f>
        <v>5350</v>
      </c>
      <c r="J512" s="3">
        <f>Baupläne!G512</f>
        <v>0</v>
      </c>
      <c r="K512" s="3">
        <f>IF(L512&gt;0,INDEX(data_item!$A$1:$A$1994,MATCH(Baupläne!L512,data_item!$B$1:$B$1994,0),1),0)</f>
        <v>49</v>
      </c>
      <c r="L512" s="3">
        <f>Baupläne!K512</f>
        <v>13</v>
      </c>
      <c r="M512" s="3">
        <f>IF(N512&gt;0,INDEX(data_item!$A$1:$A$1994,MATCH(Baupläne!N512,data_item!$B$1:$B$994,0),1),0)</f>
        <v>117</v>
      </c>
      <c r="N512" s="3">
        <f>Baupläne!M512</f>
        <v>14</v>
      </c>
      <c r="O512" s="3">
        <f>IF(P512&gt;0,INDEX(data_item!$A$1:$A$1994,MATCH(Baupläne!P512,data_item!$B$1:$B$1994,0),1),0)</f>
        <v>118</v>
      </c>
      <c r="P512" s="3">
        <f>Baupläne!O512</f>
        <v>12</v>
      </c>
      <c r="Q512" s="3">
        <f>IF(R512&gt;0,INDEX(data_item!$A$1:$A$1994,MATCH(Baupläne!R512,data_item!$B$1:$B$1994,0),1),0)</f>
        <v>0</v>
      </c>
      <c r="R512" s="3">
        <f>Baupläne!Q512</f>
        <v>0</v>
      </c>
      <c r="S512" s="3">
        <f>IF(T512&gt;0,INDEX(data_item!$A$1:$A$1994,MATCH(Baupläne!T512,data_item!$B$1:$B$1994,0),1),0)</f>
        <v>309</v>
      </c>
      <c r="T512" s="3">
        <f>Baupläne!S512</f>
        <v>1</v>
      </c>
    </row>
    <row r="513" spans="1:20" x14ac:dyDescent="0.2">
      <c r="A513" s="3">
        <f>Baupläne!A513</f>
        <v>2341</v>
      </c>
      <c r="B513" s="3" t="str">
        <f>Baupläne!C513</f>
        <v>Diamant-Lederhelm</v>
      </c>
      <c r="C513" s="3">
        <f>Baupläne!B513</f>
        <v>2341</v>
      </c>
      <c r="D513" s="3">
        <f>Baupläne!J513</f>
        <v>0</v>
      </c>
      <c r="E513" s="3">
        <f>Baupläne!H513</f>
        <v>61</v>
      </c>
      <c r="F513" s="3">
        <f>Baupläne!I513</f>
        <v>23</v>
      </c>
      <c r="G513" s="3">
        <f>Baupläne!E513</f>
        <v>31</v>
      </c>
      <c r="H513" s="3">
        <f>Baupläne!F513</f>
        <v>240</v>
      </c>
      <c r="I513" s="3">
        <f>0.5*Baupläne!Y513</f>
        <v>12450</v>
      </c>
      <c r="J513" s="3">
        <f>Baupläne!G513</f>
        <v>0</v>
      </c>
      <c r="K513" s="3">
        <f>IF(L513&gt;0,INDEX(data_item!$A$1:$A$1994,MATCH(Baupläne!L513,data_item!$B$1:$B$1994,0),1),0)</f>
        <v>50</v>
      </c>
      <c r="L513" s="3">
        <f>Baupläne!K513</f>
        <v>22</v>
      </c>
      <c r="M513" s="3">
        <f>IF(N513&gt;0,INDEX(data_item!$A$1:$A$1994,MATCH(Baupläne!N513,data_item!$B$1:$B$994,0),1),0)</f>
        <v>117</v>
      </c>
      <c r="N513" s="3">
        <f>Baupläne!M513</f>
        <v>8</v>
      </c>
      <c r="O513" s="3">
        <f>IF(P513&gt;0,INDEX(data_item!$A$1:$A$1994,MATCH(Baupläne!P513,data_item!$B$1:$B$1994,0),1),0)</f>
        <v>118</v>
      </c>
      <c r="P513" s="3">
        <f>Baupläne!O513</f>
        <v>8</v>
      </c>
      <c r="Q513" s="3">
        <f>IF(R513&gt;0,INDEX(data_item!$A$1:$A$1994,MATCH(Baupläne!R513,data_item!$B$1:$B$1994,0),1),0)</f>
        <v>119</v>
      </c>
      <c r="R513" s="3">
        <f>Baupläne!Q513</f>
        <v>12</v>
      </c>
      <c r="S513" s="3">
        <f>IF(T513&gt;0,INDEX(data_item!$A$1:$A$1994,MATCH(Baupläne!T513,data_item!$B$1:$B$1994,0),1),0)</f>
        <v>310</v>
      </c>
      <c r="T513" s="3">
        <f>Baupläne!S513</f>
        <v>1</v>
      </c>
    </row>
    <row r="514" spans="1:20" x14ac:dyDescent="0.2">
      <c r="A514" s="3">
        <f>Baupläne!A514</f>
        <v>2342</v>
      </c>
      <c r="B514" s="3" t="str">
        <f>Baupläne!C514</f>
        <v>Diamant-Lederharnisch</v>
      </c>
      <c r="C514" s="3">
        <f>Baupläne!B514</f>
        <v>2342</v>
      </c>
      <c r="D514" s="3">
        <f>Baupläne!J514</f>
        <v>0</v>
      </c>
      <c r="E514" s="3">
        <f>Baupläne!H514</f>
        <v>61</v>
      </c>
      <c r="F514" s="3">
        <f>Baupläne!I514</f>
        <v>23</v>
      </c>
      <c r="G514" s="3">
        <f>Baupläne!E514</f>
        <v>31</v>
      </c>
      <c r="H514" s="3">
        <f>Baupläne!F514</f>
        <v>360</v>
      </c>
      <c r="I514" s="3">
        <f>0.5*Baupläne!Y514</f>
        <v>18650</v>
      </c>
      <c r="J514" s="3">
        <f>Baupläne!G514</f>
        <v>0</v>
      </c>
      <c r="K514" s="3">
        <f>IF(L514&gt;0,INDEX(data_item!$A$1:$A$1994,MATCH(Baupläne!L514,data_item!$B$1:$B$1994,0),1),0)</f>
        <v>50</v>
      </c>
      <c r="L514" s="3">
        <f>Baupläne!K514</f>
        <v>34</v>
      </c>
      <c r="M514" s="3">
        <f>IF(N514&gt;0,INDEX(data_item!$A$1:$A$1994,MATCH(Baupläne!N514,data_item!$B$1:$B$994,0),1),0)</f>
        <v>117</v>
      </c>
      <c r="N514" s="3">
        <f>Baupläne!M514</f>
        <v>15</v>
      </c>
      <c r="O514" s="3">
        <f>IF(P514&gt;0,INDEX(data_item!$A$1:$A$1994,MATCH(Baupläne!P514,data_item!$B$1:$B$1994,0),1),0)</f>
        <v>118</v>
      </c>
      <c r="P514" s="3">
        <f>Baupläne!O514</f>
        <v>10</v>
      </c>
      <c r="Q514" s="3">
        <f>IF(R514&gt;0,INDEX(data_item!$A$1:$A$1994,MATCH(Baupläne!R514,data_item!$B$1:$B$1994,0),1),0)</f>
        <v>119</v>
      </c>
      <c r="R514" s="3">
        <f>Baupläne!Q514</f>
        <v>18</v>
      </c>
      <c r="S514" s="3">
        <f>IF(T514&gt;0,INDEX(data_item!$A$1:$A$1994,MATCH(Baupläne!T514,data_item!$B$1:$B$1994,0),1),0)</f>
        <v>310</v>
      </c>
      <c r="T514" s="3">
        <f>Baupläne!S514</f>
        <v>1</v>
      </c>
    </row>
    <row r="515" spans="1:20" x14ac:dyDescent="0.2">
      <c r="A515" s="3">
        <f>Baupläne!A515</f>
        <v>2343</v>
      </c>
      <c r="B515" s="3" t="str">
        <f>Baupläne!C515</f>
        <v>Diamant-Lederstulpen</v>
      </c>
      <c r="C515" s="3">
        <f>Baupläne!B515</f>
        <v>2343</v>
      </c>
      <c r="D515" s="3">
        <f>Baupläne!J515</f>
        <v>0</v>
      </c>
      <c r="E515" s="3">
        <f>Baupläne!H515</f>
        <v>61</v>
      </c>
      <c r="F515" s="3">
        <f>Baupläne!I515</f>
        <v>24</v>
      </c>
      <c r="G515" s="3">
        <f>Baupläne!E515</f>
        <v>31</v>
      </c>
      <c r="H515" s="3">
        <f>Baupläne!F515</f>
        <v>180</v>
      </c>
      <c r="I515" s="3">
        <f>0.5*Baupläne!Y515</f>
        <v>10750</v>
      </c>
      <c r="J515" s="3">
        <f>Baupläne!G515</f>
        <v>0</v>
      </c>
      <c r="K515" s="3">
        <f>IF(L515&gt;0,INDEX(data_item!$A$1:$A$1994,MATCH(Baupläne!L515,data_item!$B$1:$B$1994,0),1),0)</f>
        <v>50</v>
      </c>
      <c r="L515" s="3">
        <f>Baupläne!K515</f>
        <v>20</v>
      </c>
      <c r="M515" s="3">
        <f>IF(N515&gt;0,INDEX(data_item!$A$1:$A$1994,MATCH(Baupläne!N515,data_item!$B$1:$B$994,0),1),0)</f>
        <v>117</v>
      </c>
      <c r="N515" s="3">
        <f>Baupläne!M515</f>
        <v>6</v>
      </c>
      <c r="O515" s="3">
        <f>IF(P515&gt;0,INDEX(data_item!$A$1:$A$1994,MATCH(Baupläne!P515,data_item!$B$1:$B$1994,0),1),0)</f>
        <v>118</v>
      </c>
      <c r="P515" s="3">
        <f>Baupläne!O515</f>
        <v>8</v>
      </c>
      <c r="Q515" s="3">
        <f>IF(R515&gt;0,INDEX(data_item!$A$1:$A$1994,MATCH(Baupläne!R515,data_item!$B$1:$B$1994,0),1),0)</f>
        <v>119</v>
      </c>
      <c r="R515" s="3">
        <f>Baupläne!Q515</f>
        <v>10</v>
      </c>
      <c r="S515" s="3">
        <f>IF(T515&gt;0,INDEX(data_item!$A$1:$A$1994,MATCH(Baupläne!T515,data_item!$B$1:$B$1994,0),1),0)</f>
        <v>310</v>
      </c>
      <c r="T515" s="3">
        <f>Baupläne!S515</f>
        <v>1</v>
      </c>
    </row>
    <row r="516" spans="1:20" x14ac:dyDescent="0.2">
      <c r="A516" s="3">
        <f>Baupläne!A516</f>
        <v>2344</v>
      </c>
      <c r="B516" s="3" t="str">
        <f>Baupläne!C516</f>
        <v>Diamant-Lederbeinlinge</v>
      </c>
      <c r="C516" s="3">
        <f>Baupläne!B516</f>
        <v>2344</v>
      </c>
      <c r="D516" s="3">
        <f>Baupläne!J516</f>
        <v>0</v>
      </c>
      <c r="E516" s="3">
        <f>Baupläne!H516</f>
        <v>61</v>
      </c>
      <c r="F516" s="3">
        <f>Baupläne!I516</f>
        <v>24</v>
      </c>
      <c r="G516" s="3">
        <f>Baupläne!E516</f>
        <v>31</v>
      </c>
      <c r="H516" s="3">
        <f>Baupläne!F516</f>
        <v>240</v>
      </c>
      <c r="I516" s="3">
        <f>0.5*Baupläne!Y516</f>
        <v>14300</v>
      </c>
      <c r="J516" s="3">
        <f>Baupläne!G516</f>
        <v>0</v>
      </c>
      <c r="K516" s="3">
        <f>IF(L516&gt;0,INDEX(data_item!$A$1:$A$1994,MATCH(Baupläne!L516,data_item!$B$1:$B$1994,0),1),0)</f>
        <v>50</v>
      </c>
      <c r="L516" s="3">
        <f>Baupläne!K516</f>
        <v>26</v>
      </c>
      <c r="M516" s="3">
        <f>IF(N516&gt;0,INDEX(data_item!$A$1:$A$1994,MATCH(Baupläne!N516,data_item!$B$1:$B$994,0),1),0)</f>
        <v>117</v>
      </c>
      <c r="N516" s="3">
        <f>Baupläne!M516</f>
        <v>8</v>
      </c>
      <c r="O516" s="3">
        <f>IF(P516&gt;0,INDEX(data_item!$A$1:$A$1994,MATCH(Baupläne!P516,data_item!$B$1:$B$1994,0),1),0)</f>
        <v>118</v>
      </c>
      <c r="P516" s="3">
        <f>Baupläne!O516</f>
        <v>6</v>
      </c>
      <c r="Q516" s="3">
        <f>IF(R516&gt;0,INDEX(data_item!$A$1:$A$1994,MATCH(Baupläne!R516,data_item!$B$1:$B$1994,0),1),0)</f>
        <v>119</v>
      </c>
      <c r="R516" s="3">
        <f>Baupläne!Q516</f>
        <v>15</v>
      </c>
      <c r="S516" s="3">
        <f>IF(T516&gt;0,INDEX(data_item!$A$1:$A$1994,MATCH(Baupläne!T516,data_item!$B$1:$B$1994,0),1),0)</f>
        <v>310</v>
      </c>
      <c r="T516" s="3">
        <f>Baupläne!S516</f>
        <v>1</v>
      </c>
    </row>
    <row r="517" spans="1:20" x14ac:dyDescent="0.2">
      <c r="A517" s="3">
        <f>Baupläne!A517</f>
        <v>2345</v>
      </c>
      <c r="B517" s="3" t="str">
        <f>Baupläne!C517</f>
        <v>Diamant-Lederstiefel</v>
      </c>
      <c r="C517" s="3">
        <f>Baupläne!B517</f>
        <v>2345</v>
      </c>
      <c r="D517" s="3">
        <f>Baupläne!J517</f>
        <v>0</v>
      </c>
      <c r="E517" s="3">
        <f>Baupläne!H517</f>
        <v>61</v>
      </c>
      <c r="F517" s="3">
        <f>Baupläne!I517</f>
        <v>24</v>
      </c>
      <c r="G517" s="3">
        <f>Baupläne!E517</f>
        <v>31</v>
      </c>
      <c r="H517" s="3">
        <f>Baupläne!F517</f>
        <v>180</v>
      </c>
      <c r="I517" s="3">
        <f>0.5*Baupläne!Y517</f>
        <v>10750</v>
      </c>
      <c r="J517" s="3">
        <f>Baupläne!G517</f>
        <v>0</v>
      </c>
      <c r="K517" s="3">
        <f>IF(L517&gt;0,INDEX(data_item!$A$1:$A$1994,MATCH(Baupläne!L517,data_item!$B$1:$B$1994,0),1),0)</f>
        <v>50</v>
      </c>
      <c r="L517" s="3">
        <f>Baupläne!K517</f>
        <v>20</v>
      </c>
      <c r="M517" s="3">
        <f>IF(N517&gt;0,INDEX(data_item!$A$1:$A$1994,MATCH(Baupläne!N517,data_item!$B$1:$B$994,0),1),0)</f>
        <v>117</v>
      </c>
      <c r="N517" s="3">
        <f>Baupläne!M517</f>
        <v>6</v>
      </c>
      <c r="O517" s="3">
        <f>IF(P517&gt;0,INDEX(data_item!$A$1:$A$1994,MATCH(Baupläne!P517,data_item!$B$1:$B$1994,0),1),0)</f>
        <v>118</v>
      </c>
      <c r="P517" s="3">
        <f>Baupläne!O517</f>
        <v>8</v>
      </c>
      <c r="Q517" s="3">
        <f>IF(R517&gt;0,INDEX(data_item!$A$1:$A$1994,MATCH(Baupläne!R517,data_item!$B$1:$B$1994,0),1),0)</f>
        <v>119</v>
      </c>
      <c r="R517" s="3">
        <f>Baupläne!Q517</f>
        <v>10</v>
      </c>
      <c r="S517" s="3">
        <f>IF(T517&gt;0,INDEX(data_item!$A$1:$A$1994,MATCH(Baupläne!T517,data_item!$B$1:$B$1994,0),1),0)</f>
        <v>310</v>
      </c>
      <c r="T517" s="3">
        <f>Baupläne!S517</f>
        <v>1</v>
      </c>
    </row>
    <row r="518" spans="1:20" x14ac:dyDescent="0.2">
      <c r="A518" s="3">
        <f>Baupläne!A518</f>
        <v>0</v>
      </c>
      <c r="B518" s="3">
        <f>Baupläne!C518</f>
        <v>0</v>
      </c>
      <c r="C518" s="3">
        <f>Baupläne!B518</f>
        <v>0</v>
      </c>
      <c r="D518" s="3">
        <f>Baupläne!J518</f>
        <v>0</v>
      </c>
      <c r="E518" s="3">
        <f>Baupläne!H518</f>
        <v>0</v>
      </c>
      <c r="F518" s="3">
        <f>Baupläne!I518</f>
        <v>0</v>
      </c>
      <c r="G518" s="3">
        <f>Baupläne!E518</f>
        <v>0</v>
      </c>
      <c r="H518" s="3">
        <f>Baupläne!F518</f>
        <v>0</v>
      </c>
      <c r="I518" s="3">
        <f>0.5*Baupläne!Y518</f>
        <v>0</v>
      </c>
      <c r="J518" s="3">
        <f>Baupläne!G518</f>
        <v>0</v>
      </c>
      <c r="K518" s="3">
        <f>IF(L518&gt;0,INDEX(data_item!$A$1:$A$1994,MATCH(Baupläne!L518,data_item!$B$1:$B$1994,0),1),0)</f>
        <v>0</v>
      </c>
      <c r="L518" s="3">
        <f>Baupläne!K518</f>
        <v>0</v>
      </c>
      <c r="M518" s="3">
        <f>IF(N518&gt;0,INDEX(data_item!$A$1:$A$1994,MATCH(Baupläne!N518,data_item!$B$1:$B$994,0),1),0)</f>
        <v>0</v>
      </c>
      <c r="N518" s="3">
        <f>Baupläne!M518</f>
        <v>0</v>
      </c>
      <c r="O518" s="3">
        <f>IF(P518&gt;0,INDEX(data_item!$A$1:$A$1994,MATCH(Baupläne!P518,data_item!$B$1:$B$1994,0),1),0)</f>
        <v>0</v>
      </c>
      <c r="P518" s="3">
        <f>Baupläne!O518</f>
        <v>0</v>
      </c>
      <c r="Q518" s="3">
        <f>IF(R518&gt;0,INDEX(data_item!$A$1:$A$1994,MATCH(Baupläne!R518,data_item!$B$1:$B$1994,0),1),0)</f>
        <v>0</v>
      </c>
      <c r="R518" s="3">
        <f>Baupläne!Q518</f>
        <v>0</v>
      </c>
      <c r="S518" s="3">
        <f>IF(T518&gt;0,INDEX(data_item!$A$1:$A$1994,MATCH(Baupläne!T518,data_item!$B$1:$B$1994,0),1),0)</f>
        <v>0</v>
      </c>
      <c r="T518" s="3">
        <f>Baupläne!S518</f>
        <v>0</v>
      </c>
    </row>
    <row r="519" spans="1:20" x14ac:dyDescent="0.2">
      <c r="A519" s="3">
        <f>Baupläne!A519</f>
        <v>2401</v>
      </c>
      <c r="B519" s="3" t="str">
        <f>Baupläne!C519</f>
        <v>Kristall-Plattenhelm</v>
      </c>
      <c r="C519" s="3">
        <f>Baupläne!B519</f>
        <v>2401</v>
      </c>
      <c r="D519" s="3">
        <f>Baupläne!J519</f>
        <v>0</v>
      </c>
      <c r="E519" s="3">
        <f>Baupläne!H519</f>
        <v>62</v>
      </c>
      <c r="F519" s="3">
        <f>Baupläne!I519</f>
        <v>3</v>
      </c>
      <c r="G519" s="3">
        <f>Baupläne!E519</f>
        <v>30</v>
      </c>
      <c r="H519" s="3">
        <f>Baupläne!F519</f>
        <v>240</v>
      </c>
      <c r="I519" s="3">
        <f>0.5*Baupläne!Y519</f>
        <v>750</v>
      </c>
      <c r="J519" s="3">
        <f>Baupläne!G519</f>
        <v>0</v>
      </c>
      <c r="K519" s="3">
        <f>IF(L519&gt;0,INDEX(data_item!$A$1:$A$1994,MATCH(Baupläne!L519,data_item!$B$1:$B$1994,0),1),0)</f>
        <v>6</v>
      </c>
      <c r="L519" s="3">
        <f>Baupläne!K519</f>
        <v>8</v>
      </c>
      <c r="M519" s="3">
        <f>IF(N519&gt;0,INDEX(data_item!$A$1:$A$1994,MATCH(Baupläne!N519,data_item!$B$1:$B$994,0),1),0)</f>
        <v>101</v>
      </c>
      <c r="N519" s="3">
        <f>Baupläne!M519</f>
        <v>6</v>
      </c>
      <c r="O519" s="3">
        <f>IF(P519&gt;0,INDEX(data_item!$A$1:$A$1994,MATCH(Baupläne!P519,data_item!$B$1:$B$1994,0),1),0)</f>
        <v>0</v>
      </c>
      <c r="P519" s="3">
        <f>Baupläne!O519</f>
        <v>0</v>
      </c>
      <c r="Q519" s="3">
        <f>IF(R519&gt;0,INDEX(data_item!$A$1:$A$1994,MATCH(Baupläne!R519,data_item!$B$1:$B$1994,0),1),0)</f>
        <v>0</v>
      </c>
      <c r="R519" s="3">
        <f>Baupläne!Q519</f>
        <v>0</v>
      </c>
      <c r="S519" s="3">
        <f>IF(T519&gt;0,INDEX(data_item!$A$1:$A$1994,MATCH(Baupläne!T519,data_item!$B$1:$B$1994,0),1),0)</f>
        <v>301</v>
      </c>
      <c r="T519" s="3">
        <f>Baupläne!S519</f>
        <v>1</v>
      </c>
    </row>
    <row r="520" spans="1:20" x14ac:dyDescent="0.2">
      <c r="A520" s="3">
        <f>Baupläne!A520</f>
        <v>2402</v>
      </c>
      <c r="B520" s="3" t="str">
        <f>Baupläne!C520</f>
        <v>Kristall-Plattenpanzer</v>
      </c>
      <c r="C520" s="3">
        <f>Baupläne!B520</f>
        <v>2402</v>
      </c>
      <c r="D520" s="3">
        <f>Baupläne!J520</f>
        <v>0</v>
      </c>
      <c r="E520" s="3">
        <f>Baupläne!H520</f>
        <v>62</v>
      </c>
      <c r="F520" s="3">
        <f>Baupläne!I520</f>
        <v>3</v>
      </c>
      <c r="G520" s="3">
        <f>Baupläne!E520</f>
        <v>30</v>
      </c>
      <c r="H520" s="3">
        <f>Baupläne!F520</f>
        <v>360</v>
      </c>
      <c r="I520" s="3">
        <f>0.5*Baupläne!Y520</f>
        <v>1150</v>
      </c>
      <c r="J520" s="3">
        <f>Baupläne!G520</f>
        <v>0</v>
      </c>
      <c r="K520" s="3">
        <f>IF(L520&gt;0,INDEX(data_item!$A$1:$A$1994,MATCH(Baupläne!L520,data_item!$B$1:$B$1994,0),1),0)</f>
        <v>6</v>
      </c>
      <c r="L520" s="3">
        <f>Baupläne!K520</f>
        <v>12</v>
      </c>
      <c r="M520" s="3">
        <f>IF(N520&gt;0,INDEX(data_item!$A$1:$A$1994,MATCH(Baupläne!N520,data_item!$B$1:$B$994,0),1),0)</f>
        <v>101</v>
      </c>
      <c r="N520" s="3">
        <f>Baupläne!M520</f>
        <v>9</v>
      </c>
      <c r="O520" s="3">
        <f>IF(P520&gt;0,INDEX(data_item!$A$1:$A$1994,MATCH(Baupläne!P520,data_item!$B$1:$B$1994,0),1),0)</f>
        <v>0</v>
      </c>
      <c r="P520" s="3">
        <f>Baupläne!O520</f>
        <v>0</v>
      </c>
      <c r="Q520" s="3">
        <f>IF(R520&gt;0,INDEX(data_item!$A$1:$A$1994,MATCH(Baupläne!R520,data_item!$B$1:$B$1994,0),1),0)</f>
        <v>0</v>
      </c>
      <c r="R520" s="3">
        <f>Baupläne!Q520</f>
        <v>0</v>
      </c>
      <c r="S520" s="3">
        <f>IF(T520&gt;0,INDEX(data_item!$A$1:$A$1994,MATCH(Baupläne!T520,data_item!$B$1:$B$1994,0),1),0)</f>
        <v>301</v>
      </c>
      <c r="T520" s="3">
        <f>Baupläne!S520</f>
        <v>1</v>
      </c>
    </row>
    <row r="521" spans="1:20" x14ac:dyDescent="0.2">
      <c r="A521" s="3">
        <f>Baupläne!A521</f>
        <v>2403</v>
      </c>
      <c r="B521" s="3" t="str">
        <f>Baupläne!C521</f>
        <v>Kristall-Plattenhandschuhe</v>
      </c>
      <c r="C521" s="3">
        <f>Baupläne!B521</f>
        <v>2403</v>
      </c>
      <c r="D521" s="3">
        <f>Baupläne!J521</f>
        <v>0</v>
      </c>
      <c r="E521" s="3">
        <f>Baupläne!H521</f>
        <v>62</v>
      </c>
      <c r="F521" s="3">
        <f>Baupläne!I521</f>
        <v>4</v>
      </c>
      <c r="G521" s="3">
        <f>Baupläne!E521</f>
        <v>30</v>
      </c>
      <c r="H521" s="3">
        <f>Baupläne!F521</f>
        <v>180</v>
      </c>
      <c r="I521" s="3">
        <f>0.5*Baupläne!Y521</f>
        <v>650</v>
      </c>
      <c r="J521" s="3">
        <f>Baupläne!G521</f>
        <v>0</v>
      </c>
      <c r="K521" s="3">
        <f>IF(L521&gt;0,INDEX(data_item!$A$1:$A$1994,MATCH(Baupläne!L521,data_item!$B$1:$B$1994,0),1),0)</f>
        <v>6</v>
      </c>
      <c r="L521" s="3">
        <f>Baupläne!K521</f>
        <v>7</v>
      </c>
      <c r="M521" s="3">
        <f>IF(N521&gt;0,INDEX(data_item!$A$1:$A$1994,MATCH(Baupläne!N521,data_item!$B$1:$B$994,0),1),0)</f>
        <v>101</v>
      </c>
      <c r="N521" s="3">
        <f>Baupläne!M521</f>
        <v>5</v>
      </c>
      <c r="O521" s="3">
        <f>IF(P521&gt;0,INDEX(data_item!$A$1:$A$1994,MATCH(Baupläne!P521,data_item!$B$1:$B$1994,0),1),0)</f>
        <v>0</v>
      </c>
      <c r="P521" s="3">
        <f>Baupläne!O521</f>
        <v>0</v>
      </c>
      <c r="Q521" s="3">
        <f>IF(R521&gt;0,INDEX(data_item!$A$1:$A$1994,MATCH(Baupläne!R521,data_item!$B$1:$B$1994,0),1),0)</f>
        <v>0</v>
      </c>
      <c r="R521" s="3">
        <f>Baupläne!Q521</f>
        <v>0</v>
      </c>
      <c r="S521" s="3">
        <f>IF(T521&gt;0,INDEX(data_item!$A$1:$A$1994,MATCH(Baupläne!T521,data_item!$B$1:$B$1994,0),1),0)</f>
        <v>301</v>
      </c>
      <c r="T521" s="3">
        <f>Baupläne!S521</f>
        <v>1</v>
      </c>
    </row>
    <row r="522" spans="1:20" x14ac:dyDescent="0.2">
      <c r="A522" s="3">
        <f>Baupläne!A522</f>
        <v>2404</v>
      </c>
      <c r="B522" s="3" t="str">
        <f>Baupläne!C522</f>
        <v>Kristall-Plattenbeinlinge</v>
      </c>
      <c r="C522" s="3">
        <f>Baupläne!B522</f>
        <v>2404</v>
      </c>
      <c r="D522" s="3">
        <f>Baupläne!J522</f>
        <v>0</v>
      </c>
      <c r="E522" s="3">
        <f>Baupläne!H522</f>
        <v>62</v>
      </c>
      <c r="F522" s="3">
        <f>Baupläne!I522</f>
        <v>4</v>
      </c>
      <c r="G522" s="3">
        <f>Baupläne!E522</f>
        <v>30</v>
      </c>
      <c r="H522" s="3">
        <f>Baupläne!F522</f>
        <v>240</v>
      </c>
      <c r="I522" s="3">
        <f>0.5*Baupläne!Y522</f>
        <v>850</v>
      </c>
      <c r="J522" s="3">
        <f>Baupläne!G522</f>
        <v>0</v>
      </c>
      <c r="K522" s="3">
        <f>IF(L522&gt;0,INDEX(data_item!$A$1:$A$1994,MATCH(Baupläne!L522,data_item!$B$1:$B$1994,0),1),0)</f>
        <v>6</v>
      </c>
      <c r="L522" s="3">
        <f>Baupläne!K522</f>
        <v>10</v>
      </c>
      <c r="M522" s="3">
        <f>IF(N522&gt;0,INDEX(data_item!$A$1:$A$1994,MATCH(Baupläne!N522,data_item!$B$1:$B$994,0),1),0)</f>
        <v>101</v>
      </c>
      <c r="N522" s="3">
        <f>Baupläne!M522</f>
        <v>7</v>
      </c>
      <c r="O522" s="3">
        <f>IF(P522&gt;0,INDEX(data_item!$A$1:$A$1994,MATCH(Baupläne!P522,data_item!$B$1:$B$1994,0),1),0)</f>
        <v>0</v>
      </c>
      <c r="P522" s="3">
        <f>Baupläne!O522</f>
        <v>0</v>
      </c>
      <c r="Q522" s="3">
        <f>IF(R522&gt;0,INDEX(data_item!$A$1:$A$1994,MATCH(Baupläne!R522,data_item!$B$1:$B$1994,0),1),0)</f>
        <v>0</v>
      </c>
      <c r="R522" s="3">
        <f>Baupläne!Q522</f>
        <v>0</v>
      </c>
      <c r="S522" s="3">
        <f>IF(T522&gt;0,INDEX(data_item!$A$1:$A$1994,MATCH(Baupläne!T522,data_item!$B$1:$B$1994,0),1),0)</f>
        <v>301</v>
      </c>
      <c r="T522" s="3">
        <f>Baupläne!S522</f>
        <v>1</v>
      </c>
    </row>
    <row r="523" spans="1:20" x14ac:dyDescent="0.2">
      <c r="A523" s="3">
        <f>Baupläne!A523</f>
        <v>2405</v>
      </c>
      <c r="B523" s="3" t="str">
        <f>Baupläne!C523</f>
        <v>Kristall-Plattenstiefel</v>
      </c>
      <c r="C523" s="3">
        <f>Baupläne!B523</f>
        <v>2405</v>
      </c>
      <c r="D523" s="3">
        <f>Baupläne!J523</f>
        <v>0</v>
      </c>
      <c r="E523" s="3">
        <f>Baupläne!H523</f>
        <v>62</v>
      </c>
      <c r="F523" s="3">
        <f>Baupläne!I523</f>
        <v>4</v>
      </c>
      <c r="G523" s="3">
        <f>Baupläne!E523</f>
        <v>30</v>
      </c>
      <c r="H523" s="3">
        <f>Baupläne!F523</f>
        <v>180</v>
      </c>
      <c r="I523" s="3">
        <f>0.5*Baupläne!Y523</f>
        <v>650</v>
      </c>
      <c r="J523" s="3">
        <f>Baupläne!G523</f>
        <v>0</v>
      </c>
      <c r="K523" s="3">
        <f>IF(L523&gt;0,INDEX(data_item!$A$1:$A$1994,MATCH(Baupläne!L523,data_item!$B$1:$B$1994,0),1),0)</f>
        <v>6</v>
      </c>
      <c r="L523" s="3">
        <f>Baupläne!K523</f>
        <v>7</v>
      </c>
      <c r="M523" s="3">
        <f>IF(N523&gt;0,INDEX(data_item!$A$1:$A$1994,MATCH(Baupläne!N523,data_item!$B$1:$B$994,0),1),0)</f>
        <v>101</v>
      </c>
      <c r="N523" s="3">
        <f>Baupläne!M523</f>
        <v>5</v>
      </c>
      <c r="O523" s="3">
        <f>IF(P523&gt;0,INDEX(data_item!$A$1:$A$1994,MATCH(Baupläne!P523,data_item!$B$1:$B$1994,0),1),0)</f>
        <v>0</v>
      </c>
      <c r="P523" s="3">
        <f>Baupläne!O523</f>
        <v>0</v>
      </c>
      <c r="Q523" s="3">
        <f>IF(R523&gt;0,INDEX(data_item!$A$1:$A$1994,MATCH(Baupläne!R523,data_item!$B$1:$B$1994,0),1),0)</f>
        <v>0</v>
      </c>
      <c r="R523" s="3">
        <f>Baupläne!Q523</f>
        <v>0</v>
      </c>
      <c r="S523" s="3">
        <f>IF(T523&gt;0,INDEX(data_item!$A$1:$A$1994,MATCH(Baupläne!T523,data_item!$B$1:$B$1994,0),1),0)</f>
        <v>301</v>
      </c>
      <c r="T523" s="3">
        <f>Baupläne!S523</f>
        <v>1</v>
      </c>
    </row>
    <row r="524" spans="1:20" x14ac:dyDescent="0.2">
      <c r="A524" s="3">
        <f>Baupläne!A524</f>
        <v>2411</v>
      </c>
      <c r="B524" s="3" t="str">
        <f>Baupläne!C524</f>
        <v>Quarz-Plattenhelm</v>
      </c>
      <c r="C524" s="3">
        <f>Baupläne!B524</f>
        <v>2411</v>
      </c>
      <c r="D524" s="3">
        <f>Baupläne!J524</f>
        <v>0</v>
      </c>
      <c r="E524" s="3">
        <f>Baupläne!H524</f>
        <v>62</v>
      </c>
      <c r="F524" s="3">
        <f>Baupläne!I524</f>
        <v>8</v>
      </c>
      <c r="G524" s="3">
        <f>Baupläne!E524</f>
        <v>30</v>
      </c>
      <c r="H524" s="3">
        <f>Baupläne!F524</f>
        <v>240</v>
      </c>
      <c r="I524" s="3">
        <f>0.5*Baupläne!Y524</f>
        <v>1550</v>
      </c>
      <c r="J524" s="3">
        <f>Baupläne!G524</f>
        <v>0</v>
      </c>
      <c r="K524" s="3">
        <f>IF(L524&gt;0,INDEX(data_item!$A$1:$A$1994,MATCH(Baupläne!L524,data_item!$B$1:$B$1994,0),1),0)</f>
        <v>7</v>
      </c>
      <c r="L524" s="3">
        <f>Baupläne!K524</f>
        <v>8</v>
      </c>
      <c r="M524" s="3">
        <f>IF(N524&gt;0,INDEX(data_item!$A$1:$A$1994,MATCH(Baupläne!N524,data_item!$B$1:$B$994,0),1),0)</f>
        <v>101</v>
      </c>
      <c r="N524" s="3">
        <f>Baupläne!M524</f>
        <v>12</v>
      </c>
      <c r="O524" s="3">
        <f>IF(P524&gt;0,INDEX(data_item!$A$1:$A$1994,MATCH(Baupläne!P524,data_item!$B$1:$B$1994,0),1),0)</f>
        <v>0</v>
      </c>
      <c r="P524" s="3">
        <f>Baupläne!O524</f>
        <v>0</v>
      </c>
      <c r="Q524" s="3">
        <f>IF(R524&gt;0,INDEX(data_item!$A$1:$A$1994,MATCH(Baupläne!R524,data_item!$B$1:$B$1994,0),1),0)</f>
        <v>0</v>
      </c>
      <c r="R524" s="3">
        <f>Baupläne!Q524</f>
        <v>0</v>
      </c>
      <c r="S524" s="3">
        <f>IF(T524&gt;0,INDEX(data_item!$A$1:$A$1994,MATCH(Baupläne!T524,data_item!$B$1:$B$1994,0),1),0)</f>
        <v>302</v>
      </c>
      <c r="T524" s="3">
        <f>Baupläne!S524</f>
        <v>1</v>
      </c>
    </row>
    <row r="525" spans="1:20" x14ac:dyDescent="0.2">
      <c r="A525" s="3">
        <f>Baupläne!A525</f>
        <v>2412</v>
      </c>
      <c r="B525" s="3" t="str">
        <f>Baupläne!C525</f>
        <v>Quarz-Plattenpanzer</v>
      </c>
      <c r="C525" s="3">
        <f>Baupläne!B525</f>
        <v>2412</v>
      </c>
      <c r="D525" s="3">
        <f>Baupläne!J525</f>
        <v>0</v>
      </c>
      <c r="E525" s="3">
        <f>Baupläne!H525</f>
        <v>62</v>
      </c>
      <c r="F525" s="3">
        <f>Baupläne!I525</f>
        <v>8</v>
      </c>
      <c r="G525" s="3">
        <f>Baupläne!E525</f>
        <v>30</v>
      </c>
      <c r="H525" s="3">
        <f>Baupläne!F525</f>
        <v>360</v>
      </c>
      <c r="I525" s="3">
        <f>0.5*Baupläne!Y525</f>
        <v>2300</v>
      </c>
      <c r="J525" s="3">
        <f>Baupläne!G525</f>
        <v>0</v>
      </c>
      <c r="K525" s="3">
        <f>IF(L525&gt;0,INDEX(data_item!$A$1:$A$1994,MATCH(Baupläne!L525,data_item!$B$1:$B$1994,0),1),0)</f>
        <v>7</v>
      </c>
      <c r="L525" s="3">
        <f>Baupläne!K525</f>
        <v>12</v>
      </c>
      <c r="M525" s="3">
        <f>IF(N525&gt;0,INDEX(data_item!$A$1:$A$1994,MATCH(Baupläne!N525,data_item!$B$1:$B$994,0),1),0)</f>
        <v>101</v>
      </c>
      <c r="N525" s="3">
        <f>Baupläne!M525</f>
        <v>18</v>
      </c>
      <c r="O525" s="3">
        <f>IF(P525&gt;0,INDEX(data_item!$A$1:$A$1994,MATCH(Baupläne!P525,data_item!$B$1:$B$1994,0),1),0)</f>
        <v>0</v>
      </c>
      <c r="P525" s="3">
        <f>Baupläne!O525</f>
        <v>0</v>
      </c>
      <c r="Q525" s="3">
        <f>IF(R525&gt;0,INDEX(data_item!$A$1:$A$1994,MATCH(Baupläne!R525,data_item!$B$1:$B$1994,0),1),0)</f>
        <v>0</v>
      </c>
      <c r="R525" s="3">
        <f>Baupläne!Q525</f>
        <v>0</v>
      </c>
      <c r="S525" s="3">
        <f>IF(T525&gt;0,INDEX(data_item!$A$1:$A$1994,MATCH(Baupläne!T525,data_item!$B$1:$B$1994,0),1),0)</f>
        <v>302</v>
      </c>
      <c r="T525" s="3">
        <f>Baupläne!S525</f>
        <v>1</v>
      </c>
    </row>
    <row r="526" spans="1:20" x14ac:dyDescent="0.2">
      <c r="A526" s="3">
        <f>Baupläne!A526</f>
        <v>2413</v>
      </c>
      <c r="B526" s="3" t="str">
        <f>Baupläne!C526</f>
        <v>Quarz-Plattenhandschuhe</v>
      </c>
      <c r="C526" s="3">
        <f>Baupläne!B526</f>
        <v>2413</v>
      </c>
      <c r="D526" s="3">
        <f>Baupläne!J526</f>
        <v>0</v>
      </c>
      <c r="E526" s="3">
        <f>Baupläne!H526</f>
        <v>62</v>
      </c>
      <c r="F526" s="3">
        <f>Baupläne!I526</f>
        <v>9</v>
      </c>
      <c r="G526" s="3">
        <f>Baupläne!E526</f>
        <v>30</v>
      </c>
      <c r="H526" s="3">
        <f>Baupläne!F526</f>
        <v>180</v>
      </c>
      <c r="I526" s="3">
        <f>0.5*Baupläne!Y526</f>
        <v>1300</v>
      </c>
      <c r="J526" s="3">
        <f>Baupläne!G526</f>
        <v>0</v>
      </c>
      <c r="K526" s="3">
        <f>IF(L526&gt;0,INDEX(data_item!$A$1:$A$1994,MATCH(Baupläne!L526,data_item!$B$1:$B$1994,0),1),0)</f>
        <v>7</v>
      </c>
      <c r="L526" s="3">
        <f>Baupläne!K526</f>
        <v>7</v>
      </c>
      <c r="M526" s="3">
        <f>IF(N526&gt;0,INDEX(data_item!$A$1:$A$1994,MATCH(Baupläne!N526,data_item!$B$1:$B$994,0),1),0)</f>
        <v>101</v>
      </c>
      <c r="N526" s="3">
        <f>Baupläne!M526</f>
        <v>10</v>
      </c>
      <c r="O526" s="3">
        <f>IF(P526&gt;0,INDEX(data_item!$A$1:$A$1994,MATCH(Baupläne!P526,data_item!$B$1:$B$1994,0),1),0)</f>
        <v>0</v>
      </c>
      <c r="P526" s="3">
        <f>Baupläne!O526</f>
        <v>0</v>
      </c>
      <c r="Q526" s="3">
        <f>IF(R526&gt;0,INDEX(data_item!$A$1:$A$1994,MATCH(Baupläne!R526,data_item!$B$1:$B$1994,0),1),0)</f>
        <v>0</v>
      </c>
      <c r="R526" s="3">
        <f>Baupläne!Q526</f>
        <v>0</v>
      </c>
      <c r="S526" s="3">
        <f>IF(T526&gt;0,INDEX(data_item!$A$1:$A$1994,MATCH(Baupläne!T526,data_item!$B$1:$B$1994,0),1),0)</f>
        <v>302</v>
      </c>
      <c r="T526" s="3">
        <f>Baupläne!S526</f>
        <v>1</v>
      </c>
    </row>
    <row r="527" spans="1:20" x14ac:dyDescent="0.2">
      <c r="A527" s="3">
        <f>Baupläne!A527</f>
        <v>2414</v>
      </c>
      <c r="B527" s="3" t="str">
        <f>Baupläne!C527</f>
        <v>Quarz-Plattenbeinlinge</v>
      </c>
      <c r="C527" s="3">
        <f>Baupläne!B527</f>
        <v>2414</v>
      </c>
      <c r="D527" s="3">
        <f>Baupläne!J527</f>
        <v>0</v>
      </c>
      <c r="E527" s="3">
        <f>Baupläne!H527</f>
        <v>62</v>
      </c>
      <c r="F527" s="3">
        <f>Baupläne!I527</f>
        <v>9</v>
      </c>
      <c r="G527" s="3">
        <f>Baupläne!E527</f>
        <v>30</v>
      </c>
      <c r="H527" s="3">
        <f>Baupläne!F527</f>
        <v>240</v>
      </c>
      <c r="I527" s="3">
        <f>0.5*Baupläne!Y527</f>
        <v>1750</v>
      </c>
      <c r="J527" s="3">
        <f>Baupläne!G527</f>
        <v>0</v>
      </c>
      <c r="K527" s="3">
        <f>IF(L527&gt;0,INDEX(data_item!$A$1:$A$1994,MATCH(Baupläne!L527,data_item!$B$1:$B$1994,0),1),0)</f>
        <v>7</v>
      </c>
      <c r="L527" s="3">
        <f>Baupläne!K527</f>
        <v>10</v>
      </c>
      <c r="M527" s="3">
        <f>IF(N527&gt;0,INDEX(data_item!$A$1:$A$1994,MATCH(Baupläne!N527,data_item!$B$1:$B$994,0),1),0)</f>
        <v>101</v>
      </c>
      <c r="N527" s="3">
        <f>Baupläne!M527</f>
        <v>14</v>
      </c>
      <c r="O527" s="3">
        <f>IF(P527&gt;0,INDEX(data_item!$A$1:$A$1994,MATCH(Baupläne!P527,data_item!$B$1:$B$1994,0),1),0)</f>
        <v>0</v>
      </c>
      <c r="P527" s="3">
        <f>Baupläne!O527</f>
        <v>0</v>
      </c>
      <c r="Q527" s="3">
        <f>IF(R527&gt;0,INDEX(data_item!$A$1:$A$1994,MATCH(Baupläne!R527,data_item!$B$1:$B$1994,0),1),0)</f>
        <v>0</v>
      </c>
      <c r="R527" s="3">
        <f>Baupläne!Q527</f>
        <v>0</v>
      </c>
      <c r="S527" s="3">
        <f>IF(T527&gt;0,INDEX(data_item!$A$1:$A$1994,MATCH(Baupläne!T527,data_item!$B$1:$B$1994,0),1),0)</f>
        <v>302</v>
      </c>
      <c r="T527" s="3">
        <f>Baupläne!S527</f>
        <v>1</v>
      </c>
    </row>
    <row r="528" spans="1:20" x14ac:dyDescent="0.2">
      <c r="A528" s="3">
        <f>Baupläne!A528</f>
        <v>2415</v>
      </c>
      <c r="B528" s="3" t="str">
        <f>Baupläne!C528</f>
        <v>Quarz-Plattenstiefel</v>
      </c>
      <c r="C528" s="3">
        <f>Baupläne!B528</f>
        <v>2415</v>
      </c>
      <c r="D528" s="3">
        <f>Baupläne!J528</f>
        <v>0</v>
      </c>
      <c r="E528" s="3">
        <f>Baupläne!H528</f>
        <v>62</v>
      </c>
      <c r="F528" s="3">
        <f>Baupläne!I528</f>
        <v>9</v>
      </c>
      <c r="G528" s="3">
        <f>Baupläne!E528</f>
        <v>30</v>
      </c>
      <c r="H528" s="3">
        <f>Baupläne!F528</f>
        <v>180</v>
      </c>
      <c r="I528" s="3">
        <f>0.5*Baupläne!Y528</f>
        <v>1300</v>
      </c>
      <c r="J528" s="3">
        <f>Baupläne!G528</f>
        <v>0</v>
      </c>
      <c r="K528" s="3">
        <f>IF(L528&gt;0,INDEX(data_item!$A$1:$A$1994,MATCH(Baupläne!L528,data_item!$B$1:$B$1994,0),1),0)</f>
        <v>7</v>
      </c>
      <c r="L528" s="3">
        <f>Baupläne!K528</f>
        <v>7</v>
      </c>
      <c r="M528" s="3">
        <f>IF(N528&gt;0,INDEX(data_item!$A$1:$A$1994,MATCH(Baupläne!N528,data_item!$B$1:$B$994,0),1),0)</f>
        <v>101</v>
      </c>
      <c r="N528" s="3">
        <f>Baupläne!M528</f>
        <v>10</v>
      </c>
      <c r="O528" s="3">
        <f>IF(P528&gt;0,INDEX(data_item!$A$1:$A$1994,MATCH(Baupläne!P528,data_item!$B$1:$B$1994,0),1),0)</f>
        <v>0</v>
      </c>
      <c r="P528" s="3">
        <f>Baupläne!O528</f>
        <v>0</v>
      </c>
      <c r="Q528" s="3">
        <f>IF(R528&gt;0,INDEX(data_item!$A$1:$A$1994,MATCH(Baupläne!R528,data_item!$B$1:$B$1994,0),1),0)</f>
        <v>0</v>
      </c>
      <c r="R528" s="3">
        <f>Baupläne!Q528</f>
        <v>0</v>
      </c>
      <c r="S528" s="3">
        <f>IF(T528&gt;0,INDEX(data_item!$A$1:$A$1994,MATCH(Baupläne!T528,data_item!$B$1:$B$1994,0),1),0)</f>
        <v>302</v>
      </c>
      <c r="T528" s="3">
        <f>Baupläne!S528</f>
        <v>1</v>
      </c>
    </row>
    <row r="529" spans="1:20" x14ac:dyDescent="0.2">
      <c r="A529" s="3">
        <f>Baupläne!A529</f>
        <v>2421</v>
      </c>
      <c r="B529" s="3" t="str">
        <f>Baupläne!C529</f>
        <v>Smaragd-Plattenhelm</v>
      </c>
      <c r="C529" s="3">
        <f>Baupläne!B529</f>
        <v>2421</v>
      </c>
      <c r="D529" s="3">
        <f>Baupläne!J529</f>
        <v>0</v>
      </c>
      <c r="E529" s="3">
        <f>Baupläne!H529</f>
        <v>62</v>
      </c>
      <c r="F529" s="3">
        <f>Baupläne!I529</f>
        <v>13</v>
      </c>
      <c r="G529" s="3">
        <f>Baupläne!E529</f>
        <v>30</v>
      </c>
      <c r="H529" s="3">
        <f>Baupläne!F529</f>
        <v>240</v>
      </c>
      <c r="I529" s="3">
        <f>0.5*Baupläne!Y529</f>
        <v>3100</v>
      </c>
      <c r="J529" s="3">
        <f>Baupläne!G529</f>
        <v>0</v>
      </c>
      <c r="K529" s="3">
        <f>IF(L529&gt;0,INDEX(data_item!$A$1:$A$1994,MATCH(Baupläne!L529,data_item!$B$1:$B$1994,0),1),0)</f>
        <v>8</v>
      </c>
      <c r="L529" s="3">
        <f>Baupläne!K529</f>
        <v>11</v>
      </c>
      <c r="M529" s="3">
        <f>IF(N529&gt;0,INDEX(data_item!$A$1:$A$1994,MATCH(Baupläne!N529,data_item!$B$1:$B$994,0),1),0)</f>
        <v>101</v>
      </c>
      <c r="N529" s="3">
        <f>Baupläne!M529</f>
        <v>8</v>
      </c>
      <c r="O529" s="3">
        <f>IF(P529&gt;0,INDEX(data_item!$A$1:$A$1994,MATCH(Baupläne!P529,data_item!$B$1:$B$1994,0),1),0)</f>
        <v>106</v>
      </c>
      <c r="P529" s="3">
        <f>Baupläne!O529</f>
        <v>7</v>
      </c>
      <c r="Q529" s="3">
        <f>IF(R529&gt;0,INDEX(data_item!$A$1:$A$1994,MATCH(Baupläne!R529,data_item!$B$1:$B$1994,0),1),0)</f>
        <v>0</v>
      </c>
      <c r="R529" s="3">
        <f>Baupläne!Q529</f>
        <v>0</v>
      </c>
      <c r="S529" s="3">
        <f>IF(T529&gt;0,INDEX(data_item!$A$1:$A$1994,MATCH(Baupläne!T529,data_item!$B$1:$B$1994,0),1),0)</f>
        <v>303</v>
      </c>
      <c r="T529" s="3">
        <f>Baupläne!S529</f>
        <v>1</v>
      </c>
    </row>
    <row r="530" spans="1:20" x14ac:dyDescent="0.2">
      <c r="A530" s="3">
        <f>Baupläne!A530</f>
        <v>2422</v>
      </c>
      <c r="B530" s="3" t="str">
        <f>Baupläne!C530</f>
        <v>Smaragd-Plattenpanzer</v>
      </c>
      <c r="C530" s="3">
        <f>Baupläne!B530</f>
        <v>2422</v>
      </c>
      <c r="D530" s="3">
        <f>Baupläne!J530</f>
        <v>0</v>
      </c>
      <c r="E530" s="3">
        <f>Baupläne!H530</f>
        <v>62</v>
      </c>
      <c r="F530" s="3">
        <f>Baupläne!I530</f>
        <v>13</v>
      </c>
      <c r="G530" s="3">
        <f>Baupläne!E530</f>
        <v>30</v>
      </c>
      <c r="H530" s="3">
        <f>Baupläne!F530</f>
        <v>360</v>
      </c>
      <c r="I530" s="3">
        <f>0.5*Baupläne!Y530</f>
        <v>4600</v>
      </c>
      <c r="J530" s="3">
        <f>Baupläne!G530</f>
        <v>0</v>
      </c>
      <c r="K530" s="3">
        <f>IF(L530&gt;0,INDEX(data_item!$A$1:$A$1994,MATCH(Baupläne!L530,data_item!$B$1:$B$1994,0),1),0)</f>
        <v>8</v>
      </c>
      <c r="L530" s="3">
        <f>Baupläne!K530</f>
        <v>17</v>
      </c>
      <c r="M530" s="3">
        <f>IF(N530&gt;0,INDEX(data_item!$A$1:$A$1994,MATCH(Baupläne!N530,data_item!$B$1:$B$994,0),1),0)</f>
        <v>101</v>
      </c>
      <c r="N530" s="3">
        <f>Baupläne!M530</f>
        <v>13</v>
      </c>
      <c r="O530" s="3">
        <f>IF(P530&gt;0,INDEX(data_item!$A$1:$A$1994,MATCH(Baupläne!P530,data_item!$B$1:$B$1994,0),1),0)</f>
        <v>106</v>
      </c>
      <c r="P530" s="3">
        <f>Baupläne!O530</f>
        <v>10</v>
      </c>
      <c r="Q530" s="3">
        <f>IF(R530&gt;0,INDEX(data_item!$A$1:$A$1994,MATCH(Baupläne!R530,data_item!$B$1:$B$1994,0),1),0)</f>
        <v>0</v>
      </c>
      <c r="R530" s="3">
        <f>Baupläne!Q530</f>
        <v>0</v>
      </c>
      <c r="S530" s="3">
        <f>IF(T530&gt;0,INDEX(data_item!$A$1:$A$1994,MATCH(Baupläne!T530,data_item!$B$1:$B$1994,0),1),0)</f>
        <v>303</v>
      </c>
      <c r="T530" s="3">
        <f>Baupläne!S530</f>
        <v>1</v>
      </c>
    </row>
    <row r="531" spans="1:20" x14ac:dyDescent="0.2">
      <c r="A531" s="3">
        <f>Baupläne!A531</f>
        <v>2423</v>
      </c>
      <c r="B531" s="3" t="str">
        <f>Baupläne!C531</f>
        <v>Smaragd-Plattenhandschuhe</v>
      </c>
      <c r="C531" s="3">
        <f>Baupläne!B531</f>
        <v>2423</v>
      </c>
      <c r="D531" s="3">
        <f>Baupläne!J531</f>
        <v>0</v>
      </c>
      <c r="E531" s="3">
        <f>Baupläne!H531</f>
        <v>62</v>
      </c>
      <c r="F531" s="3">
        <f>Baupläne!I531</f>
        <v>14</v>
      </c>
      <c r="G531" s="3">
        <f>Baupläne!E531</f>
        <v>30</v>
      </c>
      <c r="H531" s="3">
        <f>Baupläne!F531</f>
        <v>180</v>
      </c>
      <c r="I531" s="3">
        <f>0.5*Baupläne!Y531</f>
        <v>2650</v>
      </c>
      <c r="J531" s="3">
        <f>Baupläne!G531</f>
        <v>0</v>
      </c>
      <c r="K531" s="3">
        <f>IF(L531&gt;0,INDEX(data_item!$A$1:$A$1994,MATCH(Baupläne!L531,data_item!$B$1:$B$1994,0),1),0)</f>
        <v>8</v>
      </c>
      <c r="L531" s="3">
        <f>Baupläne!K531</f>
        <v>10</v>
      </c>
      <c r="M531" s="3">
        <f>IF(N531&gt;0,INDEX(data_item!$A$1:$A$1994,MATCH(Baupläne!N531,data_item!$B$1:$B$994,0),1),0)</f>
        <v>101</v>
      </c>
      <c r="N531" s="3">
        <f>Baupläne!M531</f>
        <v>12</v>
      </c>
      <c r="O531" s="3">
        <f>IF(P531&gt;0,INDEX(data_item!$A$1:$A$1994,MATCH(Baupläne!P531,data_item!$B$1:$B$1994,0),1),0)</f>
        <v>106</v>
      </c>
      <c r="P531" s="3">
        <f>Baupläne!O531</f>
        <v>4</v>
      </c>
      <c r="Q531" s="3">
        <f>IF(R531&gt;0,INDEX(data_item!$A$1:$A$1994,MATCH(Baupläne!R531,data_item!$B$1:$B$1994,0),1),0)</f>
        <v>0</v>
      </c>
      <c r="R531" s="3">
        <f>Baupläne!Q531</f>
        <v>0</v>
      </c>
      <c r="S531" s="3">
        <f>IF(T531&gt;0,INDEX(data_item!$A$1:$A$1994,MATCH(Baupläne!T531,data_item!$B$1:$B$1994,0),1),0)</f>
        <v>303</v>
      </c>
      <c r="T531" s="3">
        <f>Baupläne!S531</f>
        <v>1</v>
      </c>
    </row>
    <row r="532" spans="1:20" x14ac:dyDescent="0.2">
      <c r="A532" s="3">
        <f>Baupläne!A532</f>
        <v>2424</v>
      </c>
      <c r="B532" s="3" t="str">
        <f>Baupläne!C532</f>
        <v>Smaragd-Plattenbeinlinge</v>
      </c>
      <c r="C532" s="3">
        <f>Baupläne!B532</f>
        <v>2424</v>
      </c>
      <c r="D532" s="3">
        <f>Baupläne!J532</f>
        <v>0</v>
      </c>
      <c r="E532" s="3">
        <f>Baupläne!H532</f>
        <v>62</v>
      </c>
      <c r="F532" s="3">
        <f>Baupläne!I532</f>
        <v>14</v>
      </c>
      <c r="G532" s="3">
        <f>Baupläne!E532</f>
        <v>30</v>
      </c>
      <c r="H532" s="3">
        <f>Baupläne!F532</f>
        <v>240</v>
      </c>
      <c r="I532" s="3">
        <f>0.5*Baupläne!Y532</f>
        <v>3550</v>
      </c>
      <c r="J532" s="3">
        <f>Baupläne!G532</f>
        <v>0</v>
      </c>
      <c r="K532" s="3">
        <f>IF(L532&gt;0,INDEX(data_item!$A$1:$A$1994,MATCH(Baupläne!L532,data_item!$B$1:$B$1994,0),1),0)</f>
        <v>8</v>
      </c>
      <c r="L532" s="3">
        <f>Baupläne!K532</f>
        <v>13</v>
      </c>
      <c r="M532" s="3">
        <f>IF(N532&gt;0,INDEX(data_item!$A$1:$A$1994,MATCH(Baupläne!N532,data_item!$B$1:$B$994,0),1),0)</f>
        <v>101</v>
      </c>
      <c r="N532" s="3">
        <f>Baupläne!M532</f>
        <v>12</v>
      </c>
      <c r="O532" s="3">
        <f>IF(P532&gt;0,INDEX(data_item!$A$1:$A$1994,MATCH(Baupläne!P532,data_item!$B$1:$B$1994,0),1),0)</f>
        <v>106</v>
      </c>
      <c r="P532" s="3">
        <f>Baupläne!O532</f>
        <v>7</v>
      </c>
      <c r="Q532" s="3">
        <f>IF(R532&gt;0,INDEX(data_item!$A$1:$A$1994,MATCH(Baupläne!R532,data_item!$B$1:$B$1994,0),1),0)</f>
        <v>0</v>
      </c>
      <c r="R532" s="3">
        <f>Baupläne!Q532</f>
        <v>0</v>
      </c>
      <c r="S532" s="3">
        <f>IF(T532&gt;0,INDEX(data_item!$A$1:$A$1994,MATCH(Baupläne!T532,data_item!$B$1:$B$1994,0),1),0)</f>
        <v>303</v>
      </c>
      <c r="T532" s="3">
        <f>Baupläne!S532</f>
        <v>1</v>
      </c>
    </row>
    <row r="533" spans="1:20" x14ac:dyDescent="0.2">
      <c r="A533" s="3">
        <f>Baupläne!A533</f>
        <v>2425</v>
      </c>
      <c r="B533" s="3" t="str">
        <f>Baupläne!C533</f>
        <v>Smaragd-Plattenstiefel</v>
      </c>
      <c r="C533" s="3">
        <f>Baupläne!B533</f>
        <v>2425</v>
      </c>
      <c r="D533" s="3">
        <f>Baupläne!J533</f>
        <v>0</v>
      </c>
      <c r="E533" s="3">
        <f>Baupläne!H533</f>
        <v>62</v>
      </c>
      <c r="F533" s="3">
        <f>Baupläne!I533</f>
        <v>14</v>
      </c>
      <c r="G533" s="3">
        <f>Baupläne!E533</f>
        <v>30</v>
      </c>
      <c r="H533" s="3">
        <f>Baupläne!F533</f>
        <v>180</v>
      </c>
      <c r="I533" s="3">
        <f>0.5*Baupläne!Y533</f>
        <v>2650</v>
      </c>
      <c r="J533" s="3">
        <f>Baupläne!G533</f>
        <v>0</v>
      </c>
      <c r="K533" s="3">
        <f>IF(L533&gt;0,INDEX(data_item!$A$1:$A$1994,MATCH(Baupläne!L533,data_item!$B$1:$B$1994,0),1),0)</f>
        <v>8</v>
      </c>
      <c r="L533" s="3">
        <f>Baupläne!K533</f>
        <v>10</v>
      </c>
      <c r="M533" s="3">
        <f>IF(N533&gt;0,INDEX(data_item!$A$1:$A$1994,MATCH(Baupläne!N533,data_item!$B$1:$B$994,0),1),0)</f>
        <v>101</v>
      </c>
      <c r="N533" s="3">
        <f>Baupläne!M533</f>
        <v>12</v>
      </c>
      <c r="O533" s="3">
        <f>IF(P533&gt;0,INDEX(data_item!$A$1:$A$1994,MATCH(Baupläne!P533,data_item!$B$1:$B$1994,0),1),0)</f>
        <v>106</v>
      </c>
      <c r="P533" s="3">
        <f>Baupläne!O533</f>
        <v>4</v>
      </c>
      <c r="Q533" s="3">
        <f>IF(R533&gt;0,INDEX(data_item!$A$1:$A$1994,MATCH(Baupläne!R533,data_item!$B$1:$B$1994,0),1),0)</f>
        <v>0</v>
      </c>
      <c r="R533" s="3">
        <f>Baupläne!Q533</f>
        <v>0</v>
      </c>
      <c r="S533" s="3">
        <f>IF(T533&gt;0,INDEX(data_item!$A$1:$A$1994,MATCH(Baupläne!T533,data_item!$B$1:$B$1994,0),1),0)</f>
        <v>303</v>
      </c>
      <c r="T533" s="3">
        <f>Baupläne!S533</f>
        <v>1</v>
      </c>
    </row>
    <row r="534" spans="1:20" x14ac:dyDescent="0.2">
      <c r="A534" s="3">
        <f>Baupläne!A534</f>
        <v>2431</v>
      </c>
      <c r="B534" s="3" t="str">
        <f>Baupläne!C534</f>
        <v>Rubin-Plattenhelm</v>
      </c>
      <c r="C534" s="3">
        <f>Baupläne!B534</f>
        <v>2431</v>
      </c>
      <c r="D534" s="3">
        <f>Baupläne!J534</f>
        <v>0</v>
      </c>
      <c r="E534" s="3">
        <f>Baupläne!H534</f>
        <v>62</v>
      </c>
      <c r="F534" s="3">
        <f>Baupläne!I534</f>
        <v>18</v>
      </c>
      <c r="G534" s="3">
        <f>Baupläne!E534</f>
        <v>30</v>
      </c>
      <c r="H534" s="3">
        <f>Baupläne!F534</f>
        <v>240</v>
      </c>
      <c r="I534" s="3">
        <f>0.5*Baupläne!Y534</f>
        <v>6200</v>
      </c>
      <c r="J534" s="3">
        <f>Baupläne!G534</f>
        <v>0</v>
      </c>
      <c r="K534" s="3">
        <f>IF(L534&gt;0,INDEX(data_item!$A$1:$A$1994,MATCH(Baupläne!L534,data_item!$B$1:$B$1994,0),1),0)</f>
        <v>9</v>
      </c>
      <c r="L534" s="3">
        <f>Baupläne!K534</f>
        <v>15</v>
      </c>
      <c r="M534" s="3">
        <f>IF(N534&gt;0,INDEX(data_item!$A$1:$A$1994,MATCH(Baupläne!N534,data_item!$B$1:$B$994,0),1),0)</f>
        <v>101</v>
      </c>
      <c r="N534" s="3">
        <f>Baupläne!M534</f>
        <v>14</v>
      </c>
      <c r="O534" s="3">
        <f>IF(P534&gt;0,INDEX(data_item!$A$1:$A$1994,MATCH(Baupläne!P534,data_item!$B$1:$B$1994,0),1),0)</f>
        <v>106</v>
      </c>
      <c r="P534" s="3">
        <f>Baupläne!O534</f>
        <v>15</v>
      </c>
      <c r="Q534" s="3">
        <f>IF(R534&gt;0,INDEX(data_item!$A$1:$A$1994,MATCH(Baupläne!R534,data_item!$B$1:$B$1994,0),1),0)</f>
        <v>0</v>
      </c>
      <c r="R534" s="3">
        <f>Baupläne!Q534</f>
        <v>0</v>
      </c>
      <c r="S534" s="3">
        <f>IF(T534&gt;0,INDEX(data_item!$A$1:$A$1994,MATCH(Baupläne!T534,data_item!$B$1:$B$1994,0),1),0)</f>
        <v>304</v>
      </c>
      <c r="T534" s="3">
        <f>Baupläne!S534</f>
        <v>1</v>
      </c>
    </row>
    <row r="535" spans="1:20" x14ac:dyDescent="0.2">
      <c r="A535" s="3">
        <f>Baupläne!A535</f>
        <v>2432</v>
      </c>
      <c r="B535" s="3" t="str">
        <f>Baupläne!C535</f>
        <v>Rubin-Plattenpanzer</v>
      </c>
      <c r="C535" s="3">
        <f>Baupläne!B535</f>
        <v>2432</v>
      </c>
      <c r="D535" s="3">
        <f>Baupläne!J535</f>
        <v>0</v>
      </c>
      <c r="E535" s="3">
        <f>Baupläne!H535</f>
        <v>62</v>
      </c>
      <c r="F535" s="3">
        <f>Baupläne!I535</f>
        <v>18</v>
      </c>
      <c r="G535" s="3">
        <f>Baupläne!E535</f>
        <v>30</v>
      </c>
      <c r="H535" s="3">
        <f>Baupläne!F535</f>
        <v>360</v>
      </c>
      <c r="I535" s="3">
        <f>0.5*Baupläne!Y535</f>
        <v>9300</v>
      </c>
      <c r="J535" s="3">
        <f>Baupläne!G535</f>
        <v>0</v>
      </c>
      <c r="K535" s="3">
        <f>IF(L535&gt;0,INDEX(data_item!$A$1:$A$1994,MATCH(Baupläne!L535,data_item!$B$1:$B$1994,0),1),0)</f>
        <v>9</v>
      </c>
      <c r="L535" s="3">
        <f>Baupläne!K535</f>
        <v>23</v>
      </c>
      <c r="M535" s="3">
        <f>IF(N535&gt;0,INDEX(data_item!$A$1:$A$1994,MATCH(Baupläne!N535,data_item!$B$1:$B$994,0),1),0)</f>
        <v>101</v>
      </c>
      <c r="N535" s="3">
        <f>Baupläne!M535</f>
        <v>14</v>
      </c>
      <c r="O535" s="3">
        <f>IF(P535&gt;0,INDEX(data_item!$A$1:$A$1994,MATCH(Baupläne!P535,data_item!$B$1:$B$1994,0),1),0)</f>
        <v>106</v>
      </c>
      <c r="P535" s="3">
        <f>Baupläne!O535</f>
        <v>25</v>
      </c>
      <c r="Q535" s="3">
        <f>IF(R535&gt;0,INDEX(data_item!$A$1:$A$1994,MATCH(Baupläne!R535,data_item!$B$1:$B$1994,0),1),0)</f>
        <v>0</v>
      </c>
      <c r="R535" s="3">
        <f>Baupläne!Q535</f>
        <v>0</v>
      </c>
      <c r="S535" s="3">
        <f>IF(T535&gt;0,INDEX(data_item!$A$1:$A$1994,MATCH(Baupläne!T535,data_item!$B$1:$B$1994,0),1),0)</f>
        <v>304</v>
      </c>
      <c r="T535" s="3">
        <f>Baupläne!S535</f>
        <v>1</v>
      </c>
    </row>
    <row r="536" spans="1:20" x14ac:dyDescent="0.2">
      <c r="A536" s="3">
        <f>Baupläne!A536</f>
        <v>2433</v>
      </c>
      <c r="B536" s="3" t="str">
        <f>Baupläne!C536</f>
        <v>Rubin-Plattenhandschuhe</v>
      </c>
      <c r="C536" s="3">
        <f>Baupläne!B536</f>
        <v>2433</v>
      </c>
      <c r="D536" s="3">
        <f>Baupläne!J536</f>
        <v>0</v>
      </c>
      <c r="E536" s="3">
        <f>Baupläne!H536</f>
        <v>62</v>
      </c>
      <c r="F536" s="3">
        <f>Baupläne!I536</f>
        <v>19</v>
      </c>
      <c r="G536" s="3">
        <f>Baupläne!E536</f>
        <v>30</v>
      </c>
      <c r="H536" s="3">
        <f>Baupläne!F536</f>
        <v>180</v>
      </c>
      <c r="I536" s="3">
        <f>0.5*Baupläne!Y536</f>
        <v>5350</v>
      </c>
      <c r="J536" s="3">
        <f>Baupläne!G536</f>
        <v>0</v>
      </c>
      <c r="K536" s="3">
        <f>IF(L536&gt;0,INDEX(data_item!$A$1:$A$1994,MATCH(Baupläne!L536,data_item!$B$1:$B$1994,0),1),0)</f>
        <v>9</v>
      </c>
      <c r="L536" s="3">
        <f>Baupläne!K536</f>
        <v>13</v>
      </c>
      <c r="M536" s="3">
        <f>IF(N536&gt;0,INDEX(data_item!$A$1:$A$1994,MATCH(Baupläne!N536,data_item!$B$1:$B$994,0),1),0)</f>
        <v>101</v>
      </c>
      <c r="N536" s="3">
        <f>Baupläne!M536</f>
        <v>14</v>
      </c>
      <c r="O536" s="3">
        <f>IF(P536&gt;0,INDEX(data_item!$A$1:$A$1994,MATCH(Baupläne!P536,data_item!$B$1:$B$1994,0),1),0)</f>
        <v>106</v>
      </c>
      <c r="P536" s="3">
        <f>Baupläne!O536</f>
        <v>12</v>
      </c>
      <c r="Q536" s="3">
        <f>IF(R536&gt;0,INDEX(data_item!$A$1:$A$1994,MATCH(Baupläne!R536,data_item!$B$1:$B$1994,0),1),0)</f>
        <v>0</v>
      </c>
      <c r="R536" s="3">
        <f>Baupläne!Q536</f>
        <v>0</v>
      </c>
      <c r="S536" s="3">
        <f>IF(T536&gt;0,INDEX(data_item!$A$1:$A$1994,MATCH(Baupläne!T536,data_item!$B$1:$B$1994,0),1),0)</f>
        <v>304</v>
      </c>
      <c r="T536" s="3">
        <f>Baupläne!S536</f>
        <v>1</v>
      </c>
    </row>
    <row r="537" spans="1:20" x14ac:dyDescent="0.2">
      <c r="A537" s="3">
        <f>Baupläne!A537</f>
        <v>2434</v>
      </c>
      <c r="B537" s="3" t="str">
        <f>Baupläne!C537</f>
        <v>Rubin-Plattenbeinlinge</v>
      </c>
      <c r="C537" s="3">
        <f>Baupläne!B537</f>
        <v>2434</v>
      </c>
      <c r="D537" s="3">
        <f>Baupläne!J537</f>
        <v>0</v>
      </c>
      <c r="E537" s="3">
        <f>Baupläne!H537</f>
        <v>62</v>
      </c>
      <c r="F537" s="3">
        <f>Baupläne!I537</f>
        <v>19</v>
      </c>
      <c r="G537" s="3">
        <f>Baupläne!E537</f>
        <v>30</v>
      </c>
      <c r="H537" s="3">
        <f>Baupläne!F537</f>
        <v>240</v>
      </c>
      <c r="I537" s="3">
        <f>0.5*Baupläne!Y537</f>
        <v>7100</v>
      </c>
      <c r="J537" s="3">
        <f>Baupläne!G537</f>
        <v>0</v>
      </c>
      <c r="K537" s="3">
        <f>IF(L537&gt;0,INDEX(data_item!$A$1:$A$1994,MATCH(Baupläne!L537,data_item!$B$1:$B$1994,0),1),0)</f>
        <v>9</v>
      </c>
      <c r="L537" s="3">
        <f>Baupläne!K537</f>
        <v>17</v>
      </c>
      <c r="M537" s="3">
        <f>IF(N537&gt;0,INDEX(data_item!$A$1:$A$1994,MATCH(Baupläne!N537,data_item!$B$1:$B$994,0),1),0)</f>
        <v>101</v>
      </c>
      <c r="N537" s="3">
        <f>Baupläne!M537</f>
        <v>14</v>
      </c>
      <c r="O537" s="3">
        <f>IF(P537&gt;0,INDEX(data_item!$A$1:$A$1994,MATCH(Baupläne!P537,data_item!$B$1:$B$1994,0),1),0)</f>
        <v>106</v>
      </c>
      <c r="P537" s="3">
        <f>Baupläne!O537</f>
        <v>18</v>
      </c>
      <c r="Q537" s="3">
        <f>IF(R537&gt;0,INDEX(data_item!$A$1:$A$1994,MATCH(Baupläne!R537,data_item!$B$1:$B$1994,0),1),0)</f>
        <v>0</v>
      </c>
      <c r="R537" s="3">
        <f>Baupläne!Q537</f>
        <v>0</v>
      </c>
      <c r="S537" s="3">
        <f>IF(T537&gt;0,INDEX(data_item!$A$1:$A$1994,MATCH(Baupläne!T537,data_item!$B$1:$B$1994,0),1),0)</f>
        <v>304</v>
      </c>
      <c r="T537" s="3">
        <f>Baupläne!S537</f>
        <v>1</v>
      </c>
    </row>
    <row r="538" spans="1:20" x14ac:dyDescent="0.2">
      <c r="A538" s="3">
        <f>Baupläne!A538</f>
        <v>2435</v>
      </c>
      <c r="B538" s="3" t="str">
        <f>Baupläne!C538</f>
        <v>Rubin-Plattenstiefel</v>
      </c>
      <c r="C538" s="3">
        <f>Baupläne!B538</f>
        <v>2435</v>
      </c>
      <c r="D538" s="3">
        <f>Baupläne!J538</f>
        <v>0</v>
      </c>
      <c r="E538" s="3">
        <f>Baupläne!H538</f>
        <v>62</v>
      </c>
      <c r="F538" s="3">
        <f>Baupläne!I538</f>
        <v>19</v>
      </c>
      <c r="G538" s="3">
        <f>Baupläne!E538</f>
        <v>30</v>
      </c>
      <c r="H538" s="3">
        <f>Baupläne!F538</f>
        <v>180</v>
      </c>
      <c r="I538" s="3">
        <f>0.5*Baupläne!Y538</f>
        <v>5350</v>
      </c>
      <c r="J538" s="3">
        <f>Baupläne!G538</f>
        <v>0</v>
      </c>
      <c r="K538" s="3">
        <f>IF(L538&gt;0,INDEX(data_item!$A$1:$A$1994,MATCH(Baupläne!L538,data_item!$B$1:$B$1994,0),1),0)</f>
        <v>9</v>
      </c>
      <c r="L538" s="3">
        <f>Baupläne!K538</f>
        <v>13</v>
      </c>
      <c r="M538" s="3">
        <f>IF(N538&gt;0,INDEX(data_item!$A$1:$A$1994,MATCH(Baupläne!N538,data_item!$B$1:$B$994,0),1),0)</f>
        <v>101</v>
      </c>
      <c r="N538" s="3">
        <f>Baupläne!M538</f>
        <v>14</v>
      </c>
      <c r="O538" s="3">
        <f>IF(P538&gt;0,INDEX(data_item!$A$1:$A$1994,MATCH(Baupläne!P538,data_item!$B$1:$B$1994,0),1),0)</f>
        <v>106</v>
      </c>
      <c r="P538" s="3">
        <f>Baupläne!O538</f>
        <v>12</v>
      </c>
      <c r="Q538" s="3">
        <f>IF(R538&gt;0,INDEX(data_item!$A$1:$A$1994,MATCH(Baupläne!R538,data_item!$B$1:$B$1994,0),1),0)</f>
        <v>0</v>
      </c>
      <c r="R538" s="3">
        <f>Baupläne!Q538</f>
        <v>0</v>
      </c>
      <c r="S538" s="3">
        <f>IF(T538&gt;0,INDEX(data_item!$A$1:$A$1994,MATCH(Baupläne!T538,data_item!$B$1:$B$1994,0),1),0)</f>
        <v>304</v>
      </c>
      <c r="T538" s="3">
        <f>Baupläne!S538</f>
        <v>1</v>
      </c>
    </row>
    <row r="539" spans="1:20" x14ac:dyDescent="0.2">
      <c r="A539" s="3">
        <f>Baupläne!A539</f>
        <v>2441</v>
      </c>
      <c r="B539" s="3" t="str">
        <f>Baupläne!C539</f>
        <v>Obsidian-Plattenhelm</v>
      </c>
      <c r="C539" s="3">
        <f>Baupläne!B539</f>
        <v>2441</v>
      </c>
      <c r="D539" s="3">
        <f>Baupläne!J539</f>
        <v>0</v>
      </c>
      <c r="E539" s="3">
        <f>Baupläne!H539</f>
        <v>62</v>
      </c>
      <c r="F539" s="3">
        <f>Baupläne!I539</f>
        <v>23</v>
      </c>
      <c r="G539" s="3">
        <f>Baupläne!E539</f>
        <v>30</v>
      </c>
      <c r="H539" s="3">
        <f>Baupläne!F539</f>
        <v>240</v>
      </c>
      <c r="I539" s="3">
        <f>0.5*Baupläne!Y539</f>
        <v>12450</v>
      </c>
      <c r="J539" s="3">
        <f>Baupläne!G539</f>
        <v>0</v>
      </c>
      <c r="K539" s="3">
        <f>IF(L539&gt;0,INDEX(data_item!$A$1:$A$1994,MATCH(Baupläne!L539,data_item!$B$1:$B$1994,0),1),0)</f>
        <v>10</v>
      </c>
      <c r="L539" s="3">
        <f>Baupläne!K539</f>
        <v>22</v>
      </c>
      <c r="M539" s="3">
        <f>IF(N539&gt;0,INDEX(data_item!$A$1:$A$1994,MATCH(Baupläne!N539,data_item!$B$1:$B$994,0),1),0)</f>
        <v>101</v>
      </c>
      <c r="N539" s="3">
        <f>Baupläne!M539</f>
        <v>8</v>
      </c>
      <c r="O539" s="3">
        <f>IF(P539&gt;0,INDEX(data_item!$A$1:$A$1994,MATCH(Baupläne!P539,data_item!$B$1:$B$1994,0),1),0)</f>
        <v>106</v>
      </c>
      <c r="P539" s="3">
        <f>Baupläne!O539</f>
        <v>8</v>
      </c>
      <c r="Q539" s="3">
        <f>IF(R539&gt;0,INDEX(data_item!$A$1:$A$1994,MATCH(Baupläne!R539,data_item!$B$1:$B$1994,0),1),0)</f>
        <v>107</v>
      </c>
      <c r="R539" s="3">
        <f>Baupläne!Q539</f>
        <v>12</v>
      </c>
      <c r="S539" s="3">
        <f>IF(T539&gt;0,INDEX(data_item!$A$1:$A$1994,MATCH(Baupläne!T539,data_item!$B$1:$B$1994,0),1),0)</f>
        <v>305</v>
      </c>
      <c r="T539" s="3">
        <f>Baupläne!S539</f>
        <v>1</v>
      </c>
    </row>
    <row r="540" spans="1:20" x14ac:dyDescent="0.2">
      <c r="A540" s="3">
        <f>Baupläne!A540</f>
        <v>2442</v>
      </c>
      <c r="B540" s="3" t="str">
        <f>Baupläne!C540</f>
        <v>Obsidian-Plattenpanzer</v>
      </c>
      <c r="C540" s="3">
        <f>Baupläne!B540</f>
        <v>2442</v>
      </c>
      <c r="D540" s="3">
        <f>Baupläne!J540</f>
        <v>0</v>
      </c>
      <c r="E540" s="3">
        <f>Baupläne!H540</f>
        <v>62</v>
      </c>
      <c r="F540" s="3">
        <f>Baupläne!I540</f>
        <v>23</v>
      </c>
      <c r="G540" s="3">
        <f>Baupläne!E540</f>
        <v>30</v>
      </c>
      <c r="H540" s="3">
        <f>Baupläne!F540</f>
        <v>360</v>
      </c>
      <c r="I540" s="3">
        <f>0.5*Baupläne!Y540</f>
        <v>18650</v>
      </c>
      <c r="J540" s="3">
        <f>Baupläne!G540</f>
        <v>0</v>
      </c>
      <c r="K540" s="3">
        <f>IF(L540&gt;0,INDEX(data_item!$A$1:$A$1994,MATCH(Baupläne!L540,data_item!$B$1:$B$1994,0),1),0)</f>
        <v>10</v>
      </c>
      <c r="L540" s="3">
        <f>Baupläne!K540</f>
        <v>34</v>
      </c>
      <c r="M540" s="3">
        <f>IF(N540&gt;0,INDEX(data_item!$A$1:$A$1994,MATCH(Baupläne!N540,data_item!$B$1:$B$994,0),1),0)</f>
        <v>101</v>
      </c>
      <c r="N540" s="3">
        <f>Baupläne!M540</f>
        <v>15</v>
      </c>
      <c r="O540" s="3">
        <f>IF(P540&gt;0,INDEX(data_item!$A$1:$A$1994,MATCH(Baupläne!P540,data_item!$B$1:$B$1994,0),1),0)</f>
        <v>106</v>
      </c>
      <c r="P540" s="3">
        <f>Baupläne!O540</f>
        <v>10</v>
      </c>
      <c r="Q540" s="3">
        <f>IF(R540&gt;0,INDEX(data_item!$A$1:$A$1994,MATCH(Baupläne!R540,data_item!$B$1:$B$1994,0),1),0)</f>
        <v>107</v>
      </c>
      <c r="R540" s="3">
        <f>Baupläne!Q540</f>
        <v>18</v>
      </c>
      <c r="S540" s="3">
        <f>IF(T540&gt;0,INDEX(data_item!$A$1:$A$1994,MATCH(Baupläne!T540,data_item!$B$1:$B$1994,0),1),0)</f>
        <v>305</v>
      </c>
      <c r="T540" s="3">
        <f>Baupläne!S540</f>
        <v>1</v>
      </c>
    </row>
    <row r="541" spans="1:20" x14ac:dyDescent="0.2">
      <c r="A541" s="3">
        <f>Baupläne!A541</f>
        <v>2443</v>
      </c>
      <c r="B541" s="3" t="str">
        <f>Baupläne!C541</f>
        <v>Obsidian-Plattenhandschuhe</v>
      </c>
      <c r="C541" s="3">
        <f>Baupläne!B541</f>
        <v>2443</v>
      </c>
      <c r="D541" s="3">
        <f>Baupläne!J541</f>
        <v>0</v>
      </c>
      <c r="E541" s="3">
        <f>Baupläne!H541</f>
        <v>62</v>
      </c>
      <c r="F541" s="3">
        <f>Baupläne!I541</f>
        <v>24</v>
      </c>
      <c r="G541" s="3">
        <f>Baupläne!E541</f>
        <v>30</v>
      </c>
      <c r="H541" s="3">
        <f>Baupläne!F541</f>
        <v>180</v>
      </c>
      <c r="I541" s="3">
        <f>0.5*Baupläne!Y541</f>
        <v>10750</v>
      </c>
      <c r="J541" s="3">
        <f>Baupläne!G541</f>
        <v>0</v>
      </c>
      <c r="K541" s="3">
        <f>IF(L541&gt;0,INDEX(data_item!$A$1:$A$1994,MATCH(Baupläne!L541,data_item!$B$1:$B$1994,0),1),0)</f>
        <v>10</v>
      </c>
      <c r="L541" s="3">
        <f>Baupläne!K541</f>
        <v>20</v>
      </c>
      <c r="M541" s="3">
        <f>IF(N541&gt;0,INDEX(data_item!$A$1:$A$1994,MATCH(Baupläne!N541,data_item!$B$1:$B$994,0),1),0)</f>
        <v>101</v>
      </c>
      <c r="N541" s="3">
        <f>Baupläne!M541</f>
        <v>6</v>
      </c>
      <c r="O541" s="3">
        <f>IF(P541&gt;0,INDEX(data_item!$A$1:$A$1994,MATCH(Baupläne!P541,data_item!$B$1:$B$1994,0),1),0)</f>
        <v>106</v>
      </c>
      <c r="P541" s="3">
        <f>Baupläne!O541</f>
        <v>8</v>
      </c>
      <c r="Q541" s="3">
        <f>IF(R541&gt;0,INDEX(data_item!$A$1:$A$1994,MATCH(Baupläne!R541,data_item!$B$1:$B$1994,0),1),0)</f>
        <v>107</v>
      </c>
      <c r="R541" s="3">
        <f>Baupläne!Q541</f>
        <v>10</v>
      </c>
      <c r="S541" s="3">
        <f>IF(T541&gt;0,INDEX(data_item!$A$1:$A$1994,MATCH(Baupläne!T541,data_item!$B$1:$B$1994,0),1),0)</f>
        <v>305</v>
      </c>
      <c r="T541" s="3">
        <f>Baupläne!S541</f>
        <v>1</v>
      </c>
    </row>
    <row r="542" spans="1:20" x14ac:dyDescent="0.2">
      <c r="A542" s="3">
        <f>Baupläne!A542</f>
        <v>2444</v>
      </c>
      <c r="B542" s="3" t="str">
        <f>Baupläne!C542</f>
        <v>Obsidian-Plattenbeinlinge</v>
      </c>
      <c r="C542" s="3">
        <f>Baupläne!B542</f>
        <v>2444</v>
      </c>
      <c r="D542" s="3">
        <f>Baupläne!J542</f>
        <v>0</v>
      </c>
      <c r="E542" s="3">
        <f>Baupläne!H542</f>
        <v>62</v>
      </c>
      <c r="F542" s="3">
        <f>Baupläne!I542</f>
        <v>24</v>
      </c>
      <c r="G542" s="3">
        <f>Baupläne!E542</f>
        <v>30</v>
      </c>
      <c r="H542" s="3">
        <f>Baupläne!F542</f>
        <v>240</v>
      </c>
      <c r="I542" s="3">
        <f>0.5*Baupläne!Y542</f>
        <v>14300</v>
      </c>
      <c r="J542" s="3">
        <f>Baupläne!G542</f>
        <v>0</v>
      </c>
      <c r="K542" s="3">
        <f>IF(L542&gt;0,INDEX(data_item!$A$1:$A$1994,MATCH(Baupläne!L542,data_item!$B$1:$B$1994,0),1),0)</f>
        <v>10</v>
      </c>
      <c r="L542" s="3">
        <f>Baupläne!K542</f>
        <v>26</v>
      </c>
      <c r="M542" s="3">
        <f>IF(N542&gt;0,INDEX(data_item!$A$1:$A$1994,MATCH(Baupläne!N542,data_item!$B$1:$B$994,0),1),0)</f>
        <v>101</v>
      </c>
      <c r="N542" s="3">
        <f>Baupläne!M542</f>
        <v>8</v>
      </c>
      <c r="O542" s="3">
        <f>IF(P542&gt;0,INDEX(data_item!$A$1:$A$1994,MATCH(Baupläne!P542,data_item!$B$1:$B$1994,0),1),0)</f>
        <v>106</v>
      </c>
      <c r="P542" s="3">
        <f>Baupläne!O542</f>
        <v>6</v>
      </c>
      <c r="Q542" s="3">
        <f>IF(R542&gt;0,INDEX(data_item!$A$1:$A$1994,MATCH(Baupläne!R542,data_item!$B$1:$B$1994,0),1),0)</f>
        <v>107</v>
      </c>
      <c r="R542" s="3">
        <f>Baupläne!Q542</f>
        <v>15</v>
      </c>
      <c r="S542" s="3">
        <f>IF(T542&gt;0,INDEX(data_item!$A$1:$A$1994,MATCH(Baupläne!T542,data_item!$B$1:$B$1994,0),1),0)</f>
        <v>305</v>
      </c>
      <c r="T542" s="3">
        <f>Baupläne!S542</f>
        <v>1</v>
      </c>
    </row>
    <row r="543" spans="1:20" x14ac:dyDescent="0.2">
      <c r="A543" s="3">
        <f>Baupläne!A543</f>
        <v>2445</v>
      </c>
      <c r="B543" s="3" t="str">
        <f>Baupläne!C543</f>
        <v>Obsidian-Plattenstiefel</v>
      </c>
      <c r="C543" s="3">
        <f>Baupläne!B543</f>
        <v>2445</v>
      </c>
      <c r="D543" s="3">
        <f>Baupläne!J543</f>
        <v>0</v>
      </c>
      <c r="E543" s="3">
        <f>Baupläne!H543</f>
        <v>62</v>
      </c>
      <c r="F543" s="3">
        <f>Baupläne!I543</f>
        <v>24</v>
      </c>
      <c r="G543" s="3">
        <f>Baupläne!E543</f>
        <v>30</v>
      </c>
      <c r="H543" s="3">
        <f>Baupläne!F543</f>
        <v>180</v>
      </c>
      <c r="I543" s="3">
        <f>0.5*Baupläne!Y543</f>
        <v>10750</v>
      </c>
      <c r="J543" s="3">
        <f>Baupläne!G543</f>
        <v>0</v>
      </c>
      <c r="K543" s="3">
        <f>IF(L543&gt;0,INDEX(data_item!$A$1:$A$1994,MATCH(Baupläne!L543,data_item!$B$1:$B$1994,0),1),0)</f>
        <v>10</v>
      </c>
      <c r="L543" s="3">
        <f>Baupläne!K543</f>
        <v>20</v>
      </c>
      <c r="M543" s="3">
        <f>IF(N543&gt;0,INDEX(data_item!$A$1:$A$1994,MATCH(Baupläne!N543,data_item!$B$1:$B$994,0),1),0)</f>
        <v>101</v>
      </c>
      <c r="N543" s="3">
        <f>Baupläne!M543</f>
        <v>6</v>
      </c>
      <c r="O543" s="3">
        <f>IF(P543&gt;0,INDEX(data_item!$A$1:$A$1994,MATCH(Baupläne!P543,data_item!$B$1:$B$1994,0),1),0)</f>
        <v>106</v>
      </c>
      <c r="P543" s="3">
        <f>Baupläne!O543</f>
        <v>8</v>
      </c>
      <c r="Q543" s="3">
        <f>IF(R543&gt;0,INDEX(data_item!$A$1:$A$1994,MATCH(Baupläne!R543,data_item!$B$1:$B$1994,0),1),0)</f>
        <v>107</v>
      </c>
      <c r="R543" s="3">
        <f>Baupläne!Q543</f>
        <v>10</v>
      </c>
      <c r="S543" s="3">
        <f>IF(T543&gt;0,INDEX(data_item!$A$1:$A$1994,MATCH(Baupläne!T543,data_item!$B$1:$B$1994,0),1),0)</f>
        <v>305</v>
      </c>
      <c r="T543" s="3">
        <f>Baupläne!S543</f>
        <v>1</v>
      </c>
    </row>
    <row r="544" spans="1:20" x14ac:dyDescent="0.2">
      <c r="A544" s="3">
        <f>Baupläne!A544</f>
        <v>0</v>
      </c>
      <c r="B544" s="3">
        <f>Baupläne!C544</f>
        <v>0</v>
      </c>
      <c r="C544" s="3">
        <f>Baupläne!B544</f>
        <v>0</v>
      </c>
      <c r="D544" s="3">
        <f>Baupläne!J544</f>
        <v>0</v>
      </c>
      <c r="E544" s="3">
        <f>Baupläne!H544</f>
        <v>0</v>
      </c>
      <c r="F544" s="3">
        <f>Baupläne!I544</f>
        <v>0</v>
      </c>
      <c r="G544" s="3">
        <f>Baupläne!E544</f>
        <v>0</v>
      </c>
      <c r="H544" s="3">
        <f>Baupläne!F544</f>
        <v>0</v>
      </c>
      <c r="I544" s="3">
        <f>0.5*Baupläne!Y544</f>
        <v>0</v>
      </c>
      <c r="J544" s="3">
        <f>Baupläne!G544</f>
        <v>0</v>
      </c>
      <c r="K544" s="3">
        <f>IF(L544&gt;0,INDEX(data_item!$A$1:$A$1994,MATCH(Baupläne!L544,data_item!$B$1:$B$1994,0),1),0)</f>
        <v>0</v>
      </c>
      <c r="L544" s="3">
        <f>Baupläne!K544</f>
        <v>0</v>
      </c>
      <c r="M544" s="3">
        <f>IF(N544&gt;0,INDEX(data_item!$A$1:$A$1994,MATCH(Baupläne!N544,data_item!$B$1:$B$994,0),1),0)</f>
        <v>0</v>
      </c>
      <c r="N544" s="3">
        <f>Baupläne!M544</f>
        <v>0</v>
      </c>
      <c r="O544" s="3">
        <f>IF(P544&gt;0,INDEX(data_item!$A$1:$A$1994,MATCH(Baupläne!P544,data_item!$B$1:$B$1994,0),1),0)</f>
        <v>0</v>
      </c>
      <c r="P544" s="3">
        <f>Baupläne!O544</f>
        <v>0</v>
      </c>
      <c r="Q544" s="3">
        <f>IF(R544&gt;0,INDEX(data_item!$A$1:$A$1994,MATCH(Baupläne!R544,data_item!$B$1:$B$1994,0),1),0)</f>
        <v>0</v>
      </c>
      <c r="R544" s="3">
        <f>Baupläne!Q544</f>
        <v>0</v>
      </c>
      <c r="S544" s="3">
        <f>IF(T544&gt;0,INDEX(data_item!$A$1:$A$1994,MATCH(Baupläne!T544,data_item!$B$1:$B$1994,0),1),0)</f>
        <v>0</v>
      </c>
      <c r="T544" s="3">
        <f>Baupläne!S544</f>
        <v>0</v>
      </c>
    </row>
    <row r="545" spans="1:20" x14ac:dyDescent="0.2">
      <c r="A545" s="3">
        <f>Baupläne!A545</f>
        <v>2501</v>
      </c>
      <c r="B545" s="3" t="str">
        <f>Baupläne!C545</f>
        <v>Achat-Rundschild</v>
      </c>
      <c r="C545" s="3">
        <f>Baupläne!B545</f>
        <v>2501</v>
      </c>
      <c r="D545" s="3">
        <f>Baupläne!J545</f>
        <v>0</v>
      </c>
      <c r="E545" s="3">
        <f>Baupläne!H545</f>
        <v>61</v>
      </c>
      <c r="F545" s="3">
        <f>Baupläne!I545</f>
        <v>3</v>
      </c>
      <c r="G545" s="3">
        <f>Baupläne!E545</f>
        <v>31</v>
      </c>
      <c r="H545" s="3">
        <f>Baupläne!F545</f>
        <v>320</v>
      </c>
      <c r="I545" s="3">
        <f>0.5*Baupläne!Y545</f>
        <v>750</v>
      </c>
      <c r="J545" s="3">
        <f>Baupläne!G545</f>
        <v>0</v>
      </c>
      <c r="K545" s="3">
        <f>IF(L545&gt;0,INDEX(data_item!$A$1:$A$1994,MATCH(Baupläne!L545,data_item!$B$1:$B$1994,0),1),0)</f>
        <v>46</v>
      </c>
      <c r="L545" s="3">
        <f>Baupläne!K545</f>
        <v>8</v>
      </c>
      <c r="M545" s="3">
        <f>IF(N545&gt;0,INDEX(data_item!$A$1:$A$1994,MATCH(Baupläne!N545,data_item!$B$1:$B$994,0),1),0)</f>
        <v>117</v>
      </c>
      <c r="N545" s="3">
        <f>Baupläne!M545</f>
        <v>6</v>
      </c>
      <c r="O545" s="3">
        <f>IF(P545&gt;0,INDEX(data_item!$A$1:$A$1994,MATCH(Baupläne!P545,data_item!$B$1:$B$1994,0),1),0)</f>
        <v>0</v>
      </c>
      <c r="P545" s="3">
        <f>Baupläne!O545</f>
        <v>0</v>
      </c>
      <c r="Q545" s="3">
        <f>IF(R545&gt;0,INDEX(data_item!$A$1:$A$1994,MATCH(Baupläne!R545,data_item!$B$1:$B$1994,0),1),0)</f>
        <v>0</v>
      </c>
      <c r="R545" s="3">
        <f>Baupläne!Q545</f>
        <v>0</v>
      </c>
      <c r="S545" s="3">
        <f>IF(T545&gt;0,INDEX(data_item!$A$1:$A$1994,MATCH(Baupläne!T545,data_item!$B$1:$B$1994,0),1),0)</f>
        <v>306</v>
      </c>
      <c r="T545" s="3">
        <f>Baupläne!S545</f>
        <v>2</v>
      </c>
    </row>
    <row r="546" spans="1:20" x14ac:dyDescent="0.2">
      <c r="A546" s="3">
        <f>Baupläne!A546</f>
        <v>2502</v>
      </c>
      <c r="B546" s="3" t="str">
        <f>Baupläne!C546</f>
        <v>Topas-Rundschild</v>
      </c>
      <c r="C546" s="3">
        <f>Baupläne!B546</f>
        <v>2502</v>
      </c>
      <c r="D546" s="3">
        <f>Baupläne!J546</f>
        <v>0</v>
      </c>
      <c r="E546" s="3">
        <f>Baupläne!H546</f>
        <v>61</v>
      </c>
      <c r="F546" s="3">
        <f>Baupläne!I546</f>
        <v>8</v>
      </c>
      <c r="G546" s="3">
        <f>Baupläne!E546</f>
        <v>31</v>
      </c>
      <c r="H546" s="3">
        <f>Baupläne!F546</f>
        <v>320</v>
      </c>
      <c r="I546" s="3">
        <f>0.5*Baupläne!Y546</f>
        <v>1550</v>
      </c>
      <c r="J546" s="3">
        <f>Baupläne!G546</f>
        <v>0</v>
      </c>
      <c r="K546" s="3">
        <f>IF(L546&gt;0,INDEX(data_item!$A$1:$A$1994,MATCH(Baupläne!L546,data_item!$B$1:$B$1994,0),1),0)</f>
        <v>47</v>
      </c>
      <c r="L546" s="3">
        <f>Baupläne!K546</f>
        <v>8</v>
      </c>
      <c r="M546" s="3">
        <f>IF(N546&gt;0,INDEX(data_item!$A$1:$A$1994,MATCH(Baupläne!N546,data_item!$B$1:$B$994,0),1),0)</f>
        <v>117</v>
      </c>
      <c r="N546" s="3">
        <f>Baupläne!M546</f>
        <v>12</v>
      </c>
      <c r="O546" s="3">
        <f>IF(P546&gt;0,INDEX(data_item!$A$1:$A$1994,MATCH(Baupläne!P546,data_item!$B$1:$B$1994,0),1),0)</f>
        <v>0</v>
      </c>
      <c r="P546" s="3">
        <f>Baupläne!O546</f>
        <v>0</v>
      </c>
      <c r="Q546" s="3">
        <f>IF(R546&gt;0,INDEX(data_item!$A$1:$A$1994,MATCH(Baupläne!R546,data_item!$B$1:$B$1994,0),1),0)</f>
        <v>0</v>
      </c>
      <c r="R546" s="3">
        <f>Baupläne!Q546</f>
        <v>0</v>
      </c>
      <c r="S546" s="3">
        <f>IF(T546&gt;0,INDEX(data_item!$A$1:$A$1994,MATCH(Baupläne!T546,data_item!$B$1:$B$1994,0),1),0)</f>
        <v>307</v>
      </c>
      <c r="T546" s="3">
        <f>Baupläne!S546</f>
        <v>2</v>
      </c>
    </row>
    <row r="547" spans="1:20" x14ac:dyDescent="0.2">
      <c r="A547" s="3">
        <f>Baupläne!A547</f>
        <v>2503</v>
      </c>
      <c r="B547" s="3" t="str">
        <f>Baupläne!C547</f>
        <v>Saphir-Rundschild</v>
      </c>
      <c r="C547" s="3">
        <f>Baupläne!B547</f>
        <v>2503</v>
      </c>
      <c r="D547" s="3">
        <f>Baupläne!J547</f>
        <v>0</v>
      </c>
      <c r="E547" s="3">
        <f>Baupläne!H547</f>
        <v>61</v>
      </c>
      <c r="F547" s="3">
        <f>Baupläne!I547</f>
        <v>13</v>
      </c>
      <c r="G547" s="3">
        <f>Baupläne!E547</f>
        <v>31</v>
      </c>
      <c r="H547" s="3">
        <f>Baupläne!F547</f>
        <v>320</v>
      </c>
      <c r="I547" s="3">
        <f>0.5*Baupläne!Y547</f>
        <v>3100</v>
      </c>
      <c r="J547" s="3">
        <f>Baupläne!G547</f>
        <v>0</v>
      </c>
      <c r="K547" s="3">
        <f>IF(L547&gt;0,INDEX(data_item!$A$1:$A$1994,MATCH(Baupläne!L547,data_item!$B$1:$B$1994,0),1),0)</f>
        <v>48</v>
      </c>
      <c r="L547" s="3">
        <f>Baupläne!K547</f>
        <v>11</v>
      </c>
      <c r="M547" s="3">
        <f>IF(N547&gt;0,INDEX(data_item!$A$1:$A$1994,MATCH(Baupläne!N547,data_item!$B$1:$B$994,0),1),0)</f>
        <v>117</v>
      </c>
      <c r="N547" s="3">
        <f>Baupläne!M547</f>
        <v>8</v>
      </c>
      <c r="O547" s="3">
        <f>IF(P547&gt;0,INDEX(data_item!$A$1:$A$1994,MATCH(Baupläne!P547,data_item!$B$1:$B$1994,0),1),0)</f>
        <v>118</v>
      </c>
      <c r="P547" s="3">
        <f>Baupläne!O547</f>
        <v>7</v>
      </c>
      <c r="Q547" s="3">
        <f>IF(R547&gt;0,INDEX(data_item!$A$1:$A$1994,MATCH(Baupläne!R547,data_item!$B$1:$B$1994,0),1),0)</f>
        <v>0</v>
      </c>
      <c r="R547" s="3">
        <f>Baupläne!Q547</f>
        <v>0</v>
      </c>
      <c r="S547" s="3">
        <f>IF(T547&gt;0,INDEX(data_item!$A$1:$A$1994,MATCH(Baupläne!T547,data_item!$B$1:$B$1994,0),1),0)</f>
        <v>308</v>
      </c>
      <c r="T547" s="3">
        <f>Baupläne!S547</f>
        <v>2</v>
      </c>
    </row>
    <row r="548" spans="1:20" x14ac:dyDescent="0.2">
      <c r="A548" s="3">
        <f>Baupläne!A548</f>
        <v>2504</v>
      </c>
      <c r="B548" s="3" t="str">
        <f>Baupläne!C548</f>
        <v>Lapis-Rundschild</v>
      </c>
      <c r="C548" s="3">
        <f>Baupläne!B548</f>
        <v>2504</v>
      </c>
      <c r="D548" s="3">
        <f>Baupläne!J548</f>
        <v>0</v>
      </c>
      <c r="E548" s="3">
        <f>Baupläne!H548</f>
        <v>61</v>
      </c>
      <c r="F548" s="3">
        <f>Baupläne!I548</f>
        <v>18</v>
      </c>
      <c r="G548" s="3">
        <f>Baupläne!E548</f>
        <v>31</v>
      </c>
      <c r="H548" s="3">
        <f>Baupläne!F548</f>
        <v>320</v>
      </c>
      <c r="I548" s="3">
        <f>0.5*Baupläne!Y548</f>
        <v>6200</v>
      </c>
      <c r="J548" s="3">
        <f>Baupläne!G548</f>
        <v>0</v>
      </c>
      <c r="K548" s="3">
        <f>IF(L548&gt;0,INDEX(data_item!$A$1:$A$1994,MATCH(Baupläne!L548,data_item!$B$1:$B$1994,0),1),0)</f>
        <v>49</v>
      </c>
      <c r="L548" s="3">
        <f>Baupläne!K548</f>
        <v>15</v>
      </c>
      <c r="M548" s="3">
        <f>IF(N548&gt;0,INDEX(data_item!$A$1:$A$1994,MATCH(Baupläne!N548,data_item!$B$1:$B$994,0),1),0)</f>
        <v>117</v>
      </c>
      <c r="N548" s="3">
        <f>Baupläne!M548</f>
        <v>9</v>
      </c>
      <c r="O548" s="3">
        <f>IF(P548&gt;0,INDEX(data_item!$A$1:$A$1994,MATCH(Baupläne!P548,data_item!$B$1:$B$1994,0),1),0)</f>
        <v>118</v>
      </c>
      <c r="P548" s="3">
        <f>Baupläne!O548</f>
        <v>7</v>
      </c>
      <c r="Q548" s="3">
        <f>IF(R548&gt;0,INDEX(data_item!$A$1:$A$1994,MATCH(Baupläne!R548,data_item!$B$1:$B$1994,0),1),0)</f>
        <v>119</v>
      </c>
      <c r="R548" s="3">
        <f>Baupläne!Q548</f>
        <v>4</v>
      </c>
      <c r="S548" s="3">
        <f>IF(T548&gt;0,INDEX(data_item!$A$1:$A$1994,MATCH(Baupläne!T548,data_item!$B$1:$B$1994,0),1),0)</f>
        <v>309</v>
      </c>
      <c r="T548" s="3">
        <f>Baupläne!S548</f>
        <v>2</v>
      </c>
    </row>
    <row r="549" spans="1:20" x14ac:dyDescent="0.2">
      <c r="A549" s="3">
        <f>Baupläne!A549</f>
        <v>2505</v>
      </c>
      <c r="B549" s="3" t="str">
        <f>Baupläne!C549</f>
        <v>Diamant-Rundschild</v>
      </c>
      <c r="C549" s="3">
        <f>Baupläne!B549</f>
        <v>2505</v>
      </c>
      <c r="D549" s="3">
        <f>Baupläne!J549</f>
        <v>0</v>
      </c>
      <c r="E549" s="3">
        <f>Baupläne!H549</f>
        <v>61</v>
      </c>
      <c r="F549" s="3">
        <f>Baupläne!I549</f>
        <v>23</v>
      </c>
      <c r="G549" s="3">
        <f>Baupläne!E549</f>
        <v>31</v>
      </c>
      <c r="H549" s="3">
        <f>Baupläne!F549</f>
        <v>320</v>
      </c>
      <c r="I549" s="3">
        <f>0.5*Baupläne!Y549</f>
        <v>12450</v>
      </c>
      <c r="J549" s="3">
        <f>Baupläne!G549</f>
        <v>0</v>
      </c>
      <c r="K549" s="3">
        <f>IF(L549&gt;0,INDEX(data_item!$A$1:$A$1994,MATCH(Baupläne!L549,data_item!$B$1:$B$1994,0),1),0)</f>
        <v>50</v>
      </c>
      <c r="L549" s="3">
        <f>Baupläne!K549</f>
        <v>23</v>
      </c>
      <c r="M549" s="3">
        <f>IF(N549&gt;0,INDEX(data_item!$A$1:$A$1994,MATCH(Baupläne!N549,data_item!$B$1:$B$994,0),1),0)</f>
        <v>117</v>
      </c>
      <c r="N549" s="3">
        <f>Baupläne!M549</f>
        <v>8</v>
      </c>
      <c r="O549" s="3">
        <f>IF(P549&gt;0,INDEX(data_item!$A$1:$A$1994,MATCH(Baupläne!P549,data_item!$B$1:$B$1994,0),1),0)</f>
        <v>118</v>
      </c>
      <c r="P549" s="3">
        <f>Baupläne!O549</f>
        <v>8</v>
      </c>
      <c r="Q549" s="3">
        <f>IF(R549&gt;0,INDEX(data_item!$A$1:$A$1994,MATCH(Baupläne!R549,data_item!$B$1:$B$1994,0),1),0)</f>
        <v>119</v>
      </c>
      <c r="R549" s="3">
        <f>Baupläne!Q549</f>
        <v>12</v>
      </c>
      <c r="S549" s="3">
        <f>IF(T549&gt;0,INDEX(data_item!$A$1:$A$1994,MATCH(Baupläne!T549,data_item!$B$1:$B$1994,0),1),0)</f>
        <v>310</v>
      </c>
      <c r="T549" s="3">
        <f>Baupläne!S549</f>
        <v>2</v>
      </c>
    </row>
    <row r="550" spans="1:20" x14ac:dyDescent="0.2">
      <c r="A550" s="3">
        <f>Baupläne!A550</f>
        <v>0</v>
      </c>
      <c r="B550" s="3">
        <f>Baupläne!C550</f>
        <v>0</v>
      </c>
      <c r="C550" s="3">
        <f>Baupläne!B550</f>
        <v>0</v>
      </c>
      <c r="D550" s="3">
        <f>Baupläne!J550</f>
        <v>0</v>
      </c>
      <c r="E550" s="3">
        <f>Baupläne!H550</f>
        <v>0</v>
      </c>
      <c r="F550" s="3">
        <f>Baupläne!I550</f>
        <v>0</v>
      </c>
      <c r="G550" s="3">
        <f>Baupläne!E550</f>
        <v>0</v>
      </c>
      <c r="H550" s="3">
        <f>Baupläne!F550</f>
        <v>0</v>
      </c>
      <c r="I550" s="3">
        <f>0.5*Baupläne!Y550</f>
        <v>0</v>
      </c>
      <c r="J550" s="3">
        <f>Baupläne!G550</f>
        <v>0</v>
      </c>
      <c r="K550" s="3">
        <f>IF(L550&gt;0,INDEX(data_item!$A$1:$A$1994,MATCH(Baupläne!L550,data_item!$B$1:$B$1994,0),1),0)</f>
        <v>0</v>
      </c>
      <c r="L550" s="3">
        <f>Baupläne!K550</f>
        <v>0</v>
      </c>
      <c r="M550" s="3">
        <f>IF(N550&gt;0,INDEX(data_item!$A$1:$A$1994,MATCH(Baupläne!N550,data_item!$B$1:$B$994,0),1),0)</f>
        <v>0</v>
      </c>
      <c r="N550" s="3">
        <f>Baupläne!M550</f>
        <v>0</v>
      </c>
      <c r="O550" s="3">
        <f>IF(P550&gt;0,INDEX(data_item!$A$1:$A$1994,MATCH(Baupläne!P550,data_item!$B$1:$B$1994,0),1),0)</f>
        <v>0</v>
      </c>
      <c r="P550" s="3">
        <f>Baupläne!O550</f>
        <v>0</v>
      </c>
      <c r="Q550" s="3">
        <f>IF(R550&gt;0,INDEX(data_item!$A$1:$A$1994,MATCH(Baupläne!R550,data_item!$B$1:$B$1994,0),1),0)</f>
        <v>0</v>
      </c>
      <c r="R550" s="3">
        <f>Baupläne!Q550</f>
        <v>0</v>
      </c>
      <c r="S550" s="3">
        <f>IF(T550&gt;0,INDEX(data_item!$A$1:$A$1994,MATCH(Baupläne!T550,data_item!$B$1:$B$1994,0),1),0)</f>
        <v>0</v>
      </c>
      <c r="T550" s="3">
        <f>Baupläne!S550</f>
        <v>0</v>
      </c>
    </row>
    <row r="551" spans="1:20" x14ac:dyDescent="0.2">
      <c r="A551" s="3">
        <f>Baupläne!A551</f>
        <v>2511</v>
      </c>
      <c r="B551" s="3" t="str">
        <f>Baupläne!C551</f>
        <v>Kristall-Prunkschild</v>
      </c>
      <c r="C551" s="3">
        <f>Baupläne!B551</f>
        <v>2511</v>
      </c>
      <c r="D551" s="3">
        <f>Baupläne!J551</f>
        <v>0</v>
      </c>
      <c r="E551" s="3">
        <f>Baupläne!H551</f>
        <v>62</v>
      </c>
      <c r="F551" s="3">
        <f>Baupläne!I551</f>
        <v>4</v>
      </c>
      <c r="G551" s="3">
        <f>Baupläne!E551</f>
        <v>30</v>
      </c>
      <c r="H551" s="3">
        <f>Baupläne!F551</f>
        <v>320</v>
      </c>
      <c r="I551" s="3">
        <f>0.5*Baupläne!Y551</f>
        <v>1050</v>
      </c>
      <c r="J551" s="3">
        <f>Baupläne!G551</f>
        <v>0</v>
      </c>
      <c r="K551" s="3">
        <f>IF(L551&gt;0,INDEX(data_item!$A$1:$A$1994,MATCH(Baupläne!L551,data_item!$B$1:$B$1994,0),1),0)</f>
        <v>6</v>
      </c>
      <c r="L551" s="3">
        <f>Baupläne!K551</f>
        <v>12</v>
      </c>
      <c r="M551" s="3">
        <f>IF(N551&gt;0,INDEX(data_item!$A$1:$A$1994,MATCH(Baupläne!N551,data_item!$B$1:$B$994,0),1),0)</f>
        <v>101</v>
      </c>
      <c r="N551" s="3">
        <f>Baupläne!M551</f>
        <v>9</v>
      </c>
      <c r="O551" s="3">
        <f>IF(P551&gt;0,INDEX(data_item!$A$1:$A$1994,MATCH(Baupläne!P551,data_item!$B$1:$B$1994,0),1),0)</f>
        <v>0</v>
      </c>
      <c r="P551" s="3">
        <f>Baupläne!O551</f>
        <v>0</v>
      </c>
      <c r="Q551" s="3">
        <f>IF(R551&gt;0,INDEX(data_item!$A$1:$A$1994,MATCH(Baupläne!R551,data_item!$B$1:$B$1994,0),1),0)</f>
        <v>0</v>
      </c>
      <c r="R551" s="3">
        <f>Baupläne!Q551</f>
        <v>0</v>
      </c>
      <c r="S551" s="3">
        <f>IF(T551&gt;0,INDEX(data_item!$A$1:$A$1994,MATCH(Baupläne!T551,data_item!$B$1:$B$1994,0),1),0)</f>
        <v>301</v>
      </c>
      <c r="T551" s="3">
        <f>Baupläne!S551</f>
        <v>2</v>
      </c>
    </row>
    <row r="552" spans="1:20" x14ac:dyDescent="0.2">
      <c r="A552" s="3">
        <f>Baupläne!A552</f>
        <v>2512</v>
      </c>
      <c r="B552" s="3" t="str">
        <f>Baupläne!C552</f>
        <v>Quarz-Prunkschild</v>
      </c>
      <c r="C552" s="3">
        <f>Baupläne!B552</f>
        <v>2512</v>
      </c>
      <c r="D552" s="3">
        <f>Baupläne!J552</f>
        <v>0</v>
      </c>
      <c r="E552" s="3">
        <f>Baupläne!H552</f>
        <v>62</v>
      </c>
      <c r="F552" s="3">
        <f>Baupläne!I552</f>
        <v>9</v>
      </c>
      <c r="G552" s="3">
        <f>Baupläne!E552</f>
        <v>30</v>
      </c>
      <c r="H552" s="3">
        <f>Baupläne!F552</f>
        <v>320</v>
      </c>
      <c r="I552" s="3">
        <f>0.5*Baupläne!Y552</f>
        <v>2100</v>
      </c>
      <c r="J552" s="3">
        <f>Baupläne!G552</f>
        <v>0</v>
      </c>
      <c r="K552" s="3">
        <f>IF(L552&gt;0,INDEX(data_item!$A$1:$A$1994,MATCH(Baupläne!L552,data_item!$B$1:$B$1994,0),1),0)</f>
        <v>7</v>
      </c>
      <c r="L552" s="3">
        <f>Baupläne!K552</f>
        <v>12</v>
      </c>
      <c r="M552" s="3">
        <f>IF(N552&gt;0,INDEX(data_item!$A$1:$A$1994,MATCH(Baupläne!N552,data_item!$B$1:$B$994,0),1),0)</f>
        <v>101</v>
      </c>
      <c r="N552" s="3">
        <f>Baupläne!M552</f>
        <v>18</v>
      </c>
      <c r="O552" s="3">
        <f>IF(P552&gt;0,INDEX(data_item!$A$1:$A$1994,MATCH(Baupläne!P552,data_item!$B$1:$B$1994,0),1),0)</f>
        <v>0</v>
      </c>
      <c r="P552" s="3">
        <f>Baupläne!O552</f>
        <v>0</v>
      </c>
      <c r="Q552" s="3">
        <f>IF(R552&gt;0,INDEX(data_item!$A$1:$A$1994,MATCH(Baupläne!R552,data_item!$B$1:$B$1994,0),1),0)</f>
        <v>0</v>
      </c>
      <c r="R552" s="3">
        <f>Baupläne!Q552</f>
        <v>0</v>
      </c>
      <c r="S552" s="3">
        <f>IF(T552&gt;0,INDEX(data_item!$A$1:$A$1994,MATCH(Baupläne!T552,data_item!$B$1:$B$1994,0),1),0)</f>
        <v>302</v>
      </c>
      <c r="T552" s="3">
        <f>Baupläne!S552</f>
        <v>2</v>
      </c>
    </row>
    <row r="553" spans="1:20" x14ac:dyDescent="0.2">
      <c r="A553" s="3">
        <f>Baupläne!A553</f>
        <v>2513</v>
      </c>
      <c r="B553" s="3" t="str">
        <f>Baupläne!C553</f>
        <v>Smaragd-Prunkschild</v>
      </c>
      <c r="C553" s="3">
        <f>Baupläne!B553</f>
        <v>2513</v>
      </c>
      <c r="D553" s="3">
        <f>Baupläne!J553</f>
        <v>0</v>
      </c>
      <c r="E553" s="3">
        <f>Baupläne!H553</f>
        <v>62</v>
      </c>
      <c r="F553" s="3">
        <f>Baupläne!I553</f>
        <v>14</v>
      </c>
      <c r="G553" s="3">
        <f>Baupläne!E553</f>
        <v>30</v>
      </c>
      <c r="H553" s="3">
        <f>Baupläne!F553</f>
        <v>320</v>
      </c>
      <c r="I553" s="3">
        <f>0.5*Baupläne!Y553</f>
        <v>4250</v>
      </c>
      <c r="J553" s="3">
        <f>Baupläne!G553</f>
        <v>0</v>
      </c>
      <c r="K553" s="3">
        <f>IF(L553&gt;0,INDEX(data_item!$A$1:$A$1994,MATCH(Baupläne!L553,data_item!$B$1:$B$1994,0),1),0)</f>
        <v>8</v>
      </c>
      <c r="L553" s="3">
        <f>Baupläne!K553</f>
        <v>15</v>
      </c>
      <c r="M553" s="3">
        <f>IF(N553&gt;0,INDEX(data_item!$A$1:$A$1994,MATCH(Baupläne!N553,data_item!$B$1:$B$994,0),1),0)</f>
        <v>101</v>
      </c>
      <c r="N553" s="3">
        <f>Baupläne!M553</f>
        <v>10</v>
      </c>
      <c r="O553" s="3">
        <f>IF(P553&gt;0,INDEX(data_item!$A$1:$A$1994,MATCH(Baupläne!P553,data_item!$B$1:$B$1994,0),1),0)</f>
        <v>118</v>
      </c>
      <c r="P553" s="3">
        <f>Baupläne!O553</f>
        <v>10</v>
      </c>
      <c r="Q553" s="3">
        <f>IF(R553&gt;0,INDEX(data_item!$A$1:$A$1994,MATCH(Baupläne!R553,data_item!$B$1:$B$1994,0),1),0)</f>
        <v>0</v>
      </c>
      <c r="R553" s="3">
        <f>Baupläne!Q553</f>
        <v>0</v>
      </c>
      <c r="S553" s="3">
        <f>IF(T553&gt;0,INDEX(data_item!$A$1:$A$1994,MATCH(Baupläne!T553,data_item!$B$1:$B$1994,0),1),0)</f>
        <v>303</v>
      </c>
      <c r="T553" s="3">
        <f>Baupläne!S553</f>
        <v>2</v>
      </c>
    </row>
    <row r="554" spans="1:20" x14ac:dyDescent="0.2">
      <c r="A554" s="3">
        <f>Baupläne!A554</f>
        <v>2514</v>
      </c>
      <c r="B554" s="3" t="str">
        <f>Baupläne!C554</f>
        <v>Rubin-Prunkschild</v>
      </c>
      <c r="C554" s="3">
        <f>Baupläne!B554</f>
        <v>2514</v>
      </c>
      <c r="D554" s="3">
        <f>Baupläne!J554</f>
        <v>0</v>
      </c>
      <c r="E554" s="3">
        <f>Baupläne!H554</f>
        <v>62</v>
      </c>
      <c r="F554" s="3">
        <f>Baupläne!I554</f>
        <v>19</v>
      </c>
      <c r="G554" s="3">
        <f>Baupläne!E554</f>
        <v>30</v>
      </c>
      <c r="H554" s="3">
        <f>Baupläne!F554</f>
        <v>320</v>
      </c>
      <c r="I554" s="3">
        <f>0.5*Baupläne!Y554</f>
        <v>8550</v>
      </c>
      <c r="J554" s="3">
        <f>Baupläne!G554</f>
        <v>0</v>
      </c>
      <c r="K554" s="3">
        <f>IF(L554&gt;0,INDEX(data_item!$A$1:$A$1994,MATCH(Baupläne!L554,data_item!$B$1:$B$1994,0),1),0)</f>
        <v>9</v>
      </c>
      <c r="L554" s="3">
        <f>Baupläne!K554</f>
        <v>21</v>
      </c>
      <c r="M554" s="3">
        <f>IF(N554&gt;0,INDEX(data_item!$A$1:$A$1994,MATCH(Baupläne!N554,data_item!$B$1:$B$994,0),1),0)</f>
        <v>101</v>
      </c>
      <c r="N554" s="3">
        <f>Baupläne!M554</f>
        <v>6</v>
      </c>
      <c r="O554" s="3">
        <f>IF(P554&gt;0,INDEX(data_item!$A$1:$A$1994,MATCH(Baupläne!P554,data_item!$B$1:$B$1994,0),1),0)</f>
        <v>118</v>
      </c>
      <c r="P554" s="3">
        <f>Baupläne!O554</f>
        <v>6</v>
      </c>
      <c r="Q554" s="3">
        <f>IF(R554&gt;0,INDEX(data_item!$A$1:$A$1994,MATCH(Baupläne!R554,data_item!$B$1:$B$1994,0),1),0)</f>
        <v>119</v>
      </c>
      <c r="R554" s="3">
        <f>Baupläne!Q554</f>
        <v>8</v>
      </c>
      <c r="S554" s="3">
        <f>IF(T554&gt;0,INDEX(data_item!$A$1:$A$1994,MATCH(Baupläne!T554,data_item!$B$1:$B$1994,0),1),0)</f>
        <v>304</v>
      </c>
      <c r="T554" s="3">
        <f>Baupläne!S554</f>
        <v>2</v>
      </c>
    </row>
    <row r="555" spans="1:20" x14ac:dyDescent="0.2">
      <c r="A555" s="3">
        <f>Baupläne!A555</f>
        <v>2515</v>
      </c>
      <c r="B555" s="3" t="str">
        <f>Baupläne!C555</f>
        <v>Obsidian-Prunkschild</v>
      </c>
      <c r="C555" s="3">
        <f>Baupläne!B555</f>
        <v>2515</v>
      </c>
      <c r="D555" s="3">
        <f>Baupläne!J555</f>
        <v>0</v>
      </c>
      <c r="E555" s="3">
        <f>Baupläne!H555</f>
        <v>62</v>
      </c>
      <c r="F555" s="3">
        <f>Baupläne!I555</f>
        <v>24</v>
      </c>
      <c r="G555" s="3">
        <f>Baupläne!E555</f>
        <v>30</v>
      </c>
      <c r="H555" s="3">
        <f>Baupläne!F555</f>
        <v>320</v>
      </c>
      <c r="I555" s="3">
        <f>0.5*Baupläne!Y555</f>
        <v>17200</v>
      </c>
      <c r="J555" s="3">
        <f>Baupläne!G555</f>
        <v>0</v>
      </c>
      <c r="K555" s="3">
        <f>IF(L555&gt;0,INDEX(data_item!$A$1:$A$1994,MATCH(Baupläne!L555,data_item!$B$1:$B$1994,0),1),0)</f>
        <v>10</v>
      </c>
      <c r="L555" s="3">
        <f>Baupläne!K555</f>
        <v>32</v>
      </c>
      <c r="M555" s="3">
        <f>IF(N555&gt;0,INDEX(data_item!$A$1:$A$1994,MATCH(Baupläne!N555,data_item!$B$1:$B$994,0),1),0)</f>
        <v>101</v>
      </c>
      <c r="N555" s="3">
        <f>Baupläne!M555</f>
        <v>15</v>
      </c>
      <c r="O555" s="3">
        <f>IF(P555&gt;0,INDEX(data_item!$A$1:$A$1994,MATCH(Baupläne!P555,data_item!$B$1:$B$1994,0),1),0)</f>
        <v>118</v>
      </c>
      <c r="P555" s="3">
        <f>Baupläne!O555</f>
        <v>10</v>
      </c>
      <c r="Q555" s="3">
        <f>IF(R555&gt;0,INDEX(data_item!$A$1:$A$1994,MATCH(Baupläne!R555,data_item!$B$1:$B$1994,0),1),0)</f>
        <v>119</v>
      </c>
      <c r="R555" s="3">
        <f>Baupläne!Q555</f>
        <v>16</v>
      </c>
      <c r="S555" s="3">
        <f>IF(T555&gt;0,INDEX(data_item!$A$1:$A$1994,MATCH(Baupläne!T555,data_item!$B$1:$B$1994,0),1),0)</f>
        <v>305</v>
      </c>
      <c r="T555" s="3">
        <f>Baupläne!S555</f>
        <v>2</v>
      </c>
    </row>
    <row r="556" spans="1:20" x14ac:dyDescent="0.2">
      <c r="A556" s="3">
        <f>Baupläne!A556</f>
        <v>0</v>
      </c>
      <c r="B556" s="3">
        <f>Baupläne!C556</f>
        <v>0</v>
      </c>
      <c r="C556" s="3">
        <f>Baupläne!B556</f>
        <v>0</v>
      </c>
      <c r="D556" s="3">
        <f>Baupläne!J556</f>
        <v>0</v>
      </c>
      <c r="E556" s="3">
        <f>Baupläne!H556</f>
        <v>0</v>
      </c>
      <c r="F556" s="3">
        <f>Baupläne!I556</f>
        <v>0</v>
      </c>
      <c r="G556" s="3">
        <f>Baupläne!E556</f>
        <v>0</v>
      </c>
      <c r="H556" s="3">
        <f>Baupläne!F556</f>
        <v>0</v>
      </c>
      <c r="I556" s="3">
        <f>0.5*Baupläne!Y556</f>
        <v>0</v>
      </c>
      <c r="J556" s="3">
        <f>Baupläne!G556</f>
        <v>0</v>
      </c>
      <c r="K556" s="3">
        <f>IF(L556&gt;0,INDEX(data_item!$A$1:$A$1994,MATCH(Baupläne!L556,data_item!$B$1:$B$1994,0),1),0)</f>
        <v>0</v>
      </c>
      <c r="L556" s="3">
        <f>Baupläne!K556</f>
        <v>0</v>
      </c>
      <c r="M556" s="3">
        <f>IF(N556&gt;0,INDEX(data_item!$A$1:$A$1994,MATCH(Baupläne!N556,data_item!$B$1:$B$994,0),1),0)</f>
        <v>0</v>
      </c>
      <c r="N556" s="3">
        <f>Baupläne!M556</f>
        <v>0</v>
      </c>
      <c r="O556" s="3">
        <f>IF(P556&gt;0,INDEX(data_item!$A$1:$A$1994,MATCH(Baupläne!P556,data_item!$B$1:$B$1994,0),1),0)</f>
        <v>0</v>
      </c>
      <c r="P556" s="3">
        <f>Baupläne!O556</f>
        <v>0</v>
      </c>
      <c r="Q556" s="3">
        <f>IF(R556&gt;0,INDEX(data_item!$A$1:$A$1994,MATCH(Baupläne!R556,data_item!$B$1:$B$1994,0),1),0)</f>
        <v>0</v>
      </c>
      <c r="R556" s="3">
        <f>Baupläne!Q556</f>
        <v>0</v>
      </c>
      <c r="S556" s="3">
        <f>IF(T556&gt;0,INDEX(data_item!$A$1:$A$1994,MATCH(Baupläne!T556,data_item!$B$1:$B$1994,0),1),0)</f>
        <v>0</v>
      </c>
      <c r="T556" s="3">
        <f>Baupläne!S556</f>
        <v>0</v>
      </c>
    </row>
    <row r="557" spans="1:20" x14ac:dyDescent="0.2">
      <c r="A557" s="3">
        <f>Baupläne!A557</f>
        <v>2601</v>
      </c>
      <c r="B557" s="3" t="str">
        <f>Baupläne!C557</f>
        <v>Pyrit-Feuerstab</v>
      </c>
      <c r="C557" s="3">
        <f>Baupläne!B557</f>
        <v>2601</v>
      </c>
      <c r="D557" s="3">
        <f>Baupläne!J557</f>
        <v>0</v>
      </c>
      <c r="E557" s="3">
        <f>Baupläne!H557</f>
        <v>63</v>
      </c>
      <c r="F557" s="3">
        <f>Baupläne!I557</f>
        <v>3</v>
      </c>
      <c r="G557" s="3">
        <f>Baupläne!E557</f>
        <v>32</v>
      </c>
      <c r="H557" s="3">
        <f>Baupläne!F557</f>
        <v>480</v>
      </c>
      <c r="I557" s="3">
        <f>0.5*Baupläne!Y557</f>
        <v>1500</v>
      </c>
      <c r="J557" s="3">
        <f>Baupläne!G557</f>
        <v>0</v>
      </c>
      <c r="K557" s="3">
        <f>IF(L557&gt;0,INDEX(data_item!$A$1:$A$1994,MATCH(Baupläne!L557,data_item!$B$1:$B$1994,0),1),0)</f>
        <v>26</v>
      </c>
      <c r="L557" s="3">
        <f>Baupläne!K557</f>
        <v>16</v>
      </c>
      <c r="M557" s="3">
        <f>IF(N557&gt;0,INDEX(data_item!$A$1:$A$1994,MATCH(Baupläne!N557,data_item!$B$1:$B$994,0),1),0)</f>
        <v>120</v>
      </c>
      <c r="N557" s="3">
        <f>Baupläne!M557</f>
        <v>16</v>
      </c>
      <c r="O557" s="3">
        <f>IF(P557&gt;0,INDEX(data_item!$A$1:$A$1994,MATCH(Baupläne!P557,data_item!$B$1:$B$1994,0),1),0)</f>
        <v>0</v>
      </c>
      <c r="P557" s="3">
        <f>Baupläne!O557</f>
        <v>0</v>
      </c>
      <c r="Q557" s="3">
        <f>IF(R557&gt;0,INDEX(data_item!$A$1:$A$1994,MATCH(Baupläne!R557,data_item!$B$1:$B$1994,0),1),0)</f>
        <v>0</v>
      </c>
      <c r="R557" s="3">
        <f>Baupläne!Q557</f>
        <v>0</v>
      </c>
      <c r="S557" s="3">
        <f>IF(T557&gt;0,INDEX(data_item!$A$1:$A$1994,MATCH(Baupläne!T557,data_item!$B$1:$B$1994,0),1),0)</f>
        <v>311</v>
      </c>
      <c r="T557" s="3">
        <f>Baupläne!S557</f>
        <v>5</v>
      </c>
    </row>
    <row r="558" spans="1:20" x14ac:dyDescent="0.2">
      <c r="A558" s="3">
        <f>Baupläne!A558</f>
        <v>2602</v>
      </c>
      <c r="B558" s="3" t="str">
        <f>Baupläne!C558</f>
        <v>Jaspis-Feuerstab</v>
      </c>
      <c r="C558" s="3">
        <f>Baupläne!B558</f>
        <v>2602</v>
      </c>
      <c r="D558" s="3">
        <f>Baupläne!J558</f>
        <v>0</v>
      </c>
      <c r="E558" s="3">
        <f>Baupläne!H558</f>
        <v>63</v>
      </c>
      <c r="F558" s="3">
        <f>Baupläne!I558</f>
        <v>8</v>
      </c>
      <c r="G558" s="3">
        <f>Baupläne!E558</f>
        <v>32</v>
      </c>
      <c r="H558" s="3">
        <f>Baupläne!F558</f>
        <v>480</v>
      </c>
      <c r="I558" s="3">
        <f>0.5*Baupläne!Y558</f>
        <v>3050</v>
      </c>
      <c r="J558" s="3">
        <f>Baupläne!G558</f>
        <v>0</v>
      </c>
      <c r="K558" s="3">
        <f>IF(L558&gt;0,INDEX(data_item!$A$1:$A$1994,MATCH(Baupläne!L558,data_item!$B$1:$B$1994,0),1),0)</f>
        <v>27</v>
      </c>
      <c r="L558" s="3">
        <f>Baupläne!K558</f>
        <v>17</v>
      </c>
      <c r="M558" s="3">
        <f>IF(N558&gt;0,INDEX(data_item!$A$1:$A$1994,MATCH(Baupläne!N558,data_item!$B$1:$B$994,0),1),0)</f>
        <v>120</v>
      </c>
      <c r="N558" s="3">
        <f>Baupläne!M558</f>
        <v>34</v>
      </c>
      <c r="O558" s="3">
        <f>IF(P558&gt;0,INDEX(data_item!$A$1:$A$1994,MATCH(Baupläne!P558,data_item!$B$1:$B$1994,0),1),0)</f>
        <v>0</v>
      </c>
      <c r="P558" s="3">
        <f>Baupläne!O558</f>
        <v>0</v>
      </c>
      <c r="Q558" s="3">
        <f>IF(R558&gt;0,INDEX(data_item!$A$1:$A$1994,MATCH(Baupläne!R558,data_item!$B$1:$B$1994,0),1),0)</f>
        <v>0</v>
      </c>
      <c r="R558" s="3">
        <f>Baupläne!Q558</f>
        <v>0</v>
      </c>
      <c r="S558" s="3">
        <f>IF(T558&gt;0,INDEX(data_item!$A$1:$A$1994,MATCH(Baupläne!T558,data_item!$B$1:$B$1994,0),1),0)</f>
        <v>312</v>
      </c>
      <c r="T558" s="3">
        <f>Baupläne!S558</f>
        <v>5</v>
      </c>
    </row>
    <row r="559" spans="1:20" x14ac:dyDescent="0.2">
      <c r="A559" s="3">
        <f>Baupläne!A559</f>
        <v>2603</v>
      </c>
      <c r="B559" s="3" t="str">
        <f>Baupläne!C559</f>
        <v>Perlmutt-Feuerstab</v>
      </c>
      <c r="C559" s="3">
        <f>Baupläne!B559</f>
        <v>2603</v>
      </c>
      <c r="D559" s="3">
        <f>Baupläne!J559</f>
        <v>0</v>
      </c>
      <c r="E559" s="3">
        <f>Baupläne!H559</f>
        <v>63</v>
      </c>
      <c r="F559" s="3">
        <f>Baupläne!I559</f>
        <v>13</v>
      </c>
      <c r="G559" s="3">
        <f>Baupläne!E559</f>
        <v>32</v>
      </c>
      <c r="H559" s="3">
        <f>Baupläne!F559</f>
        <v>480</v>
      </c>
      <c r="I559" s="3">
        <f>0.5*Baupläne!Y559</f>
        <v>6150</v>
      </c>
      <c r="J559" s="3">
        <f>Baupläne!G559</f>
        <v>0</v>
      </c>
      <c r="K559" s="3">
        <f>IF(L559&gt;0,INDEX(data_item!$A$1:$A$1994,MATCH(Baupläne!L559,data_item!$B$1:$B$1994,0),1),0)</f>
        <v>28</v>
      </c>
      <c r="L559" s="3">
        <f>Baupläne!K559</f>
        <v>22</v>
      </c>
      <c r="M559" s="3">
        <f>IF(N559&gt;0,INDEX(data_item!$A$1:$A$1994,MATCH(Baupläne!N559,data_item!$B$1:$B$994,0),1),0)</f>
        <v>120</v>
      </c>
      <c r="N559" s="3">
        <f>Baupläne!M559</f>
        <v>5</v>
      </c>
      <c r="O559" s="3">
        <f>IF(P559&gt;0,INDEX(data_item!$A$1:$A$1994,MATCH(Baupläne!P559,data_item!$B$1:$B$1994,0),1),0)</f>
        <v>121</v>
      </c>
      <c r="P559" s="3">
        <f>Baupläne!O559</f>
        <v>19</v>
      </c>
      <c r="Q559" s="3">
        <f>IF(R559&gt;0,INDEX(data_item!$A$1:$A$1994,MATCH(Baupläne!R559,data_item!$B$1:$B$1994,0),1),0)</f>
        <v>0</v>
      </c>
      <c r="R559" s="3">
        <f>Baupläne!Q559</f>
        <v>0</v>
      </c>
      <c r="S559" s="3">
        <f>IF(T559&gt;0,INDEX(data_item!$A$1:$A$1994,MATCH(Baupläne!T559,data_item!$B$1:$B$1994,0),1),0)</f>
        <v>313</v>
      </c>
      <c r="T559" s="3">
        <f>Baupläne!S559</f>
        <v>5</v>
      </c>
    </row>
    <row r="560" spans="1:20" x14ac:dyDescent="0.2">
      <c r="A560" s="3">
        <f>Baupläne!A560</f>
        <v>2604</v>
      </c>
      <c r="B560" s="3" t="str">
        <f>Baupläne!C560</f>
        <v>Jade-Feuerstab</v>
      </c>
      <c r="C560" s="3">
        <f>Baupläne!B560</f>
        <v>2604</v>
      </c>
      <c r="D560" s="3">
        <f>Baupläne!J560</f>
        <v>0</v>
      </c>
      <c r="E560" s="3">
        <f>Baupläne!H560</f>
        <v>63</v>
      </c>
      <c r="F560" s="3">
        <f>Baupläne!I560</f>
        <v>18</v>
      </c>
      <c r="G560" s="3">
        <f>Baupläne!E560</f>
        <v>32</v>
      </c>
      <c r="H560" s="3">
        <f>Baupläne!F560</f>
        <v>480</v>
      </c>
      <c r="I560" s="3">
        <f>0.5*Baupläne!Y560</f>
        <v>12400</v>
      </c>
      <c r="J560" s="3">
        <f>Baupläne!G560</f>
        <v>0</v>
      </c>
      <c r="K560" s="3">
        <f>IF(L560&gt;0,INDEX(data_item!$A$1:$A$1994,MATCH(Baupläne!L560,data_item!$B$1:$B$1994,0),1),0)</f>
        <v>29</v>
      </c>
      <c r="L560" s="3">
        <f>Baupläne!K560</f>
        <v>30</v>
      </c>
      <c r="M560" s="3">
        <f>IF(N560&gt;0,INDEX(data_item!$A$1:$A$1994,MATCH(Baupläne!N560,data_item!$B$1:$B$994,0),1),0)</f>
        <v>120</v>
      </c>
      <c r="N560" s="3">
        <f>Baupläne!M560</f>
        <v>8</v>
      </c>
      <c r="O560" s="3">
        <f>IF(P560&gt;0,INDEX(data_item!$A$1:$A$1994,MATCH(Baupläne!P560,data_item!$B$1:$B$1994,0),1),0)</f>
        <v>121</v>
      </c>
      <c r="P560" s="3">
        <f>Baupläne!O560</f>
        <v>38</v>
      </c>
      <c r="Q560" s="3">
        <f>IF(R560&gt;0,INDEX(data_item!$A$1:$A$1994,MATCH(Baupläne!R560,data_item!$B$1:$B$1994,0),1),0)</f>
        <v>0</v>
      </c>
      <c r="R560" s="3">
        <f>Baupläne!Q560</f>
        <v>0</v>
      </c>
      <c r="S560" s="3">
        <f>IF(T560&gt;0,INDEX(data_item!$A$1:$A$1994,MATCH(Baupläne!T560,data_item!$B$1:$B$1994,0),1),0)</f>
        <v>314</v>
      </c>
      <c r="T560" s="3">
        <f>Baupläne!S560</f>
        <v>5</v>
      </c>
    </row>
    <row r="561" spans="1:20" x14ac:dyDescent="0.2">
      <c r="A561" s="3">
        <f>Baupläne!A561</f>
        <v>2605</v>
      </c>
      <c r="B561" s="3" t="str">
        <f>Baupläne!C561</f>
        <v>Onyx-Feuerstab</v>
      </c>
      <c r="C561" s="3">
        <f>Baupläne!B561</f>
        <v>2605</v>
      </c>
      <c r="D561" s="3">
        <f>Baupläne!J561</f>
        <v>0</v>
      </c>
      <c r="E561" s="3">
        <f>Baupläne!H561</f>
        <v>63</v>
      </c>
      <c r="F561" s="3">
        <f>Baupläne!I561</f>
        <v>24</v>
      </c>
      <c r="G561" s="3">
        <f>Baupläne!E561</f>
        <v>32</v>
      </c>
      <c r="H561" s="3">
        <f>Baupläne!F561</f>
        <v>480</v>
      </c>
      <c r="I561" s="3">
        <f>0.5*Baupläne!Y561</f>
        <v>28650</v>
      </c>
      <c r="J561" s="3">
        <f>Baupläne!G561</f>
        <v>0</v>
      </c>
      <c r="K561" s="3">
        <f>IF(L561&gt;0,INDEX(data_item!$A$1:$A$1994,MATCH(Baupläne!L561,data_item!$B$1:$B$1994,0),1),0)</f>
        <v>30</v>
      </c>
      <c r="L561" s="3">
        <f>Baupläne!K561</f>
        <v>52</v>
      </c>
      <c r="M561" s="3">
        <f>IF(N561&gt;0,INDEX(data_item!$A$1:$A$1994,MATCH(Baupläne!N561,data_item!$B$1:$B$994,0),1),0)</f>
        <v>120</v>
      </c>
      <c r="N561" s="3">
        <f>Baupläne!M561</f>
        <v>6</v>
      </c>
      <c r="O561" s="3">
        <f>IF(P561&gt;0,INDEX(data_item!$A$1:$A$1994,MATCH(Baupläne!P561,data_item!$B$1:$B$1994,0),1),0)</f>
        <v>121</v>
      </c>
      <c r="P561" s="3">
        <f>Baupläne!O561</f>
        <v>12</v>
      </c>
      <c r="Q561" s="3">
        <f>IF(R561&gt;0,INDEX(data_item!$A$1:$A$1994,MATCH(Baupläne!R561,data_item!$B$1:$B$1994,0),1),0)</f>
        <v>122</v>
      </c>
      <c r="R561" s="3">
        <f>Baupläne!Q561</f>
        <v>32</v>
      </c>
      <c r="S561" s="3">
        <f>IF(T561&gt;0,INDEX(data_item!$A$1:$A$1994,MATCH(Baupläne!T561,data_item!$B$1:$B$1994,0),1),0)</f>
        <v>315</v>
      </c>
      <c r="T561" s="3">
        <f>Baupläne!S561</f>
        <v>5</v>
      </c>
    </row>
    <row r="562" spans="1:20" x14ac:dyDescent="0.2">
      <c r="A562" s="3">
        <f>Baupläne!A562</f>
        <v>0</v>
      </c>
      <c r="B562" s="3">
        <f>Baupläne!C562</f>
        <v>0</v>
      </c>
      <c r="C562" s="3">
        <f>Baupläne!B562</f>
        <v>0</v>
      </c>
      <c r="D562" s="3">
        <f>Baupläne!J562</f>
        <v>0</v>
      </c>
      <c r="E562" s="3">
        <f>Baupläne!H562</f>
        <v>0</v>
      </c>
      <c r="F562" s="3">
        <f>Baupläne!I562</f>
        <v>0</v>
      </c>
      <c r="G562" s="3">
        <f>Baupläne!E562</f>
        <v>0</v>
      </c>
      <c r="H562" s="3">
        <f>Baupläne!F562</f>
        <v>0</v>
      </c>
      <c r="I562" s="3">
        <f>0.5*Baupläne!Y562</f>
        <v>0</v>
      </c>
      <c r="J562" s="3">
        <f>Baupläne!G562</f>
        <v>0</v>
      </c>
      <c r="K562" s="3">
        <f>IF(L562&gt;0,INDEX(data_item!$A$1:$A$1994,MATCH(Baupläne!L562,data_item!$B$1:$B$1994,0),1),0)</f>
        <v>0</v>
      </c>
      <c r="L562" s="3">
        <f>Baupläne!K562</f>
        <v>0</v>
      </c>
      <c r="M562" s="3">
        <f>IF(N562&gt;0,INDEX(data_item!$A$1:$A$1994,MATCH(Baupläne!N562,data_item!$B$1:$B$994,0),1),0)</f>
        <v>0</v>
      </c>
      <c r="N562" s="3">
        <f>Baupläne!M562</f>
        <v>0</v>
      </c>
      <c r="O562" s="3">
        <f>IF(P562&gt;0,INDEX(data_item!$A$1:$A$1994,MATCH(Baupläne!P562,data_item!$B$1:$B$1994,0),1),0)</f>
        <v>0</v>
      </c>
      <c r="P562" s="3">
        <f>Baupläne!O562</f>
        <v>0</v>
      </c>
      <c r="Q562" s="3">
        <f>IF(R562&gt;0,INDEX(data_item!$A$1:$A$1994,MATCH(Baupläne!R562,data_item!$B$1:$B$1994,0),1),0)</f>
        <v>0</v>
      </c>
      <c r="R562" s="3">
        <f>Baupläne!Q562</f>
        <v>0</v>
      </c>
      <c r="S562" s="3">
        <f>IF(T562&gt;0,INDEX(data_item!$A$1:$A$1994,MATCH(Baupläne!T562,data_item!$B$1:$B$1994,0),1),0)</f>
        <v>0</v>
      </c>
      <c r="T562" s="3">
        <f>Baupläne!S562</f>
        <v>0</v>
      </c>
    </row>
    <row r="563" spans="1:20" x14ac:dyDescent="0.2">
      <c r="A563" s="3">
        <f>Baupläne!A563</f>
        <v>2611</v>
      </c>
      <c r="B563" s="3" t="str">
        <f>Baupläne!C563</f>
        <v>Pyrit-Wasserstab</v>
      </c>
      <c r="C563" s="3">
        <f>Baupläne!B563</f>
        <v>2611</v>
      </c>
      <c r="D563" s="3">
        <f>Baupläne!J563</f>
        <v>0</v>
      </c>
      <c r="E563" s="3">
        <f>Baupläne!H563</f>
        <v>63</v>
      </c>
      <c r="F563" s="3">
        <f>Baupläne!I563</f>
        <v>3</v>
      </c>
      <c r="G563" s="3">
        <f>Baupläne!E563</f>
        <v>32</v>
      </c>
      <c r="H563" s="3">
        <f>Baupläne!F563</f>
        <v>480</v>
      </c>
      <c r="I563" s="3">
        <f>0.5*Baupläne!Y563</f>
        <v>1500</v>
      </c>
      <c r="J563" s="3">
        <f>Baupläne!G563</f>
        <v>0</v>
      </c>
      <c r="K563" s="3">
        <f>IF(L563&gt;0,INDEX(data_item!$A$1:$A$1994,MATCH(Baupläne!L563,data_item!$B$1:$B$1994,0),1),0)</f>
        <v>26</v>
      </c>
      <c r="L563" s="3">
        <f>Baupläne!K563</f>
        <v>16</v>
      </c>
      <c r="M563" s="3">
        <f>IF(N563&gt;0,INDEX(data_item!$A$1:$A$1994,MATCH(Baupläne!N563,data_item!$B$1:$B$994,0),1),0)</f>
        <v>120</v>
      </c>
      <c r="N563" s="3">
        <f>Baupläne!M563</f>
        <v>16</v>
      </c>
      <c r="O563" s="3">
        <f>IF(P563&gt;0,INDEX(data_item!$A$1:$A$1994,MATCH(Baupläne!P563,data_item!$B$1:$B$1994,0),1),0)</f>
        <v>0</v>
      </c>
      <c r="P563" s="3">
        <f>Baupläne!O563</f>
        <v>0</v>
      </c>
      <c r="Q563" s="3">
        <f>IF(R563&gt;0,INDEX(data_item!$A$1:$A$1994,MATCH(Baupläne!R563,data_item!$B$1:$B$1994,0),1),0)</f>
        <v>0</v>
      </c>
      <c r="R563" s="3">
        <f>Baupläne!Q563</f>
        <v>0</v>
      </c>
      <c r="S563" s="3">
        <f>IF(T563&gt;0,INDEX(data_item!$A$1:$A$1994,MATCH(Baupläne!T563,data_item!$B$1:$B$1994,0),1),0)</f>
        <v>311</v>
      </c>
      <c r="T563" s="3">
        <f>Baupläne!S563</f>
        <v>5</v>
      </c>
    </row>
    <row r="564" spans="1:20" x14ac:dyDescent="0.2">
      <c r="A564" s="3">
        <f>Baupläne!A564</f>
        <v>2612</v>
      </c>
      <c r="B564" s="3" t="str">
        <f>Baupläne!C564</f>
        <v>Jaspis-Wasserstab</v>
      </c>
      <c r="C564" s="3">
        <f>Baupläne!B564</f>
        <v>2612</v>
      </c>
      <c r="D564" s="3">
        <f>Baupläne!J564</f>
        <v>0</v>
      </c>
      <c r="E564" s="3">
        <f>Baupläne!H564</f>
        <v>63</v>
      </c>
      <c r="F564" s="3">
        <f>Baupläne!I564</f>
        <v>8</v>
      </c>
      <c r="G564" s="3">
        <f>Baupläne!E564</f>
        <v>32</v>
      </c>
      <c r="H564" s="3">
        <f>Baupläne!F564</f>
        <v>480</v>
      </c>
      <c r="I564" s="3">
        <f>0.5*Baupläne!Y564</f>
        <v>3050</v>
      </c>
      <c r="J564" s="3">
        <f>Baupläne!G564</f>
        <v>0</v>
      </c>
      <c r="K564" s="3">
        <f>IF(L564&gt;0,INDEX(data_item!$A$1:$A$1994,MATCH(Baupläne!L564,data_item!$B$1:$B$1994,0),1),0)</f>
        <v>27</v>
      </c>
      <c r="L564" s="3">
        <f>Baupläne!K564</f>
        <v>17</v>
      </c>
      <c r="M564" s="3">
        <f>IF(N564&gt;0,INDEX(data_item!$A$1:$A$1994,MATCH(Baupläne!N564,data_item!$B$1:$B$994,0),1),0)</f>
        <v>120</v>
      </c>
      <c r="N564" s="3">
        <f>Baupläne!M564</f>
        <v>34</v>
      </c>
      <c r="O564" s="3">
        <f>IF(P564&gt;0,INDEX(data_item!$A$1:$A$1994,MATCH(Baupläne!P564,data_item!$B$1:$B$1994,0),1),0)</f>
        <v>0</v>
      </c>
      <c r="P564" s="3">
        <f>Baupläne!O564</f>
        <v>0</v>
      </c>
      <c r="Q564" s="3">
        <f>IF(R564&gt;0,INDEX(data_item!$A$1:$A$1994,MATCH(Baupläne!R564,data_item!$B$1:$B$1994,0),1),0)</f>
        <v>0</v>
      </c>
      <c r="R564" s="3">
        <f>Baupläne!Q564</f>
        <v>0</v>
      </c>
      <c r="S564" s="3">
        <f>IF(T564&gt;0,INDEX(data_item!$A$1:$A$1994,MATCH(Baupläne!T564,data_item!$B$1:$B$1994,0),1),0)</f>
        <v>312</v>
      </c>
      <c r="T564" s="3">
        <f>Baupläne!S564</f>
        <v>5</v>
      </c>
    </row>
    <row r="565" spans="1:20" x14ac:dyDescent="0.2">
      <c r="A565" s="3">
        <f>Baupläne!A565</f>
        <v>2613</v>
      </c>
      <c r="B565" s="3" t="str">
        <f>Baupläne!C565</f>
        <v>Perlmutt-Wasserstab</v>
      </c>
      <c r="C565" s="3">
        <f>Baupläne!B565</f>
        <v>2613</v>
      </c>
      <c r="D565" s="3">
        <f>Baupläne!J565</f>
        <v>0</v>
      </c>
      <c r="E565" s="3">
        <f>Baupläne!H565</f>
        <v>63</v>
      </c>
      <c r="F565" s="3">
        <f>Baupläne!I565</f>
        <v>13</v>
      </c>
      <c r="G565" s="3">
        <f>Baupläne!E565</f>
        <v>32</v>
      </c>
      <c r="H565" s="3">
        <f>Baupläne!F565</f>
        <v>480</v>
      </c>
      <c r="I565" s="3">
        <f>0.5*Baupläne!Y565</f>
        <v>6150</v>
      </c>
      <c r="J565" s="3">
        <f>Baupläne!G565</f>
        <v>0</v>
      </c>
      <c r="K565" s="3">
        <f>IF(L565&gt;0,INDEX(data_item!$A$1:$A$1994,MATCH(Baupläne!L565,data_item!$B$1:$B$1994,0),1),0)</f>
        <v>28</v>
      </c>
      <c r="L565" s="3">
        <f>Baupläne!K565</f>
        <v>22</v>
      </c>
      <c r="M565" s="3">
        <f>IF(N565&gt;0,INDEX(data_item!$A$1:$A$1994,MATCH(Baupläne!N565,data_item!$B$1:$B$994,0),1),0)</f>
        <v>120</v>
      </c>
      <c r="N565" s="3">
        <f>Baupläne!M565</f>
        <v>5</v>
      </c>
      <c r="O565" s="3">
        <f>IF(P565&gt;0,INDEX(data_item!$A$1:$A$1994,MATCH(Baupläne!P565,data_item!$B$1:$B$1994,0),1),0)</f>
        <v>121</v>
      </c>
      <c r="P565" s="3">
        <f>Baupläne!O565</f>
        <v>19</v>
      </c>
      <c r="Q565" s="3">
        <f>IF(R565&gt;0,INDEX(data_item!$A$1:$A$1994,MATCH(Baupläne!R565,data_item!$B$1:$B$1994,0),1),0)</f>
        <v>0</v>
      </c>
      <c r="R565" s="3">
        <f>Baupläne!Q565</f>
        <v>0</v>
      </c>
      <c r="S565" s="3">
        <f>IF(T565&gt;0,INDEX(data_item!$A$1:$A$1994,MATCH(Baupläne!T565,data_item!$B$1:$B$1994,0),1),0)</f>
        <v>313</v>
      </c>
      <c r="T565" s="3">
        <f>Baupläne!S565</f>
        <v>5</v>
      </c>
    </row>
    <row r="566" spans="1:20" x14ac:dyDescent="0.2">
      <c r="A566" s="3">
        <f>Baupläne!A566</f>
        <v>2614</v>
      </c>
      <c r="B566" s="3" t="str">
        <f>Baupläne!C566</f>
        <v>Jade-Wasserstab</v>
      </c>
      <c r="C566" s="3">
        <f>Baupläne!B566</f>
        <v>2614</v>
      </c>
      <c r="D566" s="3">
        <f>Baupläne!J566</f>
        <v>0</v>
      </c>
      <c r="E566" s="3">
        <f>Baupläne!H566</f>
        <v>63</v>
      </c>
      <c r="F566" s="3">
        <f>Baupläne!I566</f>
        <v>18</v>
      </c>
      <c r="G566" s="3">
        <f>Baupläne!E566</f>
        <v>32</v>
      </c>
      <c r="H566" s="3">
        <f>Baupläne!F566</f>
        <v>480</v>
      </c>
      <c r="I566" s="3">
        <f>0.5*Baupläne!Y566</f>
        <v>12400</v>
      </c>
      <c r="J566" s="3">
        <f>Baupläne!G566</f>
        <v>0</v>
      </c>
      <c r="K566" s="3">
        <f>IF(L566&gt;0,INDEX(data_item!$A$1:$A$1994,MATCH(Baupläne!L566,data_item!$B$1:$B$1994,0),1),0)</f>
        <v>29</v>
      </c>
      <c r="L566" s="3">
        <f>Baupläne!K566</f>
        <v>30</v>
      </c>
      <c r="M566" s="3">
        <f>IF(N566&gt;0,INDEX(data_item!$A$1:$A$1994,MATCH(Baupläne!N566,data_item!$B$1:$B$994,0),1),0)</f>
        <v>120</v>
      </c>
      <c r="N566" s="3">
        <f>Baupläne!M566</f>
        <v>8</v>
      </c>
      <c r="O566" s="3">
        <f>IF(P566&gt;0,INDEX(data_item!$A$1:$A$1994,MATCH(Baupläne!P566,data_item!$B$1:$B$1994,0),1),0)</f>
        <v>121</v>
      </c>
      <c r="P566" s="3">
        <f>Baupläne!O566</f>
        <v>38</v>
      </c>
      <c r="Q566" s="3">
        <f>IF(R566&gt;0,INDEX(data_item!$A$1:$A$1994,MATCH(Baupläne!R566,data_item!$B$1:$B$1994,0),1),0)</f>
        <v>0</v>
      </c>
      <c r="R566" s="3">
        <f>Baupläne!Q566</f>
        <v>0</v>
      </c>
      <c r="S566" s="3">
        <f>IF(T566&gt;0,INDEX(data_item!$A$1:$A$1994,MATCH(Baupläne!T566,data_item!$B$1:$B$1994,0),1),0)</f>
        <v>314</v>
      </c>
      <c r="T566" s="3">
        <f>Baupläne!S566</f>
        <v>5</v>
      </c>
    </row>
    <row r="567" spans="1:20" x14ac:dyDescent="0.2">
      <c r="A567" s="3">
        <f>Baupläne!A567</f>
        <v>2615</v>
      </c>
      <c r="B567" s="3" t="str">
        <f>Baupläne!C567</f>
        <v>Onyx-Wasserstab</v>
      </c>
      <c r="C567" s="3">
        <f>Baupläne!B567</f>
        <v>2615</v>
      </c>
      <c r="D567" s="3">
        <f>Baupläne!J567</f>
        <v>0</v>
      </c>
      <c r="E567" s="3">
        <f>Baupläne!H567</f>
        <v>63</v>
      </c>
      <c r="F567" s="3">
        <f>Baupläne!I567</f>
        <v>24</v>
      </c>
      <c r="G567" s="3">
        <f>Baupläne!E567</f>
        <v>32</v>
      </c>
      <c r="H567" s="3">
        <f>Baupläne!F567</f>
        <v>480</v>
      </c>
      <c r="I567" s="3">
        <f>0.5*Baupläne!Y567</f>
        <v>28650</v>
      </c>
      <c r="J567" s="3">
        <f>Baupläne!G567</f>
        <v>0</v>
      </c>
      <c r="K567" s="3">
        <f>IF(L567&gt;0,INDEX(data_item!$A$1:$A$1994,MATCH(Baupläne!L567,data_item!$B$1:$B$1994,0),1),0)</f>
        <v>30</v>
      </c>
      <c r="L567" s="3">
        <f>Baupläne!K567</f>
        <v>52</v>
      </c>
      <c r="M567" s="3">
        <f>IF(N567&gt;0,INDEX(data_item!$A$1:$A$1994,MATCH(Baupläne!N567,data_item!$B$1:$B$994,0),1),0)</f>
        <v>120</v>
      </c>
      <c r="N567" s="3">
        <f>Baupläne!M567</f>
        <v>6</v>
      </c>
      <c r="O567" s="3">
        <f>IF(P567&gt;0,INDEX(data_item!$A$1:$A$1994,MATCH(Baupläne!P567,data_item!$B$1:$B$1994,0),1),0)</f>
        <v>121</v>
      </c>
      <c r="P567" s="3">
        <f>Baupläne!O567</f>
        <v>12</v>
      </c>
      <c r="Q567" s="3">
        <f>IF(R567&gt;0,INDEX(data_item!$A$1:$A$1994,MATCH(Baupläne!R567,data_item!$B$1:$B$1994,0),1),0)</f>
        <v>122</v>
      </c>
      <c r="R567" s="3">
        <f>Baupläne!Q567</f>
        <v>32</v>
      </c>
      <c r="S567" s="3">
        <f>IF(T567&gt;0,INDEX(data_item!$A$1:$A$1994,MATCH(Baupläne!T567,data_item!$B$1:$B$1994,0),1),0)</f>
        <v>315</v>
      </c>
      <c r="T567" s="3">
        <f>Baupläne!S567</f>
        <v>5</v>
      </c>
    </row>
    <row r="568" spans="1:20" x14ac:dyDescent="0.2">
      <c r="A568" s="3">
        <f>Baupläne!A568</f>
        <v>0</v>
      </c>
      <c r="B568" s="3">
        <f>Baupläne!C568</f>
        <v>0</v>
      </c>
      <c r="C568" s="3">
        <f>Baupläne!B568</f>
        <v>0</v>
      </c>
      <c r="D568" s="3">
        <f>Baupläne!J568</f>
        <v>0</v>
      </c>
      <c r="E568" s="3">
        <f>Baupläne!H568</f>
        <v>0</v>
      </c>
      <c r="F568" s="3">
        <f>Baupläne!I568</f>
        <v>0</v>
      </c>
      <c r="G568" s="3">
        <f>Baupläne!E568</f>
        <v>0</v>
      </c>
      <c r="H568" s="3">
        <f>Baupläne!F568</f>
        <v>0</v>
      </c>
      <c r="I568" s="3">
        <f>0.5*Baupläne!Y568</f>
        <v>0</v>
      </c>
      <c r="J568" s="3">
        <f>Baupläne!G568</f>
        <v>0</v>
      </c>
      <c r="K568" s="3">
        <f>IF(L568&gt;0,INDEX(data_item!$A$1:$A$1994,MATCH(Baupläne!L568,data_item!$B$1:$B$1994,0),1),0)</f>
        <v>0</v>
      </c>
      <c r="L568" s="3">
        <f>Baupläne!K568</f>
        <v>0</v>
      </c>
      <c r="M568" s="3">
        <f>IF(N568&gt;0,INDEX(data_item!$A$1:$A$1994,MATCH(Baupläne!N568,data_item!$B$1:$B$994,0),1),0)</f>
        <v>0</v>
      </c>
      <c r="N568" s="3">
        <f>Baupläne!M568</f>
        <v>0</v>
      </c>
      <c r="O568" s="3">
        <f>IF(P568&gt;0,INDEX(data_item!$A$1:$A$1994,MATCH(Baupläne!P568,data_item!$B$1:$B$1994,0),1),0)</f>
        <v>0</v>
      </c>
      <c r="P568" s="3">
        <f>Baupläne!O568</f>
        <v>0</v>
      </c>
      <c r="Q568" s="3">
        <f>IF(R568&gt;0,INDEX(data_item!$A$1:$A$1994,MATCH(Baupläne!R568,data_item!$B$1:$B$1994,0),1),0)</f>
        <v>0</v>
      </c>
      <c r="R568" s="3">
        <f>Baupläne!Q568</f>
        <v>0</v>
      </c>
      <c r="S568" s="3">
        <f>IF(T568&gt;0,INDEX(data_item!$A$1:$A$1994,MATCH(Baupläne!T568,data_item!$B$1:$B$1994,0),1),0)</f>
        <v>0</v>
      </c>
      <c r="T568" s="3">
        <f>Baupläne!S568</f>
        <v>0</v>
      </c>
    </row>
    <row r="569" spans="1:20" x14ac:dyDescent="0.2">
      <c r="A569" s="3">
        <f>Baupläne!A569</f>
        <v>2621</v>
      </c>
      <c r="B569" s="3" t="str">
        <f>Baupläne!C569</f>
        <v>Pyrit-Erdenstab</v>
      </c>
      <c r="C569" s="3">
        <f>Baupläne!B569</f>
        <v>2621</v>
      </c>
      <c r="D569" s="3">
        <f>Baupläne!J569</f>
        <v>0</v>
      </c>
      <c r="E569" s="3">
        <f>Baupläne!H569</f>
        <v>63</v>
      </c>
      <c r="F569" s="3">
        <f>Baupläne!I569</f>
        <v>3</v>
      </c>
      <c r="G569" s="3">
        <f>Baupläne!E569</f>
        <v>32</v>
      </c>
      <c r="H569" s="3">
        <f>Baupläne!F569</f>
        <v>480</v>
      </c>
      <c r="I569" s="3">
        <f>0.5*Baupläne!Y569</f>
        <v>1500</v>
      </c>
      <c r="J569" s="3">
        <f>Baupläne!G569</f>
        <v>0</v>
      </c>
      <c r="K569" s="3">
        <f>IF(L569&gt;0,INDEX(data_item!$A$1:$A$1994,MATCH(Baupläne!L569,data_item!$B$1:$B$1994,0),1),0)</f>
        <v>26</v>
      </c>
      <c r="L569" s="3">
        <f>Baupläne!K569</f>
        <v>16</v>
      </c>
      <c r="M569" s="3">
        <f>IF(N569&gt;0,INDEX(data_item!$A$1:$A$1994,MATCH(Baupläne!N569,data_item!$B$1:$B$994,0),1),0)</f>
        <v>120</v>
      </c>
      <c r="N569" s="3">
        <f>Baupläne!M569</f>
        <v>16</v>
      </c>
      <c r="O569" s="3">
        <f>IF(P569&gt;0,INDEX(data_item!$A$1:$A$1994,MATCH(Baupläne!P569,data_item!$B$1:$B$1994,0),1),0)</f>
        <v>0</v>
      </c>
      <c r="P569" s="3">
        <f>Baupläne!O569</f>
        <v>0</v>
      </c>
      <c r="Q569" s="3">
        <f>IF(R569&gt;0,INDEX(data_item!$A$1:$A$1994,MATCH(Baupläne!R569,data_item!$B$1:$B$1994,0),1),0)</f>
        <v>0</v>
      </c>
      <c r="R569" s="3">
        <f>Baupläne!Q569</f>
        <v>0</v>
      </c>
      <c r="S569" s="3">
        <f>IF(T569&gt;0,INDEX(data_item!$A$1:$A$1994,MATCH(Baupläne!T569,data_item!$B$1:$B$1994,0),1),0)</f>
        <v>311</v>
      </c>
      <c r="T569" s="3">
        <f>Baupläne!S569</f>
        <v>5</v>
      </c>
    </row>
    <row r="570" spans="1:20" x14ac:dyDescent="0.2">
      <c r="A570" s="3">
        <f>Baupläne!A570</f>
        <v>2622</v>
      </c>
      <c r="B570" s="3" t="str">
        <f>Baupläne!C570</f>
        <v>Jaspis-Erdenstab</v>
      </c>
      <c r="C570" s="3">
        <f>Baupläne!B570</f>
        <v>2622</v>
      </c>
      <c r="D570" s="3">
        <f>Baupläne!J570</f>
        <v>0</v>
      </c>
      <c r="E570" s="3">
        <f>Baupläne!H570</f>
        <v>63</v>
      </c>
      <c r="F570" s="3">
        <f>Baupläne!I570</f>
        <v>8</v>
      </c>
      <c r="G570" s="3">
        <f>Baupläne!E570</f>
        <v>32</v>
      </c>
      <c r="H570" s="3">
        <f>Baupläne!F570</f>
        <v>480</v>
      </c>
      <c r="I570" s="3">
        <f>0.5*Baupläne!Y570</f>
        <v>3050</v>
      </c>
      <c r="J570" s="3">
        <f>Baupläne!G570</f>
        <v>0</v>
      </c>
      <c r="K570" s="3">
        <f>IF(L570&gt;0,INDEX(data_item!$A$1:$A$1994,MATCH(Baupläne!L570,data_item!$B$1:$B$1994,0),1),0)</f>
        <v>27</v>
      </c>
      <c r="L570" s="3">
        <f>Baupläne!K570</f>
        <v>17</v>
      </c>
      <c r="M570" s="3">
        <f>IF(N570&gt;0,INDEX(data_item!$A$1:$A$1994,MATCH(Baupläne!N570,data_item!$B$1:$B$994,0),1),0)</f>
        <v>120</v>
      </c>
      <c r="N570" s="3">
        <f>Baupläne!M570</f>
        <v>34</v>
      </c>
      <c r="O570" s="3">
        <f>IF(P570&gt;0,INDEX(data_item!$A$1:$A$1994,MATCH(Baupläne!P570,data_item!$B$1:$B$1994,0),1),0)</f>
        <v>0</v>
      </c>
      <c r="P570" s="3">
        <f>Baupläne!O570</f>
        <v>0</v>
      </c>
      <c r="Q570" s="3">
        <f>IF(R570&gt;0,INDEX(data_item!$A$1:$A$1994,MATCH(Baupläne!R570,data_item!$B$1:$B$1994,0),1),0)</f>
        <v>0</v>
      </c>
      <c r="R570" s="3">
        <f>Baupläne!Q570</f>
        <v>0</v>
      </c>
      <c r="S570" s="3">
        <f>IF(T570&gt;0,INDEX(data_item!$A$1:$A$1994,MATCH(Baupläne!T570,data_item!$B$1:$B$1994,0),1),0)</f>
        <v>312</v>
      </c>
      <c r="T570" s="3">
        <f>Baupläne!S570</f>
        <v>5</v>
      </c>
    </row>
    <row r="571" spans="1:20" x14ac:dyDescent="0.2">
      <c r="A571" s="3">
        <f>Baupläne!A571</f>
        <v>2623</v>
      </c>
      <c r="B571" s="3" t="str">
        <f>Baupläne!C571</f>
        <v>Perlmutt-Erdenstab</v>
      </c>
      <c r="C571" s="3">
        <f>Baupläne!B571</f>
        <v>2623</v>
      </c>
      <c r="D571" s="3">
        <f>Baupläne!J571</f>
        <v>0</v>
      </c>
      <c r="E571" s="3">
        <f>Baupläne!H571</f>
        <v>63</v>
      </c>
      <c r="F571" s="3">
        <f>Baupläne!I571</f>
        <v>13</v>
      </c>
      <c r="G571" s="3">
        <f>Baupläne!E571</f>
        <v>32</v>
      </c>
      <c r="H571" s="3">
        <f>Baupläne!F571</f>
        <v>480</v>
      </c>
      <c r="I571" s="3">
        <f>0.5*Baupläne!Y571</f>
        <v>6150</v>
      </c>
      <c r="J571" s="3">
        <f>Baupläne!G571</f>
        <v>0</v>
      </c>
      <c r="K571" s="3">
        <f>IF(L571&gt;0,INDEX(data_item!$A$1:$A$1994,MATCH(Baupläne!L571,data_item!$B$1:$B$1994,0),1),0)</f>
        <v>28</v>
      </c>
      <c r="L571" s="3">
        <f>Baupläne!K571</f>
        <v>22</v>
      </c>
      <c r="M571" s="3">
        <f>IF(N571&gt;0,INDEX(data_item!$A$1:$A$1994,MATCH(Baupläne!N571,data_item!$B$1:$B$994,0),1),0)</f>
        <v>120</v>
      </c>
      <c r="N571" s="3">
        <f>Baupläne!M571</f>
        <v>5</v>
      </c>
      <c r="O571" s="3">
        <f>IF(P571&gt;0,INDEX(data_item!$A$1:$A$1994,MATCH(Baupläne!P571,data_item!$B$1:$B$1994,0),1),0)</f>
        <v>121</v>
      </c>
      <c r="P571" s="3">
        <f>Baupläne!O571</f>
        <v>19</v>
      </c>
      <c r="Q571" s="3">
        <f>IF(R571&gt;0,INDEX(data_item!$A$1:$A$1994,MATCH(Baupläne!R571,data_item!$B$1:$B$1994,0),1),0)</f>
        <v>0</v>
      </c>
      <c r="R571" s="3">
        <f>Baupläne!Q571</f>
        <v>0</v>
      </c>
      <c r="S571" s="3">
        <f>IF(T571&gt;0,INDEX(data_item!$A$1:$A$1994,MATCH(Baupläne!T571,data_item!$B$1:$B$1994,0),1),0)</f>
        <v>313</v>
      </c>
      <c r="T571" s="3">
        <f>Baupläne!S571</f>
        <v>5</v>
      </c>
    </row>
    <row r="572" spans="1:20" x14ac:dyDescent="0.2">
      <c r="A572" s="3">
        <f>Baupläne!A572</f>
        <v>2624</v>
      </c>
      <c r="B572" s="3" t="str">
        <f>Baupläne!C572</f>
        <v>Jade-Erdenstab</v>
      </c>
      <c r="C572" s="3">
        <f>Baupläne!B572</f>
        <v>2624</v>
      </c>
      <c r="D572" s="3">
        <f>Baupläne!J572</f>
        <v>0</v>
      </c>
      <c r="E572" s="3">
        <f>Baupläne!H572</f>
        <v>63</v>
      </c>
      <c r="F572" s="3">
        <f>Baupläne!I572</f>
        <v>18</v>
      </c>
      <c r="G572" s="3">
        <f>Baupläne!E572</f>
        <v>32</v>
      </c>
      <c r="H572" s="3">
        <f>Baupläne!F572</f>
        <v>480</v>
      </c>
      <c r="I572" s="3">
        <f>0.5*Baupläne!Y572</f>
        <v>12400</v>
      </c>
      <c r="J572" s="3">
        <f>Baupläne!G572</f>
        <v>0</v>
      </c>
      <c r="K572" s="3">
        <f>IF(L572&gt;0,INDEX(data_item!$A$1:$A$1994,MATCH(Baupläne!L572,data_item!$B$1:$B$1994,0),1),0)</f>
        <v>29</v>
      </c>
      <c r="L572" s="3">
        <f>Baupläne!K572</f>
        <v>30</v>
      </c>
      <c r="M572" s="3">
        <f>IF(N572&gt;0,INDEX(data_item!$A$1:$A$1994,MATCH(Baupläne!N572,data_item!$B$1:$B$994,0),1),0)</f>
        <v>120</v>
      </c>
      <c r="N572" s="3">
        <f>Baupläne!M572</f>
        <v>8</v>
      </c>
      <c r="O572" s="3">
        <f>IF(P572&gt;0,INDEX(data_item!$A$1:$A$1994,MATCH(Baupläne!P572,data_item!$B$1:$B$1994,0),1),0)</f>
        <v>121</v>
      </c>
      <c r="P572" s="3">
        <f>Baupläne!O572</f>
        <v>38</v>
      </c>
      <c r="Q572" s="3">
        <f>IF(R572&gt;0,INDEX(data_item!$A$1:$A$1994,MATCH(Baupläne!R572,data_item!$B$1:$B$1994,0),1),0)</f>
        <v>0</v>
      </c>
      <c r="R572" s="3">
        <f>Baupläne!Q572</f>
        <v>0</v>
      </c>
      <c r="S572" s="3">
        <f>IF(T572&gt;0,INDEX(data_item!$A$1:$A$1994,MATCH(Baupläne!T572,data_item!$B$1:$B$1994,0),1),0)</f>
        <v>314</v>
      </c>
      <c r="T572" s="3">
        <f>Baupläne!S572</f>
        <v>5</v>
      </c>
    </row>
    <row r="573" spans="1:20" x14ac:dyDescent="0.2">
      <c r="A573" s="3">
        <f>Baupläne!A573</f>
        <v>2625</v>
      </c>
      <c r="B573" s="3" t="str">
        <f>Baupläne!C573</f>
        <v>Onyx-Erdenstab</v>
      </c>
      <c r="C573" s="3">
        <f>Baupläne!B573</f>
        <v>2625</v>
      </c>
      <c r="D573" s="3">
        <f>Baupläne!J573</f>
        <v>0</v>
      </c>
      <c r="E573" s="3">
        <f>Baupläne!H573</f>
        <v>63</v>
      </c>
      <c r="F573" s="3">
        <f>Baupläne!I573</f>
        <v>24</v>
      </c>
      <c r="G573" s="3">
        <f>Baupläne!E573</f>
        <v>32</v>
      </c>
      <c r="H573" s="3">
        <f>Baupläne!F573</f>
        <v>480</v>
      </c>
      <c r="I573" s="3">
        <f>0.5*Baupläne!Y573</f>
        <v>28650</v>
      </c>
      <c r="J573" s="3">
        <f>Baupläne!G573</f>
        <v>0</v>
      </c>
      <c r="K573" s="3">
        <f>IF(L573&gt;0,INDEX(data_item!$A$1:$A$1994,MATCH(Baupläne!L573,data_item!$B$1:$B$1994,0),1),0)</f>
        <v>30</v>
      </c>
      <c r="L573" s="3">
        <f>Baupläne!K573</f>
        <v>52</v>
      </c>
      <c r="M573" s="3">
        <f>IF(N573&gt;0,INDEX(data_item!$A$1:$A$1994,MATCH(Baupläne!N573,data_item!$B$1:$B$994,0),1),0)</f>
        <v>120</v>
      </c>
      <c r="N573" s="3">
        <f>Baupläne!M573</f>
        <v>6</v>
      </c>
      <c r="O573" s="3">
        <f>IF(P573&gt;0,INDEX(data_item!$A$1:$A$1994,MATCH(Baupläne!P573,data_item!$B$1:$B$1994,0),1),0)</f>
        <v>121</v>
      </c>
      <c r="P573" s="3">
        <f>Baupläne!O573</f>
        <v>12</v>
      </c>
      <c r="Q573" s="3">
        <f>IF(R573&gt;0,INDEX(data_item!$A$1:$A$1994,MATCH(Baupläne!R573,data_item!$B$1:$B$1994,0),1),0)</f>
        <v>122</v>
      </c>
      <c r="R573" s="3">
        <f>Baupläne!Q573</f>
        <v>32</v>
      </c>
      <c r="S573" s="3">
        <f>IF(T573&gt;0,INDEX(data_item!$A$1:$A$1994,MATCH(Baupläne!T573,data_item!$B$1:$B$1994,0),1),0)</f>
        <v>315</v>
      </c>
      <c r="T573" s="3">
        <f>Baupläne!S573</f>
        <v>5</v>
      </c>
    </row>
    <row r="574" spans="1:20" x14ac:dyDescent="0.2">
      <c r="A574" s="3">
        <f>Baupläne!A574</f>
        <v>0</v>
      </c>
      <c r="B574" s="3">
        <f>Baupläne!C574</f>
        <v>0</v>
      </c>
      <c r="C574" s="3">
        <f>Baupläne!B574</f>
        <v>0</v>
      </c>
      <c r="D574" s="3">
        <f>Baupläne!J574</f>
        <v>0</v>
      </c>
      <c r="E574" s="3">
        <f>Baupläne!H574</f>
        <v>0</v>
      </c>
      <c r="F574" s="3">
        <f>Baupläne!I574</f>
        <v>0</v>
      </c>
      <c r="G574" s="3">
        <f>Baupläne!E574</f>
        <v>0</v>
      </c>
      <c r="H574" s="3">
        <f>Baupläne!F574</f>
        <v>0</v>
      </c>
      <c r="I574" s="3">
        <f>0.5*Baupläne!Y574</f>
        <v>0</v>
      </c>
      <c r="J574" s="3">
        <f>Baupläne!G574</f>
        <v>0</v>
      </c>
      <c r="K574" s="3">
        <f>IF(L574&gt;0,INDEX(data_item!$A$1:$A$1994,MATCH(Baupläne!L574,data_item!$B$1:$B$1994,0),1),0)</f>
        <v>0</v>
      </c>
      <c r="L574" s="3">
        <f>Baupläne!K574</f>
        <v>0</v>
      </c>
      <c r="M574" s="3">
        <f>IF(N574&gt;0,INDEX(data_item!$A$1:$A$1994,MATCH(Baupläne!N574,data_item!$B$1:$B$994,0),1),0)</f>
        <v>0</v>
      </c>
      <c r="N574" s="3">
        <f>Baupläne!M574</f>
        <v>0</v>
      </c>
      <c r="O574" s="3">
        <f>IF(P574&gt;0,INDEX(data_item!$A$1:$A$1994,MATCH(Baupläne!P574,data_item!$B$1:$B$1994,0),1),0)</f>
        <v>0</v>
      </c>
      <c r="P574" s="3">
        <f>Baupläne!O574</f>
        <v>0</v>
      </c>
      <c r="Q574" s="3">
        <f>IF(R574&gt;0,INDEX(data_item!$A$1:$A$1994,MATCH(Baupläne!R574,data_item!$B$1:$B$1994,0),1),0)</f>
        <v>0</v>
      </c>
      <c r="R574" s="3">
        <f>Baupläne!Q574</f>
        <v>0</v>
      </c>
      <c r="S574" s="3">
        <f>IF(T574&gt;0,INDEX(data_item!$A$1:$A$1994,MATCH(Baupläne!T574,data_item!$B$1:$B$1994,0),1),0)</f>
        <v>0</v>
      </c>
      <c r="T574" s="3">
        <f>Baupläne!S574</f>
        <v>0</v>
      </c>
    </row>
    <row r="575" spans="1:20" x14ac:dyDescent="0.2">
      <c r="A575" s="3">
        <f>Baupläne!A575</f>
        <v>2631</v>
      </c>
      <c r="B575" s="3" t="str">
        <f>Baupläne!C575</f>
        <v>Pyrit-Luftstab</v>
      </c>
      <c r="C575" s="3">
        <f>Baupläne!B575</f>
        <v>2631</v>
      </c>
      <c r="D575" s="3">
        <f>Baupläne!J575</f>
        <v>0</v>
      </c>
      <c r="E575" s="3">
        <f>Baupläne!H575</f>
        <v>63</v>
      </c>
      <c r="F575" s="3">
        <f>Baupläne!I575</f>
        <v>3</v>
      </c>
      <c r="G575" s="3">
        <f>Baupläne!E575</f>
        <v>32</v>
      </c>
      <c r="H575" s="3">
        <f>Baupläne!F575</f>
        <v>480</v>
      </c>
      <c r="I575" s="3">
        <f>0.5*Baupläne!Y575</f>
        <v>1500</v>
      </c>
      <c r="J575" s="3">
        <f>Baupläne!G575</f>
        <v>0</v>
      </c>
      <c r="K575" s="3">
        <f>IF(L575&gt;0,INDEX(data_item!$A$1:$A$1994,MATCH(Baupläne!L575,data_item!$B$1:$B$1994,0),1),0)</f>
        <v>26</v>
      </c>
      <c r="L575" s="3">
        <f>Baupläne!K575</f>
        <v>16</v>
      </c>
      <c r="M575" s="3">
        <f>IF(N575&gt;0,INDEX(data_item!$A$1:$A$1994,MATCH(Baupläne!N575,data_item!$B$1:$B$994,0),1),0)</f>
        <v>120</v>
      </c>
      <c r="N575" s="3">
        <f>Baupläne!M575</f>
        <v>16</v>
      </c>
      <c r="O575" s="3">
        <f>IF(P575&gt;0,INDEX(data_item!$A$1:$A$1994,MATCH(Baupläne!P575,data_item!$B$1:$B$1994,0),1),0)</f>
        <v>0</v>
      </c>
      <c r="P575" s="3">
        <f>Baupläne!O575</f>
        <v>0</v>
      </c>
      <c r="Q575" s="3">
        <f>IF(R575&gt;0,INDEX(data_item!$A$1:$A$1994,MATCH(Baupläne!R575,data_item!$B$1:$B$1994,0),1),0)</f>
        <v>0</v>
      </c>
      <c r="R575" s="3">
        <f>Baupläne!Q575</f>
        <v>0</v>
      </c>
      <c r="S575" s="3">
        <f>IF(T575&gt;0,INDEX(data_item!$A$1:$A$1994,MATCH(Baupläne!T575,data_item!$B$1:$B$1994,0),1),0)</f>
        <v>311</v>
      </c>
      <c r="T575" s="3">
        <f>Baupläne!S575</f>
        <v>5</v>
      </c>
    </row>
    <row r="576" spans="1:20" x14ac:dyDescent="0.2">
      <c r="A576" s="3">
        <f>Baupläne!A576</f>
        <v>2632</v>
      </c>
      <c r="B576" s="3" t="str">
        <f>Baupläne!C576</f>
        <v>Jaspis-Luftstab</v>
      </c>
      <c r="C576" s="3">
        <f>Baupläne!B576</f>
        <v>2632</v>
      </c>
      <c r="D576" s="3">
        <f>Baupläne!J576</f>
        <v>0</v>
      </c>
      <c r="E576" s="3">
        <f>Baupläne!H576</f>
        <v>63</v>
      </c>
      <c r="F576" s="3">
        <f>Baupläne!I576</f>
        <v>8</v>
      </c>
      <c r="G576" s="3">
        <f>Baupläne!E576</f>
        <v>32</v>
      </c>
      <c r="H576" s="3">
        <f>Baupläne!F576</f>
        <v>480</v>
      </c>
      <c r="I576" s="3">
        <f>0.5*Baupläne!Y576</f>
        <v>3050</v>
      </c>
      <c r="J576" s="3">
        <f>Baupläne!G576</f>
        <v>0</v>
      </c>
      <c r="K576" s="3">
        <f>IF(L576&gt;0,INDEX(data_item!$A$1:$A$1994,MATCH(Baupläne!L576,data_item!$B$1:$B$1994,0),1),0)</f>
        <v>27</v>
      </c>
      <c r="L576" s="3">
        <f>Baupläne!K576</f>
        <v>17</v>
      </c>
      <c r="M576" s="3">
        <f>IF(N576&gt;0,INDEX(data_item!$A$1:$A$1994,MATCH(Baupläne!N576,data_item!$B$1:$B$994,0),1),0)</f>
        <v>120</v>
      </c>
      <c r="N576" s="3">
        <f>Baupläne!M576</f>
        <v>34</v>
      </c>
      <c r="O576" s="3">
        <f>IF(P576&gt;0,INDEX(data_item!$A$1:$A$1994,MATCH(Baupläne!P576,data_item!$B$1:$B$1994,0),1),0)</f>
        <v>0</v>
      </c>
      <c r="P576" s="3">
        <f>Baupläne!O576</f>
        <v>0</v>
      </c>
      <c r="Q576" s="3">
        <f>IF(R576&gt;0,INDEX(data_item!$A$1:$A$1994,MATCH(Baupläne!R576,data_item!$B$1:$B$1994,0),1),0)</f>
        <v>0</v>
      </c>
      <c r="R576" s="3">
        <f>Baupläne!Q576</f>
        <v>0</v>
      </c>
      <c r="S576" s="3">
        <f>IF(T576&gt;0,INDEX(data_item!$A$1:$A$1994,MATCH(Baupläne!T576,data_item!$B$1:$B$1994,0),1),0)</f>
        <v>312</v>
      </c>
      <c r="T576" s="3">
        <f>Baupläne!S576</f>
        <v>5</v>
      </c>
    </row>
    <row r="577" spans="1:20" x14ac:dyDescent="0.2">
      <c r="A577" s="3">
        <f>Baupläne!A577</f>
        <v>2633</v>
      </c>
      <c r="B577" s="3" t="str">
        <f>Baupläne!C577</f>
        <v>Perlmutt-Luftstab</v>
      </c>
      <c r="C577" s="3">
        <f>Baupläne!B577</f>
        <v>2633</v>
      </c>
      <c r="D577" s="3">
        <f>Baupläne!J577</f>
        <v>0</v>
      </c>
      <c r="E577" s="3">
        <f>Baupläne!H577</f>
        <v>63</v>
      </c>
      <c r="F577" s="3">
        <f>Baupläne!I577</f>
        <v>13</v>
      </c>
      <c r="G577" s="3">
        <f>Baupläne!E577</f>
        <v>32</v>
      </c>
      <c r="H577" s="3">
        <f>Baupläne!F577</f>
        <v>480</v>
      </c>
      <c r="I577" s="3">
        <f>0.5*Baupläne!Y577</f>
        <v>6150</v>
      </c>
      <c r="J577" s="3">
        <f>Baupläne!G577</f>
        <v>0</v>
      </c>
      <c r="K577" s="3">
        <f>IF(L577&gt;0,INDEX(data_item!$A$1:$A$1994,MATCH(Baupläne!L577,data_item!$B$1:$B$1994,0),1),0)</f>
        <v>28</v>
      </c>
      <c r="L577" s="3">
        <f>Baupläne!K577</f>
        <v>22</v>
      </c>
      <c r="M577" s="3">
        <f>IF(N577&gt;0,INDEX(data_item!$A$1:$A$1994,MATCH(Baupläne!N577,data_item!$B$1:$B$994,0),1),0)</f>
        <v>120</v>
      </c>
      <c r="N577" s="3">
        <f>Baupläne!M577</f>
        <v>5</v>
      </c>
      <c r="O577" s="3">
        <f>IF(P577&gt;0,INDEX(data_item!$A$1:$A$1994,MATCH(Baupläne!P577,data_item!$B$1:$B$1994,0),1),0)</f>
        <v>121</v>
      </c>
      <c r="P577" s="3">
        <f>Baupläne!O577</f>
        <v>19</v>
      </c>
      <c r="Q577" s="3">
        <f>IF(R577&gt;0,INDEX(data_item!$A$1:$A$1994,MATCH(Baupläne!R577,data_item!$B$1:$B$1994,0),1),0)</f>
        <v>0</v>
      </c>
      <c r="R577" s="3">
        <f>Baupläne!Q577</f>
        <v>0</v>
      </c>
      <c r="S577" s="3">
        <f>IF(T577&gt;0,INDEX(data_item!$A$1:$A$1994,MATCH(Baupläne!T577,data_item!$B$1:$B$1994,0),1),0)</f>
        <v>313</v>
      </c>
      <c r="T577" s="3">
        <f>Baupläne!S577</f>
        <v>5</v>
      </c>
    </row>
    <row r="578" spans="1:20" x14ac:dyDescent="0.2">
      <c r="A578" s="3">
        <f>Baupläne!A578</f>
        <v>2634</v>
      </c>
      <c r="B578" s="3" t="str">
        <f>Baupläne!C578</f>
        <v>Jade-Luftstab</v>
      </c>
      <c r="C578" s="3">
        <f>Baupläne!B578</f>
        <v>2634</v>
      </c>
      <c r="D578" s="3">
        <f>Baupläne!J578</f>
        <v>0</v>
      </c>
      <c r="E578" s="3">
        <f>Baupläne!H578</f>
        <v>63</v>
      </c>
      <c r="F578" s="3">
        <f>Baupläne!I578</f>
        <v>18</v>
      </c>
      <c r="G578" s="3">
        <f>Baupläne!E578</f>
        <v>32</v>
      </c>
      <c r="H578" s="3">
        <f>Baupläne!F578</f>
        <v>480</v>
      </c>
      <c r="I578" s="3">
        <f>0.5*Baupläne!Y578</f>
        <v>12400</v>
      </c>
      <c r="J578" s="3">
        <f>Baupläne!G578</f>
        <v>0</v>
      </c>
      <c r="K578" s="3">
        <f>IF(L578&gt;0,INDEX(data_item!$A$1:$A$1994,MATCH(Baupläne!L578,data_item!$B$1:$B$1994,0),1),0)</f>
        <v>29</v>
      </c>
      <c r="L578" s="3">
        <f>Baupläne!K578</f>
        <v>30</v>
      </c>
      <c r="M578" s="3">
        <f>IF(N578&gt;0,INDEX(data_item!$A$1:$A$1994,MATCH(Baupläne!N578,data_item!$B$1:$B$994,0),1),0)</f>
        <v>120</v>
      </c>
      <c r="N578" s="3">
        <f>Baupläne!M578</f>
        <v>8</v>
      </c>
      <c r="O578" s="3">
        <f>IF(P578&gt;0,INDEX(data_item!$A$1:$A$1994,MATCH(Baupläne!P578,data_item!$B$1:$B$1994,0),1),0)</f>
        <v>121</v>
      </c>
      <c r="P578" s="3">
        <f>Baupläne!O578</f>
        <v>38</v>
      </c>
      <c r="Q578" s="3">
        <f>IF(R578&gt;0,INDEX(data_item!$A$1:$A$1994,MATCH(Baupläne!R578,data_item!$B$1:$B$1994,0),1),0)</f>
        <v>0</v>
      </c>
      <c r="R578" s="3">
        <f>Baupläne!Q578</f>
        <v>0</v>
      </c>
      <c r="S578" s="3">
        <f>IF(T578&gt;0,INDEX(data_item!$A$1:$A$1994,MATCH(Baupläne!T578,data_item!$B$1:$B$1994,0),1),0)</f>
        <v>314</v>
      </c>
      <c r="T578" s="3">
        <f>Baupläne!S578</f>
        <v>5</v>
      </c>
    </row>
    <row r="579" spans="1:20" x14ac:dyDescent="0.2">
      <c r="A579" s="3">
        <f>Baupläne!A579</f>
        <v>2635</v>
      </c>
      <c r="B579" s="3" t="str">
        <f>Baupläne!C579</f>
        <v>Onyx-Luftstab</v>
      </c>
      <c r="C579" s="3">
        <f>Baupläne!B579</f>
        <v>2635</v>
      </c>
      <c r="D579" s="3">
        <f>Baupläne!J579</f>
        <v>0</v>
      </c>
      <c r="E579" s="3">
        <f>Baupläne!H579</f>
        <v>63</v>
      </c>
      <c r="F579" s="3">
        <f>Baupläne!I579</f>
        <v>24</v>
      </c>
      <c r="G579" s="3">
        <f>Baupläne!E579</f>
        <v>32</v>
      </c>
      <c r="H579" s="3">
        <f>Baupläne!F579</f>
        <v>480</v>
      </c>
      <c r="I579" s="3">
        <f>0.5*Baupläne!Y579</f>
        <v>28650</v>
      </c>
      <c r="J579" s="3">
        <f>Baupläne!G579</f>
        <v>0</v>
      </c>
      <c r="K579" s="3">
        <f>IF(L579&gt;0,INDEX(data_item!$A$1:$A$1994,MATCH(Baupläne!L579,data_item!$B$1:$B$1994,0),1),0)</f>
        <v>30</v>
      </c>
      <c r="L579" s="3">
        <f>Baupläne!K579</f>
        <v>52</v>
      </c>
      <c r="M579" s="3">
        <f>IF(N579&gt;0,INDEX(data_item!$A$1:$A$1994,MATCH(Baupläne!N579,data_item!$B$1:$B$994,0),1),0)</f>
        <v>120</v>
      </c>
      <c r="N579" s="3">
        <f>Baupläne!M579</f>
        <v>6</v>
      </c>
      <c r="O579" s="3">
        <f>IF(P579&gt;0,INDEX(data_item!$A$1:$A$1994,MATCH(Baupläne!P579,data_item!$B$1:$B$1994,0),1),0)</f>
        <v>121</v>
      </c>
      <c r="P579" s="3">
        <f>Baupläne!O579</f>
        <v>12</v>
      </c>
      <c r="Q579" s="3">
        <f>IF(R579&gt;0,INDEX(data_item!$A$1:$A$1994,MATCH(Baupläne!R579,data_item!$B$1:$B$1994,0),1),0)</f>
        <v>122</v>
      </c>
      <c r="R579" s="3">
        <f>Baupläne!Q579</f>
        <v>32</v>
      </c>
      <c r="S579" s="3">
        <f>IF(T579&gt;0,INDEX(data_item!$A$1:$A$1994,MATCH(Baupläne!T579,data_item!$B$1:$B$1994,0),1),0)</f>
        <v>315</v>
      </c>
      <c r="T579" s="3">
        <f>Baupläne!S579</f>
        <v>5</v>
      </c>
    </row>
  </sheetData>
  <pageMargins left="0.78749999999999998" right="0.78749999999999998" top="0.78749999999999998" bottom="0.78749999999999998" header="0.51180555555555551" footer="0.51180555555555551"/>
  <pageSetup paperSize="9" firstPageNumber="0" orientation="portrait" horizontalDpi="300" verticalDpi="300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P151"/>
  <sheetViews>
    <sheetView topLeftCell="A112" zoomScale="75" zoomScaleNormal="75" workbookViewId="0">
      <selection activeCell="M157" sqref="M157"/>
    </sheetView>
  </sheetViews>
  <sheetFormatPr baseColWidth="10" defaultColWidth="9.28515625" defaultRowHeight="12.75" x14ac:dyDescent="0.2"/>
  <cols>
    <col min="1" max="1" width="7.28515625" style="627" customWidth="1"/>
    <col min="2" max="2" width="14.7109375" style="627" customWidth="1"/>
    <col min="3" max="3" width="9.28515625" style="627"/>
    <col min="4" max="4" width="7" style="627" customWidth="1"/>
    <col min="5" max="7" width="8.42578125" style="627" customWidth="1"/>
    <col min="8" max="8" width="7.5703125" style="627" customWidth="1"/>
    <col min="9" max="9" width="10.7109375" style="627" customWidth="1"/>
    <col min="10" max="10" width="7.5703125" style="627" customWidth="1"/>
    <col min="11" max="11" width="10.7109375" style="627" customWidth="1"/>
    <col min="12" max="12" width="7.5703125" style="627" customWidth="1"/>
    <col min="13" max="13" width="10.7109375" style="627" customWidth="1"/>
    <col min="14" max="14" width="7.5703125" style="627" customWidth="1"/>
    <col min="15" max="15" width="10.7109375" style="627" customWidth="1"/>
    <col min="16" max="16384" width="9.28515625" style="627"/>
  </cols>
  <sheetData>
    <row r="1" spans="1:16" x14ac:dyDescent="0.2">
      <c r="A1" s="785" t="s">
        <v>1229</v>
      </c>
      <c r="B1" s="785" t="s">
        <v>1198</v>
      </c>
      <c r="C1" s="785" t="s">
        <v>1242</v>
      </c>
      <c r="D1" s="785" t="s">
        <v>1243</v>
      </c>
      <c r="E1" s="785" t="s">
        <v>1244</v>
      </c>
      <c r="F1" s="785" t="s">
        <v>1245</v>
      </c>
      <c r="G1" s="785" t="s">
        <v>1246</v>
      </c>
      <c r="H1" s="785" t="s">
        <v>1247</v>
      </c>
      <c r="I1" s="785" t="s">
        <v>1248</v>
      </c>
      <c r="J1" s="785" t="s">
        <v>1249</v>
      </c>
      <c r="K1" s="785" t="s">
        <v>1250</v>
      </c>
      <c r="L1" s="785" t="s">
        <v>1251</v>
      </c>
      <c r="M1" s="785" t="s">
        <v>1252</v>
      </c>
      <c r="N1" s="785" t="s">
        <v>1253</v>
      </c>
      <c r="O1" s="785" t="s">
        <v>1254</v>
      </c>
      <c r="P1" s="785" t="s">
        <v>1255</v>
      </c>
    </row>
    <row r="2" spans="1:16" x14ac:dyDescent="0.2">
      <c r="A2" s="627">
        <f>Gebäude!A2</f>
        <v>101</v>
      </c>
      <c r="B2" s="627" t="str">
        <f>Gebäude!B2</f>
        <v>Forstanlage I</v>
      </c>
      <c r="C2" s="627">
        <f>Gebäude!D2</f>
        <v>4</v>
      </c>
      <c r="D2" s="627">
        <f>Gebäude!E2</f>
        <v>100</v>
      </c>
      <c r="E2" s="627">
        <f>Gebäude!F2</f>
        <v>800</v>
      </c>
      <c r="F2" s="627">
        <f>Gebäude!G2</f>
        <v>0</v>
      </c>
      <c r="G2" s="627">
        <f>Gebäude!H2</f>
        <v>0</v>
      </c>
      <c r="H2" s="627">
        <f>IF(I2&gt;0,INDEX(data_item!$A$1:$A$994,MATCH(Gebäude!J2,data_item!$B$1:$B$994,0),1),0)</f>
        <v>0</v>
      </c>
      <c r="I2" s="627">
        <f>Gebäude!I2</f>
        <v>0</v>
      </c>
      <c r="J2" s="627">
        <f>IF(K2&gt;0,INDEX(data_item!$A$1:$A$994,MATCH(Gebäude!L2,data_item!$B$1:$B$994,0),1),0)</f>
        <v>0</v>
      </c>
      <c r="K2" s="627">
        <f>Gebäude!K2</f>
        <v>0</v>
      </c>
      <c r="L2" s="627">
        <f>IF(M2&gt;0,INDEX(data_item!$A$1:$A$994,MATCH(Gebäude!N2,data_item!$B$1:$B$994,0),1),0)</f>
        <v>203</v>
      </c>
      <c r="M2" s="627">
        <f>Gebäude!M2</f>
        <v>1</v>
      </c>
      <c r="N2" s="627">
        <f>IF(O2&gt;0,INDEX(data_item!$A$1:$A$994,MATCH(Gebäude!P2,data_item!$B$1:$B$994,0),1),0)</f>
        <v>204</v>
      </c>
      <c r="O2" s="627">
        <f>Gebäude!O2</f>
        <v>4</v>
      </c>
      <c r="P2" s="627">
        <f>Gebäude!Q2</f>
        <v>15</v>
      </c>
    </row>
    <row r="3" spans="1:16" x14ac:dyDescent="0.2">
      <c r="A3" s="627">
        <f>Gebäude!A3</f>
        <v>102</v>
      </c>
      <c r="B3" s="627" t="str">
        <f>Gebäude!B3</f>
        <v>Forstanlage II</v>
      </c>
      <c r="C3" s="627">
        <f>Gebäude!D3</f>
        <v>4</v>
      </c>
      <c r="D3" s="627">
        <f>Gebäude!E3</f>
        <v>200</v>
      </c>
      <c r="E3" s="627">
        <f>Gebäude!F3</f>
        <v>1200</v>
      </c>
      <c r="F3" s="627">
        <f>Gebäude!G3</f>
        <v>0</v>
      </c>
      <c r="G3" s="627">
        <f>Gebäude!H3</f>
        <v>0</v>
      </c>
      <c r="H3" s="627">
        <f>IF(I3&gt;0,INDEX(data_item!$A$1:$A$994,MATCH(Gebäude!J3,data_item!$B$1:$B$994,0),1),0)</f>
        <v>0</v>
      </c>
      <c r="I3" s="627">
        <f>Gebäude!I3</f>
        <v>0</v>
      </c>
      <c r="J3" s="627">
        <f>IF(K3&gt;0,INDEX(data_item!$A$1:$A$994,MATCH(Gebäude!L3,data_item!$B$1:$B$994,0),1),0)</f>
        <v>0</v>
      </c>
      <c r="K3" s="627">
        <f>Gebäude!K3</f>
        <v>0</v>
      </c>
      <c r="L3" s="627">
        <f>IF(M3&gt;0,INDEX(data_item!$A$1:$A$994,MATCH(Gebäude!N3,data_item!$B$1:$B$994,0),1),0)</f>
        <v>213</v>
      </c>
      <c r="M3" s="627">
        <f>Gebäude!M3</f>
        <v>1</v>
      </c>
      <c r="N3" s="627">
        <f>IF(O3&gt;0,INDEX(data_item!$A$1:$A$994,MATCH(Gebäude!P3,data_item!$B$1:$B$994,0),1),0)</f>
        <v>214</v>
      </c>
      <c r="O3" s="627">
        <f>Gebäude!O3</f>
        <v>4</v>
      </c>
      <c r="P3" s="627">
        <f>Gebäude!Q3</f>
        <v>30</v>
      </c>
    </row>
    <row r="4" spans="1:16" x14ac:dyDescent="0.2">
      <c r="A4" s="627">
        <f>Gebäude!A4</f>
        <v>103</v>
      </c>
      <c r="B4" s="627" t="str">
        <f>Gebäude!B4</f>
        <v>Forstanlage III</v>
      </c>
      <c r="C4" s="627">
        <f>Gebäude!D4</f>
        <v>5</v>
      </c>
      <c r="D4" s="627">
        <f>Gebäude!E4</f>
        <v>300</v>
      </c>
      <c r="E4" s="627">
        <f>Gebäude!F4</f>
        <v>1600</v>
      </c>
      <c r="F4" s="627">
        <f>Gebäude!G4</f>
        <v>0</v>
      </c>
      <c r="G4" s="627">
        <f>Gebäude!H4</f>
        <v>0</v>
      </c>
      <c r="H4" s="627">
        <f>IF(I4&gt;0,INDEX(data_item!$A$1:$A$994,MATCH(Gebäude!J4,data_item!$B$1:$B$994,0),1),0)</f>
        <v>0</v>
      </c>
      <c r="I4" s="627">
        <f>Gebäude!I4</f>
        <v>0</v>
      </c>
      <c r="J4" s="627">
        <f>IF(K4&gt;0,INDEX(data_item!$A$1:$A$994,MATCH(Gebäude!L4,data_item!$B$1:$B$994,0),1),0)</f>
        <v>0</v>
      </c>
      <c r="K4" s="627">
        <f>Gebäude!K4</f>
        <v>0</v>
      </c>
      <c r="L4" s="627">
        <f>IF(M4&gt;0,INDEX(data_item!$A$1:$A$994,MATCH(Gebäude!N4,data_item!$B$1:$B$994,0),1),0)</f>
        <v>223</v>
      </c>
      <c r="M4" s="627">
        <f>Gebäude!M4</f>
        <v>1</v>
      </c>
      <c r="N4" s="627">
        <f>IF(O4&gt;0,INDEX(data_item!$A$1:$A$994,MATCH(Gebäude!P4,data_item!$B$1:$B$994,0),1),0)</f>
        <v>224</v>
      </c>
      <c r="O4" s="627">
        <f>Gebäude!O4</f>
        <v>4</v>
      </c>
      <c r="P4" s="627">
        <f>Gebäude!Q4</f>
        <v>60</v>
      </c>
    </row>
    <row r="5" spans="1:16" x14ac:dyDescent="0.2">
      <c r="A5" s="627">
        <f>Gebäude!A5</f>
        <v>104</v>
      </c>
      <c r="B5" s="627" t="str">
        <f>Gebäude!B5</f>
        <v>Forstanlage IV</v>
      </c>
      <c r="C5" s="627">
        <f>Gebäude!D5</f>
        <v>6</v>
      </c>
      <c r="D5" s="627">
        <f>Gebäude!E5</f>
        <v>400</v>
      </c>
      <c r="E5" s="627">
        <f>Gebäude!F5</f>
        <v>2000</v>
      </c>
      <c r="F5" s="627">
        <f>Gebäude!G5</f>
        <v>0</v>
      </c>
      <c r="G5" s="627">
        <f>Gebäude!H5</f>
        <v>0</v>
      </c>
      <c r="H5" s="627">
        <f>IF(I5&gt;0,INDEX(data_item!$A$1:$A$994,MATCH(Gebäude!J5,data_item!$B$1:$B$994,0),1),0)</f>
        <v>0</v>
      </c>
      <c r="I5" s="627">
        <f>Gebäude!I5</f>
        <v>0</v>
      </c>
      <c r="J5" s="627">
        <f>IF(K5&gt;0,INDEX(data_item!$A$1:$A$994,MATCH(Gebäude!L5,data_item!$B$1:$B$994,0),1),0)</f>
        <v>0</v>
      </c>
      <c r="K5" s="627">
        <f>Gebäude!K5</f>
        <v>0</v>
      </c>
      <c r="L5" s="627">
        <f>IF(M5&gt;0,INDEX(data_item!$A$1:$A$994,MATCH(Gebäude!N5,data_item!$B$1:$B$994,0),1),0)</f>
        <v>233</v>
      </c>
      <c r="M5" s="627">
        <f>Gebäude!M5</f>
        <v>1</v>
      </c>
      <c r="N5" s="627">
        <f>IF(O5&gt;0,INDEX(data_item!$A$1:$A$994,MATCH(Gebäude!P5,data_item!$B$1:$B$994,0),1),0)</f>
        <v>234</v>
      </c>
      <c r="O5" s="627">
        <f>Gebäude!O5</f>
        <v>4</v>
      </c>
      <c r="P5" s="627">
        <f>Gebäude!Q5</f>
        <v>120</v>
      </c>
    </row>
    <row r="6" spans="1:16" x14ac:dyDescent="0.2">
      <c r="A6" s="627">
        <f>Gebäude!A6</f>
        <v>105</v>
      </c>
      <c r="B6" s="627" t="str">
        <f>Gebäude!B6</f>
        <v>Forstanlage V</v>
      </c>
      <c r="C6" s="627">
        <f>Gebäude!D6</f>
        <v>6</v>
      </c>
      <c r="D6" s="627">
        <f>Gebäude!E6</f>
        <v>500</v>
      </c>
      <c r="E6" s="627">
        <f>Gebäude!F6</f>
        <v>2400</v>
      </c>
      <c r="F6" s="627">
        <f>Gebäude!G6</f>
        <v>0</v>
      </c>
      <c r="G6" s="627">
        <f>Gebäude!H6</f>
        <v>0</v>
      </c>
      <c r="H6" s="627">
        <f>IF(I6&gt;0,INDEX(data_item!$A$1:$A$994,MATCH(Gebäude!J6,data_item!$B$1:$B$994,0),1),0)</f>
        <v>0</v>
      </c>
      <c r="I6" s="627">
        <f>Gebäude!I6</f>
        <v>0</v>
      </c>
      <c r="J6" s="627">
        <f>IF(K6&gt;0,INDEX(data_item!$A$1:$A$994,MATCH(Gebäude!L6,data_item!$B$1:$B$994,0),1),0)</f>
        <v>0</v>
      </c>
      <c r="K6" s="627">
        <f>Gebäude!K6</f>
        <v>0</v>
      </c>
      <c r="L6" s="627">
        <f>IF(M6&gt;0,INDEX(data_item!$A$1:$A$994,MATCH(Gebäude!N6,data_item!$B$1:$B$994,0),1),0)</f>
        <v>243</v>
      </c>
      <c r="M6" s="627">
        <f>Gebäude!M6</f>
        <v>1</v>
      </c>
      <c r="N6" s="627">
        <f>IF(O6&gt;0,INDEX(data_item!$A$1:$A$994,MATCH(Gebäude!P6,data_item!$B$1:$B$994,0),1),0)</f>
        <v>244</v>
      </c>
      <c r="O6" s="627">
        <f>Gebäude!O6</f>
        <v>4</v>
      </c>
      <c r="P6" s="627">
        <f>Gebäude!Q6</f>
        <v>240</v>
      </c>
    </row>
    <row r="7" spans="1:16" x14ac:dyDescent="0.2">
      <c r="A7" s="627">
        <f>Gebäude!A7</f>
        <v>0</v>
      </c>
      <c r="B7" s="627">
        <f>Gebäude!B7</f>
        <v>0</v>
      </c>
      <c r="C7" s="627">
        <f>Gebäude!D7</f>
        <v>0</v>
      </c>
      <c r="D7" s="627">
        <f>Gebäude!E7</f>
        <v>0</v>
      </c>
      <c r="E7" s="627">
        <f>Gebäude!F7</f>
        <v>0</v>
      </c>
      <c r="F7" s="627">
        <f>Gebäude!G7</f>
        <v>0</v>
      </c>
      <c r="G7" s="627">
        <f>Gebäude!H7</f>
        <v>0</v>
      </c>
      <c r="H7" s="627">
        <f>IF(I7&gt;0,INDEX(data_item!$A$1:$A$994,MATCH(Gebäude!J7,data_item!$B$1:$B$994,0),1),0)</f>
        <v>0</v>
      </c>
      <c r="I7" s="627">
        <f>Gebäude!I7</f>
        <v>0</v>
      </c>
      <c r="J7" s="627">
        <f>IF(K7&gt;0,INDEX(data_item!$A$1:$A$994,MATCH(Gebäude!L7,data_item!$B$1:$B$994,0),1),0)</f>
        <v>0</v>
      </c>
      <c r="K7" s="627">
        <f>Gebäude!K7</f>
        <v>0</v>
      </c>
      <c r="L7" s="627">
        <f>IF(M7&gt;0,INDEX(data_item!$A$1:$A$994,MATCH(Gebäude!N7,data_item!$B$1:$B$994,0),1),0)</f>
        <v>0</v>
      </c>
      <c r="M7" s="627">
        <f>Gebäude!M7</f>
        <v>0</v>
      </c>
      <c r="N7" s="627">
        <f>IF(O7&gt;0,INDEX(data_item!$A$1:$A$994,MATCH(Gebäude!P7,data_item!$B$1:$B$994,0),1),0)</f>
        <v>0</v>
      </c>
      <c r="O7" s="627">
        <f>Gebäude!O7</f>
        <v>0</v>
      </c>
      <c r="P7" s="627">
        <f>Gebäude!Q7</f>
        <v>0</v>
      </c>
    </row>
    <row r="8" spans="1:16" x14ac:dyDescent="0.2">
      <c r="A8" s="627">
        <f>Gebäude!A8</f>
        <v>111</v>
      </c>
      <c r="B8" s="627" t="str">
        <f>Gebäude!B8</f>
        <v>Steinbruch I</v>
      </c>
      <c r="C8" s="627">
        <f>Gebäude!D8</f>
        <v>4</v>
      </c>
      <c r="D8" s="627">
        <f>Gebäude!E8</f>
        <v>100</v>
      </c>
      <c r="E8" s="627">
        <f>Gebäude!F8</f>
        <v>800</v>
      </c>
      <c r="F8" s="627">
        <f>Gebäude!G8</f>
        <v>0</v>
      </c>
      <c r="G8" s="627">
        <f>Gebäude!H8</f>
        <v>0</v>
      </c>
      <c r="H8" s="627">
        <f>IF(I8&gt;0,INDEX(data_item!$A$1:$A$994,MATCH(Gebäude!J8,data_item!$B$1:$B$994,0),1),0)</f>
        <v>201</v>
      </c>
      <c r="I8" s="627">
        <f>Gebäude!I8</f>
        <v>1</v>
      </c>
      <c r="J8" s="627">
        <f>IF(K8&gt;0,INDEX(data_item!$A$1:$A$994,MATCH(Gebäude!L8,data_item!$B$1:$B$994,0),1),0)</f>
        <v>0</v>
      </c>
      <c r="K8" s="627">
        <f>Gebäude!K8</f>
        <v>0</v>
      </c>
      <c r="L8" s="627">
        <f>IF(M8&gt;0,INDEX(data_item!$A$1:$A$994,MATCH(Gebäude!N8,data_item!$B$1:$B$994,0),1),0)</f>
        <v>0</v>
      </c>
      <c r="M8" s="627">
        <f>Gebäude!M8</f>
        <v>0</v>
      </c>
      <c r="N8" s="627">
        <f>IF(O8&gt;0,INDEX(data_item!$A$1:$A$994,MATCH(Gebäude!P8,data_item!$B$1:$B$994,0),1),0)</f>
        <v>204</v>
      </c>
      <c r="O8" s="627">
        <f>Gebäude!O8</f>
        <v>5</v>
      </c>
      <c r="P8" s="627">
        <f>Gebäude!Q8</f>
        <v>15</v>
      </c>
    </row>
    <row r="9" spans="1:16" x14ac:dyDescent="0.2">
      <c r="A9" s="627">
        <f>Gebäude!A9</f>
        <v>112</v>
      </c>
      <c r="B9" s="627" t="str">
        <f>Gebäude!B9</f>
        <v>Steinbruch II</v>
      </c>
      <c r="C9" s="627">
        <f>Gebäude!D9</f>
        <v>4</v>
      </c>
      <c r="D9" s="627">
        <f>Gebäude!E9</f>
        <v>200</v>
      </c>
      <c r="E9" s="627">
        <f>Gebäude!F9</f>
        <v>1200</v>
      </c>
      <c r="F9" s="627">
        <f>Gebäude!G9</f>
        <v>0</v>
      </c>
      <c r="G9" s="627">
        <f>Gebäude!H9</f>
        <v>0</v>
      </c>
      <c r="H9" s="627">
        <f>IF(I9&gt;0,INDEX(data_item!$A$1:$A$994,MATCH(Gebäude!J9,data_item!$B$1:$B$994,0),1),0)</f>
        <v>211</v>
      </c>
      <c r="I9" s="627">
        <f>Gebäude!I9</f>
        <v>1</v>
      </c>
      <c r="J9" s="627">
        <f>IF(K9&gt;0,INDEX(data_item!$A$1:$A$994,MATCH(Gebäude!L9,data_item!$B$1:$B$994,0),1),0)</f>
        <v>0</v>
      </c>
      <c r="K9" s="627">
        <f>Gebäude!K9</f>
        <v>0</v>
      </c>
      <c r="L9" s="627">
        <f>IF(M9&gt;0,INDEX(data_item!$A$1:$A$994,MATCH(Gebäude!N9,data_item!$B$1:$B$994,0),1),0)</f>
        <v>0</v>
      </c>
      <c r="M9" s="627">
        <f>Gebäude!M9</f>
        <v>0</v>
      </c>
      <c r="N9" s="627">
        <f>IF(O9&gt;0,INDEX(data_item!$A$1:$A$994,MATCH(Gebäude!P9,data_item!$B$1:$B$994,0),1),0)</f>
        <v>214</v>
      </c>
      <c r="O9" s="627">
        <f>Gebäude!O9</f>
        <v>5</v>
      </c>
      <c r="P9" s="627">
        <f>Gebäude!Q9</f>
        <v>30</v>
      </c>
    </row>
    <row r="10" spans="1:16" x14ac:dyDescent="0.2">
      <c r="A10" s="627">
        <f>Gebäude!A10</f>
        <v>113</v>
      </c>
      <c r="B10" s="627" t="str">
        <f>Gebäude!B10</f>
        <v>Steinbruch III</v>
      </c>
      <c r="C10" s="627">
        <f>Gebäude!D10</f>
        <v>5</v>
      </c>
      <c r="D10" s="627">
        <f>Gebäude!E10</f>
        <v>300</v>
      </c>
      <c r="E10" s="627">
        <f>Gebäude!F10</f>
        <v>1600</v>
      </c>
      <c r="F10" s="627">
        <f>Gebäude!G10</f>
        <v>0</v>
      </c>
      <c r="G10" s="627">
        <f>Gebäude!H10</f>
        <v>0</v>
      </c>
      <c r="H10" s="627">
        <f>IF(I10&gt;0,INDEX(data_item!$A$1:$A$994,MATCH(Gebäude!J10,data_item!$B$1:$B$994,0),1),0)</f>
        <v>221</v>
      </c>
      <c r="I10" s="627">
        <f>Gebäude!I10</f>
        <v>1</v>
      </c>
      <c r="J10" s="627">
        <f>IF(K10&gt;0,INDEX(data_item!$A$1:$A$994,MATCH(Gebäude!L10,data_item!$B$1:$B$994,0),1),0)</f>
        <v>0</v>
      </c>
      <c r="K10" s="627">
        <f>Gebäude!K10</f>
        <v>0</v>
      </c>
      <c r="L10" s="627">
        <f>IF(M10&gt;0,INDEX(data_item!$A$1:$A$994,MATCH(Gebäude!N10,data_item!$B$1:$B$994,0),1),0)</f>
        <v>0</v>
      </c>
      <c r="M10" s="627">
        <f>Gebäude!M10</f>
        <v>0</v>
      </c>
      <c r="N10" s="627">
        <f>IF(O10&gt;0,INDEX(data_item!$A$1:$A$994,MATCH(Gebäude!P10,data_item!$B$1:$B$994,0),1),0)</f>
        <v>224</v>
      </c>
      <c r="O10" s="627">
        <f>Gebäude!O10</f>
        <v>5</v>
      </c>
      <c r="P10" s="627">
        <f>Gebäude!Q10</f>
        <v>60</v>
      </c>
    </row>
    <row r="11" spans="1:16" x14ac:dyDescent="0.2">
      <c r="A11" s="627">
        <f>Gebäude!A11</f>
        <v>114</v>
      </c>
      <c r="B11" s="627" t="str">
        <f>Gebäude!B11</f>
        <v>Steinbruch IV</v>
      </c>
      <c r="C11" s="627">
        <f>Gebäude!D11</f>
        <v>6</v>
      </c>
      <c r="D11" s="627">
        <f>Gebäude!E11</f>
        <v>400</v>
      </c>
      <c r="E11" s="627">
        <f>Gebäude!F11</f>
        <v>2000</v>
      </c>
      <c r="F11" s="627">
        <f>Gebäude!G11</f>
        <v>0</v>
      </c>
      <c r="G11" s="627">
        <f>Gebäude!H11</f>
        <v>0</v>
      </c>
      <c r="H11" s="627">
        <f>IF(I11&gt;0,INDEX(data_item!$A$1:$A$994,MATCH(Gebäude!J11,data_item!$B$1:$B$994,0),1),0)</f>
        <v>231</v>
      </c>
      <c r="I11" s="627">
        <f>Gebäude!I11</f>
        <v>1</v>
      </c>
      <c r="J11" s="627">
        <f>IF(K11&gt;0,INDEX(data_item!$A$1:$A$994,MATCH(Gebäude!L11,data_item!$B$1:$B$994,0),1),0)</f>
        <v>0</v>
      </c>
      <c r="K11" s="627">
        <f>Gebäude!K11</f>
        <v>0</v>
      </c>
      <c r="L11" s="627">
        <f>IF(M11&gt;0,INDEX(data_item!$A$1:$A$994,MATCH(Gebäude!N11,data_item!$B$1:$B$994,0),1),0)</f>
        <v>0</v>
      </c>
      <c r="M11" s="627">
        <f>Gebäude!M11</f>
        <v>0</v>
      </c>
      <c r="N11" s="627">
        <f>IF(O11&gt;0,INDEX(data_item!$A$1:$A$994,MATCH(Gebäude!P11,data_item!$B$1:$B$994,0),1),0)</f>
        <v>234</v>
      </c>
      <c r="O11" s="627">
        <f>Gebäude!O11</f>
        <v>5</v>
      </c>
      <c r="P11" s="627">
        <f>Gebäude!Q11</f>
        <v>120</v>
      </c>
    </row>
    <row r="12" spans="1:16" x14ac:dyDescent="0.2">
      <c r="A12" s="627">
        <f>Gebäude!A12</f>
        <v>115</v>
      </c>
      <c r="B12" s="627" t="str">
        <f>Gebäude!B12</f>
        <v>Steinbruch V</v>
      </c>
      <c r="C12" s="627">
        <f>Gebäude!D12</f>
        <v>6</v>
      </c>
      <c r="D12" s="627">
        <f>Gebäude!E12</f>
        <v>500</v>
      </c>
      <c r="E12" s="627">
        <f>Gebäude!F12</f>
        <v>2400</v>
      </c>
      <c r="F12" s="627">
        <f>Gebäude!G12</f>
        <v>0</v>
      </c>
      <c r="G12" s="627">
        <f>Gebäude!H12</f>
        <v>0</v>
      </c>
      <c r="H12" s="627">
        <f>IF(I12&gt;0,INDEX(data_item!$A$1:$A$994,MATCH(Gebäude!J12,data_item!$B$1:$B$994,0),1),0)</f>
        <v>241</v>
      </c>
      <c r="I12" s="627">
        <f>Gebäude!I12</f>
        <v>1</v>
      </c>
      <c r="J12" s="627">
        <f>IF(K12&gt;0,INDEX(data_item!$A$1:$A$994,MATCH(Gebäude!L12,data_item!$B$1:$B$994,0),1),0)</f>
        <v>0</v>
      </c>
      <c r="K12" s="627">
        <f>Gebäude!K12</f>
        <v>0</v>
      </c>
      <c r="L12" s="627">
        <f>IF(M12&gt;0,INDEX(data_item!$A$1:$A$994,MATCH(Gebäude!N12,data_item!$B$1:$B$994,0),1),0)</f>
        <v>0</v>
      </c>
      <c r="M12" s="627">
        <f>Gebäude!M12</f>
        <v>0</v>
      </c>
      <c r="N12" s="627">
        <f>IF(O12&gt;0,INDEX(data_item!$A$1:$A$994,MATCH(Gebäude!P12,data_item!$B$1:$B$994,0),1),0)</f>
        <v>244</v>
      </c>
      <c r="O12" s="627">
        <f>Gebäude!O12</f>
        <v>5</v>
      </c>
      <c r="P12" s="627">
        <f>Gebäude!Q12</f>
        <v>240</v>
      </c>
    </row>
    <row r="13" spans="1:16" x14ac:dyDescent="0.2">
      <c r="A13" s="627">
        <f>Gebäude!A13</f>
        <v>0</v>
      </c>
      <c r="B13" s="627">
        <f>Gebäude!B13</f>
        <v>0</v>
      </c>
      <c r="C13" s="627">
        <f>Gebäude!D13</f>
        <v>0</v>
      </c>
      <c r="D13" s="627">
        <f>Gebäude!E13</f>
        <v>0</v>
      </c>
      <c r="E13" s="627">
        <f>Gebäude!F13</f>
        <v>0</v>
      </c>
      <c r="F13" s="627">
        <f>Gebäude!G13</f>
        <v>0</v>
      </c>
      <c r="G13" s="627">
        <f>Gebäude!H13</f>
        <v>0</v>
      </c>
      <c r="H13" s="627">
        <f>IF(I13&gt;0,INDEX(data_item!$A$1:$A$994,MATCH(Gebäude!J13,data_item!$B$1:$B$994,0),1),0)</f>
        <v>0</v>
      </c>
      <c r="I13" s="627">
        <f>Gebäude!I13</f>
        <v>0</v>
      </c>
      <c r="J13" s="627">
        <f>IF(K13&gt;0,INDEX(data_item!$A$1:$A$994,MATCH(Gebäude!L13,data_item!$B$1:$B$994,0),1),0)</f>
        <v>0</v>
      </c>
      <c r="K13" s="627">
        <f>Gebäude!K13</f>
        <v>0</v>
      </c>
      <c r="L13" s="627">
        <f>IF(M13&gt;0,INDEX(data_item!$A$1:$A$994,MATCH(Gebäude!N13,data_item!$B$1:$B$994,0),1),0)</f>
        <v>0</v>
      </c>
      <c r="M13" s="627">
        <f>Gebäude!M13</f>
        <v>0</v>
      </c>
      <c r="N13" s="627">
        <f>IF(O13&gt;0,INDEX(data_item!$A$1:$A$994,MATCH(Gebäude!P13,data_item!$B$1:$B$994,0),1),0)</f>
        <v>0</v>
      </c>
      <c r="O13" s="627">
        <f>Gebäude!O13</f>
        <v>0</v>
      </c>
      <c r="P13" s="627">
        <f>Gebäude!Q13</f>
        <v>0</v>
      </c>
    </row>
    <row r="14" spans="1:16" x14ac:dyDescent="0.2">
      <c r="A14" s="627">
        <f>Gebäude!A14</f>
        <v>121</v>
      </c>
      <c r="B14" s="627" t="str">
        <f>Gebäude!B14</f>
        <v>Bergwerk I</v>
      </c>
      <c r="C14" s="627">
        <f>Gebäude!D14</f>
        <v>4</v>
      </c>
      <c r="D14" s="627">
        <f>Gebäude!E14</f>
        <v>100</v>
      </c>
      <c r="E14" s="627">
        <f>Gebäude!F14</f>
        <v>800</v>
      </c>
      <c r="F14" s="627">
        <f>Gebäude!G14</f>
        <v>0</v>
      </c>
      <c r="G14" s="627">
        <f>Gebäude!H14</f>
        <v>0</v>
      </c>
      <c r="H14" s="627">
        <f>IF(I14&gt;0,INDEX(data_item!$A$1:$A$994,MATCH(Gebäude!J14,data_item!$B$1:$B$994,0),1),0)</f>
        <v>201</v>
      </c>
      <c r="I14" s="627">
        <f>Gebäude!I14</f>
        <v>1</v>
      </c>
      <c r="J14" s="627">
        <f>IF(K14&gt;0,INDEX(data_item!$A$1:$A$994,MATCH(Gebäude!L14,data_item!$B$1:$B$994,0),1),0)</f>
        <v>0</v>
      </c>
      <c r="K14" s="627">
        <f>Gebäude!K14</f>
        <v>0</v>
      </c>
      <c r="L14" s="627">
        <f>IF(M14&gt;0,INDEX(data_item!$A$1:$A$994,MATCH(Gebäude!N14,data_item!$B$1:$B$994,0),1),0)</f>
        <v>0</v>
      </c>
      <c r="M14" s="627">
        <f>Gebäude!M14</f>
        <v>0</v>
      </c>
      <c r="N14" s="627">
        <f>IF(O14&gt;0,INDEX(data_item!$A$1:$A$994,MATCH(Gebäude!P14,data_item!$B$1:$B$994,0),1),0)</f>
        <v>204</v>
      </c>
      <c r="O14" s="627">
        <f>Gebäude!O14</f>
        <v>5</v>
      </c>
      <c r="P14" s="627">
        <f>Gebäude!Q14</f>
        <v>15</v>
      </c>
    </row>
    <row r="15" spans="1:16" x14ac:dyDescent="0.2">
      <c r="A15" s="627">
        <f>Gebäude!A15</f>
        <v>122</v>
      </c>
      <c r="B15" s="627" t="str">
        <f>Gebäude!B15</f>
        <v>Bergwerk II</v>
      </c>
      <c r="C15" s="627">
        <f>Gebäude!D15</f>
        <v>4</v>
      </c>
      <c r="D15" s="627">
        <f>Gebäude!E15</f>
        <v>200</v>
      </c>
      <c r="E15" s="627">
        <f>Gebäude!F15</f>
        <v>1200</v>
      </c>
      <c r="F15" s="627">
        <f>Gebäude!G15</f>
        <v>0</v>
      </c>
      <c r="G15" s="627">
        <f>Gebäude!H15</f>
        <v>0</v>
      </c>
      <c r="H15" s="627">
        <f>IF(I15&gt;0,INDEX(data_item!$A$1:$A$994,MATCH(Gebäude!J15,data_item!$B$1:$B$994,0),1),0)</f>
        <v>211</v>
      </c>
      <c r="I15" s="627">
        <f>Gebäude!I15</f>
        <v>1</v>
      </c>
      <c r="J15" s="627">
        <f>IF(K15&gt;0,INDEX(data_item!$A$1:$A$994,MATCH(Gebäude!L15,data_item!$B$1:$B$994,0),1),0)</f>
        <v>0</v>
      </c>
      <c r="K15" s="627">
        <f>Gebäude!K15</f>
        <v>0</v>
      </c>
      <c r="L15" s="627">
        <f>IF(M15&gt;0,INDEX(data_item!$A$1:$A$994,MATCH(Gebäude!N15,data_item!$B$1:$B$994,0),1),0)</f>
        <v>0</v>
      </c>
      <c r="M15" s="627">
        <f>Gebäude!M15</f>
        <v>0</v>
      </c>
      <c r="N15" s="627">
        <f>IF(O15&gt;0,INDEX(data_item!$A$1:$A$994,MATCH(Gebäude!P15,data_item!$B$1:$B$994,0),1),0)</f>
        <v>214</v>
      </c>
      <c r="O15" s="627">
        <f>Gebäude!O15</f>
        <v>5</v>
      </c>
      <c r="P15" s="627">
        <f>Gebäude!Q15</f>
        <v>30</v>
      </c>
    </row>
    <row r="16" spans="1:16" x14ac:dyDescent="0.2">
      <c r="A16" s="627">
        <f>Gebäude!A16</f>
        <v>123</v>
      </c>
      <c r="B16" s="627" t="str">
        <f>Gebäude!B16</f>
        <v>Bergwerk III</v>
      </c>
      <c r="C16" s="627">
        <f>Gebäude!D16</f>
        <v>5</v>
      </c>
      <c r="D16" s="627">
        <f>Gebäude!E16</f>
        <v>300</v>
      </c>
      <c r="E16" s="627">
        <f>Gebäude!F16</f>
        <v>1600</v>
      </c>
      <c r="F16" s="627">
        <f>Gebäude!G16</f>
        <v>0</v>
      </c>
      <c r="G16" s="627">
        <f>Gebäude!H16</f>
        <v>0</v>
      </c>
      <c r="H16" s="627">
        <f>IF(I16&gt;0,INDEX(data_item!$A$1:$A$994,MATCH(Gebäude!J16,data_item!$B$1:$B$994,0),1),0)</f>
        <v>221</v>
      </c>
      <c r="I16" s="627">
        <f>Gebäude!I16</f>
        <v>1</v>
      </c>
      <c r="J16" s="627">
        <f>IF(K16&gt;0,INDEX(data_item!$A$1:$A$994,MATCH(Gebäude!L16,data_item!$B$1:$B$994,0),1),0)</f>
        <v>0</v>
      </c>
      <c r="K16" s="627">
        <f>Gebäude!K16</f>
        <v>0</v>
      </c>
      <c r="L16" s="627">
        <f>IF(M16&gt;0,INDEX(data_item!$A$1:$A$994,MATCH(Gebäude!N16,data_item!$B$1:$B$994,0),1),0)</f>
        <v>0</v>
      </c>
      <c r="M16" s="627">
        <f>Gebäude!M16</f>
        <v>0</v>
      </c>
      <c r="N16" s="627">
        <f>IF(O16&gt;0,INDEX(data_item!$A$1:$A$994,MATCH(Gebäude!P16,data_item!$B$1:$B$994,0),1),0)</f>
        <v>224</v>
      </c>
      <c r="O16" s="627">
        <f>Gebäude!O16</f>
        <v>5</v>
      </c>
      <c r="P16" s="627">
        <f>Gebäude!Q16</f>
        <v>60</v>
      </c>
    </row>
    <row r="17" spans="1:16" x14ac:dyDescent="0.2">
      <c r="A17" s="627">
        <f>Gebäude!A17</f>
        <v>124</v>
      </c>
      <c r="B17" s="627" t="str">
        <f>Gebäude!B17</f>
        <v>Bergwerk IV</v>
      </c>
      <c r="C17" s="627">
        <f>Gebäude!D17</f>
        <v>6</v>
      </c>
      <c r="D17" s="627">
        <f>Gebäude!E17</f>
        <v>400</v>
      </c>
      <c r="E17" s="627">
        <f>Gebäude!F17</f>
        <v>2000</v>
      </c>
      <c r="F17" s="627">
        <f>Gebäude!G17</f>
        <v>0</v>
      </c>
      <c r="G17" s="627">
        <f>Gebäude!H17</f>
        <v>0</v>
      </c>
      <c r="H17" s="627">
        <f>IF(I17&gt;0,INDEX(data_item!$A$1:$A$994,MATCH(Gebäude!J17,data_item!$B$1:$B$994,0),1),0)</f>
        <v>231</v>
      </c>
      <c r="I17" s="627">
        <f>Gebäude!I17</f>
        <v>1</v>
      </c>
      <c r="J17" s="627">
        <f>IF(K17&gt;0,INDEX(data_item!$A$1:$A$994,MATCH(Gebäude!L17,data_item!$B$1:$B$994,0),1),0)</f>
        <v>0</v>
      </c>
      <c r="K17" s="627">
        <f>Gebäude!K17</f>
        <v>0</v>
      </c>
      <c r="L17" s="627">
        <f>IF(M17&gt;0,INDEX(data_item!$A$1:$A$994,MATCH(Gebäude!N17,data_item!$B$1:$B$994,0),1),0)</f>
        <v>0</v>
      </c>
      <c r="M17" s="627">
        <f>Gebäude!M17</f>
        <v>0</v>
      </c>
      <c r="N17" s="627">
        <f>IF(O17&gt;0,INDEX(data_item!$A$1:$A$994,MATCH(Gebäude!P17,data_item!$B$1:$B$994,0),1),0)</f>
        <v>234</v>
      </c>
      <c r="O17" s="627">
        <f>Gebäude!O17</f>
        <v>5</v>
      </c>
      <c r="P17" s="627">
        <f>Gebäude!Q17</f>
        <v>120</v>
      </c>
    </row>
    <row r="18" spans="1:16" x14ac:dyDescent="0.2">
      <c r="A18" s="627">
        <f>Gebäude!A18</f>
        <v>125</v>
      </c>
      <c r="B18" s="627" t="str">
        <f>Gebäude!B18</f>
        <v>Bergwerk V</v>
      </c>
      <c r="C18" s="627">
        <f>Gebäude!D18</f>
        <v>6</v>
      </c>
      <c r="D18" s="627">
        <f>Gebäude!E18</f>
        <v>500</v>
      </c>
      <c r="E18" s="627">
        <f>Gebäude!F18</f>
        <v>2400</v>
      </c>
      <c r="F18" s="627">
        <f>Gebäude!G18</f>
        <v>0</v>
      </c>
      <c r="G18" s="627">
        <f>Gebäude!H18</f>
        <v>0</v>
      </c>
      <c r="H18" s="627">
        <f>IF(I18&gt;0,INDEX(data_item!$A$1:$A$994,MATCH(Gebäude!J18,data_item!$B$1:$B$994,0),1),0)</f>
        <v>241</v>
      </c>
      <c r="I18" s="627">
        <f>Gebäude!I18</f>
        <v>1</v>
      </c>
      <c r="J18" s="627">
        <f>IF(K18&gt;0,INDEX(data_item!$A$1:$A$994,MATCH(Gebäude!L18,data_item!$B$1:$B$994,0),1),0)</f>
        <v>0</v>
      </c>
      <c r="K18" s="627">
        <f>Gebäude!K18</f>
        <v>0</v>
      </c>
      <c r="L18" s="627">
        <f>IF(M18&gt;0,INDEX(data_item!$A$1:$A$994,MATCH(Gebäude!N18,data_item!$B$1:$B$994,0),1),0)</f>
        <v>0</v>
      </c>
      <c r="M18" s="627">
        <f>Gebäude!M18</f>
        <v>0</v>
      </c>
      <c r="N18" s="627">
        <f>IF(O18&gt;0,INDEX(data_item!$A$1:$A$994,MATCH(Gebäude!P18,data_item!$B$1:$B$994,0),1),0)</f>
        <v>244</v>
      </c>
      <c r="O18" s="627">
        <f>Gebäude!O18</f>
        <v>5</v>
      </c>
      <c r="P18" s="627">
        <f>Gebäude!Q18</f>
        <v>240</v>
      </c>
    </row>
    <row r="19" spans="1:16" x14ac:dyDescent="0.2">
      <c r="A19" s="627">
        <f>Gebäude!A19</f>
        <v>0</v>
      </c>
      <c r="B19" s="627">
        <f>Gebäude!B19</f>
        <v>0</v>
      </c>
      <c r="C19" s="627">
        <f>Gebäude!D19</f>
        <v>0</v>
      </c>
      <c r="D19" s="627">
        <f>Gebäude!E19</f>
        <v>0</v>
      </c>
      <c r="E19" s="627">
        <f>Gebäude!F19</f>
        <v>0</v>
      </c>
      <c r="F19" s="627">
        <f>Gebäude!G19</f>
        <v>0</v>
      </c>
      <c r="G19" s="627">
        <f>Gebäude!H19</f>
        <v>0</v>
      </c>
      <c r="H19" s="627">
        <f>IF(I19&gt;0,INDEX(data_item!$A$1:$A$994,MATCH(Gebäude!J19,data_item!$B$1:$B$994,0),1),0)</f>
        <v>0</v>
      </c>
      <c r="I19" s="627">
        <f>Gebäude!I19</f>
        <v>0</v>
      </c>
      <c r="J19" s="627">
        <f>IF(K19&gt;0,INDEX(data_item!$A$1:$A$994,MATCH(Gebäude!L19,data_item!$B$1:$B$994,0),1),0)</f>
        <v>0</v>
      </c>
      <c r="K19" s="627">
        <f>Gebäude!K19</f>
        <v>0</v>
      </c>
      <c r="L19" s="627">
        <f>IF(M19&gt;0,INDEX(data_item!$A$1:$A$994,MATCH(Gebäude!N19,data_item!$B$1:$B$994,0),1),0)</f>
        <v>0</v>
      </c>
      <c r="M19" s="627">
        <f>Gebäude!M19</f>
        <v>0</v>
      </c>
      <c r="N19" s="627">
        <f>IF(O19&gt;0,INDEX(data_item!$A$1:$A$994,MATCH(Gebäude!P19,data_item!$B$1:$B$994,0),1),0)</f>
        <v>0</v>
      </c>
      <c r="O19" s="627">
        <f>Gebäude!O19</f>
        <v>0</v>
      </c>
      <c r="P19" s="627">
        <f>Gebäude!Q19</f>
        <v>0</v>
      </c>
    </row>
    <row r="20" spans="1:16" x14ac:dyDescent="0.2">
      <c r="A20" s="627">
        <f>Gebäude!A20</f>
        <v>201</v>
      </c>
      <c r="B20" s="627" t="str">
        <f>Gebäude!B20</f>
        <v>Sägewerk I</v>
      </c>
      <c r="C20" s="627">
        <f>Gebäude!D20</f>
        <v>4</v>
      </c>
      <c r="D20" s="627">
        <f>Gebäude!E20</f>
        <v>80</v>
      </c>
      <c r="E20" s="627">
        <f>Gebäude!F20</f>
        <v>800</v>
      </c>
      <c r="F20" s="627">
        <f>Gebäude!G20</f>
        <v>0</v>
      </c>
      <c r="G20" s="627">
        <f>Gebäude!H20</f>
        <v>0</v>
      </c>
      <c r="H20" s="627">
        <f>IF(I20&gt;0,INDEX(data_item!$A$1:$A$994,MATCH(Gebäude!J20,data_item!$B$1:$B$994,0),1),0)</f>
        <v>201</v>
      </c>
      <c r="I20" s="627">
        <f>Gebäude!I20</f>
        <v>1</v>
      </c>
      <c r="J20" s="627">
        <f>IF(K20&gt;0,INDEX(data_item!$A$1:$A$994,MATCH(Gebäude!L20,data_item!$B$1:$B$994,0),1),0)</f>
        <v>202</v>
      </c>
      <c r="K20" s="627">
        <f>Gebäude!K20</f>
        <v>1</v>
      </c>
      <c r="L20" s="627">
        <f>IF(M20&gt;0,INDEX(data_item!$A$1:$A$994,MATCH(Gebäude!N20,data_item!$B$1:$B$994,0),1),0)</f>
        <v>203</v>
      </c>
      <c r="M20" s="627">
        <f>Gebäude!M20</f>
        <v>1</v>
      </c>
      <c r="N20" s="627">
        <f>IF(O20&gt;0,INDEX(data_item!$A$1:$A$994,MATCH(Gebäude!P20,data_item!$B$1:$B$994,0),1),0)</f>
        <v>0</v>
      </c>
      <c r="O20" s="627">
        <f>Gebäude!O20</f>
        <v>0</v>
      </c>
      <c r="P20" s="627">
        <f>Gebäude!Q20</f>
        <v>10</v>
      </c>
    </row>
    <row r="21" spans="1:16" x14ac:dyDescent="0.2">
      <c r="A21" s="627">
        <f>Gebäude!A21</f>
        <v>202</v>
      </c>
      <c r="B21" s="627" t="str">
        <f>Gebäude!B21</f>
        <v>Sägewerk II</v>
      </c>
      <c r="C21" s="627">
        <f>Gebäude!D21</f>
        <v>4</v>
      </c>
      <c r="D21" s="627">
        <f>Gebäude!E21</f>
        <v>160</v>
      </c>
      <c r="E21" s="627">
        <f>Gebäude!F21</f>
        <v>1200</v>
      </c>
      <c r="F21" s="627">
        <f>Gebäude!G21</f>
        <v>0</v>
      </c>
      <c r="G21" s="627">
        <f>Gebäude!H21</f>
        <v>0</v>
      </c>
      <c r="H21" s="627">
        <f>IF(I21&gt;0,INDEX(data_item!$A$1:$A$994,MATCH(Gebäude!J21,data_item!$B$1:$B$994,0),1),0)</f>
        <v>211</v>
      </c>
      <c r="I21" s="627">
        <f>Gebäude!I21</f>
        <v>1</v>
      </c>
      <c r="J21" s="627">
        <f>IF(K21&gt;0,INDEX(data_item!$A$1:$A$994,MATCH(Gebäude!L21,data_item!$B$1:$B$994,0),1),0)</f>
        <v>212</v>
      </c>
      <c r="K21" s="627">
        <f>Gebäude!K21</f>
        <v>1</v>
      </c>
      <c r="L21" s="627">
        <f>IF(M21&gt;0,INDEX(data_item!$A$1:$A$994,MATCH(Gebäude!N21,data_item!$B$1:$B$994,0),1),0)</f>
        <v>213</v>
      </c>
      <c r="M21" s="627">
        <f>Gebäude!M21</f>
        <v>1</v>
      </c>
      <c r="N21" s="627">
        <f>IF(O21&gt;0,INDEX(data_item!$A$1:$A$994,MATCH(Gebäude!P21,data_item!$B$1:$B$994,0),1),0)</f>
        <v>0</v>
      </c>
      <c r="O21" s="627">
        <f>Gebäude!O21</f>
        <v>0</v>
      </c>
      <c r="P21" s="627">
        <f>Gebäude!Q21</f>
        <v>20</v>
      </c>
    </row>
    <row r="22" spans="1:16" x14ac:dyDescent="0.2">
      <c r="A22" s="627">
        <f>Gebäude!A22</f>
        <v>203</v>
      </c>
      <c r="B22" s="627" t="str">
        <f>Gebäude!B22</f>
        <v>Sägewerk III</v>
      </c>
      <c r="C22" s="627">
        <f>Gebäude!D22</f>
        <v>5</v>
      </c>
      <c r="D22" s="627">
        <f>Gebäude!E22</f>
        <v>240</v>
      </c>
      <c r="E22" s="627">
        <f>Gebäude!F22</f>
        <v>1600</v>
      </c>
      <c r="F22" s="627">
        <f>Gebäude!G22</f>
        <v>0</v>
      </c>
      <c r="G22" s="627">
        <f>Gebäude!H22</f>
        <v>0</v>
      </c>
      <c r="H22" s="627">
        <f>IF(I22&gt;0,INDEX(data_item!$A$1:$A$994,MATCH(Gebäude!J22,data_item!$B$1:$B$994,0),1),0)</f>
        <v>221</v>
      </c>
      <c r="I22" s="627">
        <f>Gebäude!I22</f>
        <v>1</v>
      </c>
      <c r="J22" s="627">
        <f>IF(K22&gt;0,INDEX(data_item!$A$1:$A$994,MATCH(Gebäude!L22,data_item!$B$1:$B$994,0),1),0)</f>
        <v>222</v>
      </c>
      <c r="K22" s="627">
        <f>Gebäude!K22</f>
        <v>1</v>
      </c>
      <c r="L22" s="627">
        <f>IF(M22&gt;0,INDEX(data_item!$A$1:$A$994,MATCH(Gebäude!N22,data_item!$B$1:$B$994,0),1),0)</f>
        <v>223</v>
      </c>
      <c r="M22" s="627">
        <f>Gebäude!M22</f>
        <v>1</v>
      </c>
      <c r="N22" s="627">
        <f>IF(O22&gt;0,INDEX(data_item!$A$1:$A$994,MATCH(Gebäude!P22,data_item!$B$1:$B$994,0),1),0)</f>
        <v>0</v>
      </c>
      <c r="O22" s="627">
        <f>Gebäude!O22</f>
        <v>0</v>
      </c>
      <c r="P22" s="627">
        <f>Gebäude!Q22</f>
        <v>40</v>
      </c>
    </row>
    <row r="23" spans="1:16" x14ac:dyDescent="0.2">
      <c r="A23" s="627">
        <f>Gebäude!A23</f>
        <v>204</v>
      </c>
      <c r="B23" s="627" t="str">
        <f>Gebäude!B23</f>
        <v>Sägewerk IV</v>
      </c>
      <c r="C23" s="627">
        <f>Gebäude!D23</f>
        <v>6</v>
      </c>
      <c r="D23" s="627">
        <f>Gebäude!E23</f>
        <v>320</v>
      </c>
      <c r="E23" s="627">
        <f>Gebäude!F23</f>
        <v>2000</v>
      </c>
      <c r="F23" s="627">
        <f>Gebäude!G23</f>
        <v>0</v>
      </c>
      <c r="G23" s="627">
        <f>Gebäude!H23</f>
        <v>0</v>
      </c>
      <c r="H23" s="627">
        <f>IF(I23&gt;0,INDEX(data_item!$A$1:$A$994,MATCH(Gebäude!J23,data_item!$B$1:$B$994,0),1),0)</f>
        <v>231</v>
      </c>
      <c r="I23" s="627">
        <f>Gebäude!I23</f>
        <v>1</v>
      </c>
      <c r="J23" s="627">
        <f>IF(K23&gt;0,INDEX(data_item!$A$1:$A$994,MATCH(Gebäude!L23,data_item!$B$1:$B$994,0),1),0)</f>
        <v>232</v>
      </c>
      <c r="K23" s="627">
        <f>Gebäude!K23</f>
        <v>1</v>
      </c>
      <c r="L23" s="627">
        <f>IF(M23&gt;0,INDEX(data_item!$A$1:$A$994,MATCH(Gebäude!N23,data_item!$B$1:$B$994,0),1),0)</f>
        <v>233</v>
      </c>
      <c r="M23" s="627">
        <f>Gebäude!M23</f>
        <v>1</v>
      </c>
      <c r="N23" s="627">
        <f>IF(O23&gt;0,INDEX(data_item!$A$1:$A$994,MATCH(Gebäude!P23,data_item!$B$1:$B$994,0),1),0)</f>
        <v>0</v>
      </c>
      <c r="O23" s="627">
        <f>Gebäude!O23</f>
        <v>0</v>
      </c>
      <c r="P23" s="627">
        <f>Gebäude!Q23</f>
        <v>80</v>
      </c>
    </row>
    <row r="24" spans="1:16" x14ac:dyDescent="0.2">
      <c r="A24" s="627">
        <f>Gebäude!A24</f>
        <v>205</v>
      </c>
      <c r="B24" s="627" t="str">
        <f>Gebäude!B24</f>
        <v>Sägewerk V</v>
      </c>
      <c r="C24" s="627">
        <f>Gebäude!D24</f>
        <v>6</v>
      </c>
      <c r="D24" s="627">
        <f>Gebäude!E24</f>
        <v>400</v>
      </c>
      <c r="E24" s="627">
        <f>Gebäude!F24</f>
        <v>2400</v>
      </c>
      <c r="F24" s="627">
        <f>Gebäude!G24</f>
        <v>0</v>
      </c>
      <c r="G24" s="627">
        <f>Gebäude!H24</f>
        <v>0</v>
      </c>
      <c r="H24" s="627">
        <f>IF(I24&gt;0,INDEX(data_item!$A$1:$A$994,MATCH(Gebäude!J24,data_item!$B$1:$B$994,0),1),0)</f>
        <v>241</v>
      </c>
      <c r="I24" s="627">
        <f>Gebäude!I24</f>
        <v>1</v>
      </c>
      <c r="J24" s="627">
        <f>IF(K24&gt;0,INDEX(data_item!$A$1:$A$994,MATCH(Gebäude!L24,data_item!$B$1:$B$994,0),1),0)</f>
        <v>242</v>
      </c>
      <c r="K24" s="627">
        <f>Gebäude!K24</f>
        <v>1</v>
      </c>
      <c r="L24" s="627">
        <f>IF(M24&gt;0,INDEX(data_item!$A$1:$A$994,MATCH(Gebäude!N24,data_item!$B$1:$B$994,0),1),0)</f>
        <v>243</v>
      </c>
      <c r="M24" s="627">
        <f>Gebäude!M24</f>
        <v>1</v>
      </c>
      <c r="N24" s="627">
        <f>IF(O24&gt;0,INDEX(data_item!$A$1:$A$994,MATCH(Gebäude!P24,data_item!$B$1:$B$994,0),1),0)</f>
        <v>0</v>
      </c>
      <c r="O24" s="627">
        <f>Gebäude!O24</f>
        <v>0</v>
      </c>
      <c r="P24" s="627">
        <f>Gebäude!Q24</f>
        <v>160</v>
      </c>
    </row>
    <row r="25" spans="1:16" x14ac:dyDescent="0.2">
      <c r="A25" s="627">
        <f>Gebäude!A25</f>
        <v>0</v>
      </c>
      <c r="B25" s="627">
        <f>Gebäude!B25</f>
        <v>0</v>
      </c>
      <c r="C25" s="627">
        <f>Gebäude!D25</f>
        <v>0</v>
      </c>
      <c r="D25" s="627">
        <f>Gebäude!E25</f>
        <v>0</v>
      </c>
      <c r="E25" s="627">
        <f>Gebäude!F25</f>
        <v>0</v>
      </c>
      <c r="F25" s="627">
        <f>Gebäude!G25</f>
        <v>0</v>
      </c>
      <c r="G25" s="627">
        <f>Gebäude!H25</f>
        <v>0</v>
      </c>
      <c r="H25" s="627">
        <f>IF(I25&gt;0,INDEX(data_item!$A$1:$A$994,MATCH(Gebäude!J25,data_item!$B$1:$B$994,0),1),0)</f>
        <v>0</v>
      </c>
      <c r="I25" s="627">
        <f>Gebäude!I25</f>
        <v>0</v>
      </c>
      <c r="J25" s="627">
        <f>IF(K25&gt;0,INDEX(data_item!$A$1:$A$994,MATCH(Gebäude!L25,data_item!$B$1:$B$994,0),1),0)</f>
        <v>0</v>
      </c>
      <c r="K25" s="627">
        <f>Gebäude!K25</f>
        <v>0</v>
      </c>
      <c r="L25" s="627">
        <f>IF(M25&gt;0,INDEX(data_item!$A$1:$A$994,MATCH(Gebäude!N25,data_item!$B$1:$B$994,0),1),0)</f>
        <v>0</v>
      </c>
      <c r="M25" s="627">
        <f>Gebäude!M25</f>
        <v>0</v>
      </c>
      <c r="N25" s="627">
        <f>IF(O25&gt;0,INDEX(data_item!$A$1:$A$994,MATCH(Gebäude!P25,data_item!$B$1:$B$994,0),1),0)</f>
        <v>0</v>
      </c>
      <c r="O25" s="627">
        <f>Gebäude!O25</f>
        <v>0</v>
      </c>
      <c r="P25" s="627">
        <f>Gebäude!Q25</f>
        <v>0</v>
      </c>
    </row>
    <row r="26" spans="1:16" x14ac:dyDescent="0.2">
      <c r="A26" s="627">
        <f>Gebäude!A26</f>
        <v>211</v>
      </c>
      <c r="B26" s="627" t="str">
        <f>Gebäude!B26</f>
        <v>Ziegelei I</v>
      </c>
      <c r="C26" s="627">
        <f>Gebäude!D26</f>
        <v>4</v>
      </c>
      <c r="D26" s="627">
        <f>Gebäude!E26</f>
        <v>80</v>
      </c>
      <c r="E26" s="627">
        <f>Gebäude!F26</f>
        <v>800</v>
      </c>
      <c r="F26" s="627">
        <f>Gebäude!G26</f>
        <v>0</v>
      </c>
      <c r="G26" s="627">
        <f>Gebäude!H26</f>
        <v>0</v>
      </c>
      <c r="H26" s="627">
        <f>IF(I26&gt;0,INDEX(data_item!$A$1:$A$994,MATCH(Gebäude!J26,data_item!$B$1:$B$994,0),1),0)</f>
        <v>201</v>
      </c>
      <c r="I26" s="627">
        <f>Gebäude!I26</f>
        <v>1</v>
      </c>
      <c r="J26" s="627">
        <f>IF(K26&gt;0,INDEX(data_item!$A$1:$A$994,MATCH(Gebäude!L26,data_item!$B$1:$B$994,0),1),0)</f>
        <v>202</v>
      </c>
      <c r="K26" s="627">
        <f>Gebäude!K26</f>
        <v>1</v>
      </c>
      <c r="L26" s="627">
        <f>IF(M26&gt;0,INDEX(data_item!$A$1:$A$994,MATCH(Gebäude!N26,data_item!$B$1:$B$994,0),1),0)</f>
        <v>203</v>
      </c>
      <c r="M26" s="627">
        <f>Gebäude!M26</f>
        <v>1</v>
      </c>
      <c r="N26" s="627">
        <f>IF(O26&gt;0,INDEX(data_item!$A$1:$A$994,MATCH(Gebäude!P26,data_item!$B$1:$B$994,0),1),0)</f>
        <v>0</v>
      </c>
      <c r="O26" s="627">
        <f>Gebäude!O26</f>
        <v>0</v>
      </c>
      <c r="P26" s="627">
        <f>Gebäude!Q26</f>
        <v>10</v>
      </c>
    </row>
    <row r="27" spans="1:16" x14ac:dyDescent="0.2">
      <c r="A27" s="627">
        <f>Gebäude!A27</f>
        <v>212</v>
      </c>
      <c r="B27" s="627" t="str">
        <f>Gebäude!B27</f>
        <v>Ziegelei II</v>
      </c>
      <c r="C27" s="627">
        <f>Gebäude!D27</f>
        <v>4</v>
      </c>
      <c r="D27" s="627">
        <f>Gebäude!E27</f>
        <v>160</v>
      </c>
      <c r="E27" s="627">
        <f>Gebäude!F27</f>
        <v>1200</v>
      </c>
      <c r="F27" s="627">
        <f>Gebäude!G27</f>
        <v>0</v>
      </c>
      <c r="G27" s="627">
        <f>Gebäude!H27</f>
        <v>0</v>
      </c>
      <c r="H27" s="627">
        <f>IF(I27&gt;0,INDEX(data_item!$A$1:$A$994,MATCH(Gebäude!J27,data_item!$B$1:$B$994,0),1),0)</f>
        <v>211</v>
      </c>
      <c r="I27" s="627">
        <f>Gebäude!I27</f>
        <v>1</v>
      </c>
      <c r="J27" s="627">
        <f>IF(K27&gt;0,INDEX(data_item!$A$1:$A$994,MATCH(Gebäude!L27,data_item!$B$1:$B$994,0),1),0)</f>
        <v>212</v>
      </c>
      <c r="K27" s="627">
        <f>Gebäude!K27</f>
        <v>1</v>
      </c>
      <c r="L27" s="627">
        <f>IF(M27&gt;0,INDEX(data_item!$A$1:$A$994,MATCH(Gebäude!N27,data_item!$B$1:$B$994,0),1),0)</f>
        <v>213</v>
      </c>
      <c r="M27" s="627">
        <f>Gebäude!M27</f>
        <v>1</v>
      </c>
      <c r="N27" s="627">
        <f>IF(O27&gt;0,INDEX(data_item!$A$1:$A$994,MATCH(Gebäude!P27,data_item!$B$1:$B$994,0),1),0)</f>
        <v>0</v>
      </c>
      <c r="O27" s="627">
        <f>Gebäude!O27</f>
        <v>0</v>
      </c>
      <c r="P27" s="627">
        <f>Gebäude!Q27</f>
        <v>20</v>
      </c>
    </row>
    <row r="28" spans="1:16" x14ac:dyDescent="0.2">
      <c r="A28" s="627">
        <f>Gebäude!A28</f>
        <v>213</v>
      </c>
      <c r="B28" s="627" t="str">
        <f>Gebäude!B28</f>
        <v>Ziegelei III</v>
      </c>
      <c r="C28" s="627">
        <f>Gebäude!D28</f>
        <v>5</v>
      </c>
      <c r="D28" s="627">
        <f>Gebäude!E28</f>
        <v>240</v>
      </c>
      <c r="E28" s="627">
        <f>Gebäude!F28</f>
        <v>1600</v>
      </c>
      <c r="F28" s="627">
        <f>Gebäude!G28</f>
        <v>0</v>
      </c>
      <c r="G28" s="627">
        <f>Gebäude!H28</f>
        <v>0</v>
      </c>
      <c r="H28" s="627">
        <f>IF(I28&gt;0,INDEX(data_item!$A$1:$A$994,MATCH(Gebäude!J28,data_item!$B$1:$B$994,0),1),0)</f>
        <v>221</v>
      </c>
      <c r="I28" s="627">
        <f>Gebäude!I28</f>
        <v>1</v>
      </c>
      <c r="J28" s="627">
        <f>IF(K28&gt;0,INDEX(data_item!$A$1:$A$994,MATCH(Gebäude!L28,data_item!$B$1:$B$994,0),1),0)</f>
        <v>222</v>
      </c>
      <c r="K28" s="627">
        <f>Gebäude!K28</f>
        <v>1</v>
      </c>
      <c r="L28" s="627">
        <f>IF(M28&gt;0,INDEX(data_item!$A$1:$A$994,MATCH(Gebäude!N28,data_item!$B$1:$B$994,0),1),0)</f>
        <v>223</v>
      </c>
      <c r="M28" s="627">
        <f>Gebäude!M28</f>
        <v>1</v>
      </c>
      <c r="N28" s="627">
        <f>IF(O28&gt;0,INDEX(data_item!$A$1:$A$994,MATCH(Gebäude!P28,data_item!$B$1:$B$994,0),1),0)</f>
        <v>0</v>
      </c>
      <c r="O28" s="627">
        <f>Gebäude!O28</f>
        <v>0</v>
      </c>
      <c r="P28" s="627">
        <f>Gebäude!Q28</f>
        <v>40</v>
      </c>
    </row>
    <row r="29" spans="1:16" x14ac:dyDescent="0.2">
      <c r="A29" s="627">
        <f>Gebäude!A29</f>
        <v>214</v>
      </c>
      <c r="B29" s="627" t="str">
        <f>Gebäude!B29</f>
        <v>Ziegelei IV</v>
      </c>
      <c r="C29" s="627">
        <f>Gebäude!D29</f>
        <v>6</v>
      </c>
      <c r="D29" s="627">
        <f>Gebäude!E29</f>
        <v>320</v>
      </c>
      <c r="E29" s="627">
        <f>Gebäude!F29</f>
        <v>2000</v>
      </c>
      <c r="F29" s="627">
        <f>Gebäude!G29</f>
        <v>0</v>
      </c>
      <c r="G29" s="627">
        <f>Gebäude!H29</f>
        <v>0</v>
      </c>
      <c r="H29" s="627">
        <f>IF(I29&gt;0,INDEX(data_item!$A$1:$A$994,MATCH(Gebäude!J29,data_item!$B$1:$B$994,0),1),0)</f>
        <v>231</v>
      </c>
      <c r="I29" s="627">
        <f>Gebäude!I29</f>
        <v>1</v>
      </c>
      <c r="J29" s="627">
        <f>IF(K29&gt;0,INDEX(data_item!$A$1:$A$994,MATCH(Gebäude!L29,data_item!$B$1:$B$994,0),1),0)</f>
        <v>232</v>
      </c>
      <c r="K29" s="627">
        <f>Gebäude!K29</f>
        <v>1</v>
      </c>
      <c r="L29" s="627">
        <f>IF(M29&gt;0,INDEX(data_item!$A$1:$A$994,MATCH(Gebäude!N29,data_item!$B$1:$B$994,0),1),0)</f>
        <v>233</v>
      </c>
      <c r="M29" s="627">
        <f>Gebäude!M29</f>
        <v>1</v>
      </c>
      <c r="N29" s="627">
        <f>IF(O29&gt;0,INDEX(data_item!$A$1:$A$994,MATCH(Gebäude!P29,data_item!$B$1:$B$994,0),1),0)</f>
        <v>0</v>
      </c>
      <c r="O29" s="627">
        <f>Gebäude!O29</f>
        <v>0</v>
      </c>
      <c r="P29" s="627">
        <f>Gebäude!Q29</f>
        <v>80</v>
      </c>
    </row>
    <row r="30" spans="1:16" x14ac:dyDescent="0.2">
      <c r="A30" s="627">
        <f>Gebäude!A30</f>
        <v>215</v>
      </c>
      <c r="B30" s="627" t="str">
        <f>Gebäude!B30</f>
        <v>Ziegelei V</v>
      </c>
      <c r="C30" s="627">
        <f>Gebäude!D30</f>
        <v>6</v>
      </c>
      <c r="D30" s="627">
        <f>Gebäude!E30</f>
        <v>400</v>
      </c>
      <c r="E30" s="627">
        <f>Gebäude!F30</f>
        <v>2400</v>
      </c>
      <c r="F30" s="627">
        <f>Gebäude!G30</f>
        <v>0</v>
      </c>
      <c r="G30" s="627">
        <f>Gebäude!H30</f>
        <v>0</v>
      </c>
      <c r="H30" s="627">
        <f>IF(I30&gt;0,INDEX(data_item!$A$1:$A$994,MATCH(Gebäude!J30,data_item!$B$1:$B$994,0),1),0)</f>
        <v>241</v>
      </c>
      <c r="I30" s="627">
        <f>Gebäude!I30</f>
        <v>1</v>
      </c>
      <c r="J30" s="627">
        <f>IF(K30&gt;0,INDEX(data_item!$A$1:$A$994,MATCH(Gebäude!L30,data_item!$B$1:$B$994,0),1),0)</f>
        <v>242</v>
      </c>
      <c r="K30" s="627">
        <f>Gebäude!K30</f>
        <v>1</v>
      </c>
      <c r="L30" s="627">
        <f>IF(M30&gt;0,INDEX(data_item!$A$1:$A$994,MATCH(Gebäude!N30,data_item!$B$1:$B$994,0),1),0)</f>
        <v>243</v>
      </c>
      <c r="M30" s="627">
        <f>Gebäude!M30</f>
        <v>1</v>
      </c>
      <c r="N30" s="627">
        <f>IF(O30&gt;0,INDEX(data_item!$A$1:$A$994,MATCH(Gebäude!P30,data_item!$B$1:$B$994,0),1),0)</f>
        <v>0</v>
      </c>
      <c r="O30" s="627">
        <f>Gebäude!O30</f>
        <v>0</v>
      </c>
      <c r="P30" s="627">
        <f>Gebäude!Q30</f>
        <v>160</v>
      </c>
    </row>
    <row r="31" spans="1:16" x14ac:dyDescent="0.2">
      <c r="A31" s="627">
        <f>Gebäude!A31</f>
        <v>0</v>
      </c>
      <c r="B31" s="627">
        <f>Gebäude!B31</f>
        <v>0</v>
      </c>
      <c r="C31" s="627">
        <f>Gebäude!D31</f>
        <v>0</v>
      </c>
      <c r="D31" s="627">
        <f>Gebäude!E31</f>
        <v>0</v>
      </c>
      <c r="E31" s="627">
        <f>Gebäude!F31</f>
        <v>0</v>
      </c>
      <c r="F31" s="627">
        <f>Gebäude!G31</f>
        <v>0</v>
      </c>
      <c r="G31" s="627">
        <f>Gebäude!H31</f>
        <v>0</v>
      </c>
      <c r="H31" s="627">
        <f>IF(I31&gt;0,INDEX(data_item!$A$1:$A$994,MATCH(Gebäude!J31,data_item!$B$1:$B$994,0),1),0)</f>
        <v>0</v>
      </c>
      <c r="I31" s="627">
        <f>Gebäude!I31</f>
        <v>0</v>
      </c>
      <c r="J31" s="627">
        <f>IF(K31&gt;0,INDEX(data_item!$A$1:$A$994,MATCH(Gebäude!L31,data_item!$B$1:$B$994,0),1),0)</f>
        <v>0</v>
      </c>
      <c r="K31" s="627">
        <f>Gebäude!K31</f>
        <v>0</v>
      </c>
      <c r="L31" s="627">
        <f>IF(M31&gt;0,INDEX(data_item!$A$1:$A$994,MATCH(Gebäude!N31,data_item!$B$1:$B$994,0),1),0)</f>
        <v>0</v>
      </c>
      <c r="M31" s="627">
        <f>Gebäude!M31</f>
        <v>0</v>
      </c>
      <c r="N31" s="627">
        <f>IF(O31&gt;0,INDEX(data_item!$A$1:$A$994,MATCH(Gebäude!P31,data_item!$B$1:$B$994,0),1),0)</f>
        <v>0</v>
      </c>
      <c r="O31" s="627">
        <f>Gebäude!O31</f>
        <v>0</v>
      </c>
      <c r="P31" s="627">
        <f>Gebäude!Q31</f>
        <v>0</v>
      </c>
    </row>
    <row r="32" spans="1:16" x14ac:dyDescent="0.2">
      <c r="A32" s="627">
        <f>Gebäude!A32</f>
        <v>221</v>
      </c>
      <c r="B32" s="627" t="str">
        <f>Gebäude!B32</f>
        <v>Schmelze I</v>
      </c>
      <c r="C32" s="627">
        <f>Gebäude!D32</f>
        <v>4</v>
      </c>
      <c r="D32" s="627">
        <f>Gebäude!E32</f>
        <v>80</v>
      </c>
      <c r="E32" s="627">
        <f>Gebäude!F32</f>
        <v>800</v>
      </c>
      <c r="F32" s="627">
        <f>Gebäude!G32</f>
        <v>0</v>
      </c>
      <c r="G32" s="627">
        <f>Gebäude!H32</f>
        <v>0</v>
      </c>
      <c r="H32" s="627">
        <f>IF(I32&gt;0,INDEX(data_item!$A$1:$A$994,MATCH(Gebäude!J32,data_item!$B$1:$B$994,0),1),0)</f>
        <v>201</v>
      </c>
      <c r="I32" s="627">
        <f>Gebäude!I32</f>
        <v>1</v>
      </c>
      <c r="J32" s="627">
        <f>IF(K32&gt;0,INDEX(data_item!$A$1:$A$994,MATCH(Gebäude!L32,data_item!$B$1:$B$994,0),1),0)</f>
        <v>202</v>
      </c>
      <c r="K32" s="627">
        <f>Gebäude!K32</f>
        <v>1</v>
      </c>
      <c r="L32" s="627">
        <f>IF(M32&gt;0,INDEX(data_item!$A$1:$A$994,MATCH(Gebäude!N32,data_item!$B$1:$B$994,0),1),0)</f>
        <v>203</v>
      </c>
      <c r="M32" s="627">
        <f>Gebäude!M32</f>
        <v>1</v>
      </c>
      <c r="N32" s="627">
        <f>IF(O32&gt;0,INDEX(data_item!$A$1:$A$994,MATCH(Gebäude!P32,data_item!$B$1:$B$994,0),1),0)</f>
        <v>0</v>
      </c>
      <c r="O32" s="627">
        <f>Gebäude!O32</f>
        <v>0</v>
      </c>
      <c r="P32" s="627">
        <f>Gebäude!Q32</f>
        <v>10</v>
      </c>
    </row>
    <row r="33" spans="1:16" x14ac:dyDescent="0.2">
      <c r="A33" s="627">
        <f>Gebäude!A33</f>
        <v>222</v>
      </c>
      <c r="B33" s="627" t="str">
        <f>Gebäude!B33</f>
        <v>Schmelze II</v>
      </c>
      <c r="C33" s="627">
        <f>Gebäude!D33</f>
        <v>4</v>
      </c>
      <c r="D33" s="627">
        <f>Gebäude!E33</f>
        <v>160</v>
      </c>
      <c r="E33" s="627">
        <f>Gebäude!F33</f>
        <v>1200</v>
      </c>
      <c r="F33" s="627">
        <f>Gebäude!G33</f>
        <v>0</v>
      </c>
      <c r="G33" s="627">
        <f>Gebäude!H33</f>
        <v>0</v>
      </c>
      <c r="H33" s="627">
        <f>IF(I33&gt;0,INDEX(data_item!$A$1:$A$994,MATCH(Gebäude!J33,data_item!$B$1:$B$994,0),1),0)</f>
        <v>211</v>
      </c>
      <c r="I33" s="627">
        <f>Gebäude!I33</f>
        <v>1</v>
      </c>
      <c r="J33" s="627">
        <f>IF(K33&gt;0,INDEX(data_item!$A$1:$A$994,MATCH(Gebäude!L33,data_item!$B$1:$B$994,0),1),0)</f>
        <v>212</v>
      </c>
      <c r="K33" s="627">
        <f>Gebäude!K33</f>
        <v>1</v>
      </c>
      <c r="L33" s="627">
        <f>IF(M33&gt;0,INDEX(data_item!$A$1:$A$994,MATCH(Gebäude!N33,data_item!$B$1:$B$994,0),1),0)</f>
        <v>213</v>
      </c>
      <c r="M33" s="627">
        <f>Gebäude!M33</f>
        <v>1</v>
      </c>
      <c r="N33" s="627">
        <f>IF(O33&gt;0,INDEX(data_item!$A$1:$A$994,MATCH(Gebäude!P33,data_item!$B$1:$B$994,0),1),0)</f>
        <v>0</v>
      </c>
      <c r="O33" s="627">
        <f>Gebäude!O33</f>
        <v>0</v>
      </c>
      <c r="P33" s="627">
        <f>Gebäude!Q33</f>
        <v>20</v>
      </c>
    </row>
    <row r="34" spans="1:16" x14ac:dyDescent="0.2">
      <c r="A34" s="627">
        <f>Gebäude!A34</f>
        <v>223</v>
      </c>
      <c r="B34" s="627" t="str">
        <f>Gebäude!B34</f>
        <v>Schmelze III</v>
      </c>
      <c r="C34" s="627">
        <f>Gebäude!D34</f>
        <v>5</v>
      </c>
      <c r="D34" s="627">
        <f>Gebäude!E34</f>
        <v>240</v>
      </c>
      <c r="E34" s="627">
        <f>Gebäude!F34</f>
        <v>1600</v>
      </c>
      <c r="F34" s="627">
        <f>Gebäude!G34</f>
        <v>0</v>
      </c>
      <c r="G34" s="627">
        <f>Gebäude!H34</f>
        <v>0</v>
      </c>
      <c r="H34" s="627">
        <f>IF(I34&gt;0,INDEX(data_item!$A$1:$A$994,MATCH(Gebäude!J34,data_item!$B$1:$B$994,0),1),0)</f>
        <v>221</v>
      </c>
      <c r="I34" s="627">
        <f>Gebäude!I34</f>
        <v>1</v>
      </c>
      <c r="J34" s="627">
        <f>IF(K34&gt;0,INDEX(data_item!$A$1:$A$994,MATCH(Gebäude!L34,data_item!$B$1:$B$994,0),1),0)</f>
        <v>222</v>
      </c>
      <c r="K34" s="627">
        <f>Gebäude!K34</f>
        <v>1</v>
      </c>
      <c r="L34" s="627">
        <f>IF(M34&gt;0,INDEX(data_item!$A$1:$A$994,MATCH(Gebäude!N34,data_item!$B$1:$B$994,0),1),0)</f>
        <v>223</v>
      </c>
      <c r="M34" s="627">
        <f>Gebäude!M34</f>
        <v>1</v>
      </c>
      <c r="N34" s="627">
        <f>IF(O34&gt;0,INDEX(data_item!$A$1:$A$994,MATCH(Gebäude!P34,data_item!$B$1:$B$994,0),1),0)</f>
        <v>0</v>
      </c>
      <c r="O34" s="627">
        <f>Gebäude!O34</f>
        <v>0</v>
      </c>
      <c r="P34" s="627">
        <f>Gebäude!Q34</f>
        <v>40</v>
      </c>
    </row>
    <row r="35" spans="1:16" x14ac:dyDescent="0.2">
      <c r="A35" s="627">
        <f>Gebäude!A35</f>
        <v>224</v>
      </c>
      <c r="B35" s="627" t="str">
        <f>Gebäude!B35</f>
        <v>Schmelze IV</v>
      </c>
      <c r="C35" s="627">
        <f>Gebäude!D35</f>
        <v>6</v>
      </c>
      <c r="D35" s="627">
        <f>Gebäude!E35</f>
        <v>320</v>
      </c>
      <c r="E35" s="627">
        <f>Gebäude!F35</f>
        <v>2000</v>
      </c>
      <c r="F35" s="627">
        <f>Gebäude!G35</f>
        <v>0</v>
      </c>
      <c r="G35" s="627">
        <f>Gebäude!H35</f>
        <v>0</v>
      </c>
      <c r="H35" s="627">
        <f>IF(I35&gt;0,INDEX(data_item!$A$1:$A$994,MATCH(Gebäude!J35,data_item!$B$1:$B$994,0),1),0)</f>
        <v>231</v>
      </c>
      <c r="I35" s="627">
        <f>Gebäude!I35</f>
        <v>1</v>
      </c>
      <c r="J35" s="627">
        <f>IF(K35&gt;0,INDEX(data_item!$A$1:$A$994,MATCH(Gebäude!L35,data_item!$B$1:$B$994,0),1),0)</f>
        <v>232</v>
      </c>
      <c r="K35" s="627">
        <f>Gebäude!K35</f>
        <v>1</v>
      </c>
      <c r="L35" s="627">
        <f>IF(M35&gt;0,INDEX(data_item!$A$1:$A$994,MATCH(Gebäude!N35,data_item!$B$1:$B$994,0),1),0)</f>
        <v>233</v>
      </c>
      <c r="M35" s="627">
        <f>Gebäude!M35</f>
        <v>1</v>
      </c>
      <c r="N35" s="627">
        <f>IF(O35&gt;0,INDEX(data_item!$A$1:$A$994,MATCH(Gebäude!P35,data_item!$B$1:$B$994,0),1),0)</f>
        <v>0</v>
      </c>
      <c r="O35" s="627">
        <f>Gebäude!O35</f>
        <v>0</v>
      </c>
      <c r="P35" s="627">
        <f>Gebäude!Q35</f>
        <v>80</v>
      </c>
    </row>
    <row r="36" spans="1:16" x14ac:dyDescent="0.2">
      <c r="A36" s="627">
        <f>Gebäude!A36</f>
        <v>225</v>
      </c>
      <c r="B36" s="627" t="str">
        <f>Gebäude!B36</f>
        <v>Schmelze V</v>
      </c>
      <c r="C36" s="627">
        <f>Gebäude!D36</f>
        <v>6</v>
      </c>
      <c r="D36" s="627">
        <f>Gebäude!E36</f>
        <v>400</v>
      </c>
      <c r="E36" s="627">
        <f>Gebäude!F36</f>
        <v>2400</v>
      </c>
      <c r="F36" s="627">
        <f>Gebäude!G36</f>
        <v>0</v>
      </c>
      <c r="G36" s="627">
        <f>Gebäude!H36</f>
        <v>0</v>
      </c>
      <c r="H36" s="627">
        <f>IF(I36&gt;0,INDEX(data_item!$A$1:$A$994,MATCH(Gebäude!J36,data_item!$B$1:$B$994,0),1),0)</f>
        <v>241</v>
      </c>
      <c r="I36" s="627">
        <f>Gebäude!I36</f>
        <v>1</v>
      </c>
      <c r="J36" s="627">
        <f>IF(K36&gt;0,INDEX(data_item!$A$1:$A$994,MATCH(Gebäude!L36,data_item!$B$1:$B$994,0),1),0)</f>
        <v>242</v>
      </c>
      <c r="K36" s="627">
        <f>Gebäude!K36</f>
        <v>1</v>
      </c>
      <c r="L36" s="627">
        <f>IF(M36&gt;0,INDEX(data_item!$A$1:$A$994,MATCH(Gebäude!N36,data_item!$B$1:$B$994,0),1),0)</f>
        <v>243</v>
      </c>
      <c r="M36" s="627">
        <f>Gebäude!M36</f>
        <v>1</v>
      </c>
      <c r="N36" s="627">
        <f>IF(O36&gt;0,INDEX(data_item!$A$1:$A$994,MATCH(Gebäude!P36,data_item!$B$1:$B$994,0),1),0)</f>
        <v>0</v>
      </c>
      <c r="O36" s="627">
        <f>Gebäude!O36</f>
        <v>0</v>
      </c>
      <c r="P36" s="627">
        <f>Gebäude!Q36</f>
        <v>160</v>
      </c>
    </row>
    <row r="37" spans="1:16" x14ac:dyDescent="0.2">
      <c r="A37" s="627">
        <f>Gebäude!A37</f>
        <v>0</v>
      </c>
      <c r="B37" s="627">
        <f>Gebäude!B37</f>
        <v>0</v>
      </c>
      <c r="C37" s="627">
        <f>Gebäude!D37</f>
        <v>0</v>
      </c>
      <c r="D37" s="627">
        <f>Gebäude!E37</f>
        <v>0</v>
      </c>
      <c r="E37" s="627">
        <f>Gebäude!F37</f>
        <v>0</v>
      </c>
      <c r="F37" s="627">
        <f>Gebäude!G37</f>
        <v>0</v>
      </c>
      <c r="G37" s="627">
        <f>Gebäude!H37</f>
        <v>0</v>
      </c>
      <c r="H37" s="627">
        <f>IF(I37&gt;0,INDEX(data_item!$A$1:$A$994,MATCH(Gebäude!J37,data_item!$B$1:$B$994,0),1),0)</f>
        <v>0</v>
      </c>
      <c r="I37" s="627">
        <f>Gebäude!I37</f>
        <v>0</v>
      </c>
      <c r="J37" s="627">
        <f>IF(K37&gt;0,INDEX(data_item!$A$1:$A$994,MATCH(Gebäude!L37,data_item!$B$1:$B$994,0),1),0)</f>
        <v>0</v>
      </c>
      <c r="K37" s="627">
        <f>Gebäude!K37</f>
        <v>0</v>
      </c>
      <c r="L37" s="627">
        <f>IF(M37&gt;0,INDEX(data_item!$A$1:$A$994,MATCH(Gebäude!N37,data_item!$B$1:$B$994,0),1),0)</f>
        <v>0</v>
      </c>
      <c r="M37" s="627">
        <f>Gebäude!M37</f>
        <v>0</v>
      </c>
      <c r="N37" s="627">
        <f>IF(O37&gt;0,INDEX(data_item!$A$1:$A$994,MATCH(Gebäude!P37,data_item!$B$1:$B$994,0),1),0)</f>
        <v>0</v>
      </c>
      <c r="O37" s="627">
        <f>Gebäude!O37</f>
        <v>0</v>
      </c>
      <c r="P37" s="627">
        <f>Gebäude!Q37</f>
        <v>0</v>
      </c>
    </row>
    <row r="38" spans="1:16" x14ac:dyDescent="0.2">
      <c r="A38" s="627">
        <f>Gebäude!A38</f>
        <v>231</v>
      </c>
      <c r="B38" s="627" t="str">
        <f>Gebäude!B38</f>
        <v>Gerberei I</v>
      </c>
      <c r="C38" s="627">
        <f>Gebäude!D38</f>
        <v>4</v>
      </c>
      <c r="D38" s="627">
        <f>Gebäude!E38</f>
        <v>80</v>
      </c>
      <c r="E38" s="627">
        <f>Gebäude!F38</f>
        <v>800</v>
      </c>
      <c r="F38" s="627">
        <f>Gebäude!G38</f>
        <v>0</v>
      </c>
      <c r="G38" s="627">
        <f>Gebäude!H38</f>
        <v>0</v>
      </c>
      <c r="H38" s="627">
        <f>IF(I38&gt;0,INDEX(data_item!$A$1:$A$994,MATCH(Gebäude!J38,data_item!$B$1:$B$994,0),1),0)</f>
        <v>201</v>
      </c>
      <c r="I38" s="627">
        <f>Gebäude!I38</f>
        <v>1</v>
      </c>
      <c r="J38" s="627">
        <f>IF(K38&gt;0,INDEX(data_item!$A$1:$A$994,MATCH(Gebäude!L38,data_item!$B$1:$B$994,0),1),0)</f>
        <v>202</v>
      </c>
      <c r="K38" s="627">
        <f>Gebäude!K38</f>
        <v>1</v>
      </c>
      <c r="L38" s="627">
        <f>IF(M38&gt;0,INDEX(data_item!$A$1:$A$994,MATCH(Gebäude!N38,data_item!$B$1:$B$994,0),1),0)</f>
        <v>203</v>
      </c>
      <c r="M38" s="627">
        <f>Gebäude!M38</f>
        <v>1</v>
      </c>
      <c r="N38" s="627">
        <f>IF(O38&gt;0,INDEX(data_item!$A$1:$A$994,MATCH(Gebäude!P38,data_item!$B$1:$B$994,0),1),0)</f>
        <v>0</v>
      </c>
      <c r="O38" s="627">
        <f>Gebäude!O38</f>
        <v>0</v>
      </c>
      <c r="P38" s="627">
        <f>Gebäude!Q38</f>
        <v>10</v>
      </c>
    </row>
    <row r="39" spans="1:16" x14ac:dyDescent="0.2">
      <c r="A39" s="627">
        <f>Gebäude!A39</f>
        <v>232</v>
      </c>
      <c r="B39" s="627" t="str">
        <f>Gebäude!B39</f>
        <v>Gerberei II</v>
      </c>
      <c r="C39" s="627">
        <f>Gebäude!D39</f>
        <v>4</v>
      </c>
      <c r="D39" s="627">
        <f>Gebäude!E39</f>
        <v>160</v>
      </c>
      <c r="E39" s="627">
        <f>Gebäude!F39</f>
        <v>1200</v>
      </c>
      <c r="F39" s="627">
        <f>Gebäude!G39</f>
        <v>0</v>
      </c>
      <c r="G39" s="627">
        <f>Gebäude!H39</f>
        <v>0</v>
      </c>
      <c r="H39" s="627">
        <f>IF(I39&gt;0,INDEX(data_item!$A$1:$A$994,MATCH(Gebäude!J39,data_item!$B$1:$B$994,0),1),0)</f>
        <v>211</v>
      </c>
      <c r="I39" s="627">
        <f>Gebäude!I39</f>
        <v>1</v>
      </c>
      <c r="J39" s="627">
        <f>IF(K39&gt;0,INDEX(data_item!$A$1:$A$994,MATCH(Gebäude!L39,data_item!$B$1:$B$994,0),1),0)</f>
        <v>212</v>
      </c>
      <c r="K39" s="627">
        <f>Gebäude!K39</f>
        <v>1</v>
      </c>
      <c r="L39" s="627">
        <f>IF(M39&gt;0,INDEX(data_item!$A$1:$A$994,MATCH(Gebäude!N39,data_item!$B$1:$B$994,0),1),0)</f>
        <v>213</v>
      </c>
      <c r="M39" s="627">
        <f>Gebäude!M39</f>
        <v>1</v>
      </c>
      <c r="N39" s="627">
        <f>IF(O39&gt;0,INDEX(data_item!$A$1:$A$994,MATCH(Gebäude!P39,data_item!$B$1:$B$994,0),1),0)</f>
        <v>0</v>
      </c>
      <c r="O39" s="627">
        <f>Gebäude!O39</f>
        <v>0</v>
      </c>
      <c r="P39" s="627">
        <f>Gebäude!Q39</f>
        <v>20</v>
      </c>
    </row>
    <row r="40" spans="1:16" x14ac:dyDescent="0.2">
      <c r="A40" s="627">
        <f>Gebäude!A40</f>
        <v>233</v>
      </c>
      <c r="B40" s="627" t="str">
        <f>Gebäude!B40</f>
        <v>Gerberei III</v>
      </c>
      <c r="C40" s="627">
        <f>Gebäude!D40</f>
        <v>5</v>
      </c>
      <c r="D40" s="627">
        <f>Gebäude!E40</f>
        <v>240</v>
      </c>
      <c r="E40" s="627">
        <f>Gebäude!F40</f>
        <v>1600</v>
      </c>
      <c r="F40" s="627">
        <f>Gebäude!G40</f>
        <v>0</v>
      </c>
      <c r="G40" s="627">
        <f>Gebäude!H40</f>
        <v>0</v>
      </c>
      <c r="H40" s="627">
        <f>IF(I40&gt;0,INDEX(data_item!$A$1:$A$994,MATCH(Gebäude!J40,data_item!$B$1:$B$994,0),1),0)</f>
        <v>221</v>
      </c>
      <c r="I40" s="627">
        <f>Gebäude!I40</f>
        <v>1</v>
      </c>
      <c r="J40" s="627">
        <f>IF(K40&gt;0,INDEX(data_item!$A$1:$A$994,MATCH(Gebäude!L40,data_item!$B$1:$B$994,0),1),0)</f>
        <v>222</v>
      </c>
      <c r="K40" s="627">
        <f>Gebäude!K40</f>
        <v>1</v>
      </c>
      <c r="L40" s="627">
        <f>IF(M40&gt;0,INDEX(data_item!$A$1:$A$994,MATCH(Gebäude!N40,data_item!$B$1:$B$994,0),1),0)</f>
        <v>223</v>
      </c>
      <c r="M40" s="627">
        <f>Gebäude!M40</f>
        <v>1</v>
      </c>
      <c r="N40" s="627">
        <f>IF(O40&gt;0,INDEX(data_item!$A$1:$A$994,MATCH(Gebäude!P40,data_item!$B$1:$B$994,0),1),0)</f>
        <v>0</v>
      </c>
      <c r="O40" s="627">
        <f>Gebäude!O40</f>
        <v>0</v>
      </c>
      <c r="P40" s="627">
        <f>Gebäude!Q40</f>
        <v>40</v>
      </c>
    </row>
    <row r="41" spans="1:16" x14ac:dyDescent="0.2">
      <c r="A41" s="627">
        <f>Gebäude!A41</f>
        <v>234</v>
      </c>
      <c r="B41" s="627" t="str">
        <f>Gebäude!B41</f>
        <v>Gerberei IV</v>
      </c>
      <c r="C41" s="627">
        <f>Gebäude!D41</f>
        <v>6</v>
      </c>
      <c r="D41" s="627">
        <f>Gebäude!E41</f>
        <v>320</v>
      </c>
      <c r="E41" s="627">
        <f>Gebäude!F41</f>
        <v>2000</v>
      </c>
      <c r="F41" s="627">
        <f>Gebäude!G41</f>
        <v>0</v>
      </c>
      <c r="G41" s="627">
        <f>Gebäude!H41</f>
        <v>0</v>
      </c>
      <c r="H41" s="627">
        <f>IF(I41&gt;0,INDEX(data_item!$A$1:$A$994,MATCH(Gebäude!J41,data_item!$B$1:$B$994,0),1),0)</f>
        <v>231</v>
      </c>
      <c r="I41" s="627">
        <f>Gebäude!I41</f>
        <v>1</v>
      </c>
      <c r="J41" s="627">
        <f>IF(K41&gt;0,INDEX(data_item!$A$1:$A$994,MATCH(Gebäude!L41,data_item!$B$1:$B$994,0),1),0)</f>
        <v>232</v>
      </c>
      <c r="K41" s="627">
        <f>Gebäude!K41</f>
        <v>1</v>
      </c>
      <c r="L41" s="627">
        <f>IF(M41&gt;0,INDEX(data_item!$A$1:$A$994,MATCH(Gebäude!N41,data_item!$B$1:$B$994,0),1),0)</f>
        <v>233</v>
      </c>
      <c r="M41" s="627">
        <f>Gebäude!M41</f>
        <v>1</v>
      </c>
      <c r="N41" s="627">
        <f>IF(O41&gt;0,INDEX(data_item!$A$1:$A$994,MATCH(Gebäude!P41,data_item!$B$1:$B$994,0),1),0)</f>
        <v>0</v>
      </c>
      <c r="O41" s="627">
        <f>Gebäude!O41</f>
        <v>0</v>
      </c>
      <c r="P41" s="627">
        <f>Gebäude!Q41</f>
        <v>80</v>
      </c>
    </row>
    <row r="42" spans="1:16" x14ac:dyDescent="0.2">
      <c r="A42" s="627">
        <f>Gebäude!A42</f>
        <v>235</v>
      </c>
      <c r="B42" s="627" t="str">
        <f>Gebäude!B42</f>
        <v>Gerberei V</v>
      </c>
      <c r="C42" s="627">
        <f>Gebäude!D42</f>
        <v>6</v>
      </c>
      <c r="D42" s="627">
        <f>Gebäude!E42</f>
        <v>400</v>
      </c>
      <c r="E42" s="627">
        <f>Gebäude!F42</f>
        <v>2400</v>
      </c>
      <c r="F42" s="627">
        <f>Gebäude!G42</f>
        <v>0</v>
      </c>
      <c r="G42" s="627">
        <f>Gebäude!H42</f>
        <v>0</v>
      </c>
      <c r="H42" s="627">
        <f>IF(I42&gt;0,INDEX(data_item!$A$1:$A$994,MATCH(Gebäude!J42,data_item!$B$1:$B$994,0),1),0)</f>
        <v>241</v>
      </c>
      <c r="I42" s="627">
        <f>Gebäude!I42</f>
        <v>1</v>
      </c>
      <c r="J42" s="627">
        <f>IF(K42&gt;0,INDEX(data_item!$A$1:$A$994,MATCH(Gebäude!L42,data_item!$B$1:$B$994,0),1),0)</f>
        <v>242</v>
      </c>
      <c r="K42" s="627">
        <f>Gebäude!K42</f>
        <v>1</v>
      </c>
      <c r="L42" s="627">
        <f>IF(M42&gt;0,INDEX(data_item!$A$1:$A$994,MATCH(Gebäude!N42,data_item!$B$1:$B$994,0),1),0)</f>
        <v>243</v>
      </c>
      <c r="M42" s="627">
        <f>Gebäude!M42</f>
        <v>1</v>
      </c>
      <c r="N42" s="627">
        <f>IF(O42&gt;0,INDEX(data_item!$A$1:$A$994,MATCH(Gebäude!P42,data_item!$B$1:$B$994,0),1),0)</f>
        <v>0</v>
      </c>
      <c r="O42" s="627">
        <f>Gebäude!O42</f>
        <v>0</v>
      </c>
      <c r="P42" s="627">
        <f>Gebäude!Q42</f>
        <v>160</v>
      </c>
    </row>
    <row r="43" spans="1:16" x14ac:dyDescent="0.2">
      <c r="A43" s="627">
        <f>Gebäude!A43</f>
        <v>0</v>
      </c>
      <c r="B43" s="627">
        <f>Gebäude!B43</f>
        <v>0</v>
      </c>
      <c r="C43" s="627">
        <f>Gebäude!D43</f>
        <v>0</v>
      </c>
      <c r="D43" s="627">
        <f>Gebäude!E43</f>
        <v>0</v>
      </c>
      <c r="E43" s="627">
        <f>Gebäude!F43</f>
        <v>0</v>
      </c>
      <c r="F43" s="627">
        <f>Gebäude!G43</f>
        <v>0</v>
      </c>
      <c r="G43" s="627">
        <f>Gebäude!H43</f>
        <v>0</v>
      </c>
      <c r="H43" s="627">
        <f>IF(I43&gt;0,INDEX(data_item!$A$1:$A$994,MATCH(Gebäude!J43,data_item!$B$1:$B$994,0),1),0)</f>
        <v>0</v>
      </c>
      <c r="I43" s="627">
        <f>Gebäude!I43</f>
        <v>0</v>
      </c>
      <c r="J43" s="627">
        <f>IF(K43&gt;0,INDEX(data_item!$A$1:$A$994,MATCH(Gebäude!L43,data_item!$B$1:$B$994,0),1),0)</f>
        <v>0</v>
      </c>
      <c r="K43" s="627">
        <f>Gebäude!K43</f>
        <v>0</v>
      </c>
      <c r="L43" s="627">
        <f>IF(M43&gt;0,INDEX(data_item!$A$1:$A$994,MATCH(Gebäude!N43,data_item!$B$1:$B$994,0),1),0)</f>
        <v>0</v>
      </c>
      <c r="M43" s="627">
        <f>Gebäude!M43</f>
        <v>0</v>
      </c>
      <c r="N43" s="627">
        <f>IF(O43&gt;0,INDEX(data_item!$A$1:$A$994,MATCH(Gebäude!P43,data_item!$B$1:$B$994,0),1),0)</f>
        <v>0</v>
      </c>
      <c r="O43" s="627">
        <f>Gebäude!O43</f>
        <v>0</v>
      </c>
      <c r="P43" s="627">
        <f>Gebäude!Q43</f>
        <v>0</v>
      </c>
    </row>
    <row r="44" spans="1:16" x14ac:dyDescent="0.2">
      <c r="A44" s="627">
        <f>Gebäude!A44</f>
        <v>241</v>
      </c>
      <c r="B44" s="627" t="str">
        <f>Gebäude!B44</f>
        <v>Weberei I</v>
      </c>
      <c r="C44" s="627">
        <f>Gebäude!D44</f>
        <v>4</v>
      </c>
      <c r="D44" s="627">
        <f>Gebäude!E44</f>
        <v>80</v>
      </c>
      <c r="E44" s="627">
        <f>Gebäude!F44</f>
        <v>800</v>
      </c>
      <c r="F44" s="627">
        <f>Gebäude!G44</f>
        <v>0</v>
      </c>
      <c r="G44" s="627">
        <f>Gebäude!H44</f>
        <v>0</v>
      </c>
      <c r="H44" s="627">
        <f>IF(I44&gt;0,INDEX(data_item!$A$1:$A$994,MATCH(Gebäude!J44,data_item!$B$1:$B$994,0),1),0)</f>
        <v>201</v>
      </c>
      <c r="I44" s="627">
        <f>Gebäude!I44</f>
        <v>1</v>
      </c>
      <c r="J44" s="627">
        <f>IF(K44&gt;0,INDEX(data_item!$A$1:$A$994,MATCH(Gebäude!L44,data_item!$B$1:$B$994,0),1),0)</f>
        <v>202</v>
      </c>
      <c r="K44" s="627">
        <f>Gebäude!K44</f>
        <v>1</v>
      </c>
      <c r="L44" s="627">
        <f>IF(M44&gt;0,INDEX(data_item!$A$1:$A$994,MATCH(Gebäude!N44,data_item!$B$1:$B$994,0),1),0)</f>
        <v>203</v>
      </c>
      <c r="M44" s="627">
        <f>Gebäude!M44</f>
        <v>1</v>
      </c>
      <c r="N44" s="627">
        <f>IF(O44&gt;0,INDEX(data_item!$A$1:$A$994,MATCH(Gebäude!P44,data_item!$B$1:$B$994,0),1),0)</f>
        <v>0</v>
      </c>
      <c r="O44" s="627">
        <f>Gebäude!O44</f>
        <v>0</v>
      </c>
      <c r="P44" s="627">
        <f>Gebäude!Q44</f>
        <v>10</v>
      </c>
    </row>
    <row r="45" spans="1:16" x14ac:dyDescent="0.2">
      <c r="A45" s="627">
        <f>Gebäude!A45</f>
        <v>242</v>
      </c>
      <c r="B45" s="627" t="str">
        <f>Gebäude!B45</f>
        <v>Weberei II</v>
      </c>
      <c r="C45" s="627">
        <f>Gebäude!D45</f>
        <v>4</v>
      </c>
      <c r="D45" s="627">
        <f>Gebäude!E45</f>
        <v>160</v>
      </c>
      <c r="E45" s="627">
        <f>Gebäude!F45</f>
        <v>1200</v>
      </c>
      <c r="F45" s="627">
        <f>Gebäude!G45</f>
        <v>0</v>
      </c>
      <c r="G45" s="627">
        <f>Gebäude!H45</f>
        <v>0</v>
      </c>
      <c r="H45" s="627">
        <f>IF(I45&gt;0,INDEX(data_item!$A$1:$A$994,MATCH(Gebäude!J45,data_item!$B$1:$B$994,0),1),0)</f>
        <v>211</v>
      </c>
      <c r="I45" s="627">
        <f>Gebäude!I45</f>
        <v>1</v>
      </c>
      <c r="J45" s="627">
        <f>IF(K45&gt;0,INDEX(data_item!$A$1:$A$994,MATCH(Gebäude!L45,data_item!$B$1:$B$994,0),1),0)</f>
        <v>212</v>
      </c>
      <c r="K45" s="627">
        <f>Gebäude!K45</f>
        <v>1</v>
      </c>
      <c r="L45" s="627">
        <f>IF(M45&gt;0,INDEX(data_item!$A$1:$A$994,MATCH(Gebäude!N45,data_item!$B$1:$B$994,0),1),0)</f>
        <v>213</v>
      </c>
      <c r="M45" s="627">
        <f>Gebäude!M45</f>
        <v>1</v>
      </c>
      <c r="N45" s="627">
        <f>IF(O45&gt;0,INDEX(data_item!$A$1:$A$994,MATCH(Gebäude!P45,data_item!$B$1:$B$994,0),1),0)</f>
        <v>0</v>
      </c>
      <c r="O45" s="627">
        <f>Gebäude!O45</f>
        <v>0</v>
      </c>
      <c r="P45" s="627">
        <f>Gebäude!Q45</f>
        <v>20</v>
      </c>
    </row>
    <row r="46" spans="1:16" x14ac:dyDescent="0.2">
      <c r="A46" s="627">
        <f>Gebäude!A46</f>
        <v>243</v>
      </c>
      <c r="B46" s="627" t="str">
        <f>Gebäude!B46</f>
        <v>Weberei III</v>
      </c>
      <c r="C46" s="627">
        <f>Gebäude!D46</f>
        <v>5</v>
      </c>
      <c r="D46" s="627">
        <f>Gebäude!E46</f>
        <v>240</v>
      </c>
      <c r="E46" s="627">
        <f>Gebäude!F46</f>
        <v>1600</v>
      </c>
      <c r="F46" s="627">
        <f>Gebäude!G46</f>
        <v>0</v>
      </c>
      <c r="G46" s="627">
        <f>Gebäude!H46</f>
        <v>0</v>
      </c>
      <c r="H46" s="627">
        <f>IF(I46&gt;0,INDEX(data_item!$A$1:$A$994,MATCH(Gebäude!J46,data_item!$B$1:$B$994,0),1),0)</f>
        <v>221</v>
      </c>
      <c r="I46" s="627">
        <f>Gebäude!I46</f>
        <v>1</v>
      </c>
      <c r="J46" s="627">
        <f>IF(K46&gt;0,INDEX(data_item!$A$1:$A$994,MATCH(Gebäude!L46,data_item!$B$1:$B$994,0),1),0)</f>
        <v>222</v>
      </c>
      <c r="K46" s="627">
        <f>Gebäude!K46</f>
        <v>1</v>
      </c>
      <c r="L46" s="627">
        <f>IF(M46&gt;0,INDEX(data_item!$A$1:$A$994,MATCH(Gebäude!N46,data_item!$B$1:$B$994,0),1),0)</f>
        <v>223</v>
      </c>
      <c r="M46" s="627">
        <f>Gebäude!M46</f>
        <v>1</v>
      </c>
      <c r="N46" s="627">
        <f>IF(O46&gt;0,INDEX(data_item!$A$1:$A$994,MATCH(Gebäude!P46,data_item!$B$1:$B$994,0),1),0)</f>
        <v>0</v>
      </c>
      <c r="O46" s="627">
        <f>Gebäude!O46</f>
        <v>0</v>
      </c>
      <c r="P46" s="627">
        <f>Gebäude!Q46</f>
        <v>40</v>
      </c>
    </row>
    <row r="47" spans="1:16" x14ac:dyDescent="0.2">
      <c r="A47" s="627">
        <f>Gebäude!A47</f>
        <v>244</v>
      </c>
      <c r="B47" s="627" t="str">
        <f>Gebäude!B47</f>
        <v>Weberei IV</v>
      </c>
      <c r="C47" s="627">
        <f>Gebäude!D47</f>
        <v>6</v>
      </c>
      <c r="D47" s="627">
        <f>Gebäude!E47</f>
        <v>320</v>
      </c>
      <c r="E47" s="627">
        <f>Gebäude!F47</f>
        <v>2000</v>
      </c>
      <c r="F47" s="627">
        <f>Gebäude!G47</f>
        <v>0</v>
      </c>
      <c r="G47" s="627">
        <f>Gebäude!H47</f>
        <v>0</v>
      </c>
      <c r="H47" s="627">
        <f>IF(I47&gt;0,INDEX(data_item!$A$1:$A$994,MATCH(Gebäude!J47,data_item!$B$1:$B$994,0),1),0)</f>
        <v>231</v>
      </c>
      <c r="I47" s="627">
        <f>Gebäude!I47</f>
        <v>1</v>
      </c>
      <c r="J47" s="627">
        <f>IF(K47&gt;0,INDEX(data_item!$A$1:$A$994,MATCH(Gebäude!L47,data_item!$B$1:$B$994,0),1),0)</f>
        <v>232</v>
      </c>
      <c r="K47" s="627">
        <f>Gebäude!K47</f>
        <v>1</v>
      </c>
      <c r="L47" s="627">
        <f>IF(M47&gt;0,INDEX(data_item!$A$1:$A$994,MATCH(Gebäude!N47,data_item!$B$1:$B$994,0),1),0)</f>
        <v>233</v>
      </c>
      <c r="M47" s="627">
        <f>Gebäude!M47</f>
        <v>1</v>
      </c>
      <c r="N47" s="627">
        <f>IF(O47&gt;0,INDEX(data_item!$A$1:$A$994,MATCH(Gebäude!P47,data_item!$B$1:$B$994,0),1),0)</f>
        <v>0</v>
      </c>
      <c r="O47" s="627">
        <f>Gebäude!O47</f>
        <v>0</v>
      </c>
      <c r="P47" s="627">
        <f>Gebäude!Q47</f>
        <v>80</v>
      </c>
    </row>
    <row r="48" spans="1:16" x14ac:dyDescent="0.2">
      <c r="A48" s="627">
        <f>Gebäude!A48</f>
        <v>245</v>
      </c>
      <c r="B48" s="627" t="str">
        <f>Gebäude!B48</f>
        <v>Weberei V</v>
      </c>
      <c r="C48" s="627">
        <f>Gebäude!D48</f>
        <v>6</v>
      </c>
      <c r="D48" s="627">
        <f>Gebäude!E48</f>
        <v>400</v>
      </c>
      <c r="E48" s="627">
        <f>Gebäude!F48</f>
        <v>2400</v>
      </c>
      <c r="F48" s="627">
        <f>Gebäude!G48</f>
        <v>0</v>
      </c>
      <c r="G48" s="627">
        <f>Gebäude!H48</f>
        <v>0</v>
      </c>
      <c r="H48" s="627">
        <f>IF(I48&gt;0,INDEX(data_item!$A$1:$A$994,MATCH(Gebäude!J48,data_item!$B$1:$B$994,0),1),0)</f>
        <v>241</v>
      </c>
      <c r="I48" s="627">
        <f>Gebäude!I48</f>
        <v>1</v>
      </c>
      <c r="J48" s="627">
        <f>IF(K48&gt;0,INDEX(data_item!$A$1:$A$994,MATCH(Gebäude!L48,data_item!$B$1:$B$994,0),1),0)</f>
        <v>242</v>
      </c>
      <c r="K48" s="627">
        <f>Gebäude!K48</f>
        <v>1</v>
      </c>
      <c r="L48" s="627">
        <f>IF(M48&gt;0,INDEX(data_item!$A$1:$A$994,MATCH(Gebäude!N48,data_item!$B$1:$B$994,0),1),0)</f>
        <v>243</v>
      </c>
      <c r="M48" s="627">
        <f>Gebäude!M48</f>
        <v>1</v>
      </c>
      <c r="N48" s="627">
        <f>IF(O48&gt;0,INDEX(data_item!$A$1:$A$994,MATCH(Gebäude!P48,data_item!$B$1:$B$994,0),1),0)</f>
        <v>0</v>
      </c>
      <c r="O48" s="627">
        <f>Gebäude!O48</f>
        <v>0</v>
      </c>
      <c r="P48" s="627">
        <f>Gebäude!Q48</f>
        <v>160</v>
      </c>
    </row>
    <row r="49" spans="1:16" x14ac:dyDescent="0.2">
      <c r="A49" s="627">
        <f>Gebäude!A49</f>
        <v>0</v>
      </c>
      <c r="B49" s="627">
        <f>Gebäude!B49</f>
        <v>0</v>
      </c>
      <c r="C49" s="627">
        <f>Gebäude!D49</f>
        <v>0</v>
      </c>
      <c r="D49" s="627">
        <f>Gebäude!E49</f>
        <v>0</v>
      </c>
      <c r="E49" s="627">
        <f>Gebäude!F49</f>
        <v>0</v>
      </c>
      <c r="F49" s="627">
        <f>Gebäude!G49</f>
        <v>0</v>
      </c>
      <c r="G49" s="627">
        <f>Gebäude!H49</f>
        <v>0</v>
      </c>
      <c r="H49" s="627">
        <f>IF(I49&gt;0,INDEX(data_item!$A$1:$A$994,MATCH(Gebäude!J49,data_item!$B$1:$B$994,0),1),0)</f>
        <v>0</v>
      </c>
      <c r="I49" s="627">
        <f>Gebäude!I49</f>
        <v>0</v>
      </c>
      <c r="J49" s="627">
        <f>IF(K49&gt;0,INDEX(data_item!$A$1:$A$994,MATCH(Gebäude!L49,data_item!$B$1:$B$994,0),1),0)</f>
        <v>0</v>
      </c>
      <c r="K49" s="627">
        <f>Gebäude!K49</f>
        <v>0</v>
      </c>
      <c r="L49" s="627">
        <f>IF(M49&gt;0,INDEX(data_item!$A$1:$A$994,MATCH(Gebäude!N49,data_item!$B$1:$B$994,0),1),0)</f>
        <v>0</v>
      </c>
      <c r="M49" s="627">
        <f>Gebäude!M49</f>
        <v>0</v>
      </c>
      <c r="N49" s="627">
        <f>IF(O49&gt;0,INDEX(data_item!$A$1:$A$994,MATCH(Gebäude!P49,data_item!$B$1:$B$994,0),1),0)</f>
        <v>0</v>
      </c>
      <c r="O49" s="627">
        <f>Gebäude!O49</f>
        <v>0</v>
      </c>
      <c r="P49" s="627">
        <f>Gebäude!Q49</f>
        <v>0</v>
      </c>
    </row>
    <row r="50" spans="1:16" x14ac:dyDescent="0.2">
      <c r="A50" s="627">
        <f>Gebäude!A50</f>
        <v>301</v>
      </c>
      <c r="B50" s="627" t="str">
        <f>Gebäude!B50</f>
        <v>Schmiede I</v>
      </c>
      <c r="C50" s="627">
        <f>Gebäude!D50</f>
        <v>4</v>
      </c>
      <c r="D50" s="627">
        <f>Gebäude!E50</f>
        <v>120</v>
      </c>
      <c r="E50" s="627">
        <f>Gebäude!F50</f>
        <v>800</v>
      </c>
      <c r="F50" s="627">
        <f>Gebäude!G50</f>
        <v>0</v>
      </c>
      <c r="G50" s="627">
        <f>Gebäude!H50</f>
        <v>0</v>
      </c>
      <c r="H50" s="627">
        <f>IF(I50&gt;0,INDEX(data_item!$A$1:$A$994,MATCH(Gebäude!J50,data_item!$B$1:$B$994,0),1),0)</f>
        <v>201</v>
      </c>
      <c r="I50" s="627">
        <f>Gebäude!I50</f>
        <v>2</v>
      </c>
      <c r="J50" s="627">
        <f>IF(K50&gt;0,INDEX(data_item!$A$1:$A$994,MATCH(Gebäude!L50,data_item!$B$1:$B$994,0),1),0)</f>
        <v>202</v>
      </c>
      <c r="K50" s="627">
        <f>Gebäude!K50</f>
        <v>1</v>
      </c>
      <c r="L50" s="627">
        <f>IF(M50&gt;0,INDEX(data_item!$A$1:$A$994,MATCH(Gebäude!N50,data_item!$B$1:$B$994,0),1),0)</f>
        <v>203</v>
      </c>
      <c r="M50" s="627">
        <f>Gebäude!M50</f>
        <v>1</v>
      </c>
      <c r="N50" s="627">
        <f>IF(O50&gt;0,INDEX(data_item!$A$1:$A$994,MATCH(Gebäude!P50,data_item!$B$1:$B$994,0),1),0)</f>
        <v>204</v>
      </c>
      <c r="O50" s="627">
        <f>Gebäude!O50</f>
        <v>2</v>
      </c>
      <c r="P50" s="627">
        <f>Gebäude!Q50</f>
        <v>20</v>
      </c>
    </row>
    <row r="51" spans="1:16" x14ac:dyDescent="0.2">
      <c r="A51" s="627">
        <f>Gebäude!A51</f>
        <v>302</v>
      </c>
      <c r="B51" s="627" t="str">
        <f>Gebäude!B51</f>
        <v>Schmiede II</v>
      </c>
      <c r="C51" s="627">
        <f>Gebäude!D51</f>
        <v>4</v>
      </c>
      <c r="D51" s="627">
        <f>Gebäude!E51</f>
        <v>240</v>
      </c>
      <c r="E51" s="627">
        <f>Gebäude!F51</f>
        <v>1200</v>
      </c>
      <c r="F51" s="627">
        <f>Gebäude!G51</f>
        <v>0</v>
      </c>
      <c r="G51" s="627">
        <f>Gebäude!H51</f>
        <v>0</v>
      </c>
      <c r="H51" s="627">
        <f>IF(I51&gt;0,INDEX(data_item!$A$1:$A$994,MATCH(Gebäude!J51,data_item!$B$1:$B$994,0),1),0)</f>
        <v>211</v>
      </c>
      <c r="I51" s="627">
        <f>Gebäude!I51</f>
        <v>2</v>
      </c>
      <c r="J51" s="627">
        <f>IF(K51&gt;0,INDEX(data_item!$A$1:$A$994,MATCH(Gebäude!L51,data_item!$B$1:$B$994,0),1),0)</f>
        <v>212</v>
      </c>
      <c r="K51" s="627">
        <f>Gebäude!K51</f>
        <v>1</v>
      </c>
      <c r="L51" s="627">
        <f>IF(M51&gt;0,INDEX(data_item!$A$1:$A$994,MATCH(Gebäude!N51,data_item!$B$1:$B$994,0),1),0)</f>
        <v>213</v>
      </c>
      <c r="M51" s="627">
        <f>Gebäude!M51</f>
        <v>1</v>
      </c>
      <c r="N51" s="627">
        <f>IF(O51&gt;0,INDEX(data_item!$A$1:$A$994,MATCH(Gebäude!P51,data_item!$B$1:$B$994,0),1),0)</f>
        <v>214</v>
      </c>
      <c r="O51" s="627">
        <f>Gebäude!O51</f>
        <v>2</v>
      </c>
      <c r="P51" s="627">
        <f>Gebäude!Q51</f>
        <v>40</v>
      </c>
    </row>
    <row r="52" spans="1:16" x14ac:dyDescent="0.2">
      <c r="A52" s="627">
        <f>Gebäude!A52</f>
        <v>303</v>
      </c>
      <c r="B52" s="627" t="str">
        <f>Gebäude!B52</f>
        <v>Schmiede III</v>
      </c>
      <c r="C52" s="627">
        <f>Gebäude!D52</f>
        <v>5</v>
      </c>
      <c r="D52" s="627">
        <f>Gebäude!E52</f>
        <v>360</v>
      </c>
      <c r="E52" s="627">
        <f>Gebäude!F52</f>
        <v>1600</v>
      </c>
      <c r="F52" s="627">
        <f>Gebäude!G52</f>
        <v>0</v>
      </c>
      <c r="G52" s="627">
        <f>Gebäude!H52</f>
        <v>0</v>
      </c>
      <c r="H52" s="627">
        <f>IF(I52&gt;0,INDEX(data_item!$A$1:$A$994,MATCH(Gebäude!J52,data_item!$B$1:$B$994,0),1),0)</f>
        <v>221</v>
      </c>
      <c r="I52" s="627">
        <f>Gebäude!I52</f>
        <v>2</v>
      </c>
      <c r="J52" s="627">
        <f>IF(K52&gt;0,INDEX(data_item!$A$1:$A$994,MATCH(Gebäude!L52,data_item!$B$1:$B$994,0),1),0)</f>
        <v>222</v>
      </c>
      <c r="K52" s="627">
        <f>Gebäude!K52</f>
        <v>1</v>
      </c>
      <c r="L52" s="627">
        <f>IF(M52&gt;0,INDEX(data_item!$A$1:$A$994,MATCH(Gebäude!N52,data_item!$B$1:$B$994,0),1),0)</f>
        <v>223</v>
      </c>
      <c r="M52" s="627">
        <f>Gebäude!M52</f>
        <v>1</v>
      </c>
      <c r="N52" s="627">
        <f>IF(O52&gt;0,INDEX(data_item!$A$1:$A$994,MATCH(Gebäude!P52,data_item!$B$1:$B$994,0),1),0)</f>
        <v>224</v>
      </c>
      <c r="O52" s="627">
        <f>Gebäude!O52</f>
        <v>2</v>
      </c>
      <c r="P52" s="627">
        <f>Gebäude!Q52</f>
        <v>80</v>
      </c>
    </row>
    <row r="53" spans="1:16" x14ac:dyDescent="0.2">
      <c r="A53" s="627">
        <f>Gebäude!A53</f>
        <v>304</v>
      </c>
      <c r="B53" s="627" t="str">
        <f>Gebäude!B53</f>
        <v>Schmiede IV</v>
      </c>
      <c r="C53" s="627">
        <f>Gebäude!D53</f>
        <v>6</v>
      </c>
      <c r="D53" s="627">
        <f>Gebäude!E53</f>
        <v>480</v>
      </c>
      <c r="E53" s="627">
        <f>Gebäude!F53</f>
        <v>2000</v>
      </c>
      <c r="F53" s="627">
        <f>Gebäude!G53</f>
        <v>0</v>
      </c>
      <c r="G53" s="627">
        <f>Gebäude!H53</f>
        <v>0</v>
      </c>
      <c r="H53" s="627">
        <f>IF(I53&gt;0,INDEX(data_item!$A$1:$A$994,MATCH(Gebäude!J53,data_item!$B$1:$B$994,0),1),0)</f>
        <v>231</v>
      </c>
      <c r="I53" s="627">
        <f>Gebäude!I53</f>
        <v>2</v>
      </c>
      <c r="J53" s="627">
        <f>IF(K53&gt;0,INDEX(data_item!$A$1:$A$994,MATCH(Gebäude!L53,data_item!$B$1:$B$994,0),1),0)</f>
        <v>232</v>
      </c>
      <c r="K53" s="627">
        <f>Gebäude!K53</f>
        <v>1</v>
      </c>
      <c r="L53" s="627">
        <f>IF(M53&gt;0,INDEX(data_item!$A$1:$A$994,MATCH(Gebäude!N53,data_item!$B$1:$B$994,0),1),0)</f>
        <v>233</v>
      </c>
      <c r="M53" s="627">
        <f>Gebäude!M53</f>
        <v>1</v>
      </c>
      <c r="N53" s="627">
        <f>IF(O53&gt;0,INDEX(data_item!$A$1:$A$994,MATCH(Gebäude!P53,data_item!$B$1:$B$994,0),1),0)</f>
        <v>234</v>
      </c>
      <c r="O53" s="627">
        <f>Gebäude!O53</f>
        <v>2</v>
      </c>
      <c r="P53" s="627">
        <f>Gebäude!Q53</f>
        <v>160</v>
      </c>
    </row>
    <row r="54" spans="1:16" x14ac:dyDescent="0.2">
      <c r="A54" s="627">
        <f>Gebäude!A54</f>
        <v>305</v>
      </c>
      <c r="B54" s="627" t="str">
        <f>Gebäude!B54</f>
        <v>Schmiede V</v>
      </c>
      <c r="C54" s="627">
        <f>Gebäude!D54</f>
        <v>6</v>
      </c>
      <c r="D54" s="627">
        <f>Gebäude!E54</f>
        <v>600</v>
      </c>
      <c r="E54" s="627">
        <f>Gebäude!F54</f>
        <v>2400</v>
      </c>
      <c r="F54" s="627">
        <f>Gebäude!G54</f>
        <v>0</v>
      </c>
      <c r="G54" s="627">
        <f>Gebäude!H54</f>
        <v>0</v>
      </c>
      <c r="H54" s="627">
        <f>IF(I54&gt;0,INDEX(data_item!$A$1:$A$994,MATCH(Gebäude!J54,data_item!$B$1:$B$994,0),1),0)</f>
        <v>241</v>
      </c>
      <c r="I54" s="627">
        <f>Gebäude!I54</f>
        <v>2</v>
      </c>
      <c r="J54" s="627">
        <f>IF(K54&gt;0,INDEX(data_item!$A$1:$A$994,MATCH(Gebäude!L54,data_item!$B$1:$B$994,0),1),0)</f>
        <v>242</v>
      </c>
      <c r="K54" s="627">
        <f>Gebäude!K54</f>
        <v>1</v>
      </c>
      <c r="L54" s="627">
        <f>IF(M54&gt;0,INDEX(data_item!$A$1:$A$994,MATCH(Gebäude!N54,data_item!$B$1:$B$994,0),1),0)</f>
        <v>243</v>
      </c>
      <c r="M54" s="627">
        <f>Gebäude!M54</f>
        <v>1</v>
      </c>
      <c r="N54" s="627">
        <f>IF(O54&gt;0,INDEX(data_item!$A$1:$A$994,MATCH(Gebäude!P54,data_item!$B$1:$B$994,0),1),0)</f>
        <v>244</v>
      </c>
      <c r="O54" s="627">
        <f>Gebäude!O54</f>
        <v>2</v>
      </c>
      <c r="P54" s="627">
        <f>Gebäude!Q54</f>
        <v>320</v>
      </c>
    </row>
    <row r="55" spans="1:16" x14ac:dyDescent="0.2">
      <c r="A55" s="627">
        <f>Gebäude!A55</f>
        <v>0</v>
      </c>
      <c r="B55" s="627">
        <f>Gebäude!B55</f>
        <v>0</v>
      </c>
      <c r="C55" s="627">
        <f>Gebäude!D55</f>
        <v>0</v>
      </c>
      <c r="D55" s="627">
        <f>Gebäude!E55</f>
        <v>0</v>
      </c>
      <c r="E55" s="627">
        <f>Gebäude!F55</f>
        <v>0</v>
      </c>
      <c r="F55" s="627">
        <f>Gebäude!G55</f>
        <v>0</v>
      </c>
      <c r="G55" s="627">
        <f>Gebäude!H55</f>
        <v>0</v>
      </c>
      <c r="H55" s="627">
        <f>IF(I55&gt;0,INDEX(data_item!$A$1:$A$994,MATCH(Gebäude!J55,data_item!$B$1:$B$994,0),1),0)</f>
        <v>0</v>
      </c>
      <c r="I55" s="627">
        <f>Gebäude!I55</f>
        <v>0</v>
      </c>
      <c r="J55" s="627">
        <f>IF(K55&gt;0,INDEX(data_item!$A$1:$A$994,MATCH(Gebäude!L55,data_item!$B$1:$B$994,0),1),0)</f>
        <v>0</v>
      </c>
      <c r="K55" s="627">
        <f>Gebäude!K55</f>
        <v>0</v>
      </c>
      <c r="L55" s="627">
        <f>IF(M55&gt;0,INDEX(data_item!$A$1:$A$994,MATCH(Gebäude!N55,data_item!$B$1:$B$994,0),1),0)</f>
        <v>0</v>
      </c>
      <c r="M55" s="627">
        <f>Gebäude!M55</f>
        <v>0</v>
      </c>
      <c r="N55" s="627">
        <f>IF(O55&gt;0,INDEX(data_item!$A$1:$A$994,MATCH(Gebäude!P55,data_item!$B$1:$B$994,0),1),0)</f>
        <v>0</v>
      </c>
      <c r="O55" s="627">
        <f>Gebäude!O55</f>
        <v>0</v>
      </c>
      <c r="P55" s="627">
        <f>Gebäude!Q55</f>
        <v>0</v>
      </c>
    </row>
    <row r="56" spans="1:16" x14ac:dyDescent="0.2">
      <c r="A56" s="627">
        <f>Gebäude!A56</f>
        <v>311</v>
      </c>
      <c r="B56" s="627" t="str">
        <f>Gebäude!B56</f>
        <v>Sattlerei I</v>
      </c>
      <c r="C56" s="627">
        <f>Gebäude!D56</f>
        <v>4</v>
      </c>
      <c r="D56" s="627">
        <f>Gebäude!E56</f>
        <v>120</v>
      </c>
      <c r="E56" s="627">
        <f>Gebäude!F56</f>
        <v>800</v>
      </c>
      <c r="F56" s="627">
        <f>Gebäude!G56</f>
        <v>0</v>
      </c>
      <c r="G56" s="627">
        <f>Gebäude!H56</f>
        <v>0</v>
      </c>
      <c r="H56" s="627">
        <f>IF(I56&gt;0,INDEX(data_item!$A$1:$A$994,MATCH(Gebäude!J56,data_item!$B$1:$B$994,0),1),0)</f>
        <v>201</v>
      </c>
      <c r="I56" s="627">
        <f>Gebäude!I56</f>
        <v>2</v>
      </c>
      <c r="J56" s="627">
        <f>IF(K56&gt;0,INDEX(data_item!$A$1:$A$994,MATCH(Gebäude!L56,data_item!$B$1:$B$994,0),1),0)</f>
        <v>202</v>
      </c>
      <c r="K56" s="627">
        <f>Gebäude!K56</f>
        <v>1</v>
      </c>
      <c r="L56" s="627">
        <f>IF(M56&gt;0,INDEX(data_item!$A$1:$A$994,MATCH(Gebäude!N56,data_item!$B$1:$B$994,0),1),0)</f>
        <v>203</v>
      </c>
      <c r="M56" s="627">
        <f>Gebäude!M56</f>
        <v>1</v>
      </c>
      <c r="N56" s="627">
        <f>IF(O56&gt;0,INDEX(data_item!$A$1:$A$994,MATCH(Gebäude!P56,data_item!$B$1:$B$994,0),1),0)</f>
        <v>204</v>
      </c>
      <c r="O56" s="627">
        <f>Gebäude!O56</f>
        <v>2</v>
      </c>
      <c r="P56" s="627">
        <f>Gebäude!Q56</f>
        <v>20</v>
      </c>
    </row>
    <row r="57" spans="1:16" x14ac:dyDescent="0.2">
      <c r="A57" s="627">
        <f>Gebäude!A57</f>
        <v>312</v>
      </c>
      <c r="B57" s="627" t="str">
        <f>Gebäude!B57</f>
        <v>Sattlerei II</v>
      </c>
      <c r="C57" s="627">
        <f>Gebäude!D57</f>
        <v>4</v>
      </c>
      <c r="D57" s="627">
        <f>Gebäude!E57</f>
        <v>240</v>
      </c>
      <c r="E57" s="627">
        <f>Gebäude!F57</f>
        <v>1200</v>
      </c>
      <c r="F57" s="627">
        <f>Gebäude!G57</f>
        <v>0</v>
      </c>
      <c r="G57" s="627">
        <f>Gebäude!H57</f>
        <v>0</v>
      </c>
      <c r="H57" s="627">
        <f>IF(I57&gt;0,INDEX(data_item!$A$1:$A$994,MATCH(Gebäude!J57,data_item!$B$1:$B$994,0),1),0)</f>
        <v>211</v>
      </c>
      <c r="I57" s="627">
        <f>Gebäude!I57</f>
        <v>2</v>
      </c>
      <c r="J57" s="627">
        <f>IF(K57&gt;0,INDEX(data_item!$A$1:$A$994,MATCH(Gebäude!L57,data_item!$B$1:$B$994,0),1),0)</f>
        <v>212</v>
      </c>
      <c r="K57" s="627">
        <f>Gebäude!K57</f>
        <v>1</v>
      </c>
      <c r="L57" s="627">
        <f>IF(M57&gt;0,INDEX(data_item!$A$1:$A$994,MATCH(Gebäude!N57,data_item!$B$1:$B$994,0),1),0)</f>
        <v>213</v>
      </c>
      <c r="M57" s="627">
        <f>Gebäude!M57</f>
        <v>1</v>
      </c>
      <c r="N57" s="627">
        <f>IF(O57&gt;0,INDEX(data_item!$A$1:$A$994,MATCH(Gebäude!P57,data_item!$B$1:$B$994,0),1),0)</f>
        <v>214</v>
      </c>
      <c r="O57" s="627">
        <f>Gebäude!O57</f>
        <v>2</v>
      </c>
      <c r="P57" s="627">
        <f>Gebäude!Q57</f>
        <v>40</v>
      </c>
    </row>
    <row r="58" spans="1:16" x14ac:dyDescent="0.2">
      <c r="A58" s="627">
        <f>Gebäude!A58</f>
        <v>313</v>
      </c>
      <c r="B58" s="627" t="str">
        <f>Gebäude!B58</f>
        <v>Sattlerei III</v>
      </c>
      <c r="C58" s="627">
        <f>Gebäude!D58</f>
        <v>5</v>
      </c>
      <c r="D58" s="627">
        <f>Gebäude!E58</f>
        <v>360</v>
      </c>
      <c r="E58" s="627">
        <f>Gebäude!F58</f>
        <v>1600</v>
      </c>
      <c r="F58" s="627">
        <f>Gebäude!G58</f>
        <v>0</v>
      </c>
      <c r="G58" s="627">
        <f>Gebäude!H58</f>
        <v>0</v>
      </c>
      <c r="H58" s="627">
        <f>IF(I58&gt;0,INDEX(data_item!$A$1:$A$994,MATCH(Gebäude!J58,data_item!$B$1:$B$994,0),1),0)</f>
        <v>221</v>
      </c>
      <c r="I58" s="627">
        <f>Gebäude!I58</f>
        <v>2</v>
      </c>
      <c r="J58" s="627">
        <f>IF(K58&gt;0,INDEX(data_item!$A$1:$A$994,MATCH(Gebäude!L58,data_item!$B$1:$B$994,0),1),0)</f>
        <v>222</v>
      </c>
      <c r="K58" s="627">
        <f>Gebäude!K58</f>
        <v>1</v>
      </c>
      <c r="L58" s="627">
        <f>IF(M58&gt;0,INDEX(data_item!$A$1:$A$994,MATCH(Gebäude!N58,data_item!$B$1:$B$994,0),1),0)</f>
        <v>223</v>
      </c>
      <c r="M58" s="627">
        <f>Gebäude!M58</f>
        <v>1</v>
      </c>
      <c r="N58" s="627">
        <f>IF(O58&gt;0,INDEX(data_item!$A$1:$A$994,MATCH(Gebäude!P58,data_item!$B$1:$B$994,0),1),0)</f>
        <v>224</v>
      </c>
      <c r="O58" s="627">
        <f>Gebäude!O58</f>
        <v>2</v>
      </c>
      <c r="P58" s="627">
        <f>Gebäude!Q58</f>
        <v>80</v>
      </c>
    </row>
    <row r="59" spans="1:16" x14ac:dyDescent="0.2">
      <c r="A59" s="627">
        <f>Gebäude!A59</f>
        <v>314</v>
      </c>
      <c r="B59" s="627" t="str">
        <f>Gebäude!B59</f>
        <v>Sattlerei IV</v>
      </c>
      <c r="C59" s="627">
        <f>Gebäude!D59</f>
        <v>6</v>
      </c>
      <c r="D59" s="627">
        <f>Gebäude!E59</f>
        <v>480</v>
      </c>
      <c r="E59" s="627">
        <f>Gebäude!F59</f>
        <v>2000</v>
      </c>
      <c r="F59" s="627">
        <f>Gebäude!G59</f>
        <v>0</v>
      </c>
      <c r="G59" s="627">
        <f>Gebäude!H59</f>
        <v>0</v>
      </c>
      <c r="H59" s="627">
        <f>IF(I59&gt;0,INDEX(data_item!$A$1:$A$994,MATCH(Gebäude!J59,data_item!$B$1:$B$994,0),1),0)</f>
        <v>231</v>
      </c>
      <c r="I59" s="627">
        <f>Gebäude!I59</f>
        <v>2</v>
      </c>
      <c r="J59" s="627">
        <f>IF(K59&gt;0,INDEX(data_item!$A$1:$A$994,MATCH(Gebäude!L59,data_item!$B$1:$B$994,0),1),0)</f>
        <v>232</v>
      </c>
      <c r="K59" s="627">
        <f>Gebäude!K59</f>
        <v>1</v>
      </c>
      <c r="L59" s="627">
        <f>IF(M59&gt;0,INDEX(data_item!$A$1:$A$994,MATCH(Gebäude!N59,data_item!$B$1:$B$994,0),1),0)</f>
        <v>233</v>
      </c>
      <c r="M59" s="627">
        <f>Gebäude!M59</f>
        <v>1</v>
      </c>
      <c r="N59" s="627">
        <f>IF(O59&gt;0,INDEX(data_item!$A$1:$A$994,MATCH(Gebäude!P59,data_item!$B$1:$B$994,0),1),0)</f>
        <v>234</v>
      </c>
      <c r="O59" s="627">
        <f>Gebäude!O59</f>
        <v>2</v>
      </c>
      <c r="P59" s="627">
        <f>Gebäude!Q59</f>
        <v>160</v>
      </c>
    </row>
    <row r="60" spans="1:16" x14ac:dyDescent="0.2">
      <c r="A60" s="627">
        <f>Gebäude!A60</f>
        <v>315</v>
      </c>
      <c r="B60" s="627" t="str">
        <f>Gebäude!B60</f>
        <v>Sattlerei V</v>
      </c>
      <c r="C60" s="627">
        <f>Gebäude!D60</f>
        <v>6</v>
      </c>
      <c r="D60" s="627">
        <f>Gebäude!E60</f>
        <v>600</v>
      </c>
      <c r="E60" s="627">
        <f>Gebäude!F60</f>
        <v>2400</v>
      </c>
      <c r="F60" s="627">
        <f>Gebäude!G60</f>
        <v>0</v>
      </c>
      <c r="G60" s="627">
        <f>Gebäude!H60</f>
        <v>0</v>
      </c>
      <c r="H60" s="627">
        <f>IF(I60&gt;0,INDEX(data_item!$A$1:$A$994,MATCH(Gebäude!J60,data_item!$B$1:$B$994,0),1),0)</f>
        <v>241</v>
      </c>
      <c r="I60" s="627">
        <f>Gebäude!I60</f>
        <v>2</v>
      </c>
      <c r="J60" s="627">
        <f>IF(K60&gt;0,INDEX(data_item!$A$1:$A$994,MATCH(Gebäude!L60,data_item!$B$1:$B$994,0),1),0)</f>
        <v>242</v>
      </c>
      <c r="K60" s="627">
        <f>Gebäude!K60</f>
        <v>1</v>
      </c>
      <c r="L60" s="627">
        <f>IF(M60&gt;0,INDEX(data_item!$A$1:$A$994,MATCH(Gebäude!N60,data_item!$B$1:$B$994,0),1),0)</f>
        <v>243</v>
      </c>
      <c r="M60" s="627">
        <f>Gebäude!M60</f>
        <v>1</v>
      </c>
      <c r="N60" s="627">
        <f>IF(O60&gt;0,INDEX(data_item!$A$1:$A$994,MATCH(Gebäude!P60,data_item!$B$1:$B$994,0),1),0)</f>
        <v>244</v>
      </c>
      <c r="O60" s="627">
        <f>Gebäude!O60</f>
        <v>2</v>
      </c>
      <c r="P60" s="627">
        <f>Gebäude!Q60</f>
        <v>320</v>
      </c>
    </row>
    <row r="61" spans="1:16" x14ac:dyDescent="0.2">
      <c r="A61" s="627">
        <f>Gebäude!A61</f>
        <v>0</v>
      </c>
      <c r="B61" s="627">
        <f>Gebäude!B61</f>
        <v>0</v>
      </c>
      <c r="C61" s="627">
        <f>Gebäude!D61</f>
        <v>0</v>
      </c>
      <c r="D61" s="627">
        <f>Gebäude!E61</f>
        <v>0</v>
      </c>
      <c r="E61" s="627">
        <f>Gebäude!F61</f>
        <v>0</v>
      </c>
      <c r="F61" s="627">
        <f>Gebäude!G61</f>
        <v>0</v>
      </c>
      <c r="G61" s="627">
        <f>Gebäude!H61</f>
        <v>0</v>
      </c>
      <c r="H61" s="627">
        <f>IF(I61&gt;0,INDEX(data_item!$A$1:$A$994,MATCH(Gebäude!J61,data_item!$B$1:$B$994,0),1),0)</f>
        <v>0</v>
      </c>
      <c r="I61" s="627">
        <f>Gebäude!I61</f>
        <v>0</v>
      </c>
      <c r="J61" s="627">
        <f>IF(K61&gt;0,INDEX(data_item!$A$1:$A$994,MATCH(Gebäude!L61,data_item!$B$1:$B$994,0),1),0)</f>
        <v>0</v>
      </c>
      <c r="K61" s="627">
        <f>Gebäude!K61</f>
        <v>0</v>
      </c>
      <c r="L61" s="627">
        <f>IF(M61&gt;0,INDEX(data_item!$A$1:$A$994,MATCH(Gebäude!N61,data_item!$B$1:$B$994,0),1),0)</f>
        <v>0</v>
      </c>
      <c r="M61" s="627">
        <f>Gebäude!M61</f>
        <v>0</v>
      </c>
      <c r="N61" s="627">
        <f>IF(O61&gt;0,INDEX(data_item!$A$1:$A$994,MATCH(Gebäude!P61,data_item!$B$1:$B$994,0),1),0)</f>
        <v>0</v>
      </c>
      <c r="O61" s="627">
        <f>Gebäude!O61</f>
        <v>0</v>
      </c>
      <c r="P61" s="627">
        <f>Gebäude!Q61</f>
        <v>0</v>
      </c>
    </row>
    <row r="62" spans="1:16" x14ac:dyDescent="0.2">
      <c r="A62" s="627">
        <f>Gebäude!A62</f>
        <v>321</v>
      </c>
      <c r="B62" s="627" t="str">
        <f>Gebäude!B62</f>
        <v>Werkstatt I</v>
      </c>
      <c r="C62" s="627">
        <f>Gebäude!D62</f>
        <v>4</v>
      </c>
      <c r="D62" s="627">
        <f>Gebäude!E62</f>
        <v>120</v>
      </c>
      <c r="E62" s="627">
        <f>Gebäude!F62</f>
        <v>800</v>
      </c>
      <c r="F62" s="627">
        <f>Gebäude!G62</f>
        <v>0</v>
      </c>
      <c r="G62" s="627">
        <f>Gebäude!H62</f>
        <v>0</v>
      </c>
      <c r="H62" s="627">
        <f>IF(I62&gt;0,INDEX(data_item!$A$1:$A$994,MATCH(Gebäude!J62,data_item!$B$1:$B$994,0),1),0)</f>
        <v>201</v>
      </c>
      <c r="I62" s="627">
        <f>Gebäude!I62</f>
        <v>2</v>
      </c>
      <c r="J62" s="627">
        <f>IF(K62&gt;0,INDEX(data_item!$A$1:$A$994,MATCH(Gebäude!L62,data_item!$B$1:$B$994,0),1),0)</f>
        <v>202</v>
      </c>
      <c r="K62" s="627">
        <f>Gebäude!K62</f>
        <v>1</v>
      </c>
      <c r="L62" s="627">
        <f>IF(M62&gt;0,INDEX(data_item!$A$1:$A$994,MATCH(Gebäude!N62,data_item!$B$1:$B$994,0),1),0)</f>
        <v>203</v>
      </c>
      <c r="M62" s="627">
        <f>Gebäude!M62</f>
        <v>1</v>
      </c>
      <c r="N62" s="627">
        <f>IF(O62&gt;0,INDEX(data_item!$A$1:$A$994,MATCH(Gebäude!P62,data_item!$B$1:$B$994,0),1),0)</f>
        <v>204</v>
      </c>
      <c r="O62" s="627">
        <f>Gebäude!O62</f>
        <v>2</v>
      </c>
      <c r="P62" s="627">
        <f>Gebäude!Q62</f>
        <v>20</v>
      </c>
    </row>
    <row r="63" spans="1:16" x14ac:dyDescent="0.2">
      <c r="A63" s="627">
        <f>Gebäude!A63</f>
        <v>322</v>
      </c>
      <c r="B63" s="627" t="str">
        <f>Gebäude!B63</f>
        <v>Werkstatt II</v>
      </c>
      <c r="C63" s="627">
        <f>Gebäude!D63</f>
        <v>4</v>
      </c>
      <c r="D63" s="627">
        <f>Gebäude!E63</f>
        <v>240</v>
      </c>
      <c r="E63" s="627">
        <f>Gebäude!F63</f>
        <v>1200</v>
      </c>
      <c r="F63" s="627">
        <f>Gebäude!G63</f>
        <v>0</v>
      </c>
      <c r="G63" s="627">
        <f>Gebäude!H63</f>
        <v>0</v>
      </c>
      <c r="H63" s="627">
        <f>IF(I63&gt;0,INDEX(data_item!$A$1:$A$994,MATCH(Gebäude!J63,data_item!$B$1:$B$994,0),1),0)</f>
        <v>211</v>
      </c>
      <c r="I63" s="627">
        <f>Gebäude!I63</f>
        <v>2</v>
      </c>
      <c r="J63" s="627">
        <f>IF(K63&gt;0,INDEX(data_item!$A$1:$A$994,MATCH(Gebäude!L63,data_item!$B$1:$B$994,0),1),0)</f>
        <v>212</v>
      </c>
      <c r="K63" s="627">
        <f>Gebäude!K63</f>
        <v>1</v>
      </c>
      <c r="L63" s="627">
        <f>IF(M63&gt;0,INDEX(data_item!$A$1:$A$994,MATCH(Gebäude!N63,data_item!$B$1:$B$994,0),1),0)</f>
        <v>213</v>
      </c>
      <c r="M63" s="627">
        <f>Gebäude!M63</f>
        <v>1</v>
      </c>
      <c r="N63" s="627">
        <f>IF(O63&gt;0,INDEX(data_item!$A$1:$A$994,MATCH(Gebäude!P63,data_item!$B$1:$B$994,0),1),0)</f>
        <v>214</v>
      </c>
      <c r="O63" s="627">
        <f>Gebäude!O63</f>
        <v>2</v>
      </c>
      <c r="P63" s="627">
        <f>Gebäude!Q63</f>
        <v>40</v>
      </c>
    </row>
    <row r="64" spans="1:16" x14ac:dyDescent="0.2">
      <c r="A64" s="627">
        <f>Gebäude!A64</f>
        <v>323</v>
      </c>
      <c r="B64" s="627" t="str">
        <f>Gebäude!B64</f>
        <v>Werkstatt III</v>
      </c>
      <c r="C64" s="627">
        <f>Gebäude!D64</f>
        <v>5</v>
      </c>
      <c r="D64" s="627">
        <f>Gebäude!E64</f>
        <v>360</v>
      </c>
      <c r="E64" s="627">
        <f>Gebäude!F64</f>
        <v>1600</v>
      </c>
      <c r="F64" s="627">
        <f>Gebäude!G64</f>
        <v>0</v>
      </c>
      <c r="G64" s="627">
        <f>Gebäude!H64</f>
        <v>0</v>
      </c>
      <c r="H64" s="627">
        <f>IF(I64&gt;0,INDEX(data_item!$A$1:$A$994,MATCH(Gebäude!J64,data_item!$B$1:$B$994,0),1),0)</f>
        <v>221</v>
      </c>
      <c r="I64" s="627">
        <f>Gebäude!I64</f>
        <v>2</v>
      </c>
      <c r="J64" s="627">
        <f>IF(K64&gt;0,INDEX(data_item!$A$1:$A$994,MATCH(Gebäude!L64,data_item!$B$1:$B$994,0),1),0)</f>
        <v>222</v>
      </c>
      <c r="K64" s="627">
        <f>Gebäude!K64</f>
        <v>1</v>
      </c>
      <c r="L64" s="627">
        <f>IF(M64&gt;0,INDEX(data_item!$A$1:$A$994,MATCH(Gebäude!N64,data_item!$B$1:$B$994,0),1),0)</f>
        <v>223</v>
      </c>
      <c r="M64" s="627">
        <f>Gebäude!M64</f>
        <v>1</v>
      </c>
      <c r="N64" s="627">
        <f>IF(O64&gt;0,INDEX(data_item!$A$1:$A$994,MATCH(Gebäude!P64,data_item!$B$1:$B$994,0),1),0)</f>
        <v>224</v>
      </c>
      <c r="O64" s="627">
        <f>Gebäude!O64</f>
        <v>2</v>
      </c>
      <c r="P64" s="627">
        <f>Gebäude!Q64</f>
        <v>80</v>
      </c>
    </row>
    <row r="65" spans="1:16" x14ac:dyDescent="0.2">
      <c r="A65" s="627">
        <f>Gebäude!A65</f>
        <v>324</v>
      </c>
      <c r="B65" s="627" t="str">
        <f>Gebäude!B65</f>
        <v>Werkstatt IV</v>
      </c>
      <c r="C65" s="627">
        <f>Gebäude!D65</f>
        <v>6</v>
      </c>
      <c r="D65" s="627">
        <f>Gebäude!E65</f>
        <v>480</v>
      </c>
      <c r="E65" s="627">
        <f>Gebäude!F65</f>
        <v>2000</v>
      </c>
      <c r="F65" s="627">
        <f>Gebäude!G65</f>
        <v>0</v>
      </c>
      <c r="G65" s="627">
        <f>Gebäude!H65</f>
        <v>0</v>
      </c>
      <c r="H65" s="627">
        <f>IF(I65&gt;0,INDEX(data_item!$A$1:$A$994,MATCH(Gebäude!J65,data_item!$B$1:$B$994,0),1),0)</f>
        <v>231</v>
      </c>
      <c r="I65" s="627">
        <f>Gebäude!I65</f>
        <v>2</v>
      </c>
      <c r="J65" s="627">
        <f>IF(K65&gt;0,INDEX(data_item!$A$1:$A$994,MATCH(Gebäude!L65,data_item!$B$1:$B$994,0),1),0)</f>
        <v>232</v>
      </c>
      <c r="K65" s="627">
        <f>Gebäude!K65</f>
        <v>1</v>
      </c>
      <c r="L65" s="627">
        <f>IF(M65&gt;0,INDEX(data_item!$A$1:$A$994,MATCH(Gebäude!N65,data_item!$B$1:$B$994,0),1),0)</f>
        <v>233</v>
      </c>
      <c r="M65" s="627">
        <f>Gebäude!M65</f>
        <v>1</v>
      </c>
      <c r="N65" s="627">
        <f>IF(O65&gt;0,INDEX(data_item!$A$1:$A$994,MATCH(Gebäude!P65,data_item!$B$1:$B$994,0),1),0)</f>
        <v>234</v>
      </c>
      <c r="O65" s="627">
        <f>Gebäude!O65</f>
        <v>2</v>
      </c>
      <c r="P65" s="627">
        <f>Gebäude!Q65</f>
        <v>160</v>
      </c>
    </row>
    <row r="66" spans="1:16" x14ac:dyDescent="0.2">
      <c r="A66" s="627">
        <f>Gebäude!A66</f>
        <v>325</v>
      </c>
      <c r="B66" s="627" t="str">
        <f>Gebäude!B66</f>
        <v>Werkstatt V</v>
      </c>
      <c r="C66" s="627">
        <f>Gebäude!D66</f>
        <v>6</v>
      </c>
      <c r="D66" s="627">
        <f>Gebäude!E66</f>
        <v>600</v>
      </c>
      <c r="E66" s="627">
        <f>Gebäude!F66</f>
        <v>2400</v>
      </c>
      <c r="F66" s="627">
        <f>Gebäude!G66</f>
        <v>0</v>
      </c>
      <c r="G66" s="627">
        <f>Gebäude!H66</f>
        <v>0</v>
      </c>
      <c r="H66" s="627">
        <f>IF(I66&gt;0,INDEX(data_item!$A$1:$A$994,MATCH(Gebäude!J66,data_item!$B$1:$B$994,0),1),0)</f>
        <v>241</v>
      </c>
      <c r="I66" s="627">
        <f>Gebäude!I66</f>
        <v>2</v>
      </c>
      <c r="J66" s="627">
        <f>IF(K66&gt;0,INDEX(data_item!$A$1:$A$994,MATCH(Gebäude!L66,data_item!$B$1:$B$994,0),1),0)</f>
        <v>242</v>
      </c>
      <c r="K66" s="627">
        <f>Gebäude!K66</f>
        <v>1</v>
      </c>
      <c r="L66" s="627">
        <f>IF(M66&gt;0,INDEX(data_item!$A$1:$A$994,MATCH(Gebäude!N66,data_item!$B$1:$B$994,0),1),0)</f>
        <v>243</v>
      </c>
      <c r="M66" s="627">
        <f>Gebäude!M66</f>
        <v>1</v>
      </c>
      <c r="N66" s="627">
        <f>IF(O66&gt;0,INDEX(data_item!$A$1:$A$994,MATCH(Gebäude!P66,data_item!$B$1:$B$994,0),1),0)</f>
        <v>244</v>
      </c>
      <c r="O66" s="627">
        <f>Gebäude!O66</f>
        <v>2</v>
      </c>
      <c r="P66" s="627">
        <f>Gebäude!Q66</f>
        <v>320</v>
      </c>
    </row>
    <row r="67" spans="1:16" x14ac:dyDescent="0.2">
      <c r="A67" s="627">
        <f>Gebäude!A67</f>
        <v>0</v>
      </c>
      <c r="B67" s="627">
        <f>Gebäude!B67</f>
        <v>0</v>
      </c>
      <c r="C67" s="627">
        <f>Gebäude!D67</f>
        <v>0</v>
      </c>
      <c r="D67" s="627">
        <f>Gebäude!E67</f>
        <v>0</v>
      </c>
      <c r="E67" s="627">
        <f>Gebäude!F67</f>
        <v>0</v>
      </c>
      <c r="F67" s="627">
        <f>Gebäude!G67</f>
        <v>0</v>
      </c>
      <c r="G67" s="627">
        <f>Gebäude!H67</f>
        <v>0</v>
      </c>
      <c r="H67" s="627">
        <f>IF(I67&gt;0,INDEX(data_item!$A$1:$A$994,MATCH(Gebäude!J67,data_item!$B$1:$B$994,0),1),0)</f>
        <v>0</v>
      </c>
      <c r="I67" s="627">
        <f>Gebäude!I67</f>
        <v>0</v>
      </c>
      <c r="J67" s="627">
        <f>IF(K67&gt;0,INDEX(data_item!$A$1:$A$994,MATCH(Gebäude!L67,data_item!$B$1:$B$994,0),1),0)</f>
        <v>0</v>
      </c>
      <c r="K67" s="627">
        <f>Gebäude!K67</f>
        <v>0</v>
      </c>
      <c r="L67" s="627">
        <f>IF(M67&gt;0,INDEX(data_item!$A$1:$A$994,MATCH(Gebäude!N67,data_item!$B$1:$B$994,0),1),0)</f>
        <v>0</v>
      </c>
      <c r="M67" s="627">
        <f>Gebäude!M67</f>
        <v>0</v>
      </c>
      <c r="N67" s="627">
        <f>IF(O67&gt;0,INDEX(data_item!$A$1:$A$994,MATCH(Gebäude!P67,data_item!$B$1:$B$994,0),1),0)</f>
        <v>0</v>
      </c>
      <c r="O67" s="627">
        <f>Gebäude!O67</f>
        <v>0</v>
      </c>
      <c r="P67" s="627">
        <f>Gebäude!Q67</f>
        <v>0</v>
      </c>
    </row>
    <row r="68" spans="1:16" x14ac:dyDescent="0.2">
      <c r="A68" s="627">
        <f>Gebäude!A68</f>
        <v>331</v>
      </c>
      <c r="B68" s="627" t="str">
        <f>Gebäude!B68</f>
        <v>Schneiderei I</v>
      </c>
      <c r="C68" s="627">
        <f>Gebäude!D68</f>
        <v>4</v>
      </c>
      <c r="D68" s="627">
        <f>Gebäude!E68</f>
        <v>120</v>
      </c>
      <c r="E68" s="627">
        <f>Gebäude!F68</f>
        <v>800</v>
      </c>
      <c r="F68" s="627">
        <f>Gebäude!G68</f>
        <v>0</v>
      </c>
      <c r="G68" s="627">
        <f>Gebäude!H68</f>
        <v>0</v>
      </c>
      <c r="H68" s="627">
        <f>IF(I68&gt;0,INDEX(data_item!$A$1:$A$994,MATCH(Gebäude!J68,data_item!$B$1:$B$994,0),1),0)</f>
        <v>201</v>
      </c>
      <c r="I68" s="627">
        <f>Gebäude!I68</f>
        <v>2</v>
      </c>
      <c r="J68" s="627">
        <f>IF(K68&gt;0,INDEX(data_item!$A$1:$A$994,MATCH(Gebäude!L68,data_item!$B$1:$B$994,0),1),0)</f>
        <v>202</v>
      </c>
      <c r="K68" s="627">
        <f>Gebäude!K68</f>
        <v>1</v>
      </c>
      <c r="L68" s="627">
        <f>IF(M68&gt;0,INDEX(data_item!$A$1:$A$994,MATCH(Gebäude!N68,data_item!$B$1:$B$994,0),1),0)</f>
        <v>203</v>
      </c>
      <c r="M68" s="627">
        <f>Gebäude!M68</f>
        <v>1</v>
      </c>
      <c r="N68" s="627">
        <f>IF(O68&gt;0,INDEX(data_item!$A$1:$A$994,MATCH(Gebäude!P68,data_item!$B$1:$B$994,0),1),0)</f>
        <v>204</v>
      </c>
      <c r="O68" s="627">
        <f>Gebäude!O68</f>
        <v>2</v>
      </c>
      <c r="P68" s="627">
        <f>Gebäude!Q68</f>
        <v>20</v>
      </c>
    </row>
    <row r="69" spans="1:16" x14ac:dyDescent="0.2">
      <c r="A69" s="627">
        <f>Gebäude!A69</f>
        <v>332</v>
      </c>
      <c r="B69" s="627" t="str">
        <f>Gebäude!B69</f>
        <v>Schneiderei II</v>
      </c>
      <c r="C69" s="627">
        <f>Gebäude!D69</f>
        <v>4</v>
      </c>
      <c r="D69" s="627">
        <f>Gebäude!E69</f>
        <v>240</v>
      </c>
      <c r="E69" s="627">
        <f>Gebäude!F69</f>
        <v>1200</v>
      </c>
      <c r="F69" s="627">
        <f>Gebäude!G69</f>
        <v>0</v>
      </c>
      <c r="G69" s="627">
        <f>Gebäude!H69</f>
        <v>0</v>
      </c>
      <c r="H69" s="627">
        <f>IF(I69&gt;0,INDEX(data_item!$A$1:$A$994,MATCH(Gebäude!J69,data_item!$B$1:$B$994,0),1),0)</f>
        <v>211</v>
      </c>
      <c r="I69" s="627">
        <f>Gebäude!I69</f>
        <v>2</v>
      </c>
      <c r="J69" s="627">
        <f>IF(K69&gt;0,INDEX(data_item!$A$1:$A$994,MATCH(Gebäude!L69,data_item!$B$1:$B$994,0),1),0)</f>
        <v>212</v>
      </c>
      <c r="K69" s="627">
        <f>Gebäude!K69</f>
        <v>1</v>
      </c>
      <c r="L69" s="627">
        <f>IF(M69&gt;0,INDEX(data_item!$A$1:$A$994,MATCH(Gebäude!N69,data_item!$B$1:$B$994,0),1),0)</f>
        <v>213</v>
      </c>
      <c r="M69" s="627">
        <f>Gebäude!M69</f>
        <v>1</v>
      </c>
      <c r="N69" s="627">
        <f>IF(O69&gt;0,INDEX(data_item!$A$1:$A$994,MATCH(Gebäude!P69,data_item!$B$1:$B$994,0),1),0)</f>
        <v>214</v>
      </c>
      <c r="O69" s="627">
        <f>Gebäude!O69</f>
        <v>2</v>
      </c>
      <c r="P69" s="627">
        <f>Gebäude!Q69</f>
        <v>40</v>
      </c>
    </row>
    <row r="70" spans="1:16" x14ac:dyDescent="0.2">
      <c r="A70" s="627">
        <f>Gebäude!A70</f>
        <v>333</v>
      </c>
      <c r="B70" s="627" t="str">
        <f>Gebäude!B70</f>
        <v>Schneiderei III</v>
      </c>
      <c r="C70" s="627">
        <f>Gebäude!D70</f>
        <v>5</v>
      </c>
      <c r="D70" s="627">
        <f>Gebäude!E70</f>
        <v>360</v>
      </c>
      <c r="E70" s="627">
        <f>Gebäude!F70</f>
        <v>1600</v>
      </c>
      <c r="F70" s="627">
        <f>Gebäude!G70</f>
        <v>0</v>
      </c>
      <c r="G70" s="627">
        <f>Gebäude!H70</f>
        <v>0</v>
      </c>
      <c r="H70" s="627">
        <f>IF(I70&gt;0,INDEX(data_item!$A$1:$A$994,MATCH(Gebäude!J70,data_item!$B$1:$B$994,0),1),0)</f>
        <v>221</v>
      </c>
      <c r="I70" s="627">
        <f>Gebäude!I70</f>
        <v>2</v>
      </c>
      <c r="J70" s="627">
        <f>IF(K70&gt;0,INDEX(data_item!$A$1:$A$994,MATCH(Gebäude!L70,data_item!$B$1:$B$994,0),1),0)</f>
        <v>222</v>
      </c>
      <c r="K70" s="627">
        <f>Gebäude!K70</f>
        <v>1</v>
      </c>
      <c r="L70" s="627">
        <f>IF(M70&gt;0,INDEX(data_item!$A$1:$A$994,MATCH(Gebäude!N70,data_item!$B$1:$B$994,0),1),0)</f>
        <v>223</v>
      </c>
      <c r="M70" s="627">
        <f>Gebäude!M70</f>
        <v>1</v>
      </c>
      <c r="N70" s="627">
        <f>IF(O70&gt;0,INDEX(data_item!$A$1:$A$994,MATCH(Gebäude!P70,data_item!$B$1:$B$994,0),1),0)</f>
        <v>224</v>
      </c>
      <c r="O70" s="627">
        <f>Gebäude!O70</f>
        <v>2</v>
      </c>
      <c r="P70" s="627">
        <f>Gebäude!Q70</f>
        <v>80</v>
      </c>
    </row>
    <row r="71" spans="1:16" x14ac:dyDescent="0.2">
      <c r="A71" s="627">
        <f>Gebäude!A71</f>
        <v>334</v>
      </c>
      <c r="B71" s="627" t="str">
        <f>Gebäude!B71</f>
        <v>Schneiderei IV</v>
      </c>
      <c r="C71" s="627">
        <f>Gebäude!D71</f>
        <v>6</v>
      </c>
      <c r="D71" s="627">
        <f>Gebäude!E71</f>
        <v>480</v>
      </c>
      <c r="E71" s="627">
        <f>Gebäude!F71</f>
        <v>2000</v>
      </c>
      <c r="F71" s="627">
        <f>Gebäude!G71</f>
        <v>0</v>
      </c>
      <c r="G71" s="627">
        <f>Gebäude!H71</f>
        <v>0</v>
      </c>
      <c r="H71" s="627">
        <f>IF(I71&gt;0,INDEX(data_item!$A$1:$A$994,MATCH(Gebäude!J71,data_item!$B$1:$B$994,0),1),0)</f>
        <v>231</v>
      </c>
      <c r="I71" s="627">
        <f>Gebäude!I71</f>
        <v>2</v>
      </c>
      <c r="J71" s="627">
        <f>IF(K71&gt;0,INDEX(data_item!$A$1:$A$994,MATCH(Gebäude!L71,data_item!$B$1:$B$994,0),1),0)</f>
        <v>232</v>
      </c>
      <c r="K71" s="627">
        <f>Gebäude!K71</f>
        <v>1</v>
      </c>
      <c r="L71" s="627">
        <f>IF(M71&gt;0,INDEX(data_item!$A$1:$A$994,MATCH(Gebäude!N71,data_item!$B$1:$B$994,0),1),0)</f>
        <v>233</v>
      </c>
      <c r="M71" s="627">
        <f>Gebäude!M71</f>
        <v>1</v>
      </c>
      <c r="N71" s="627">
        <f>IF(O71&gt;0,INDEX(data_item!$A$1:$A$994,MATCH(Gebäude!P71,data_item!$B$1:$B$994,0),1),0)</f>
        <v>234</v>
      </c>
      <c r="O71" s="627">
        <f>Gebäude!O71</f>
        <v>2</v>
      </c>
      <c r="P71" s="627">
        <f>Gebäude!Q71</f>
        <v>160</v>
      </c>
    </row>
    <row r="72" spans="1:16" x14ac:dyDescent="0.2">
      <c r="A72" s="627">
        <f>Gebäude!A72</f>
        <v>335</v>
      </c>
      <c r="B72" s="627" t="str">
        <f>Gebäude!B72</f>
        <v>Schneiderei V</v>
      </c>
      <c r="C72" s="627">
        <f>Gebäude!D72</f>
        <v>6</v>
      </c>
      <c r="D72" s="627">
        <f>Gebäude!E72</f>
        <v>600</v>
      </c>
      <c r="E72" s="627">
        <f>Gebäude!F72</f>
        <v>2400</v>
      </c>
      <c r="F72" s="627">
        <f>Gebäude!G72</f>
        <v>0</v>
      </c>
      <c r="G72" s="627">
        <f>Gebäude!H72</f>
        <v>0</v>
      </c>
      <c r="H72" s="627">
        <f>IF(I72&gt;0,INDEX(data_item!$A$1:$A$994,MATCH(Gebäude!J72,data_item!$B$1:$B$994,0),1),0)</f>
        <v>241</v>
      </c>
      <c r="I72" s="627">
        <f>Gebäude!I72</f>
        <v>2</v>
      </c>
      <c r="J72" s="627">
        <f>IF(K72&gt;0,INDEX(data_item!$A$1:$A$994,MATCH(Gebäude!L72,data_item!$B$1:$B$994,0),1),0)</f>
        <v>242</v>
      </c>
      <c r="K72" s="627">
        <f>Gebäude!K72</f>
        <v>1</v>
      </c>
      <c r="L72" s="627">
        <f>IF(M72&gt;0,INDEX(data_item!$A$1:$A$994,MATCH(Gebäude!N72,data_item!$B$1:$B$994,0),1),0)</f>
        <v>243</v>
      </c>
      <c r="M72" s="627">
        <f>Gebäude!M72</f>
        <v>1</v>
      </c>
      <c r="N72" s="627">
        <f>IF(O72&gt;0,INDEX(data_item!$A$1:$A$994,MATCH(Gebäude!P72,data_item!$B$1:$B$994,0),1),0)</f>
        <v>244</v>
      </c>
      <c r="O72" s="627">
        <f>Gebäude!O72</f>
        <v>2</v>
      </c>
      <c r="P72" s="627">
        <f>Gebäude!Q72</f>
        <v>320</v>
      </c>
    </row>
    <row r="73" spans="1:16" x14ac:dyDescent="0.2">
      <c r="A73" s="627">
        <f>Gebäude!A73</f>
        <v>0</v>
      </c>
      <c r="B73" s="627">
        <f>Gebäude!B73</f>
        <v>0</v>
      </c>
      <c r="C73" s="627">
        <f>Gebäude!D73</f>
        <v>0</v>
      </c>
      <c r="D73" s="627">
        <f>Gebäude!E73</f>
        <v>0</v>
      </c>
      <c r="E73" s="627">
        <f>Gebäude!F73</f>
        <v>0</v>
      </c>
      <c r="F73" s="627">
        <f>Gebäude!G73</f>
        <v>0</v>
      </c>
      <c r="G73" s="627">
        <f>Gebäude!H73</f>
        <v>0</v>
      </c>
      <c r="H73" s="627">
        <f>IF(I73&gt;0,INDEX(data_item!$A$1:$A$994,MATCH(Gebäude!J73,data_item!$B$1:$B$994,0),1),0)</f>
        <v>0</v>
      </c>
      <c r="I73" s="627">
        <f>Gebäude!I73</f>
        <v>0</v>
      </c>
      <c r="J73" s="627">
        <f>IF(K73&gt;0,INDEX(data_item!$A$1:$A$994,MATCH(Gebäude!L73,data_item!$B$1:$B$994,0),1),0)</f>
        <v>0</v>
      </c>
      <c r="K73" s="627">
        <f>Gebäude!K73</f>
        <v>0</v>
      </c>
      <c r="L73" s="627">
        <f>IF(M73&gt;0,INDEX(data_item!$A$1:$A$994,MATCH(Gebäude!N73,data_item!$B$1:$B$994,0),1),0)</f>
        <v>0</v>
      </c>
      <c r="M73" s="627">
        <f>Gebäude!M73</f>
        <v>0</v>
      </c>
      <c r="N73" s="627">
        <f>IF(O73&gt;0,INDEX(data_item!$A$1:$A$994,MATCH(Gebäude!P73,data_item!$B$1:$B$994,0),1),0)</f>
        <v>0</v>
      </c>
      <c r="O73" s="627">
        <f>Gebäude!O73</f>
        <v>0</v>
      </c>
      <c r="P73" s="627">
        <f>Gebäude!Q73</f>
        <v>0</v>
      </c>
    </row>
    <row r="74" spans="1:16" x14ac:dyDescent="0.2">
      <c r="A74" s="627">
        <f>Gebäude!A74</f>
        <v>341</v>
      </c>
      <c r="B74" s="627" t="str">
        <f>Gebäude!B74</f>
        <v>Laboratorium I</v>
      </c>
      <c r="C74" s="627">
        <f>Gebäude!D74</f>
        <v>4</v>
      </c>
      <c r="D74" s="627">
        <f>Gebäude!E74</f>
        <v>120</v>
      </c>
      <c r="E74" s="627">
        <f>Gebäude!F74</f>
        <v>800</v>
      </c>
      <c r="F74" s="627">
        <f>Gebäude!G74</f>
        <v>0</v>
      </c>
      <c r="G74" s="627">
        <f>Gebäude!H74</f>
        <v>0</v>
      </c>
      <c r="H74" s="627">
        <f>IF(I74&gt;0,INDEX(data_item!$A$1:$A$994,MATCH(Gebäude!J74,data_item!$B$1:$B$994,0),1),0)</f>
        <v>201</v>
      </c>
      <c r="I74" s="627">
        <f>Gebäude!I74</f>
        <v>2</v>
      </c>
      <c r="J74" s="627">
        <f>IF(K74&gt;0,INDEX(data_item!$A$1:$A$994,MATCH(Gebäude!L74,data_item!$B$1:$B$994,0),1),0)</f>
        <v>202</v>
      </c>
      <c r="K74" s="627">
        <f>Gebäude!K74</f>
        <v>1</v>
      </c>
      <c r="L74" s="627">
        <f>IF(M74&gt;0,INDEX(data_item!$A$1:$A$994,MATCH(Gebäude!N74,data_item!$B$1:$B$994,0),1),0)</f>
        <v>203</v>
      </c>
      <c r="M74" s="627">
        <f>Gebäude!M74</f>
        <v>1</v>
      </c>
      <c r="N74" s="627">
        <f>IF(O74&gt;0,INDEX(data_item!$A$1:$A$994,MATCH(Gebäude!P74,data_item!$B$1:$B$994,0),1),0)</f>
        <v>204</v>
      </c>
      <c r="O74" s="627">
        <f>Gebäude!O74</f>
        <v>2</v>
      </c>
      <c r="P74" s="627">
        <f>Gebäude!Q74</f>
        <v>20</v>
      </c>
    </row>
    <row r="75" spans="1:16" x14ac:dyDescent="0.2">
      <c r="A75" s="627">
        <f>Gebäude!A75</f>
        <v>342</v>
      </c>
      <c r="B75" s="627" t="str">
        <f>Gebäude!B75</f>
        <v>Laboratorium II</v>
      </c>
      <c r="C75" s="627">
        <f>Gebäude!D75</f>
        <v>4</v>
      </c>
      <c r="D75" s="627">
        <f>Gebäude!E75</f>
        <v>240</v>
      </c>
      <c r="E75" s="627">
        <f>Gebäude!F75</f>
        <v>1200</v>
      </c>
      <c r="F75" s="627">
        <f>Gebäude!G75</f>
        <v>0</v>
      </c>
      <c r="G75" s="627">
        <f>Gebäude!H75</f>
        <v>0</v>
      </c>
      <c r="H75" s="627">
        <f>IF(I75&gt;0,INDEX(data_item!$A$1:$A$994,MATCH(Gebäude!J75,data_item!$B$1:$B$994,0),1),0)</f>
        <v>211</v>
      </c>
      <c r="I75" s="627">
        <f>Gebäude!I75</f>
        <v>2</v>
      </c>
      <c r="J75" s="627">
        <f>IF(K75&gt;0,INDEX(data_item!$A$1:$A$994,MATCH(Gebäude!L75,data_item!$B$1:$B$994,0),1),0)</f>
        <v>212</v>
      </c>
      <c r="K75" s="627">
        <f>Gebäude!K75</f>
        <v>1</v>
      </c>
      <c r="L75" s="627">
        <f>IF(M75&gt;0,INDEX(data_item!$A$1:$A$994,MATCH(Gebäude!N75,data_item!$B$1:$B$994,0),1),0)</f>
        <v>213</v>
      </c>
      <c r="M75" s="627">
        <f>Gebäude!M75</f>
        <v>1</v>
      </c>
      <c r="N75" s="627">
        <f>IF(O75&gt;0,INDEX(data_item!$A$1:$A$994,MATCH(Gebäude!P75,data_item!$B$1:$B$994,0),1),0)</f>
        <v>214</v>
      </c>
      <c r="O75" s="627">
        <f>Gebäude!O75</f>
        <v>2</v>
      </c>
      <c r="P75" s="627">
        <f>Gebäude!Q75</f>
        <v>40</v>
      </c>
    </row>
    <row r="76" spans="1:16" x14ac:dyDescent="0.2">
      <c r="A76" s="627">
        <f>Gebäude!A76</f>
        <v>343</v>
      </c>
      <c r="B76" s="627" t="str">
        <f>Gebäude!B76</f>
        <v>Laboratorium III</v>
      </c>
      <c r="C76" s="627">
        <f>Gebäude!D76</f>
        <v>5</v>
      </c>
      <c r="D76" s="627">
        <f>Gebäude!E76</f>
        <v>360</v>
      </c>
      <c r="E76" s="627">
        <f>Gebäude!F76</f>
        <v>1600</v>
      </c>
      <c r="F76" s="627">
        <f>Gebäude!G76</f>
        <v>0</v>
      </c>
      <c r="G76" s="627">
        <f>Gebäude!H76</f>
        <v>0</v>
      </c>
      <c r="H76" s="627">
        <f>IF(I76&gt;0,INDEX(data_item!$A$1:$A$994,MATCH(Gebäude!J76,data_item!$B$1:$B$994,0),1),0)</f>
        <v>221</v>
      </c>
      <c r="I76" s="627">
        <f>Gebäude!I76</f>
        <v>2</v>
      </c>
      <c r="J76" s="627">
        <f>IF(K76&gt;0,INDEX(data_item!$A$1:$A$994,MATCH(Gebäude!L76,data_item!$B$1:$B$994,0),1),0)</f>
        <v>222</v>
      </c>
      <c r="K76" s="627">
        <f>Gebäude!K76</f>
        <v>1</v>
      </c>
      <c r="L76" s="627">
        <f>IF(M76&gt;0,INDEX(data_item!$A$1:$A$994,MATCH(Gebäude!N76,data_item!$B$1:$B$994,0),1),0)</f>
        <v>223</v>
      </c>
      <c r="M76" s="627">
        <f>Gebäude!M76</f>
        <v>1</v>
      </c>
      <c r="N76" s="627">
        <f>IF(O76&gt;0,INDEX(data_item!$A$1:$A$994,MATCH(Gebäude!P76,data_item!$B$1:$B$994,0),1),0)</f>
        <v>224</v>
      </c>
      <c r="O76" s="627">
        <f>Gebäude!O76</f>
        <v>2</v>
      </c>
      <c r="P76" s="627">
        <f>Gebäude!Q76</f>
        <v>80</v>
      </c>
    </row>
    <row r="77" spans="1:16" x14ac:dyDescent="0.2">
      <c r="A77" s="627">
        <f>Gebäude!A77</f>
        <v>344</v>
      </c>
      <c r="B77" s="627" t="str">
        <f>Gebäude!B77</f>
        <v>Laboratorium IV</v>
      </c>
      <c r="C77" s="627">
        <f>Gebäude!D77</f>
        <v>6</v>
      </c>
      <c r="D77" s="627">
        <f>Gebäude!E77</f>
        <v>480</v>
      </c>
      <c r="E77" s="627">
        <f>Gebäude!F77</f>
        <v>2000</v>
      </c>
      <c r="F77" s="627">
        <f>Gebäude!G77</f>
        <v>0</v>
      </c>
      <c r="G77" s="627">
        <f>Gebäude!H77</f>
        <v>0</v>
      </c>
      <c r="H77" s="627">
        <f>IF(I77&gt;0,INDEX(data_item!$A$1:$A$994,MATCH(Gebäude!J77,data_item!$B$1:$B$994,0),1),0)</f>
        <v>231</v>
      </c>
      <c r="I77" s="627">
        <f>Gebäude!I77</f>
        <v>2</v>
      </c>
      <c r="J77" s="627">
        <f>IF(K77&gt;0,INDEX(data_item!$A$1:$A$994,MATCH(Gebäude!L77,data_item!$B$1:$B$994,0),1),0)</f>
        <v>232</v>
      </c>
      <c r="K77" s="627">
        <f>Gebäude!K77</f>
        <v>1</v>
      </c>
      <c r="L77" s="627">
        <f>IF(M77&gt;0,INDEX(data_item!$A$1:$A$994,MATCH(Gebäude!N77,data_item!$B$1:$B$994,0),1),0)</f>
        <v>233</v>
      </c>
      <c r="M77" s="627">
        <f>Gebäude!M77</f>
        <v>1</v>
      </c>
      <c r="N77" s="627">
        <f>IF(O77&gt;0,INDEX(data_item!$A$1:$A$994,MATCH(Gebäude!P77,data_item!$B$1:$B$994,0),1),0)</f>
        <v>234</v>
      </c>
      <c r="O77" s="627">
        <f>Gebäude!O77</f>
        <v>2</v>
      </c>
      <c r="P77" s="627">
        <f>Gebäude!Q77</f>
        <v>160</v>
      </c>
    </row>
    <row r="78" spans="1:16" x14ac:dyDescent="0.2">
      <c r="A78" s="627">
        <f>Gebäude!A78</f>
        <v>345</v>
      </c>
      <c r="B78" s="627" t="str">
        <f>Gebäude!B78</f>
        <v>Laboratorium V</v>
      </c>
      <c r="C78" s="627">
        <f>Gebäude!D78</f>
        <v>6</v>
      </c>
      <c r="D78" s="627">
        <f>Gebäude!E78</f>
        <v>600</v>
      </c>
      <c r="E78" s="627">
        <f>Gebäude!F78</f>
        <v>2400</v>
      </c>
      <c r="F78" s="627">
        <f>Gebäude!G78</f>
        <v>0</v>
      </c>
      <c r="G78" s="627">
        <f>Gebäude!H78</f>
        <v>0</v>
      </c>
      <c r="H78" s="627">
        <f>IF(I78&gt;0,INDEX(data_item!$A$1:$A$994,MATCH(Gebäude!J78,data_item!$B$1:$B$994,0),1),0)</f>
        <v>241</v>
      </c>
      <c r="I78" s="627">
        <f>Gebäude!I78</f>
        <v>2</v>
      </c>
      <c r="J78" s="627">
        <f>IF(K78&gt;0,INDEX(data_item!$A$1:$A$994,MATCH(Gebäude!L78,data_item!$B$1:$B$994,0),1),0)</f>
        <v>242</v>
      </c>
      <c r="K78" s="627">
        <f>Gebäude!K78</f>
        <v>1</v>
      </c>
      <c r="L78" s="627">
        <f>IF(M78&gt;0,INDEX(data_item!$A$1:$A$994,MATCH(Gebäude!N78,data_item!$B$1:$B$994,0),1),0)</f>
        <v>243</v>
      </c>
      <c r="M78" s="627">
        <f>Gebäude!M78</f>
        <v>1</v>
      </c>
      <c r="N78" s="627">
        <f>IF(O78&gt;0,INDEX(data_item!$A$1:$A$994,MATCH(Gebäude!P78,data_item!$B$1:$B$994,0),1),0)</f>
        <v>244</v>
      </c>
      <c r="O78" s="627">
        <f>Gebäude!O78</f>
        <v>2</v>
      </c>
      <c r="P78" s="627">
        <f>Gebäude!Q78</f>
        <v>320</v>
      </c>
    </row>
    <row r="79" spans="1:16" x14ac:dyDescent="0.2">
      <c r="A79" s="627">
        <f>Gebäude!A79</f>
        <v>0</v>
      </c>
      <c r="B79" s="627">
        <f>Gebäude!B79</f>
        <v>0</v>
      </c>
      <c r="C79" s="627">
        <f>Gebäude!D79</f>
        <v>0</v>
      </c>
      <c r="D79" s="627">
        <f>Gebäude!E79</f>
        <v>0</v>
      </c>
      <c r="E79" s="627">
        <f>Gebäude!F79</f>
        <v>0</v>
      </c>
      <c r="F79" s="627">
        <f>Gebäude!G79</f>
        <v>0</v>
      </c>
      <c r="G79" s="627">
        <f>Gebäude!H79</f>
        <v>0</v>
      </c>
      <c r="H79" s="627">
        <f>IF(I79&gt;0,INDEX(data_item!$A$1:$A$994,MATCH(Gebäude!J79,data_item!$B$1:$B$994,0),1),0)</f>
        <v>0</v>
      </c>
      <c r="I79" s="627">
        <f>Gebäude!I79</f>
        <v>0</v>
      </c>
      <c r="J79" s="627">
        <f>IF(K79&gt;0,INDEX(data_item!$A$1:$A$994,MATCH(Gebäude!L79,data_item!$B$1:$B$994,0),1),0)</f>
        <v>0</v>
      </c>
      <c r="K79" s="627">
        <f>Gebäude!K79</f>
        <v>0</v>
      </c>
      <c r="L79" s="627">
        <f>IF(M79&gt;0,INDEX(data_item!$A$1:$A$994,MATCH(Gebäude!N79,data_item!$B$1:$B$994,0),1),0)</f>
        <v>0</v>
      </c>
      <c r="M79" s="627">
        <f>Gebäude!M79</f>
        <v>0</v>
      </c>
      <c r="N79" s="627">
        <f>IF(O79&gt;0,INDEX(data_item!$A$1:$A$994,MATCH(Gebäude!P79,data_item!$B$1:$B$994,0),1),0)</f>
        <v>0</v>
      </c>
      <c r="O79" s="627">
        <f>Gebäude!O79</f>
        <v>0</v>
      </c>
      <c r="P79" s="627">
        <f>Gebäude!Q79</f>
        <v>0</v>
      </c>
    </row>
    <row r="80" spans="1:16" x14ac:dyDescent="0.2">
      <c r="A80" s="627">
        <f>Gebäude!A80</f>
        <v>351</v>
      </c>
      <c r="B80" s="627" t="str">
        <f>Gebäude!B80</f>
        <v>Bauhof I</v>
      </c>
      <c r="C80" s="627">
        <f>Gebäude!D80</f>
        <v>4</v>
      </c>
      <c r="D80" s="627">
        <f>Gebäude!E80</f>
        <v>120</v>
      </c>
      <c r="E80" s="627">
        <f>Gebäude!F80</f>
        <v>800</v>
      </c>
      <c r="F80" s="627">
        <f>Gebäude!G80</f>
        <v>0</v>
      </c>
      <c r="G80" s="627">
        <f>Gebäude!H80</f>
        <v>0</v>
      </c>
      <c r="H80" s="627">
        <f>IF(I80&gt;0,INDEX(data_item!$A$1:$A$994,MATCH(Gebäude!J80,data_item!$B$1:$B$994,0),1),0)</f>
        <v>0</v>
      </c>
      <c r="I80" s="627">
        <f>Gebäude!I80</f>
        <v>0</v>
      </c>
      <c r="J80" s="627">
        <f>IF(K80&gt;0,INDEX(data_item!$A$1:$A$994,MATCH(Gebäude!L80,data_item!$B$1:$B$994,0),1),0)</f>
        <v>202</v>
      </c>
      <c r="K80" s="627">
        <f>Gebäude!K80</f>
        <v>4</v>
      </c>
      <c r="L80" s="627">
        <f>IF(M80&gt;0,INDEX(data_item!$A$1:$A$994,MATCH(Gebäude!N80,data_item!$B$1:$B$994,0),1),0)</f>
        <v>203</v>
      </c>
      <c r="M80" s="627">
        <f>Gebäude!M80</f>
        <v>1</v>
      </c>
      <c r="N80" s="627">
        <f>IF(O80&gt;0,INDEX(data_item!$A$1:$A$994,MATCH(Gebäude!P80,data_item!$B$1:$B$994,0),1),0)</f>
        <v>204</v>
      </c>
      <c r="O80" s="627">
        <f>Gebäude!O80</f>
        <v>4</v>
      </c>
      <c r="P80" s="627">
        <f>Gebäude!Q80</f>
        <v>25</v>
      </c>
    </row>
    <row r="81" spans="1:16" x14ac:dyDescent="0.2">
      <c r="A81" s="627">
        <f>Gebäude!A81</f>
        <v>352</v>
      </c>
      <c r="B81" s="627" t="str">
        <f>Gebäude!B81</f>
        <v>Bauhof II</v>
      </c>
      <c r="C81" s="627">
        <f>Gebäude!D81</f>
        <v>4</v>
      </c>
      <c r="D81" s="627">
        <f>Gebäude!E81</f>
        <v>240</v>
      </c>
      <c r="E81" s="627">
        <f>Gebäude!F81</f>
        <v>1200</v>
      </c>
      <c r="F81" s="627">
        <f>Gebäude!G81</f>
        <v>0</v>
      </c>
      <c r="G81" s="627">
        <f>Gebäude!H81</f>
        <v>0</v>
      </c>
      <c r="H81" s="627">
        <f>IF(I81&gt;0,INDEX(data_item!$A$1:$A$994,MATCH(Gebäude!J81,data_item!$B$1:$B$994,0),1),0)</f>
        <v>0</v>
      </c>
      <c r="I81" s="627">
        <f>Gebäude!I81</f>
        <v>0</v>
      </c>
      <c r="J81" s="627">
        <f>IF(K81&gt;0,INDEX(data_item!$A$1:$A$994,MATCH(Gebäude!L81,data_item!$B$1:$B$994,0),1),0)</f>
        <v>212</v>
      </c>
      <c r="K81" s="627">
        <f>Gebäude!K81</f>
        <v>4</v>
      </c>
      <c r="L81" s="627">
        <f>IF(M81&gt;0,INDEX(data_item!$A$1:$A$994,MATCH(Gebäude!N81,data_item!$B$1:$B$994,0),1),0)</f>
        <v>213</v>
      </c>
      <c r="M81" s="627">
        <f>Gebäude!M81</f>
        <v>1</v>
      </c>
      <c r="N81" s="627">
        <f>IF(O81&gt;0,INDEX(data_item!$A$1:$A$994,MATCH(Gebäude!P81,data_item!$B$1:$B$994,0),1),0)</f>
        <v>214</v>
      </c>
      <c r="O81" s="627">
        <f>Gebäude!O81</f>
        <v>4</v>
      </c>
      <c r="P81" s="627">
        <f>Gebäude!Q81</f>
        <v>50</v>
      </c>
    </row>
    <row r="82" spans="1:16" x14ac:dyDescent="0.2">
      <c r="A82" s="627">
        <f>Gebäude!A82</f>
        <v>353</v>
      </c>
      <c r="B82" s="627" t="str">
        <f>Gebäude!B82</f>
        <v>Bauhof III</v>
      </c>
      <c r="C82" s="627">
        <f>Gebäude!D82</f>
        <v>5</v>
      </c>
      <c r="D82" s="627">
        <f>Gebäude!E82</f>
        <v>360</v>
      </c>
      <c r="E82" s="627">
        <f>Gebäude!F82</f>
        <v>1600</v>
      </c>
      <c r="F82" s="627">
        <f>Gebäude!G82</f>
        <v>0</v>
      </c>
      <c r="G82" s="627">
        <f>Gebäude!H82</f>
        <v>0</v>
      </c>
      <c r="H82" s="627">
        <f>IF(I82&gt;0,INDEX(data_item!$A$1:$A$994,MATCH(Gebäude!J82,data_item!$B$1:$B$994,0),1),0)</f>
        <v>0</v>
      </c>
      <c r="I82" s="627">
        <f>Gebäude!I82</f>
        <v>0</v>
      </c>
      <c r="J82" s="627">
        <f>IF(K82&gt;0,INDEX(data_item!$A$1:$A$994,MATCH(Gebäude!L82,data_item!$B$1:$B$994,0),1),0)</f>
        <v>222</v>
      </c>
      <c r="K82" s="627">
        <f>Gebäude!K82</f>
        <v>4</v>
      </c>
      <c r="L82" s="627">
        <f>IF(M82&gt;0,INDEX(data_item!$A$1:$A$994,MATCH(Gebäude!N82,data_item!$B$1:$B$994,0),1),0)</f>
        <v>223</v>
      </c>
      <c r="M82" s="627">
        <f>Gebäude!M82</f>
        <v>1</v>
      </c>
      <c r="N82" s="627">
        <f>IF(O82&gt;0,INDEX(data_item!$A$1:$A$994,MATCH(Gebäude!P82,data_item!$B$1:$B$994,0),1),0)</f>
        <v>224</v>
      </c>
      <c r="O82" s="627">
        <f>Gebäude!O82</f>
        <v>4</v>
      </c>
      <c r="P82" s="627">
        <f>Gebäude!Q82</f>
        <v>100</v>
      </c>
    </row>
    <row r="83" spans="1:16" x14ac:dyDescent="0.2">
      <c r="A83" s="627">
        <f>Gebäude!A83</f>
        <v>354</v>
      </c>
      <c r="B83" s="627" t="str">
        <f>Gebäude!B83</f>
        <v>Bauhof IV</v>
      </c>
      <c r="C83" s="627">
        <f>Gebäude!D83</f>
        <v>6</v>
      </c>
      <c r="D83" s="627">
        <f>Gebäude!E83</f>
        <v>480</v>
      </c>
      <c r="E83" s="627">
        <f>Gebäude!F83</f>
        <v>2000</v>
      </c>
      <c r="F83" s="627">
        <f>Gebäude!G83</f>
        <v>0</v>
      </c>
      <c r="G83" s="627">
        <f>Gebäude!H83</f>
        <v>0</v>
      </c>
      <c r="H83" s="627">
        <f>IF(I83&gt;0,INDEX(data_item!$A$1:$A$994,MATCH(Gebäude!J83,data_item!$B$1:$B$994,0),1),0)</f>
        <v>0</v>
      </c>
      <c r="I83" s="627">
        <f>Gebäude!I83</f>
        <v>0</v>
      </c>
      <c r="J83" s="627">
        <f>IF(K83&gt;0,INDEX(data_item!$A$1:$A$994,MATCH(Gebäude!L83,data_item!$B$1:$B$994,0),1),0)</f>
        <v>232</v>
      </c>
      <c r="K83" s="627">
        <f>Gebäude!K83</f>
        <v>4</v>
      </c>
      <c r="L83" s="627">
        <f>IF(M83&gt;0,INDEX(data_item!$A$1:$A$994,MATCH(Gebäude!N83,data_item!$B$1:$B$994,0),1),0)</f>
        <v>233</v>
      </c>
      <c r="M83" s="627">
        <f>Gebäude!M83</f>
        <v>1</v>
      </c>
      <c r="N83" s="627">
        <f>IF(O83&gt;0,INDEX(data_item!$A$1:$A$994,MATCH(Gebäude!P83,data_item!$B$1:$B$994,0),1),0)</f>
        <v>234</v>
      </c>
      <c r="O83" s="627">
        <f>Gebäude!O83</f>
        <v>4</v>
      </c>
      <c r="P83" s="627">
        <f>Gebäude!Q83</f>
        <v>200</v>
      </c>
    </row>
    <row r="84" spans="1:16" x14ac:dyDescent="0.2">
      <c r="A84" s="627">
        <f>Gebäude!A84</f>
        <v>355</v>
      </c>
      <c r="B84" s="627" t="str">
        <f>Gebäude!B84</f>
        <v>Bauhof V</v>
      </c>
      <c r="C84" s="627">
        <f>Gebäude!D84</f>
        <v>6</v>
      </c>
      <c r="D84" s="627">
        <f>Gebäude!E84</f>
        <v>600</v>
      </c>
      <c r="E84" s="627">
        <f>Gebäude!F84</f>
        <v>2400</v>
      </c>
      <c r="F84" s="627">
        <f>Gebäude!G84</f>
        <v>0</v>
      </c>
      <c r="G84" s="627">
        <f>Gebäude!H84</f>
        <v>0</v>
      </c>
      <c r="H84" s="627">
        <f>IF(I84&gt;0,INDEX(data_item!$A$1:$A$994,MATCH(Gebäude!J84,data_item!$B$1:$B$994,0),1),0)</f>
        <v>0</v>
      </c>
      <c r="I84" s="627">
        <f>Gebäude!I84</f>
        <v>0</v>
      </c>
      <c r="J84" s="627">
        <f>IF(K84&gt;0,INDEX(data_item!$A$1:$A$994,MATCH(Gebäude!L84,data_item!$B$1:$B$994,0),1),0)</f>
        <v>242</v>
      </c>
      <c r="K84" s="627">
        <f>Gebäude!K84</f>
        <v>4</v>
      </c>
      <c r="L84" s="627">
        <f>IF(M84&gt;0,INDEX(data_item!$A$1:$A$994,MATCH(Gebäude!N84,data_item!$B$1:$B$994,0),1),0)</f>
        <v>243</v>
      </c>
      <c r="M84" s="627">
        <f>Gebäude!M84</f>
        <v>1</v>
      </c>
      <c r="N84" s="627">
        <f>IF(O84&gt;0,INDEX(data_item!$A$1:$A$994,MATCH(Gebäude!P84,data_item!$B$1:$B$994,0),1),0)</f>
        <v>244</v>
      </c>
      <c r="O84" s="627">
        <f>Gebäude!O84</f>
        <v>4</v>
      </c>
      <c r="P84" s="627">
        <f>Gebäude!Q84</f>
        <v>400</v>
      </c>
    </row>
    <row r="85" spans="1:16" x14ac:dyDescent="0.2">
      <c r="A85" s="627">
        <f>Gebäude!A85</f>
        <v>0</v>
      </c>
      <c r="B85" s="627">
        <f>Gebäude!B85</f>
        <v>0</v>
      </c>
      <c r="C85" s="627">
        <f>Gebäude!D85</f>
        <v>0</v>
      </c>
      <c r="D85" s="627">
        <f>Gebäude!E85</f>
        <v>0</v>
      </c>
      <c r="E85" s="627">
        <f>Gebäude!F85</f>
        <v>0</v>
      </c>
      <c r="F85" s="627">
        <f>Gebäude!G85</f>
        <v>0</v>
      </c>
      <c r="G85" s="627">
        <f>Gebäude!H85</f>
        <v>0</v>
      </c>
      <c r="H85" s="627">
        <f>IF(I85&gt;0,INDEX(data_item!$A$1:$A$994,MATCH(Gebäude!J85,data_item!$B$1:$B$994,0),1),0)</f>
        <v>0</v>
      </c>
      <c r="I85" s="627">
        <f>Gebäude!I85</f>
        <v>0</v>
      </c>
      <c r="J85" s="627">
        <f>IF(K85&gt;0,INDEX(data_item!$A$1:$A$994,MATCH(Gebäude!L85,data_item!$B$1:$B$994,0),1),0)</f>
        <v>0</v>
      </c>
      <c r="K85" s="627">
        <f>Gebäude!K85</f>
        <v>0</v>
      </c>
      <c r="L85" s="627">
        <f>IF(M85&gt;0,INDEX(data_item!$A$1:$A$994,MATCH(Gebäude!N85,data_item!$B$1:$B$994,0),1),0)</f>
        <v>0</v>
      </c>
      <c r="M85" s="627">
        <f>Gebäude!M85</f>
        <v>0</v>
      </c>
      <c r="N85" s="627">
        <f>IF(O85&gt;0,INDEX(data_item!$A$1:$A$994,MATCH(Gebäude!P85,data_item!$B$1:$B$994,0),1),0)</f>
        <v>0</v>
      </c>
      <c r="O85" s="627">
        <f>Gebäude!O85</f>
        <v>0</v>
      </c>
      <c r="P85" s="627">
        <f>Gebäude!Q85</f>
        <v>0</v>
      </c>
    </row>
    <row r="86" spans="1:16" x14ac:dyDescent="0.2">
      <c r="A86" s="627">
        <f>Gebäude!A86</f>
        <v>401</v>
      </c>
      <c r="B86" s="627" t="str">
        <f>Gebäude!B86</f>
        <v>Wachhaus I</v>
      </c>
      <c r="C86" s="627">
        <f>Gebäude!D86</f>
        <v>0</v>
      </c>
      <c r="D86" s="627">
        <f>Gebäude!E86</f>
        <v>60</v>
      </c>
      <c r="E86" s="627">
        <f>Gebäude!F86</f>
        <v>400</v>
      </c>
      <c r="F86" s="627">
        <f>Gebäude!G86</f>
        <v>0</v>
      </c>
      <c r="G86" s="627">
        <f>Gebäude!H86</f>
        <v>0</v>
      </c>
      <c r="H86" s="627">
        <f>IF(I86&gt;0,INDEX(data_item!$A$1:$A$994,MATCH(Gebäude!J86,data_item!$B$1:$B$994,0),1),0)</f>
        <v>201</v>
      </c>
      <c r="I86" s="627">
        <f>Gebäude!I86</f>
        <v>1</v>
      </c>
      <c r="J86" s="627">
        <f>IF(K86&gt;0,INDEX(data_item!$A$1:$A$994,MATCH(Gebäude!L86,data_item!$B$1:$B$994,0),1),0)</f>
        <v>202</v>
      </c>
      <c r="K86" s="627">
        <f>Gebäude!K86</f>
        <v>1</v>
      </c>
      <c r="L86" s="627">
        <f>IF(M86&gt;0,INDEX(data_item!$A$1:$A$994,MATCH(Gebäude!N86,data_item!$B$1:$B$994,0),1),0)</f>
        <v>203</v>
      </c>
      <c r="M86" s="627">
        <f>Gebäude!M86</f>
        <v>1</v>
      </c>
      <c r="N86" s="627">
        <f>IF(O86&gt;0,INDEX(data_item!$A$1:$A$994,MATCH(Gebäude!P86,data_item!$B$1:$B$994,0),1),0)</f>
        <v>0</v>
      </c>
      <c r="O86" s="627">
        <f>Gebäude!O86</f>
        <v>0</v>
      </c>
      <c r="P86" s="627">
        <f>Gebäude!Q86</f>
        <v>10</v>
      </c>
    </row>
    <row r="87" spans="1:16" x14ac:dyDescent="0.2">
      <c r="A87" s="627">
        <f>Gebäude!A87</f>
        <v>402</v>
      </c>
      <c r="B87" s="627" t="str">
        <f>Gebäude!B87</f>
        <v>Wachhaus II</v>
      </c>
      <c r="C87" s="627">
        <f>Gebäude!D87</f>
        <v>0</v>
      </c>
      <c r="D87" s="627">
        <f>Gebäude!E87</f>
        <v>120</v>
      </c>
      <c r="E87" s="627">
        <f>Gebäude!F87</f>
        <v>600</v>
      </c>
      <c r="F87" s="627">
        <f>Gebäude!G87</f>
        <v>401</v>
      </c>
      <c r="G87" s="627">
        <f>Gebäude!H87</f>
        <v>0</v>
      </c>
      <c r="H87" s="627">
        <f>IF(I87&gt;0,INDEX(data_item!$A$1:$A$994,MATCH(Gebäude!J87,data_item!$B$1:$B$994,0),1),0)</f>
        <v>211</v>
      </c>
      <c r="I87" s="627">
        <f>Gebäude!I87</f>
        <v>1</v>
      </c>
      <c r="J87" s="627">
        <f>IF(K87&gt;0,INDEX(data_item!$A$1:$A$994,MATCH(Gebäude!L87,data_item!$B$1:$B$994,0),1),0)</f>
        <v>212</v>
      </c>
      <c r="K87" s="627">
        <f>Gebäude!K87</f>
        <v>1</v>
      </c>
      <c r="L87" s="627">
        <f>IF(M87&gt;0,INDEX(data_item!$A$1:$A$994,MATCH(Gebäude!N87,data_item!$B$1:$B$994,0),1),0)</f>
        <v>213</v>
      </c>
      <c r="M87" s="627">
        <f>Gebäude!M87</f>
        <v>1</v>
      </c>
      <c r="N87" s="627">
        <f>IF(O87&gt;0,INDEX(data_item!$A$1:$A$994,MATCH(Gebäude!P87,data_item!$B$1:$B$994,0),1),0)</f>
        <v>0</v>
      </c>
      <c r="O87" s="627">
        <f>Gebäude!O87</f>
        <v>0</v>
      </c>
      <c r="P87" s="627">
        <f>Gebäude!Q87</f>
        <v>20</v>
      </c>
    </row>
    <row r="88" spans="1:16" x14ac:dyDescent="0.2">
      <c r="A88" s="627">
        <f>Gebäude!A88</f>
        <v>403</v>
      </c>
      <c r="B88" s="627" t="str">
        <f>Gebäude!B88</f>
        <v>Wachhaus III</v>
      </c>
      <c r="C88" s="627">
        <f>Gebäude!D88</f>
        <v>0</v>
      </c>
      <c r="D88" s="627">
        <f>Gebäude!E88</f>
        <v>180</v>
      </c>
      <c r="E88" s="627">
        <f>Gebäude!F88</f>
        <v>800</v>
      </c>
      <c r="F88" s="627">
        <f>Gebäude!G88</f>
        <v>402</v>
      </c>
      <c r="G88" s="627">
        <f>Gebäude!H88</f>
        <v>1</v>
      </c>
      <c r="H88" s="627">
        <f>IF(I88&gt;0,INDEX(data_item!$A$1:$A$994,MATCH(Gebäude!J88,data_item!$B$1:$B$994,0),1),0)</f>
        <v>221</v>
      </c>
      <c r="I88" s="627">
        <f>Gebäude!I88</f>
        <v>1</v>
      </c>
      <c r="J88" s="627">
        <f>IF(K88&gt;0,INDEX(data_item!$A$1:$A$994,MATCH(Gebäude!L88,data_item!$B$1:$B$994,0),1),0)</f>
        <v>222</v>
      </c>
      <c r="K88" s="627">
        <f>Gebäude!K88</f>
        <v>1</v>
      </c>
      <c r="L88" s="627">
        <f>IF(M88&gt;0,INDEX(data_item!$A$1:$A$994,MATCH(Gebäude!N88,data_item!$B$1:$B$994,0),1),0)</f>
        <v>223</v>
      </c>
      <c r="M88" s="627">
        <f>Gebäude!M88</f>
        <v>1</v>
      </c>
      <c r="N88" s="627">
        <f>IF(O88&gt;0,INDEX(data_item!$A$1:$A$994,MATCH(Gebäude!P88,data_item!$B$1:$B$994,0),1),0)</f>
        <v>0</v>
      </c>
      <c r="O88" s="627">
        <f>Gebäude!O88</f>
        <v>0</v>
      </c>
      <c r="P88" s="627">
        <f>Gebäude!Q88</f>
        <v>40</v>
      </c>
    </row>
    <row r="89" spans="1:16" x14ac:dyDescent="0.2">
      <c r="A89" s="627">
        <f>Gebäude!A89</f>
        <v>404</v>
      </c>
      <c r="B89" s="627" t="str">
        <f>Gebäude!B89</f>
        <v>Wachhaus IV</v>
      </c>
      <c r="C89" s="627">
        <f>Gebäude!D89</f>
        <v>0</v>
      </c>
      <c r="D89" s="627">
        <f>Gebäude!E89</f>
        <v>240</v>
      </c>
      <c r="E89" s="627">
        <f>Gebäude!F89</f>
        <v>1000</v>
      </c>
      <c r="F89" s="627">
        <f>Gebäude!G89</f>
        <v>403</v>
      </c>
      <c r="G89" s="627">
        <f>Gebäude!H89</f>
        <v>1</v>
      </c>
      <c r="H89" s="627">
        <f>IF(I89&gt;0,INDEX(data_item!$A$1:$A$994,MATCH(Gebäude!J89,data_item!$B$1:$B$994,0),1),0)</f>
        <v>231</v>
      </c>
      <c r="I89" s="627">
        <f>Gebäude!I89</f>
        <v>1</v>
      </c>
      <c r="J89" s="627">
        <f>IF(K89&gt;0,INDEX(data_item!$A$1:$A$994,MATCH(Gebäude!L89,data_item!$B$1:$B$994,0),1),0)</f>
        <v>232</v>
      </c>
      <c r="K89" s="627">
        <f>Gebäude!K89</f>
        <v>1</v>
      </c>
      <c r="L89" s="627">
        <f>IF(M89&gt;0,INDEX(data_item!$A$1:$A$994,MATCH(Gebäude!N89,data_item!$B$1:$B$994,0),1),0)</f>
        <v>233</v>
      </c>
      <c r="M89" s="627">
        <f>Gebäude!M89</f>
        <v>1</v>
      </c>
      <c r="N89" s="627">
        <f>IF(O89&gt;0,INDEX(data_item!$A$1:$A$994,MATCH(Gebäude!P89,data_item!$B$1:$B$994,0),1),0)</f>
        <v>0</v>
      </c>
      <c r="O89" s="627">
        <f>Gebäude!O89</f>
        <v>0</v>
      </c>
      <c r="P89" s="627">
        <f>Gebäude!Q89</f>
        <v>80</v>
      </c>
    </row>
    <row r="90" spans="1:16" x14ac:dyDescent="0.2">
      <c r="A90" s="627">
        <f>Gebäude!A90</f>
        <v>405</v>
      </c>
      <c r="B90" s="627" t="str">
        <f>Gebäude!B90</f>
        <v>Wachhaus V</v>
      </c>
      <c r="C90" s="627">
        <f>Gebäude!D90</f>
        <v>0</v>
      </c>
      <c r="D90" s="627">
        <f>Gebäude!E90</f>
        <v>300</v>
      </c>
      <c r="E90" s="627">
        <f>Gebäude!F90</f>
        <v>1200</v>
      </c>
      <c r="F90" s="627">
        <f>Gebäude!G90</f>
        <v>404</v>
      </c>
      <c r="G90" s="627">
        <f>Gebäude!H90</f>
        <v>1</v>
      </c>
      <c r="H90" s="627">
        <f>IF(I90&gt;0,INDEX(data_item!$A$1:$A$994,MATCH(Gebäude!J90,data_item!$B$1:$B$994,0),1),0)</f>
        <v>241</v>
      </c>
      <c r="I90" s="627">
        <f>Gebäude!I90</f>
        <v>1</v>
      </c>
      <c r="J90" s="627">
        <f>IF(K90&gt;0,INDEX(data_item!$A$1:$A$994,MATCH(Gebäude!L90,data_item!$B$1:$B$994,0),1),0)</f>
        <v>242</v>
      </c>
      <c r="K90" s="627">
        <f>Gebäude!K90</f>
        <v>1</v>
      </c>
      <c r="L90" s="627">
        <f>IF(M90&gt;0,INDEX(data_item!$A$1:$A$994,MATCH(Gebäude!N90,data_item!$B$1:$B$994,0),1),0)</f>
        <v>243</v>
      </c>
      <c r="M90" s="627">
        <f>Gebäude!M90</f>
        <v>1</v>
      </c>
      <c r="N90" s="627">
        <f>IF(O90&gt;0,INDEX(data_item!$A$1:$A$994,MATCH(Gebäude!P90,data_item!$B$1:$B$994,0),1),0)</f>
        <v>0</v>
      </c>
      <c r="O90" s="627">
        <f>Gebäude!O90</f>
        <v>0</v>
      </c>
      <c r="P90" s="627">
        <f>Gebäude!Q90</f>
        <v>160</v>
      </c>
    </row>
    <row r="91" spans="1:16" x14ac:dyDescent="0.2">
      <c r="A91" s="627">
        <f>Gebäude!A91</f>
        <v>0</v>
      </c>
      <c r="B91" s="627">
        <f>Gebäude!B91</f>
        <v>0</v>
      </c>
      <c r="C91" s="627">
        <f>Gebäude!D91</f>
        <v>0</v>
      </c>
      <c r="D91" s="627">
        <f>Gebäude!E91</f>
        <v>0</v>
      </c>
      <c r="E91" s="627">
        <f>Gebäude!F91</f>
        <v>0</v>
      </c>
      <c r="F91" s="627">
        <f>Gebäude!G91</f>
        <v>0</v>
      </c>
      <c r="G91" s="627">
        <f>Gebäude!H91</f>
        <v>0</v>
      </c>
      <c r="H91" s="627">
        <f>IF(I91&gt;0,INDEX(data_item!$A$1:$A$994,MATCH(Gebäude!J91,data_item!$B$1:$B$994,0),1),0)</f>
        <v>0</v>
      </c>
      <c r="I91" s="627">
        <f>Gebäude!I91</f>
        <v>0</v>
      </c>
      <c r="J91" s="627">
        <f>IF(K91&gt;0,INDEX(data_item!$A$1:$A$994,MATCH(Gebäude!L91,data_item!$B$1:$B$994,0),1),0)</f>
        <v>0</v>
      </c>
      <c r="K91" s="627">
        <f>Gebäude!K91</f>
        <v>0</v>
      </c>
      <c r="L91" s="627">
        <f>IF(M91&gt;0,INDEX(data_item!$A$1:$A$994,MATCH(Gebäude!N91,data_item!$B$1:$B$994,0),1),0)</f>
        <v>0</v>
      </c>
      <c r="M91" s="627">
        <f>Gebäude!M91</f>
        <v>0</v>
      </c>
      <c r="N91" s="627">
        <f>IF(O91&gt;0,INDEX(data_item!$A$1:$A$994,MATCH(Gebäude!P91,data_item!$B$1:$B$994,0),1),0)</f>
        <v>0</v>
      </c>
      <c r="O91" s="627">
        <f>Gebäude!O91</f>
        <v>0</v>
      </c>
      <c r="P91" s="627">
        <f>Gebäude!Q91</f>
        <v>0</v>
      </c>
    </row>
    <row r="92" spans="1:16" x14ac:dyDescent="0.2">
      <c r="A92" s="627">
        <f>Gebäude!A92</f>
        <v>411</v>
      </c>
      <c r="B92" s="627" t="str">
        <f>Gebäude!B92</f>
        <v>Taverne I</v>
      </c>
      <c r="C92" s="627">
        <f>Gebäude!D92</f>
        <v>0</v>
      </c>
      <c r="D92" s="627">
        <f>Gebäude!E92</f>
        <v>100</v>
      </c>
      <c r="E92" s="627">
        <f>Gebäude!F92</f>
        <v>1000</v>
      </c>
      <c r="F92" s="627">
        <f>Gebäude!G92</f>
        <v>0</v>
      </c>
      <c r="G92" s="627">
        <f>Gebäude!H92</f>
        <v>0</v>
      </c>
      <c r="H92" s="627">
        <f>IF(I92&gt;0,INDEX(data_item!$A$1:$A$994,MATCH(Gebäude!J92,data_item!$B$1:$B$994,0),1),0)</f>
        <v>201</v>
      </c>
      <c r="I92" s="627">
        <f>Gebäude!I92</f>
        <v>4</v>
      </c>
      <c r="J92" s="627">
        <f>IF(K92&gt;0,INDEX(data_item!$A$1:$A$994,MATCH(Gebäude!L92,data_item!$B$1:$B$994,0),1),0)</f>
        <v>202</v>
      </c>
      <c r="K92" s="627">
        <f>Gebäude!K92</f>
        <v>2</v>
      </c>
      <c r="L92" s="627">
        <f>IF(M92&gt;0,INDEX(data_item!$A$1:$A$994,MATCH(Gebäude!N92,data_item!$B$1:$B$994,0),1),0)</f>
        <v>203</v>
      </c>
      <c r="M92" s="627">
        <f>Gebäude!M92</f>
        <v>2</v>
      </c>
      <c r="N92" s="627">
        <f>IF(O92&gt;0,INDEX(data_item!$A$1:$A$994,MATCH(Gebäude!P92,data_item!$B$1:$B$994,0),1),0)</f>
        <v>0</v>
      </c>
      <c r="O92" s="627">
        <f>Gebäude!O92</f>
        <v>0</v>
      </c>
      <c r="P92" s="627">
        <f>Gebäude!Q92</f>
        <v>25</v>
      </c>
    </row>
    <row r="93" spans="1:16" x14ac:dyDescent="0.2">
      <c r="A93" s="627">
        <f>Gebäude!A93</f>
        <v>412</v>
      </c>
      <c r="B93" s="627" t="str">
        <f>Gebäude!B93</f>
        <v>Taverne II</v>
      </c>
      <c r="C93" s="627">
        <f>Gebäude!D93</f>
        <v>0</v>
      </c>
      <c r="D93" s="627">
        <f>Gebäude!E93</f>
        <v>250</v>
      </c>
      <c r="E93" s="627">
        <f>Gebäude!F93</f>
        <v>1500</v>
      </c>
      <c r="F93" s="627">
        <f>Gebäude!G93</f>
        <v>411</v>
      </c>
      <c r="G93" s="627">
        <f>Gebäude!H93</f>
        <v>0</v>
      </c>
      <c r="H93" s="627">
        <f>IF(I93&gt;0,INDEX(data_item!$A$1:$A$994,MATCH(Gebäude!J93,data_item!$B$1:$B$994,0),1),0)</f>
        <v>211</v>
      </c>
      <c r="I93" s="627">
        <f>Gebäude!I93</f>
        <v>4</v>
      </c>
      <c r="J93" s="627">
        <f>IF(K93&gt;0,INDEX(data_item!$A$1:$A$994,MATCH(Gebäude!L93,data_item!$B$1:$B$994,0),1),0)</f>
        <v>212</v>
      </c>
      <c r="K93" s="627">
        <f>Gebäude!K93</f>
        <v>2</v>
      </c>
      <c r="L93" s="627">
        <f>IF(M93&gt;0,INDEX(data_item!$A$1:$A$994,MATCH(Gebäude!N93,data_item!$B$1:$B$994,0),1),0)</f>
        <v>213</v>
      </c>
      <c r="M93" s="627">
        <f>Gebäude!M93</f>
        <v>2</v>
      </c>
      <c r="N93" s="627">
        <f>IF(O93&gt;0,INDEX(data_item!$A$1:$A$994,MATCH(Gebäude!P93,data_item!$B$1:$B$994,0),1),0)</f>
        <v>0</v>
      </c>
      <c r="O93" s="627">
        <f>Gebäude!O93</f>
        <v>0</v>
      </c>
      <c r="P93" s="627">
        <f>Gebäude!Q93</f>
        <v>50</v>
      </c>
    </row>
    <row r="94" spans="1:16" x14ac:dyDescent="0.2">
      <c r="A94" s="627">
        <f>Gebäude!A94</f>
        <v>413</v>
      </c>
      <c r="B94" s="627" t="str">
        <f>Gebäude!B94</f>
        <v>Taverne III</v>
      </c>
      <c r="C94" s="627">
        <f>Gebäude!D94</f>
        <v>0</v>
      </c>
      <c r="D94" s="627">
        <f>Gebäude!E94</f>
        <v>500</v>
      </c>
      <c r="E94" s="627">
        <f>Gebäude!F94</f>
        <v>2000</v>
      </c>
      <c r="F94" s="627">
        <f>Gebäude!G94</f>
        <v>412</v>
      </c>
      <c r="G94" s="627">
        <f>Gebäude!H94</f>
        <v>1</v>
      </c>
      <c r="H94" s="627">
        <f>IF(I94&gt;0,INDEX(data_item!$A$1:$A$994,MATCH(Gebäude!J94,data_item!$B$1:$B$994,0),1),0)</f>
        <v>221</v>
      </c>
      <c r="I94" s="627">
        <f>Gebäude!I94</f>
        <v>4</v>
      </c>
      <c r="J94" s="627">
        <f>IF(K94&gt;0,INDEX(data_item!$A$1:$A$994,MATCH(Gebäude!L94,data_item!$B$1:$B$994,0),1),0)</f>
        <v>222</v>
      </c>
      <c r="K94" s="627">
        <f>Gebäude!K94</f>
        <v>2</v>
      </c>
      <c r="L94" s="627">
        <f>IF(M94&gt;0,INDEX(data_item!$A$1:$A$994,MATCH(Gebäude!N94,data_item!$B$1:$B$994,0),1),0)</f>
        <v>223</v>
      </c>
      <c r="M94" s="627">
        <f>Gebäude!M94</f>
        <v>2</v>
      </c>
      <c r="N94" s="627">
        <f>IF(O94&gt;0,INDEX(data_item!$A$1:$A$994,MATCH(Gebäude!P94,data_item!$B$1:$B$994,0),1),0)</f>
        <v>0</v>
      </c>
      <c r="O94" s="627">
        <f>Gebäude!O94</f>
        <v>0</v>
      </c>
      <c r="P94" s="627">
        <f>Gebäude!Q94</f>
        <v>100</v>
      </c>
    </row>
    <row r="95" spans="1:16" x14ac:dyDescent="0.2">
      <c r="A95" s="627">
        <f>Gebäude!A95</f>
        <v>414</v>
      </c>
      <c r="B95" s="627" t="str">
        <f>Gebäude!B95</f>
        <v>Taverne IV</v>
      </c>
      <c r="C95" s="627">
        <f>Gebäude!D95</f>
        <v>0</v>
      </c>
      <c r="D95" s="627">
        <f>Gebäude!E95</f>
        <v>800</v>
      </c>
      <c r="E95" s="627">
        <f>Gebäude!F95</f>
        <v>2500</v>
      </c>
      <c r="F95" s="627">
        <f>Gebäude!G95</f>
        <v>413</v>
      </c>
      <c r="G95" s="627">
        <f>Gebäude!H95</f>
        <v>1</v>
      </c>
      <c r="H95" s="627">
        <f>IF(I95&gt;0,INDEX(data_item!$A$1:$A$994,MATCH(Gebäude!J95,data_item!$B$1:$B$994,0),1),0)</f>
        <v>231</v>
      </c>
      <c r="I95" s="627">
        <f>Gebäude!I95</f>
        <v>4</v>
      </c>
      <c r="J95" s="627">
        <f>IF(K95&gt;0,INDEX(data_item!$A$1:$A$994,MATCH(Gebäude!L95,data_item!$B$1:$B$994,0),1),0)</f>
        <v>232</v>
      </c>
      <c r="K95" s="627">
        <f>Gebäude!K95</f>
        <v>2</v>
      </c>
      <c r="L95" s="627">
        <f>IF(M95&gt;0,INDEX(data_item!$A$1:$A$994,MATCH(Gebäude!N95,data_item!$B$1:$B$994,0),1),0)</f>
        <v>233</v>
      </c>
      <c r="M95" s="627">
        <f>Gebäude!M95</f>
        <v>2</v>
      </c>
      <c r="N95" s="627">
        <f>IF(O95&gt;0,INDEX(data_item!$A$1:$A$994,MATCH(Gebäude!P95,data_item!$B$1:$B$994,0),1),0)</f>
        <v>0</v>
      </c>
      <c r="O95" s="627">
        <f>Gebäude!O95</f>
        <v>0</v>
      </c>
      <c r="P95" s="627">
        <f>Gebäude!Q95</f>
        <v>200</v>
      </c>
    </row>
    <row r="96" spans="1:16" x14ac:dyDescent="0.2">
      <c r="A96" s="627">
        <f>Gebäude!A96</f>
        <v>415</v>
      </c>
      <c r="B96" s="627" t="str">
        <f>Gebäude!B96</f>
        <v>Taverne V</v>
      </c>
      <c r="C96" s="627">
        <f>Gebäude!D96</f>
        <v>0</v>
      </c>
      <c r="D96" s="627">
        <f>Gebäude!E96</f>
        <v>1200</v>
      </c>
      <c r="E96" s="627">
        <f>Gebäude!F96</f>
        <v>3000</v>
      </c>
      <c r="F96" s="627">
        <f>Gebäude!G96</f>
        <v>414</v>
      </c>
      <c r="G96" s="627">
        <f>Gebäude!H96</f>
        <v>1</v>
      </c>
      <c r="H96" s="627">
        <f>IF(I96&gt;0,INDEX(data_item!$A$1:$A$994,MATCH(Gebäude!J96,data_item!$B$1:$B$994,0),1),0)</f>
        <v>241</v>
      </c>
      <c r="I96" s="627">
        <f>Gebäude!I96</f>
        <v>4</v>
      </c>
      <c r="J96" s="627">
        <f>IF(K96&gt;0,INDEX(data_item!$A$1:$A$994,MATCH(Gebäude!L96,data_item!$B$1:$B$994,0),1),0)</f>
        <v>242</v>
      </c>
      <c r="K96" s="627">
        <f>Gebäude!K96</f>
        <v>2</v>
      </c>
      <c r="L96" s="627">
        <f>IF(M96&gt;0,INDEX(data_item!$A$1:$A$994,MATCH(Gebäude!N96,data_item!$B$1:$B$994,0),1),0)</f>
        <v>243</v>
      </c>
      <c r="M96" s="627">
        <f>Gebäude!M96</f>
        <v>2</v>
      </c>
      <c r="N96" s="627">
        <f>IF(O96&gt;0,INDEX(data_item!$A$1:$A$994,MATCH(Gebäude!P96,data_item!$B$1:$B$994,0),1),0)</f>
        <v>0</v>
      </c>
      <c r="O96" s="627">
        <f>Gebäude!O96</f>
        <v>0</v>
      </c>
      <c r="P96" s="627">
        <f>Gebäude!Q96</f>
        <v>400</v>
      </c>
    </row>
    <row r="97" spans="1:16" x14ac:dyDescent="0.2">
      <c r="A97" s="627">
        <f>Gebäude!A97</f>
        <v>0</v>
      </c>
      <c r="B97" s="627">
        <f>Gebäude!B97</f>
        <v>0</v>
      </c>
      <c r="C97" s="627">
        <f>Gebäude!D97</f>
        <v>0</v>
      </c>
      <c r="D97" s="627">
        <f>Gebäude!E97</f>
        <v>0</v>
      </c>
      <c r="E97" s="627">
        <f>Gebäude!F97</f>
        <v>0</v>
      </c>
      <c r="F97" s="627">
        <f>Gebäude!G97</f>
        <v>0</v>
      </c>
      <c r="G97" s="627">
        <f>Gebäude!H97</f>
        <v>0</v>
      </c>
      <c r="H97" s="627">
        <f>IF(I97&gt;0,INDEX(data_item!$A$1:$A$994,MATCH(Gebäude!J97,data_item!$B$1:$B$994,0),1),0)</f>
        <v>0</v>
      </c>
      <c r="I97" s="627">
        <f>Gebäude!I97</f>
        <v>0</v>
      </c>
      <c r="J97" s="627">
        <f>IF(K97&gt;0,INDEX(data_item!$A$1:$A$994,MATCH(Gebäude!L97,data_item!$B$1:$B$994,0),1),0)</f>
        <v>0</v>
      </c>
      <c r="K97" s="627">
        <f>Gebäude!K97</f>
        <v>0</v>
      </c>
      <c r="L97" s="627">
        <f>IF(M97&gt;0,INDEX(data_item!$A$1:$A$994,MATCH(Gebäude!N97,data_item!$B$1:$B$994,0),1),0)</f>
        <v>0</v>
      </c>
      <c r="M97" s="627">
        <f>Gebäude!M97</f>
        <v>0</v>
      </c>
      <c r="N97" s="627">
        <f>IF(O97&gt;0,INDEX(data_item!$A$1:$A$994,MATCH(Gebäude!P97,data_item!$B$1:$B$994,0),1),0)</f>
        <v>0</v>
      </c>
      <c r="O97" s="627">
        <f>Gebäude!O97</f>
        <v>0</v>
      </c>
      <c r="P97" s="627">
        <f>Gebäude!Q97</f>
        <v>0</v>
      </c>
    </row>
    <row r="98" spans="1:16" x14ac:dyDescent="0.2">
      <c r="A98" s="627">
        <f>Gebäude!A98</f>
        <v>421</v>
      </c>
      <c r="B98" s="627" t="str">
        <f>Gebäude!B98</f>
        <v>Akademie I</v>
      </c>
      <c r="C98" s="627">
        <f>Gebäude!D98</f>
        <v>0</v>
      </c>
      <c r="D98" s="627">
        <f>Gebäude!E98</f>
        <v>100</v>
      </c>
      <c r="E98" s="627">
        <f>Gebäude!F98</f>
        <v>800</v>
      </c>
      <c r="F98" s="627">
        <f>Gebäude!G98</f>
        <v>0</v>
      </c>
      <c r="G98" s="627">
        <f>Gebäude!H98</f>
        <v>0</v>
      </c>
      <c r="H98" s="627">
        <f>IF(I98&gt;0,INDEX(data_item!$A$1:$A$994,MATCH(Gebäude!J98,data_item!$B$1:$B$994,0),1),0)</f>
        <v>201</v>
      </c>
      <c r="I98" s="627">
        <f>Gebäude!I98</f>
        <v>4</v>
      </c>
      <c r="J98" s="627">
        <f>IF(K98&gt;0,INDEX(data_item!$A$1:$A$994,MATCH(Gebäude!L98,data_item!$B$1:$B$994,0),1),0)</f>
        <v>202</v>
      </c>
      <c r="K98" s="627">
        <f>Gebäude!K98</f>
        <v>1</v>
      </c>
      <c r="L98" s="627">
        <f>IF(M98&gt;0,INDEX(data_item!$A$1:$A$994,MATCH(Gebäude!N98,data_item!$B$1:$B$994,0),1),0)</f>
        <v>203</v>
      </c>
      <c r="M98" s="627">
        <f>Gebäude!M98</f>
        <v>1</v>
      </c>
      <c r="N98" s="627">
        <f>IF(O98&gt;0,INDEX(data_item!$A$1:$A$994,MATCH(Gebäude!P98,data_item!$B$1:$B$994,0),1),0)</f>
        <v>0</v>
      </c>
      <c r="O98" s="627">
        <f>Gebäude!O98</f>
        <v>0</v>
      </c>
      <c r="P98" s="627">
        <f>Gebäude!Q98</f>
        <v>20</v>
      </c>
    </row>
    <row r="99" spans="1:16" x14ac:dyDescent="0.2">
      <c r="A99" s="627">
        <f>Gebäude!A99</f>
        <v>422</v>
      </c>
      <c r="B99" s="627" t="str">
        <f>Gebäude!B99</f>
        <v>Akademie II</v>
      </c>
      <c r="C99" s="627">
        <f>Gebäude!D99</f>
        <v>0</v>
      </c>
      <c r="D99" s="627">
        <f>Gebäude!E99</f>
        <v>200</v>
      </c>
      <c r="E99" s="627">
        <f>Gebäude!F99</f>
        <v>1200</v>
      </c>
      <c r="F99" s="627">
        <f>Gebäude!G99</f>
        <v>421</v>
      </c>
      <c r="G99" s="627">
        <f>Gebäude!H99</f>
        <v>0</v>
      </c>
      <c r="H99" s="627">
        <f>IF(I99&gt;0,INDEX(data_item!$A$1:$A$994,MATCH(Gebäude!J99,data_item!$B$1:$B$994,0),1),0)</f>
        <v>211</v>
      </c>
      <c r="I99" s="627">
        <f>Gebäude!I99</f>
        <v>4</v>
      </c>
      <c r="J99" s="627">
        <f>IF(K99&gt;0,INDEX(data_item!$A$1:$A$994,MATCH(Gebäude!L99,data_item!$B$1:$B$994,0),1),0)</f>
        <v>212</v>
      </c>
      <c r="K99" s="627">
        <f>Gebäude!K99</f>
        <v>1</v>
      </c>
      <c r="L99" s="627">
        <f>IF(M99&gt;0,INDEX(data_item!$A$1:$A$994,MATCH(Gebäude!N99,data_item!$B$1:$B$994,0),1),0)</f>
        <v>213</v>
      </c>
      <c r="M99" s="627">
        <f>Gebäude!M99</f>
        <v>1</v>
      </c>
      <c r="N99" s="627">
        <f>IF(O99&gt;0,INDEX(data_item!$A$1:$A$994,MATCH(Gebäude!P99,data_item!$B$1:$B$994,0),1),0)</f>
        <v>0</v>
      </c>
      <c r="O99" s="627">
        <f>Gebäude!O99</f>
        <v>0</v>
      </c>
      <c r="P99" s="627">
        <f>Gebäude!Q99</f>
        <v>40</v>
      </c>
    </row>
    <row r="100" spans="1:16" x14ac:dyDescent="0.2">
      <c r="A100" s="627">
        <f>Gebäude!A100</f>
        <v>423</v>
      </c>
      <c r="B100" s="627" t="str">
        <f>Gebäude!B100</f>
        <v>Akademie III</v>
      </c>
      <c r="C100" s="627">
        <f>Gebäude!D100</f>
        <v>0</v>
      </c>
      <c r="D100" s="627">
        <f>Gebäude!E100</f>
        <v>300</v>
      </c>
      <c r="E100" s="627">
        <f>Gebäude!F100</f>
        <v>1600</v>
      </c>
      <c r="F100" s="627">
        <f>Gebäude!G100</f>
        <v>422</v>
      </c>
      <c r="G100" s="627">
        <f>Gebäude!H100</f>
        <v>1</v>
      </c>
      <c r="H100" s="627">
        <f>IF(I100&gt;0,INDEX(data_item!$A$1:$A$994,MATCH(Gebäude!J100,data_item!$B$1:$B$994,0),1),0)</f>
        <v>221</v>
      </c>
      <c r="I100" s="627">
        <f>Gebäude!I100</f>
        <v>4</v>
      </c>
      <c r="J100" s="627">
        <f>IF(K100&gt;0,INDEX(data_item!$A$1:$A$994,MATCH(Gebäude!L100,data_item!$B$1:$B$994,0),1),0)</f>
        <v>222</v>
      </c>
      <c r="K100" s="627">
        <f>Gebäude!K100</f>
        <v>1</v>
      </c>
      <c r="L100" s="627">
        <f>IF(M100&gt;0,INDEX(data_item!$A$1:$A$994,MATCH(Gebäude!N100,data_item!$B$1:$B$994,0),1),0)</f>
        <v>223</v>
      </c>
      <c r="M100" s="627">
        <f>Gebäude!M100</f>
        <v>1</v>
      </c>
      <c r="N100" s="627">
        <f>IF(O100&gt;0,INDEX(data_item!$A$1:$A$994,MATCH(Gebäude!P100,data_item!$B$1:$B$994,0),1),0)</f>
        <v>0</v>
      </c>
      <c r="O100" s="627">
        <f>Gebäude!O100</f>
        <v>0</v>
      </c>
      <c r="P100" s="627">
        <f>Gebäude!Q100</f>
        <v>80</v>
      </c>
    </row>
    <row r="101" spans="1:16" x14ac:dyDescent="0.2">
      <c r="A101" s="627">
        <f>Gebäude!A101</f>
        <v>424</v>
      </c>
      <c r="B101" s="627" t="str">
        <f>Gebäude!B101</f>
        <v>Akademie IV</v>
      </c>
      <c r="C101" s="627">
        <f>Gebäude!D101</f>
        <v>0</v>
      </c>
      <c r="D101" s="627">
        <f>Gebäude!E101</f>
        <v>400</v>
      </c>
      <c r="E101" s="627">
        <f>Gebäude!F101</f>
        <v>2000</v>
      </c>
      <c r="F101" s="627">
        <f>Gebäude!G101</f>
        <v>423</v>
      </c>
      <c r="G101" s="627">
        <f>Gebäude!H101</f>
        <v>1</v>
      </c>
      <c r="H101" s="627">
        <f>IF(I101&gt;0,INDEX(data_item!$A$1:$A$994,MATCH(Gebäude!J101,data_item!$B$1:$B$994,0),1),0)</f>
        <v>231</v>
      </c>
      <c r="I101" s="627">
        <f>Gebäude!I101</f>
        <v>4</v>
      </c>
      <c r="J101" s="627">
        <f>IF(K101&gt;0,INDEX(data_item!$A$1:$A$994,MATCH(Gebäude!L101,data_item!$B$1:$B$994,0),1),0)</f>
        <v>232</v>
      </c>
      <c r="K101" s="627">
        <f>Gebäude!K101</f>
        <v>1</v>
      </c>
      <c r="L101" s="627">
        <f>IF(M101&gt;0,INDEX(data_item!$A$1:$A$994,MATCH(Gebäude!N101,data_item!$B$1:$B$994,0),1),0)</f>
        <v>233</v>
      </c>
      <c r="M101" s="627">
        <f>Gebäude!M101</f>
        <v>1</v>
      </c>
      <c r="N101" s="627">
        <f>IF(O101&gt;0,INDEX(data_item!$A$1:$A$994,MATCH(Gebäude!P101,data_item!$B$1:$B$994,0),1),0)</f>
        <v>0</v>
      </c>
      <c r="O101" s="627">
        <f>Gebäude!O101</f>
        <v>0</v>
      </c>
      <c r="P101" s="627">
        <f>Gebäude!Q101</f>
        <v>160</v>
      </c>
    </row>
    <row r="102" spans="1:16" x14ac:dyDescent="0.2">
      <c r="A102" s="627">
        <f>Gebäude!A102</f>
        <v>425</v>
      </c>
      <c r="B102" s="627" t="str">
        <f>Gebäude!B102</f>
        <v>Akademie V</v>
      </c>
      <c r="C102" s="627">
        <f>Gebäude!D102</f>
        <v>0</v>
      </c>
      <c r="D102" s="627">
        <f>Gebäude!E102</f>
        <v>500</v>
      </c>
      <c r="E102" s="627">
        <f>Gebäude!F102</f>
        <v>2400</v>
      </c>
      <c r="F102" s="627">
        <f>Gebäude!G102</f>
        <v>424</v>
      </c>
      <c r="G102" s="627">
        <f>Gebäude!H102</f>
        <v>1</v>
      </c>
      <c r="H102" s="627">
        <f>IF(I102&gt;0,INDEX(data_item!$A$1:$A$994,MATCH(Gebäude!J102,data_item!$B$1:$B$994,0),1),0)</f>
        <v>241</v>
      </c>
      <c r="I102" s="627">
        <f>Gebäude!I102</f>
        <v>4</v>
      </c>
      <c r="J102" s="627">
        <f>IF(K102&gt;0,INDEX(data_item!$A$1:$A$994,MATCH(Gebäude!L102,data_item!$B$1:$B$994,0),1),0)</f>
        <v>242</v>
      </c>
      <c r="K102" s="627">
        <f>Gebäude!K102</f>
        <v>1</v>
      </c>
      <c r="L102" s="627">
        <f>IF(M102&gt;0,INDEX(data_item!$A$1:$A$994,MATCH(Gebäude!N102,data_item!$B$1:$B$994,0),1),0)</f>
        <v>243</v>
      </c>
      <c r="M102" s="627">
        <f>Gebäude!M102</f>
        <v>1</v>
      </c>
      <c r="N102" s="627">
        <f>IF(O102&gt;0,INDEX(data_item!$A$1:$A$994,MATCH(Gebäude!P102,data_item!$B$1:$B$994,0),1),0)</f>
        <v>0</v>
      </c>
      <c r="O102" s="627">
        <f>Gebäude!O102</f>
        <v>0</v>
      </c>
      <c r="P102" s="627">
        <f>Gebäude!Q102</f>
        <v>320</v>
      </c>
    </row>
    <row r="103" spans="1:16" x14ac:dyDescent="0.2">
      <c r="A103" s="627">
        <f>Gebäude!A103</f>
        <v>0</v>
      </c>
      <c r="B103" s="627">
        <f>Gebäude!B103</f>
        <v>0</v>
      </c>
      <c r="C103" s="627">
        <f>Gebäude!D103</f>
        <v>0</v>
      </c>
      <c r="D103" s="627">
        <f>Gebäude!E103</f>
        <v>0</v>
      </c>
      <c r="E103" s="627">
        <f>Gebäude!F103</f>
        <v>0</v>
      </c>
      <c r="F103" s="627">
        <f>Gebäude!G103</f>
        <v>0</v>
      </c>
      <c r="G103" s="627">
        <f>Gebäude!H103</f>
        <v>0</v>
      </c>
      <c r="H103" s="627">
        <f>IF(I103&gt;0,INDEX(data_item!$A$1:$A$994,MATCH(Gebäude!J103,data_item!$B$1:$B$994,0),1),0)</f>
        <v>0</v>
      </c>
      <c r="I103" s="627">
        <f>Gebäude!I103</f>
        <v>0</v>
      </c>
      <c r="J103" s="627">
        <f>IF(K103&gt;0,INDEX(data_item!$A$1:$A$994,MATCH(Gebäude!L103,data_item!$B$1:$B$994,0),1),0)</f>
        <v>0</v>
      </c>
      <c r="K103" s="627">
        <f>Gebäude!K103</f>
        <v>0</v>
      </c>
      <c r="L103" s="627">
        <f>IF(M103&gt;0,INDEX(data_item!$A$1:$A$994,MATCH(Gebäude!N103,data_item!$B$1:$B$994,0),1),0)</f>
        <v>0</v>
      </c>
      <c r="M103" s="627">
        <f>Gebäude!M103</f>
        <v>0</v>
      </c>
      <c r="N103" s="627">
        <f>IF(O103&gt;0,INDEX(data_item!$A$1:$A$994,MATCH(Gebäude!P103,data_item!$B$1:$B$994,0),1),0)</f>
        <v>0</v>
      </c>
      <c r="O103" s="627">
        <f>Gebäude!O103</f>
        <v>0</v>
      </c>
      <c r="P103" s="627">
        <f>Gebäude!Q103</f>
        <v>0</v>
      </c>
    </row>
    <row r="104" spans="1:16" x14ac:dyDescent="0.2">
      <c r="A104" s="627">
        <f>Gebäude!A104</f>
        <v>431</v>
      </c>
      <c r="B104" s="627" t="str">
        <f>Gebäude!B104</f>
        <v>Auktionshaus I</v>
      </c>
      <c r="C104" s="627">
        <f>Gebäude!D104</f>
        <v>0</v>
      </c>
      <c r="D104" s="627">
        <f>Gebäude!E104</f>
        <v>200</v>
      </c>
      <c r="E104" s="627">
        <f>Gebäude!F104</f>
        <v>800</v>
      </c>
      <c r="F104" s="627">
        <f>Gebäude!G104</f>
        <v>0</v>
      </c>
      <c r="G104" s="627">
        <f>Gebäude!H104</f>
        <v>0</v>
      </c>
      <c r="H104" s="627">
        <f>IF(I104&gt;0,INDEX(data_item!$A$1:$A$994,MATCH(Gebäude!J104,data_item!$B$1:$B$994,0),1),0)</f>
        <v>201</v>
      </c>
      <c r="I104" s="627">
        <f>Gebäude!I104</f>
        <v>6</v>
      </c>
      <c r="J104" s="627">
        <f>IF(K104&gt;0,INDEX(data_item!$A$1:$A$994,MATCH(Gebäude!L104,data_item!$B$1:$B$994,0),1),0)</f>
        <v>202</v>
      </c>
      <c r="K104" s="627">
        <f>Gebäude!K104</f>
        <v>2</v>
      </c>
      <c r="L104" s="627">
        <f>IF(M104&gt;0,INDEX(data_item!$A$1:$A$994,MATCH(Gebäude!N104,data_item!$B$1:$B$994,0),1),0)</f>
        <v>203</v>
      </c>
      <c r="M104" s="627">
        <f>Gebäude!M104</f>
        <v>1</v>
      </c>
      <c r="N104" s="627">
        <f>IF(O104&gt;0,INDEX(data_item!$A$1:$A$994,MATCH(Gebäude!P104,data_item!$B$1:$B$994,0),1),0)</f>
        <v>204</v>
      </c>
      <c r="O104" s="627">
        <f>Gebäude!O104</f>
        <v>1</v>
      </c>
      <c r="P104" s="627">
        <f>Gebäude!Q104</f>
        <v>30</v>
      </c>
    </row>
    <row r="105" spans="1:16" x14ac:dyDescent="0.2">
      <c r="A105" s="627">
        <f>Gebäude!A105</f>
        <v>432</v>
      </c>
      <c r="B105" s="627" t="str">
        <f>Gebäude!B105</f>
        <v>Auktionshaus II</v>
      </c>
      <c r="C105" s="627">
        <f>Gebäude!D105</f>
        <v>0</v>
      </c>
      <c r="D105" s="627">
        <f>Gebäude!E105</f>
        <v>400</v>
      </c>
      <c r="E105" s="627">
        <f>Gebäude!F105</f>
        <v>1200</v>
      </c>
      <c r="F105" s="627">
        <f>Gebäude!G105</f>
        <v>431</v>
      </c>
      <c r="G105" s="627">
        <f>Gebäude!H105</f>
        <v>0</v>
      </c>
      <c r="H105" s="627">
        <f>IF(I105&gt;0,INDEX(data_item!$A$1:$A$994,MATCH(Gebäude!J105,data_item!$B$1:$B$994,0),1),0)</f>
        <v>211</v>
      </c>
      <c r="I105" s="627">
        <f>Gebäude!I105</f>
        <v>6</v>
      </c>
      <c r="J105" s="627">
        <f>IF(K105&gt;0,INDEX(data_item!$A$1:$A$994,MATCH(Gebäude!L105,data_item!$B$1:$B$994,0),1),0)</f>
        <v>212</v>
      </c>
      <c r="K105" s="627">
        <f>Gebäude!K105</f>
        <v>2</v>
      </c>
      <c r="L105" s="627">
        <f>IF(M105&gt;0,INDEX(data_item!$A$1:$A$994,MATCH(Gebäude!N105,data_item!$B$1:$B$994,0),1),0)</f>
        <v>213</v>
      </c>
      <c r="M105" s="627">
        <f>Gebäude!M105</f>
        <v>1</v>
      </c>
      <c r="N105" s="627">
        <f>IF(O105&gt;0,INDEX(data_item!$A$1:$A$994,MATCH(Gebäude!P105,data_item!$B$1:$B$994,0),1),0)</f>
        <v>214</v>
      </c>
      <c r="O105" s="627">
        <f>Gebäude!O105</f>
        <v>1</v>
      </c>
      <c r="P105" s="627">
        <f>Gebäude!Q105</f>
        <v>60</v>
      </c>
    </row>
    <row r="106" spans="1:16" x14ac:dyDescent="0.2">
      <c r="A106" s="627">
        <f>Gebäude!A106</f>
        <v>433</v>
      </c>
      <c r="B106" s="627" t="str">
        <f>Gebäude!B106</f>
        <v>Auktionshaus III</v>
      </c>
      <c r="C106" s="627">
        <f>Gebäude!D106</f>
        <v>0</v>
      </c>
      <c r="D106" s="627">
        <f>Gebäude!E106</f>
        <v>600</v>
      </c>
      <c r="E106" s="627">
        <f>Gebäude!F106</f>
        <v>1600</v>
      </c>
      <c r="F106" s="627">
        <f>Gebäude!G106</f>
        <v>432</v>
      </c>
      <c r="G106" s="627">
        <f>Gebäude!H106</f>
        <v>1</v>
      </c>
      <c r="H106" s="627">
        <f>IF(I106&gt;0,INDEX(data_item!$A$1:$A$994,MATCH(Gebäude!J106,data_item!$B$1:$B$994,0),1),0)</f>
        <v>221</v>
      </c>
      <c r="I106" s="627">
        <f>Gebäude!I106</f>
        <v>6</v>
      </c>
      <c r="J106" s="627">
        <f>IF(K106&gt;0,INDEX(data_item!$A$1:$A$994,MATCH(Gebäude!L106,data_item!$B$1:$B$994,0),1),0)</f>
        <v>222</v>
      </c>
      <c r="K106" s="627">
        <f>Gebäude!K106</f>
        <v>2</v>
      </c>
      <c r="L106" s="627">
        <f>IF(M106&gt;0,INDEX(data_item!$A$1:$A$994,MATCH(Gebäude!N106,data_item!$B$1:$B$994,0),1),0)</f>
        <v>223</v>
      </c>
      <c r="M106" s="627">
        <f>Gebäude!M106</f>
        <v>1</v>
      </c>
      <c r="N106" s="627">
        <f>IF(O106&gt;0,INDEX(data_item!$A$1:$A$994,MATCH(Gebäude!P106,data_item!$B$1:$B$994,0),1),0)</f>
        <v>224</v>
      </c>
      <c r="O106" s="627">
        <f>Gebäude!O106</f>
        <v>1</v>
      </c>
      <c r="P106" s="627">
        <f>Gebäude!Q106</f>
        <v>120</v>
      </c>
    </row>
    <row r="107" spans="1:16" x14ac:dyDescent="0.2">
      <c r="A107" s="627">
        <f>Gebäude!A107</f>
        <v>434</v>
      </c>
      <c r="B107" s="627" t="str">
        <f>Gebäude!B107</f>
        <v>Auktionshaus IV</v>
      </c>
      <c r="C107" s="627">
        <f>Gebäude!D107</f>
        <v>0</v>
      </c>
      <c r="D107" s="627">
        <f>Gebäude!E107</f>
        <v>800</v>
      </c>
      <c r="E107" s="627">
        <f>Gebäude!F107</f>
        <v>2000</v>
      </c>
      <c r="F107" s="627">
        <f>Gebäude!G107</f>
        <v>433</v>
      </c>
      <c r="G107" s="627">
        <f>Gebäude!H107</f>
        <v>1</v>
      </c>
      <c r="H107" s="627">
        <f>IF(I107&gt;0,INDEX(data_item!$A$1:$A$994,MATCH(Gebäude!J107,data_item!$B$1:$B$994,0),1),0)</f>
        <v>231</v>
      </c>
      <c r="I107" s="627">
        <f>Gebäude!I107</f>
        <v>6</v>
      </c>
      <c r="J107" s="627">
        <f>IF(K107&gt;0,INDEX(data_item!$A$1:$A$994,MATCH(Gebäude!L107,data_item!$B$1:$B$994,0),1),0)</f>
        <v>232</v>
      </c>
      <c r="K107" s="627">
        <f>Gebäude!K107</f>
        <v>2</v>
      </c>
      <c r="L107" s="627">
        <f>IF(M107&gt;0,INDEX(data_item!$A$1:$A$994,MATCH(Gebäude!N107,data_item!$B$1:$B$994,0),1),0)</f>
        <v>233</v>
      </c>
      <c r="M107" s="627">
        <f>Gebäude!M107</f>
        <v>1</v>
      </c>
      <c r="N107" s="627">
        <f>IF(O107&gt;0,INDEX(data_item!$A$1:$A$994,MATCH(Gebäude!P107,data_item!$B$1:$B$994,0),1),0)</f>
        <v>234</v>
      </c>
      <c r="O107" s="627">
        <f>Gebäude!O107</f>
        <v>1</v>
      </c>
      <c r="P107" s="627">
        <f>Gebäude!Q107</f>
        <v>240</v>
      </c>
    </row>
    <row r="108" spans="1:16" x14ac:dyDescent="0.2">
      <c r="A108" s="627">
        <f>Gebäude!A108</f>
        <v>435</v>
      </c>
      <c r="B108" s="627" t="str">
        <f>Gebäude!B108</f>
        <v>Auktionshaus V</v>
      </c>
      <c r="C108" s="627">
        <f>Gebäude!D108</f>
        <v>0</v>
      </c>
      <c r="D108" s="627">
        <f>Gebäude!E108</f>
        <v>1000</v>
      </c>
      <c r="E108" s="627">
        <f>Gebäude!F108</f>
        <v>2400</v>
      </c>
      <c r="F108" s="627">
        <f>Gebäude!G108</f>
        <v>434</v>
      </c>
      <c r="G108" s="627">
        <f>Gebäude!H108</f>
        <v>1</v>
      </c>
      <c r="H108" s="627">
        <f>IF(I108&gt;0,INDEX(data_item!$A$1:$A$994,MATCH(Gebäude!J108,data_item!$B$1:$B$994,0),1),0)</f>
        <v>241</v>
      </c>
      <c r="I108" s="627">
        <f>Gebäude!I108</f>
        <v>6</v>
      </c>
      <c r="J108" s="627">
        <f>IF(K108&gt;0,INDEX(data_item!$A$1:$A$994,MATCH(Gebäude!L108,data_item!$B$1:$B$994,0),1),0)</f>
        <v>242</v>
      </c>
      <c r="K108" s="627">
        <f>Gebäude!K108</f>
        <v>2</v>
      </c>
      <c r="L108" s="627">
        <f>IF(M108&gt;0,INDEX(data_item!$A$1:$A$994,MATCH(Gebäude!N108,data_item!$B$1:$B$994,0),1),0)</f>
        <v>243</v>
      </c>
      <c r="M108" s="627">
        <f>Gebäude!M108</f>
        <v>1</v>
      </c>
      <c r="N108" s="627">
        <f>IF(O108&gt;0,INDEX(data_item!$A$1:$A$994,MATCH(Gebäude!P108,data_item!$B$1:$B$994,0),1),0)</f>
        <v>244</v>
      </c>
      <c r="O108" s="627">
        <f>Gebäude!O108</f>
        <v>1</v>
      </c>
      <c r="P108" s="627">
        <f>Gebäude!Q108</f>
        <v>480</v>
      </c>
    </row>
    <row r="109" spans="1:16" x14ac:dyDescent="0.2">
      <c r="A109" s="627">
        <f>Gebäude!A109</f>
        <v>0</v>
      </c>
      <c r="B109" s="627">
        <f>Gebäude!B109</f>
        <v>0</v>
      </c>
      <c r="C109" s="627">
        <f>Gebäude!D109</f>
        <v>0</v>
      </c>
      <c r="D109" s="627">
        <f>Gebäude!E109</f>
        <v>0</v>
      </c>
      <c r="E109" s="627">
        <f>Gebäude!F109</f>
        <v>0</v>
      </c>
      <c r="F109" s="627">
        <f>Gebäude!G109</f>
        <v>0</v>
      </c>
      <c r="G109" s="627">
        <f>Gebäude!H109</f>
        <v>0</v>
      </c>
      <c r="H109" s="627">
        <f>IF(I109&gt;0,INDEX(data_item!$A$1:$A$994,MATCH(Gebäude!J109,data_item!$B$1:$B$994,0),1),0)</f>
        <v>0</v>
      </c>
      <c r="I109" s="627">
        <f>Gebäude!I109</f>
        <v>0</v>
      </c>
      <c r="J109" s="627">
        <f>IF(K109&gt;0,INDEX(data_item!$A$1:$A$994,MATCH(Gebäude!L109,data_item!$B$1:$B$994,0),1),0)</f>
        <v>0</v>
      </c>
      <c r="K109" s="627">
        <f>Gebäude!K109</f>
        <v>0</v>
      </c>
      <c r="L109" s="627">
        <f>IF(M109&gt;0,INDEX(data_item!$A$1:$A$994,MATCH(Gebäude!N109,data_item!$B$1:$B$994,0),1),0)</f>
        <v>0</v>
      </c>
      <c r="M109" s="627">
        <f>Gebäude!M109</f>
        <v>0</v>
      </c>
      <c r="N109" s="627">
        <f>IF(O109&gt;0,INDEX(data_item!$A$1:$A$994,MATCH(Gebäude!P109,data_item!$B$1:$B$994,0),1),0)</f>
        <v>0</v>
      </c>
      <c r="O109" s="627">
        <f>Gebäude!O109</f>
        <v>0</v>
      </c>
      <c r="P109" s="627">
        <f>Gebäude!Q109</f>
        <v>0</v>
      </c>
    </row>
    <row r="110" spans="1:16" x14ac:dyDescent="0.2">
      <c r="A110" s="627">
        <f>Gebäude!A110</f>
        <v>441</v>
      </c>
      <c r="B110" s="627" t="str">
        <f>Gebäude!B110</f>
        <v>Marktplatz I</v>
      </c>
      <c r="C110" s="627">
        <f>Gebäude!D110</f>
        <v>0</v>
      </c>
      <c r="D110" s="627">
        <f>Gebäude!E110</f>
        <v>200</v>
      </c>
      <c r="E110" s="627">
        <f>Gebäude!F110</f>
        <v>600</v>
      </c>
      <c r="F110" s="627">
        <f>Gebäude!G110</f>
        <v>0</v>
      </c>
      <c r="G110" s="627">
        <f>Gebäude!H110</f>
        <v>0</v>
      </c>
      <c r="H110" s="627">
        <f>IF(I110&gt;0,INDEX(data_item!$A$1:$A$994,MATCH(Gebäude!J110,data_item!$B$1:$B$994,0),1),0)</f>
        <v>0</v>
      </c>
      <c r="I110" s="627">
        <f>Gebäude!I110</f>
        <v>0</v>
      </c>
      <c r="J110" s="627">
        <f>IF(K110&gt;0,INDEX(data_item!$A$1:$A$994,MATCH(Gebäude!L110,data_item!$B$1:$B$994,0),1),0)</f>
        <v>202</v>
      </c>
      <c r="K110" s="627">
        <f>Gebäude!K110</f>
        <v>6</v>
      </c>
      <c r="L110" s="627">
        <f>IF(M110&gt;0,INDEX(data_item!$A$1:$A$994,MATCH(Gebäude!N110,data_item!$B$1:$B$994,0),1),0)</f>
        <v>0</v>
      </c>
      <c r="M110" s="627">
        <f>Gebäude!M110</f>
        <v>0</v>
      </c>
      <c r="N110" s="627">
        <f>IF(O110&gt;0,INDEX(data_item!$A$1:$A$994,MATCH(Gebäude!P110,data_item!$B$1:$B$994,0),1),0)</f>
        <v>0</v>
      </c>
      <c r="O110" s="627">
        <f>Gebäude!O110</f>
        <v>0</v>
      </c>
      <c r="P110" s="627">
        <f>Gebäude!Q110</f>
        <v>20</v>
      </c>
    </row>
    <row r="111" spans="1:16" x14ac:dyDescent="0.2">
      <c r="A111" s="627">
        <f>Gebäude!A111</f>
        <v>442</v>
      </c>
      <c r="B111" s="627" t="str">
        <f>Gebäude!B111</f>
        <v>Marktplatz II</v>
      </c>
      <c r="C111" s="627">
        <f>Gebäude!D111</f>
        <v>0</v>
      </c>
      <c r="D111" s="627">
        <f>Gebäude!E111</f>
        <v>400</v>
      </c>
      <c r="E111" s="627">
        <f>Gebäude!F111</f>
        <v>900</v>
      </c>
      <c r="F111" s="627">
        <f>Gebäude!G111</f>
        <v>441</v>
      </c>
      <c r="G111" s="627">
        <f>Gebäude!H111</f>
        <v>0</v>
      </c>
      <c r="H111" s="627">
        <f>IF(I111&gt;0,INDEX(data_item!$A$1:$A$994,MATCH(Gebäude!J111,data_item!$B$1:$B$994,0),1),0)</f>
        <v>0</v>
      </c>
      <c r="I111" s="627">
        <f>Gebäude!I111</f>
        <v>0</v>
      </c>
      <c r="J111" s="627">
        <f>IF(K111&gt;0,INDEX(data_item!$A$1:$A$994,MATCH(Gebäude!L111,data_item!$B$1:$B$994,0),1),0)</f>
        <v>212</v>
      </c>
      <c r="K111" s="627">
        <f>Gebäude!K111</f>
        <v>6</v>
      </c>
      <c r="L111" s="627">
        <f>IF(M111&gt;0,INDEX(data_item!$A$1:$A$994,MATCH(Gebäude!N111,data_item!$B$1:$B$994,0),1),0)</f>
        <v>0</v>
      </c>
      <c r="M111" s="627">
        <f>Gebäude!M111</f>
        <v>0</v>
      </c>
      <c r="N111" s="627">
        <f>IF(O111&gt;0,INDEX(data_item!$A$1:$A$994,MATCH(Gebäude!P111,data_item!$B$1:$B$994,0),1),0)</f>
        <v>0</v>
      </c>
      <c r="O111" s="627">
        <f>Gebäude!O111</f>
        <v>0</v>
      </c>
      <c r="P111" s="627">
        <f>Gebäude!Q111</f>
        <v>40</v>
      </c>
    </row>
    <row r="112" spans="1:16" x14ac:dyDescent="0.2">
      <c r="A112" s="627">
        <f>Gebäude!A112</f>
        <v>443</v>
      </c>
      <c r="B112" s="627" t="str">
        <f>Gebäude!B112</f>
        <v>Marktplatz III</v>
      </c>
      <c r="C112" s="627">
        <f>Gebäude!D112</f>
        <v>0</v>
      </c>
      <c r="D112" s="627">
        <f>Gebäude!E112</f>
        <v>600</v>
      </c>
      <c r="E112" s="627">
        <f>Gebäude!F112</f>
        <v>1200</v>
      </c>
      <c r="F112" s="627">
        <f>Gebäude!G112</f>
        <v>442</v>
      </c>
      <c r="G112" s="627">
        <f>Gebäude!H112</f>
        <v>1</v>
      </c>
      <c r="H112" s="627">
        <f>IF(I112&gt;0,INDEX(data_item!$A$1:$A$994,MATCH(Gebäude!J112,data_item!$B$1:$B$994,0),1),0)</f>
        <v>0</v>
      </c>
      <c r="I112" s="627">
        <f>Gebäude!I112</f>
        <v>0</v>
      </c>
      <c r="J112" s="627">
        <f>IF(K112&gt;0,INDEX(data_item!$A$1:$A$994,MATCH(Gebäude!L112,data_item!$B$1:$B$994,0),1),0)</f>
        <v>222</v>
      </c>
      <c r="K112" s="627">
        <f>Gebäude!K112</f>
        <v>6</v>
      </c>
      <c r="L112" s="627">
        <f>IF(M112&gt;0,INDEX(data_item!$A$1:$A$994,MATCH(Gebäude!N112,data_item!$B$1:$B$994,0),1),0)</f>
        <v>0</v>
      </c>
      <c r="M112" s="627">
        <f>Gebäude!M112</f>
        <v>0</v>
      </c>
      <c r="N112" s="627">
        <f>IF(O112&gt;0,INDEX(data_item!$A$1:$A$994,MATCH(Gebäude!P112,data_item!$B$1:$B$994,0),1),0)</f>
        <v>0</v>
      </c>
      <c r="O112" s="627">
        <f>Gebäude!O112</f>
        <v>0</v>
      </c>
      <c r="P112" s="627">
        <f>Gebäude!Q112</f>
        <v>80</v>
      </c>
    </row>
    <row r="113" spans="1:16" x14ac:dyDescent="0.2">
      <c r="A113" s="627">
        <f>Gebäude!A113</f>
        <v>444</v>
      </c>
      <c r="B113" s="627" t="str">
        <f>Gebäude!B113</f>
        <v>Marktplatz IV</v>
      </c>
      <c r="C113" s="627">
        <f>Gebäude!D113</f>
        <v>0</v>
      </c>
      <c r="D113" s="627">
        <f>Gebäude!E113</f>
        <v>800</v>
      </c>
      <c r="E113" s="627">
        <f>Gebäude!F113</f>
        <v>1500</v>
      </c>
      <c r="F113" s="627">
        <f>Gebäude!G113</f>
        <v>443</v>
      </c>
      <c r="G113" s="627">
        <f>Gebäude!H113</f>
        <v>1</v>
      </c>
      <c r="H113" s="627">
        <f>IF(I113&gt;0,INDEX(data_item!$A$1:$A$994,MATCH(Gebäude!J113,data_item!$B$1:$B$994,0),1),0)</f>
        <v>0</v>
      </c>
      <c r="I113" s="627">
        <f>Gebäude!I113</f>
        <v>0</v>
      </c>
      <c r="J113" s="627">
        <f>IF(K113&gt;0,INDEX(data_item!$A$1:$A$994,MATCH(Gebäude!L113,data_item!$B$1:$B$994,0),1),0)</f>
        <v>232</v>
      </c>
      <c r="K113" s="627">
        <f>Gebäude!K113</f>
        <v>6</v>
      </c>
      <c r="L113" s="627">
        <f>IF(M113&gt;0,INDEX(data_item!$A$1:$A$994,MATCH(Gebäude!N113,data_item!$B$1:$B$994,0),1),0)</f>
        <v>0</v>
      </c>
      <c r="M113" s="627">
        <f>Gebäude!M113</f>
        <v>0</v>
      </c>
      <c r="N113" s="627">
        <f>IF(O113&gt;0,INDEX(data_item!$A$1:$A$994,MATCH(Gebäude!P113,data_item!$B$1:$B$994,0),1),0)</f>
        <v>0</v>
      </c>
      <c r="O113" s="627">
        <f>Gebäude!O113</f>
        <v>0</v>
      </c>
      <c r="P113" s="627">
        <f>Gebäude!Q113</f>
        <v>160</v>
      </c>
    </row>
    <row r="114" spans="1:16" x14ac:dyDescent="0.2">
      <c r="A114" s="627">
        <f>Gebäude!A114</f>
        <v>445</v>
      </c>
      <c r="B114" s="627" t="str">
        <f>Gebäude!B114</f>
        <v>Marktplatz V</v>
      </c>
      <c r="C114" s="627">
        <f>Gebäude!D114</f>
        <v>0</v>
      </c>
      <c r="D114" s="627">
        <f>Gebäude!E114</f>
        <v>1000</v>
      </c>
      <c r="E114" s="627">
        <f>Gebäude!F114</f>
        <v>1800</v>
      </c>
      <c r="F114" s="627">
        <f>Gebäude!G114</f>
        <v>444</v>
      </c>
      <c r="G114" s="627">
        <f>Gebäude!H114</f>
        <v>1</v>
      </c>
      <c r="H114" s="627">
        <f>IF(I114&gt;0,INDEX(data_item!$A$1:$A$994,MATCH(Gebäude!J114,data_item!$B$1:$B$994,0),1),0)</f>
        <v>0</v>
      </c>
      <c r="I114" s="627">
        <f>Gebäude!I114</f>
        <v>0</v>
      </c>
      <c r="J114" s="627">
        <f>IF(K114&gt;0,INDEX(data_item!$A$1:$A$994,MATCH(Gebäude!L114,data_item!$B$1:$B$994,0),1),0)</f>
        <v>242</v>
      </c>
      <c r="K114" s="627">
        <f>Gebäude!K114</f>
        <v>6</v>
      </c>
      <c r="L114" s="627">
        <f>IF(M114&gt;0,INDEX(data_item!$A$1:$A$994,MATCH(Gebäude!N114,data_item!$B$1:$B$994,0),1),0)</f>
        <v>0</v>
      </c>
      <c r="M114" s="627">
        <f>Gebäude!M114</f>
        <v>0</v>
      </c>
      <c r="N114" s="627">
        <f>IF(O114&gt;0,INDEX(data_item!$A$1:$A$994,MATCH(Gebäude!P114,data_item!$B$1:$B$994,0),1),0)</f>
        <v>0</v>
      </c>
      <c r="O114" s="627">
        <f>Gebäude!O114</f>
        <v>0</v>
      </c>
      <c r="P114" s="627">
        <f>Gebäude!Q114</f>
        <v>320</v>
      </c>
    </row>
    <row r="115" spans="1:16" x14ac:dyDescent="0.2">
      <c r="A115" s="627">
        <f>Gebäude!A115</f>
        <v>0</v>
      </c>
      <c r="B115" s="627">
        <f>Gebäude!B115</f>
        <v>0</v>
      </c>
      <c r="C115" s="627">
        <f>Gebäude!D115</f>
        <v>0</v>
      </c>
      <c r="D115" s="627">
        <f>Gebäude!E115</f>
        <v>0</v>
      </c>
      <c r="E115" s="627">
        <f>Gebäude!F115</f>
        <v>0</v>
      </c>
      <c r="F115" s="627">
        <f>Gebäude!G115</f>
        <v>0</v>
      </c>
      <c r="G115" s="627">
        <f>Gebäude!H115</f>
        <v>0</v>
      </c>
      <c r="H115" s="627">
        <f>IF(I115&gt;0,INDEX(data_item!$A$1:$A$994,MATCH(Gebäude!J115,data_item!$B$1:$B$994,0),1),0)</f>
        <v>0</v>
      </c>
      <c r="I115" s="627">
        <f>Gebäude!I115</f>
        <v>0</v>
      </c>
      <c r="J115" s="627">
        <f>IF(K115&gt;0,INDEX(data_item!$A$1:$A$994,MATCH(Gebäude!L115,data_item!$B$1:$B$994,0),1),0)</f>
        <v>0</v>
      </c>
      <c r="K115" s="627">
        <f>Gebäude!K115</f>
        <v>0</v>
      </c>
      <c r="L115" s="627">
        <f>IF(M115&gt;0,INDEX(data_item!$A$1:$A$994,MATCH(Gebäude!N115,data_item!$B$1:$B$994,0),1),0)</f>
        <v>0</v>
      </c>
      <c r="M115" s="627">
        <f>Gebäude!M115</f>
        <v>0</v>
      </c>
      <c r="N115" s="627">
        <f>IF(O115&gt;0,INDEX(data_item!$A$1:$A$994,MATCH(Gebäude!P115,data_item!$B$1:$B$994,0),1),0)</f>
        <v>0</v>
      </c>
      <c r="O115" s="627">
        <f>Gebäude!O115</f>
        <v>0</v>
      </c>
      <c r="P115" s="627">
        <f>Gebäude!Q115</f>
        <v>0</v>
      </c>
    </row>
    <row r="116" spans="1:16" x14ac:dyDescent="0.2">
      <c r="A116" s="627">
        <f>Gebäude!A116</f>
        <v>451</v>
      </c>
      <c r="B116" s="627" t="str">
        <f>Gebäude!B116</f>
        <v>Tempel I</v>
      </c>
      <c r="C116" s="627">
        <f>Gebäude!D116</f>
        <v>0</v>
      </c>
      <c r="D116" s="627">
        <f>Gebäude!E116</f>
        <v>600</v>
      </c>
      <c r="E116" s="627">
        <f>Gebäude!F116</f>
        <v>2400</v>
      </c>
      <c r="F116" s="627">
        <f>Gebäude!G116</f>
        <v>0</v>
      </c>
      <c r="G116" s="627">
        <f>Gebäude!H116</f>
        <v>0</v>
      </c>
      <c r="H116" s="627">
        <f>IF(I116&gt;0,INDEX(data_item!$A$1:$A$994,MATCH(Gebäude!J116,data_item!$B$1:$B$994,0),1),0)</f>
        <v>201</v>
      </c>
      <c r="I116" s="627">
        <f>Gebäude!I116</f>
        <v>4</v>
      </c>
      <c r="J116" s="627">
        <f>IF(K116&gt;0,INDEX(data_item!$A$1:$A$994,MATCH(Gebäude!L116,data_item!$B$1:$B$994,0),1),0)</f>
        <v>202</v>
      </c>
      <c r="K116" s="627">
        <f>Gebäude!K116</f>
        <v>4</v>
      </c>
      <c r="L116" s="627">
        <f>IF(M116&gt;0,INDEX(data_item!$A$1:$A$994,MATCH(Gebäude!N116,data_item!$B$1:$B$994,0),1),0)</f>
        <v>203</v>
      </c>
      <c r="M116" s="627">
        <f>Gebäude!M116</f>
        <v>2</v>
      </c>
      <c r="N116" s="627">
        <f>IF(O116&gt;0,INDEX(data_item!$A$1:$A$994,MATCH(Gebäude!P116,data_item!$B$1:$B$994,0),1),0)</f>
        <v>204</v>
      </c>
      <c r="O116" s="627">
        <f>Gebäude!O116</f>
        <v>2</v>
      </c>
      <c r="P116" s="627">
        <f>Gebäude!Q116</f>
        <v>10</v>
      </c>
    </row>
    <row r="117" spans="1:16" x14ac:dyDescent="0.2">
      <c r="A117" s="627">
        <f>Gebäude!A117</f>
        <v>452</v>
      </c>
      <c r="B117" s="627" t="str">
        <f>Gebäude!B117</f>
        <v>Tempel II</v>
      </c>
      <c r="C117" s="627">
        <f>Gebäude!D117</f>
        <v>0</v>
      </c>
      <c r="D117" s="627">
        <f>Gebäude!E117</f>
        <v>1200</v>
      </c>
      <c r="E117" s="627">
        <f>Gebäude!F117</f>
        <v>3600</v>
      </c>
      <c r="F117" s="627">
        <f>Gebäude!G117</f>
        <v>451</v>
      </c>
      <c r="G117" s="627">
        <f>Gebäude!H117</f>
        <v>1</v>
      </c>
      <c r="H117" s="627">
        <f>IF(I117&gt;0,INDEX(data_item!$A$1:$A$994,MATCH(Gebäude!J117,data_item!$B$1:$B$994,0),1),0)</f>
        <v>211</v>
      </c>
      <c r="I117" s="627">
        <f>Gebäude!I117</f>
        <v>4</v>
      </c>
      <c r="J117" s="627">
        <f>IF(K117&gt;0,INDEX(data_item!$A$1:$A$994,MATCH(Gebäude!L117,data_item!$B$1:$B$994,0),1),0)</f>
        <v>212</v>
      </c>
      <c r="K117" s="627">
        <f>Gebäude!K117</f>
        <v>4</v>
      </c>
      <c r="L117" s="627">
        <f>IF(M117&gt;0,INDEX(data_item!$A$1:$A$994,MATCH(Gebäude!N117,data_item!$B$1:$B$994,0),1),0)</f>
        <v>213</v>
      </c>
      <c r="M117" s="627">
        <f>Gebäude!M117</f>
        <v>2</v>
      </c>
      <c r="N117" s="627">
        <f>IF(O117&gt;0,INDEX(data_item!$A$1:$A$994,MATCH(Gebäude!P117,data_item!$B$1:$B$994,0),1),0)</f>
        <v>214</v>
      </c>
      <c r="O117" s="627">
        <f>Gebäude!O117</f>
        <v>2</v>
      </c>
      <c r="P117" s="627">
        <f>Gebäude!Q117</f>
        <v>20</v>
      </c>
    </row>
    <row r="118" spans="1:16" x14ac:dyDescent="0.2">
      <c r="A118" s="627">
        <f>Gebäude!A118</f>
        <v>453</v>
      </c>
      <c r="B118" s="627" t="str">
        <f>Gebäude!B118</f>
        <v>Tempel III</v>
      </c>
      <c r="C118" s="627">
        <f>Gebäude!D118</f>
        <v>0</v>
      </c>
      <c r="D118" s="627">
        <f>Gebäude!E118</f>
        <v>1800</v>
      </c>
      <c r="E118" s="627">
        <f>Gebäude!F118</f>
        <v>4800</v>
      </c>
      <c r="F118" s="627">
        <f>Gebäude!G118</f>
        <v>452</v>
      </c>
      <c r="G118" s="627">
        <f>Gebäude!H118</f>
        <v>1</v>
      </c>
      <c r="H118" s="627">
        <f>IF(I118&gt;0,INDEX(data_item!$A$1:$A$994,MATCH(Gebäude!J118,data_item!$B$1:$B$994,0),1),0)</f>
        <v>221</v>
      </c>
      <c r="I118" s="627">
        <f>Gebäude!I118</f>
        <v>4</v>
      </c>
      <c r="J118" s="627">
        <f>IF(K118&gt;0,INDEX(data_item!$A$1:$A$994,MATCH(Gebäude!L118,data_item!$B$1:$B$994,0),1),0)</f>
        <v>222</v>
      </c>
      <c r="K118" s="627">
        <f>Gebäude!K118</f>
        <v>4</v>
      </c>
      <c r="L118" s="627">
        <f>IF(M118&gt;0,INDEX(data_item!$A$1:$A$994,MATCH(Gebäude!N118,data_item!$B$1:$B$994,0),1),0)</f>
        <v>223</v>
      </c>
      <c r="M118" s="627">
        <f>Gebäude!M118</f>
        <v>2</v>
      </c>
      <c r="N118" s="627">
        <f>IF(O118&gt;0,INDEX(data_item!$A$1:$A$994,MATCH(Gebäude!P118,data_item!$B$1:$B$994,0),1),0)</f>
        <v>224</v>
      </c>
      <c r="O118" s="627">
        <f>Gebäude!O118</f>
        <v>2</v>
      </c>
      <c r="P118" s="627">
        <f>Gebäude!Q118</f>
        <v>40</v>
      </c>
    </row>
    <row r="119" spans="1:16" x14ac:dyDescent="0.2">
      <c r="A119" s="627">
        <f>Gebäude!A119</f>
        <v>454</v>
      </c>
      <c r="B119" s="627" t="str">
        <f>Gebäude!B119</f>
        <v>Tempel IV</v>
      </c>
      <c r="C119" s="627">
        <f>Gebäude!D119</f>
        <v>0</v>
      </c>
      <c r="D119" s="627">
        <f>Gebäude!E119</f>
        <v>2400</v>
      </c>
      <c r="E119" s="627">
        <f>Gebäude!F119</f>
        <v>6000</v>
      </c>
      <c r="F119" s="627">
        <f>Gebäude!G119</f>
        <v>453</v>
      </c>
      <c r="G119" s="627">
        <f>Gebäude!H119</f>
        <v>1</v>
      </c>
      <c r="H119" s="627">
        <f>IF(I119&gt;0,INDEX(data_item!$A$1:$A$994,MATCH(Gebäude!J119,data_item!$B$1:$B$994,0),1),0)</f>
        <v>231</v>
      </c>
      <c r="I119" s="627">
        <f>Gebäude!I119</f>
        <v>4</v>
      </c>
      <c r="J119" s="627">
        <f>IF(K119&gt;0,INDEX(data_item!$A$1:$A$994,MATCH(Gebäude!L119,data_item!$B$1:$B$994,0),1),0)</f>
        <v>232</v>
      </c>
      <c r="K119" s="627">
        <f>Gebäude!K119</f>
        <v>4</v>
      </c>
      <c r="L119" s="627">
        <f>IF(M119&gt;0,INDEX(data_item!$A$1:$A$994,MATCH(Gebäude!N119,data_item!$B$1:$B$994,0),1),0)</f>
        <v>233</v>
      </c>
      <c r="M119" s="627">
        <f>Gebäude!M119</f>
        <v>2</v>
      </c>
      <c r="N119" s="627">
        <f>IF(O119&gt;0,INDEX(data_item!$A$1:$A$994,MATCH(Gebäude!P119,data_item!$B$1:$B$994,0),1),0)</f>
        <v>234</v>
      </c>
      <c r="O119" s="627">
        <f>Gebäude!O119</f>
        <v>2</v>
      </c>
      <c r="P119" s="627">
        <f>Gebäude!Q119</f>
        <v>80</v>
      </c>
    </row>
    <row r="120" spans="1:16" x14ac:dyDescent="0.2">
      <c r="A120" s="627">
        <f>Gebäude!A120</f>
        <v>455</v>
      </c>
      <c r="B120" s="627" t="str">
        <f>Gebäude!B120</f>
        <v>Tempel V</v>
      </c>
      <c r="C120" s="627">
        <f>Gebäude!D120</f>
        <v>0</v>
      </c>
      <c r="D120" s="627">
        <f>Gebäude!E120</f>
        <v>3000</v>
      </c>
      <c r="E120" s="627">
        <f>Gebäude!F120</f>
        <v>7200</v>
      </c>
      <c r="F120" s="627">
        <f>Gebäude!G120</f>
        <v>454</v>
      </c>
      <c r="G120" s="627">
        <f>Gebäude!H120</f>
        <v>1</v>
      </c>
      <c r="H120" s="627">
        <f>IF(I120&gt;0,INDEX(data_item!$A$1:$A$994,MATCH(Gebäude!J120,data_item!$B$1:$B$994,0),1),0)</f>
        <v>241</v>
      </c>
      <c r="I120" s="627">
        <f>Gebäude!I120</f>
        <v>4</v>
      </c>
      <c r="J120" s="627">
        <f>IF(K120&gt;0,INDEX(data_item!$A$1:$A$994,MATCH(Gebäude!L120,data_item!$B$1:$B$994,0),1),0)</f>
        <v>242</v>
      </c>
      <c r="K120" s="627">
        <f>Gebäude!K120</f>
        <v>4</v>
      </c>
      <c r="L120" s="627">
        <f>IF(M120&gt;0,INDEX(data_item!$A$1:$A$994,MATCH(Gebäude!N120,data_item!$B$1:$B$994,0),1),0)</f>
        <v>243</v>
      </c>
      <c r="M120" s="627">
        <f>Gebäude!M120</f>
        <v>2</v>
      </c>
      <c r="N120" s="627">
        <f>IF(O120&gt;0,INDEX(data_item!$A$1:$A$994,MATCH(Gebäude!P120,data_item!$B$1:$B$994,0),1),0)</f>
        <v>244</v>
      </c>
      <c r="O120" s="627">
        <f>Gebäude!O120</f>
        <v>2</v>
      </c>
      <c r="P120" s="627">
        <f>Gebäude!Q120</f>
        <v>160</v>
      </c>
    </row>
    <row r="121" spans="1:16" x14ac:dyDescent="0.2">
      <c r="A121" s="627">
        <f>Gebäude!A121</f>
        <v>0</v>
      </c>
      <c r="B121" s="627">
        <f>Gebäude!B121</f>
        <v>0</v>
      </c>
      <c r="C121" s="627">
        <f>Gebäude!D121</f>
        <v>0</v>
      </c>
      <c r="D121" s="627">
        <f>Gebäude!E121</f>
        <v>0</v>
      </c>
      <c r="E121" s="627">
        <f>Gebäude!F121</f>
        <v>0</v>
      </c>
      <c r="F121" s="627">
        <f>Gebäude!G121</f>
        <v>0</v>
      </c>
      <c r="G121" s="627">
        <f>Gebäude!H121</f>
        <v>0</v>
      </c>
      <c r="H121" s="627">
        <f>IF(I121&gt;0,INDEX(data_item!$A$1:$A$994,MATCH(Gebäude!J121,data_item!$B$1:$B$994,0),1),0)</f>
        <v>0</v>
      </c>
      <c r="I121" s="627">
        <f>Gebäude!I121</f>
        <v>0</v>
      </c>
      <c r="J121" s="627">
        <f>IF(K121&gt;0,INDEX(data_item!$A$1:$A$994,MATCH(Gebäude!L121,data_item!$B$1:$B$994,0),1),0)</f>
        <v>0</v>
      </c>
      <c r="K121" s="627">
        <f>Gebäude!K121</f>
        <v>0</v>
      </c>
      <c r="L121" s="627">
        <f>IF(M121&gt;0,INDEX(data_item!$A$1:$A$994,MATCH(Gebäude!N121,data_item!$B$1:$B$994,0),1),0)</f>
        <v>0</v>
      </c>
      <c r="M121" s="627">
        <f>Gebäude!M121</f>
        <v>0</v>
      </c>
      <c r="N121" s="627">
        <f>IF(O121&gt;0,INDEX(data_item!$A$1:$A$994,MATCH(Gebäude!P121,data_item!$B$1:$B$994,0),1),0)</f>
        <v>0</v>
      </c>
      <c r="O121" s="627">
        <f>Gebäude!O121</f>
        <v>0</v>
      </c>
      <c r="P121" s="627">
        <f>Gebäude!Q121</f>
        <v>0</v>
      </c>
    </row>
    <row r="122" spans="1:16" x14ac:dyDescent="0.2">
      <c r="A122" s="627">
        <f>Gebäude!A122</f>
        <v>461</v>
      </c>
      <c r="B122" s="627" t="str">
        <f>Gebäude!B122</f>
        <v>Badehaus I</v>
      </c>
      <c r="C122" s="627">
        <f>Gebäude!D122</f>
        <v>0</v>
      </c>
      <c r="D122" s="627">
        <f>Gebäude!E122</f>
        <v>500</v>
      </c>
      <c r="E122" s="627">
        <f>Gebäude!F122</f>
        <v>1600</v>
      </c>
      <c r="F122" s="627">
        <f>Gebäude!G122</f>
        <v>0</v>
      </c>
      <c r="G122" s="627">
        <f>Gebäude!H122</f>
        <v>1</v>
      </c>
      <c r="H122" s="627">
        <f>IF(I122&gt;0,INDEX(data_item!$A$1:$A$994,MATCH(Gebäude!J122,data_item!$B$1:$B$994,0),1),0)</f>
        <v>231</v>
      </c>
      <c r="I122" s="627">
        <f>Gebäude!I122</f>
        <v>4</v>
      </c>
      <c r="J122" s="627">
        <f>IF(K122&gt;0,INDEX(data_item!$A$1:$A$994,MATCH(Gebäude!L122,data_item!$B$1:$B$994,0),1),0)</f>
        <v>232</v>
      </c>
      <c r="K122" s="627">
        <f>Gebäude!K122</f>
        <v>2</v>
      </c>
      <c r="L122" s="627">
        <f>IF(M122&gt;0,INDEX(data_item!$A$1:$A$994,MATCH(Gebäude!N122,data_item!$B$1:$B$994,0),1),0)</f>
        <v>233</v>
      </c>
      <c r="M122" s="627">
        <f>Gebäude!M122</f>
        <v>1</v>
      </c>
      <c r="N122" s="627">
        <f>IF(O122&gt;0,INDEX(data_item!$A$1:$A$994,MATCH(Gebäude!P122,data_item!$B$1:$B$994,0),1),0)</f>
        <v>234</v>
      </c>
      <c r="O122" s="627">
        <f>Gebäude!O122</f>
        <v>1</v>
      </c>
      <c r="P122" s="627">
        <f>Gebäude!Q122</f>
        <v>160</v>
      </c>
    </row>
    <row r="123" spans="1:16" x14ac:dyDescent="0.2">
      <c r="A123" s="627">
        <f>Gebäude!A123</f>
        <v>462</v>
      </c>
      <c r="B123" s="627" t="str">
        <f>Gebäude!B123</f>
        <v>Badehaus II</v>
      </c>
      <c r="C123" s="627">
        <f>Gebäude!D123</f>
        <v>0</v>
      </c>
      <c r="D123" s="627">
        <f>Gebäude!E123</f>
        <v>1000</v>
      </c>
      <c r="E123" s="627">
        <f>Gebäude!F123</f>
        <v>2400</v>
      </c>
      <c r="F123" s="627">
        <f>Gebäude!G123</f>
        <v>461</v>
      </c>
      <c r="G123" s="627">
        <f>Gebäude!H123</f>
        <v>1</v>
      </c>
      <c r="H123" s="627">
        <f>IF(I123&gt;0,INDEX(data_item!$A$1:$A$994,MATCH(Gebäude!J123,data_item!$B$1:$B$994,0),1),0)</f>
        <v>241</v>
      </c>
      <c r="I123" s="627">
        <f>Gebäude!I123</f>
        <v>4</v>
      </c>
      <c r="J123" s="627">
        <f>IF(K123&gt;0,INDEX(data_item!$A$1:$A$994,MATCH(Gebäude!L123,data_item!$B$1:$B$994,0),1),0)</f>
        <v>242</v>
      </c>
      <c r="K123" s="627">
        <f>Gebäude!K123</f>
        <v>2</v>
      </c>
      <c r="L123" s="627">
        <f>IF(M123&gt;0,INDEX(data_item!$A$1:$A$994,MATCH(Gebäude!N123,data_item!$B$1:$B$994,0),1),0)</f>
        <v>243</v>
      </c>
      <c r="M123" s="627">
        <f>Gebäude!M123</f>
        <v>1</v>
      </c>
      <c r="N123" s="627">
        <f>IF(O123&gt;0,INDEX(data_item!$A$1:$A$994,MATCH(Gebäude!P123,data_item!$B$1:$B$994,0),1),0)</f>
        <v>244</v>
      </c>
      <c r="O123" s="627">
        <f>Gebäude!O123</f>
        <v>1</v>
      </c>
      <c r="P123" s="627">
        <f>Gebäude!Q123</f>
        <v>320</v>
      </c>
    </row>
    <row r="124" spans="1:16" x14ac:dyDescent="0.2">
      <c r="A124" s="627">
        <f>Gebäude!A124</f>
        <v>0</v>
      </c>
      <c r="B124" s="627">
        <f>Gebäude!B124</f>
        <v>0</v>
      </c>
      <c r="C124" s="627">
        <f>Gebäude!D124</f>
        <v>0</v>
      </c>
      <c r="D124" s="627">
        <f>Gebäude!E124</f>
        <v>0</v>
      </c>
      <c r="E124" s="627">
        <f>Gebäude!F124</f>
        <v>0</v>
      </c>
      <c r="F124" s="627">
        <f>Gebäude!G124</f>
        <v>0</v>
      </c>
      <c r="G124" s="627">
        <f>Gebäude!H124</f>
        <v>0</v>
      </c>
      <c r="H124" s="627">
        <f>IF(I124&gt;0,INDEX(data_item!$A$1:$A$994,MATCH(Gebäude!J124,data_item!$B$1:$B$994,0),1),0)</f>
        <v>0</v>
      </c>
      <c r="I124" s="627">
        <f>Gebäude!I124</f>
        <v>0</v>
      </c>
      <c r="J124" s="627">
        <f>IF(K124&gt;0,INDEX(data_item!$A$1:$A$994,MATCH(Gebäude!L124,data_item!$B$1:$B$994,0),1),0)</f>
        <v>0</v>
      </c>
      <c r="K124" s="627">
        <f>Gebäude!K124</f>
        <v>0</v>
      </c>
      <c r="L124" s="627">
        <f>IF(M124&gt;0,INDEX(data_item!$A$1:$A$994,MATCH(Gebäude!N124,data_item!$B$1:$B$994,0),1),0)</f>
        <v>0</v>
      </c>
      <c r="M124" s="627">
        <f>Gebäude!M124</f>
        <v>0</v>
      </c>
      <c r="N124" s="627">
        <f>IF(O124&gt;0,INDEX(data_item!$A$1:$A$994,MATCH(Gebäude!P124,data_item!$B$1:$B$994,0),1),0)</f>
        <v>0</v>
      </c>
      <c r="O124" s="627">
        <f>Gebäude!O124</f>
        <v>0</v>
      </c>
      <c r="P124" s="627">
        <f>Gebäude!Q124</f>
        <v>0</v>
      </c>
    </row>
    <row r="125" spans="1:16" x14ac:dyDescent="0.2">
      <c r="A125" s="627">
        <f>Gebäude!A125</f>
        <v>471</v>
      </c>
      <c r="B125" s="627" t="str">
        <f>Gebäude!B125</f>
        <v>Stadtmauern I</v>
      </c>
      <c r="C125" s="627">
        <f>Gebäude!D125</f>
        <v>0</v>
      </c>
      <c r="D125" s="627">
        <f>Gebäude!E125</f>
        <v>40</v>
      </c>
      <c r="E125" s="627">
        <f>Gebäude!F125</f>
        <v>1600</v>
      </c>
      <c r="F125" s="627">
        <f>Gebäude!G125</f>
        <v>0</v>
      </c>
      <c r="G125" s="627">
        <f>Gebäude!H125</f>
        <v>0</v>
      </c>
      <c r="H125" s="627">
        <f>IF(I125&gt;0,INDEX(data_item!$A$1:$A$994,MATCH(Gebäude!J125,data_item!$B$1:$B$994,0),1),0)</f>
        <v>201</v>
      </c>
      <c r="I125" s="627">
        <f>Gebäude!I125</f>
        <v>6</v>
      </c>
      <c r="J125" s="627">
        <f>IF(K125&gt;0,INDEX(data_item!$A$1:$A$994,MATCH(Gebäude!L125,data_item!$B$1:$B$994,0),1),0)</f>
        <v>0</v>
      </c>
      <c r="K125" s="627">
        <f>Gebäude!K125</f>
        <v>0</v>
      </c>
      <c r="L125" s="627">
        <f>IF(M125&gt;0,INDEX(data_item!$A$1:$A$994,MATCH(Gebäude!N125,data_item!$B$1:$B$994,0),1),0)</f>
        <v>0</v>
      </c>
      <c r="M125" s="627">
        <f>Gebäude!M125</f>
        <v>0</v>
      </c>
      <c r="N125" s="627">
        <f>IF(O125&gt;0,INDEX(data_item!$A$1:$A$994,MATCH(Gebäude!P125,data_item!$B$1:$B$994,0),1),0)</f>
        <v>0</v>
      </c>
      <c r="O125" s="627">
        <f>Gebäude!O125</f>
        <v>0</v>
      </c>
      <c r="P125" s="627">
        <f>Gebäude!Q125</f>
        <v>20</v>
      </c>
    </row>
    <row r="126" spans="1:16" x14ac:dyDescent="0.2">
      <c r="A126" s="627">
        <f>Gebäude!A126</f>
        <v>472</v>
      </c>
      <c r="B126" s="627" t="str">
        <f>Gebäude!B126</f>
        <v>Stadtmauern II</v>
      </c>
      <c r="C126" s="627">
        <f>Gebäude!D126</f>
        <v>0</v>
      </c>
      <c r="D126" s="627">
        <f>Gebäude!E126</f>
        <v>80</v>
      </c>
      <c r="E126" s="627">
        <f>Gebäude!F126</f>
        <v>2400</v>
      </c>
      <c r="F126" s="627">
        <f>Gebäude!G126</f>
        <v>471</v>
      </c>
      <c r="G126" s="627">
        <f>Gebäude!H126</f>
        <v>0</v>
      </c>
      <c r="H126" s="627">
        <f>IF(I126&gt;0,INDEX(data_item!$A$1:$A$994,MATCH(Gebäude!J126,data_item!$B$1:$B$994,0),1),0)</f>
        <v>211</v>
      </c>
      <c r="I126" s="627">
        <f>Gebäude!I126</f>
        <v>6</v>
      </c>
      <c r="J126" s="627">
        <f>IF(K126&gt;0,INDEX(data_item!$A$1:$A$994,MATCH(Gebäude!L126,data_item!$B$1:$B$994,0),1),0)</f>
        <v>0</v>
      </c>
      <c r="K126" s="627">
        <f>Gebäude!K126</f>
        <v>0</v>
      </c>
      <c r="L126" s="627">
        <f>IF(M126&gt;0,INDEX(data_item!$A$1:$A$994,MATCH(Gebäude!N126,data_item!$B$1:$B$994,0),1),0)</f>
        <v>0</v>
      </c>
      <c r="M126" s="627">
        <f>Gebäude!M126</f>
        <v>0</v>
      </c>
      <c r="N126" s="627">
        <f>IF(O126&gt;0,INDEX(data_item!$A$1:$A$994,MATCH(Gebäude!P126,data_item!$B$1:$B$994,0),1),0)</f>
        <v>0</v>
      </c>
      <c r="O126" s="627">
        <f>Gebäude!O126</f>
        <v>0</v>
      </c>
      <c r="P126" s="627">
        <f>Gebäude!Q126</f>
        <v>40</v>
      </c>
    </row>
    <row r="127" spans="1:16" x14ac:dyDescent="0.2">
      <c r="A127" s="627">
        <f>Gebäude!A127</f>
        <v>473</v>
      </c>
      <c r="B127" s="627" t="str">
        <f>Gebäude!B127</f>
        <v>Stadtmauern III</v>
      </c>
      <c r="C127" s="627">
        <f>Gebäude!D127</f>
        <v>0</v>
      </c>
      <c r="D127" s="627">
        <f>Gebäude!E127</f>
        <v>120</v>
      </c>
      <c r="E127" s="627">
        <f>Gebäude!F127</f>
        <v>3200</v>
      </c>
      <c r="F127" s="627">
        <f>Gebäude!G127</f>
        <v>472</v>
      </c>
      <c r="G127" s="627">
        <f>Gebäude!H127</f>
        <v>1</v>
      </c>
      <c r="H127" s="627">
        <f>IF(I127&gt;0,INDEX(data_item!$A$1:$A$994,MATCH(Gebäude!J127,data_item!$B$1:$B$994,0),1),0)</f>
        <v>221</v>
      </c>
      <c r="I127" s="627">
        <f>Gebäude!I127</f>
        <v>6</v>
      </c>
      <c r="J127" s="627">
        <f>IF(K127&gt;0,INDEX(data_item!$A$1:$A$994,MATCH(Gebäude!L127,data_item!$B$1:$B$994,0),1),0)</f>
        <v>0</v>
      </c>
      <c r="K127" s="627">
        <f>Gebäude!K127</f>
        <v>0</v>
      </c>
      <c r="L127" s="627">
        <f>IF(M127&gt;0,INDEX(data_item!$A$1:$A$994,MATCH(Gebäude!N127,data_item!$B$1:$B$994,0),1),0)</f>
        <v>0</v>
      </c>
      <c r="M127" s="627">
        <f>Gebäude!M127</f>
        <v>0</v>
      </c>
      <c r="N127" s="627">
        <f>IF(O127&gt;0,INDEX(data_item!$A$1:$A$994,MATCH(Gebäude!P127,data_item!$B$1:$B$994,0),1),0)</f>
        <v>0</v>
      </c>
      <c r="O127" s="627">
        <f>Gebäude!O127</f>
        <v>0</v>
      </c>
      <c r="P127" s="627">
        <f>Gebäude!Q127</f>
        <v>80</v>
      </c>
    </row>
    <row r="128" spans="1:16" x14ac:dyDescent="0.2">
      <c r="A128" s="627">
        <f>Gebäude!A128</f>
        <v>474</v>
      </c>
      <c r="B128" s="627" t="str">
        <f>Gebäude!B128</f>
        <v>Stadtmauern IV</v>
      </c>
      <c r="C128" s="627">
        <f>Gebäude!D128</f>
        <v>0</v>
      </c>
      <c r="D128" s="627">
        <f>Gebäude!E128</f>
        <v>160</v>
      </c>
      <c r="E128" s="627">
        <f>Gebäude!F128</f>
        <v>4000</v>
      </c>
      <c r="F128" s="627">
        <f>Gebäude!G128</f>
        <v>473</v>
      </c>
      <c r="G128" s="627">
        <f>Gebäude!H128</f>
        <v>1</v>
      </c>
      <c r="H128" s="627">
        <f>IF(I128&gt;0,INDEX(data_item!$A$1:$A$994,MATCH(Gebäude!J128,data_item!$B$1:$B$994,0),1),0)</f>
        <v>231</v>
      </c>
      <c r="I128" s="627">
        <f>Gebäude!I128</f>
        <v>6</v>
      </c>
      <c r="J128" s="627">
        <f>IF(K128&gt;0,INDEX(data_item!$A$1:$A$994,MATCH(Gebäude!L128,data_item!$B$1:$B$994,0),1),0)</f>
        <v>0</v>
      </c>
      <c r="K128" s="627">
        <f>Gebäude!K128</f>
        <v>0</v>
      </c>
      <c r="L128" s="627">
        <f>IF(M128&gt;0,INDEX(data_item!$A$1:$A$994,MATCH(Gebäude!N128,data_item!$B$1:$B$994,0),1),0)</f>
        <v>0</v>
      </c>
      <c r="M128" s="627">
        <f>Gebäude!M128</f>
        <v>0</v>
      </c>
      <c r="N128" s="627">
        <f>IF(O128&gt;0,INDEX(data_item!$A$1:$A$994,MATCH(Gebäude!P128,data_item!$B$1:$B$994,0),1),0)</f>
        <v>0</v>
      </c>
      <c r="O128" s="627">
        <f>Gebäude!O128</f>
        <v>0</v>
      </c>
      <c r="P128" s="627">
        <f>Gebäude!Q128</f>
        <v>160</v>
      </c>
    </row>
    <row r="129" spans="1:16" x14ac:dyDescent="0.2">
      <c r="A129" s="627">
        <f>Gebäude!A129</f>
        <v>475</v>
      </c>
      <c r="B129" s="627" t="str">
        <f>Gebäude!B129</f>
        <v>Stadtmauern V</v>
      </c>
      <c r="C129" s="627">
        <f>Gebäude!D129</f>
        <v>0</v>
      </c>
      <c r="D129" s="627">
        <f>Gebäude!E129</f>
        <v>200</v>
      </c>
      <c r="E129" s="627">
        <f>Gebäude!F129</f>
        <v>4800</v>
      </c>
      <c r="F129" s="627">
        <f>Gebäude!G129</f>
        <v>474</v>
      </c>
      <c r="G129" s="627">
        <f>Gebäude!H129</f>
        <v>1</v>
      </c>
      <c r="H129" s="627">
        <f>IF(I129&gt;0,INDEX(data_item!$A$1:$A$994,MATCH(Gebäude!J129,data_item!$B$1:$B$994,0),1),0)</f>
        <v>241</v>
      </c>
      <c r="I129" s="627">
        <f>Gebäude!I129</f>
        <v>6</v>
      </c>
      <c r="J129" s="627">
        <f>IF(K129&gt;0,INDEX(data_item!$A$1:$A$994,MATCH(Gebäude!L129,data_item!$B$1:$B$994,0),1),0)</f>
        <v>0</v>
      </c>
      <c r="K129" s="627">
        <f>Gebäude!K129</f>
        <v>0</v>
      </c>
      <c r="L129" s="627">
        <f>IF(M129&gt;0,INDEX(data_item!$A$1:$A$994,MATCH(Gebäude!N129,data_item!$B$1:$B$994,0),1),0)</f>
        <v>0</v>
      </c>
      <c r="M129" s="627">
        <f>Gebäude!M129</f>
        <v>0</v>
      </c>
      <c r="N129" s="627">
        <f>IF(O129&gt;0,INDEX(data_item!$A$1:$A$994,MATCH(Gebäude!P129,data_item!$B$1:$B$994,0),1),0)</f>
        <v>0</v>
      </c>
      <c r="O129" s="627">
        <f>Gebäude!O129</f>
        <v>0</v>
      </c>
      <c r="P129" s="627">
        <f>Gebäude!Q129</f>
        <v>320</v>
      </c>
    </row>
    <row r="130" spans="1:16" x14ac:dyDescent="0.2">
      <c r="A130" s="627">
        <f>Gebäude!A130</f>
        <v>0</v>
      </c>
      <c r="B130" s="627">
        <f>Gebäude!B130</f>
        <v>0</v>
      </c>
      <c r="C130" s="627">
        <f>Gebäude!D130</f>
        <v>0</v>
      </c>
      <c r="D130" s="627">
        <f>Gebäude!E130</f>
        <v>0</v>
      </c>
      <c r="E130" s="627">
        <f>Gebäude!F130</f>
        <v>0</v>
      </c>
      <c r="F130" s="627">
        <f>Gebäude!G130</f>
        <v>0</v>
      </c>
      <c r="G130" s="627">
        <f>Gebäude!H130</f>
        <v>0</v>
      </c>
      <c r="H130" s="627">
        <f>IF(I130&gt;0,INDEX(data_item!$A$1:$A$994,MATCH(Gebäude!J130,data_item!$B$1:$B$994,0),1),0)</f>
        <v>0</v>
      </c>
      <c r="I130" s="627">
        <f>Gebäude!I130</f>
        <v>0</v>
      </c>
      <c r="J130" s="627">
        <f>IF(K130&gt;0,INDEX(data_item!$A$1:$A$994,MATCH(Gebäude!L130,data_item!$B$1:$B$994,0),1),0)</f>
        <v>0</v>
      </c>
      <c r="K130" s="627">
        <f>Gebäude!K130</f>
        <v>0</v>
      </c>
      <c r="L130" s="627">
        <f>IF(M130&gt;0,INDEX(data_item!$A$1:$A$994,MATCH(Gebäude!N130,data_item!$B$1:$B$994,0),1),0)</f>
        <v>0</v>
      </c>
      <c r="M130" s="627">
        <f>Gebäude!M130</f>
        <v>0</v>
      </c>
      <c r="N130" s="627">
        <f>IF(O130&gt;0,INDEX(data_item!$A$1:$A$994,MATCH(Gebäude!P130,data_item!$B$1:$B$994,0),1),0)</f>
        <v>0</v>
      </c>
      <c r="O130" s="627">
        <f>Gebäude!O130</f>
        <v>0</v>
      </c>
      <c r="P130" s="627">
        <f>Gebäude!Q130</f>
        <v>0</v>
      </c>
    </row>
    <row r="131" spans="1:16" x14ac:dyDescent="0.2">
      <c r="A131" s="627">
        <f>Gebäude!A131</f>
        <v>481</v>
      </c>
      <c r="B131" s="627" t="str">
        <f>Gebäude!B131</f>
        <v>Wachturm I</v>
      </c>
      <c r="C131" s="627">
        <f>Gebäude!D131</f>
        <v>0</v>
      </c>
      <c r="D131" s="627">
        <f>Gebäude!E131</f>
        <v>80</v>
      </c>
      <c r="E131" s="627">
        <f>Gebäude!F131</f>
        <v>800</v>
      </c>
      <c r="F131" s="627">
        <f>Gebäude!G131</f>
        <v>0</v>
      </c>
      <c r="G131" s="627">
        <f>Gebäude!H131</f>
        <v>0</v>
      </c>
      <c r="H131" s="627">
        <f>IF(I131&gt;0,INDEX(data_item!$A$1:$A$994,MATCH(Gebäude!J131,data_item!$B$1:$B$994,0),1),0)</f>
        <v>0</v>
      </c>
      <c r="I131" s="627">
        <f>Gebäude!I131</f>
        <v>0</v>
      </c>
      <c r="J131" s="627">
        <f>IF(K131&gt;0,INDEX(data_item!$A$1:$A$994,MATCH(Gebäude!L131,data_item!$B$1:$B$994,0),1),0)</f>
        <v>202</v>
      </c>
      <c r="K131" s="627">
        <f>Gebäude!K131</f>
        <v>1</v>
      </c>
      <c r="L131" s="627">
        <f>IF(M131&gt;0,INDEX(data_item!$A$1:$A$994,MATCH(Gebäude!N131,data_item!$B$1:$B$994,0),1),0)</f>
        <v>203</v>
      </c>
      <c r="M131" s="627">
        <f>Gebäude!M131</f>
        <v>1</v>
      </c>
      <c r="N131" s="627">
        <f>IF(O131&gt;0,INDEX(data_item!$A$1:$A$994,MATCH(Gebäude!P131,data_item!$B$1:$B$994,0),1),0)</f>
        <v>204</v>
      </c>
      <c r="O131" s="627">
        <f>Gebäude!O131</f>
        <v>5</v>
      </c>
      <c r="P131" s="627">
        <f>Gebäude!Q131</f>
        <v>20</v>
      </c>
    </row>
    <row r="132" spans="1:16" x14ac:dyDescent="0.2">
      <c r="A132" s="627">
        <f>Gebäude!A132</f>
        <v>482</v>
      </c>
      <c r="B132" s="627" t="str">
        <f>Gebäude!B132</f>
        <v>Wachturm II</v>
      </c>
      <c r="C132" s="627">
        <f>Gebäude!D132</f>
        <v>0</v>
      </c>
      <c r="D132" s="627">
        <f>Gebäude!E132</f>
        <v>160</v>
      </c>
      <c r="E132" s="627">
        <f>Gebäude!F132</f>
        <v>1200</v>
      </c>
      <c r="F132" s="627">
        <f>Gebäude!G132</f>
        <v>481</v>
      </c>
      <c r="G132" s="627">
        <f>Gebäude!H132</f>
        <v>0</v>
      </c>
      <c r="H132" s="627">
        <f>IF(I132&gt;0,INDEX(data_item!$A$1:$A$994,MATCH(Gebäude!J132,data_item!$B$1:$B$994,0),1),0)</f>
        <v>0</v>
      </c>
      <c r="I132" s="627">
        <f>Gebäude!I132</f>
        <v>0</v>
      </c>
      <c r="J132" s="627">
        <f>IF(K132&gt;0,INDEX(data_item!$A$1:$A$994,MATCH(Gebäude!L132,data_item!$B$1:$B$994,0),1),0)</f>
        <v>212</v>
      </c>
      <c r="K132" s="627">
        <f>Gebäude!K132</f>
        <v>1</v>
      </c>
      <c r="L132" s="627">
        <f>IF(M132&gt;0,INDEX(data_item!$A$1:$A$994,MATCH(Gebäude!N132,data_item!$B$1:$B$994,0),1),0)</f>
        <v>213</v>
      </c>
      <c r="M132" s="627">
        <f>Gebäude!M132</f>
        <v>1</v>
      </c>
      <c r="N132" s="627">
        <f>IF(O132&gt;0,INDEX(data_item!$A$1:$A$994,MATCH(Gebäude!P132,data_item!$B$1:$B$994,0),1),0)</f>
        <v>214</v>
      </c>
      <c r="O132" s="627">
        <f>Gebäude!O132</f>
        <v>5</v>
      </c>
      <c r="P132" s="627">
        <f>Gebäude!Q132</f>
        <v>40</v>
      </c>
    </row>
    <row r="133" spans="1:16" x14ac:dyDescent="0.2">
      <c r="A133" s="627">
        <f>Gebäude!A133</f>
        <v>483</v>
      </c>
      <c r="B133" s="627" t="str">
        <f>Gebäude!B133</f>
        <v>Wachturm III</v>
      </c>
      <c r="C133" s="627">
        <f>Gebäude!D133</f>
        <v>0</v>
      </c>
      <c r="D133" s="627">
        <f>Gebäude!E133</f>
        <v>240</v>
      </c>
      <c r="E133" s="627">
        <f>Gebäude!F133</f>
        <v>1600</v>
      </c>
      <c r="F133" s="627">
        <f>Gebäude!G133</f>
        <v>482</v>
      </c>
      <c r="G133" s="627">
        <f>Gebäude!H133</f>
        <v>1</v>
      </c>
      <c r="H133" s="627">
        <f>IF(I133&gt;0,INDEX(data_item!$A$1:$A$994,MATCH(Gebäude!J133,data_item!$B$1:$B$994,0),1),0)</f>
        <v>0</v>
      </c>
      <c r="I133" s="627">
        <f>Gebäude!I133</f>
        <v>0</v>
      </c>
      <c r="J133" s="627">
        <f>IF(K133&gt;0,INDEX(data_item!$A$1:$A$994,MATCH(Gebäude!L133,data_item!$B$1:$B$994,0),1),0)</f>
        <v>222</v>
      </c>
      <c r="K133" s="627">
        <f>Gebäude!K133</f>
        <v>1</v>
      </c>
      <c r="L133" s="627">
        <f>IF(M133&gt;0,INDEX(data_item!$A$1:$A$994,MATCH(Gebäude!N133,data_item!$B$1:$B$994,0),1),0)</f>
        <v>223</v>
      </c>
      <c r="M133" s="627">
        <f>Gebäude!M133</f>
        <v>1</v>
      </c>
      <c r="N133" s="627">
        <f>IF(O133&gt;0,INDEX(data_item!$A$1:$A$994,MATCH(Gebäude!P133,data_item!$B$1:$B$994,0),1),0)</f>
        <v>224</v>
      </c>
      <c r="O133" s="627">
        <f>Gebäude!O133</f>
        <v>5</v>
      </c>
      <c r="P133" s="627">
        <f>Gebäude!Q133</f>
        <v>80</v>
      </c>
    </row>
    <row r="134" spans="1:16" x14ac:dyDescent="0.2">
      <c r="A134" s="627">
        <f>Gebäude!A134</f>
        <v>484</v>
      </c>
      <c r="B134" s="627" t="str">
        <f>Gebäude!B134</f>
        <v>Wachturm IV</v>
      </c>
      <c r="C134" s="627">
        <f>Gebäude!D134</f>
        <v>0</v>
      </c>
      <c r="D134" s="627">
        <f>Gebäude!E134</f>
        <v>320</v>
      </c>
      <c r="E134" s="627">
        <f>Gebäude!F134</f>
        <v>2000</v>
      </c>
      <c r="F134" s="627">
        <f>Gebäude!G134</f>
        <v>483</v>
      </c>
      <c r="G134" s="627">
        <f>Gebäude!H134</f>
        <v>1</v>
      </c>
      <c r="H134" s="627">
        <f>IF(I134&gt;0,INDEX(data_item!$A$1:$A$994,MATCH(Gebäude!J134,data_item!$B$1:$B$994,0),1),0)</f>
        <v>0</v>
      </c>
      <c r="I134" s="627">
        <f>Gebäude!I134</f>
        <v>0</v>
      </c>
      <c r="J134" s="627">
        <f>IF(K134&gt;0,INDEX(data_item!$A$1:$A$994,MATCH(Gebäude!L134,data_item!$B$1:$B$994,0),1),0)</f>
        <v>232</v>
      </c>
      <c r="K134" s="627">
        <f>Gebäude!K134</f>
        <v>1</v>
      </c>
      <c r="L134" s="627">
        <f>IF(M134&gt;0,INDEX(data_item!$A$1:$A$994,MATCH(Gebäude!N134,data_item!$B$1:$B$994,0),1),0)</f>
        <v>233</v>
      </c>
      <c r="M134" s="627">
        <f>Gebäude!M134</f>
        <v>1</v>
      </c>
      <c r="N134" s="627">
        <f>IF(O134&gt;0,INDEX(data_item!$A$1:$A$994,MATCH(Gebäude!P134,data_item!$B$1:$B$994,0),1),0)</f>
        <v>234</v>
      </c>
      <c r="O134" s="627">
        <f>Gebäude!O134</f>
        <v>5</v>
      </c>
      <c r="P134" s="627">
        <f>Gebäude!Q134</f>
        <v>160</v>
      </c>
    </row>
    <row r="135" spans="1:16" x14ac:dyDescent="0.2">
      <c r="A135" s="627">
        <f>Gebäude!A135</f>
        <v>485</v>
      </c>
      <c r="B135" s="627" t="str">
        <f>Gebäude!B135</f>
        <v>Wachturm V</v>
      </c>
      <c r="C135" s="627">
        <f>Gebäude!D135</f>
        <v>0</v>
      </c>
      <c r="D135" s="627">
        <f>Gebäude!E135</f>
        <v>400</v>
      </c>
      <c r="E135" s="627">
        <f>Gebäude!F135</f>
        <v>2400</v>
      </c>
      <c r="F135" s="627">
        <f>Gebäude!G135</f>
        <v>484</v>
      </c>
      <c r="G135" s="627">
        <f>Gebäude!H135</f>
        <v>1</v>
      </c>
      <c r="H135" s="627">
        <f>IF(I135&gt;0,INDEX(data_item!$A$1:$A$994,MATCH(Gebäude!J135,data_item!$B$1:$B$994,0),1),0)</f>
        <v>0</v>
      </c>
      <c r="I135" s="627">
        <f>Gebäude!I135</f>
        <v>0</v>
      </c>
      <c r="J135" s="627">
        <f>IF(K135&gt;0,INDEX(data_item!$A$1:$A$994,MATCH(Gebäude!L135,data_item!$B$1:$B$994,0),1),0)</f>
        <v>242</v>
      </c>
      <c r="K135" s="627">
        <f>Gebäude!K135</f>
        <v>1</v>
      </c>
      <c r="L135" s="627">
        <f>IF(M135&gt;0,INDEX(data_item!$A$1:$A$994,MATCH(Gebäude!N135,data_item!$B$1:$B$994,0),1),0)</f>
        <v>243</v>
      </c>
      <c r="M135" s="627">
        <f>Gebäude!M135</f>
        <v>1</v>
      </c>
      <c r="N135" s="627">
        <f>IF(O135&gt;0,INDEX(data_item!$A$1:$A$994,MATCH(Gebäude!P135,data_item!$B$1:$B$994,0),1),0)</f>
        <v>244</v>
      </c>
      <c r="O135" s="627">
        <f>Gebäude!O135</f>
        <v>5</v>
      </c>
      <c r="P135" s="627">
        <f>Gebäude!Q135</f>
        <v>320</v>
      </c>
    </row>
    <row r="136" spans="1:16" x14ac:dyDescent="0.2">
      <c r="A136" s="627">
        <f>Gebäude!A136</f>
        <v>0</v>
      </c>
      <c r="B136" s="627">
        <f>Gebäude!B136</f>
        <v>0</v>
      </c>
      <c r="C136" s="627">
        <f>Gebäude!D136</f>
        <v>0</v>
      </c>
      <c r="D136" s="627">
        <f>Gebäude!E136</f>
        <v>0</v>
      </c>
      <c r="E136" s="627">
        <f>Gebäude!F136</f>
        <v>0</v>
      </c>
      <c r="F136" s="627">
        <f>Gebäude!G136</f>
        <v>0</v>
      </c>
      <c r="G136" s="627">
        <f>Gebäude!H136</f>
        <v>0</v>
      </c>
      <c r="H136" s="627">
        <f>IF(I136&gt;0,INDEX(data_item!$A$1:$A$994,MATCH(Gebäude!J136,data_item!$B$1:$B$994,0),1),0)</f>
        <v>0</v>
      </c>
      <c r="I136" s="627">
        <f>Gebäude!I136</f>
        <v>0</v>
      </c>
      <c r="J136" s="627">
        <f>IF(K136&gt;0,INDEX(data_item!$A$1:$A$994,MATCH(Gebäude!L136,data_item!$B$1:$B$994,0),1),0)</f>
        <v>0</v>
      </c>
      <c r="K136" s="627">
        <f>Gebäude!K136</f>
        <v>0</v>
      </c>
      <c r="L136" s="627">
        <f>IF(M136&gt;0,INDEX(data_item!$A$1:$A$994,MATCH(Gebäude!N136,data_item!$B$1:$B$994,0),1),0)</f>
        <v>0</v>
      </c>
      <c r="M136" s="627">
        <f>Gebäude!M136</f>
        <v>0</v>
      </c>
      <c r="N136" s="627">
        <f>IF(O136&gt;0,INDEX(data_item!$A$1:$A$994,MATCH(Gebäude!P136,data_item!$B$1:$B$994,0),1),0)</f>
        <v>0</v>
      </c>
      <c r="O136" s="627">
        <f>Gebäude!O136</f>
        <v>0</v>
      </c>
      <c r="P136" s="627">
        <f>Gebäude!Q136</f>
        <v>0</v>
      </c>
    </row>
    <row r="137" spans="1:16" x14ac:dyDescent="0.2">
      <c r="A137" s="627">
        <f>Gebäude!A137</f>
        <v>491</v>
      </c>
      <c r="B137" s="627" t="str">
        <f>Gebäude!B137</f>
        <v>Lager I</v>
      </c>
      <c r="C137" s="627">
        <f>Gebäude!D137</f>
        <v>0</v>
      </c>
      <c r="D137" s="627">
        <f>Gebäude!E137</f>
        <v>120</v>
      </c>
      <c r="E137" s="627">
        <f>Gebäude!F137</f>
        <v>800</v>
      </c>
      <c r="F137" s="627">
        <f>Gebäude!G137</f>
        <v>0</v>
      </c>
      <c r="G137" s="627">
        <f>Gebäude!H137</f>
        <v>0</v>
      </c>
      <c r="H137" s="627">
        <f>IF(I137&gt;0,INDEX(data_item!$A$1:$A$994,MATCH(Gebäude!J137,data_item!$B$1:$B$994,0),1),0)</f>
        <v>201</v>
      </c>
      <c r="I137" s="627">
        <f>Gebäude!I137</f>
        <v>1</v>
      </c>
      <c r="J137" s="627">
        <f>IF(K137&gt;0,INDEX(data_item!$A$1:$A$994,MATCH(Gebäude!L137,data_item!$B$1:$B$994,0),1),0)</f>
        <v>202</v>
      </c>
      <c r="K137" s="627">
        <f>Gebäude!K137</f>
        <v>2</v>
      </c>
      <c r="L137" s="627">
        <f>IF(M137&gt;0,INDEX(data_item!$A$1:$A$994,MATCH(Gebäude!N137,data_item!$B$1:$B$994,0),1),0)</f>
        <v>203</v>
      </c>
      <c r="M137" s="627">
        <f>Gebäude!M137</f>
        <v>1</v>
      </c>
      <c r="N137" s="627">
        <f>IF(O137&gt;0,INDEX(data_item!$A$1:$A$994,MATCH(Gebäude!P137,data_item!$B$1:$B$994,0),1),0)</f>
        <v>204</v>
      </c>
      <c r="O137" s="627">
        <f>Gebäude!O137</f>
        <v>2</v>
      </c>
      <c r="P137" s="627">
        <f>Gebäude!Q137</f>
        <v>20</v>
      </c>
    </row>
    <row r="138" spans="1:16" x14ac:dyDescent="0.2">
      <c r="A138" s="627">
        <f>Gebäude!A138</f>
        <v>492</v>
      </c>
      <c r="B138" s="627" t="str">
        <f>Gebäude!B138</f>
        <v>Lager II</v>
      </c>
      <c r="C138" s="627">
        <f>Gebäude!D138</f>
        <v>0</v>
      </c>
      <c r="D138" s="627">
        <f>Gebäude!E138</f>
        <v>240</v>
      </c>
      <c r="E138" s="627">
        <f>Gebäude!F138</f>
        <v>1200</v>
      </c>
      <c r="F138" s="627">
        <f>Gebäude!G138</f>
        <v>491</v>
      </c>
      <c r="G138" s="627">
        <f>Gebäude!H138</f>
        <v>0</v>
      </c>
      <c r="H138" s="627">
        <f>IF(I138&gt;0,INDEX(data_item!$A$1:$A$994,MATCH(Gebäude!J138,data_item!$B$1:$B$994,0),1),0)</f>
        <v>211</v>
      </c>
      <c r="I138" s="627">
        <f>Gebäude!I138</f>
        <v>1</v>
      </c>
      <c r="J138" s="627">
        <f>IF(K138&gt;0,INDEX(data_item!$A$1:$A$994,MATCH(Gebäude!L138,data_item!$B$1:$B$994,0),1),0)</f>
        <v>212</v>
      </c>
      <c r="K138" s="627">
        <f>Gebäude!K138</f>
        <v>2</v>
      </c>
      <c r="L138" s="627">
        <f>IF(M138&gt;0,INDEX(data_item!$A$1:$A$994,MATCH(Gebäude!N138,data_item!$B$1:$B$994,0),1),0)</f>
        <v>213</v>
      </c>
      <c r="M138" s="627">
        <f>Gebäude!M138</f>
        <v>1</v>
      </c>
      <c r="N138" s="627">
        <f>IF(O138&gt;0,INDEX(data_item!$A$1:$A$994,MATCH(Gebäude!P138,data_item!$B$1:$B$994,0),1),0)</f>
        <v>214</v>
      </c>
      <c r="O138" s="627">
        <f>Gebäude!O138</f>
        <v>2</v>
      </c>
      <c r="P138" s="627">
        <f>Gebäude!Q138</f>
        <v>40</v>
      </c>
    </row>
    <row r="139" spans="1:16" x14ac:dyDescent="0.2">
      <c r="A139" s="627">
        <f>Gebäude!A139</f>
        <v>493</v>
      </c>
      <c r="B139" s="627" t="str">
        <f>Gebäude!B139</f>
        <v>Lager III</v>
      </c>
      <c r="C139" s="627">
        <f>Gebäude!D139</f>
        <v>0</v>
      </c>
      <c r="D139" s="627">
        <f>Gebäude!E139</f>
        <v>360</v>
      </c>
      <c r="E139" s="627">
        <f>Gebäude!F139</f>
        <v>1600</v>
      </c>
      <c r="F139" s="627">
        <f>Gebäude!G139</f>
        <v>492</v>
      </c>
      <c r="G139" s="627">
        <f>Gebäude!H139</f>
        <v>0</v>
      </c>
      <c r="H139" s="627">
        <f>IF(I139&gt;0,INDEX(data_item!$A$1:$A$994,MATCH(Gebäude!J139,data_item!$B$1:$B$994,0),1),0)</f>
        <v>221</v>
      </c>
      <c r="I139" s="627">
        <f>Gebäude!I139</f>
        <v>1</v>
      </c>
      <c r="J139" s="627">
        <f>IF(K139&gt;0,INDEX(data_item!$A$1:$A$994,MATCH(Gebäude!L139,data_item!$B$1:$B$994,0),1),0)</f>
        <v>222</v>
      </c>
      <c r="K139" s="627">
        <f>Gebäude!K139</f>
        <v>2</v>
      </c>
      <c r="L139" s="627">
        <f>IF(M139&gt;0,INDEX(data_item!$A$1:$A$994,MATCH(Gebäude!N139,data_item!$B$1:$B$994,0),1),0)</f>
        <v>223</v>
      </c>
      <c r="M139" s="627">
        <f>Gebäude!M139</f>
        <v>1</v>
      </c>
      <c r="N139" s="627">
        <f>IF(O139&gt;0,INDEX(data_item!$A$1:$A$994,MATCH(Gebäude!P139,data_item!$B$1:$B$994,0),1),0)</f>
        <v>224</v>
      </c>
      <c r="O139" s="627">
        <f>Gebäude!O139</f>
        <v>2</v>
      </c>
      <c r="P139" s="627">
        <f>Gebäude!Q139</f>
        <v>80</v>
      </c>
    </row>
    <row r="140" spans="1:16" x14ac:dyDescent="0.2">
      <c r="A140" s="627">
        <f>Gebäude!A140</f>
        <v>494</v>
      </c>
      <c r="B140" s="627" t="str">
        <f>Gebäude!B140</f>
        <v>Lager IV</v>
      </c>
      <c r="C140" s="627">
        <f>Gebäude!D140</f>
        <v>0</v>
      </c>
      <c r="D140" s="627">
        <f>Gebäude!E140</f>
        <v>480</v>
      </c>
      <c r="E140" s="627">
        <f>Gebäude!F140</f>
        <v>2000</v>
      </c>
      <c r="F140" s="627">
        <f>Gebäude!G140</f>
        <v>493</v>
      </c>
      <c r="G140" s="627">
        <f>Gebäude!H140</f>
        <v>0</v>
      </c>
      <c r="H140" s="627">
        <f>IF(I140&gt;0,INDEX(data_item!$A$1:$A$994,MATCH(Gebäude!J140,data_item!$B$1:$B$994,0),1),0)</f>
        <v>231</v>
      </c>
      <c r="I140" s="627">
        <f>Gebäude!I140</f>
        <v>1</v>
      </c>
      <c r="J140" s="627">
        <f>IF(K140&gt;0,INDEX(data_item!$A$1:$A$994,MATCH(Gebäude!L140,data_item!$B$1:$B$994,0),1),0)</f>
        <v>232</v>
      </c>
      <c r="K140" s="627">
        <f>Gebäude!K140</f>
        <v>2</v>
      </c>
      <c r="L140" s="627">
        <f>IF(M140&gt;0,INDEX(data_item!$A$1:$A$994,MATCH(Gebäude!N140,data_item!$B$1:$B$994,0),1),0)</f>
        <v>233</v>
      </c>
      <c r="M140" s="627">
        <f>Gebäude!M140</f>
        <v>1</v>
      </c>
      <c r="N140" s="627">
        <f>IF(O140&gt;0,INDEX(data_item!$A$1:$A$994,MATCH(Gebäude!P140,data_item!$B$1:$B$994,0),1),0)</f>
        <v>234</v>
      </c>
      <c r="O140" s="627">
        <f>Gebäude!O140</f>
        <v>2</v>
      </c>
      <c r="P140" s="627">
        <f>Gebäude!Q140</f>
        <v>160</v>
      </c>
    </row>
    <row r="141" spans="1:16" x14ac:dyDescent="0.2">
      <c r="A141" s="627">
        <f>Gebäude!A141</f>
        <v>495</v>
      </c>
      <c r="B141" s="627" t="str">
        <f>Gebäude!B141</f>
        <v>Lager V</v>
      </c>
      <c r="C141" s="627">
        <f>Gebäude!D141</f>
        <v>0</v>
      </c>
      <c r="D141" s="627">
        <f>Gebäude!E141</f>
        <v>600</v>
      </c>
      <c r="E141" s="627">
        <f>Gebäude!F141</f>
        <v>2400</v>
      </c>
      <c r="F141" s="627">
        <f>Gebäude!G141</f>
        <v>494</v>
      </c>
      <c r="G141" s="627">
        <f>Gebäude!H141</f>
        <v>0</v>
      </c>
      <c r="H141" s="627">
        <f>IF(I141&gt;0,INDEX(data_item!$A$1:$A$994,MATCH(Gebäude!J141,data_item!$B$1:$B$994,0),1),0)</f>
        <v>241</v>
      </c>
      <c r="I141" s="627">
        <f>Gebäude!I141</f>
        <v>1</v>
      </c>
      <c r="J141" s="627">
        <f>IF(K141&gt;0,INDEX(data_item!$A$1:$A$994,MATCH(Gebäude!L141,data_item!$B$1:$B$994,0),1),0)</f>
        <v>242</v>
      </c>
      <c r="K141" s="627">
        <f>Gebäude!K141</f>
        <v>2</v>
      </c>
      <c r="L141" s="627">
        <f>IF(M141&gt;0,INDEX(data_item!$A$1:$A$994,MATCH(Gebäude!N141,data_item!$B$1:$B$994,0),1),0)</f>
        <v>243</v>
      </c>
      <c r="M141" s="627">
        <f>Gebäude!M141</f>
        <v>1</v>
      </c>
      <c r="N141" s="627">
        <f>IF(O141&gt;0,INDEX(data_item!$A$1:$A$994,MATCH(Gebäude!P141,data_item!$B$1:$B$994,0),1),0)</f>
        <v>244</v>
      </c>
      <c r="O141" s="627">
        <f>Gebäude!O141</f>
        <v>2</v>
      </c>
      <c r="P141" s="627">
        <f>Gebäude!Q141</f>
        <v>320</v>
      </c>
    </row>
    <row r="142" spans="1:16" x14ac:dyDescent="0.2">
      <c r="A142" s="627">
        <f>Gebäude!A142</f>
        <v>496</v>
      </c>
      <c r="B142" s="627" t="str">
        <f>Gebäude!B142</f>
        <v>Lager VI</v>
      </c>
      <c r="C142" s="627">
        <f>Gebäude!D142</f>
        <v>0</v>
      </c>
      <c r="D142" s="627">
        <f>Gebäude!E142</f>
        <v>1500</v>
      </c>
      <c r="E142" s="627">
        <f>Gebäude!F142</f>
        <v>2800</v>
      </c>
      <c r="F142" s="627">
        <f>Gebäude!G142</f>
        <v>495</v>
      </c>
      <c r="G142" s="627">
        <f>Gebäude!H142</f>
        <v>1</v>
      </c>
      <c r="H142" s="627">
        <f>IF(I142&gt;0,INDEX(data_item!$A$1:$A$994,MATCH(Gebäude!J142,data_item!$B$1:$B$994,0),1),0)</f>
        <v>241</v>
      </c>
      <c r="I142" s="627">
        <f>Gebäude!I142</f>
        <v>2</v>
      </c>
      <c r="J142" s="627">
        <f>IF(K142&gt;0,INDEX(data_item!$A$1:$A$994,MATCH(Gebäude!L142,data_item!$B$1:$B$994,0),1),0)</f>
        <v>242</v>
      </c>
      <c r="K142" s="627">
        <f>Gebäude!K142</f>
        <v>4</v>
      </c>
      <c r="L142" s="627">
        <f>IF(M142&gt;0,INDEX(data_item!$A$1:$A$994,MATCH(Gebäude!N142,data_item!$B$1:$B$994,0),1),0)</f>
        <v>243</v>
      </c>
      <c r="M142" s="627">
        <f>Gebäude!M142</f>
        <v>2</v>
      </c>
      <c r="N142" s="627">
        <f>IF(O142&gt;0,INDEX(data_item!$A$1:$A$994,MATCH(Gebäude!P142,data_item!$B$1:$B$994,0),1),0)</f>
        <v>244</v>
      </c>
      <c r="O142" s="627">
        <f>Gebäude!O142</f>
        <v>4</v>
      </c>
      <c r="P142" s="627">
        <f>Gebäude!Q142</f>
        <v>640</v>
      </c>
    </row>
    <row r="143" spans="1:16" x14ac:dyDescent="0.2">
      <c r="A143" s="627">
        <f>Gebäude!A143</f>
        <v>497</v>
      </c>
      <c r="B143" s="627" t="str">
        <f>Gebäude!B143</f>
        <v>Lager VII</v>
      </c>
      <c r="C143" s="627">
        <f>Gebäude!D143</f>
        <v>0</v>
      </c>
      <c r="D143" s="627">
        <f>Gebäude!E143</f>
        <v>3000</v>
      </c>
      <c r="E143" s="627">
        <f>Gebäude!F143</f>
        <v>3200</v>
      </c>
      <c r="F143" s="627">
        <f>Gebäude!G143</f>
        <v>496</v>
      </c>
      <c r="G143" s="627">
        <f>Gebäude!H143</f>
        <v>1</v>
      </c>
      <c r="H143" s="627">
        <f>IF(I143&gt;0,INDEX(data_item!$A$1:$A$994,MATCH(Gebäude!J143,data_item!$B$1:$B$994,0),1),0)</f>
        <v>241</v>
      </c>
      <c r="I143" s="627">
        <f>Gebäude!I143</f>
        <v>4</v>
      </c>
      <c r="J143" s="627">
        <f>IF(K143&gt;0,INDEX(data_item!$A$1:$A$994,MATCH(Gebäude!L143,data_item!$B$1:$B$994,0),1),0)</f>
        <v>242</v>
      </c>
      <c r="K143" s="627">
        <f>Gebäude!K143</f>
        <v>8</v>
      </c>
      <c r="L143" s="627">
        <f>IF(M143&gt;0,INDEX(data_item!$A$1:$A$994,MATCH(Gebäude!N143,data_item!$B$1:$B$994,0),1),0)</f>
        <v>243</v>
      </c>
      <c r="M143" s="627">
        <f>Gebäude!M143</f>
        <v>4</v>
      </c>
      <c r="N143" s="627">
        <f>IF(O143&gt;0,INDEX(data_item!$A$1:$A$994,MATCH(Gebäude!P143,data_item!$B$1:$B$994,0),1),0)</f>
        <v>244</v>
      </c>
      <c r="O143" s="627">
        <f>Gebäude!O143</f>
        <v>8</v>
      </c>
      <c r="P143" s="627">
        <f>Gebäude!Q143</f>
        <v>1280</v>
      </c>
    </row>
    <row r="144" spans="1:16" x14ac:dyDescent="0.2">
      <c r="A144" s="627">
        <f>Gebäude!A144</f>
        <v>498</v>
      </c>
      <c r="B144" s="627" t="str">
        <f>Gebäude!B144</f>
        <v>Lager VIII</v>
      </c>
      <c r="C144" s="627">
        <f>Gebäude!D144</f>
        <v>0</v>
      </c>
      <c r="D144" s="627">
        <f>Gebäude!E144</f>
        <v>6000</v>
      </c>
      <c r="E144" s="627">
        <f>Gebäude!F144</f>
        <v>3600</v>
      </c>
      <c r="F144" s="627">
        <f>Gebäude!G144</f>
        <v>497</v>
      </c>
      <c r="G144" s="627">
        <f>Gebäude!H144</f>
        <v>1</v>
      </c>
      <c r="H144" s="627">
        <f>IF(I144&gt;0,INDEX(data_item!$A$1:$A$994,MATCH(Gebäude!J144,data_item!$B$1:$B$994,0),1),0)</f>
        <v>241</v>
      </c>
      <c r="I144" s="627">
        <f>Gebäude!I144</f>
        <v>8</v>
      </c>
      <c r="J144" s="627">
        <f>IF(K144&gt;0,INDEX(data_item!$A$1:$A$994,MATCH(Gebäude!L144,data_item!$B$1:$B$994,0),1),0)</f>
        <v>242</v>
      </c>
      <c r="K144" s="627">
        <f>Gebäude!K144</f>
        <v>16</v>
      </c>
      <c r="L144" s="627">
        <f>IF(M144&gt;0,INDEX(data_item!$A$1:$A$994,MATCH(Gebäude!N144,data_item!$B$1:$B$994,0),1),0)</f>
        <v>243</v>
      </c>
      <c r="M144" s="627">
        <f>Gebäude!M144</f>
        <v>8</v>
      </c>
      <c r="N144" s="627">
        <f>IF(O144&gt;0,INDEX(data_item!$A$1:$A$994,MATCH(Gebäude!P144,data_item!$B$1:$B$994,0),1),0)</f>
        <v>244</v>
      </c>
      <c r="O144" s="627">
        <f>Gebäude!O144</f>
        <v>16</v>
      </c>
      <c r="P144" s="627">
        <f>Gebäude!Q144</f>
        <v>2560</v>
      </c>
    </row>
    <row r="145" spans="1:16" x14ac:dyDescent="0.2">
      <c r="A145" s="627">
        <f>Gebäude!A145</f>
        <v>499</v>
      </c>
      <c r="B145" s="627" t="str">
        <f>Gebäude!B145</f>
        <v>Lager IX</v>
      </c>
      <c r="C145" s="627">
        <f>Gebäude!D145</f>
        <v>0</v>
      </c>
      <c r="D145" s="627">
        <f>Gebäude!E145</f>
        <v>12000</v>
      </c>
      <c r="E145" s="627">
        <f>Gebäude!F145</f>
        <v>4000</v>
      </c>
      <c r="F145" s="627">
        <f>Gebäude!G145</f>
        <v>498</v>
      </c>
      <c r="G145" s="627">
        <f>Gebäude!H145</f>
        <v>1</v>
      </c>
      <c r="H145" s="627">
        <f>IF(I145&gt;0,INDEX(data_item!$A$1:$A$994,MATCH(Gebäude!J145,data_item!$B$1:$B$994,0),1),0)</f>
        <v>241</v>
      </c>
      <c r="I145" s="627">
        <f>Gebäude!I145</f>
        <v>16</v>
      </c>
      <c r="J145" s="627">
        <f>IF(K145&gt;0,INDEX(data_item!$A$1:$A$994,MATCH(Gebäude!L145,data_item!$B$1:$B$994,0),1),0)</f>
        <v>242</v>
      </c>
      <c r="K145" s="627">
        <f>Gebäude!K145</f>
        <v>32</v>
      </c>
      <c r="L145" s="627">
        <f>IF(M145&gt;0,INDEX(data_item!$A$1:$A$994,MATCH(Gebäude!N145,data_item!$B$1:$B$994,0),1),0)</f>
        <v>243</v>
      </c>
      <c r="M145" s="627">
        <f>Gebäude!M145</f>
        <v>16</v>
      </c>
      <c r="N145" s="627">
        <f>IF(O145&gt;0,INDEX(data_item!$A$1:$A$994,MATCH(Gebäude!P145,data_item!$B$1:$B$994,0),1),0)</f>
        <v>244</v>
      </c>
      <c r="O145" s="627">
        <f>Gebäude!O145</f>
        <v>32</v>
      </c>
      <c r="P145" s="627">
        <f>Gebäude!Q145</f>
        <v>5120</v>
      </c>
    </row>
    <row r="146" spans="1:16" x14ac:dyDescent="0.2">
      <c r="A146" s="627">
        <f>Gebäude!A146</f>
        <v>0</v>
      </c>
      <c r="B146" s="627">
        <f>Gebäude!B146</f>
        <v>0</v>
      </c>
      <c r="C146" s="627">
        <f>Gebäude!D146</f>
        <v>0</v>
      </c>
      <c r="D146" s="627">
        <f>Gebäude!E146</f>
        <v>0</v>
      </c>
      <c r="E146" s="627">
        <f>Gebäude!F146</f>
        <v>0</v>
      </c>
      <c r="F146" s="627">
        <f>Gebäude!G146</f>
        <v>0</v>
      </c>
      <c r="G146" s="627">
        <f>Gebäude!H146</f>
        <v>0</v>
      </c>
      <c r="H146" s="627">
        <f>IF(I146&gt;0,INDEX(data_item!$A$1:$A$994,MATCH(Gebäude!J146,data_item!$B$1:$B$994,0),1),0)</f>
        <v>0</v>
      </c>
      <c r="I146" s="627">
        <f>Gebäude!I146</f>
        <v>0</v>
      </c>
      <c r="J146" s="627">
        <f>IF(K146&gt;0,INDEX(data_item!$A$1:$A$994,MATCH(Gebäude!L146,data_item!$B$1:$B$994,0),1),0)</f>
        <v>0</v>
      </c>
      <c r="K146" s="627">
        <f>Gebäude!K146</f>
        <v>0</v>
      </c>
      <c r="L146" s="627">
        <f>IF(M146&gt;0,INDEX(data_item!$A$1:$A$994,MATCH(Gebäude!N146,data_item!$B$1:$B$994,0),1),0)</f>
        <v>0</v>
      </c>
      <c r="M146" s="627">
        <f>Gebäude!M146</f>
        <v>0</v>
      </c>
      <c r="N146" s="627">
        <f>IF(O146&gt;0,INDEX(data_item!$A$1:$A$994,MATCH(Gebäude!P146,data_item!$B$1:$B$994,0),1),0)</f>
        <v>0</v>
      </c>
      <c r="O146" s="627">
        <f>Gebäude!O146</f>
        <v>0</v>
      </c>
      <c r="P146" s="627">
        <f>Gebäude!Q146</f>
        <v>0</v>
      </c>
    </row>
    <row r="147" spans="1:16" x14ac:dyDescent="0.2">
      <c r="A147" s="627">
        <f>Gebäude!A147</f>
        <v>511</v>
      </c>
      <c r="B147" s="627" t="str">
        <f>Gebäude!B147</f>
        <v>Baumeister I</v>
      </c>
      <c r="C147" s="627">
        <f>Gebäude!D147</f>
        <v>0</v>
      </c>
      <c r="D147" s="627">
        <f>Gebäude!E147</f>
        <v>60</v>
      </c>
      <c r="E147" s="627">
        <f>Gebäude!F147</f>
        <v>400</v>
      </c>
      <c r="F147" s="627">
        <f>Gebäude!G147</f>
        <v>0</v>
      </c>
      <c r="G147" s="627">
        <f>Gebäude!H147</f>
        <v>0</v>
      </c>
      <c r="H147" s="627">
        <f>IF(I147&gt;0,INDEX(data_item!$A$1:$A$994,MATCH(Gebäude!J147,data_item!$B$1:$B$994,0),1),0)</f>
        <v>201</v>
      </c>
      <c r="I147" s="627">
        <f>Gebäude!I147</f>
        <v>1</v>
      </c>
      <c r="J147" s="627">
        <f>IF(K147&gt;0,INDEX(data_item!$A$1:$A$994,MATCH(Gebäude!L147,data_item!$B$1:$B$994,0),1),0)</f>
        <v>202</v>
      </c>
      <c r="K147" s="627">
        <f>Gebäude!K147</f>
        <v>1</v>
      </c>
      <c r="L147" s="627">
        <f>IF(M147&gt;0,INDEX(data_item!$A$1:$A$994,MATCH(Gebäude!N147,data_item!$B$1:$B$994,0),1),0)</f>
        <v>203</v>
      </c>
      <c r="M147" s="627">
        <f>Gebäude!M147</f>
        <v>1</v>
      </c>
      <c r="N147" s="627">
        <f>IF(O147&gt;0,INDEX(data_item!$A$1:$A$994,MATCH(Gebäude!P147,data_item!$B$1:$B$994,0),1),0)</f>
        <v>0</v>
      </c>
      <c r="O147" s="627">
        <f>Gebäude!O147</f>
        <v>0</v>
      </c>
      <c r="P147" s="627">
        <f>Gebäude!Q147</f>
        <v>10</v>
      </c>
    </row>
    <row r="148" spans="1:16" x14ac:dyDescent="0.2">
      <c r="A148" s="627">
        <f>Gebäude!A148</f>
        <v>512</v>
      </c>
      <c r="B148" s="627" t="str">
        <f>Gebäude!B148</f>
        <v>Baumeister II</v>
      </c>
      <c r="C148" s="627">
        <f>Gebäude!D148</f>
        <v>0</v>
      </c>
      <c r="D148" s="627">
        <f>Gebäude!E148</f>
        <v>120</v>
      </c>
      <c r="E148" s="627">
        <f>Gebäude!F148</f>
        <v>600</v>
      </c>
      <c r="F148" s="627">
        <f>Gebäude!G148</f>
        <v>511</v>
      </c>
      <c r="G148" s="627">
        <f>Gebäude!H148</f>
        <v>0</v>
      </c>
      <c r="H148" s="627">
        <f>IF(I148&gt;0,INDEX(data_item!$A$1:$A$994,MATCH(Gebäude!J148,data_item!$B$1:$B$994,0),1),0)</f>
        <v>211</v>
      </c>
      <c r="I148" s="627">
        <f>Gebäude!I148</f>
        <v>1</v>
      </c>
      <c r="J148" s="627">
        <f>IF(K148&gt;0,INDEX(data_item!$A$1:$A$994,MATCH(Gebäude!L148,data_item!$B$1:$B$994,0),1),0)</f>
        <v>212</v>
      </c>
      <c r="K148" s="627">
        <f>Gebäude!K148</f>
        <v>1</v>
      </c>
      <c r="L148" s="627">
        <f>IF(M148&gt;0,INDEX(data_item!$A$1:$A$994,MATCH(Gebäude!N148,data_item!$B$1:$B$994,0),1),0)</f>
        <v>213</v>
      </c>
      <c r="M148" s="627">
        <f>Gebäude!M148</f>
        <v>1</v>
      </c>
      <c r="N148" s="627">
        <f>IF(O148&gt;0,INDEX(data_item!$A$1:$A$994,MATCH(Gebäude!P148,data_item!$B$1:$B$994,0),1),0)</f>
        <v>0</v>
      </c>
      <c r="O148" s="627">
        <f>Gebäude!O148</f>
        <v>0</v>
      </c>
      <c r="P148" s="627">
        <f>Gebäude!Q148</f>
        <v>20</v>
      </c>
    </row>
    <row r="149" spans="1:16" x14ac:dyDescent="0.2">
      <c r="A149" s="627">
        <f>Gebäude!A149</f>
        <v>513</v>
      </c>
      <c r="B149" s="627" t="str">
        <f>Gebäude!B149</f>
        <v>Baumeister III</v>
      </c>
      <c r="C149" s="627">
        <f>Gebäude!D149</f>
        <v>0</v>
      </c>
      <c r="D149" s="627">
        <f>Gebäude!E149</f>
        <v>180</v>
      </c>
      <c r="E149" s="627">
        <f>Gebäude!F149</f>
        <v>800</v>
      </c>
      <c r="F149" s="627">
        <f>Gebäude!G149</f>
        <v>512</v>
      </c>
      <c r="G149" s="627">
        <f>Gebäude!H149</f>
        <v>1</v>
      </c>
      <c r="H149" s="627">
        <f>IF(I149&gt;0,INDEX(data_item!$A$1:$A$994,MATCH(Gebäude!J149,data_item!$B$1:$B$994,0),1),0)</f>
        <v>221</v>
      </c>
      <c r="I149" s="627">
        <f>Gebäude!I149</f>
        <v>1</v>
      </c>
      <c r="J149" s="627">
        <f>IF(K149&gt;0,INDEX(data_item!$A$1:$A$994,MATCH(Gebäude!L149,data_item!$B$1:$B$994,0),1),0)</f>
        <v>222</v>
      </c>
      <c r="K149" s="627">
        <f>Gebäude!K149</f>
        <v>1</v>
      </c>
      <c r="L149" s="627">
        <f>IF(M149&gt;0,INDEX(data_item!$A$1:$A$994,MATCH(Gebäude!N149,data_item!$B$1:$B$994,0),1),0)</f>
        <v>223</v>
      </c>
      <c r="M149" s="627">
        <f>Gebäude!M149</f>
        <v>1</v>
      </c>
      <c r="N149" s="627">
        <f>IF(O149&gt;0,INDEX(data_item!$A$1:$A$994,MATCH(Gebäude!P149,data_item!$B$1:$B$994,0),1),0)</f>
        <v>0</v>
      </c>
      <c r="O149" s="627">
        <f>Gebäude!O149</f>
        <v>0</v>
      </c>
      <c r="P149" s="627">
        <f>Gebäude!Q149</f>
        <v>40</v>
      </c>
    </row>
    <row r="150" spans="1:16" x14ac:dyDescent="0.2">
      <c r="A150" s="627">
        <f>Gebäude!A150</f>
        <v>514</v>
      </c>
      <c r="B150" s="627" t="str">
        <f>Gebäude!B150</f>
        <v>Baumeister IV</v>
      </c>
      <c r="C150" s="627">
        <f>Gebäude!D150</f>
        <v>0</v>
      </c>
      <c r="D150" s="627">
        <f>Gebäude!E150</f>
        <v>240</v>
      </c>
      <c r="E150" s="627">
        <f>Gebäude!F150</f>
        <v>1000</v>
      </c>
      <c r="F150" s="627">
        <f>Gebäude!G150</f>
        <v>513</v>
      </c>
      <c r="G150" s="627">
        <f>Gebäude!H150</f>
        <v>1</v>
      </c>
      <c r="H150" s="627">
        <f>IF(I150&gt;0,INDEX(data_item!$A$1:$A$994,MATCH(Gebäude!J150,data_item!$B$1:$B$994,0),1),0)</f>
        <v>231</v>
      </c>
      <c r="I150" s="627">
        <f>Gebäude!I150</f>
        <v>1</v>
      </c>
      <c r="J150" s="627">
        <f>IF(K150&gt;0,INDEX(data_item!$A$1:$A$994,MATCH(Gebäude!L150,data_item!$B$1:$B$994,0),1),0)</f>
        <v>232</v>
      </c>
      <c r="K150" s="627">
        <f>Gebäude!K150</f>
        <v>1</v>
      </c>
      <c r="L150" s="627">
        <f>IF(M150&gt;0,INDEX(data_item!$A$1:$A$994,MATCH(Gebäude!N150,data_item!$B$1:$B$994,0),1),0)</f>
        <v>233</v>
      </c>
      <c r="M150" s="627">
        <f>Gebäude!M150</f>
        <v>1</v>
      </c>
      <c r="N150" s="627">
        <f>IF(O150&gt;0,INDEX(data_item!$A$1:$A$994,MATCH(Gebäude!P150,data_item!$B$1:$B$994,0),1),0)</f>
        <v>0</v>
      </c>
      <c r="O150" s="627">
        <f>Gebäude!O150</f>
        <v>0</v>
      </c>
      <c r="P150" s="627">
        <f>Gebäude!Q150</f>
        <v>80</v>
      </c>
    </row>
    <row r="151" spans="1:16" x14ac:dyDescent="0.2">
      <c r="A151" s="627">
        <f>Gebäude!A151</f>
        <v>515</v>
      </c>
      <c r="B151" s="627" t="str">
        <f>Gebäude!B151</f>
        <v>Baumeister V</v>
      </c>
      <c r="C151" s="627">
        <f>Gebäude!D151</f>
        <v>0</v>
      </c>
      <c r="D151" s="627">
        <f>Gebäude!E151</f>
        <v>300</v>
      </c>
      <c r="E151" s="627">
        <f>Gebäude!F151</f>
        <v>1200</v>
      </c>
      <c r="F151" s="627">
        <f>Gebäude!G151</f>
        <v>514</v>
      </c>
      <c r="G151" s="627">
        <f>Gebäude!H151</f>
        <v>1</v>
      </c>
      <c r="H151" s="627">
        <f>IF(I151&gt;0,INDEX(data_item!$A$1:$A$994,MATCH(Gebäude!J151,data_item!$B$1:$B$994,0),1),0)</f>
        <v>241</v>
      </c>
      <c r="I151" s="627">
        <f>Gebäude!I151</f>
        <v>1</v>
      </c>
      <c r="J151" s="627">
        <f>IF(K151&gt;0,INDEX(data_item!$A$1:$A$994,MATCH(Gebäude!L151,data_item!$B$1:$B$994,0),1),0)</f>
        <v>242</v>
      </c>
      <c r="K151" s="627">
        <f>Gebäude!K151</f>
        <v>1</v>
      </c>
      <c r="L151" s="627">
        <f>IF(M151&gt;0,INDEX(data_item!$A$1:$A$994,MATCH(Gebäude!N151,data_item!$B$1:$B$994,0),1),0)</f>
        <v>243</v>
      </c>
      <c r="M151" s="627">
        <f>Gebäude!M151</f>
        <v>1</v>
      </c>
      <c r="N151" s="627">
        <f>IF(O151&gt;0,INDEX(data_item!$A$1:$A$994,MATCH(Gebäude!P151,data_item!$B$1:$B$994,0),1),0)</f>
        <v>0</v>
      </c>
      <c r="O151" s="627">
        <f>Gebäude!O151</f>
        <v>0</v>
      </c>
      <c r="P151" s="627">
        <f>Gebäude!Q151</f>
        <v>160</v>
      </c>
    </row>
  </sheetData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Brainstorming</vt:lpstr>
      <vt:lpstr>Gegenstände</vt:lpstr>
      <vt:lpstr>Baupläne</vt:lpstr>
      <vt:lpstr>Gebäude</vt:lpstr>
      <vt:lpstr>Berechnungen</vt:lpstr>
      <vt:lpstr>Magische Items</vt:lpstr>
      <vt:lpstr>Ränge</vt:lpstr>
      <vt:lpstr>Preise</vt:lpstr>
      <vt:lpstr>Glossar</vt:lpstr>
      <vt:lpstr>data_item</vt:lpstr>
      <vt:lpstr>data_recipe</vt:lpstr>
      <vt:lpstr>data_build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</dc:creator>
  <cp:lastModifiedBy>Sebastian Grey</cp:lastModifiedBy>
  <dcterms:created xsi:type="dcterms:W3CDTF">2013-07-14T23:57:21Z</dcterms:created>
  <dcterms:modified xsi:type="dcterms:W3CDTF">2016-04-16T12:05:30Z</dcterms:modified>
</cp:coreProperties>
</file>